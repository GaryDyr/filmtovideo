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chartsheets/sheet2.xml" ContentType="application/vnd.openxmlformats-officedocument.spreadsheetml.chartsheet+xml"/>
  <Override PartName="/xl/sharedStrings.xml" ContentType="application/vnd.openxmlformats-officedocument.spreadsheetml.sharedStrings+xml"/>
  <Override PartName="/xl/chartsheets/sheet1.xml" ContentType="application/vnd.openxmlformats-officedocument.spreadsheetml.chart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0" yWindow="135" windowWidth="9690" windowHeight="6480" activeTab="1"/>
  </bookViews>
  <sheets>
    <sheet name="Info" sheetId="1" r:id="rId1"/>
    <sheet name="Ft" sheetId="2" r:id="rId2"/>
    <sheet name="Vars" sheetId="3" state="hidden" r:id="rId3"/>
    <sheet name="Data" sheetId="4" r:id="rId4"/>
    <sheet name="Chart3" sheetId="5" r:id="rId5"/>
    <sheet name="Shirley" sheetId="6" r:id="rId6"/>
    <sheet name="Chart4" sheetId="7" r:id="rId7"/>
    <sheet name="Modules" sheetId="8" state="veryHidden" r:id=""/>
    <sheet name="Module1" sheetId="9" state="veryHidden" r:id=""/>
    <sheet name="Sheet1" sheetId="10" r:id="rId8"/>
  </sheets>
  <definedNames>
    <definedName name="Error">Ft!$B$19</definedName>
    <definedName name="_xlnm.Print_Area" localSheetId="1">Ft!$A$1:$K$32</definedName>
    <definedName name="solver_adj" localSheetId="1" hidden="1">Ft!$B$2:$B$4,Ft!$C$2:$C$4,Ft!$D$2:$D$4,Ft!$E$2:$E$4,Ft!$F$2:$F$4,Ft!$G$2:$G$4</definedName>
    <definedName name="solver_cvg" localSheetId="1" hidden="1">0.0001</definedName>
    <definedName name="solver_drv" localSheetId="1" hidden="1">1</definedName>
    <definedName name="solver_est" localSheetId="1" hidden="1">1</definedName>
    <definedName name="solver_itr" localSheetId="1" hidden="1">1000</definedName>
    <definedName name="solver_lhs1" localSheetId="1" hidden="1">Ft!$B$6</definedName>
    <definedName name="solver_lhs2" localSheetId="1" hidden="1">Ft!$C$6</definedName>
    <definedName name="solver_lhs3" localSheetId="1" hidden="1">Ft!$B$3:$I$3</definedName>
    <definedName name="solver_lin" localSheetId="1" hidden="1">2</definedName>
    <definedName name="solver_neg" localSheetId="1" hidden="1">2</definedName>
    <definedName name="solver_num" localSheetId="1" hidden="1">3</definedName>
    <definedName name="solver_nwt" localSheetId="1" hidden="1">1</definedName>
    <definedName name="solver_opt" localSheetId="1" hidden="1">Ft!$B$19</definedName>
    <definedName name="solver_pre" localSheetId="1" hidden="1">0.0000001</definedName>
    <definedName name="solver_rel1" localSheetId="1" hidden="1">2</definedName>
    <definedName name="solver_rel2" localSheetId="1" hidden="1">2</definedName>
    <definedName name="solver_rel3" localSheetId="1" hidden="1">3</definedName>
    <definedName name="solver_rhs1" localSheetId="1" hidden="1">1</definedName>
    <definedName name="solver_rhs2" localSheetId="1" hidden="1">1</definedName>
    <definedName name="solver_rhs3" localSheetId="1" hidden="1">0</definedName>
    <definedName name="solver_scl" localSheetId="1" hidden="1">2</definedName>
    <definedName name="solver_sho" localSheetId="1" hidden="1">2</definedName>
    <definedName name="solver_tim" localSheetId="1" hidden="1">1000</definedName>
    <definedName name="solver_tmp" localSheetId="1" hidden="1">#NULL!</definedName>
    <definedName name="solver_tol" localSheetId="1" hidden="1">0.05</definedName>
    <definedName name="solver_typ" localSheetId="1" hidden="1">2</definedName>
    <definedName name="solver_val" localSheetId="1" hidden="1">0</definedName>
  </definedNames>
  <calcPr calcId="125725"/>
</workbook>
</file>

<file path=xl/calcChain.xml><?xml version="1.0" encoding="utf-8"?>
<calcChain xmlns="http://schemas.openxmlformats.org/spreadsheetml/2006/main">
  <c r="I5" i="2"/>
  <c r="H5"/>
  <c r="C678" i="4"/>
  <c r="C679"/>
  <c r="C680"/>
  <c r="J7" i="2"/>
  <c r="I7"/>
  <c r="H7"/>
  <c r="G5"/>
  <c r="F5"/>
  <c r="E5"/>
  <c r="C14" i="10" l="1"/>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4"/>
  <c r="C5"/>
  <c r="C6"/>
  <c r="C7"/>
  <c r="C8"/>
  <c r="C9"/>
  <c r="C10"/>
  <c r="C11"/>
  <c r="C12"/>
  <c r="C13"/>
  <c r="C3"/>
  <c r="C2"/>
  <c r="A54" i="2"/>
  <c r="A53"/>
  <c r="A52"/>
  <c r="A51"/>
  <c r="B5"/>
  <c r="B39" s="1"/>
  <c r="C5"/>
  <c r="D5"/>
  <c r="D40" s="1"/>
  <c r="F39"/>
  <c r="G39"/>
  <c r="I9"/>
  <c r="J5"/>
  <c r="J39" s="1"/>
  <c r="K5"/>
  <c r="K39" s="1"/>
  <c r="F7"/>
  <c r="G7"/>
  <c r="K7"/>
  <c r="B17"/>
  <c r="B20"/>
  <c r="B37"/>
  <c r="C37"/>
  <c r="D37"/>
  <c r="E37"/>
  <c r="F37"/>
  <c r="G37"/>
  <c r="H37"/>
  <c r="I37"/>
  <c r="J37"/>
  <c r="K37"/>
  <c r="B38"/>
  <c r="C38"/>
  <c r="D38"/>
  <c r="E38"/>
  <c r="F38"/>
  <c r="G38"/>
  <c r="H38"/>
  <c r="I38"/>
  <c r="J38"/>
  <c r="K38"/>
  <c r="E40"/>
  <c r="F40"/>
  <c r="B3" i="3"/>
  <c r="G9" i="2"/>
  <c r="M29" i="4" l="1"/>
  <c r="J9" i="2"/>
  <c r="N68" i="4"/>
  <c r="N85"/>
  <c r="M34"/>
  <c r="N31"/>
  <c r="N44"/>
  <c r="N84"/>
  <c r="N83"/>
  <c r="N79"/>
  <c r="N21"/>
  <c r="N98"/>
  <c r="M86"/>
  <c r="N19"/>
  <c r="N45"/>
  <c r="M66"/>
  <c r="M90"/>
  <c r="N23"/>
  <c r="N59"/>
  <c r="N80"/>
  <c r="N24"/>
  <c r="N11"/>
  <c r="N17"/>
  <c r="N38"/>
  <c r="M2"/>
  <c r="N90"/>
  <c r="N73"/>
  <c r="N86"/>
  <c r="N55"/>
  <c r="N25"/>
  <c r="N87"/>
  <c r="N43"/>
  <c r="N92"/>
  <c r="N53"/>
  <c r="M43"/>
  <c r="M20"/>
  <c r="N65"/>
  <c r="N63"/>
  <c r="N15"/>
  <c r="N95"/>
  <c r="N51"/>
  <c r="N100"/>
  <c r="N61"/>
  <c r="N76"/>
  <c r="N54"/>
  <c r="I39" i="2"/>
  <c r="N49" i="4"/>
  <c r="N101"/>
  <c r="N81"/>
  <c r="N47"/>
  <c r="N33"/>
  <c r="N99"/>
  <c r="N75"/>
  <c r="N27"/>
  <c r="N96"/>
  <c r="N77"/>
  <c r="N29"/>
  <c r="N72"/>
  <c r="N52"/>
  <c r="N28"/>
  <c r="N78"/>
  <c r="N56"/>
  <c r="N36"/>
  <c r="N8"/>
  <c r="N22"/>
  <c r="N13"/>
  <c r="N60"/>
  <c r="N40"/>
  <c r="N20"/>
  <c r="N12"/>
  <c r="N62"/>
  <c r="N2"/>
  <c r="N41"/>
  <c r="N93"/>
  <c r="N94"/>
  <c r="N71"/>
  <c r="N39"/>
  <c r="N7"/>
  <c r="N9"/>
  <c r="N91"/>
  <c r="N67"/>
  <c r="N35"/>
  <c r="N3"/>
  <c r="N88"/>
  <c r="N69"/>
  <c r="N37"/>
  <c r="N5"/>
  <c r="N64"/>
  <c r="N48"/>
  <c r="N32"/>
  <c r="N16"/>
  <c r="N70"/>
  <c r="I40" i="2"/>
  <c r="N6" i="4"/>
  <c r="E102"/>
  <c r="E104"/>
  <c r="E106"/>
  <c r="E108"/>
  <c r="E110"/>
  <c r="E112"/>
  <c r="E114"/>
  <c r="E116"/>
  <c r="E118"/>
  <c r="E120"/>
  <c r="E122"/>
  <c r="E124"/>
  <c r="E126"/>
  <c r="E128"/>
  <c r="E130"/>
  <c r="E132"/>
  <c r="E134"/>
  <c r="E136"/>
  <c r="E138"/>
  <c r="E140"/>
  <c r="E142"/>
  <c r="E144"/>
  <c r="E146"/>
  <c r="E148"/>
  <c r="E150"/>
  <c r="E152"/>
  <c r="E154"/>
  <c r="E156"/>
  <c r="E158"/>
  <c r="E160"/>
  <c r="E162"/>
  <c r="E164"/>
  <c r="E166"/>
  <c r="E168"/>
  <c r="E170"/>
  <c r="E172"/>
  <c r="E174"/>
  <c r="E176"/>
  <c r="E178"/>
  <c r="E180"/>
  <c r="E182"/>
  <c r="E184"/>
  <c r="E186"/>
  <c r="E188"/>
  <c r="E190"/>
  <c r="E192"/>
  <c r="E194"/>
  <c r="E196"/>
  <c r="E198"/>
  <c r="E200"/>
  <c r="E202"/>
  <c r="E204"/>
  <c r="E206"/>
  <c r="E208"/>
  <c r="E210"/>
  <c r="E212"/>
  <c r="E214"/>
  <c r="E216"/>
  <c r="E218"/>
  <c r="E220"/>
  <c r="E222"/>
  <c r="E224"/>
  <c r="E226"/>
  <c r="E228"/>
  <c r="E230"/>
  <c r="E232"/>
  <c r="E234"/>
  <c r="E236"/>
  <c r="E238"/>
  <c r="E240"/>
  <c r="E242"/>
  <c r="E244"/>
  <c r="E246"/>
  <c r="E248"/>
  <c r="E250"/>
  <c r="E252"/>
  <c r="E254"/>
  <c r="E256"/>
  <c r="E258"/>
  <c r="E260"/>
  <c r="E262"/>
  <c r="E264"/>
  <c r="E266"/>
  <c r="E268"/>
  <c r="E270"/>
  <c r="E272"/>
  <c r="E274"/>
  <c r="E276"/>
  <c r="E278"/>
  <c r="E280"/>
  <c r="E282"/>
  <c r="E284"/>
  <c r="E286"/>
  <c r="E288"/>
  <c r="E290"/>
  <c r="E292"/>
  <c r="E294"/>
  <c r="E296"/>
  <c r="E298"/>
  <c r="E300"/>
  <c r="E302"/>
  <c r="E304"/>
  <c r="E306"/>
  <c r="E308"/>
  <c r="E310"/>
  <c r="E312"/>
  <c r="E314"/>
  <c r="E316"/>
  <c r="E318"/>
  <c r="E320"/>
  <c r="E322"/>
  <c r="E324"/>
  <c r="E326"/>
  <c r="E328"/>
  <c r="E330"/>
  <c r="E332"/>
  <c r="E334"/>
  <c r="E336"/>
  <c r="E338"/>
  <c r="E340"/>
  <c r="E342"/>
  <c r="E344"/>
  <c r="E346"/>
  <c r="E348"/>
  <c r="E350"/>
  <c r="E352"/>
  <c r="E354"/>
  <c r="E356"/>
  <c r="E358"/>
  <c r="E360"/>
  <c r="E362"/>
  <c r="E364"/>
  <c r="E366"/>
  <c r="E368"/>
  <c r="E370"/>
  <c r="E372"/>
  <c r="E374"/>
  <c r="E376"/>
  <c r="E378"/>
  <c r="E380"/>
  <c r="E382"/>
  <c r="E384"/>
  <c r="E386"/>
  <c r="E388"/>
  <c r="E390"/>
  <c r="E392"/>
  <c r="E394"/>
  <c r="E396"/>
  <c r="E398"/>
  <c r="E400"/>
  <c r="E402"/>
  <c r="E404"/>
  <c r="E406"/>
  <c r="E408"/>
  <c r="E410"/>
  <c r="E412"/>
  <c r="E414"/>
  <c r="E416"/>
  <c r="E418"/>
  <c r="E420"/>
  <c r="E422"/>
  <c r="E424"/>
  <c r="E426"/>
  <c r="E428"/>
  <c r="E430"/>
  <c r="E432"/>
  <c r="E434"/>
  <c r="E436"/>
  <c r="E438"/>
  <c r="E440"/>
  <c r="E442"/>
  <c r="E444"/>
  <c r="E446"/>
  <c r="E448"/>
  <c r="E450"/>
  <c r="E452"/>
  <c r="E454"/>
  <c r="E456"/>
  <c r="E458"/>
  <c r="E460"/>
  <c r="E462"/>
  <c r="E464"/>
  <c r="E466"/>
  <c r="E468"/>
  <c r="E470"/>
  <c r="E472"/>
  <c r="E474"/>
  <c r="E476"/>
  <c r="E478"/>
  <c r="E480"/>
  <c r="E482"/>
  <c r="E484"/>
  <c r="E486"/>
  <c r="E488"/>
  <c r="E490"/>
  <c r="E492"/>
  <c r="E494"/>
  <c r="E496"/>
  <c r="E498"/>
  <c r="E500"/>
  <c r="E502"/>
  <c r="E504"/>
  <c r="E506"/>
  <c r="E508"/>
  <c r="E510"/>
  <c r="E512"/>
  <c r="E514"/>
  <c r="E516"/>
  <c r="E518"/>
  <c r="E520"/>
  <c r="E522"/>
  <c r="E524"/>
  <c r="E526"/>
  <c r="E528"/>
  <c r="E530"/>
  <c r="E532"/>
  <c r="E534"/>
  <c r="E536"/>
  <c r="E538"/>
  <c r="E540"/>
  <c r="E542"/>
  <c r="E544"/>
  <c r="E546"/>
  <c r="E548"/>
  <c r="E550"/>
  <c r="E552"/>
  <c r="E554"/>
  <c r="E556"/>
  <c r="E558"/>
  <c r="E560"/>
  <c r="E562"/>
  <c r="E564"/>
  <c r="E566"/>
  <c r="E568"/>
  <c r="E570"/>
  <c r="E572"/>
  <c r="E574"/>
  <c r="E576"/>
  <c r="E578"/>
  <c r="E580"/>
  <c r="E582"/>
  <c r="E584"/>
  <c r="E586"/>
  <c r="E588"/>
  <c r="E590"/>
  <c r="E592"/>
  <c r="E594"/>
  <c r="E596"/>
  <c r="E598"/>
  <c r="E600"/>
  <c r="E602"/>
  <c r="E604"/>
  <c r="E606"/>
  <c r="E608"/>
  <c r="E610"/>
  <c r="E677"/>
  <c r="E103"/>
  <c r="E105"/>
  <c r="E107"/>
  <c r="E109"/>
  <c r="E111"/>
  <c r="E113"/>
  <c r="E115"/>
  <c r="E117"/>
  <c r="E119"/>
  <c r="E121"/>
  <c r="E123"/>
  <c r="E125"/>
  <c r="E127"/>
  <c r="E129"/>
  <c r="E131"/>
  <c r="E133"/>
  <c r="E135"/>
  <c r="E137"/>
  <c r="E139"/>
  <c r="E141"/>
  <c r="E143"/>
  <c r="E145"/>
  <c r="E147"/>
  <c r="E149"/>
  <c r="E151"/>
  <c r="E153"/>
  <c r="E155"/>
  <c r="E157"/>
  <c r="E159"/>
  <c r="E161"/>
  <c r="E163"/>
  <c r="E165"/>
  <c r="E167"/>
  <c r="E169"/>
  <c r="E171"/>
  <c r="E173"/>
  <c r="E175"/>
  <c r="E177"/>
  <c r="E179"/>
  <c r="E181"/>
  <c r="E183"/>
  <c r="E185"/>
  <c r="E187"/>
  <c r="E189"/>
  <c r="E191"/>
  <c r="E193"/>
  <c r="E195"/>
  <c r="E197"/>
  <c r="E199"/>
  <c r="E201"/>
  <c r="E203"/>
  <c r="E205"/>
  <c r="E207"/>
  <c r="E209"/>
  <c r="E211"/>
  <c r="E213"/>
  <c r="E215"/>
  <c r="E217"/>
  <c r="E219"/>
  <c r="E221"/>
  <c r="E223"/>
  <c r="E225"/>
  <c r="E227"/>
  <c r="E229"/>
  <c r="E231"/>
  <c r="E233"/>
  <c r="E235"/>
  <c r="E237"/>
  <c r="E239"/>
  <c r="E241"/>
  <c r="E243"/>
  <c r="E245"/>
  <c r="E247"/>
  <c r="E249"/>
  <c r="E251"/>
  <c r="E253"/>
  <c r="E255"/>
  <c r="E257"/>
  <c r="E259"/>
  <c r="E261"/>
  <c r="E263"/>
  <c r="E265"/>
  <c r="E267"/>
  <c r="E269"/>
  <c r="E271"/>
  <c r="E273"/>
  <c r="E275"/>
  <c r="E277"/>
  <c r="E279"/>
  <c r="E281"/>
  <c r="E283"/>
  <c r="E285"/>
  <c r="E287"/>
  <c r="E289"/>
  <c r="E291"/>
  <c r="E293"/>
  <c r="E295"/>
  <c r="E297"/>
  <c r="E299"/>
  <c r="E301"/>
  <c r="E303"/>
  <c r="E305"/>
  <c r="E307"/>
  <c r="E309"/>
  <c r="E311"/>
  <c r="E313"/>
  <c r="E315"/>
  <c r="E317"/>
  <c r="E319"/>
  <c r="E321"/>
  <c r="E323"/>
  <c r="E325"/>
  <c r="E327"/>
  <c r="E329"/>
  <c r="E331"/>
  <c r="E333"/>
  <c r="E335"/>
  <c r="E337"/>
  <c r="E339"/>
  <c r="E341"/>
  <c r="E343"/>
  <c r="E345"/>
  <c r="E347"/>
  <c r="E349"/>
  <c r="E351"/>
  <c r="E353"/>
  <c r="E355"/>
  <c r="E357"/>
  <c r="E359"/>
  <c r="E361"/>
  <c r="E363"/>
  <c r="E365"/>
  <c r="E367"/>
  <c r="E369"/>
  <c r="E371"/>
  <c r="E373"/>
  <c r="E375"/>
  <c r="E377"/>
  <c r="E379"/>
  <c r="E381"/>
  <c r="E383"/>
  <c r="E385"/>
  <c r="E387"/>
  <c r="E389"/>
  <c r="E391"/>
  <c r="E393"/>
  <c r="E395"/>
  <c r="E397"/>
  <c r="E399"/>
  <c r="E401"/>
  <c r="E403"/>
  <c r="E405"/>
  <c r="E407"/>
  <c r="E409"/>
  <c r="E411"/>
  <c r="E413"/>
  <c r="E415"/>
  <c r="E417"/>
  <c r="E419"/>
  <c r="E421"/>
  <c r="E423"/>
  <c r="E425"/>
  <c r="E427"/>
  <c r="E429"/>
  <c r="E431"/>
  <c r="E433"/>
  <c r="E435"/>
  <c r="E437"/>
  <c r="E439"/>
  <c r="E441"/>
  <c r="E443"/>
  <c r="E445"/>
  <c r="E447"/>
  <c r="E449"/>
  <c r="E451"/>
  <c r="E453"/>
  <c r="E455"/>
  <c r="E457"/>
  <c r="E459"/>
  <c r="E461"/>
  <c r="E463"/>
  <c r="E465"/>
  <c r="E467"/>
  <c r="E469"/>
  <c r="E471"/>
  <c r="E473"/>
  <c r="E475"/>
  <c r="E477"/>
  <c r="E479"/>
  <c r="E481"/>
  <c r="E483"/>
  <c r="E485"/>
  <c r="E487"/>
  <c r="E489"/>
  <c r="E491"/>
  <c r="E493"/>
  <c r="E495"/>
  <c r="E497"/>
  <c r="E499"/>
  <c r="E501"/>
  <c r="E503"/>
  <c r="E505"/>
  <c r="E507"/>
  <c r="E509"/>
  <c r="E511"/>
  <c r="E513"/>
  <c r="E515"/>
  <c r="E517"/>
  <c r="E519"/>
  <c r="E521"/>
  <c r="E523"/>
  <c r="E525"/>
  <c r="E527"/>
  <c r="E529"/>
  <c r="E531"/>
  <c r="E533"/>
  <c r="E535"/>
  <c r="E537"/>
  <c r="E539"/>
  <c r="E541"/>
  <c r="E543"/>
  <c r="E545"/>
  <c r="E547"/>
  <c r="E549"/>
  <c r="E551"/>
  <c r="E553"/>
  <c r="E555"/>
  <c r="E557"/>
  <c r="E559"/>
  <c r="E561"/>
  <c r="E563"/>
  <c r="E565"/>
  <c r="E567"/>
  <c r="E569"/>
  <c r="E571"/>
  <c r="E573"/>
  <c r="E575"/>
  <c r="E577"/>
  <c r="E579"/>
  <c r="E581"/>
  <c r="E583"/>
  <c r="E585"/>
  <c r="E587"/>
  <c r="E589"/>
  <c r="E591"/>
  <c r="E593"/>
  <c r="E595"/>
  <c r="E597"/>
  <c r="E599"/>
  <c r="E601"/>
  <c r="E603"/>
  <c r="E605"/>
  <c r="E607"/>
  <c r="E609"/>
  <c r="E611"/>
  <c r="E676"/>
  <c r="E674"/>
  <c r="E672"/>
  <c r="E670"/>
  <c r="E668"/>
  <c r="E666"/>
  <c r="E664"/>
  <c r="E662"/>
  <c r="E660"/>
  <c r="E658"/>
  <c r="E656"/>
  <c r="E654"/>
  <c r="E652"/>
  <c r="E650"/>
  <c r="E648"/>
  <c r="E646"/>
  <c r="E644"/>
  <c r="E642"/>
  <c r="E640"/>
  <c r="E638"/>
  <c r="E636"/>
  <c r="E634"/>
  <c r="E632"/>
  <c r="E630"/>
  <c r="E628"/>
  <c r="E626"/>
  <c r="E624"/>
  <c r="E622"/>
  <c r="E620"/>
  <c r="E618"/>
  <c r="E616"/>
  <c r="E614"/>
  <c r="E612"/>
  <c r="E675"/>
  <c r="E673"/>
  <c r="E671"/>
  <c r="E669"/>
  <c r="E667"/>
  <c r="E665"/>
  <c r="E663"/>
  <c r="E661"/>
  <c r="E659"/>
  <c r="E657"/>
  <c r="E655"/>
  <c r="E653"/>
  <c r="E651"/>
  <c r="E649"/>
  <c r="E647"/>
  <c r="E645"/>
  <c r="E643"/>
  <c r="E641"/>
  <c r="E639"/>
  <c r="E637"/>
  <c r="E635"/>
  <c r="E633"/>
  <c r="E631"/>
  <c r="E629"/>
  <c r="E627"/>
  <c r="E625"/>
  <c r="E623"/>
  <c r="E621"/>
  <c r="E619"/>
  <c r="E617"/>
  <c r="E615"/>
  <c r="E613"/>
  <c r="N14"/>
  <c r="J61"/>
  <c r="N4"/>
  <c r="N74"/>
  <c r="N66"/>
  <c r="N58"/>
  <c r="N46"/>
  <c r="N30"/>
  <c r="N10"/>
  <c r="N50"/>
  <c r="N42"/>
  <c r="N34"/>
  <c r="N26"/>
  <c r="N18"/>
  <c r="J40" i="2"/>
  <c r="N677" i="4" s="1"/>
  <c r="J10"/>
  <c r="J67"/>
  <c r="J3"/>
  <c r="J5"/>
  <c r="J35"/>
  <c r="J71"/>
  <c r="J57"/>
  <c r="J76"/>
  <c r="J91"/>
  <c r="J7"/>
  <c r="J12"/>
  <c r="J44"/>
  <c r="J58"/>
  <c r="J42"/>
  <c r="J39"/>
  <c r="J88"/>
  <c r="J25"/>
  <c r="J60"/>
  <c r="J28"/>
  <c r="J74"/>
  <c r="J26"/>
  <c r="D39" i="2"/>
  <c r="H613" i="4" s="1"/>
  <c r="N103"/>
  <c r="N105"/>
  <c r="N107"/>
  <c r="N109"/>
  <c r="N111"/>
  <c r="N113"/>
  <c r="N115"/>
  <c r="N117"/>
  <c r="N119"/>
  <c r="N121"/>
  <c r="N123"/>
  <c r="N125"/>
  <c r="N127"/>
  <c r="N129"/>
  <c r="N131"/>
  <c r="N133"/>
  <c r="N135"/>
  <c r="N137"/>
  <c r="N139"/>
  <c r="N141"/>
  <c r="N143"/>
  <c r="N145"/>
  <c r="N147"/>
  <c r="N149"/>
  <c r="N151"/>
  <c r="N153"/>
  <c r="N155"/>
  <c r="N157"/>
  <c r="N159"/>
  <c r="N161"/>
  <c r="N163"/>
  <c r="N165"/>
  <c r="N167"/>
  <c r="N169"/>
  <c r="N171"/>
  <c r="N173"/>
  <c r="N175"/>
  <c r="N177"/>
  <c r="N179"/>
  <c r="N181"/>
  <c r="N183"/>
  <c r="N185"/>
  <c r="N187"/>
  <c r="N189"/>
  <c r="N191"/>
  <c r="N193"/>
  <c r="N195"/>
  <c r="N197"/>
  <c r="N199"/>
  <c r="N201"/>
  <c r="N203"/>
  <c r="N205"/>
  <c r="N207"/>
  <c r="N209"/>
  <c r="N211"/>
  <c r="N213"/>
  <c r="N215"/>
  <c r="N217"/>
  <c r="N219"/>
  <c r="N221"/>
  <c r="N223"/>
  <c r="N225"/>
  <c r="N227"/>
  <c r="N102"/>
  <c r="N104"/>
  <c r="N106"/>
  <c r="N108"/>
  <c r="N110"/>
  <c r="N112"/>
  <c r="N114"/>
  <c r="N116"/>
  <c r="N118"/>
  <c r="N120"/>
  <c r="N122"/>
  <c r="N124"/>
  <c r="N126"/>
  <c r="N128"/>
  <c r="N130"/>
  <c r="N132"/>
  <c r="N134"/>
  <c r="N136"/>
  <c r="N138"/>
  <c r="N140"/>
  <c r="N142"/>
  <c r="N144"/>
  <c r="N146"/>
  <c r="N148"/>
  <c r="N150"/>
  <c r="N152"/>
  <c r="N154"/>
  <c r="N156"/>
  <c r="N158"/>
  <c r="N160"/>
  <c r="N162"/>
  <c r="N164"/>
  <c r="N166"/>
  <c r="N168"/>
  <c r="N170"/>
  <c r="N172"/>
  <c r="N174"/>
  <c r="N176"/>
  <c r="N178"/>
  <c r="N180"/>
  <c r="N182"/>
  <c r="N184"/>
  <c r="N186"/>
  <c r="N188"/>
  <c r="N190"/>
  <c r="N192"/>
  <c r="N194"/>
  <c r="N196"/>
  <c r="N198"/>
  <c r="N200"/>
  <c r="N202"/>
  <c r="N204"/>
  <c r="N206"/>
  <c r="N208"/>
  <c r="N210"/>
  <c r="N212"/>
  <c r="N214"/>
  <c r="N216"/>
  <c r="N218"/>
  <c r="N220"/>
  <c r="N222"/>
  <c r="N224"/>
  <c r="N226"/>
  <c r="N228"/>
  <c r="N229"/>
  <c r="N231"/>
  <c r="N233"/>
  <c r="N235"/>
  <c r="N237"/>
  <c r="N239"/>
  <c r="N241"/>
  <c r="N243"/>
  <c r="N245"/>
  <c r="N247"/>
  <c r="N249"/>
  <c r="N251"/>
  <c r="N253"/>
  <c r="N255"/>
  <c r="N257"/>
  <c r="N259"/>
  <c r="N261"/>
  <c r="N263"/>
  <c r="N265"/>
  <c r="N267"/>
  <c r="N269"/>
  <c r="N271"/>
  <c r="N273"/>
  <c r="N275"/>
  <c r="N277"/>
  <c r="N279"/>
  <c r="N281"/>
  <c r="N283"/>
  <c r="N285"/>
  <c r="N287"/>
  <c r="N289"/>
  <c r="N291"/>
  <c r="N293"/>
  <c r="N295"/>
  <c r="N297"/>
  <c r="N299"/>
  <c r="N301"/>
  <c r="N303"/>
  <c r="N305"/>
  <c r="N307"/>
  <c r="N309"/>
  <c r="N311"/>
  <c r="N313"/>
  <c r="N315"/>
  <c r="N317"/>
  <c r="N319"/>
  <c r="N321"/>
  <c r="N323"/>
  <c r="N325"/>
  <c r="N327"/>
  <c r="N329"/>
  <c r="N331"/>
  <c r="N333"/>
  <c r="N335"/>
  <c r="N337"/>
  <c r="N339"/>
  <c r="N341"/>
  <c r="N343"/>
  <c r="N345"/>
  <c r="N347"/>
  <c r="N349"/>
  <c r="N351"/>
  <c r="N353"/>
  <c r="N355"/>
  <c r="N357"/>
  <c r="N359"/>
  <c r="N361"/>
  <c r="N363"/>
  <c r="N365"/>
  <c r="N367"/>
  <c r="N369"/>
  <c r="N371"/>
  <c r="N373"/>
  <c r="N375"/>
  <c r="N377"/>
  <c r="N379"/>
  <c r="N381"/>
  <c r="N383"/>
  <c r="N385"/>
  <c r="N387"/>
  <c r="N389"/>
  <c r="N391"/>
  <c r="N393"/>
  <c r="N395"/>
  <c r="N397"/>
  <c r="N399"/>
  <c r="N401"/>
  <c r="N403"/>
  <c r="N405"/>
  <c r="N407"/>
  <c r="N409"/>
  <c r="N411"/>
  <c r="N413"/>
  <c r="N415"/>
  <c r="N417"/>
  <c r="N419"/>
  <c r="N421"/>
  <c r="N423"/>
  <c r="N425"/>
  <c r="N427"/>
  <c r="N429"/>
  <c r="N431"/>
  <c r="N433"/>
  <c r="N435"/>
  <c r="N437"/>
  <c r="N439"/>
  <c r="N441"/>
  <c r="N443"/>
  <c r="N445"/>
  <c r="N447"/>
  <c r="N449"/>
  <c r="N451"/>
  <c r="N453"/>
  <c r="N455"/>
  <c r="N457"/>
  <c r="N459"/>
  <c r="N461"/>
  <c r="N463"/>
  <c r="N465"/>
  <c r="N467"/>
  <c r="N469"/>
  <c r="N471"/>
  <c r="N473"/>
  <c r="N475"/>
  <c r="N477"/>
  <c r="N479"/>
  <c r="N481"/>
  <c r="N483"/>
  <c r="N230"/>
  <c r="N232"/>
  <c r="N234"/>
  <c r="N236"/>
  <c r="N238"/>
  <c r="N240"/>
  <c r="N242"/>
  <c r="N244"/>
  <c r="N246"/>
  <c r="N248"/>
  <c r="N250"/>
  <c r="N252"/>
  <c r="N254"/>
  <c r="N256"/>
  <c r="N258"/>
  <c r="N260"/>
  <c r="N262"/>
  <c r="N264"/>
  <c r="N266"/>
  <c r="N268"/>
  <c r="N270"/>
  <c r="N272"/>
  <c r="N274"/>
  <c r="N276"/>
  <c r="N278"/>
  <c r="N280"/>
  <c r="N282"/>
  <c r="N284"/>
  <c r="N286"/>
  <c r="N288"/>
  <c r="N290"/>
  <c r="N292"/>
  <c r="N294"/>
  <c r="N296"/>
  <c r="N298"/>
  <c r="N300"/>
  <c r="N302"/>
  <c r="N304"/>
  <c r="N306"/>
  <c r="N308"/>
  <c r="N310"/>
  <c r="N312"/>
  <c r="N314"/>
  <c r="N316"/>
  <c r="N318"/>
  <c r="N320"/>
  <c r="N322"/>
  <c r="N324"/>
  <c r="N326"/>
  <c r="N328"/>
  <c r="N330"/>
  <c r="N332"/>
  <c r="N334"/>
  <c r="N336"/>
  <c r="N338"/>
  <c r="N340"/>
  <c r="N342"/>
  <c r="N344"/>
  <c r="N346"/>
  <c r="N348"/>
  <c r="N350"/>
  <c r="N352"/>
  <c r="N354"/>
  <c r="N356"/>
  <c r="N358"/>
  <c r="N360"/>
  <c r="N362"/>
  <c r="N364"/>
  <c r="N366"/>
  <c r="N368"/>
  <c r="N370"/>
  <c r="N372"/>
  <c r="N374"/>
  <c r="N376"/>
  <c r="N378"/>
  <c r="N380"/>
  <c r="N382"/>
  <c r="N384"/>
  <c r="N386"/>
  <c r="N388"/>
  <c r="N390"/>
  <c r="N392"/>
  <c r="N394"/>
  <c r="N396"/>
  <c r="N398"/>
  <c r="N400"/>
  <c r="N402"/>
  <c r="N404"/>
  <c r="N406"/>
  <c r="N408"/>
  <c r="N410"/>
  <c r="N412"/>
  <c r="N414"/>
  <c r="N416"/>
  <c r="N418"/>
  <c r="N420"/>
  <c r="N422"/>
  <c r="N424"/>
  <c r="N426"/>
  <c r="N428"/>
  <c r="N430"/>
  <c r="N432"/>
  <c r="N434"/>
  <c r="N436"/>
  <c r="N438"/>
  <c r="N440"/>
  <c r="N442"/>
  <c r="N444"/>
  <c r="N446"/>
  <c r="N448"/>
  <c r="N450"/>
  <c r="N452"/>
  <c r="N454"/>
  <c r="N456"/>
  <c r="N458"/>
  <c r="N460"/>
  <c r="N462"/>
  <c r="N464"/>
  <c r="N466"/>
  <c r="N468"/>
  <c r="N470"/>
  <c r="N472"/>
  <c r="N474"/>
  <c r="N476"/>
  <c r="N478"/>
  <c r="N480"/>
  <c r="N482"/>
  <c r="N484"/>
  <c r="L103"/>
  <c r="L105"/>
  <c r="L107"/>
  <c r="L109"/>
  <c r="L111"/>
  <c r="L113"/>
  <c r="L115"/>
  <c r="L117"/>
  <c r="L119"/>
  <c r="L121"/>
  <c r="L123"/>
  <c r="L125"/>
  <c r="L127"/>
  <c r="L129"/>
  <c r="L131"/>
  <c r="L133"/>
  <c r="L135"/>
  <c r="L137"/>
  <c r="L139"/>
  <c r="L141"/>
  <c r="L143"/>
  <c r="L145"/>
  <c r="L147"/>
  <c r="L149"/>
  <c r="L151"/>
  <c r="L153"/>
  <c r="L155"/>
  <c r="L157"/>
  <c r="L159"/>
  <c r="L161"/>
  <c r="L163"/>
  <c r="L165"/>
  <c r="L167"/>
  <c r="L169"/>
  <c r="L171"/>
  <c r="L173"/>
  <c r="L175"/>
  <c r="L177"/>
  <c r="L179"/>
  <c r="L181"/>
  <c r="L183"/>
  <c r="L185"/>
  <c r="L187"/>
  <c r="L189"/>
  <c r="L191"/>
  <c r="L193"/>
  <c r="L195"/>
  <c r="L197"/>
  <c r="L199"/>
  <c r="L201"/>
  <c r="L203"/>
  <c r="L205"/>
  <c r="L207"/>
  <c r="L209"/>
  <c r="L211"/>
  <c r="L213"/>
  <c r="L215"/>
  <c r="L217"/>
  <c r="L219"/>
  <c r="L221"/>
  <c r="L223"/>
  <c r="L225"/>
  <c r="L227"/>
  <c r="L102"/>
  <c r="L104"/>
  <c r="L106"/>
  <c r="L108"/>
  <c r="L110"/>
  <c r="L112"/>
  <c r="L114"/>
  <c r="L116"/>
  <c r="L118"/>
  <c r="L120"/>
  <c r="L122"/>
  <c r="L124"/>
  <c r="L126"/>
  <c r="L128"/>
  <c r="L130"/>
  <c r="L132"/>
  <c r="L134"/>
  <c r="L136"/>
  <c r="L138"/>
  <c r="L140"/>
  <c r="L142"/>
  <c r="L144"/>
  <c r="L146"/>
  <c r="L148"/>
  <c r="L150"/>
  <c r="L152"/>
  <c r="L154"/>
  <c r="L156"/>
  <c r="L158"/>
  <c r="L160"/>
  <c r="L162"/>
  <c r="L164"/>
  <c r="L166"/>
  <c r="L168"/>
  <c r="L170"/>
  <c r="L172"/>
  <c r="L174"/>
  <c r="L176"/>
  <c r="L178"/>
  <c r="L180"/>
  <c r="L182"/>
  <c r="L184"/>
  <c r="L186"/>
  <c r="L188"/>
  <c r="L190"/>
  <c r="L192"/>
  <c r="L194"/>
  <c r="L196"/>
  <c r="L198"/>
  <c r="L200"/>
  <c r="L202"/>
  <c r="L204"/>
  <c r="L206"/>
  <c r="L208"/>
  <c r="L210"/>
  <c r="L212"/>
  <c r="L214"/>
  <c r="L216"/>
  <c r="L218"/>
  <c r="L220"/>
  <c r="L222"/>
  <c r="L224"/>
  <c r="L226"/>
  <c r="L228"/>
  <c r="L229"/>
  <c r="L231"/>
  <c r="L233"/>
  <c r="L235"/>
  <c r="L237"/>
  <c r="L239"/>
  <c r="L241"/>
  <c r="L243"/>
  <c r="L245"/>
  <c r="L247"/>
  <c r="L249"/>
  <c r="L251"/>
  <c r="L230"/>
  <c r="L232"/>
  <c r="L234"/>
  <c r="L236"/>
  <c r="L238"/>
  <c r="L240"/>
  <c r="L242"/>
  <c r="L244"/>
  <c r="L246"/>
  <c r="L248"/>
  <c r="L250"/>
  <c r="N89"/>
  <c r="N676"/>
  <c r="N674"/>
  <c r="N672"/>
  <c r="N670"/>
  <c r="N668"/>
  <c r="N666"/>
  <c r="N664"/>
  <c r="N662"/>
  <c r="N660"/>
  <c r="N658"/>
  <c r="N656"/>
  <c r="N654"/>
  <c r="N652"/>
  <c r="N650"/>
  <c r="N648"/>
  <c r="N646"/>
  <c r="N644"/>
  <c r="N642"/>
  <c r="N640"/>
  <c r="N638"/>
  <c r="N636"/>
  <c r="N634"/>
  <c r="N632"/>
  <c r="N630"/>
  <c r="N628"/>
  <c r="N626"/>
  <c r="N624"/>
  <c r="N622"/>
  <c r="N620"/>
  <c r="N618"/>
  <c r="N616"/>
  <c r="N614"/>
  <c r="N612"/>
  <c r="N610"/>
  <c r="N608"/>
  <c r="N606"/>
  <c r="N604"/>
  <c r="N602"/>
  <c r="N600"/>
  <c r="N598"/>
  <c r="N596"/>
  <c r="N594"/>
  <c r="N592"/>
  <c r="N590"/>
  <c r="N588"/>
  <c r="N586"/>
  <c r="N584"/>
  <c r="N582"/>
  <c r="N580"/>
  <c r="N578"/>
  <c r="N576"/>
  <c r="M575"/>
  <c r="N574"/>
  <c r="M573"/>
  <c r="N572"/>
  <c r="M571"/>
  <c r="N570"/>
  <c r="M569"/>
  <c r="N568"/>
  <c r="M567"/>
  <c r="N566"/>
  <c r="M565"/>
  <c r="N564"/>
  <c r="M563"/>
  <c r="N562"/>
  <c r="M561"/>
  <c r="N560"/>
  <c r="M559"/>
  <c r="N558"/>
  <c r="M557"/>
  <c r="N556"/>
  <c r="M555"/>
  <c r="N554"/>
  <c r="M553"/>
  <c r="N552"/>
  <c r="M551"/>
  <c r="N550"/>
  <c r="M549"/>
  <c r="N548"/>
  <c r="M547"/>
  <c r="N546"/>
  <c r="M545"/>
  <c r="N544"/>
  <c r="M543"/>
  <c r="N542"/>
  <c r="M541"/>
  <c r="N540"/>
  <c r="M539"/>
  <c r="N538"/>
  <c r="M537"/>
  <c r="N536"/>
  <c r="M535"/>
  <c r="N534"/>
  <c r="M533"/>
  <c r="N532"/>
  <c r="M531"/>
  <c r="N530"/>
  <c r="M529"/>
  <c r="N528"/>
  <c r="M527"/>
  <c r="N526"/>
  <c r="M525"/>
  <c r="N524"/>
  <c r="M523"/>
  <c r="N522"/>
  <c r="M521"/>
  <c r="N520"/>
  <c r="M519"/>
  <c r="N518"/>
  <c r="M517"/>
  <c r="N516"/>
  <c r="M515"/>
  <c r="N514"/>
  <c r="M513"/>
  <c r="N512"/>
  <c r="M511"/>
  <c r="N510"/>
  <c r="M509"/>
  <c r="N508"/>
  <c r="M507"/>
  <c r="N506"/>
  <c r="M505"/>
  <c r="N504"/>
  <c r="N502"/>
  <c r="M501"/>
  <c r="N500"/>
  <c r="M499"/>
  <c r="N498"/>
  <c r="M497"/>
  <c r="N496"/>
  <c r="M495"/>
  <c r="N494"/>
  <c r="M493"/>
  <c r="N492"/>
  <c r="M491"/>
  <c r="N490"/>
  <c r="M489"/>
  <c r="N488"/>
  <c r="M487"/>
  <c r="N486"/>
  <c r="O102"/>
  <c r="O104"/>
  <c r="O106"/>
  <c r="O108"/>
  <c r="O110"/>
  <c r="O112"/>
  <c r="O114"/>
  <c r="O116"/>
  <c r="O118"/>
  <c r="O120"/>
  <c r="O122"/>
  <c r="O124"/>
  <c r="O126"/>
  <c r="O128"/>
  <c r="O130"/>
  <c r="O132"/>
  <c r="O134"/>
  <c r="O136"/>
  <c r="O138"/>
  <c r="O140"/>
  <c r="O142"/>
  <c r="O144"/>
  <c r="O146"/>
  <c r="O148"/>
  <c r="O150"/>
  <c r="O152"/>
  <c r="O154"/>
  <c r="O156"/>
  <c r="O158"/>
  <c r="O160"/>
  <c r="O162"/>
  <c r="O164"/>
  <c r="O166"/>
  <c r="O168"/>
  <c r="O170"/>
  <c r="O172"/>
  <c r="O174"/>
  <c r="O176"/>
  <c r="O178"/>
  <c r="O180"/>
  <c r="O182"/>
  <c r="O184"/>
  <c r="O186"/>
  <c r="O188"/>
  <c r="O190"/>
  <c r="O192"/>
  <c r="O194"/>
  <c r="O196"/>
  <c r="O198"/>
  <c r="O200"/>
  <c r="O202"/>
  <c r="O204"/>
  <c r="O206"/>
  <c r="O208"/>
  <c r="O210"/>
  <c r="O212"/>
  <c r="O214"/>
  <c r="O216"/>
  <c r="O218"/>
  <c r="O220"/>
  <c r="O222"/>
  <c r="O224"/>
  <c r="O226"/>
  <c r="O228"/>
  <c r="O103"/>
  <c r="O105"/>
  <c r="O107"/>
  <c r="O109"/>
  <c r="O111"/>
  <c r="O113"/>
  <c r="O115"/>
  <c r="O117"/>
  <c r="O119"/>
  <c r="O121"/>
  <c r="O123"/>
  <c r="O125"/>
  <c r="O127"/>
  <c r="O129"/>
  <c r="O131"/>
  <c r="O133"/>
  <c r="O135"/>
  <c r="O137"/>
  <c r="O139"/>
  <c r="O141"/>
  <c r="O143"/>
  <c r="O145"/>
  <c r="O147"/>
  <c r="O149"/>
  <c r="O151"/>
  <c r="O153"/>
  <c r="O155"/>
  <c r="O157"/>
  <c r="O159"/>
  <c r="O161"/>
  <c r="O163"/>
  <c r="O165"/>
  <c r="O167"/>
  <c r="O169"/>
  <c r="O171"/>
  <c r="O173"/>
  <c r="O175"/>
  <c r="O177"/>
  <c r="O179"/>
  <c r="O181"/>
  <c r="O183"/>
  <c r="O185"/>
  <c r="O187"/>
  <c r="O189"/>
  <c r="O191"/>
  <c r="O193"/>
  <c r="O195"/>
  <c r="O197"/>
  <c r="O199"/>
  <c r="O201"/>
  <c r="O203"/>
  <c r="O205"/>
  <c r="O207"/>
  <c r="O209"/>
  <c r="O211"/>
  <c r="O213"/>
  <c r="O215"/>
  <c r="O217"/>
  <c r="O219"/>
  <c r="O221"/>
  <c r="O223"/>
  <c r="O225"/>
  <c r="O227"/>
  <c r="O230"/>
  <c r="O232"/>
  <c r="O234"/>
  <c r="O236"/>
  <c r="O238"/>
  <c r="O240"/>
  <c r="O242"/>
  <c r="O244"/>
  <c r="O246"/>
  <c r="O248"/>
  <c r="O250"/>
  <c r="O229"/>
  <c r="O231"/>
  <c r="O233"/>
  <c r="O235"/>
  <c r="O237"/>
  <c r="O239"/>
  <c r="O241"/>
  <c r="O243"/>
  <c r="O245"/>
  <c r="O247"/>
  <c r="O249"/>
  <c r="O251"/>
  <c r="M102"/>
  <c r="M104"/>
  <c r="M106"/>
  <c r="M108"/>
  <c r="M110"/>
  <c r="M112"/>
  <c r="M114"/>
  <c r="M116"/>
  <c r="M118"/>
  <c r="M120"/>
  <c r="M122"/>
  <c r="M124"/>
  <c r="M126"/>
  <c r="M128"/>
  <c r="M130"/>
  <c r="M132"/>
  <c r="M134"/>
  <c r="M136"/>
  <c r="M138"/>
  <c r="M140"/>
  <c r="M142"/>
  <c r="M144"/>
  <c r="M146"/>
  <c r="M148"/>
  <c r="M150"/>
  <c r="M152"/>
  <c r="M154"/>
  <c r="M156"/>
  <c r="M158"/>
  <c r="M160"/>
  <c r="M162"/>
  <c r="M164"/>
  <c r="M166"/>
  <c r="M168"/>
  <c r="M170"/>
  <c r="M172"/>
  <c r="M174"/>
  <c r="M176"/>
  <c r="M178"/>
  <c r="M180"/>
  <c r="M182"/>
  <c r="M184"/>
  <c r="M186"/>
  <c r="M188"/>
  <c r="M190"/>
  <c r="M192"/>
  <c r="M194"/>
  <c r="M196"/>
  <c r="M198"/>
  <c r="M200"/>
  <c r="M202"/>
  <c r="M204"/>
  <c r="M206"/>
  <c r="M208"/>
  <c r="M210"/>
  <c r="M212"/>
  <c r="M214"/>
  <c r="M216"/>
  <c r="M218"/>
  <c r="M220"/>
  <c r="M222"/>
  <c r="M224"/>
  <c r="M226"/>
  <c r="M228"/>
  <c r="M103"/>
  <c r="M105"/>
  <c r="M107"/>
  <c r="M109"/>
  <c r="M111"/>
  <c r="M113"/>
  <c r="M115"/>
  <c r="M117"/>
  <c r="M119"/>
  <c r="M121"/>
  <c r="M123"/>
  <c r="M125"/>
  <c r="M127"/>
  <c r="M129"/>
  <c r="M131"/>
  <c r="M133"/>
  <c r="M135"/>
  <c r="M137"/>
  <c r="M139"/>
  <c r="M141"/>
  <c r="M143"/>
  <c r="M145"/>
  <c r="M147"/>
  <c r="M149"/>
  <c r="M151"/>
  <c r="M153"/>
  <c r="M155"/>
  <c r="M157"/>
  <c r="M159"/>
  <c r="M161"/>
  <c r="M163"/>
  <c r="M165"/>
  <c r="M167"/>
  <c r="M169"/>
  <c r="M171"/>
  <c r="M173"/>
  <c r="M175"/>
  <c r="M177"/>
  <c r="M179"/>
  <c r="M181"/>
  <c r="M183"/>
  <c r="M185"/>
  <c r="M187"/>
  <c r="M189"/>
  <c r="M191"/>
  <c r="M193"/>
  <c r="M195"/>
  <c r="M197"/>
  <c r="M199"/>
  <c r="M201"/>
  <c r="M203"/>
  <c r="M205"/>
  <c r="M207"/>
  <c r="M209"/>
  <c r="M211"/>
  <c r="M213"/>
  <c r="M215"/>
  <c r="M217"/>
  <c r="M219"/>
  <c r="M221"/>
  <c r="M223"/>
  <c r="M225"/>
  <c r="M227"/>
  <c r="M230"/>
  <c r="M232"/>
  <c r="M234"/>
  <c r="M236"/>
  <c r="M238"/>
  <c r="M240"/>
  <c r="M242"/>
  <c r="M244"/>
  <c r="M246"/>
  <c r="M248"/>
  <c r="M250"/>
  <c r="M252"/>
  <c r="M254"/>
  <c r="M256"/>
  <c r="M258"/>
  <c r="M260"/>
  <c r="M262"/>
  <c r="M264"/>
  <c r="M266"/>
  <c r="M268"/>
  <c r="M270"/>
  <c r="M272"/>
  <c r="M274"/>
  <c r="M276"/>
  <c r="M278"/>
  <c r="M280"/>
  <c r="M282"/>
  <c r="M284"/>
  <c r="M286"/>
  <c r="M288"/>
  <c r="M290"/>
  <c r="M292"/>
  <c r="M294"/>
  <c r="M296"/>
  <c r="M298"/>
  <c r="M300"/>
  <c r="M302"/>
  <c r="M304"/>
  <c r="M306"/>
  <c r="M308"/>
  <c r="M310"/>
  <c r="M312"/>
  <c r="M314"/>
  <c r="M316"/>
  <c r="M318"/>
  <c r="M320"/>
  <c r="M322"/>
  <c r="M324"/>
  <c r="M326"/>
  <c r="M328"/>
  <c r="M330"/>
  <c r="M332"/>
  <c r="M334"/>
  <c r="M336"/>
  <c r="M338"/>
  <c r="M340"/>
  <c r="M342"/>
  <c r="M344"/>
  <c r="M346"/>
  <c r="M348"/>
  <c r="M350"/>
  <c r="M352"/>
  <c r="M354"/>
  <c r="M356"/>
  <c r="M358"/>
  <c r="M360"/>
  <c r="M362"/>
  <c r="M364"/>
  <c r="M366"/>
  <c r="M368"/>
  <c r="M370"/>
  <c r="M372"/>
  <c r="M374"/>
  <c r="M376"/>
  <c r="M378"/>
  <c r="M380"/>
  <c r="M382"/>
  <c r="M384"/>
  <c r="M386"/>
  <c r="M388"/>
  <c r="M390"/>
  <c r="M392"/>
  <c r="M394"/>
  <c r="M396"/>
  <c r="M398"/>
  <c r="M400"/>
  <c r="M402"/>
  <c r="M404"/>
  <c r="M406"/>
  <c r="M408"/>
  <c r="M410"/>
  <c r="M412"/>
  <c r="M414"/>
  <c r="M416"/>
  <c r="M418"/>
  <c r="M420"/>
  <c r="M422"/>
  <c r="M424"/>
  <c r="M426"/>
  <c r="M428"/>
  <c r="M430"/>
  <c r="M432"/>
  <c r="M434"/>
  <c r="M436"/>
  <c r="M438"/>
  <c r="M440"/>
  <c r="M442"/>
  <c r="M444"/>
  <c r="M446"/>
  <c r="M448"/>
  <c r="M450"/>
  <c r="M452"/>
  <c r="M454"/>
  <c r="M456"/>
  <c r="M458"/>
  <c r="M460"/>
  <c r="M462"/>
  <c r="M464"/>
  <c r="M466"/>
  <c r="M468"/>
  <c r="M470"/>
  <c r="M472"/>
  <c r="M474"/>
  <c r="M476"/>
  <c r="M478"/>
  <c r="M480"/>
  <c r="M482"/>
  <c r="M484"/>
  <c r="M229"/>
  <c r="M231"/>
  <c r="M233"/>
  <c r="M235"/>
  <c r="M237"/>
  <c r="M239"/>
  <c r="M241"/>
  <c r="M243"/>
  <c r="M245"/>
  <c r="M247"/>
  <c r="M249"/>
  <c r="M251"/>
  <c r="M253"/>
  <c r="M255"/>
  <c r="M257"/>
  <c r="M259"/>
  <c r="M261"/>
  <c r="M263"/>
  <c r="M265"/>
  <c r="M267"/>
  <c r="M269"/>
  <c r="M271"/>
  <c r="M273"/>
  <c r="M275"/>
  <c r="M277"/>
  <c r="M279"/>
  <c r="M281"/>
  <c r="M283"/>
  <c r="M285"/>
  <c r="M287"/>
  <c r="M289"/>
  <c r="M291"/>
  <c r="M293"/>
  <c r="M295"/>
  <c r="M297"/>
  <c r="M299"/>
  <c r="M301"/>
  <c r="M303"/>
  <c r="M305"/>
  <c r="M307"/>
  <c r="M309"/>
  <c r="M311"/>
  <c r="M313"/>
  <c r="M315"/>
  <c r="M317"/>
  <c r="M319"/>
  <c r="M321"/>
  <c r="M323"/>
  <c r="M325"/>
  <c r="M327"/>
  <c r="M329"/>
  <c r="M331"/>
  <c r="M333"/>
  <c r="M335"/>
  <c r="M337"/>
  <c r="M339"/>
  <c r="M341"/>
  <c r="M343"/>
  <c r="M345"/>
  <c r="M347"/>
  <c r="M349"/>
  <c r="M351"/>
  <c r="M353"/>
  <c r="M355"/>
  <c r="M357"/>
  <c r="M359"/>
  <c r="M361"/>
  <c r="M363"/>
  <c r="M365"/>
  <c r="M367"/>
  <c r="M369"/>
  <c r="M371"/>
  <c r="M373"/>
  <c r="M375"/>
  <c r="M377"/>
  <c r="M379"/>
  <c r="M381"/>
  <c r="M383"/>
  <c r="M385"/>
  <c r="M387"/>
  <c r="M389"/>
  <c r="M391"/>
  <c r="M393"/>
  <c r="M395"/>
  <c r="M397"/>
  <c r="M399"/>
  <c r="M401"/>
  <c r="M403"/>
  <c r="M405"/>
  <c r="M407"/>
  <c r="M409"/>
  <c r="M411"/>
  <c r="M413"/>
  <c r="M415"/>
  <c r="M417"/>
  <c r="M419"/>
  <c r="M421"/>
  <c r="M423"/>
  <c r="M425"/>
  <c r="M427"/>
  <c r="M429"/>
  <c r="M431"/>
  <c r="M433"/>
  <c r="M435"/>
  <c r="M437"/>
  <c r="M439"/>
  <c r="M441"/>
  <c r="M443"/>
  <c r="M445"/>
  <c r="M447"/>
  <c r="M449"/>
  <c r="M451"/>
  <c r="M453"/>
  <c r="M455"/>
  <c r="M457"/>
  <c r="M459"/>
  <c r="M461"/>
  <c r="M463"/>
  <c r="M465"/>
  <c r="M467"/>
  <c r="M469"/>
  <c r="M471"/>
  <c r="M473"/>
  <c r="M475"/>
  <c r="M477"/>
  <c r="M479"/>
  <c r="M481"/>
  <c r="M483"/>
  <c r="N82"/>
  <c r="N97"/>
  <c r="N675"/>
  <c r="N673"/>
  <c r="N671"/>
  <c r="N669"/>
  <c r="N667"/>
  <c r="N665"/>
  <c r="N663"/>
  <c r="N661"/>
  <c r="N659"/>
  <c r="N657"/>
  <c r="N655"/>
  <c r="N653"/>
  <c r="N651"/>
  <c r="N649"/>
  <c r="N647"/>
  <c r="N645"/>
  <c r="N643"/>
  <c r="N641"/>
  <c r="N639"/>
  <c r="N637"/>
  <c r="N635"/>
  <c r="N633"/>
  <c r="N631"/>
  <c r="N629"/>
  <c r="N627"/>
  <c r="N625"/>
  <c r="N623"/>
  <c r="N621"/>
  <c r="N619"/>
  <c r="N617"/>
  <c r="N615"/>
  <c r="N613"/>
  <c r="M612"/>
  <c r="N611"/>
  <c r="N609"/>
  <c r="N607"/>
  <c r="N605"/>
  <c r="N603"/>
  <c r="N601"/>
  <c r="N599"/>
  <c r="N597"/>
  <c r="N595"/>
  <c r="N593"/>
  <c r="N591"/>
  <c r="N589"/>
  <c r="N587"/>
  <c r="N585"/>
  <c r="N583"/>
  <c r="N581"/>
  <c r="N579"/>
  <c r="N577"/>
  <c r="M576"/>
  <c r="N575"/>
  <c r="M574"/>
  <c r="N573"/>
  <c r="M572"/>
  <c r="N571"/>
  <c r="M570"/>
  <c r="N569"/>
  <c r="M568"/>
  <c r="N567"/>
  <c r="M566"/>
  <c r="N565"/>
  <c r="M564"/>
  <c r="N563"/>
  <c r="M562"/>
  <c r="N561"/>
  <c r="M560"/>
  <c r="N559"/>
  <c r="M558"/>
  <c r="N557"/>
  <c r="M556"/>
  <c r="N555"/>
  <c r="M554"/>
  <c r="N553"/>
  <c r="M552"/>
  <c r="N551"/>
  <c r="M550"/>
  <c r="N549"/>
  <c r="M548"/>
  <c r="N547"/>
  <c r="M546"/>
  <c r="N545"/>
  <c r="M544"/>
  <c r="N543"/>
  <c r="M542"/>
  <c r="N541"/>
  <c r="M540"/>
  <c r="N539"/>
  <c r="M538"/>
  <c r="N537"/>
  <c r="M536"/>
  <c r="N535"/>
  <c r="M534"/>
  <c r="N533"/>
  <c r="M532"/>
  <c r="N531"/>
  <c r="M530"/>
  <c r="N529"/>
  <c r="M528"/>
  <c r="N527"/>
  <c r="M526"/>
  <c r="N525"/>
  <c r="M524"/>
  <c r="N523"/>
  <c r="M522"/>
  <c r="N521"/>
  <c r="M520"/>
  <c r="N519"/>
  <c r="M518"/>
  <c r="N517"/>
  <c r="M516"/>
  <c r="N515"/>
  <c r="M514"/>
  <c r="N513"/>
  <c r="M512"/>
  <c r="N511"/>
  <c r="M510"/>
  <c r="N509"/>
  <c r="M508"/>
  <c r="N507"/>
  <c r="M506"/>
  <c r="N505"/>
  <c r="M504"/>
  <c r="N503"/>
  <c r="M502"/>
  <c r="N501"/>
  <c r="M500"/>
  <c r="N499"/>
  <c r="M498"/>
  <c r="N497"/>
  <c r="M496"/>
  <c r="N495"/>
  <c r="M494"/>
  <c r="N493"/>
  <c r="M492"/>
  <c r="N491"/>
  <c r="M490"/>
  <c r="N489"/>
  <c r="M488"/>
  <c r="N487"/>
  <c r="M486"/>
  <c r="N485"/>
  <c r="I3" i="10"/>
  <c r="I4"/>
  <c r="I5"/>
  <c r="I6"/>
  <c r="I7"/>
  <c r="I8"/>
  <c r="I9"/>
  <c r="I10"/>
  <c r="I11"/>
  <c r="I12"/>
  <c r="I13"/>
  <c r="I14"/>
  <c r="I15"/>
  <c r="I16"/>
  <c r="I17"/>
  <c r="I18"/>
  <c r="I19"/>
  <c r="I20"/>
  <c r="I21"/>
  <c r="I22"/>
  <c r="I23"/>
  <c r="I24"/>
  <c r="I25"/>
  <c r="I26"/>
  <c r="I27"/>
  <c r="I28"/>
  <c r="I29"/>
  <c r="I30"/>
  <c r="I31"/>
  <c r="I32"/>
  <c r="I33"/>
  <c r="I34"/>
  <c r="I35"/>
  <c r="I36"/>
  <c r="I37"/>
  <c r="I38"/>
  <c r="I39"/>
  <c r="I40"/>
  <c r="I41"/>
  <c r="I42"/>
  <c r="I43"/>
  <c r="I44"/>
  <c r="I45"/>
  <c r="I46"/>
  <c r="I47"/>
  <c r="I48"/>
  <c r="I49"/>
  <c r="I50"/>
  <c r="I51"/>
  <c r="I52"/>
  <c r="I53"/>
  <c r="I54"/>
  <c r="I55"/>
  <c r="I56"/>
  <c r="I57"/>
  <c r="I58"/>
  <c r="I59"/>
  <c r="I60"/>
  <c r="I61"/>
  <c r="I62"/>
  <c r="I63"/>
  <c r="I64"/>
  <c r="I65"/>
  <c r="I66"/>
  <c r="I67"/>
  <c r="I68"/>
  <c r="I69"/>
  <c r="I70"/>
  <c r="I71"/>
  <c r="I72"/>
  <c r="I73"/>
  <c r="I74"/>
  <c r="I75"/>
  <c r="I76"/>
  <c r="I77"/>
  <c r="I78"/>
  <c r="I79"/>
  <c r="I80"/>
  <c r="I81"/>
  <c r="I82"/>
  <c r="I83"/>
  <c r="I84"/>
  <c r="I85"/>
  <c r="I86"/>
  <c r="I87"/>
  <c r="I88"/>
  <c r="I89"/>
  <c r="I90"/>
  <c r="I91"/>
  <c r="I92"/>
  <c r="I93"/>
  <c r="I94"/>
  <c r="I95"/>
  <c r="I96"/>
  <c r="I97"/>
  <c r="I98"/>
  <c r="I99"/>
  <c r="I100"/>
  <c r="I101"/>
  <c r="I102"/>
  <c r="I103"/>
  <c r="I104"/>
  <c r="I105"/>
  <c r="I106"/>
  <c r="I107"/>
  <c r="I108"/>
  <c r="I109"/>
  <c r="I110"/>
  <c r="I111"/>
  <c r="I112"/>
  <c r="I113"/>
  <c r="I114"/>
  <c r="I115"/>
  <c r="I116"/>
  <c r="I117"/>
  <c r="I118"/>
  <c r="I119"/>
  <c r="I120"/>
  <c r="I121"/>
  <c r="I122"/>
  <c r="I123"/>
  <c r="I124"/>
  <c r="I125"/>
  <c r="I126"/>
  <c r="I127"/>
  <c r="I128"/>
  <c r="I129"/>
  <c r="I130"/>
  <c r="I131"/>
  <c r="I132"/>
  <c r="I133"/>
  <c r="I134"/>
  <c r="I135"/>
  <c r="I136"/>
  <c r="I137"/>
  <c r="I138"/>
  <c r="I139"/>
  <c r="I140"/>
  <c r="I141"/>
  <c r="I142"/>
  <c r="I143"/>
  <c r="I144"/>
  <c r="I145"/>
  <c r="I146"/>
  <c r="I147"/>
  <c r="I148"/>
  <c r="I149"/>
  <c r="I150"/>
  <c r="I151"/>
  <c r="I152"/>
  <c r="I153"/>
  <c r="I154"/>
  <c r="I155"/>
  <c r="I156"/>
  <c r="I157"/>
  <c r="I158"/>
  <c r="I159"/>
  <c r="I160"/>
  <c r="I161"/>
  <c r="I162"/>
  <c r="I163"/>
  <c r="I164"/>
  <c r="I165"/>
  <c r="I166"/>
  <c r="I167"/>
  <c r="I168"/>
  <c r="I169"/>
  <c r="I170"/>
  <c r="I171"/>
  <c r="I172"/>
  <c r="I173"/>
  <c r="I174"/>
  <c r="I175"/>
  <c r="I176"/>
  <c r="I177"/>
  <c r="I178"/>
  <c r="I179"/>
  <c r="I180"/>
  <c r="I181"/>
  <c r="I182"/>
  <c r="I183"/>
  <c r="I184"/>
  <c r="I185"/>
  <c r="I186"/>
  <c r="I187"/>
  <c r="I188"/>
  <c r="I189"/>
  <c r="I190"/>
  <c r="I191"/>
  <c r="I192"/>
  <c r="I193"/>
  <c r="I194"/>
  <c r="I195"/>
  <c r="I196"/>
  <c r="I197"/>
  <c r="I198"/>
  <c r="I199"/>
  <c r="I200"/>
  <c r="I201"/>
  <c r="I202"/>
  <c r="I203"/>
  <c r="I204"/>
  <c r="I205"/>
  <c r="I206"/>
  <c r="I207"/>
  <c r="I208"/>
  <c r="I209"/>
  <c r="I210"/>
  <c r="I211"/>
  <c r="I212"/>
  <c r="I213"/>
  <c r="I214"/>
  <c r="I215"/>
  <c r="I216"/>
  <c r="I217"/>
  <c r="I218"/>
  <c r="I219"/>
  <c r="I220"/>
  <c r="I221"/>
  <c r="I222"/>
  <c r="I223"/>
  <c r="I224"/>
  <c r="I225"/>
  <c r="I226"/>
  <c r="I227"/>
  <c r="I228"/>
  <c r="I229"/>
  <c r="I230"/>
  <c r="I231"/>
  <c r="I232"/>
  <c r="I233"/>
  <c r="I234"/>
  <c r="I235"/>
  <c r="I236"/>
  <c r="I237"/>
  <c r="I238"/>
  <c r="I239"/>
  <c r="I240"/>
  <c r="I241"/>
  <c r="I242"/>
  <c r="I243"/>
  <c r="I244"/>
  <c r="I245"/>
  <c r="I246"/>
  <c r="I247"/>
  <c r="I248"/>
  <c r="I249"/>
  <c r="I250"/>
  <c r="I251"/>
  <c r="I252"/>
  <c r="I253"/>
  <c r="I254"/>
  <c r="I255"/>
  <c r="I256"/>
  <c r="I257"/>
  <c r="I258"/>
  <c r="I2"/>
  <c r="I259"/>
  <c r="I260"/>
  <c r="I261"/>
  <c r="I262"/>
  <c r="I263"/>
  <c r="I264"/>
  <c r="I265"/>
  <c r="I266"/>
  <c r="I267"/>
  <c r="I268"/>
  <c r="I269"/>
  <c r="I270"/>
  <c r="I271"/>
  <c r="I272"/>
  <c r="I273"/>
  <c r="I274"/>
  <c r="I275"/>
  <c r="I276"/>
  <c r="I277"/>
  <c r="I278"/>
  <c r="I279"/>
  <c r="I280"/>
  <c r="I281"/>
  <c r="I282"/>
  <c r="I283"/>
  <c r="I284"/>
  <c r="I285"/>
  <c r="I286"/>
  <c r="I287"/>
  <c r="I288"/>
  <c r="I289"/>
  <c r="I290"/>
  <c r="I291"/>
  <c r="I292"/>
  <c r="I293"/>
  <c r="I294"/>
  <c r="I295"/>
  <c r="I296"/>
  <c r="I297"/>
  <c r="I298"/>
  <c r="I299"/>
  <c r="I300"/>
  <c r="I301"/>
  <c r="I302"/>
  <c r="I303"/>
  <c r="I304"/>
  <c r="I305"/>
  <c r="I306"/>
  <c r="I307"/>
  <c r="I308"/>
  <c r="I309"/>
  <c r="I310"/>
  <c r="I311"/>
  <c r="I312"/>
  <c r="I313"/>
  <c r="I314"/>
  <c r="I315"/>
  <c r="I316"/>
  <c r="I317"/>
  <c r="I318"/>
  <c r="I319"/>
  <c r="I320"/>
  <c r="I321"/>
  <c r="I322"/>
  <c r="I323"/>
  <c r="I324"/>
  <c r="I325"/>
  <c r="I326"/>
  <c r="I327"/>
  <c r="I328"/>
  <c r="I329"/>
  <c r="I330"/>
  <c r="I331"/>
  <c r="I332"/>
  <c r="I333"/>
  <c r="I334"/>
  <c r="I335"/>
  <c r="I336"/>
  <c r="I337"/>
  <c r="I338"/>
  <c r="I339"/>
  <c r="I340"/>
  <c r="I341"/>
  <c r="I342"/>
  <c r="I343"/>
  <c r="I344"/>
  <c r="I345"/>
  <c r="I346"/>
  <c r="I347"/>
  <c r="I348"/>
  <c r="I349"/>
  <c r="I350"/>
  <c r="I351"/>
  <c r="I352"/>
  <c r="I353"/>
  <c r="I354"/>
  <c r="I355"/>
  <c r="I356"/>
  <c r="I357"/>
  <c r="I358"/>
  <c r="I359"/>
  <c r="I360"/>
  <c r="I361"/>
  <c r="I362"/>
  <c r="I363"/>
  <c r="I364"/>
  <c r="I365"/>
  <c r="I366"/>
  <c r="I367"/>
  <c r="I368"/>
  <c r="I369"/>
  <c r="I370"/>
  <c r="I371"/>
  <c r="I372"/>
  <c r="I373"/>
  <c r="I374"/>
  <c r="I375"/>
  <c r="I376"/>
  <c r="I377"/>
  <c r="I378"/>
  <c r="I379"/>
  <c r="I380"/>
  <c r="I381"/>
  <c r="I382"/>
  <c r="I383"/>
  <c r="I384"/>
  <c r="I385"/>
  <c r="I386"/>
  <c r="I387"/>
  <c r="I388"/>
  <c r="I389"/>
  <c r="I390"/>
  <c r="I391"/>
  <c r="I392"/>
  <c r="I393"/>
  <c r="I394"/>
  <c r="I395"/>
  <c r="I396"/>
  <c r="I397"/>
  <c r="I398"/>
  <c r="I399"/>
  <c r="I400"/>
  <c r="I401"/>
  <c r="I402"/>
  <c r="I403"/>
  <c r="I404"/>
  <c r="I405"/>
  <c r="I406"/>
  <c r="I407"/>
  <c r="I408"/>
  <c r="I409"/>
  <c r="I410"/>
  <c r="I411"/>
  <c r="I412"/>
  <c r="I413"/>
  <c r="I414"/>
  <c r="I415"/>
  <c r="I416"/>
  <c r="I417"/>
  <c r="I418"/>
  <c r="I419"/>
  <c r="I420"/>
  <c r="I421"/>
  <c r="I422"/>
  <c r="I423"/>
  <c r="I424"/>
  <c r="I425"/>
  <c r="I426"/>
  <c r="I427"/>
  <c r="I428"/>
  <c r="I429"/>
  <c r="I430"/>
  <c r="I431"/>
  <c r="I432"/>
  <c r="I433"/>
  <c r="I434"/>
  <c r="I435"/>
  <c r="I436"/>
  <c r="I437"/>
  <c r="I438"/>
  <c r="I439"/>
  <c r="I440"/>
  <c r="I441"/>
  <c r="I442"/>
  <c r="I443"/>
  <c r="I444"/>
  <c r="I445"/>
  <c r="I446"/>
  <c r="I447"/>
  <c r="I448"/>
  <c r="I449"/>
  <c r="I450"/>
  <c r="I451"/>
  <c r="I452"/>
  <c r="I453"/>
  <c r="I454"/>
  <c r="I455"/>
  <c r="I456"/>
  <c r="I457"/>
  <c r="I458"/>
  <c r="I459"/>
  <c r="I460"/>
  <c r="I461"/>
  <c r="I462"/>
  <c r="I463"/>
  <c r="I464"/>
  <c r="I465"/>
  <c r="I466"/>
  <c r="I467"/>
  <c r="I468"/>
  <c r="I469"/>
  <c r="I470"/>
  <c r="I471"/>
  <c r="I472"/>
  <c r="I473"/>
  <c r="I474"/>
  <c r="I475"/>
  <c r="I476"/>
  <c r="I477"/>
  <c r="I478"/>
  <c r="I479"/>
  <c r="I480"/>
  <c r="I481"/>
  <c r="I482"/>
  <c r="I483"/>
  <c r="I484"/>
  <c r="I485"/>
  <c r="I486"/>
  <c r="I487"/>
  <c r="I488"/>
  <c r="I489"/>
  <c r="I490"/>
  <c r="I491"/>
  <c r="I492"/>
  <c r="I493"/>
  <c r="I494"/>
  <c r="I495"/>
  <c r="I496"/>
  <c r="I497"/>
  <c r="I498"/>
  <c r="I499"/>
  <c r="I500"/>
  <c r="I501"/>
  <c r="I502"/>
  <c r="I503"/>
  <c r="I504"/>
  <c r="I505"/>
  <c r="I506"/>
  <c r="I507"/>
  <c r="I508"/>
  <c r="I509"/>
  <c r="I510"/>
  <c r="I511"/>
  <c r="I512"/>
  <c r="I513"/>
  <c r="I514"/>
  <c r="I515"/>
  <c r="I516"/>
  <c r="I517"/>
  <c r="I518"/>
  <c r="I519"/>
  <c r="I520"/>
  <c r="I521"/>
  <c r="I522"/>
  <c r="I523"/>
  <c r="I524"/>
  <c r="I525"/>
  <c r="I526"/>
  <c r="I527"/>
  <c r="I528"/>
  <c r="I529"/>
  <c r="I530"/>
  <c r="I531"/>
  <c r="I532"/>
  <c r="I533"/>
  <c r="I534"/>
  <c r="I535"/>
  <c r="I536"/>
  <c r="I537"/>
  <c r="I538"/>
  <c r="I539"/>
  <c r="I540"/>
  <c r="I541"/>
  <c r="I542"/>
  <c r="I543"/>
  <c r="I544"/>
  <c r="I545"/>
  <c r="I546"/>
  <c r="I547"/>
  <c r="I548"/>
  <c r="I549"/>
  <c r="I550"/>
  <c r="I551"/>
  <c r="I552"/>
  <c r="I553"/>
  <c r="I554"/>
  <c r="I555"/>
  <c r="I556"/>
  <c r="I557"/>
  <c r="I558"/>
  <c r="I559"/>
  <c r="I560"/>
  <c r="I561"/>
  <c r="I562"/>
  <c r="I563"/>
  <c r="I564"/>
  <c r="I565"/>
  <c r="I566"/>
  <c r="I567"/>
  <c r="I568"/>
  <c r="I569"/>
  <c r="I570"/>
  <c r="I571"/>
  <c r="I572"/>
  <c r="I573"/>
  <c r="I574"/>
  <c r="I575"/>
  <c r="I576"/>
  <c r="I577"/>
  <c r="I578"/>
  <c r="I579"/>
  <c r="I580"/>
  <c r="I581"/>
  <c r="I582"/>
  <c r="I583"/>
  <c r="I584"/>
  <c r="I585"/>
  <c r="I586"/>
  <c r="I587"/>
  <c r="I588"/>
  <c r="I589"/>
  <c r="I590"/>
  <c r="I591"/>
  <c r="I592"/>
  <c r="I593"/>
  <c r="I594"/>
  <c r="I595"/>
  <c r="I596"/>
  <c r="I597"/>
  <c r="I598"/>
  <c r="I599"/>
  <c r="I600"/>
  <c r="I601"/>
  <c r="I602"/>
  <c r="I603"/>
  <c r="I604"/>
  <c r="I605"/>
  <c r="I606"/>
  <c r="I607"/>
  <c r="I608"/>
  <c r="I609"/>
  <c r="I610"/>
  <c r="I611"/>
  <c r="I612"/>
  <c r="I613"/>
  <c r="I614"/>
  <c r="I615"/>
  <c r="I616"/>
  <c r="I617"/>
  <c r="I618"/>
  <c r="I619"/>
  <c r="I620"/>
  <c r="I621"/>
  <c r="I622"/>
  <c r="I623"/>
  <c r="I624"/>
  <c r="I625"/>
  <c r="I626"/>
  <c r="I627"/>
  <c r="I628"/>
  <c r="I629"/>
  <c r="I630"/>
  <c r="I631"/>
  <c r="I632"/>
  <c r="I633"/>
  <c r="I634"/>
  <c r="I635"/>
  <c r="I636"/>
  <c r="I637"/>
  <c r="I638"/>
  <c r="I639"/>
  <c r="I640"/>
  <c r="I641"/>
  <c r="I642"/>
  <c r="I643"/>
  <c r="I644"/>
  <c r="I645"/>
  <c r="I646"/>
  <c r="I647"/>
  <c r="I648"/>
  <c r="I649"/>
  <c r="I650"/>
  <c r="I651"/>
  <c r="I652"/>
  <c r="I653"/>
  <c r="I654"/>
  <c r="I655"/>
  <c r="I656"/>
  <c r="I657"/>
  <c r="I658"/>
  <c r="I659"/>
  <c r="I660"/>
  <c r="I661"/>
  <c r="I662"/>
  <c r="I663"/>
  <c r="I664"/>
  <c r="I665"/>
  <c r="I666"/>
  <c r="I667"/>
  <c r="I668"/>
  <c r="I669"/>
  <c r="I670"/>
  <c r="I671"/>
  <c r="I672"/>
  <c r="I673"/>
  <c r="I674"/>
  <c r="I675"/>
  <c r="I676"/>
  <c r="I677"/>
  <c r="G3"/>
  <c r="G4"/>
  <c r="G5"/>
  <c r="G6"/>
  <c r="G7"/>
  <c r="G8"/>
  <c r="G9"/>
  <c r="G10"/>
  <c r="G11"/>
  <c r="G12"/>
  <c r="G13"/>
  <c r="G14"/>
  <c r="G15"/>
  <c r="G16"/>
  <c r="G17"/>
  <c r="G18"/>
  <c r="G19"/>
  <c r="G20"/>
  <c r="G21"/>
  <c r="G22"/>
  <c r="G23"/>
  <c r="G24"/>
  <c r="G25"/>
  <c r="G26"/>
  <c r="G27"/>
  <c r="G28"/>
  <c r="G29"/>
  <c r="G30"/>
  <c r="G31"/>
  <c r="G32"/>
  <c r="G33"/>
  <c r="G34"/>
  <c r="G35"/>
  <c r="G36"/>
  <c r="G37"/>
  <c r="G38"/>
  <c r="G39"/>
  <c r="G40"/>
  <c r="G41"/>
  <c r="G42"/>
  <c r="G43"/>
  <c r="G44"/>
  <c r="G45"/>
  <c r="G46"/>
  <c r="G47"/>
  <c r="G48"/>
  <c r="G49"/>
  <c r="G50"/>
  <c r="G51"/>
  <c r="G52"/>
  <c r="G53"/>
  <c r="G54"/>
  <c r="G55"/>
  <c r="G56"/>
  <c r="G57"/>
  <c r="G58"/>
  <c r="G59"/>
  <c r="G60"/>
  <c r="G61"/>
  <c r="G62"/>
  <c r="G63"/>
  <c r="G64"/>
  <c r="G65"/>
  <c r="G66"/>
  <c r="G67"/>
  <c r="G68"/>
  <c r="G69"/>
  <c r="G70"/>
  <c r="G71"/>
  <c r="G72"/>
  <c r="G73"/>
  <c r="G74"/>
  <c r="G75"/>
  <c r="G76"/>
  <c r="G77"/>
  <c r="G78"/>
  <c r="G79"/>
  <c r="G80"/>
  <c r="G81"/>
  <c r="G82"/>
  <c r="G83"/>
  <c r="G84"/>
  <c r="G85"/>
  <c r="G86"/>
  <c r="G87"/>
  <c r="G88"/>
  <c r="G89"/>
  <c r="G90"/>
  <c r="G91"/>
  <c r="G92"/>
  <c r="G93"/>
  <c r="G94"/>
  <c r="G95"/>
  <c r="G96"/>
  <c r="G97"/>
  <c r="G98"/>
  <c r="G99"/>
  <c r="G100"/>
  <c r="G101"/>
  <c r="G102"/>
  <c r="G103"/>
  <c r="G104"/>
  <c r="G105"/>
  <c r="G106"/>
  <c r="G107"/>
  <c r="G108"/>
  <c r="G109"/>
  <c r="G110"/>
  <c r="G111"/>
  <c r="G112"/>
  <c r="G113"/>
  <c r="G114"/>
  <c r="G115"/>
  <c r="G116"/>
  <c r="G117"/>
  <c r="G118"/>
  <c r="G119"/>
  <c r="G120"/>
  <c r="G121"/>
  <c r="G122"/>
  <c r="G123"/>
  <c r="G124"/>
  <c r="G125"/>
  <c r="G126"/>
  <c r="G127"/>
  <c r="G128"/>
  <c r="G129"/>
  <c r="G130"/>
  <c r="G131"/>
  <c r="G132"/>
  <c r="G133"/>
  <c r="G134"/>
  <c r="G135"/>
  <c r="G136"/>
  <c r="G137"/>
  <c r="G138"/>
  <c r="G139"/>
  <c r="G140"/>
  <c r="G141"/>
  <c r="G142"/>
  <c r="G143"/>
  <c r="G144"/>
  <c r="G145"/>
  <c r="G146"/>
  <c r="G147"/>
  <c r="G148"/>
  <c r="G149"/>
  <c r="G150"/>
  <c r="G151"/>
  <c r="G152"/>
  <c r="G153"/>
  <c r="G154"/>
  <c r="G155"/>
  <c r="G156"/>
  <c r="G157"/>
  <c r="G158"/>
  <c r="G159"/>
  <c r="G160"/>
  <c r="G161"/>
  <c r="G162"/>
  <c r="G163"/>
  <c r="G164"/>
  <c r="G165"/>
  <c r="G166"/>
  <c r="G167"/>
  <c r="G168"/>
  <c r="G169"/>
  <c r="G170"/>
  <c r="G171"/>
  <c r="G172"/>
  <c r="G173"/>
  <c r="G174"/>
  <c r="G175"/>
  <c r="G176"/>
  <c r="G177"/>
  <c r="G178"/>
  <c r="G179"/>
  <c r="G180"/>
  <c r="G181"/>
  <c r="G182"/>
  <c r="G183"/>
  <c r="G184"/>
  <c r="G185"/>
  <c r="G186"/>
  <c r="G187"/>
  <c r="G188"/>
  <c r="G189"/>
  <c r="G190"/>
  <c r="G191"/>
  <c r="G192"/>
  <c r="G193"/>
  <c r="G194"/>
  <c r="G195"/>
  <c r="G196"/>
  <c r="G197"/>
  <c r="G198"/>
  <c r="G199"/>
  <c r="G200"/>
  <c r="G201"/>
  <c r="G202"/>
  <c r="G203"/>
  <c r="G204"/>
  <c r="G205"/>
  <c r="G206"/>
  <c r="G207"/>
  <c r="G208"/>
  <c r="G209"/>
  <c r="G210"/>
  <c r="G211"/>
  <c r="G212"/>
  <c r="G213"/>
  <c r="G214"/>
  <c r="G215"/>
  <c r="G216"/>
  <c r="G217"/>
  <c r="G218"/>
  <c r="G219"/>
  <c r="G220"/>
  <c r="G221"/>
  <c r="G222"/>
  <c r="G223"/>
  <c r="G224"/>
  <c r="G225"/>
  <c r="G226"/>
  <c r="G227"/>
  <c r="G228"/>
  <c r="G229"/>
  <c r="G230"/>
  <c r="G231"/>
  <c r="G232"/>
  <c r="G233"/>
  <c r="G234"/>
  <c r="G235"/>
  <c r="G236"/>
  <c r="G237"/>
  <c r="G238"/>
  <c r="G239"/>
  <c r="G240"/>
  <c r="G241"/>
  <c r="G242"/>
  <c r="G243"/>
  <c r="G244"/>
  <c r="G245"/>
  <c r="G246"/>
  <c r="G247"/>
  <c r="G248"/>
  <c r="G249"/>
  <c r="G250"/>
  <c r="G251"/>
  <c r="G252"/>
  <c r="G253"/>
  <c r="G254"/>
  <c r="G255"/>
  <c r="G256"/>
  <c r="G257"/>
  <c r="G258"/>
  <c r="G259"/>
  <c r="G260"/>
  <c r="G261"/>
  <c r="G262"/>
  <c r="G263"/>
  <c r="G264"/>
  <c r="G265"/>
  <c r="G266"/>
  <c r="G267"/>
  <c r="G268"/>
  <c r="G269"/>
  <c r="G270"/>
  <c r="G271"/>
  <c r="G272"/>
  <c r="G273"/>
  <c r="G274"/>
  <c r="G275"/>
  <c r="G276"/>
  <c r="G277"/>
  <c r="G278"/>
  <c r="G279"/>
  <c r="G280"/>
  <c r="G281"/>
  <c r="G282"/>
  <c r="G283"/>
  <c r="G284"/>
  <c r="G285"/>
  <c r="G286"/>
  <c r="G287"/>
  <c r="G288"/>
  <c r="G289"/>
  <c r="G290"/>
  <c r="G291"/>
  <c r="G292"/>
  <c r="G293"/>
  <c r="G294"/>
  <c r="G295"/>
  <c r="G296"/>
  <c r="G297"/>
  <c r="G298"/>
  <c r="G299"/>
  <c r="G300"/>
  <c r="G301"/>
  <c r="G302"/>
  <c r="G303"/>
  <c r="G304"/>
  <c r="G305"/>
  <c r="G306"/>
  <c r="G307"/>
  <c r="G308"/>
  <c r="G309"/>
  <c r="G310"/>
  <c r="G311"/>
  <c r="G312"/>
  <c r="G313"/>
  <c r="G314"/>
  <c r="G315"/>
  <c r="G316"/>
  <c r="G317"/>
  <c r="G318"/>
  <c r="G319"/>
  <c r="G320"/>
  <c r="G321"/>
  <c r="G322"/>
  <c r="G323"/>
  <c r="G324"/>
  <c r="G325"/>
  <c r="G326"/>
  <c r="G327"/>
  <c r="G328"/>
  <c r="G329"/>
  <c r="G330"/>
  <c r="G331"/>
  <c r="G332"/>
  <c r="G333"/>
  <c r="G334"/>
  <c r="G335"/>
  <c r="G336"/>
  <c r="G337"/>
  <c r="G338"/>
  <c r="G339"/>
  <c r="G340"/>
  <c r="G341"/>
  <c r="G342"/>
  <c r="G343"/>
  <c r="G344"/>
  <c r="G345"/>
  <c r="G346"/>
  <c r="G347"/>
  <c r="G348"/>
  <c r="G349"/>
  <c r="G350"/>
  <c r="G351"/>
  <c r="G352"/>
  <c r="G353"/>
  <c r="G354"/>
  <c r="G355"/>
  <c r="G356"/>
  <c r="G357"/>
  <c r="G358"/>
  <c r="G359"/>
  <c r="G360"/>
  <c r="G361"/>
  <c r="G362"/>
  <c r="G363"/>
  <c r="G364"/>
  <c r="G365"/>
  <c r="G366"/>
  <c r="G367"/>
  <c r="G368"/>
  <c r="G369"/>
  <c r="G370"/>
  <c r="G371"/>
  <c r="G372"/>
  <c r="G373"/>
  <c r="G374"/>
  <c r="G375"/>
  <c r="G376"/>
  <c r="G377"/>
  <c r="G378"/>
  <c r="G379"/>
  <c r="G380"/>
  <c r="G381"/>
  <c r="G382"/>
  <c r="G383"/>
  <c r="G384"/>
  <c r="G385"/>
  <c r="G386"/>
  <c r="G387"/>
  <c r="G388"/>
  <c r="G389"/>
  <c r="G390"/>
  <c r="G391"/>
  <c r="G392"/>
  <c r="G393"/>
  <c r="G394"/>
  <c r="G395"/>
  <c r="G396"/>
  <c r="G397"/>
  <c r="G398"/>
  <c r="G399"/>
  <c r="G400"/>
  <c r="G401"/>
  <c r="G402"/>
  <c r="G403"/>
  <c r="G404"/>
  <c r="G405"/>
  <c r="G406"/>
  <c r="G407"/>
  <c r="G408"/>
  <c r="G409"/>
  <c r="G410"/>
  <c r="G411"/>
  <c r="G412"/>
  <c r="G413"/>
  <c r="G414"/>
  <c r="G415"/>
  <c r="G416"/>
  <c r="G417"/>
  <c r="G418"/>
  <c r="G419"/>
  <c r="G420"/>
  <c r="G421"/>
  <c r="G422"/>
  <c r="G423"/>
  <c r="G424"/>
  <c r="G425"/>
  <c r="G426"/>
  <c r="G427"/>
  <c r="G428"/>
  <c r="G429"/>
  <c r="G430"/>
  <c r="G431"/>
  <c r="G432"/>
  <c r="G433"/>
  <c r="G434"/>
  <c r="G435"/>
  <c r="G436"/>
  <c r="G437"/>
  <c r="G438"/>
  <c r="G439"/>
  <c r="G440"/>
  <c r="G441"/>
  <c r="G442"/>
  <c r="G443"/>
  <c r="G444"/>
  <c r="G445"/>
  <c r="G446"/>
  <c r="G447"/>
  <c r="G448"/>
  <c r="G449"/>
  <c r="G450"/>
  <c r="G451"/>
  <c r="G452"/>
  <c r="G453"/>
  <c r="G454"/>
  <c r="G455"/>
  <c r="G456"/>
  <c r="G457"/>
  <c r="G458"/>
  <c r="G459"/>
  <c r="G460"/>
  <c r="G461"/>
  <c r="G462"/>
  <c r="G463"/>
  <c r="G464"/>
  <c r="G465"/>
  <c r="G466"/>
  <c r="G467"/>
  <c r="G468"/>
  <c r="G469"/>
  <c r="G470"/>
  <c r="G471"/>
  <c r="G472"/>
  <c r="G473"/>
  <c r="G474"/>
  <c r="G475"/>
  <c r="G476"/>
  <c r="G477"/>
  <c r="G478"/>
  <c r="G479"/>
  <c r="G480"/>
  <c r="G481"/>
  <c r="G482"/>
  <c r="G483"/>
  <c r="G484"/>
  <c r="G485"/>
  <c r="G486"/>
  <c r="G487"/>
  <c r="G488"/>
  <c r="G489"/>
  <c r="G490"/>
  <c r="G491"/>
  <c r="G492"/>
  <c r="G493"/>
  <c r="G494"/>
  <c r="G495"/>
  <c r="G496"/>
  <c r="G497"/>
  <c r="G498"/>
  <c r="G499"/>
  <c r="G500"/>
  <c r="G501"/>
  <c r="G502"/>
  <c r="G503"/>
  <c r="G504"/>
  <c r="G505"/>
  <c r="G506"/>
  <c r="G507"/>
  <c r="G508"/>
  <c r="G509"/>
  <c r="G510"/>
  <c r="G511"/>
  <c r="G512"/>
  <c r="G513"/>
  <c r="G514"/>
  <c r="G515"/>
  <c r="G516"/>
  <c r="G517"/>
  <c r="G518"/>
  <c r="G519"/>
  <c r="G520"/>
  <c r="G521"/>
  <c r="G522"/>
  <c r="G523"/>
  <c r="G524"/>
  <c r="G525"/>
  <c r="G526"/>
  <c r="G527"/>
  <c r="G528"/>
  <c r="G529"/>
  <c r="G530"/>
  <c r="G531"/>
  <c r="G532"/>
  <c r="G533"/>
  <c r="G534"/>
  <c r="G535"/>
  <c r="G536"/>
  <c r="G537"/>
  <c r="G538"/>
  <c r="G539"/>
  <c r="G540"/>
  <c r="G541"/>
  <c r="G542"/>
  <c r="G543"/>
  <c r="G544"/>
  <c r="G545"/>
  <c r="G546"/>
  <c r="G547"/>
  <c r="G548"/>
  <c r="G549"/>
  <c r="G550"/>
  <c r="G551"/>
  <c r="G552"/>
  <c r="G553"/>
  <c r="G554"/>
  <c r="G555"/>
  <c r="G556"/>
  <c r="G557"/>
  <c r="G558"/>
  <c r="G559"/>
  <c r="G560"/>
  <c r="G561"/>
  <c r="G562"/>
  <c r="G563"/>
  <c r="G564"/>
  <c r="G565"/>
  <c r="G566"/>
  <c r="G567"/>
  <c r="G568"/>
  <c r="G569"/>
  <c r="G570"/>
  <c r="G571"/>
  <c r="G572"/>
  <c r="G573"/>
  <c r="G574"/>
  <c r="G575"/>
  <c r="G576"/>
  <c r="G577"/>
  <c r="G578"/>
  <c r="G579"/>
  <c r="G580"/>
  <c r="G581"/>
  <c r="G582"/>
  <c r="G583"/>
  <c r="G584"/>
  <c r="G585"/>
  <c r="G586"/>
  <c r="G587"/>
  <c r="G588"/>
  <c r="G589"/>
  <c r="G590"/>
  <c r="G591"/>
  <c r="G592"/>
  <c r="G593"/>
  <c r="G594"/>
  <c r="G595"/>
  <c r="G596"/>
  <c r="G597"/>
  <c r="G598"/>
  <c r="G599"/>
  <c r="G600"/>
  <c r="G601"/>
  <c r="G602"/>
  <c r="G603"/>
  <c r="G604"/>
  <c r="G605"/>
  <c r="G606"/>
  <c r="G607"/>
  <c r="G608"/>
  <c r="G609"/>
  <c r="G610"/>
  <c r="G611"/>
  <c r="G612"/>
  <c r="G613"/>
  <c r="G614"/>
  <c r="G615"/>
  <c r="G616"/>
  <c r="G617"/>
  <c r="G618"/>
  <c r="G619"/>
  <c r="G620"/>
  <c r="G621"/>
  <c r="G622"/>
  <c r="G623"/>
  <c r="G624"/>
  <c r="G625"/>
  <c r="G626"/>
  <c r="G627"/>
  <c r="G628"/>
  <c r="G629"/>
  <c r="G630"/>
  <c r="G631"/>
  <c r="G632"/>
  <c r="G633"/>
  <c r="G634"/>
  <c r="G635"/>
  <c r="G636"/>
  <c r="G637"/>
  <c r="G638"/>
  <c r="G639"/>
  <c r="G640"/>
  <c r="G641"/>
  <c r="G642"/>
  <c r="G643"/>
  <c r="G644"/>
  <c r="G645"/>
  <c r="G646"/>
  <c r="G647"/>
  <c r="G648"/>
  <c r="G649"/>
  <c r="G650"/>
  <c r="G651"/>
  <c r="G652"/>
  <c r="G653"/>
  <c r="G654"/>
  <c r="G655"/>
  <c r="G656"/>
  <c r="G657"/>
  <c r="G658"/>
  <c r="G659"/>
  <c r="G660"/>
  <c r="G661"/>
  <c r="G662"/>
  <c r="G663"/>
  <c r="G664"/>
  <c r="G665"/>
  <c r="G666"/>
  <c r="G667"/>
  <c r="G668"/>
  <c r="G669"/>
  <c r="G670"/>
  <c r="G671"/>
  <c r="G672"/>
  <c r="G673"/>
  <c r="G674"/>
  <c r="G675"/>
  <c r="G676"/>
  <c r="G677"/>
  <c r="G2"/>
  <c r="E4"/>
  <c r="E6"/>
  <c r="E8"/>
  <c r="E10"/>
  <c r="E12"/>
  <c r="E14"/>
  <c r="E16"/>
  <c r="E18"/>
  <c r="E20"/>
  <c r="E22"/>
  <c r="E24"/>
  <c r="E26"/>
  <c r="E28"/>
  <c r="E30"/>
  <c r="E32"/>
  <c r="E34"/>
  <c r="E36"/>
  <c r="E38"/>
  <c r="E40"/>
  <c r="E42"/>
  <c r="E44"/>
  <c r="E46"/>
  <c r="E48"/>
  <c r="E50"/>
  <c r="E52"/>
  <c r="E54"/>
  <c r="E56"/>
  <c r="E58"/>
  <c r="E60"/>
  <c r="E62"/>
  <c r="E64"/>
  <c r="E66"/>
  <c r="E68"/>
  <c r="E70"/>
  <c r="E72"/>
  <c r="E74"/>
  <c r="E76"/>
  <c r="E78"/>
  <c r="E80"/>
  <c r="E82"/>
  <c r="E84"/>
  <c r="E86"/>
  <c r="E88"/>
  <c r="E90"/>
  <c r="E92"/>
  <c r="E94"/>
  <c r="E96"/>
  <c r="E98"/>
  <c r="E100"/>
  <c r="E102"/>
  <c r="E104"/>
  <c r="E106"/>
  <c r="E108"/>
  <c r="E110"/>
  <c r="E112"/>
  <c r="E114"/>
  <c r="E116"/>
  <c r="E118"/>
  <c r="E120"/>
  <c r="E122"/>
  <c r="E124"/>
  <c r="E126"/>
  <c r="E128"/>
  <c r="E130"/>
  <c r="E132"/>
  <c r="E134"/>
  <c r="E136"/>
  <c r="E138"/>
  <c r="E140"/>
  <c r="E142"/>
  <c r="E144"/>
  <c r="E146"/>
  <c r="E148"/>
  <c r="E150"/>
  <c r="E152"/>
  <c r="E154"/>
  <c r="E156"/>
  <c r="E158"/>
  <c r="E160"/>
  <c r="E162"/>
  <c r="E164"/>
  <c r="E166"/>
  <c r="E168"/>
  <c r="E170"/>
  <c r="E172"/>
  <c r="E174"/>
  <c r="E176"/>
  <c r="E178"/>
  <c r="E180"/>
  <c r="E182"/>
  <c r="E184"/>
  <c r="E186"/>
  <c r="E188"/>
  <c r="E190"/>
  <c r="E192"/>
  <c r="E194"/>
  <c r="E196"/>
  <c r="E198"/>
  <c r="E200"/>
  <c r="E202"/>
  <c r="E204"/>
  <c r="E206"/>
  <c r="E208"/>
  <c r="E210"/>
  <c r="E212"/>
  <c r="E214"/>
  <c r="E216"/>
  <c r="E218"/>
  <c r="E220"/>
  <c r="E222"/>
  <c r="E224"/>
  <c r="E226"/>
  <c r="E228"/>
  <c r="E230"/>
  <c r="E232"/>
  <c r="E234"/>
  <c r="E236"/>
  <c r="E238"/>
  <c r="E240"/>
  <c r="E242"/>
  <c r="E244"/>
  <c r="E246"/>
  <c r="E248"/>
  <c r="E250"/>
  <c r="E252"/>
  <c r="E254"/>
  <c r="E256"/>
  <c r="E258"/>
  <c r="E260"/>
  <c r="E262"/>
  <c r="E264"/>
  <c r="E266"/>
  <c r="E268"/>
  <c r="E270"/>
  <c r="E272"/>
  <c r="E274"/>
  <c r="E276"/>
  <c r="E278"/>
  <c r="E280"/>
  <c r="E282"/>
  <c r="E284"/>
  <c r="E286"/>
  <c r="E288"/>
  <c r="E290"/>
  <c r="E292"/>
  <c r="E294"/>
  <c r="E296"/>
  <c r="E298"/>
  <c r="E300"/>
  <c r="E302"/>
  <c r="E304"/>
  <c r="E306"/>
  <c r="E308"/>
  <c r="E310"/>
  <c r="E312"/>
  <c r="E314"/>
  <c r="E316"/>
  <c r="E318"/>
  <c r="E320"/>
  <c r="E322"/>
  <c r="E324"/>
  <c r="E326"/>
  <c r="E328"/>
  <c r="E330"/>
  <c r="E332"/>
  <c r="E334"/>
  <c r="E336"/>
  <c r="E338"/>
  <c r="E340"/>
  <c r="E342"/>
  <c r="E344"/>
  <c r="E346"/>
  <c r="E348"/>
  <c r="E350"/>
  <c r="E352"/>
  <c r="E354"/>
  <c r="E356"/>
  <c r="E358"/>
  <c r="E360"/>
  <c r="E362"/>
  <c r="E364"/>
  <c r="E366"/>
  <c r="E368"/>
  <c r="E370"/>
  <c r="E372"/>
  <c r="E374"/>
  <c r="E376"/>
  <c r="E378"/>
  <c r="E380"/>
  <c r="E382"/>
  <c r="E384"/>
  <c r="E386"/>
  <c r="E388"/>
  <c r="E390"/>
  <c r="E392"/>
  <c r="E394"/>
  <c r="E396"/>
  <c r="E398"/>
  <c r="E400"/>
  <c r="E402"/>
  <c r="E404"/>
  <c r="E406"/>
  <c r="E408"/>
  <c r="E410"/>
  <c r="E412"/>
  <c r="E414"/>
  <c r="E416"/>
  <c r="E418"/>
  <c r="E420"/>
  <c r="E422"/>
  <c r="E424"/>
  <c r="E426"/>
  <c r="E428"/>
  <c r="E430"/>
  <c r="E432"/>
  <c r="E434"/>
  <c r="E436"/>
  <c r="E438"/>
  <c r="E440"/>
  <c r="E442"/>
  <c r="E444"/>
  <c r="E446"/>
  <c r="E448"/>
  <c r="E450"/>
  <c r="E452"/>
  <c r="E454"/>
  <c r="E456"/>
  <c r="E458"/>
  <c r="E460"/>
  <c r="E462"/>
  <c r="E464"/>
  <c r="E466"/>
  <c r="E468"/>
  <c r="E470"/>
  <c r="E472"/>
  <c r="E474"/>
  <c r="E476"/>
  <c r="E478"/>
  <c r="E480"/>
  <c r="E482"/>
  <c r="E484"/>
  <c r="E486"/>
  <c r="E488"/>
  <c r="E490"/>
  <c r="E492"/>
  <c r="E494"/>
  <c r="E496"/>
  <c r="E498"/>
  <c r="E500"/>
  <c r="E502"/>
  <c r="E504"/>
  <c r="E506"/>
  <c r="E508"/>
  <c r="E510"/>
  <c r="E512"/>
  <c r="E514"/>
  <c r="E5"/>
  <c r="E9"/>
  <c r="E13"/>
  <c r="E17"/>
  <c r="E21"/>
  <c r="E25"/>
  <c r="E29"/>
  <c r="E33"/>
  <c r="E37"/>
  <c r="E41"/>
  <c r="E45"/>
  <c r="E49"/>
  <c r="E53"/>
  <c r="E57"/>
  <c r="E61"/>
  <c r="E65"/>
  <c r="E69"/>
  <c r="E73"/>
  <c r="E77"/>
  <c r="E81"/>
  <c r="E85"/>
  <c r="E89"/>
  <c r="E93"/>
  <c r="E97"/>
  <c r="E101"/>
  <c r="E105"/>
  <c r="E109"/>
  <c r="E113"/>
  <c r="E117"/>
  <c r="E121"/>
  <c r="E125"/>
  <c r="E129"/>
  <c r="E133"/>
  <c r="E137"/>
  <c r="E141"/>
  <c r="E145"/>
  <c r="E149"/>
  <c r="E153"/>
  <c r="E157"/>
  <c r="E161"/>
  <c r="E165"/>
  <c r="E169"/>
  <c r="E173"/>
  <c r="E177"/>
  <c r="E181"/>
  <c r="E185"/>
  <c r="E189"/>
  <c r="E193"/>
  <c r="E197"/>
  <c r="E201"/>
  <c r="E205"/>
  <c r="E209"/>
  <c r="E213"/>
  <c r="E217"/>
  <c r="E221"/>
  <c r="E225"/>
  <c r="E229"/>
  <c r="E233"/>
  <c r="E237"/>
  <c r="E241"/>
  <c r="E245"/>
  <c r="E249"/>
  <c r="E253"/>
  <c r="E257"/>
  <c r="E261"/>
  <c r="E265"/>
  <c r="E269"/>
  <c r="E273"/>
  <c r="E277"/>
  <c r="E281"/>
  <c r="E285"/>
  <c r="E289"/>
  <c r="E293"/>
  <c r="E297"/>
  <c r="E301"/>
  <c r="E305"/>
  <c r="E309"/>
  <c r="E313"/>
  <c r="E317"/>
  <c r="E321"/>
  <c r="E325"/>
  <c r="E329"/>
  <c r="E333"/>
  <c r="E337"/>
  <c r="E341"/>
  <c r="E345"/>
  <c r="E349"/>
  <c r="E353"/>
  <c r="E357"/>
  <c r="E361"/>
  <c r="E365"/>
  <c r="E369"/>
  <c r="E373"/>
  <c r="E377"/>
  <c r="E381"/>
  <c r="E385"/>
  <c r="E389"/>
  <c r="E393"/>
  <c r="E397"/>
  <c r="E401"/>
  <c r="E405"/>
  <c r="E409"/>
  <c r="E413"/>
  <c r="E417"/>
  <c r="E421"/>
  <c r="E425"/>
  <c r="E429"/>
  <c r="E433"/>
  <c r="E437"/>
  <c r="E441"/>
  <c r="E445"/>
  <c r="E449"/>
  <c r="E453"/>
  <c r="E457"/>
  <c r="E461"/>
  <c r="E465"/>
  <c r="E469"/>
  <c r="E473"/>
  <c r="E477"/>
  <c r="E481"/>
  <c r="E485"/>
  <c r="E489"/>
  <c r="E493"/>
  <c r="E497"/>
  <c r="E501"/>
  <c r="E505"/>
  <c r="E509"/>
  <c r="E513"/>
  <c r="E516"/>
  <c r="E518"/>
  <c r="E520"/>
  <c r="E522"/>
  <c r="E524"/>
  <c r="E526"/>
  <c r="E528"/>
  <c r="E530"/>
  <c r="E532"/>
  <c r="E534"/>
  <c r="E536"/>
  <c r="E538"/>
  <c r="E540"/>
  <c r="E542"/>
  <c r="E544"/>
  <c r="E546"/>
  <c r="E548"/>
  <c r="E550"/>
  <c r="E552"/>
  <c r="E554"/>
  <c r="E556"/>
  <c r="E558"/>
  <c r="E560"/>
  <c r="E562"/>
  <c r="E564"/>
  <c r="E566"/>
  <c r="E568"/>
  <c r="E570"/>
  <c r="E572"/>
  <c r="E574"/>
  <c r="E576"/>
  <c r="E578"/>
  <c r="E580"/>
  <c r="E582"/>
  <c r="E584"/>
  <c r="E586"/>
  <c r="E588"/>
  <c r="E590"/>
  <c r="E592"/>
  <c r="E594"/>
  <c r="E596"/>
  <c r="E598"/>
  <c r="E600"/>
  <c r="E602"/>
  <c r="E604"/>
  <c r="E606"/>
  <c r="E608"/>
  <c r="E610"/>
  <c r="E612"/>
  <c r="E614"/>
  <c r="E616"/>
  <c r="E618"/>
  <c r="E620"/>
  <c r="E622"/>
  <c r="E624"/>
  <c r="E626"/>
  <c r="E628"/>
  <c r="E630"/>
  <c r="E632"/>
  <c r="E634"/>
  <c r="E636"/>
  <c r="E638"/>
  <c r="E640"/>
  <c r="E642"/>
  <c r="E644"/>
  <c r="E646"/>
  <c r="E648"/>
  <c r="E650"/>
  <c r="E652"/>
  <c r="E654"/>
  <c r="E656"/>
  <c r="E658"/>
  <c r="E660"/>
  <c r="E662"/>
  <c r="E664"/>
  <c r="E666"/>
  <c r="E668"/>
  <c r="E670"/>
  <c r="E672"/>
  <c r="E674"/>
  <c r="E676"/>
  <c r="E2"/>
  <c r="E3"/>
  <c r="E7"/>
  <c r="E11"/>
  <c r="E15"/>
  <c r="E19"/>
  <c r="E23"/>
  <c r="E27"/>
  <c r="E31"/>
  <c r="E35"/>
  <c r="E39"/>
  <c r="E43"/>
  <c r="E47"/>
  <c r="E51"/>
  <c r="E55"/>
  <c r="E59"/>
  <c r="E63"/>
  <c r="E67"/>
  <c r="E71"/>
  <c r="E75"/>
  <c r="E79"/>
  <c r="E83"/>
  <c r="E87"/>
  <c r="E91"/>
  <c r="E95"/>
  <c r="E99"/>
  <c r="E103"/>
  <c r="E107"/>
  <c r="E111"/>
  <c r="E115"/>
  <c r="E119"/>
  <c r="E123"/>
  <c r="E127"/>
  <c r="E131"/>
  <c r="E135"/>
  <c r="E139"/>
  <c r="E143"/>
  <c r="E147"/>
  <c r="E151"/>
  <c r="E155"/>
  <c r="E159"/>
  <c r="E163"/>
  <c r="E167"/>
  <c r="E171"/>
  <c r="E175"/>
  <c r="E179"/>
  <c r="E183"/>
  <c r="E187"/>
  <c r="E191"/>
  <c r="E195"/>
  <c r="E199"/>
  <c r="E203"/>
  <c r="E207"/>
  <c r="E211"/>
  <c r="E215"/>
  <c r="E219"/>
  <c r="E223"/>
  <c r="E227"/>
  <c r="E231"/>
  <c r="E235"/>
  <c r="E239"/>
  <c r="E243"/>
  <c r="E247"/>
  <c r="E251"/>
  <c r="E255"/>
  <c r="E259"/>
  <c r="E263"/>
  <c r="E267"/>
  <c r="E271"/>
  <c r="E275"/>
  <c r="E279"/>
  <c r="E283"/>
  <c r="E287"/>
  <c r="E291"/>
  <c r="E295"/>
  <c r="E299"/>
  <c r="E303"/>
  <c r="E307"/>
  <c r="E311"/>
  <c r="E315"/>
  <c r="E319"/>
  <c r="E323"/>
  <c r="E327"/>
  <c r="E331"/>
  <c r="E335"/>
  <c r="E339"/>
  <c r="E343"/>
  <c r="E347"/>
  <c r="E351"/>
  <c r="E355"/>
  <c r="E359"/>
  <c r="E363"/>
  <c r="E367"/>
  <c r="E371"/>
  <c r="E375"/>
  <c r="E379"/>
  <c r="E383"/>
  <c r="E387"/>
  <c r="E391"/>
  <c r="E395"/>
  <c r="E399"/>
  <c r="E403"/>
  <c r="E407"/>
  <c r="E411"/>
  <c r="E415"/>
  <c r="E419"/>
  <c r="E423"/>
  <c r="E427"/>
  <c r="E431"/>
  <c r="E435"/>
  <c r="E439"/>
  <c r="E443"/>
  <c r="E447"/>
  <c r="E451"/>
  <c r="E455"/>
  <c r="E459"/>
  <c r="E463"/>
  <c r="E467"/>
  <c r="E471"/>
  <c r="E475"/>
  <c r="E479"/>
  <c r="E483"/>
  <c r="E487"/>
  <c r="E491"/>
  <c r="E495"/>
  <c r="E499"/>
  <c r="E503"/>
  <c r="E507"/>
  <c r="E511"/>
  <c r="E515"/>
  <c r="E517"/>
  <c r="E519"/>
  <c r="E521"/>
  <c r="E523"/>
  <c r="E525"/>
  <c r="E527"/>
  <c r="E529"/>
  <c r="E531"/>
  <c r="E533"/>
  <c r="E535"/>
  <c r="E537"/>
  <c r="E539"/>
  <c r="E541"/>
  <c r="E543"/>
  <c r="E545"/>
  <c r="E547"/>
  <c r="E549"/>
  <c r="E551"/>
  <c r="E553"/>
  <c r="E555"/>
  <c r="E557"/>
  <c r="E559"/>
  <c r="E561"/>
  <c r="E563"/>
  <c r="E565"/>
  <c r="E567"/>
  <c r="E569"/>
  <c r="E571"/>
  <c r="E573"/>
  <c r="E575"/>
  <c r="E577"/>
  <c r="E579"/>
  <c r="E581"/>
  <c r="E583"/>
  <c r="E585"/>
  <c r="E587"/>
  <c r="E589"/>
  <c r="E591"/>
  <c r="E593"/>
  <c r="E595"/>
  <c r="E597"/>
  <c r="E599"/>
  <c r="E601"/>
  <c r="E603"/>
  <c r="E605"/>
  <c r="E607"/>
  <c r="E609"/>
  <c r="E611"/>
  <c r="E613"/>
  <c r="E615"/>
  <c r="E617"/>
  <c r="E619"/>
  <c r="E621"/>
  <c r="E623"/>
  <c r="E625"/>
  <c r="E627"/>
  <c r="E629"/>
  <c r="E631"/>
  <c r="E633"/>
  <c r="E635"/>
  <c r="E637"/>
  <c r="E639"/>
  <c r="E641"/>
  <c r="E643"/>
  <c r="E645"/>
  <c r="E647"/>
  <c r="E649"/>
  <c r="E651"/>
  <c r="E653"/>
  <c r="E655"/>
  <c r="E657"/>
  <c r="E659"/>
  <c r="E661"/>
  <c r="E663"/>
  <c r="E665"/>
  <c r="E667"/>
  <c r="E669"/>
  <c r="E671"/>
  <c r="E673"/>
  <c r="E675"/>
  <c r="E677"/>
  <c r="F4"/>
  <c r="F6"/>
  <c r="F8"/>
  <c r="F10"/>
  <c r="F12"/>
  <c r="F14"/>
  <c r="F16"/>
  <c r="F18"/>
  <c r="F20"/>
  <c r="F22"/>
  <c r="F24"/>
  <c r="F26"/>
  <c r="F28"/>
  <c r="F30"/>
  <c r="F32"/>
  <c r="F34"/>
  <c r="F36"/>
  <c r="F38"/>
  <c r="F40"/>
  <c r="F42"/>
  <c r="F44"/>
  <c r="F46"/>
  <c r="F48"/>
  <c r="F50"/>
  <c r="F52"/>
  <c r="F54"/>
  <c r="F56"/>
  <c r="F58"/>
  <c r="F60"/>
  <c r="F62"/>
  <c r="F64"/>
  <c r="F66"/>
  <c r="F68"/>
  <c r="F70"/>
  <c r="F72"/>
  <c r="F74"/>
  <c r="F76"/>
  <c r="F78"/>
  <c r="F80"/>
  <c r="F82"/>
  <c r="F84"/>
  <c r="F86"/>
  <c r="F88"/>
  <c r="F90"/>
  <c r="F92"/>
  <c r="F94"/>
  <c r="F96"/>
  <c r="F98"/>
  <c r="F100"/>
  <c r="F102"/>
  <c r="F104"/>
  <c r="F106"/>
  <c r="F108"/>
  <c r="F110"/>
  <c r="F112"/>
  <c r="F114"/>
  <c r="F116"/>
  <c r="F118"/>
  <c r="F120"/>
  <c r="F122"/>
  <c r="F124"/>
  <c r="F126"/>
  <c r="F128"/>
  <c r="F130"/>
  <c r="F132"/>
  <c r="F134"/>
  <c r="F136"/>
  <c r="F138"/>
  <c r="F140"/>
  <c r="F142"/>
  <c r="F144"/>
  <c r="F146"/>
  <c r="F148"/>
  <c r="F150"/>
  <c r="F152"/>
  <c r="F154"/>
  <c r="F156"/>
  <c r="F158"/>
  <c r="F160"/>
  <c r="F162"/>
  <c r="F164"/>
  <c r="F166"/>
  <c r="F168"/>
  <c r="F170"/>
  <c r="F172"/>
  <c r="F174"/>
  <c r="F176"/>
  <c r="F178"/>
  <c r="F180"/>
  <c r="F182"/>
  <c r="F184"/>
  <c r="F186"/>
  <c r="F188"/>
  <c r="F190"/>
  <c r="F192"/>
  <c r="F194"/>
  <c r="F196"/>
  <c r="F198"/>
  <c r="F200"/>
  <c r="F202"/>
  <c r="F204"/>
  <c r="F206"/>
  <c r="F208"/>
  <c r="F210"/>
  <c r="F212"/>
  <c r="F214"/>
  <c r="F216"/>
  <c r="F218"/>
  <c r="F220"/>
  <c r="F222"/>
  <c r="F224"/>
  <c r="F226"/>
  <c r="F228"/>
  <c r="F230"/>
  <c r="F232"/>
  <c r="F234"/>
  <c r="F236"/>
  <c r="F238"/>
  <c r="F240"/>
  <c r="F242"/>
  <c r="F244"/>
  <c r="F246"/>
  <c r="F248"/>
  <c r="F250"/>
  <c r="F252"/>
  <c r="F254"/>
  <c r="F256"/>
  <c r="F258"/>
  <c r="F260"/>
  <c r="F262"/>
  <c r="F264"/>
  <c r="F266"/>
  <c r="F268"/>
  <c r="F270"/>
  <c r="F272"/>
  <c r="F274"/>
  <c r="F276"/>
  <c r="F278"/>
  <c r="F280"/>
  <c r="F282"/>
  <c r="F284"/>
  <c r="F286"/>
  <c r="F288"/>
  <c r="F290"/>
  <c r="F292"/>
  <c r="F294"/>
  <c r="F296"/>
  <c r="F298"/>
  <c r="F300"/>
  <c r="F302"/>
  <c r="F304"/>
  <c r="F306"/>
  <c r="F308"/>
  <c r="F310"/>
  <c r="F312"/>
  <c r="F314"/>
  <c r="F316"/>
  <c r="F318"/>
  <c r="F320"/>
  <c r="F322"/>
  <c r="F324"/>
  <c r="F326"/>
  <c r="F328"/>
  <c r="F330"/>
  <c r="F332"/>
  <c r="F334"/>
  <c r="F336"/>
  <c r="F338"/>
  <c r="F340"/>
  <c r="F342"/>
  <c r="F3"/>
  <c r="F5"/>
  <c r="F7"/>
  <c r="F9"/>
  <c r="F11"/>
  <c r="F13"/>
  <c r="F15"/>
  <c r="F17"/>
  <c r="F19"/>
  <c r="F21"/>
  <c r="F23"/>
  <c r="F25"/>
  <c r="F27"/>
  <c r="F29"/>
  <c r="F31"/>
  <c r="F33"/>
  <c r="F35"/>
  <c r="F37"/>
  <c r="F39"/>
  <c r="F41"/>
  <c r="F43"/>
  <c r="F45"/>
  <c r="F47"/>
  <c r="F49"/>
  <c r="F51"/>
  <c r="F53"/>
  <c r="F55"/>
  <c r="F57"/>
  <c r="F59"/>
  <c r="F61"/>
  <c r="F63"/>
  <c r="F65"/>
  <c r="F67"/>
  <c r="F69"/>
  <c r="F71"/>
  <c r="F73"/>
  <c r="F75"/>
  <c r="F77"/>
  <c r="F79"/>
  <c r="F81"/>
  <c r="F83"/>
  <c r="F85"/>
  <c r="F87"/>
  <c r="F89"/>
  <c r="F91"/>
  <c r="F93"/>
  <c r="F97"/>
  <c r="F101"/>
  <c r="F105"/>
  <c r="F109"/>
  <c r="F113"/>
  <c r="F117"/>
  <c r="F121"/>
  <c r="F125"/>
  <c r="F129"/>
  <c r="F133"/>
  <c r="F137"/>
  <c r="F141"/>
  <c r="F145"/>
  <c r="F149"/>
  <c r="F153"/>
  <c r="F157"/>
  <c r="F161"/>
  <c r="F165"/>
  <c r="F169"/>
  <c r="F173"/>
  <c r="F177"/>
  <c r="F181"/>
  <c r="F185"/>
  <c r="F189"/>
  <c r="F193"/>
  <c r="F197"/>
  <c r="F201"/>
  <c r="F205"/>
  <c r="F209"/>
  <c r="F213"/>
  <c r="F217"/>
  <c r="F221"/>
  <c r="F225"/>
  <c r="F229"/>
  <c r="F233"/>
  <c r="F237"/>
  <c r="F241"/>
  <c r="F245"/>
  <c r="F249"/>
  <c r="F253"/>
  <c r="F257"/>
  <c r="F261"/>
  <c r="F265"/>
  <c r="F269"/>
  <c r="F273"/>
  <c r="F277"/>
  <c r="F281"/>
  <c r="F285"/>
  <c r="F289"/>
  <c r="F293"/>
  <c r="F297"/>
  <c r="F301"/>
  <c r="F305"/>
  <c r="F309"/>
  <c r="F313"/>
  <c r="F317"/>
  <c r="F321"/>
  <c r="F325"/>
  <c r="F329"/>
  <c r="F333"/>
  <c r="F337"/>
  <c r="F341"/>
  <c r="F344"/>
  <c r="F346"/>
  <c r="F348"/>
  <c r="F350"/>
  <c r="F352"/>
  <c r="F354"/>
  <c r="F356"/>
  <c r="F358"/>
  <c r="F360"/>
  <c r="F362"/>
  <c r="F364"/>
  <c r="F366"/>
  <c r="F368"/>
  <c r="F370"/>
  <c r="F372"/>
  <c r="F374"/>
  <c r="F376"/>
  <c r="F378"/>
  <c r="F380"/>
  <c r="F382"/>
  <c r="F384"/>
  <c r="F386"/>
  <c r="F388"/>
  <c r="F390"/>
  <c r="F392"/>
  <c r="F394"/>
  <c r="F396"/>
  <c r="F398"/>
  <c r="F400"/>
  <c r="F402"/>
  <c r="F404"/>
  <c r="F406"/>
  <c r="F408"/>
  <c r="F410"/>
  <c r="F412"/>
  <c r="F414"/>
  <c r="F416"/>
  <c r="F418"/>
  <c r="F420"/>
  <c r="F422"/>
  <c r="F424"/>
  <c r="F426"/>
  <c r="F428"/>
  <c r="F430"/>
  <c r="F432"/>
  <c r="F434"/>
  <c r="F436"/>
  <c r="F438"/>
  <c r="F440"/>
  <c r="F442"/>
  <c r="F444"/>
  <c r="F446"/>
  <c r="F448"/>
  <c r="F450"/>
  <c r="F452"/>
  <c r="F454"/>
  <c r="F456"/>
  <c r="F458"/>
  <c r="F460"/>
  <c r="F462"/>
  <c r="F464"/>
  <c r="F466"/>
  <c r="F468"/>
  <c r="F470"/>
  <c r="F472"/>
  <c r="F474"/>
  <c r="F476"/>
  <c r="F478"/>
  <c r="F480"/>
  <c r="F482"/>
  <c r="F484"/>
  <c r="F486"/>
  <c r="F488"/>
  <c r="F490"/>
  <c r="F492"/>
  <c r="F494"/>
  <c r="F496"/>
  <c r="F498"/>
  <c r="F500"/>
  <c r="F502"/>
  <c r="F504"/>
  <c r="F506"/>
  <c r="F508"/>
  <c r="F510"/>
  <c r="F512"/>
  <c r="F514"/>
  <c r="F516"/>
  <c r="F518"/>
  <c r="F520"/>
  <c r="F522"/>
  <c r="F524"/>
  <c r="F526"/>
  <c r="F528"/>
  <c r="F530"/>
  <c r="F532"/>
  <c r="F534"/>
  <c r="F536"/>
  <c r="F538"/>
  <c r="F540"/>
  <c r="F542"/>
  <c r="F544"/>
  <c r="F546"/>
  <c r="F548"/>
  <c r="F550"/>
  <c r="F552"/>
  <c r="F554"/>
  <c r="F556"/>
  <c r="F558"/>
  <c r="F560"/>
  <c r="F562"/>
  <c r="F564"/>
  <c r="F566"/>
  <c r="F568"/>
  <c r="F570"/>
  <c r="F572"/>
  <c r="F574"/>
  <c r="F576"/>
  <c r="F578"/>
  <c r="F580"/>
  <c r="F582"/>
  <c r="F584"/>
  <c r="F586"/>
  <c r="F588"/>
  <c r="F590"/>
  <c r="F592"/>
  <c r="F594"/>
  <c r="F596"/>
  <c r="F598"/>
  <c r="F600"/>
  <c r="F602"/>
  <c r="F604"/>
  <c r="F606"/>
  <c r="F608"/>
  <c r="F610"/>
  <c r="F612"/>
  <c r="F614"/>
  <c r="F616"/>
  <c r="F618"/>
  <c r="F620"/>
  <c r="F622"/>
  <c r="F624"/>
  <c r="F626"/>
  <c r="F628"/>
  <c r="F630"/>
  <c r="F632"/>
  <c r="F634"/>
  <c r="F636"/>
  <c r="F638"/>
  <c r="F640"/>
  <c r="F642"/>
  <c r="F644"/>
  <c r="F646"/>
  <c r="F648"/>
  <c r="F650"/>
  <c r="F652"/>
  <c r="F654"/>
  <c r="F656"/>
  <c r="F658"/>
  <c r="F664"/>
  <c r="F95"/>
  <c r="F99"/>
  <c r="F103"/>
  <c r="F107"/>
  <c r="F111"/>
  <c r="F115"/>
  <c r="F119"/>
  <c r="F123"/>
  <c r="F127"/>
  <c r="F131"/>
  <c r="F135"/>
  <c r="F139"/>
  <c r="F143"/>
  <c r="F147"/>
  <c r="F151"/>
  <c r="F155"/>
  <c r="F159"/>
  <c r="F163"/>
  <c r="F167"/>
  <c r="F171"/>
  <c r="F175"/>
  <c r="F179"/>
  <c r="F183"/>
  <c r="F187"/>
  <c r="F191"/>
  <c r="F195"/>
  <c r="F199"/>
  <c r="F203"/>
  <c r="F207"/>
  <c r="F211"/>
  <c r="F215"/>
  <c r="F219"/>
  <c r="F223"/>
  <c r="F227"/>
  <c r="F231"/>
  <c r="F235"/>
  <c r="F239"/>
  <c r="F243"/>
  <c r="F247"/>
  <c r="F251"/>
  <c r="F255"/>
  <c r="F259"/>
  <c r="F263"/>
  <c r="F267"/>
  <c r="F271"/>
  <c r="F275"/>
  <c r="F279"/>
  <c r="F283"/>
  <c r="F287"/>
  <c r="F291"/>
  <c r="F295"/>
  <c r="F299"/>
  <c r="F303"/>
  <c r="F307"/>
  <c r="F311"/>
  <c r="F315"/>
  <c r="F319"/>
  <c r="F323"/>
  <c r="F327"/>
  <c r="F331"/>
  <c r="F335"/>
  <c r="F339"/>
  <c r="F343"/>
  <c r="F345"/>
  <c r="F347"/>
  <c r="F349"/>
  <c r="F351"/>
  <c r="F353"/>
  <c r="F355"/>
  <c r="F357"/>
  <c r="F359"/>
  <c r="F361"/>
  <c r="F363"/>
  <c r="F365"/>
  <c r="F367"/>
  <c r="F369"/>
  <c r="F371"/>
  <c r="F373"/>
  <c r="F375"/>
  <c r="F377"/>
  <c r="F379"/>
  <c r="F381"/>
  <c r="F383"/>
  <c r="F385"/>
  <c r="F387"/>
  <c r="F389"/>
  <c r="F391"/>
  <c r="F393"/>
  <c r="F395"/>
  <c r="F397"/>
  <c r="F399"/>
  <c r="F401"/>
  <c r="F403"/>
  <c r="F405"/>
  <c r="F407"/>
  <c r="F409"/>
  <c r="F411"/>
  <c r="F413"/>
  <c r="F415"/>
  <c r="F417"/>
  <c r="F419"/>
  <c r="F421"/>
  <c r="F423"/>
  <c r="F425"/>
  <c r="F427"/>
  <c r="F429"/>
  <c r="F431"/>
  <c r="F433"/>
  <c r="F435"/>
  <c r="F437"/>
  <c r="F439"/>
  <c r="F441"/>
  <c r="F443"/>
  <c r="F445"/>
  <c r="F447"/>
  <c r="F449"/>
  <c r="F451"/>
  <c r="F453"/>
  <c r="F455"/>
  <c r="F457"/>
  <c r="F459"/>
  <c r="F461"/>
  <c r="F463"/>
  <c r="F465"/>
  <c r="F467"/>
  <c r="F469"/>
  <c r="F471"/>
  <c r="F473"/>
  <c r="F475"/>
  <c r="F477"/>
  <c r="F479"/>
  <c r="F481"/>
  <c r="F483"/>
  <c r="F485"/>
  <c r="F487"/>
  <c r="F489"/>
  <c r="F491"/>
  <c r="F493"/>
  <c r="F495"/>
  <c r="F497"/>
  <c r="F499"/>
  <c r="F501"/>
  <c r="F503"/>
  <c r="F505"/>
  <c r="F507"/>
  <c r="F509"/>
  <c r="F511"/>
  <c r="F513"/>
  <c r="F515"/>
  <c r="F517"/>
  <c r="F519"/>
  <c r="F521"/>
  <c r="F523"/>
  <c r="F525"/>
  <c r="F527"/>
  <c r="F529"/>
  <c r="F531"/>
  <c r="F533"/>
  <c r="F535"/>
  <c r="F537"/>
  <c r="F539"/>
  <c r="F541"/>
  <c r="F543"/>
  <c r="F545"/>
  <c r="F547"/>
  <c r="F549"/>
  <c r="F551"/>
  <c r="F553"/>
  <c r="F555"/>
  <c r="F557"/>
  <c r="F559"/>
  <c r="F561"/>
  <c r="F563"/>
  <c r="F565"/>
  <c r="F567"/>
  <c r="F569"/>
  <c r="F571"/>
  <c r="F573"/>
  <c r="F575"/>
  <c r="F577"/>
  <c r="F579"/>
  <c r="F581"/>
  <c r="F583"/>
  <c r="F585"/>
  <c r="F587"/>
  <c r="F589"/>
  <c r="F591"/>
  <c r="F593"/>
  <c r="F595"/>
  <c r="F597"/>
  <c r="F599"/>
  <c r="F601"/>
  <c r="F603"/>
  <c r="F605"/>
  <c r="F607"/>
  <c r="F609"/>
  <c r="F611"/>
  <c r="F613"/>
  <c r="F615"/>
  <c r="F617"/>
  <c r="F619"/>
  <c r="F621"/>
  <c r="F623"/>
  <c r="F625"/>
  <c r="F627"/>
  <c r="F629"/>
  <c r="F631"/>
  <c r="F633"/>
  <c r="F635"/>
  <c r="F637"/>
  <c r="F639"/>
  <c r="F641"/>
  <c r="F643"/>
  <c r="F645"/>
  <c r="F647"/>
  <c r="F649"/>
  <c r="F651"/>
  <c r="F653"/>
  <c r="F655"/>
  <c r="F657"/>
  <c r="F659"/>
  <c r="F661"/>
  <c r="F663"/>
  <c r="F665"/>
  <c r="F667"/>
  <c r="F669"/>
  <c r="F671"/>
  <c r="F673"/>
  <c r="F675"/>
  <c r="F677"/>
  <c r="F660"/>
  <c r="F662"/>
  <c r="F666"/>
  <c r="F668"/>
  <c r="F670"/>
  <c r="F672"/>
  <c r="F674"/>
  <c r="F676"/>
  <c r="F2"/>
  <c r="H3"/>
  <c r="H4"/>
  <c r="H5"/>
  <c r="H6"/>
  <c r="H7"/>
  <c r="H8"/>
  <c r="H9"/>
  <c r="H10"/>
  <c r="H11"/>
  <c r="H12"/>
  <c r="H13"/>
  <c r="H14"/>
  <c r="H15"/>
  <c r="H16"/>
  <c r="H17"/>
  <c r="H18"/>
  <c r="H19"/>
  <c r="H20"/>
  <c r="H21"/>
  <c r="H22"/>
  <c r="H23"/>
  <c r="H24"/>
  <c r="H25"/>
  <c r="H26"/>
  <c r="H27"/>
  <c r="H28"/>
  <c r="H29"/>
  <c r="H30"/>
  <c r="H31"/>
  <c r="H32"/>
  <c r="H33"/>
  <c r="H34"/>
  <c r="H35"/>
  <c r="H36"/>
  <c r="H37"/>
  <c r="H38"/>
  <c r="H39"/>
  <c r="H40"/>
  <c r="H41"/>
  <c r="H42"/>
  <c r="H43"/>
  <c r="H44"/>
  <c r="H45"/>
  <c r="H46"/>
  <c r="H47"/>
  <c r="H48"/>
  <c r="H49"/>
  <c r="H50"/>
  <c r="H51"/>
  <c r="H52"/>
  <c r="H53"/>
  <c r="H54"/>
  <c r="H55"/>
  <c r="H56"/>
  <c r="H57"/>
  <c r="H58"/>
  <c r="H59"/>
  <c r="H60"/>
  <c r="H61"/>
  <c r="H62"/>
  <c r="H63"/>
  <c r="H64"/>
  <c r="H65"/>
  <c r="H66"/>
  <c r="H67"/>
  <c r="H68"/>
  <c r="H69"/>
  <c r="H70"/>
  <c r="H71"/>
  <c r="H72"/>
  <c r="H73"/>
  <c r="H74"/>
  <c r="H75"/>
  <c r="H76"/>
  <c r="H77"/>
  <c r="H78"/>
  <c r="H79"/>
  <c r="H80"/>
  <c r="H81"/>
  <c r="H82"/>
  <c r="H83"/>
  <c r="H84"/>
  <c r="H85"/>
  <c r="H86"/>
  <c r="H87"/>
  <c r="H88"/>
  <c r="H89"/>
  <c r="H90"/>
  <c r="H91"/>
  <c r="H92"/>
  <c r="H93"/>
  <c r="H94"/>
  <c r="H95"/>
  <c r="H96"/>
  <c r="H97"/>
  <c r="H98"/>
  <c r="H99"/>
  <c r="H100"/>
  <c r="H101"/>
  <c r="H102"/>
  <c r="H103"/>
  <c r="H104"/>
  <c r="H105"/>
  <c r="H106"/>
  <c r="H107"/>
  <c r="H108"/>
  <c r="H109"/>
  <c r="H110"/>
  <c r="H111"/>
  <c r="H112"/>
  <c r="H113"/>
  <c r="H114"/>
  <c r="H115"/>
  <c r="H116"/>
  <c r="H117"/>
  <c r="H118"/>
  <c r="H119"/>
  <c r="H120"/>
  <c r="H121"/>
  <c r="H122"/>
  <c r="H123"/>
  <c r="H124"/>
  <c r="H125"/>
  <c r="H126"/>
  <c r="H127"/>
  <c r="H128"/>
  <c r="H129"/>
  <c r="H130"/>
  <c r="H131"/>
  <c r="H132"/>
  <c r="H133"/>
  <c r="H134"/>
  <c r="H135"/>
  <c r="H136"/>
  <c r="H137"/>
  <c r="H138"/>
  <c r="H139"/>
  <c r="H140"/>
  <c r="H141"/>
  <c r="H142"/>
  <c r="H143"/>
  <c r="H144"/>
  <c r="H145"/>
  <c r="H146"/>
  <c r="H147"/>
  <c r="H148"/>
  <c r="H149"/>
  <c r="H150"/>
  <c r="H151"/>
  <c r="H152"/>
  <c r="H153"/>
  <c r="H154"/>
  <c r="H155"/>
  <c r="H156"/>
  <c r="H157"/>
  <c r="H158"/>
  <c r="H159"/>
  <c r="H160"/>
  <c r="H161"/>
  <c r="H162"/>
  <c r="H163"/>
  <c r="H164"/>
  <c r="H165"/>
  <c r="H166"/>
  <c r="H167"/>
  <c r="H168"/>
  <c r="H169"/>
  <c r="H170"/>
  <c r="H171"/>
  <c r="H172"/>
  <c r="H173"/>
  <c r="H174"/>
  <c r="H175"/>
  <c r="H176"/>
  <c r="H177"/>
  <c r="H178"/>
  <c r="H179"/>
  <c r="H180"/>
  <c r="H181"/>
  <c r="H182"/>
  <c r="H183"/>
  <c r="H184"/>
  <c r="H185"/>
  <c r="H186"/>
  <c r="H187"/>
  <c r="H188"/>
  <c r="H189"/>
  <c r="H190"/>
  <c r="H191"/>
  <c r="H192"/>
  <c r="H193"/>
  <c r="H194"/>
  <c r="H195"/>
  <c r="H196"/>
  <c r="H197"/>
  <c r="H198"/>
  <c r="H199"/>
  <c r="H200"/>
  <c r="H201"/>
  <c r="H202"/>
  <c r="H203"/>
  <c r="H204"/>
  <c r="H205"/>
  <c r="H206"/>
  <c r="H207"/>
  <c r="H208"/>
  <c r="H209"/>
  <c r="H210"/>
  <c r="H211"/>
  <c r="H212"/>
  <c r="H213"/>
  <c r="H214"/>
  <c r="H215"/>
  <c r="H216"/>
  <c r="H217"/>
  <c r="H218"/>
  <c r="H219"/>
  <c r="H220"/>
  <c r="H221"/>
  <c r="H222"/>
  <c r="H223"/>
  <c r="H224"/>
  <c r="H225"/>
  <c r="H226"/>
  <c r="H227"/>
  <c r="H228"/>
  <c r="H229"/>
  <c r="H230"/>
  <c r="H231"/>
  <c r="H232"/>
  <c r="H233"/>
  <c r="H234"/>
  <c r="H235"/>
  <c r="H236"/>
  <c r="H237"/>
  <c r="H238"/>
  <c r="H239"/>
  <c r="H240"/>
  <c r="H241"/>
  <c r="H242"/>
  <c r="H243"/>
  <c r="H244"/>
  <c r="H245"/>
  <c r="H246"/>
  <c r="H247"/>
  <c r="H248"/>
  <c r="H249"/>
  <c r="H250"/>
  <c r="H251"/>
  <c r="H252"/>
  <c r="H253"/>
  <c r="H254"/>
  <c r="H255"/>
  <c r="H256"/>
  <c r="H257"/>
  <c r="H258"/>
  <c r="H2"/>
  <c r="H477"/>
  <c r="H479"/>
  <c r="H481"/>
  <c r="H483"/>
  <c r="H485"/>
  <c r="H486"/>
  <c r="H488"/>
  <c r="H490"/>
  <c r="H491"/>
  <c r="H493"/>
  <c r="H494"/>
  <c r="H496"/>
  <c r="H498"/>
  <c r="H499"/>
  <c r="H501"/>
  <c r="H503"/>
  <c r="H505"/>
  <c r="H506"/>
  <c r="H508"/>
  <c r="H510"/>
  <c r="H512"/>
  <c r="H514"/>
  <c r="H516"/>
  <c r="H518"/>
  <c r="H519"/>
  <c r="H522"/>
  <c r="H524"/>
  <c r="H526"/>
  <c r="H528"/>
  <c r="H530"/>
  <c r="H532"/>
  <c r="H534"/>
  <c r="H536"/>
  <c r="H538"/>
  <c r="H540"/>
  <c r="H542"/>
  <c r="H544"/>
  <c r="H546"/>
  <c r="H548"/>
  <c r="H550"/>
  <c r="H552"/>
  <c r="H554"/>
  <c r="H556"/>
  <c r="H558"/>
  <c r="H560"/>
  <c r="H562"/>
  <c r="H564"/>
  <c r="H565"/>
  <c r="H567"/>
  <c r="H568"/>
  <c r="H570"/>
  <c r="H572"/>
  <c r="H574"/>
  <c r="H576"/>
  <c r="H578"/>
  <c r="H580"/>
  <c r="H582"/>
  <c r="H584"/>
  <c r="H586"/>
  <c r="H588"/>
  <c r="H590"/>
  <c r="H592"/>
  <c r="H594"/>
  <c r="H595"/>
  <c r="H597"/>
  <c r="H599"/>
  <c r="H601"/>
  <c r="H603"/>
  <c r="H605"/>
  <c r="H607"/>
  <c r="H609"/>
  <c r="H610"/>
  <c r="H612"/>
  <c r="H613"/>
  <c r="H615"/>
  <c r="H616"/>
  <c r="H618"/>
  <c r="H620"/>
  <c r="H621"/>
  <c r="H623"/>
  <c r="H625"/>
  <c r="H627"/>
  <c r="H629"/>
  <c r="H630"/>
  <c r="H632"/>
  <c r="H634"/>
  <c r="H636"/>
  <c r="H638"/>
  <c r="H640"/>
  <c r="H642"/>
  <c r="H644"/>
  <c r="H646"/>
  <c r="H648"/>
  <c r="H650"/>
  <c r="H652"/>
  <c r="H654"/>
  <c r="H656"/>
  <c r="H657"/>
  <c r="H659"/>
  <c r="H661"/>
  <c r="H663"/>
  <c r="H665"/>
  <c r="H667"/>
  <c r="H669"/>
  <c r="H671"/>
  <c r="H673"/>
  <c r="H674"/>
  <c r="H676"/>
  <c r="H259"/>
  <c r="H260"/>
  <c r="H261"/>
  <c r="H262"/>
  <c r="H263"/>
  <c r="H264"/>
  <c r="H265"/>
  <c r="H266"/>
  <c r="H267"/>
  <c r="H268"/>
  <c r="H269"/>
  <c r="H270"/>
  <c r="H271"/>
  <c r="H272"/>
  <c r="H273"/>
  <c r="H274"/>
  <c r="H275"/>
  <c r="H276"/>
  <c r="H277"/>
  <c r="H278"/>
  <c r="H279"/>
  <c r="H280"/>
  <c r="H281"/>
  <c r="H282"/>
  <c r="H283"/>
  <c r="H284"/>
  <c r="H285"/>
  <c r="H286"/>
  <c r="H287"/>
  <c r="H288"/>
  <c r="H289"/>
  <c r="H290"/>
  <c r="H291"/>
  <c r="H292"/>
  <c r="H293"/>
  <c r="H294"/>
  <c r="H295"/>
  <c r="H296"/>
  <c r="H297"/>
  <c r="H298"/>
  <c r="H299"/>
  <c r="H300"/>
  <c r="H301"/>
  <c r="H302"/>
  <c r="H303"/>
  <c r="H304"/>
  <c r="H305"/>
  <c r="H306"/>
  <c r="H307"/>
  <c r="H308"/>
  <c r="H309"/>
  <c r="H310"/>
  <c r="H311"/>
  <c r="H312"/>
  <c r="H313"/>
  <c r="H314"/>
  <c r="H315"/>
  <c r="H316"/>
  <c r="H317"/>
  <c r="H318"/>
  <c r="H319"/>
  <c r="H320"/>
  <c r="H321"/>
  <c r="H322"/>
  <c r="H323"/>
  <c r="H324"/>
  <c r="H325"/>
  <c r="H326"/>
  <c r="H327"/>
  <c r="H328"/>
  <c r="H329"/>
  <c r="H330"/>
  <c r="H331"/>
  <c r="H332"/>
  <c r="H333"/>
  <c r="H334"/>
  <c r="H335"/>
  <c r="H336"/>
  <c r="H337"/>
  <c r="H338"/>
  <c r="H339"/>
  <c r="H340"/>
  <c r="H341"/>
  <c r="H342"/>
  <c r="H343"/>
  <c r="H344"/>
  <c r="H345"/>
  <c r="H346"/>
  <c r="H347"/>
  <c r="H348"/>
  <c r="H349"/>
  <c r="H350"/>
  <c r="H351"/>
  <c r="H352"/>
  <c r="H353"/>
  <c r="H354"/>
  <c r="H355"/>
  <c r="H356"/>
  <c r="H357"/>
  <c r="H358"/>
  <c r="H359"/>
  <c r="H360"/>
  <c r="H361"/>
  <c r="H362"/>
  <c r="H363"/>
  <c r="H364"/>
  <c r="H365"/>
  <c r="H366"/>
  <c r="H367"/>
  <c r="H368"/>
  <c r="H369"/>
  <c r="H370"/>
  <c r="H371"/>
  <c r="H372"/>
  <c r="H373"/>
  <c r="H374"/>
  <c r="H375"/>
  <c r="H376"/>
  <c r="H377"/>
  <c r="H378"/>
  <c r="H379"/>
  <c r="H380"/>
  <c r="H381"/>
  <c r="H382"/>
  <c r="H383"/>
  <c r="H384"/>
  <c r="H385"/>
  <c r="H386"/>
  <c r="H387"/>
  <c r="H388"/>
  <c r="H389"/>
  <c r="H390"/>
  <c r="H391"/>
  <c r="H392"/>
  <c r="H393"/>
  <c r="H394"/>
  <c r="H395"/>
  <c r="H396"/>
  <c r="H397"/>
  <c r="H398"/>
  <c r="H399"/>
  <c r="H400"/>
  <c r="H401"/>
  <c r="H402"/>
  <c r="H403"/>
  <c r="H404"/>
  <c r="H405"/>
  <c r="H406"/>
  <c r="H407"/>
  <c r="H408"/>
  <c r="H409"/>
  <c r="H410"/>
  <c r="H411"/>
  <c r="H412"/>
  <c r="H413"/>
  <c r="H414"/>
  <c r="H415"/>
  <c r="H416"/>
  <c r="H417"/>
  <c r="H418"/>
  <c r="H419"/>
  <c r="H420"/>
  <c r="H421"/>
  <c r="H422"/>
  <c r="H423"/>
  <c r="H424"/>
  <c r="H425"/>
  <c r="H426"/>
  <c r="H427"/>
  <c r="H428"/>
  <c r="H429"/>
  <c r="H430"/>
  <c r="H431"/>
  <c r="H432"/>
  <c r="H433"/>
  <c r="H434"/>
  <c r="H435"/>
  <c r="H436"/>
  <c r="H437"/>
  <c r="H438"/>
  <c r="H439"/>
  <c r="H440"/>
  <c r="H441"/>
  <c r="H442"/>
  <c r="H443"/>
  <c r="H444"/>
  <c r="H445"/>
  <c r="H446"/>
  <c r="H447"/>
  <c r="H448"/>
  <c r="H449"/>
  <c r="H450"/>
  <c r="H451"/>
  <c r="H452"/>
  <c r="H453"/>
  <c r="H454"/>
  <c r="H455"/>
  <c r="H456"/>
  <c r="H457"/>
  <c r="H458"/>
  <c r="H459"/>
  <c r="H460"/>
  <c r="H461"/>
  <c r="H462"/>
  <c r="H463"/>
  <c r="H464"/>
  <c r="H465"/>
  <c r="H466"/>
  <c r="H467"/>
  <c r="H468"/>
  <c r="H469"/>
  <c r="H470"/>
  <c r="H471"/>
  <c r="H472"/>
  <c r="H473"/>
  <c r="H474"/>
  <c r="H475"/>
  <c r="H476"/>
  <c r="H478"/>
  <c r="H480"/>
  <c r="H482"/>
  <c r="H484"/>
  <c r="H487"/>
  <c r="H489"/>
  <c r="H492"/>
  <c r="H495"/>
  <c r="H497"/>
  <c r="H500"/>
  <c r="H502"/>
  <c r="H504"/>
  <c r="H507"/>
  <c r="H509"/>
  <c r="H511"/>
  <c r="H513"/>
  <c r="H515"/>
  <c r="H517"/>
  <c r="H520"/>
  <c r="H521"/>
  <c r="H523"/>
  <c r="H525"/>
  <c r="H527"/>
  <c r="H529"/>
  <c r="H531"/>
  <c r="H533"/>
  <c r="H535"/>
  <c r="H537"/>
  <c r="H539"/>
  <c r="H541"/>
  <c r="H543"/>
  <c r="H545"/>
  <c r="H547"/>
  <c r="H549"/>
  <c r="H551"/>
  <c r="H553"/>
  <c r="H555"/>
  <c r="H557"/>
  <c r="H559"/>
  <c r="H561"/>
  <c r="H563"/>
  <c r="H566"/>
  <c r="H569"/>
  <c r="H571"/>
  <c r="H573"/>
  <c r="H575"/>
  <c r="H577"/>
  <c r="H579"/>
  <c r="H581"/>
  <c r="H583"/>
  <c r="H585"/>
  <c r="H587"/>
  <c r="H589"/>
  <c r="H591"/>
  <c r="H593"/>
  <c r="H596"/>
  <c r="H598"/>
  <c r="H600"/>
  <c r="H602"/>
  <c r="H604"/>
  <c r="H606"/>
  <c r="H608"/>
  <c r="H611"/>
  <c r="H614"/>
  <c r="H617"/>
  <c r="H619"/>
  <c r="H622"/>
  <c r="H624"/>
  <c r="H626"/>
  <c r="H628"/>
  <c r="H631"/>
  <c r="H633"/>
  <c r="H635"/>
  <c r="H637"/>
  <c r="H639"/>
  <c r="H641"/>
  <c r="H643"/>
  <c r="H645"/>
  <c r="H647"/>
  <c r="H649"/>
  <c r="H651"/>
  <c r="H653"/>
  <c r="H655"/>
  <c r="H658"/>
  <c r="H660"/>
  <c r="H662"/>
  <c r="H664"/>
  <c r="H666"/>
  <c r="H668"/>
  <c r="H670"/>
  <c r="H672"/>
  <c r="H675"/>
  <c r="H677"/>
  <c r="J4"/>
  <c r="J6"/>
  <c r="J8"/>
  <c r="J10"/>
  <c r="J12"/>
  <c r="J14"/>
  <c r="J16"/>
  <c r="J18"/>
  <c r="J20"/>
  <c r="J22"/>
  <c r="J24"/>
  <c r="J26"/>
  <c r="J28"/>
  <c r="J30"/>
  <c r="J32"/>
  <c r="J34"/>
  <c r="J36"/>
  <c r="J38"/>
  <c r="J40"/>
  <c r="J42"/>
  <c r="J44"/>
  <c r="J46"/>
  <c r="J48"/>
  <c r="J50"/>
  <c r="J52"/>
  <c r="J54"/>
  <c r="J56"/>
  <c r="J58"/>
  <c r="J60"/>
  <c r="J62"/>
  <c r="J64"/>
  <c r="J66"/>
  <c r="J68"/>
  <c r="J70"/>
  <c r="J72"/>
  <c r="J74"/>
  <c r="J76"/>
  <c r="J78"/>
  <c r="J80"/>
  <c r="J82"/>
  <c r="J84"/>
  <c r="J86"/>
  <c r="J88"/>
  <c r="J90"/>
  <c r="J92"/>
  <c r="J94"/>
  <c r="J96"/>
  <c r="J98"/>
  <c r="J100"/>
  <c r="J102"/>
  <c r="J104"/>
  <c r="J106"/>
  <c r="J108"/>
  <c r="J110"/>
  <c r="J112"/>
  <c r="J114"/>
  <c r="J116"/>
  <c r="J118"/>
  <c r="J120"/>
  <c r="J122"/>
  <c r="J124"/>
  <c r="J126"/>
  <c r="J128"/>
  <c r="J130"/>
  <c r="J132"/>
  <c r="J134"/>
  <c r="J136"/>
  <c r="J138"/>
  <c r="J140"/>
  <c r="J142"/>
  <c r="J144"/>
  <c r="J146"/>
  <c r="J148"/>
  <c r="J150"/>
  <c r="J152"/>
  <c r="J154"/>
  <c r="J156"/>
  <c r="J158"/>
  <c r="J160"/>
  <c r="J162"/>
  <c r="J164"/>
  <c r="J166"/>
  <c r="J168"/>
  <c r="J170"/>
  <c r="J172"/>
  <c r="J174"/>
  <c r="J176"/>
  <c r="J178"/>
  <c r="J180"/>
  <c r="J182"/>
  <c r="J184"/>
  <c r="J186"/>
  <c r="J188"/>
  <c r="J190"/>
  <c r="J192"/>
  <c r="J194"/>
  <c r="J196"/>
  <c r="J198"/>
  <c r="J200"/>
  <c r="J202"/>
  <c r="J204"/>
  <c r="J206"/>
  <c r="J208"/>
  <c r="J210"/>
  <c r="J212"/>
  <c r="J214"/>
  <c r="J216"/>
  <c r="J218"/>
  <c r="J220"/>
  <c r="J222"/>
  <c r="J224"/>
  <c r="J226"/>
  <c r="J228"/>
  <c r="J230"/>
  <c r="J232"/>
  <c r="J234"/>
  <c r="J236"/>
  <c r="J238"/>
  <c r="J240"/>
  <c r="J242"/>
  <c r="J244"/>
  <c r="J246"/>
  <c r="J248"/>
  <c r="J250"/>
  <c r="J252"/>
  <c r="J254"/>
  <c r="J256"/>
  <c r="J258"/>
  <c r="J260"/>
  <c r="J262"/>
  <c r="J264"/>
  <c r="J266"/>
  <c r="J268"/>
  <c r="J270"/>
  <c r="J272"/>
  <c r="J274"/>
  <c r="J276"/>
  <c r="J278"/>
  <c r="J280"/>
  <c r="J282"/>
  <c r="J284"/>
  <c r="J286"/>
  <c r="J288"/>
  <c r="J290"/>
  <c r="J292"/>
  <c r="J294"/>
  <c r="J296"/>
  <c r="J298"/>
  <c r="J300"/>
  <c r="J302"/>
  <c r="J304"/>
  <c r="J306"/>
  <c r="J308"/>
  <c r="J310"/>
  <c r="J312"/>
  <c r="J314"/>
  <c r="J316"/>
  <c r="J318"/>
  <c r="J320"/>
  <c r="J322"/>
  <c r="J324"/>
  <c r="J326"/>
  <c r="J328"/>
  <c r="J330"/>
  <c r="J332"/>
  <c r="J334"/>
  <c r="J336"/>
  <c r="J338"/>
  <c r="J340"/>
  <c r="J342"/>
  <c r="J344"/>
  <c r="J346"/>
  <c r="J348"/>
  <c r="J350"/>
  <c r="J352"/>
  <c r="J354"/>
  <c r="J356"/>
  <c r="J358"/>
  <c r="J360"/>
  <c r="J362"/>
  <c r="J364"/>
  <c r="J366"/>
  <c r="J368"/>
  <c r="J370"/>
  <c r="J372"/>
  <c r="J374"/>
  <c r="J376"/>
  <c r="J378"/>
  <c r="J380"/>
  <c r="J382"/>
  <c r="J384"/>
  <c r="J386"/>
  <c r="J388"/>
  <c r="J390"/>
  <c r="J392"/>
  <c r="J394"/>
  <c r="J396"/>
  <c r="J398"/>
  <c r="J400"/>
  <c r="J402"/>
  <c r="J404"/>
  <c r="J406"/>
  <c r="J408"/>
  <c r="J410"/>
  <c r="J412"/>
  <c r="J414"/>
  <c r="J416"/>
  <c r="J418"/>
  <c r="J420"/>
  <c r="J422"/>
  <c r="J424"/>
  <c r="J426"/>
  <c r="J428"/>
  <c r="J430"/>
  <c r="J432"/>
  <c r="J434"/>
  <c r="J436"/>
  <c r="J438"/>
  <c r="J440"/>
  <c r="J442"/>
  <c r="J444"/>
  <c r="J446"/>
  <c r="J448"/>
  <c r="J450"/>
  <c r="J452"/>
  <c r="J454"/>
  <c r="J456"/>
  <c r="J458"/>
  <c r="J460"/>
  <c r="J462"/>
  <c r="J464"/>
  <c r="J466"/>
  <c r="J468"/>
  <c r="J470"/>
  <c r="J472"/>
  <c r="J474"/>
  <c r="J476"/>
  <c r="J478"/>
  <c r="J480"/>
  <c r="J482"/>
  <c r="J484"/>
  <c r="J486"/>
  <c r="J488"/>
  <c r="J490"/>
  <c r="J492"/>
  <c r="J494"/>
  <c r="J496"/>
  <c r="J498"/>
  <c r="J500"/>
  <c r="J502"/>
  <c r="J504"/>
  <c r="J506"/>
  <c r="J508"/>
  <c r="J510"/>
  <c r="J512"/>
  <c r="J514"/>
  <c r="J3"/>
  <c r="J5"/>
  <c r="J7"/>
  <c r="J9"/>
  <c r="J11"/>
  <c r="J13"/>
  <c r="J15"/>
  <c r="J17"/>
  <c r="J19"/>
  <c r="J21"/>
  <c r="J23"/>
  <c r="J25"/>
  <c r="J27"/>
  <c r="J29"/>
  <c r="J31"/>
  <c r="J33"/>
  <c r="J35"/>
  <c r="J37"/>
  <c r="J39"/>
  <c r="J41"/>
  <c r="J43"/>
  <c r="J45"/>
  <c r="J47"/>
  <c r="J49"/>
  <c r="J51"/>
  <c r="J53"/>
  <c r="J55"/>
  <c r="J57"/>
  <c r="J59"/>
  <c r="J61"/>
  <c r="J63"/>
  <c r="J65"/>
  <c r="J67"/>
  <c r="J69"/>
  <c r="J71"/>
  <c r="J73"/>
  <c r="J75"/>
  <c r="J77"/>
  <c r="J79"/>
  <c r="J81"/>
  <c r="J83"/>
  <c r="J85"/>
  <c r="J87"/>
  <c r="J89"/>
  <c r="J91"/>
  <c r="J93"/>
  <c r="J95"/>
  <c r="J97"/>
  <c r="J99"/>
  <c r="J101"/>
  <c r="J103"/>
  <c r="J105"/>
  <c r="J107"/>
  <c r="J109"/>
  <c r="J111"/>
  <c r="J113"/>
  <c r="J115"/>
  <c r="J117"/>
  <c r="J119"/>
  <c r="J121"/>
  <c r="J123"/>
  <c r="J125"/>
  <c r="J127"/>
  <c r="J129"/>
  <c r="J131"/>
  <c r="J133"/>
  <c r="J135"/>
  <c r="J137"/>
  <c r="J139"/>
  <c r="J141"/>
  <c r="J143"/>
  <c r="J145"/>
  <c r="J147"/>
  <c r="J149"/>
  <c r="J151"/>
  <c r="J153"/>
  <c r="J155"/>
  <c r="J157"/>
  <c r="J159"/>
  <c r="J161"/>
  <c r="J163"/>
  <c r="J165"/>
  <c r="J167"/>
  <c r="J169"/>
  <c r="J171"/>
  <c r="J173"/>
  <c r="J175"/>
  <c r="J177"/>
  <c r="J179"/>
  <c r="J181"/>
  <c r="J183"/>
  <c r="J185"/>
  <c r="J187"/>
  <c r="J189"/>
  <c r="J191"/>
  <c r="J193"/>
  <c r="J195"/>
  <c r="J197"/>
  <c r="J199"/>
  <c r="J201"/>
  <c r="J203"/>
  <c r="J205"/>
  <c r="J207"/>
  <c r="J209"/>
  <c r="J211"/>
  <c r="J213"/>
  <c r="J215"/>
  <c r="J217"/>
  <c r="J219"/>
  <c r="J221"/>
  <c r="J223"/>
  <c r="J225"/>
  <c r="J227"/>
  <c r="J229"/>
  <c r="J231"/>
  <c r="J233"/>
  <c r="J235"/>
  <c r="J237"/>
  <c r="J239"/>
  <c r="J241"/>
  <c r="J243"/>
  <c r="J245"/>
  <c r="J247"/>
  <c r="J249"/>
  <c r="J251"/>
  <c r="J253"/>
  <c r="J255"/>
  <c r="J257"/>
  <c r="J259"/>
  <c r="J261"/>
  <c r="J263"/>
  <c r="J265"/>
  <c r="J267"/>
  <c r="J269"/>
  <c r="J271"/>
  <c r="J273"/>
  <c r="J275"/>
  <c r="J277"/>
  <c r="J279"/>
  <c r="J281"/>
  <c r="J283"/>
  <c r="J285"/>
  <c r="J287"/>
  <c r="J289"/>
  <c r="J291"/>
  <c r="J293"/>
  <c r="J295"/>
  <c r="J297"/>
  <c r="J299"/>
  <c r="J301"/>
  <c r="J303"/>
  <c r="J305"/>
  <c r="J307"/>
  <c r="J309"/>
  <c r="J311"/>
  <c r="J313"/>
  <c r="J315"/>
  <c r="J317"/>
  <c r="J319"/>
  <c r="J321"/>
  <c r="J323"/>
  <c r="J325"/>
  <c r="J327"/>
  <c r="J329"/>
  <c r="J331"/>
  <c r="J333"/>
  <c r="J335"/>
  <c r="J337"/>
  <c r="J339"/>
  <c r="J341"/>
  <c r="J343"/>
  <c r="J345"/>
  <c r="J347"/>
  <c r="J349"/>
  <c r="J351"/>
  <c r="J353"/>
  <c r="J355"/>
  <c r="J357"/>
  <c r="J359"/>
  <c r="J361"/>
  <c r="J363"/>
  <c r="J365"/>
  <c r="J367"/>
  <c r="J369"/>
  <c r="J371"/>
  <c r="J373"/>
  <c r="J375"/>
  <c r="J377"/>
  <c r="J379"/>
  <c r="J381"/>
  <c r="J383"/>
  <c r="J385"/>
  <c r="J387"/>
  <c r="J389"/>
  <c r="J391"/>
  <c r="J393"/>
  <c r="J395"/>
  <c r="J397"/>
  <c r="J399"/>
  <c r="J401"/>
  <c r="J403"/>
  <c r="J405"/>
  <c r="J407"/>
  <c r="J409"/>
  <c r="J411"/>
  <c r="J413"/>
  <c r="J415"/>
  <c r="J417"/>
  <c r="J419"/>
  <c r="J421"/>
  <c r="J423"/>
  <c r="J425"/>
  <c r="J427"/>
  <c r="J429"/>
  <c r="J431"/>
  <c r="J433"/>
  <c r="J435"/>
  <c r="J437"/>
  <c r="J439"/>
  <c r="J441"/>
  <c r="J443"/>
  <c r="J445"/>
  <c r="J447"/>
  <c r="J449"/>
  <c r="J451"/>
  <c r="J453"/>
  <c r="J455"/>
  <c r="J457"/>
  <c r="J459"/>
  <c r="J461"/>
  <c r="J463"/>
  <c r="J465"/>
  <c r="J467"/>
  <c r="J469"/>
  <c r="J471"/>
  <c r="J473"/>
  <c r="J475"/>
  <c r="J477"/>
  <c r="J479"/>
  <c r="J481"/>
  <c r="J483"/>
  <c r="J485"/>
  <c r="J487"/>
  <c r="J489"/>
  <c r="J491"/>
  <c r="J493"/>
  <c r="J495"/>
  <c r="J497"/>
  <c r="J499"/>
  <c r="J501"/>
  <c r="J503"/>
  <c r="J505"/>
  <c r="J507"/>
  <c r="J509"/>
  <c r="J511"/>
  <c r="J513"/>
  <c r="J516"/>
  <c r="J518"/>
  <c r="J520"/>
  <c r="J522"/>
  <c r="J524"/>
  <c r="J526"/>
  <c r="J528"/>
  <c r="J530"/>
  <c r="J532"/>
  <c r="J534"/>
  <c r="J536"/>
  <c r="J538"/>
  <c r="J540"/>
  <c r="J542"/>
  <c r="J544"/>
  <c r="J546"/>
  <c r="J548"/>
  <c r="J550"/>
  <c r="J552"/>
  <c r="J554"/>
  <c r="J556"/>
  <c r="J558"/>
  <c r="J560"/>
  <c r="J562"/>
  <c r="J564"/>
  <c r="J566"/>
  <c r="J568"/>
  <c r="J570"/>
  <c r="J572"/>
  <c r="J574"/>
  <c r="J576"/>
  <c r="J578"/>
  <c r="J580"/>
  <c r="J582"/>
  <c r="J584"/>
  <c r="J586"/>
  <c r="J588"/>
  <c r="J590"/>
  <c r="J592"/>
  <c r="J594"/>
  <c r="J596"/>
  <c r="J598"/>
  <c r="J600"/>
  <c r="J602"/>
  <c r="J604"/>
  <c r="J606"/>
  <c r="J608"/>
  <c r="J610"/>
  <c r="J612"/>
  <c r="J614"/>
  <c r="J616"/>
  <c r="J618"/>
  <c r="J620"/>
  <c r="J622"/>
  <c r="J624"/>
  <c r="J626"/>
  <c r="J628"/>
  <c r="J630"/>
  <c r="J632"/>
  <c r="J634"/>
  <c r="J636"/>
  <c r="J638"/>
  <c r="J640"/>
  <c r="J642"/>
  <c r="J644"/>
  <c r="J646"/>
  <c r="J648"/>
  <c r="J650"/>
  <c r="J652"/>
  <c r="J654"/>
  <c r="J656"/>
  <c r="J658"/>
  <c r="J660"/>
  <c r="J662"/>
  <c r="J664"/>
  <c r="J666"/>
  <c r="J668"/>
  <c r="J670"/>
  <c r="J672"/>
  <c r="J674"/>
  <c r="J676"/>
  <c r="J2"/>
  <c r="D3"/>
  <c r="D5"/>
  <c r="D7"/>
  <c r="D9"/>
  <c r="D11"/>
  <c r="D13"/>
  <c r="D15"/>
  <c r="D17"/>
  <c r="D19"/>
  <c r="D21"/>
  <c r="D23"/>
  <c r="D25"/>
  <c r="D27"/>
  <c r="D29"/>
  <c r="D31"/>
  <c r="D33"/>
  <c r="D35"/>
  <c r="D37"/>
  <c r="D39"/>
  <c r="D41"/>
  <c r="D43"/>
  <c r="D45"/>
  <c r="D47"/>
  <c r="D49"/>
  <c r="D51"/>
  <c r="D53"/>
  <c r="D55"/>
  <c r="D57"/>
  <c r="D59"/>
  <c r="D61"/>
  <c r="D63"/>
  <c r="D65"/>
  <c r="D67"/>
  <c r="D69"/>
  <c r="D71"/>
  <c r="D73"/>
  <c r="D75"/>
  <c r="D77"/>
  <c r="D79"/>
  <c r="D81"/>
  <c r="D83"/>
  <c r="D85"/>
  <c r="D87"/>
  <c r="D89"/>
  <c r="D91"/>
  <c r="D93"/>
  <c r="D95"/>
  <c r="D97"/>
  <c r="D99"/>
  <c r="D101"/>
  <c r="D103"/>
  <c r="D105"/>
  <c r="D107"/>
  <c r="D109"/>
  <c r="D111"/>
  <c r="D113"/>
  <c r="D115"/>
  <c r="D117"/>
  <c r="D119"/>
  <c r="D121"/>
  <c r="D123"/>
  <c r="D125"/>
  <c r="D127"/>
  <c r="D129"/>
  <c r="D131"/>
  <c r="D133"/>
  <c r="D135"/>
  <c r="D137"/>
  <c r="D139"/>
  <c r="D141"/>
  <c r="D143"/>
  <c r="D145"/>
  <c r="D147"/>
  <c r="D149"/>
  <c r="D151"/>
  <c r="D153"/>
  <c r="D155"/>
  <c r="D157"/>
  <c r="D159"/>
  <c r="D161"/>
  <c r="D163"/>
  <c r="D165"/>
  <c r="D167"/>
  <c r="D169"/>
  <c r="D171"/>
  <c r="D173"/>
  <c r="D175"/>
  <c r="D177"/>
  <c r="D179"/>
  <c r="D181"/>
  <c r="D183"/>
  <c r="D185"/>
  <c r="D187"/>
  <c r="D189"/>
  <c r="D191"/>
  <c r="D193"/>
  <c r="D195"/>
  <c r="D197"/>
  <c r="D199"/>
  <c r="D201"/>
  <c r="D203"/>
  <c r="D205"/>
  <c r="D207"/>
  <c r="D209"/>
  <c r="D211"/>
  <c r="D213"/>
  <c r="D215"/>
  <c r="D217"/>
  <c r="D219"/>
  <c r="D221"/>
  <c r="D223"/>
  <c r="D225"/>
  <c r="D227"/>
  <c r="D229"/>
  <c r="D231"/>
  <c r="D233"/>
  <c r="D235"/>
  <c r="D237"/>
  <c r="D239"/>
  <c r="D241"/>
  <c r="D243"/>
  <c r="D245"/>
  <c r="D247"/>
  <c r="D249"/>
  <c r="D251"/>
  <c r="D253"/>
  <c r="D255"/>
  <c r="D257"/>
  <c r="D259"/>
  <c r="D261"/>
  <c r="D263"/>
  <c r="D265"/>
  <c r="D267"/>
  <c r="D269"/>
  <c r="D271"/>
  <c r="D273"/>
  <c r="D275"/>
  <c r="D277"/>
  <c r="D279"/>
  <c r="D281"/>
  <c r="D283"/>
  <c r="D285"/>
  <c r="D287"/>
  <c r="D289"/>
  <c r="D291"/>
  <c r="D293"/>
  <c r="D295"/>
  <c r="D297"/>
  <c r="D299"/>
  <c r="D301"/>
  <c r="D303"/>
  <c r="D305"/>
  <c r="D307"/>
  <c r="D309"/>
  <c r="D311"/>
  <c r="D313"/>
  <c r="D315"/>
  <c r="D317"/>
  <c r="D319"/>
  <c r="D321"/>
  <c r="D323"/>
  <c r="D325"/>
  <c r="D327"/>
  <c r="D329"/>
  <c r="D331"/>
  <c r="D333"/>
  <c r="D335"/>
  <c r="D337"/>
  <c r="D339"/>
  <c r="D341"/>
  <c r="D343"/>
  <c r="D345"/>
  <c r="D347"/>
  <c r="D349"/>
  <c r="D351"/>
  <c r="D353"/>
  <c r="D355"/>
  <c r="D357"/>
  <c r="D359"/>
  <c r="D361"/>
  <c r="D363"/>
  <c r="D365"/>
  <c r="D367"/>
  <c r="D369"/>
  <c r="D371"/>
  <c r="D373"/>
  <c r="D375"/>
  <c r="D377"/>
  <c r="D379"/>
  <c r="D381"/>
  <c r="D383"/>
  <c r="D385"/>
  <c r="D387"/>
  <c r="D389"/>
  <c r="D391"/>
  <c r="D393"/>
  <c r="D395"/>
  <c r="D397"/>
  <c r="D399"/>
  <c r="D401"/>
  <c r="D403"/>
  <c r="D405"/>
  <c r="D407"/>
  <c r="D409"/>
  <c r="D411"/>
  <c r="D413"/>
  <c r="D415"/>
  <c r="D417"/>
  <c r="D419"/>
  <c r="D421"/>
  <c r="D423"/>
  <c r="D425"/>
  <c r="D427"/>
  <c r="D429"/>
  <c r="D431"/>
  <c r="D433"/>
  <c r="D435"/>
  <c r="D437"/>
  <c r="D439"/>
  <c r="D441"/>
  <c r="D443"/>
  <c r="D445"/>
  <c r="D447"/>
  <c r="D449"/>
  <c r="D451"/>
  <c r="D453"/>
  <c r="D455"/>
  <c r="D457"/>
  <c r="D459"/>
  <c r="D461"/>
  <c r="D463"/>
  <c r="D465"/>
  <c r="D467"/>
  <c r="D469"/>
  <c r="D471"/>
  <c r="D473"/>
  <c r="D475"/>
  <c r="D477"/>
  <c r="D479"/>
  <c r="D481"/>
  <c r="D483"/>
  <c r="D485"/>
  <c r="D487"/>
  <c r="D489"/>
  <c r="D491"/>
  <c r="D493"/>
  <c r="D495"/>
  <c r="D497"/>
  <c r="D499"/>
  <c r="D501"/>
  <c r="D503"/>
  <c r="D505"/>
  <c r="D507"/>
  <c r="D509"/>
  <c r="D511"/>
  <c r="D513"/>
  <c r="D515"/>
  <c r="D517"/>
  <c r="D519"/>
  <c r="D521"/>
  <c r="D523"/>
  <c r="D525"/>
  <c r="D527"/>
  <c r="D529"/>
  <c r="D531"/>
  <c r="D533"/>
  <c r="D535"/>
  <c r="D537"/>
  <c r="D539"/>
  <c r="D541"/>
  <c r="D543"/>
  <c r="D545"/>
  <c r="D547"/>
  <c r="D549"/>
  <c r="D551"/>
  <c r="D553"/>
  <c r="D555"/>
  <c r="D557"/>
  <c r="D559"/>
  <c r="D561"/>
  <c r="D563"/>
  <c r="D565"/>
  <c r="D567"/>
  <c r="D569"/>
  <c r="D571"/>
  <c r="D573"/>
  <c r="D575"/>
  <c r="D577"/>
  <c r="D579"/>
  <c r="D581"/>
  <c r="D583"/>
  <c r="D585"/>
  <c r="D587"/>
  <c r="D589"/>
  <c r="D591"/>
  <c r="D593"/>
  <c r="D595"/>
  <c r="D597"/>
  <c r="D599"/>
  <c r="D601"/>
  <c r="D603"/>
  <c r="D605"/>
  <c r="D607"/>
  <c r="D609"/>
  <c r="D611"/>
  <c r="D613"/>
  <c r="D615"/>
  <c r="D617"/>
  <c r="D619"/>
  <c r="D621"/>
  <c r="D623"/>
  <c r="D625"/>
  <c r="D627"/>
  <c r="D629"/>
  <c r="D631"/>
  <c r="D633"/>
  <c r="D635"/>
  <c r="D637"/>
  <c r="D639"/>
  <c r="D641"/>
  <c r="D643"/>
  <c r="D645"/>
  <c r="D647"/>
  <c r="D649"/>
  <c r="D651"/>
  <c r="D653"/>
  <c r="D655"/>
  <c r="D657"/>
  <c r="D659"/>
  <c r="D661"/>
  <c r="D663"/>
  <c r="D665"/>
  <c r="D667"/>
  <c r="D669"/>
  <c r="D671"/>
  <c r="D673"/>
  <c r="D675"/>
  <c r="D677"/>
  <c r="J515"/>
  <c r="J517"/>
  <c r="J519"/>
  <c r="J521"/>
  <c r="J523"/>
  <c r="J525"/>
  <c r="J527"/>
  <c r="J529"/>
  <c r="J531"/>
  <c r="J533"/>
  <c r="J535"/>
  <c r="J537"/>
  <c r="J539"/>
  <c r="J541"/>
  <c r="J543"/>
  <c r="J545"/>
  <c r="J547"/>
  <c r="J549"/>
  <c r="J551"/>
  <c r="J553"/>
  <c r="J555"/>
  <c r="J557"/>
  <c r="J559"/>
  <c r="J561"/>
  <c r="J563"/>
  <c r="J565"/>
  <c r="J567"/>
  <c r="J569"/>
  <c r="J571"/>
  <c r="J573"/>
  <c r="J575"/>
  <c r="J577"/>
  <c r="J579"/>
  <c r="J581"/>
  <c r="J583"/>
  <c r="J585"/>
  <c r="J587"/>
  <c r="J589"/>
  <c r="J591"/>
  <c r="J593"/>
  <c r="J595"/>
  <c r="J597"/>
  <c r="J599"/>
  <c r="J601"/>
  <c r="J603"/>
  <c r="J605"/>
  <c r="J607"/>
  <c r="J609"/>
  <c r="J611"/>
  <c r="J613"/>
  <c r="J615"/>
  <c r="J617"/>
  <c r="J619"/>
  <c r="J621"/>
  <c r="J623"/>
  <c r="J625"/>
  <c r="J627"/>
  <c r="J629"/>
  <c r="J631"/>
  <c r="J633"/>
  <c r="J635"/>
  <c r="J637"/>
  <c r="J639"/>
  <c r="J641"/>
  <c r="J643"/>
  <c r="J645"/>
  <c r="J647"/>
  <c r="J649"/>
  <c r="J651"/>
  <c r="J653"/>
  <c r="J655"/>
  <c r="J657"/>
  <c r="J659"/>
  <c r="J661"/>
  <c r="J663"/>
  <c r="J665"/>
  <c r="J667"/>
  <c r="J669"/>
  <c r="J671"/>
  <c r="J673"/>
  <c r="J675"/>
  <c r="J677"/>
  <c r="D2"/>
  <c r="D4"/>
  <c r="D6"/>
  <c r="D8"/>
  <c r="D10"/>
  <c r="D12"/>
  <c r="D14"/>
  <c r="D16"/>
  <c r="D18"/>
  <c r="D20"/>
  <c r="D22"/>
  <c r="D24"/>
  <c r="D26"/>
  <c r="D28"/>
  <c r="D30"/>
  <c r="D32"/>
  <c r="D34"/>
  <c r="D36"/>
  <c r="D38"/>
  <c r="D40"/>
  <c r="D42"/>
  <c r="D44"/>
  <c r="D46"/>
  <c r="D48"/>
  <c r="D50"/>
  <c r="D52"/>
  <c r="D54"/>
  <c r="D56"/>
  <c r="D58"/>
  <c r="D60"/>
  <c r="D62"/>
  <c r="D64"/>
  <c r="D66"/>
  <c r="D68"/>
  <c r="D70"/>
  <c r="D72"/>
  <c r="D74"/>
  <c r="D76"/>
  <c r="D78"/>
  <c r="D80"/>
  <c r="D82"/>
  <c r="D84"/>
  <c r="D86"/>
  <c r="D88"/>
  <c r="D90"/>
  <c r="D92"/>
  <c r="D94"/>
  <c r="D96"/>
  <c r="D98"/>
  <c r="D100"/>
  <c r="D102"/>
  <c r="D104"/>
  <c r="D106"/>
  <c r="D108"/>
  <c r="D110"/>
  <c r="D112"/>
  <c r="D114"/>
  <c r="D116"/>
  <c r="D118"/>
  <c r="D120"/>
  <c r="D122"/>
  <c r="D124"/>
  <c r="D126"/>
  <c r="D128"/>
  <c r="D130"/>
  <c r="D132"/>
  <c r="D134"/>
  <c r="D136"/>
  <c r="D138"/>
  <c r="D140"/>
  <c r="D142"/>
  <c r="D144"/>
  <c r="D146"/>
  <c r="D148"/>
  <c r="D150"/>
  <c r="D152"/>
  <c r="D154"/>
  <c r="D156"/>
  <c r="D158"/>
  <c r="D160"/>
  <c r="D162"/>
  <c r="D164"/>
  <c r="D166"/>
  <c r="D168"/>
  <c r="D170"/>
  <c r="D172"/>
  <c r="D174"/>
  <c r="D176"/>
  <c r="D178"/>
  <c r="D180"/>
  <c r="D182"/>
  <c r="D184"/>
  <c r="D186"/>
  <c r="D188"/>
  <c r="D190"/>
  <c r="D192"/>
  <c r="D194"/>
  <c r="D196"/>
  <c r="D198"/>
  <c r="D200"/>
  <c r="D202"/>
  <c r="D204"/>
  <c r="D206"/>
  <c r="D208"/>
  <c r="D210"/>
  <c r="D212"/>
  <c r="D214"/>
  <c r="D216"/>
  <c r="D218"/>
  <c r="D220"/>
  <c r="D222"/>
  <c r="D224"/>
  <c r="D226"/>
  <c r="D228"/>
  <c r="D230"/>
  <c r="D232"/>
  <c r="D234"/>
  <c r="D236"/>
  <c r="D238"/>
  <c r="D240"/>
  <c r="D242"/>
  <c r="D244"/>
  <c r="D246"/>
  <c r="D248"/>
  <c r="D250"/>
  <c r="D252"/>
  <c r="D254"/>
  <c r="D256"/>
  <c r="D258"/>
  <c r="D260"/>
  <c r="D262"/>
  <c r="D264"/>
  <c r="D266"/>
  <c r="D268"/>
  <c r="D270"/>
  <c r="D272"/>
  <c r="D274"/>
  <c r="D276"/>
  <c r="D278"/>
  <c r="D280"/>
  <c r="D282"/>
  <c r="D284"/>
  <c r="D286"/>
  <c r="D288"/>
  <c r="D290"/>
  <c r="D292"/>
  <c r="D294"/>
  <c r="D296"/>
  <c r="D298"/>
  <c r="D300"/>
  <c r="D302"/>
  <c r="D304"/>
  <c r="D306"/>
  <c r="D308"/>
  <c r="D310"/>
  <c r="D312"/>
  <c r="D314"/>
  <c r="D316"/>
  <c r="D318"/>
  <c r="D320"/>
  <c r="D322"/>
  <c r="D324"/>
  <c r="D326"/>
  <c r="D328"/>
  <c r="D330"/>
  <c r="D332"/>
  <c r="D334"/>
  <c r="D336"/>
  <c r="D338"/>
  <c r="D340"/>
  <c r="D342"/>
  <c r="D344"/>
  <c r="D346"/>
  <c r="D348"/>
  <c r="D350"/>
  <c r="D352"/>
  <c r="D354"/>
  <c r="D356"/>
  <c r="D358"/>
  <c r="D360"/>
  <c r="D362"/>
  <c r="D364"/>
  <c r="D366"/>
  <c r="D368"/>
  <c r="D370"/>
  <c r="D372"/>
  <c r="D374"/>
  <c r="D376"/>
  <c r="D378"/>
  <c r="D380"/>
  <c r="D382"/>
  <c r="D384"/>
  <c r="D386"/>
  <c r="D388"/>
  <c r="D390"/>
  <c r="D392"/>
  <c r="D394"/>
  <c r="D396"/>
  <c r="D398"/>
  <c r="D400"/>
  <c r="D402"/>
  <c r="D404"/>
  <c r="D406"/>
  <c r="D408"/>
  <c r="D410"/>
  <c r="D412"/>
  <c r="D414"/>
  <c r="D416"/>
  <c r="D418"/>
  <c r="D420"/>
  <c r="D422"/>
  <c r="D424"/>
  <c r="D426"/>
  <c r="D428"/>
  <c r="D430"/>
  <c r="D432"/>
  <c r="D434"/>
  <c r="D436"/>
  <c r="D438"/>
  <c r="D440"/>
  <c r="D442"/>
  <c r="D444"/>
  <c r="D446"/>
  <c r="D448"/>
  <c r="D450"/>
  <c r="D452"/>
  <c r="D454"/>
  <c r="D456"/>
  <c r="D458"/>
  <c r="D460"/>
  <c r="D462"/>
  <c r="D464"/>
  <c r="D466"/>
  <c r="D468"/>
  <c r="D470"/>
  <c r="D472"/>
  <c r="D474"/>
  <c r="D476"/>
  <c r="D478"/>
  <c r="D480"/>
  <c r="D482"/>
  <c r="D484"/>
  <c r="D486"/>
  <c r="D488"/>
  <c r="D490"/>
  <c r="D492"/>
  <c r="D494"/>
  <c r="D496"/>
  <c r="D498"/>
  <c r="D500"/>
  <c r="D502"/>
  <c r="D504"/>
  <c r="D506"/>
  <c r="D508"/>
  <c r="D510"/>
  <c r="D512"/>
  <c r="D514"/>
  <c r="D516"/>
  <c r="D518"/>
  <c r="D520"/>
  <c r="D522"/>
  <c r="D524"/>
  <c r="D526"/>
  <c r="D528"/>
  <c r="D530"/>
  <c r="D532"/>
  <c r="D534"/>
  <c r="D536"/>
  <c r="D538"/>
  <c r="D540"/>
  <c r="D542"/>
  <c r="D544"/>
  <c r="D546"/>
  <c r="D548"/>
  <c r="D550"/>
  <c r="D552"/>
  <c r="D554"/>
  <c r="D556"/>
  <c r="D558"/>
  <c r="D560"/>
  <c r="D562"/>
  <c r="D564"/>
  <c r="D566"/>
  <c r="D568"/>
  <c r="D570"/>
  <c r="D572"/>
  <c r="D574"/>
  <c r="D576"/>
  <c r="D578"/>
  <c r="D580"/>
  <c r="D582"/>
  <c r="D584"/>
  <c r="D586"/>
  <c r="D588"/>
  <c r="D590"/>
  <c r="D592"/>
  <c r="D594"/>
  <c r="D596"/>
  <c r="D598"/>
  <c r="D600"/>
  <c r="D602"/>
  <c r="D604"/>
  <c r="D606"/>
  <c r="D608"/>
  <c r="D610"/>
  <c r="D612"/>
  <c r="D614"/>
  <c r="D616"/>
  <c r="D618"/>
  <c r="D620"/>
  <c r="D622"/>
  <c r="D624"/>
  <c r="D626"/>
  <c r="D628"/>
  <c r="D630"/>
  <c r="D632"/>
  <c r="D634"/>
  <c r="D636"/>
  <c r="D638"/>
  <c r="D640"/>
  <c r="D642"/>
  <c r="D644"/>
  <c r="D646"/>
  <c r="D648"/>
  <c r="D650"/>
  <c r="D652"/>
  <c r="D654"/>
  <c r="D656"/>
  <c r="D658"/>
  <c r="D660"/>
  <c r="D662"/>
  <c r="D664"/>
  <c r="D666"/>
  <c r="D668"/>
  <c r="D670"/>
  <c r="D672"/>
  <c r="D674"/>
  <c r="D676"/>
  <c r="G40" i="2"/>
  <c r="K402" i="4" s="1"/>
  <c r="J93"/>
  <c r="J262"/>
  <c r="J264"/>
  <c r="J266"/>
  <c r="J268"/>
  <c r="J270"/>
  <c r="J272"/>
  <c r="J274"/>
  <c r="J276"/>
  <c r="J278"/>
  <c r="J280"/>
  <c r="J282"/>
  <c r="J284"/>
  <c r="J286"/>
  <c r="J288"/>
  <c r="J290"/>
  <c r="J292"/>
  <c r="J294"/>
  <c r="J296"/>
  <c r="J298"/>
  <c r="J300"/>
  <c r="J302"/>
  <c r="J304"/>
  <c r="J306"/>
  <c r="J308"/>
  <c r="J310"/>
  <c r="J312"/>
  <c r="J314"/>
  <c r="J316"/>
  <c r="J318"/>
  <c r="J320"/>
  <c r="J322"/>
  <c r="J324"/>
  <c r="J326"/>
  <c r="J328"/>
  <c r="J330"/>
  <c r="J332"/>
  <c r="J334"/>
  <c r="J336"/>
  <c r="J338"/>
  <c r="J340"/>
  <c r="J342"/>
  <c r="J344"/>
  <c r="J346"/>
  <c r="J348"/>
  <c r="J350"/>
  <c r="J352"/>
  <c r="J354"/>
  <c r="J356"/>
  <c r="J358"/>
  <c r="J360"/>
  <c r="J362"/>
  <c r="J364"/>
  <c r="J366"/>
  <c r="J368"/>
  <c r="J370"/>
  <c r="J372"/>
  <c r="J374"/>
  <c r="J376"/>
  <c r="J378"/>
  <c r="J380"/>
  <c r="J382"/>
  <c r="J384"/>
  <c r="J386"/>
  <c r="J388"/>
  <c r="J390"/>
  <c r="J392"/>
  <c r="J394"/>
  <c r="J396"/>
  <c r="J398"/>
  <c r="J400"/>
  <c r="J402"/>
  <c r="J404"/>
  <c r="J406"/>
  <c r="J408"/>
  <c r="J410"/>
  <c r="J412"/>
  <c r="J414"/>
  <c r="J416"/>
  <c r="J418"/>
  <c r="J420"/>
  <c r="J422"/>
  <c r="J424"/>
  <c r="J426"/>
  <c r="J428"/>
  <c r="J430"/>
  <c r="J432"/>
  <c r="J434"/>
  <c r="J436"/>
  <c r="J438"/>
  <c r="J440"/>
  <c r="J442"/>
  <c r="J444"/>
  <c r="J446"/>
  <c r="J448"/>
  <c r="J450"/>
  <c r="J452"/>
  <c r="J454"/>
  <c r="J456"/>
  <c r="J458"/>
  <c r="J460"/>
  <c r="J462"/>
  <c r="J464"/>
  <c r="J466"/>
  <c r="J468"/>
  <c r="J470"/>
  <c r="J472"/>
  <c r="J474"/>
  <c r="J476"/>
  <c r="J478"/>
  <c r="J480"/>
  <c r="J482"/>
  <c r="J484"/>
  <c r="J486"/>
  <c r="J488"/>
  <c r="J490"/>
  <c r="J492"/>
  <c r="J494"/>
  <c r="J496"/>
  <c r="J498"/>
  <c r="J500"/>
  <c r="J502"/>
  <c r="J504"/>
  <c r="J506"/>
  <c r="J508"/>
  <c r="J510"/>
  <c r="J512"/>
  <c r="J514"/>
  <c r="J516"/>
  <c r="J518"/>
  <c r="J520"/>
  <c r="J522"/>
  <c r="J524"/>
  <c r="J526"/>
  <c r="J528"/>
  <c r="J530"/>
  <c r="J532"/>
  <c r="J534"/>
  <c r="J536"/>
  <c r="J538"/>
  <c r="J540"/>
  <c r="J542"/>
  <c r="J544"/>
  <c r="J546"/>
  <c r="J548"/>
  <c r="J550"/>
  <c r="J552"/>
  <c r="J554"/>
  <c r="J556"/>
  <c r="J558"/>
  <c r="J560"/>
  <c r="J562"/>
  <c r="J564"/>
  <c r="J566"/>
  <c r="J568"/>
  <c r="J570"/>
  <c r="J572"/>
  <c r="J574"/>
  <c r="J576"/>
  <c r="J578"/>
  <c r="J580"/>
  <c r="J582"/>
  <c r="J584"/>
  <c r="J586"/>
  <c r="J588"/>
  <c r="J590"/>
  <c r="J592"/>
  <c r="J594"/>
  <c r="J596"/>
  <c r="J598"/>
  <c r="J600"/>
  <c r="J602"/>
  <c r="J604"/>
  <c r="J606"/>
  <c r="J608"/>
  <c r="J610"/>
  <c r="J677"/>
  <c r="J261"/>
  <c r="J263"/>
  <c r="J265"/>
  <c r="J267"/>
  <c r="J269"/>
  <c r="J271"/>
  <c r="J273"/>
  <c r="J275"/>
  <c r="J277"/>
  <c r="J279"/>
  <c r="J281"/>
  <c r="J283"/>
  <c r="J285"/>
  <c r="J287"/>
  <c r="J289"/>
  <c r="J291"/>
  <c r="J293"/>
  <c r="J295"/>
  <c r="J297"/>
  <c r="J299"/>
  <c r="J301"/>
  <c r="J303"/>
  <c r="J305"/>
  <c r="J307"/>
  <c r="J309"/>
  <c r="J311"/>
  <c r="J313"/>
  <c r="J315"/>
  <c r="J317"/>
  <c r="J319"/>
  <c r="J321"/>
  <c r="J323"/>
  <c r="J325"/>
  <c r="J327"/>
  <c r="J329"/>
  <c r="J331"/>
  <c r="J333"/>
  <c r="J335"/>
  <c r="J337"/>
  <c r="J339"/>
  <c r="J341"/>
  <c r="J343"/>
  <c r="J345"/>
  <c r="J347"/>
  <c r="J349"/>
  <c r="J351"/>
  <c r="J353"/>
  <c r="J355"/>
  <c r="J357"/>
  <c r="J359"/>
  <c r="J361"/>
  <c r="J363"/>
  <c r="J365"/>
  <c r="J367"/>
  <c r="J369"/>
  <c r="J371"/>
  <c r="J373"/>
  <c r="J375"/>
  <c r="J377"/>
  <c r="J379"/>
  <c r="J381"/>
  <c r="J383"/>
  <c r="J385"/>
  <c r="J387"/>
  <c r="J389"/>
  <c r="J391"/>
  <c r="J393"/>
  <c r="J395"/>
  <c r="J397"/>
  <c r="J399"/>
  <c r="J401"/>
  <c r="J403"/>
  <c r="J405"/>
  <c r="J407"/>
  <c r="J409"/>
  <c r="J411"/>
  <c r="J413"/>
  <c r="J415"/>
  <c r="J417"/>
  <c r="J419"/>
  <c r="J421"/>
  <c r="J423"/>
  <c r="J425"/>
  <c r="J427"/>
  <c r="J429"/>
  <c r="J431"/>
  <c r="J433"/>
  <c r="J435"/>
  <c r="J437"/>
  <c r="J439"/>
  <c r="J441"/>
  <c r="J443"/>
  <c r="J445"/>
  <c r="J447"/>
  <c r="J449"/>
  <c r="J451"/>
  <c r="J453"/>
  <c r="J455"/>
  <c r="J457"/>
  <c r="J459"/>
  <c r="J461"/>
  <c r="J463"/>
  <c r="J465"/>
  <c r="J467"/>
  <c r="J469"/>
  <c r="J471"/>
  <c r="J473"/>
  <c r="J475"/>
  <c r="J477"/>
  <c r="J479"/>
  <c r="J481"/>
  <c r="J483"/>
  <c r="J485"/>
  <c r="J487"/>
  <c r="J489"/>
  <c r="J491"/>
  <c r="J493"/>
  <c r="J495"/>
  <c r="J497"/>
  <c r="J499"/>
  <c r="J501"/>
  <c r="J503"/>
  <c r="J505"/>
  <c r="J507"/>
  <c r="J509"/>
  <c r="J511"/>
  <c r="J513"/>
  <c r="J515"/>
  <c r="J517"/>
  <c r="J519"/>
  <c r="J521"/>
  <c r="J523"/>
  <c r="J525"/>
  <c r="J527"/>
  <c r="J529"/>
  <c r="J531"/>
  <c r="J533"/>
  <c r="J535"/>
  <c r="J537"/>
  <c r="J539"/>
  <c r="J541"/>
  <c r="J543"/>
  <c r="J545"/>
  <c r="J547"/>
  <c r="J549"/>
  <c r="J551"/>
  <c r="J553"/>
  <c r="J555"/>
  <c r="J557"/>
  <c r="J559"/>
  <c r="J561"/>
  <c r="J563"/>
  <c r="J565"/>
  <c r="J567"/>
  <c r="J569"/>
  <c r="J571"/>
  <c r="J573"/>
  <c r="J575"/>
  <c r="J577"/>
  <c r="J579"/>
  <c r="J581"/>
  <c r="J583"/>
  <c r="J585"/>
  <c r="J587"/>
  <c r="J589"/>
  <c r="J591"/>
  <c r="J593"/>
  <c r="J595"/>
  <c r="J597"/>
  <c r="J599"/>
  <c r="J601"/>
  <c r="J603"/>
  <c r="J605"/>
  <c r="J607"/>
  <c r="J609"/>
  <c r="J611"/>
  <c r="J613"/>
  <c r="J615"/>
  <c r="J617"/>
  <c r="J619"/>
  <c r="J621"/>
  <c r="J623"/>
  <c r="J625"/>
  <c r="J627"/>
  <c r="J629"/>
  <c r="J631"/>
  <c r="J633"/>
  <c r="J635"/>
  <c r="J637"/>
  <c r="J639"/>
  <c r="J641"/>
  <c r="J643"/>
  <c r="J645"/>
  <c r="J647"/>
  <c r="J649"/>
  <c r="J651"/>
  <c r="J653"/>
  <c r="J655"/>
  <c r="J657"/>
  <c r="J659"/>
  <c r="J661"/>
  <c r="J663"/>
  <c r="J665"/>
  <c r="J667"/>
  <c r="J669"/>
  <c r="J671"/>
  <c r="J673"/>
  <c r="J675"/>
  <c r="J612"/>
  <c r="J614"/>
  <c r="J616"/>
  <c r="J618"/>
  <c r="J620"/>
  <c r="J622"/>
  <c r="J624"/>
  <c r="J626"/>
  <c r="J628"/>
  <c r="J630"/>
  <c r="J632"/>
  <c r="J634"/>
  <c r="J636"/>
  <c r="J638"/>
  <c r="J640"/>
  <c r="J642"/>
  <c r="J644"/>
  <c r="J646"/>
  <c r="J648"/>
  <c r="J650"/>
  <c r="J652"/>
  <c r="J654"/>
  <c r="J656"/>
  <c r="J658"/>
  <c r="J660"/>
  <c r="J662"/>
  <c r="J664"/>
  <c r="J666"/>
  <c r="J668"/>
  <c r="J670"/>
  <c r="J672"/>
  <c r="J674"/>
  <c r="J676"/>
  <c r="J102"/>
  <c r="J104"/>
  <c r="J106"/>
  <c r="J108"/>
  <c r="J110"/>
  <c r="J112"/>
  <c r="J114"/>
  <c r="J116"/>
  <c r="J118"/>
  <c r="J120"/>
  <c r="J122"/>
  <c r="J124"/>
  <c r="J126"/>
  <c r="J128"/>
  <c r="J130"/>
  <c r="J132"/>
  <c r="J134"/>
  <c r="J136"/>
  <c r="J138"/>
  <c r="J140"/>
  <c r="J142"/>
  <c r="J144"/>
  <c r="J146"/>
  <c r="J148"/>
  <c r="J150"/>
  <c r="J152"/>
  <c r="J154"/>
  <c r="J156"/>
  <c r="J158"/>
  <c r="J160"/>
  <c r="J162"/>
  <c r="J164"/>
  <c r="J166"/>
  <c r="J168"/>
  <c r="J170"/>
  <c r="J172"/>
  <c r="J174"/>
  <c r="J176"/>
  <c r="J178"/>
  <c r="J180"/>
  <c r="J182"/>
  <c r="J184"/>
  <c r="J186"/>
  <c r="J188"/>
  <c r="J190"/>
  <c r="J192"/>
  <c r="J194"/>
  <c r="J196"/>
  <c r="J198"/>
  <c r="J200"/>
  <c r="J202"/>
  <c r="J204"/>
  <c r="J206"/>
  <c r="J208"/>
  <c r="J210"/>
  <c r="J212"/>
  <c r="J214"/>
  <c r="J216"/>
  <c r="J218"/>
  <c r="J220"/>
  <c r="J222"/>
  <c r="J224"/>
  <c r="J226"/>
  <c r="J228"/>
  <c r="J230"/>
  <c r="J232"/>
  <c r="J234"/>
  <c r="J236"/>
  <c r="J238"/>
  <c r="J240"/>
  <c r="J242"/>
  <c r="J244"/>
  <c r="J246"/>
  <c r="J248"/>
  <c r="J250"/>
  <c r="J252"/>
  <c r="J254"/>
  <c r="J256"/>
  <c r="J258"/>
  <c r="J260"/>
  <c r="J103"/>
  <c r="J105"/>
  <c r="J107"/>
  <c r="J109"/>
  <c r="J111"/>
  <c r="J113"/>
  <c r="J115"/>
  <c r="J117"/>
  <c r="J119"/>
  <c r="J121"/>
  <c r="J123"/>
  <c r="J125"/>
  <c r="J127"/>
  <c r="J129"/>
  <c r="J131"/>
  <c r="J133"/>
  <c r="J135"/>
  <c r="J137"/>
  <c r="J139"/>
  <c r="J141"/>
  <c r="J143"/>
  <c r="J145"/>
  <c r="J147"/>
  <c r="J149"/>
  <c r="J151"/>
  <c r="J153"/>
  <c r="J155"/>
  <c r="J157"/>
  <c r="J159"/>
  <c r="J161"/>
  <c r="J163"/>
  <c r="J165"/>
  <c r="J167"/>
  <c r="J169"/>
  <c r="J171"/>
  <c r="J173"/>
  <c r="J175"/>
  <c r="J177"/>
  <c r="J179"/>
  <c r="J181"/>
  <c r="J183"/>
  <c r="J185"/>
  <c r="J187"/>
  <c r="J189"/>
  <c r="J191"/>
  <c r="J193"/>
  <c r="J195"/>
  <c r="J197"/>
  <c r="J199"/>
  <c r="J201"/>
  <c r="J203"/>
  <c r="J205"/>
  <c r="J207"/>
  <c r="J209"/>
  <c r="J211"/>
  <c r="J213"/>
  <c r="J215"/>
  <c r="J217"/>
  <c r="J219"/>
  <c r="J221"/>
  <c r="J223"/>
  <c r="J225"/>
  <c r="J227"/>
  <c r="J229"/>
  <c r="J231"/>
  <c r="J233"/>
  <c r="J235"/>
  <c r="J237"/>
  <c r="J239"/>
  <c r="J241"/>
  <c r="J243"/>
  <c r="J245"/>
  <c r="J247"/>
  <c r="J249"/>
  <c r="J251"/>
  <c r="J253"/>
  <c r="J255"/>
  <c r="J257"/>
  <c r="J259"/>
  <c r="J85"/>
  <c r="J37"/>
  <c r="J101"/>
  <c r="I102"/>
  <c r="I104"/>
  <c r="I106"/>
  <c r="I108"/>
  <c r="I110"/>
  <c r="I112"/>
  <c r="I114"/>
  <c r="I116"/>
  <c r="I118"/>
  <c r="I120"/>
  <c r="I122"/>
  <c r="I124"/>
  <c r="I126"/>
  <c r="I128"/>
  <c r="I130"/>
  <c r="I132"/>
  <c r="I134"/>
  <c r="I136"/>
  <c r="I138"/>
  <c r="I140"/>
  <c r="I142"/>
  <c r="I144"/>
  <c r="I146"/>
  <c r="I148"/>
  <c r="I150"/>
  <c r="I152"/>
  <c r="I154"/>
  <c r="I156"/>
  <c r="I158"/>
  <c r="I160"/>
  <c r="I162"/>
  <c r="I164"/>
  <c r="I166"/>
  <c r="I168"/>
  <c r="I170"/>
  <c r="I172"/>
  <c r="I174"/>
  <c r="I176"/>
  <c r="I178"/>
  <c r="I180"/>
  <c r="I182"/>
  <c r="I184"/>
  <c r="I186"/>
  <c r="I188"/>
  <c r="I190"/>
  <c r="I192"/>
  <c r="I194"/>
  <c r="I196"/>
  <c r="I198"/>
  <c r="I200"/>
  <c r="I202"/>
  <c r="I204"/>
  <c r="I206"/>
  <c r="I208"/>
  <c r="I210"/>
  <c r="I212"/>
  <c r="I214"/>
  <c r="I216"/>
  <c r="I218"/>
  <c r="I220"/>
  <c r="I222"/>
  <c r="I224"/>
  <c r="I226"/>
  <c r="I228"/>
  <c r="I230"/>
  <c r="I232"/>
  <c r="I234"/>
  <c r="I236"/>
  <c r="I238"/>
  <c r="I240"/>
  <c r="I242"/>
  <c r="I244"/>
  <c r="I246"/>
  <c r="I248"/>
  <c r="I250"/>
  <c r="I252"/>
  <c r="I254"/>
  <c r="I256"/>
  <c r="I258"/>
  <c r="I260"/>
  <c r="I262"/>
  <c r="I264"/>
  <c r="I266"/>
  <c r="I268"/>
  <c r="I270"/>
  <c r="I272"/>
  <c r="I274"/>
  <c r="I276"/>
  <c r="I103"/>
  <c r="I105"/>
  <c r="I107"/>
  <c r="I109"/>
  <c r="I111"/>
  <c r="I113"/>
  <c r="I115"/>
  <c r="I117"/>
  <c r="I119"/>
  <c r="I121"/>
  <c r="I123"/>
  <c r="I125"/>
  <c r="I127"/>
  <c r="I129"/>
  <c r="I131"/>
  <c r="I133"/>
  <c r="I135"/>
  <c r="I137"/>
  <c r="I139"/>
  <c r="I141"/>
  <c r="I143"/>
  <c r="I145"/>
  <c r="I147"/>
  <c r="I149"/>
  <c r="I151"/>
  <c r="I153"/>
  <c r="I155"/>
  <c r="I157"/>
  <c r="I159"/>
  <c r="I161"/>
  <c r="I163"/>
  <c r="I165"/>
  <c r="I167"/>
  <c r="I169"/>
  <c r="I171"/>
  <c r="I173"/>
  <c r="I175"/>
  <c r="I177"/>
  <c r="I179"/>
  <c r="I181"/>
  <c r="I183"/>
  <c r="I185"/>
  <c r="I187"/>
  <c r="I189"/>
  <c r="I191"/>
  <c r="I193"/>
  <c r="I195"/>
  <c r="I197"/>
  <c r="I199"/>
  <c r="I201"/>
  <c r="I203"/>
  <c r="I205"/>
  <c r="I207"/>
  <c r="I209"/>
  <c r="I211"/>
  <c r="I213"/>
  <c r="I215"/>
  <c r="I217"/>
  <c r="I219"/>
  <c r="I221"/>
  <c r="I223"/>
  <c r="I225"/>
  <c r="I227"/>
  <c r="I229"/>
  <c r="I231"/>
  <c r="I233"/>
  <c r="I235"/>
  <c r="I237"/>
  <c r="I239"/>
  <c r="I241"/>
  <c r="I243"/>
  <c r="I245"/>
  <c r="I247"/>
  <c r="I249"/>
  <c r="I251"/>
  <c r="I253"/>
  <c r="I255"/>
  <c r="I257"/>
  <c r="I259"/>
  <c r="I261"/>
  <c r="I263"/>
  <c r="I265"/>
  <c r="I267"/>
  <c r="I269"/>
  <c r="I271"/>
  <c r="I273"/>
  <c r="I275"/>
  <c r="I277"/>
  <c r="G102"/>
  <c r="G103"/>
  <c r="G104"/>
  <c r="G105"/>
  <c r="G106"/>
  <c r="G107"/>
  <c r="G108"/>
  <c r="G109"/>
  <c r="G110"/>
  <c r="G111"/>
  <c r="G112"/>
  <c r="G113"/>
  <c r="G114"/>
  <c r="G115"/>
  <c r="G116"/>
  <c r="G117"/>
  <c r="G118"/>
  <c r="G119"/>
  <c r="G120"/>
  <c r="G121"/>
  <c r="G122"/>
  <c r="G123"/>
  <c r="G124"/>
  <c r="G125"/>
  <c r="G126"/>
  <c r="G127"/>
  <c r="G128"/>
  <c r="G129"/>
  <c r="G130"/>
  <c r="G131"/>
  <c r="G132"/>
  <c r="G133"/>
  <c r="G134"/>
  <c r="G135"/>
  <c r="G136"/>
  <c r="G137"/>
  <c r="G138"/>
  <c r="G139"/>
  <c r="G140"/>
  <c r="G141"/>
  <c r="G142"/>
  <c r="G143"/>
  <c r="G144"/>
  <c r="G145"/>
  <c r="G146"/>
  <c r="G147"/>
  <c r="G148"/>
  <c r="G149"/>
  <c r="G150"/>
  <c r="G151"/>
  <c r="G152"/>
  <c r="G153"/>
  <c r="G154"/>
  <c r="G155"/>
  <c r="G156"/>
  <c r="G157"/>
  <c r="G158"/>
  <c r="G159"/>
  <c r="G160"/>
  <c r="G161"/>
  <c r="G162"/>
  <c r="H675"/>
  <c r="H5"/>
  <c r="H461"/>
  <c r="H506"/>
  <c r="H103"/>
  <c r="H105"/>
  <c r="H107"/>
  <c r="H109"/>
  <c r="H111"/>
  <c r="H113"/>
  <c r="H115"/>
  <c r="H117"/>
  <c r="H119"/>
  <c r="H121"/>
  <c r="H123"/>
  <c r="H125"/>
  <c r="H127"/>
  <c r="H129"/>
  <c r="H131"/>
  <c r="H133"/>
  <c r="H135"/>
  <c r="H137"/>
  <c r="H139"/>
  <c r="H141"/>
  <c r="H143"/>
  <c r="H145"/>
  <c r="H147"/>
  <c r="H149"/>
  <c r="H151"/>
  <c r="H153"/>
  <c r="H155"/>
  <c r="H157"/>
  <c r="H159"/>
  <c r="H161"/>
  <c r="H163"/>
  <c r="H165"/>
  <c r="H167"/>
  <c r="H169"/>
  <c r="H171"/>
  <c r="H173"/>
  <c r="H175"/>
  <c r="H177"/>
  <c r="H179"/>
  <c r="H193"/>
  <c r="H102"/>
  <c r="H104"/>
  <c r="H106"/>
  <c r="H108"/>
  <c r="H110"/>
  <c r="H112"/>
  <c r="H114"/>
  <c r="H116"/>
  <c r="H118"/>
  <c r="H120"/>
  <c r="H122"/>
  <c r="H124"/>
  <c r="H126"/>
  <c r="H128"/>
  <c r="H130"/>
  <c r="H132"/>
  <c r="H134"/>
  <c r="H136"/>
  <c r="H138"/>
  <c r="H140"/>
  <c r="H142"/>
  <c r="H144"/>
  <c r="H146"/>
  <c r="H148"/>
  <c r="H150"/>
  <c r="H152"/>
  <c r="H154"/>
  <c r="H156"/>
  <c r="H158"/>
  <c r="H160"/>
  <c r="H162"/>
  <c r="H164"/>
  <c r="H166"/>
  <c r="H168"/>
  <c r="H170"/>
  <c r="H172"/>
  <c r="H174"/>
  <c r="H176"/>
  <c r="H178"/>
  <c r="H192"/>
  <c r="H256"/>
  <c r="D9" i="2"/>
  <c r="E15" i="4"/>
  <c r="M70"/>
  <c r="M60"/>
  <c r="M96"/>
  <c r="M88"/>
  <c r="M80"/>
  <c r="M56"/>
  <c r="M40"/>
  <c r="M24"/>
  <c r="M31"/>
  <c r="M63"/>
  <c r="M17"/>
  <c r="M49"/>
  <c r="M101"/>
  <c r="M46"/>
  <c r="M62"/>
  <c r="M30"/>
  <c r="M28"/>
  <c r="M83"/>
  <c r="M100"/>
  <c r="M92"/>
  <c r="M84"/>
  <c r="M72"/>
  <c r="M64"/>
  <c r="M48"/>
  <c r="M32"/>
  <c r="M16"/>
  <c r="M15"/>
  <c r="M47"/>
  <c r="M79"/>
  <c r="M33"/>
  <c r="M65"/>
  <c r="I18"/>
  <c r="I91"/>
  <c r="I92"/>
  <c r="I23"/>
  <c r="I5"/>
  <c r="I69"/>
  <c r="I62"/>
  <c r="I30"/>
  <c r="I4"/>
  <c r="I19"/>
  <c r="I66"/>
  <c r="I26"/>
  <c r="I99"/>
  <c r="I52"/>
  <c r="I20"/>
  <c r="I43"/>
  <c r="I25"/>
  <c r="I58"/>
  <c r="I67"/>
  <c r="O81"/>
  <c r="O96"/>
  <c r="O33"/>
  <c r="O49"/>
  <c r="O19"/>
  <c r="O35"/>
  <c r="O8"/>
  <c r="O40"/>
  <c r="O14"/>
  <c r="O46"/>
  <c r="O20"/>
  <c r="O18"/>
  <c r="O97"/>
  <c r="O45"/>
  <c r="O63"/>
  <c r="O32"/>
  <c r="O90"/>
  <c r="O10"/>
  <c r="O5"/>
  <c r="O21"/>
  <c r="O69"/>
  <c r="O7"/>
  <c r="O55"/>
  <c r="O71"/>
  <c r="O83"/>
  <c r="O99"/>
  <c r="O82"/>
  <c r="O98"/>
  <c r="O58"/>
  <c r="O85"/>
  <c r="O29"/>
  <c r="O61"/>
  <c r="O79"/>
  <c r="O64"/>
  <c r="O12"/>
  <c r="O42"/>
  <c r="O52"/>
  <c r="L91"/>
  <c r="L11"/>
  <c r="L17"/>
  <c r="L100"/>
  <c r="L59"/>
  <c r="L48"/>
  <c r="L64"/>
  <c r="L30"/>
  <c r="L46"/>
  <c r="L77"/>
  <c r="L69"/>
  <c r="L45"/>
  <c r="L37"/>
  <c r="L13"/>
  <c r="L88"/>
  <c r="L92"/>
  <c r="L28"/>
  <c r="L58"/>
  <c r="L5"/>
  <c r="L71"/>
  <c r="L55"/>
  <c r="L7"/>
  <c r="L51"/>
  <c r="L95"/>
  <c r="L87"/>
  <c r="L57"/>
  <c r="L4"/>
  <c r="L52"/>
  <c r="L68"/>
  <c r="L34"/>
  <c r="L50"/>
  <c r="L97"/>
  <c r="L93"/>
  <c r="L81"/>
  <c r="L3"/>
  <c r="L44"/>
  <c r="L76"/>
  <c r="L74"/>
  <c r="L94"/>
  <c r="L63"/>
  <c r="L47"/>
  <c r="M6"/>
  <c r="M26"/>
  <c r="M45"/>
  <c r="O62"/>
  <c r="O57"/>
  <c r="O89"/>
  <c r="K40" i="2"/>
  <c r="O675" i="4" s="1"/>
  <c r="M10"/>
  <c r="M42"/>
  <c r="M74"/>
  <c r="I45"/>
  <c r="M77"/>
  <c r="M13"/>
  <c r="M27"/>
  <c r="H25"/>
  <c r="H57"/>
  <c r="H85"/>
  <c r="H101"/>
  <c r="H22"/>
  <c r="H40"/>
  <c r="O4"/>
  <c r="K9" i="2"/>
  <c r="O75" i="4"/>
  <c r="O11"/>
  <c r="O25"/>
  <c r="I34"/>
  <c r="M22"/>
  <c r="M78"/>
  <c r="M38"/>
  <c r="O36"/>
  <c r="H55"/>
  <c r="H92"/>
  <c r="H71"/>
  <c r="H23"/>
  <c r="H21"/>
  <c r="H53"/>
  <c r="H83"/>
  <c r="H96"/>
  <c r="H79"/>
  <c r="H16"/>
  <c r="H32"/>
  <c r="H48"/>
  <c r="H64"/>
  <c r="H80"/>
  <c r="H14"/>
  <c r="H30"/>
  <c r="H46"/>
  <c r="H62"/>
  <c r="H78"/>
  <c r="H94"/>
  <c r="H90"/>
  <c r="H86"/>
  <c r="H82"/>
  <c r="H13"/>
  <c r="H77"/>
  <c r="H88"/>
  <c r="H12"/>
  <c r="H44"/>
  <c r="H76"/>
  <c r="H26"/>
  <c r="H42"/>
  <c r="H74"/>
  <c r="H100"/>
  <c r="H63"/>
  <c r="H99"/>
  <c r="H91"/>
  <c r="H98"/>
  <c r="H31"/>
  <c r="H29"/>
  <c r="H61"/>
  <c r="H4"/>
  <c r="H20"/>
  <c r="H36"/>
  <c r="H52"/>
  <c r="H68"/>
  <c r="H2"/>
  <c r="H18"/>
  <c r="H34"/>
  <c r="H50"/>
  <c r="H66"/>
  <c r="H75"/>
  <c r="H67"/>
  <c r="H59"/>
  <c r="H51"/>
  <c r="H43"/>
  <c r="H35"/>
  <c r="H27"/>
  <c r="H19"/>
  <c r="H11"/>
  <c r="H3"/>
  <c r="H39"/>
  <c r="H84"/>
  <c r="H15"/>
  <c r="H45"/>
  <c r="H28"/>
  <c r="H60"/>
  <c r="H10"/>
  <c r="H58"/>
  <c r="H39" i="2"/>
  <c r="H40"/>
  <c r="H9"/>
  <c r="J14" i="4"/>
  <c r="J30"/>
  <c r="J62"/>
  <c r="J16"/>
  <c r="J48"/>
  <c r="J80"/>
  <c r="J65"/>
  <c r="J47"/>
  <c r="J95"/>
  <c r="J11"/>
  <c r="J75"/>
  <c r="J89"/>
  <c r="J94"/>
  <c r="J46"/>
  <c r="J78"/>
  <c r="J32"/>
  <c r="J64"/>
  <c r="J33"/>
  <c r="J92"/>
  <c r="J15"/>
  <c r="J79"/>
  <c r="J13"/>
  <c r="J43"/>
  <c r="J97"/>
  <c r="M58"/>
  <c r="M59"/>
  <c r="O34"/>
  <c r="O56"/>
  <c r="M52"/>
  <c r="M98"/>
  <c r="M8"/>
  <c r="M18"/>
  <c r="M50"/>
  <c r="I47"/>
  <c r="M61"/>
  <c r="M75"/>
  <c r="M11"/>
  <c r="H33"/>
  <c r="H65"/>
  <c r="H89"/>
  <c r="H70"/>
  <c r="H6"/>
  <c r="H24"/>
  <c r="H47"/>
  <c r="O66"/>
  <c r="O86"/>
  <c r="O87"/>
  <c r="O59"/>
  <c r="O73"/>
  <c r="O9"/>
  <c r="H7"/>
  <c r="M82"/>
  <c r="O60"/>
  <c r="M99"/>
  <c r="O84"/>
  <c r="E9" i="2"/>
  <c r="M81" i="4"/>
  <c r="M85"/>
  <c r="M89"/>
  <c r="M93"/>
  <c r="M97"/>
  <c r="M73"/>
  <c r="M57"/>
  <c r="M41"/>
  <c r="M25"/>
  <c r="M9"/>
  <c r="M71"/>
  <c r="M55"/>
  <c r="M39"/>
  <c r="M23"/>
  <c r="M7"/>
  <c r="M54"/>
  <c r="M95"/>
  <c r="M94"/>
  <c r="K24"/>
  <c r="M76"/>
  <c r="M44"/>
  <c r="M12"/>
  <c r="M14"/>
  <c r="M91"/>
  <c r="J59"/>
  <c r="J27"/>
  <c r="J29"/>
  <c r="F9" i="2"/>
  <c r="J87" i="4"/>
  <c r="J63"/>
  <c r="J31"/>
  <c r="J100"/>
  <c r="J84"/>
  <c r="J49"/>
  <c r="J17"/>
  <c r="J72"/>
  <c r="J56"/>
  <c r="J40"/>
  <c r="J24"/>
  <c r="J8"/>
  <c r="J70"/>
  <c r="J54"/>
  <c r="J38"/>
  <c r="J22"/>
  <c r="J6"/>
  <c r="O100"/>
  <c r="O92"/>
  <c r="J77"/>
  <c r="N57"/>
  <c r="J45"/>
  <c r="J98"/>
  <c r="J90"/>
  <c r="J86"/>
  <c r="J82"/>
  <c r="J69"/>
  <c r="J53"/>
  <c r="M69"/>
  <c r="M53"/>
  <c r="M37"/>
  <c r="M21"/>
  <c r="M5"/>
  <c r="M67"/>
  <c r="M51"/>
  <c r="M35"/>
  <c r="M19"/>
  <c r="M3"/>
  <c r="M87"/>
  <c r="M68"/>
  <c r="M36"/>
  <c r="M4"/>
  <c r="J81"/>
  <c r="J51"/>
  <c r="J19"/>
  <c r="J21"/>
  <c r="J99"/>
  <c r="J83"/>
  <c r="J55"/>
  <c r="J23"/>
  <c r="J96"/>
  <c r="J73"/>
  <c r="J41"/>
  <c r="J9"/>
  <c r="J68"/>
  <c r="J52"/>
  <c r="J36"/>
  <c r="J20"/>
  <c r="J4"/>
  <c r="J66"/>
  <c r="J50"/>
  <c r="J34"/>
  <c r="J18"/>
  <c r="J2"/>
  <c r="E39" i="2"/>
  <c r="I425" i="4" s="1"/>
  <c r="H95"/>
  <c r="H87"/>
  <c r="B40" i="2"/>
  <c r="F199" i="4" s="1"/>
  <c r="C9" i="2"/>
  <c r="E44" i="4"/>
  <c r="E56"/>
  <c r="C39" i="2"/>
  <c r="C40"/>
  <c r="G85" i="4"/>
  <c r="B9" i="2"/>
  <c r="G66" i="4"/>
  <c r="G90"/>
  <c r="G70"/>
  <c r="G95"/>
  <c r="G80"/>
  <c r="G79"/>
  <c r="G73"/>
  <c r="E14"/>
  <c r="E97"/>
  <c r="E90"/>
  <c r="E12"/>
  <c r="E24"/>
  <c r="G100"/>
  <c r="E94"/>
  <c r="G84"/>
  <c r="E62"/>
  <c r="G93"/>
  <c r="G96"/>
  <c r="E46"/>
  <c r="E91"/>
  <c r="G97"/>
  <c r="G92"/>
  <c r="G86"/>
  <c r="G91"/>
  <c r="G72"/>
  <c r="G75"/>
  <c r="E76"/>
  <c r="E84"/>
  <c r="E89"/>
  <c r="E69"/>
  <c r="E53"/>
  <c r="E37"/>
  <c r="E21"/>
  <c r="E5"/>
  <c r="E71"/>
  <c r="E55"/>
  <c r="E47"/>
  <c r="E31"/>
  <c r="E7"/>
  <c r="E86"/>
  <c r="E83"/>
  <c r="E82"/>
  <c r="E52"/>
  <c r="E20"/>
  <c r="E22"/>
  <c r="E88"/>
  <c r="E64"/>
  <c r="E32"/>
  <c r="E101"/>
  <c r="E93"/>
  <c r="E58"/>
  <c r="E26"/>
  <c r="E73"/>
  <c r="E57"/>
  <c r="E41"/>
  <c r="E25"/>
  <c r="E9"/>
  <c r="E75"/>
  <c r="E59"/>
  <c r="E51"/>
  <c r="E35"/>
  <c r="E11"/>
  <c r="E87"/>
  <c r="E95"/>
  <c r="E38"/>
  <c r="E70"/>
  <c r="E68"/>
  <c r="E36"/>
  <c r="E4"/>
  <c r="E6"/>
  <c r="E96"/>
  <c r="E80"/>
  <c r="E48"/>
  <c r="E16"/>
  <c r="E85"/>
  <c r="E74"/>
  <c r="E42"/>
  <c r="E10"/>
  <c r="E65"/>
  <c r="E49"/>
  <c r="E33"/>
  <c r="E17"/>
  <c r="E2"/>
  <c r="E67"/>
  <c r="E43"/>
  <c r="E27"/>
  <c r="E19"/>
  <c r="E3"/>
  <c r="E54"/>
  <c r="E98"/>
  <c r="E78"/>
  <c r="E99"/>
  <c r="E60"/>
  <c r="E28"/>
  <c r="E30"/>
  <c r="E100"/>
  <c r="E92"/>
  <c r="E72"/>
  <c r="E40"/>
  <c r="E8"/>
  <c r="E81"/>
  <c r="E66"/>
  <c r="E50"/>
  <c r="E34"/>
  <c r="E18"/>
  <c r="E77"/>
  <c r="E61"/>
  <c r="E45"/>
  <c r="E29"/>
  <c r="E13"/>
  <c r="E79"/>
  <c r="E63"/>
  <c r="E39"/>
  <c r="E23"/>
  <c r="M601" l="1"/>
  <c r="M580"/>
  <c r="M584"/>
  <c r="M588"/>
  <c r="M592"/>
  <c r="M596"/>
  <c r="M600"/>
  <c r="M616"/>
  <c r="M579"/>
  <c r="M583"/>
  <c r="M587"/>
  <c r="M591"/>
  <c r="M595"/>
  <c r="M599"/>
  <c r="M604"/>
  <c r="M620"/>
  <c r="M578"/>
  <c r="M582"/>
  <c r="M586"/>
  <c r="M590"/>
  <c r="M594"/>
  <c r="M598"/>
  <c r="M608"/>
  <c r="M624"/>
  <c r="M577"/>
  <c r="M581"/>
  <c r="M585"/>
  <c r="M589"/>
  <c r="M593"/>
  <c r="M597"/>
  <c r="M626"/>
  <c r="M602"/>
  <c r="M606"/>
  <c r="M610"/>
  <c r="M614"/>
  <c r="M618"/>
  <c r="M622"/>
  <c r="M625"/>
  <c r="M603"/>
  <c r="M607"/>
  <c r="M611"/>
  <c r="M615"/>
  <c r="M619"/>
  <c r="M623"/>
  <c r="M605"/>
  <c r="M609"/>
  <c r="M613"/>
  <c r="M617"/>
  <c r="M621"/>
  <c r="K36"/>
  <c r="K49"/>
  <c r="K12"/>
  <c r="K37"/>
  <c r="K92"/>
  <c r="K14"/>
  <c r="M629"/>
  <c r="M661"/>
  <c r="K35"/>
  <c r="K34"/>
  <c r="K23"/>
  <c r="K10"/>
  <c r="K65"/>
  <c r="K68"/>
  <c r="K46"/>
  <c r="K7"/>
  <c r="K95"/>
  <c r="K100"/>
  <c r="K51"/>
  <c r="K66"/>
  <c r="K96"/>
  <c r="K21"/>
  <c r="K71"/>
  <c r="K94"/>
  <c r="M645"/>
  <c r="M673"/>
  <c r="M633"/>
  <c r="M649"/>
  <c r="M665"/>
  <c r="M637"/>
  <c r="M653"/>
  <c r="M669"/>
  <c r="M677"/>
  <c r="M641"/>
  <c r="M657"/>
  <c r="M676"/>
  <c r="M630"/>
  <c r="M634"/>
  <c r="M638"/>
  <c r="M642"/>
  <c r="M646"/>
  <c r="M650"/>
  <c r="M654"/>
  <c r="M658"/>
  <c r="M662"/>
  <c r="M666"/>
  <c r="M670"/>
  <c r="M674"/>
  <c r="M627"/>
  <c r="M631"/>
  <c r="M635"/>
  <c r="M639"/>
  <c r="M643"/>
  <c r="M647"/>
  <c r="M651"/>
  <c r="M655"/>
  <c r="M659"/>
  <c r="M663"/>
  <c r="M667"/>
  <c r="M671"/>
  <c r="M675"/>
  <c r="M628"/>
  <c r="M632"/>
  <c r="M636"/>
  <c r="M640"/>
  <c r="M644"/>
  <c r="M648"/>
  <c r="M652"/>
  <c r="M656"/>
  <c r="M660"/>
  <c r="M664"/>
  <c r="M668"/>
  <c r="M672"/>
  <c r="K263"/>
  <c r="K277"/>
  <c r="K48"/>
  <c r="K33"/>
  <c r="K19"/>
  <c r="K4"/>
  <c r="K2"/>
  <c r="K16"/>
  <c r="K88"/>
  <c r="K56"/>
  <c r="K5"/>
  <c r="K69"/>
  <c r="K55"/>
  <c r="K76"/>
  <c r="K74"/>
  <c r="K54"/>
  <c r="K299"/>
  <c r="K234"/>
  <c r="K84"/>
  <c r="K17"/>
  <c r="K3"/>
  <c r="K67"/>
  <c r="K91"/>
  <c r="K90"/>
  <c r="K78"/>
  <c r="K80"/>
  <c r="K53"/>
  <c r="K39"/>
  <c r="K44"/>
  <c r="K42"/>
  <c r="K22"/>
  <c r="K249"/>
  <c r="K285"/>
  <c r="K255"/>
  <c r="K225"/>
  <c r="K270"/>
  <c r="K242"/>
  <c r="K287"/>
  <c r="K274"/>
  <c r="K259"/>
  <c r="K245"/>
  <c r="K230"/>
  <c r="K163"/>
  <c r="K197"/>
  <c r="K281"/>
  <c r="K266"/>
  <c r="K253"/>
  <c r="K238"/>
  <c r="K217"/>
  <c r="K286"/>
  <c r="K279"/>
  <c r="K271"/>
  <c r="K265"/>
  <c r="K258"/>
  <c r="K250"/>
  <c r="K243"/>
  <c r="K237"/>
  <c r="K227"/>
  <c r="K218"/>
  <c r="K202"/>
  <c r="K175"/>
  <c r="K115"/>
  <c r="K219"/>
  <c r="K207"/>
  <c r="K183"/>
  <c r="K131"/>
  <c r="K295"/>
  <c r="K282"/>
  <c r="K275"/>
  <c r="K269"/>
  <c r="K261"/>
  <c r="K254"/>
  <c r="K247"/>
  <c r="K239"/>
  <c r="K233"/>
  <c r="K223"/>
  <c r="K213"/>
  <c r="K191"/>
  <c r="K147"/>
  <c r="K291"/>
  <c r="K283"/>
  <c r="K278"/>
  <c r="K273"/>
  <c r="K267"/>
  <c r="K262"/>
  <c r="K257"/>
  <c r="K251"/>
  <c r="K246"/>
  <c r="K241"/>
  <c r="K235"/>
  <c r="K229"/>
  <c r="K222"/>
  <c r="K215"/>
  <c r="K210"/>
  <c r="K205"/>
  <c r="K199"/>
  <c r="K194"/>
  <c r="K187"/>
  <c r="K179"/>
  <c r="K171"/>
  <c r="K155"/>
  <c r="K139"/>
  <c r="K123"/>
  <c r="K107"/>
  <c r="K41"/>
  <c r="K27"/>
  <c r="K52"/>
  <c r="K63"/>
  <c r="K30"/>
  <c r="K6"/>
  <c r="K8"/>
  <c r="K50"/>
  <c r="K211"/>
  <c r="K206"/>
  <c r="K201"/>
  <c r="K195"/>
  <c r="K189"/>
  <c r="K181"/>
  <c r="K173"/>
  <c r="K159"/>
  <c r="K143"/>
  <c r="K127"/>
  <c r="K111"/>
  <c r="K72"/>
  <c r="K25"/>
  <c r="K11"/>
  <c r="K20"/>
  <c r="K31"/>
  <c r="K32"/>
  <c r="K45"/>
  <c r="K60"/>
  <c r="K61"/>
  <c r="K9"/>
  <c r="K73"/>
  <c r="K59"/>
  <c r="K13"/>
  <c r="K26"/>
  <c r="K64"/>
  <c r="K29"/>
  <c r="K15"/>
  <c r="K58"/>
  <c r="K38"/>
  <c r="K214"/>
  <c r="K209"/>
  <c r="K203"/>
  <c r="K198"/>
  <c r="K193"/>
  <c r="K185"/>
  <c r="K177"/>
  <c r="K167"/>
  <c r="K151"/>
  <c r="K135"/>
  <c r="K119"/>
  <c r="K103"/>
  <c r="K40"/>
  <c r="K57"/>
  <c r="K43"/>
  <c r="K18"/>
  <c r="K28"/>
  <c r="K62"/>
  <c r="K70"/>
  <c r="K47"/>
  <c r="K231"/>
  <c r="K226"/>
  <c r="K221"/>
  <c r="K216"/>
  <c r="K212"/>
  <c r="K208"/>
  <c r="K204"/>
  <c r="K200"/>
  <c r="K196"/>
  <c r="K192"/>
  <c r="K188"/>
  <c r="K184"/>
  <c r="K180"/>
  <c r="K176"/>
  <c r="K172"/>
  <c r="K168"/>
  <c r="K164"/>
  <c r="K160"/>
  <c r="K156"/>
  <c r="K152"/>
  <c r="K148"/>
  <c r="K144"/>
  <c r="K140"/>
  <c r="K136"/>
  <c r="K132"/>
  <c r="K128"/>
  <c r="K124"/>
  <c r="K120"/>
  <c r="K116"/>
  <c r="K112"/>
  <c r="K108"/>
  <c r="K104"/>
  <c r="K81"/>
  <c r="K79"/>
  <c r="K97"/>
  <c r="K169"/>
  <c r="K165"/>
  <c r="K161"/>
  <c r="K157"/>
  <c r="K153"/>
  <c r="K149"/>
  <c r="K145"/>
  <c r="K141"/>
  <c r="K137"/>
  <c r="K133"/>
  <c r="K129"/>
  <c r="K125"/>
  <c r="K121"/>
  <c r="K117"/>
  <c r="K113"/>
  <c r="K109"/>
  <c r="K105"/>
  <c r="K101"/>
  <c r="K75"/>
  <c r="K99"/>
  <c r="K77"/>
  <c r="K87"/>
  <c r="K190"/>
  <c r="K186"/>
  <c r="K182"/>
  <c r="K178"/>
  <c r="K174"/>
  <c r="K170"/>
  <c r="K166"/>
  <c r="K162"/>
  <c r="K158"/>
  <c r="K154"/>
  <c r="K150"/>
  <c r="K146"/>
  <c r="K142"/>
  <c r="K138"/>
  <c r="K134"/>
  <c r="K130"/>
  <c r="K126"/>
  <c r="K122"/>
  <c r="K118"/>
  <c r="K114"/>
  <c r="K110"/>
  <c r="K106"/>
  <c r="K102"/>
  <c r="K83"/>
  <c r="K98"/>
  <c r="K85"/>
  <c r="K93"/>
  <c r="K82"/>
  <c r="K86"/>
  <c r="K89"/>
  <c r="K288"/>
  <c r="K284"/>
  <c r="K280"/>
  <c r="K276"/>
  <c r="K272"/>
  <c r="K268"/>
  <c r="K264"/>
  <c r="K260"/>
  <c r="K256"/>
  <c r="K252"/>
  <c r="K248"/>
  <c r="K244"/>
  <c r="K240"/>
  <c r="K236"/>
  <c r="K232"/>
  <c r="K228"/>
  <c r="K224"/>
  <c r="K220"/>
  <c r="K300"/>
  <c r="K296"/>
  <c r="K292"/>
  <c r="K301"/>
  <c r="K297"/>
  <c r="K293"/>
  <c r="K289"/>
  <c r="K303"/>
  <c r="K298"/>
  <c r="K294"/>
  <c r="K290"/>
  <c r="M485"/>
  <c r="G169"/>
  <c r="G163"/>
  <c r="G164"/>
  <c r="G165"/>
  <c r="G166"/>
  <c r="G167"/>
  <c r="G168"/>
  <c r="G170"/>
  <c r="G171"/>
  <c r="G178"/>
  <c r="G175"/>
  <c r="G176"/>
  <c r="G172"/>
  <c r="G173"/>
  <c r="G174"/>
  <c r="G179"/>
  <c r="G177"/>
  <c r="G194"/>
  <c r="G187"/>
  <c r="G183"/>
  <c r="G184"/>
  <c r="G180"/>
  <c r="G185"/>
  <c r="G181"/>
  <c r="G186"/>
  <c r="G182"/>
  <c r="G191"/>
  <c r="G188"/>
  <c r="G189"/>
  <c r="G190"/>
  <c r="G192"/>
  <c r="G193"/>
  <c r="G205"/>
  <c r="G199"/>
  <c r="G195"/>
  <c r="G200"/>
  <c r="G196"/>
  <c r="G201"/>
  <c r="G197"/>
  <c r="G198"/>
  <c r="F75"/>
  <c r="F73"/>
  <c r="F88"/>
  <c r="F81"/>
  <c r="F93"/>
  <c r="F74"/>
  <c r="F92"/>
  <c r="F83"/>
  <c r="F99"/>
  <c r="F79"/>
  <c r="F87"/>
  <c r="F85"/>
  <c r="F84"/>
  <c r="F97"/>
  <c r="F86"/>
  <c r="F101"/>
  <c r="F91"/>
  <c r="F100"/>
  <c r="F89"/>
  <c r="F90"/>
  <c r="F80"/>
  <c r="F94"/>
  <c r="F98"/>
  <c r="F95"/>
  <c r="F76"/>
  <c r="F78"/>
  <c r="F77"/>
  <c r="F71"/>
  <c r="F72"/>
  <c r="F82"/>
  <c r="F70"/>
  <c r="F96"/>
  <c r="F111"/>
  <c r="F107"/>
  <c r="F103"/>
  <c r="C103" s="1"/>
  <c r="F112"/>
  <c r="F108"/>
  <c r="F104"/>
  <c r="F113"/>
  <c r="F109"/>
  <c r="F105"/>
  <c r="F69"/>
  <c r="F114"/>
  <c r="F110"/>
  <c r="F106"/>
  <c r="F102"/>
  <c r="G246"/>
  <c r="G242"/>
  <c r="G238"/>
  <c r="G234"/>
  <c r="G230"/>
  <c r="G226"/>
  <c r="G222"/>
  <c r="G218"/>
  <c r="G214"/>
  <c r="G210"/>
  <c r="G206"/>
  <c r="G202"/>
  <c r="G247"/>
  <c r="G243"/>
  <c r="G239"/>
  <c r="G235"/>
  <c r="G231"/>
  <c r="G227"/>
  <c r="G223"/>
  <c r="G219"/>
  <c r="G215"/>
  <c r="G211"/>
  <c r="G207"/>
  <c r="G203"/>
  <c r="G248"/>
  <c r="G244"/>
  <c r="G240"/>
  <c r="G236"/>
  <c r="G232"/>
  <c r="G228"/>
  <c r="G224"/>
  <c r="G220"/>
  <c r="G216"/>
  <c r="G212"/>
  <c r="G208"/>
  <c r="G204"/>
  <c r="G249"/>
  <c r="G245"/>
  <c r="G241"/>
  <c r="G237"/>
  <c r="G233"/>
  <c r="G229"/>
  <c r="G225"/>
  <c r="G221"/>
  <c r="G217"/>
  <c r="G213"/>
  <c r="G209"/>
  <c r="H9"/>
  <c r="H8"/>
  <c r="H17"/>
  <c r="H41"/>
  <c r="H37"/>
  <c r="H38"/>
  <c r="M503"/>
  <c r="L255"/>
  <c r="K304"/>
  <c r="H49"/>
  <c r="K302"/>
  <c r="K332"/>
  <c r="H54"/>
  <c r="K341"/>
  <c r="K353"/>
  <c r="K309"/>
  <c r="K321"/>
  <c r="K356"/>
  <c r="K345"/>
  <c r="K333"/>
  <c r="K324"/>
  <c r="K313"/>
  <c r="K348"/>
  <c r="K337"/>
  <c r="K325"/>
  <c r="K316"/>
  <c r="K305"/>
  <c r="K349"/>
  <c r="K340"/>
  <c r="K329"/>
  <c r="K317"/>
  <c r="K308"/>
  <c r="H56"/>
  <c r="K352"/>
  <c r="K344"/>
  <c r="K336"/>
  <c r="K328"/>
  <c r="K320"/>
  <c r="K312"/>
  <c r="H69"/>
  <c r="H73"/>
  <c r="H72"/>
  <c r="I278"/>
  <c r="H81"/>
  <c r="I287"/>
  <c r="I279"/>
  <c r="I282"/>
  <c r="I289"/>
  <c r="I281"/>
  <c r="I284"/>
  <c r="I283"/>
  <c r="I286"/>
  <c r="I285"/>
  <c r="I288"/>
  <c r="I280"/>
  <c r="I290"/>
  <c r="I291"/>
  <c r="I292"/>
  <c r="I293"/>
  <c r="I294"/>
  <c r="I295"/>
  <c r="I297"/>
  <c r="I296"/>
  <c r="I299"/>
  <c r="I298"/>
  <c r="I301"/>
  <c r="I300"/>
  <c r="I302"/>
  <c r="I303"/>
  <c r="I304"/>
  <c r="K378"/>
  <c r="K582"/>
  <c r="K478"/>
  <c r="K602"/>
  <c r="K386"/>
  <c r="K548"/>
  <c r="K460"/>
  <c r="K367"/>
  <c r="K589"/>
  <c r="K524"/>
  <c r="K545"/>
  <c r="K364"/>
  <c r="K395"/>
  <c r="K581"/>
  <c r="K497"/>
  <c r="K359"/>
  <c r="K384"/>
  <c r="K598"/>
  <c r="K566"/>
  <c r="K506"/>
  <c r="K457"/>
  <c r="K358"/>
  <c r="K374"/>
  <c r="K394"/>
  <c r="K592"/>
  <c r="K571"/>
  <c r="K528"/>
  <c r="K481"/>
  <c r="K354"/>
  <c r="K350"/>
  <c r="K346"/>
  <c r="K342"/>
  <c r="K338"/>
  <c r="K334"/>
  <c r="K330"/>
  <c r="K326"/>
  <c r="K322"/>
  <c r="K318"/>
  <c r="K314"/>
  <c r="K310"/>
  <c r="K306"/>
  <c r="K363"/>
  <c r="K372"/>
  <c r="K380"/>
  <c r="K391"/>
  <c r="K400"/>
  <c r="K594"/>
  <c r="K584"/>
  <c r="K575"/>
  <c r="K556"/>
  <c r="K533"/>
  <c r="K510"/>
  <c r="K490"/>
  <c r="K468"/>
  <c r="K355"/>
  <c r="K351"/>
  <c r="K347"/>
  <c r="K343"/>
  <c r="K339"/>
  <c r="K335"/>
  <c r="K331"/>
  <c r="K327"/>
  <c r="K323"/>
  <c r="K319"/>
  <c r="K315"/>
  <c r="K311"/>
  <c r="K307"/>
  <c r="K360"/>
  <c r="K370"/>
  <c r="K379"/>
  <c r="K388"/>
  <c r="K399"/>
  <c r="K597"/>
  <c r="K588"/>
  <c r="K577"/>
  <c r="K561"/>
  <c r="K542"/>
  <c r="K517"/>
  <c r="K496"/>
  <c r="K470"/>
  <c r="K362"/>
  <c r="K368"/>
  <c r="K375"/>
  <c r="K383"/>
  <c r="K390"/>
  <c r="K396"/>
  <c r="K600"/>
  <c r="K593"/>
  <c r="K586"/>
  <c r="K578"/>
  <c r="K570"/>
  <c r="K554"/>
  <c r="K534"/>
  <c r="K518"/>
  <c r="K505"/>
  <c r="K485"/>
  <c r="K469"/>
  <c r="K445"/>
  <c r="K361"/>
  <c r="K366"/>
  <c r="K371"/>
  <c r="K376"/>
  <c r="K382"/>
  <c r="K387"/>
  <c r="K392"/>
  <c r="K398"/>
  <c r="K601"/>
  <c r="K596"/>
  <c r="K590"/>
  <c r="K585"/>
  <c r="K580"/>
  <c r="K573"/>
  <c r="K564"/>
  <c r="K553"/>
  <c r="K538"/>
  <c r="K526"/>
  <c r="K513"/>
  <c r="K500"/>
  <c r="K489"/>
  <c r="K476"/>
  <c r="K462"/>
  <c r="K421"/>
  <c r="K365"/>
  <c r="K369"/>
  <c r="K373"/>
  <c r="K377"/>
  <c r="K381"/>
  <c r="K385"/>
  <c r="K389"/>
  <c r="K393"/>
  <c r="K397"/>
  <c r="K401"/>
  <c r="K599"/>
  <c r="K595"/>
  <c r="K591"/>
  <c r="K587"/>
  <c r="K583"/>
  <c r="K579"/>
  <c r="K574"/>
  <c r="K569"/>
  <c r="K560"/>
  <c r="K549"/>
  <c r="K540"/>
  <c r="K532"/>
  <c r="K521"/>
  <c r="K512"/>
  <c r="K502"/>
  <c r="K492"/>
  <c r="K484"/>
  <c r="K474"/>
  <c r="K464"/>
  <c r="K454"/>
  <c r="K441"/>
  <c r="K405"/>
  <c r="K447"/>
  <c r="K425"/>
  <c r="K453"/>
  <c r="K433"/>
  <c r="K565"/>
  <c r="K558"/>
  <c r="K550"/>
  <c r="K544"/>
  <c r="K537"/>
  <c r="K529"/>
  <c r="K522"/>
  <c r="K516"/>
  <c r="K508"/>
  <c r="K501"/>
  <c r="K494"/>
  <c r="K486"/>
  <c r="K480"/>
  <c r="K473"/>
  <c r="K465"/>
  <c r="K458"/>
  <c r="K452"/>
  <c r="K437"/>
  <c r="K423"/>
  <c r="K409"/>
  <c r="K413"/>
  <c r="K431"/>
  <c r="K415"/>
  <c r="K677"/>
  <c r="K576"/>
  <c r="K572"/>
  <c r="K568"/>
  <c r="K562"/>
  <c r="K557"/>
  <c r="K552"/>
  <c r="K546"/>
  <c r="K541"/>
  <c r="K536"/>
  <c r="K530"/>
  <c r="K525"/>
  <c r="K520"/>
  <c r="K514"/>
  <c r="K509"/>
  <c r="K504"/>
  <c r="K498"/>
  <c r="K493"/>
  <c r="K488"/>
  <c r="K482"/>
  <c r="K477"/>
  <c r="K472"/>
  <c r="K466"/>
  <c r="K461"/>
  <c r="K456"/>
  <c r="K449"/>
  <c r="K439"/>
  <c r="K429"/>
  <c r="K417"/>
  <c r="K407"/>
  <c r="G251"/>
  <c r="K567"/>
  <c r="K563"/>
  <c r="K559"/>
  <c r="K555"/>
  <c r="K551"/>
  <c r="K547"/>
  <c r="K543"/>
  <c r="K539"/>
  <c r="K535"/>
  <c r="K531"/>
  <c r="K527"/>
  <c r="K523"/>
  <c r="K519"/>
  <c r="K515"/>
  <c r="K511"/>
  <c r="K507"/>
  <c r="K503"/>
  <c r="K499"/>
  <c r="K495"/>
  <c r="K491"/>
  <c r="K487"/>
  <c r="K483"/>
  <c r="K479"/>
  <c r="K475"/>
  <c r="K471"/>
  <c r="K467"/>
  <c r="K463"/>
  <c r="K459"/>
  <c r="K455"/>
  <c r="K451"/>
  <c r="K443"/>
  <c r="K435"/>
  <c r="K427"/>
  <c r="K419"/>
  <c r="K411"/>
  <c r="K403"/>
  <c r="K357"/>
  <c r="O477"/>
  <c r="O469"/>
  <c r="O461"/>
  <c r="O453"/>
  <c r="O445"/>
  <c r="O437"/>
  <c r="O429"/>
  <c r="O421"/>
  <c r="O413"/>
  <c r="O405"/>
  <c r="O397"/>
  <c r="O389"/>
  <c r="O381"/>
  <c r="O373"/>
  <c r="O365"/>
  <c r="O357"/>
  <c r="O349"/>
  <c r="O341"/>
  <c r="O333"/>
  <c r="O325"/>
  <c r="O317"/>
  <c r="O309"/>
  <c r="O301"/>
  <c r="O293"/>
  <c r="O285"/>
  <c r="O277"/>
  <c r="O269"/>
  <c r="O261"/>
  <c r="O253"/>
  <c r="O478"/>
  <c r="O470"/>
  <c r="O462"/>
  <c r="O454"/>
  <c r="O446"/>
  <c r="O438"/>
  <c r="O430"/>
  <c r="O422"/>
  <c r="O414"/>
  <c r="O406"/>
  <c r="O398"/>
  <c r="O390"/>
  <c r="O382"/>
  <c r="O374"/>
  <c r="O366"/>
  <c r="O358"/>
  <c r="O350"/>
  <c r="O342"/>
  <c r="O334"/>
  <c r="O326"/>
  <c r="O318"/>
  <c r="O310"/>
  <c r="O302"/>
  <c r="O294"/>
  <c r="O286"/>
  <c r="O278"/>
  <c r="O270"/>
  <c r="O262"/>
  <c r="O254"/>
  <c r="L486"/>
  <c r="L488"/>
  <c r="L490"/>
  <c r="L492"/>
  <c r="L494"/>
  <c r="L496"/>
  <c r="L498"/>
  <c r="L500"/>
  <c r="L482"/>
  <c r="L474"/>
  <c r="L466"/>
  <c r="L458"/>
  <c r="L450"/>
  <c r="L442"/>
  <c r="L434"/>
  <c r="L426"/>
  <c r="L418"/>
  <c r="L410"/>
  <c r="L402"/>
  <c r="L394"/>
  <c r="L386"/>
  <c r="L378"/>
  <c r="L370"/>
  <c r="L362"/>
  <c r="L354"/>
  <c r="L346"/>
  <c r="L338"/>
  <c r="L330"/>
  <c r="L322"/>
  <c r="L314"/>
  <c r="L306"/>
  <c r="L298"/>
  <c r="L290"/>
  <c r="L282"/>
  <c r="L274"/>
  <c r="L266"/>
  <c r="L258"/>
  <c r="L481"/>
  <c r="L473"/>
  <c r="L465"/>
  <c r="L457"/>
  <c r="L449"/>
  <c r="L441"/>
  <c r="L433"/>
  <c r="L425"/>
  <c r="L417"/>
  <c r="L409"/>
  <c r="L401"/>
  <c r="L393"/>
  <c r="L385"/>
  <c r="L377"/>
  <c r="L369"/>
  <c r="L361"/>
  <c r="L353"/>
  <c r="L345"/>
  <c r="L337"/>
  <c r="L329"/>
  <c r="L321"/>
  <c r="L313"/>
  <c r="L305"/>
  <c r="L297"/>
  <c r="L289"/>
  <c r="L281"/>
  <c r="L273"/>
  <c r="L265"/>
  <c r="L257"/>
  <c r="O479"/>
  <c r="O471"/>
  <c r="O463"/>
  <c r="O455"/>
  <c r="O447"/>
  <c r="O439"/>
  <c r="O431"/>
  <c r="O423"/>
  <c r="O415"/>
  <c r="O407"/>
  <c r="O399"/>
  <c r="O391"/>
  <c r="O383"/>
  <c r="O375"/>
  <c r="O367"/>
  <c r="O359"/>
  <c r="O351"/>
  <c r="O343"/>
  <c r="O335"/>
  <c r="O327"/>
  <c r="O319"/>
  <c r="O311"/>
  <c r="O303"/>
  <c r="O295"/>
  <c r="O287"/>
  <c r="O279"/>
  <c r="O271"/>
  <c r="O263"/>
  <c r="O255"/>
  <c r="O480"/>
  <c r="O472"/>
  <c r="O464"/>
  <c r="O456"/>
  <c r="O448"/>
  <c r="O440"/>
  <c r="O432"/>
  <c r="O424"/>
  <c r="O416"/>
  <c r="O408"/>
  <c r="O400"/>
  <c r="O392"/>
  <c r="O384"/>
  <c r="O376"/>
  <c r="O368"/>
  <c r="O360"/>
  <c r="O352"/>
  <c r="O344"/>
  <c r="O336"/>
  <c r="O328"/>
  <c r="O320"/>
  <c r="O312"/>
  <c r="O304"/>
  <c r="O296"/>
  <c r="O288"/>
  <c r="O280"/>
  <c r="O272"/>
  <c r="O264"/>
  <c r="O256"/>
  <c r="O487"/>
  <c r="O489"/>
  <c r="O491"/>
  <c r="O493"/>
  <c r="O495"/>
  <c r="O497"/>
  <c r="O499"/>
  <c r="O501"/>
  <c r="L484"/>
  <c r="L476"/>
  <c r="L468"/>
  <c r="L460"/>
  <c r="L452"/>
  <c r="L444"/>
  <c r="L436"/>
  <c r="L428"/>
  <c r="L420"/>
  <c r="L412"/>
  <c r="L404"/>
  <c r="L396"/>
  <c r="L388"/>
  <c r="L380"/>
  <c r="L372"/>
  <c r="L364"/>
  <c r="L356"/>
  <c r="L348"/>
  <c r="L340"/>
  <c r="L332"/>
  <c r="L324"/>
  <c r="L316"/>
  <c r="L308"/>
  <c r="L300"/>
  <c r="L292"/>
  <c r="L284"/>
  <c r="L276"/>
  <c r="L268"/>
  <c r="L260"/>
  <c r="L252"/>
  <c r="L483"/>
  <c r="L475"/>
  <c r="L467"/>
  <c r="L459"/>
  <c r="L451"/>
  <c r="L443"/>
  <c r="L435"/>
  <c r="L427"/>
  <c r="L419"/>
  <c r="L411"/>
  <c r="L403"/>
  <c r="L395"/>
  <c r="L387"/>
  <c r="L379"/>
  <c r="L371"/>
  <c r="L363"/>
  <c r="L355"/>
  <c r="L347"/>
  <c r="L339"/>
  <c r="L331"/>
  <c r="L323"/>
  <c r="L315"/>
  <c r="L307"/>
  <c r="L299"/>
  <c r="L291"/>
  <c r="L283"/>
  <c r="L275"/>
  <c r="L267"/>
  <c r="L259"/>
  <c r="L485"/>
  <c r="L487"/>
  <c r="L489"/>
  <c r="L491"/>
  <c r="L493"/>
  <c r="L495"/>
  <c r="L497"/>
  <c r="L499"/>
  <c r="L501"/>
  <c r="O481"/>
  <c r="O473"/>
  <c r="O465"/>
  <c r="O457"/>
  <c r="O449"/>
  <c r="O441"/>
  <c r="O433"/>
  <c r="O425"/>
  <c r="O417"/>
  <c r="O409"/>
  <c r="O401"/>
  <c r="O393"/>
  <c r="O385"/>
  <c r="O377"/>
  <c r="O369"/>
  <c r="O361"/>
  <c r="O353"/>
  <c r="O345"/>
  <c r="O337"/>
  <c r="O329"/>
  <c r="O321"/>
  <c r="O313"/>
  <c r="O305"/>
  <c r="O297"/>
  <c r="O289"/>
  <c r="O281"/>
  <c r="O273"/>
  <c r="O265"/>
  <c r="O257"/>
  <c r="O482"/>
  <c r="O474"/>
  <c r="O466"/>
  <c r="O458"/>
  <c r="O450"/>
  <c r="O442"/>
  <c r="O434"/>
  <c r="O426"/>
  <c r="O418"/>
  <c r="O410"/>
  <c r="O402"/>
  <c r="O394"/>
  <c r="O386"/>
  <c r="O378"/>
  <c r="O370"/>
  <c r="O362"/>
  <c r="O354"/>
  <c r="O346"/>
  <c r="O338"/>
  <c r="O330"/>
  <c r="O322"/>
  <c r="O314"/>
  <c r="O306"/>
  <c r="O298"/>
  <c r="O290"/>
  <c r="O282"/>
  <c r="O274"/>
  <c r="O266"/>
  <c r="O258"/>
  <c r="L478"/>
  <c r="L470"/>
  <c r="L462"/>
  <c r="L454"/>
  <c r="L446"/>
  <c r="L438"/>
  <c r="L430"/>
  <c r="L422"/>
  <c r="L414"/>
  <c r="L406"/>
  <c r="L398"/>
  <c r="L390"/>
  <c r="L382"/>
  <c r="L374"/>
  <c r="L366"/>
  <c r="L358"/>
  <c r="L350"/>
  <c r="L342"/>
  <c r="L334"/>
  <c r="L326"/>
  <c r="L318"/>
  <c r="L310"/>
  <c r="L302"/>
  <c r="L294"/>
  <c r="L286"/>
  <c r="L278"/>
  <c r="L270"/>
  <c r="L262"/>
  <c r="L254"/>
  <c r="L477"/>
  <c r="L469"/>
  <c r="L461"/>
  <c r="L453"/>
  <c r="L445"/>
  <c r="L437"/>
  <c r="L429"/>
  <c r="L421"/>
  <c r="L413"/>
  <c r="L405"/>
  <c r="L397"/>
  <c r="L389"/>
  <c r="L381"/>
  <c r="L373"/>
  <c r="L365"/>
  <c r="L357"/>
  <c r="L349"/>
  <c r="L341"/>
  <c r="L333"/>
  <c r="L325"/>
  <c r="L317"/>
  <c r="L309"/>
  <c r="L301"/>
  <c r="L293"/>
  <c r="L285"/>
  <c r="L277"/>
  <c r="L269"/>
  <c r="L261"/>
  <c r="L253"/>
  <c r="O485"/>
  <c r="O486"/>
  <c r="O488"/>
  <c r="O490"/>
  <c r="O492"/>
  <c r="O494"/>
  <c r="O496"/>
  <c r="O498"/>
  <c r="O500"/>
  <c r="O483"/>
  <c r="O475"/>
  <c r="O467"/>
  <c r="O459"/>
  <c r="O451"/>
  <c r="O443"/>
  <c r="O435"/>
  <c r="O427"/>
  <c r="O419"/>
  <c r="O411"/>
  <c r="O403"/>
  <c r="O395"/>
  <c r="O387"/>
  <c r="O379"/>
  <c r="O371"/>
  <c r="O363"/>
  <c r="O355"/>
  <c r="O347"/>
  <c r="O339"/>
  <c r="O331"/>
  <c r="O323"/>
  <c r="O315"/>
  <c r="O307"/>
  <c r="O299"/>
  <c r="O291"/>
  <c r="O283"/>
  <c r="O275"/>
  <c r="O267"/>
  <c r="O259"/>
  <c r="O484"/>
  <c r="O476"/>
  <c r="O468"/>
  <c r="O460"/>
  <c r="O452"/>
  <c r="O444"/>
  <c r="O436"/>
  <c r="O428"/>
  <c r="O420"/>
  <c r="O412"/>
  <c r="O404"/>
  <c r="O396"/>
  <c r="O388"/>
  <c r="O380"/>
  <c r="O372"/>
  <c r="O364"/>
  <c r="O356"/>
  <c r="O348"/>
  <c r="O340"/>
  <c r="O332"/>
  <c r="O324"/>
  <c r="O316"/>
  <c r="O308"/>
  <c r="O300"/>
  <c r="O292"/>
  <c r="O284"/>
  <c r="O276"/>
  <c r="O268"/>
  <c r="O260"/>
  <c r="O252"/>
  <c r="L480"/>
  <c r="L472"/>
  <c r="L464"/>
  <c r="L456"/>
  <c r="L448"/>
  <c r="L440"/>
  <c r="L432"/>
  <c r="L424"/>
  <c r="L416"/>
  <c r="L408"/>
  <c r="L400"/>
  <c r="L392"/>
  <c r="L384"/>
  <c r="L376"/>
  <c r="L368"/>
  <c r="L360"/>
  <c r="L352"/>
  <c r="L344"/>
  <c r="L336"/>
  <c r="L328"/>
  <c r="L320"/>
  <c r="L312"/>
  <c r="L304"/>
  <c r="L296"/>
  <c r="L288"/>
  <c r="L280"/>
  <c r="L272"/>
  <c r="L264"/>
  <c r="L256"/>
  <c r="L479"/>
  <c r="L471"/>
  <c r="L463"/>
  <c r="L455"/>
  <c r="L447"/>
  <c r="L439"/>
  <c r="L431"/>
  <c r="L423"/>
  <c r="L415"/>
  <c r="L407"/>
  <c r="L399"/>
  <c r="L391"/>
  <c r="L383"/>
  <c r="L375"/>
  <c r="L367"/>
  <c r="L359"/>
  <c r="L351"/>
  <c r="L343"/>
  <c r="L335"/>
  <c r="L327"/>
  <c r="L319"/>
  <c r="L311"/>
  <c r="L303"/>
  <c r="L295"/>
  <c r="L287"/>
  <c r="L279"/>
  <c r="L271"/>
  <c r="L263"/>
  <c r="I420"/>
  <c r="I412"/>
  <c r="I404"/>
  <c r="I396"/>
  <c r="I388"/>
  <c r="I380"/>
  <c r="I372"/>
  <c r="I364"/>
  <c r="I356"/>
  <c r="I415"/>
  <c r="I407"/>
  <c r="I399"/>
  <c r="I391"/>
  <c r="I383"/>
  <c r="I375"/>
  <c r="I367"/>
  <c r="I359"/>
  <c r="I351"/>
  <c r="I343"/>
  <c r="I335"/>
  <c r="I327"/>
  <c r="I319"/>
  <c r="I311"/>
  <c r="I348"/>
  <c r="I340"/>
  <c r="I332"/>
  <c r="I324"/>
  <c r="I316"/>
  <c r="I308"/>
  <c r="H97"/>
  <c r="G250"/>
  <c r="I414"/>
  <c r="I406"/>
  <c r="I398"/>
  <c r="I390"/>
  <c r="I382"/>
  <c r="I374"/>
  <c r="I366"/>
  <c r="I358"/>
  <c r="I417"/>
  <c r="I409"/>
  <c r="I401"/>
  <c r="I393"/>
  <c r="I385"/>
  <c r="I377"/>
  <c r="I369"/>
  <c r="I361"/>
  <c r="I353"/>
  <c r="I345"/>
  <c r="I337"/>
  <c r="I329"/>
  <c r="I321"/>
  <c r="I313"/>
  <c r="I305"/>
  <c r="I350"/>
  <c r="I342"/>
  <c r="I334"/>
  <c r="I326"/>
  <c r="I318"/>
  <c r="I310"/>
  <c r="I416"/>
  <c r="I408"/>
  <c r="I400"/>
  <c r="I392"/>
  <c r="I384"/>
  <c r="I376"/>
  <c r="I368"/>
  <c r="I360"/>
  <c r="I419"/>
  <c r="I411"/>
  <c r="I403"/>
  <c r="I395"/>
  <c r="I387"/>
  <c r="I379"/>
  <c r="I371"/>
  <c r="I363"/>
  <c r="I355"/>
  <c r="I347"/>
  <c r="I339"/>
  <c r="I331"/>
  <c r="I323"/>
  <c r="I315"/>
  <c r="I307"/>
  <c r="I352"/>
  <c r="I344"/>
  <c r="I336"/>
  <c r="I328"/>
  <c r="I320"/>
  <c r="I312"/>
  <c r="H93"/>
  <c r="I418"/>
  <c r="I410"/>
  <c r="I402"/>
  <c r="I394"/>
  <c r="I386"/>
  <c r="I378"/>
  <c r="I370"/>
  <c r="I362"/>
  <c r="I421"/>
  <c r="I413"/>
  <c r="I405"/>
  <c r="I397"/>
  <c r="I389"/>
  <c r="I381"/>
  <c r="I373"/>
  <c r="I365"/>
  <c r="I357"/>
  <c r="I349"/>
  <c r="I341"/>
  <c r="I333"/>
  <c r="I325"/>
  <c r="I317"/>
  <c r="I309"/>
  <c r="I354"/>
  <c r="I346"/>
  <c r="I338"/>
  <c r="I330"/>
  <c r="I322"/>
  <c r="I314"/>
  <c r="I306"/>
  <c r="H384"/>
  <c r="H285"/>
  <c r="H589"/>
  <c r="H630"/>
  <c r="H320"/>
  <c r="H200"/>
  <c r="H184"/>
  <c r="H349"/>
  <c r="H221"/>
  <c r="H185"/>
  <c r="H570"/>
  <c r="H442"/>
  <c r="H525"/>
  <c r="H662"/>
  <c r="H352"/>
  <c r="H288"/>
  <c r="H224"/>
  <c r="H196"/>
  <c r="H188"/>
  <c r="H180"/>
  <c r="H381"/>
  <c r="H317"/>
  <c r="H253"/>
  <c r="H197"/>
  <c r="H189"/>
  <c r="H181"/>
  <c r="H602"/>
  <c r="H538"/>
  <c r="H474"/>
  <c r="H410"/>
  <c r="H557"/>
  <c r="H493"/>
  <c r="H429"/>
  <c r="H643"/>
  <c r="H614"/>
  <c r="H646"/>
  <c r="H400"/>
  <c r="H368"/>
  <c r="H336"/>
  <c r="H304"/>
  <c r="H272"/>
  <c r="H240"/>
  <c r="H208"/>
  <c r="H397"/>
  <c r="H365"/>
  <c r="H333"/>
  <c r="H301"/>
  <c r="H269"/>
  <c r="H237"/>
  <c r="H205"/>
  <c r="H586"/>
  <c r="H554"/>
  <c r="H522"/>
  <c r="H490"/>
  <c r="H458"/>
  <c r="H426"/>
  <c r="H605"/>
  <c r="H573"/>
  <c r="H541"/>
  <c r="H509"/>
  <c r="H477"/>
  <c r="H445"/>
  <c r="H413"/>
  <c r="H627"/>
  <c r="H659"/>
  <c r="H622"/>
  <c r="H638"/>
  <c r="H654"/>
  <c r="H670"/>
  <c r="H392"/>
  <c r="H376"/>
  <c r="H360"/>
  <c r="H344"/>
  <c r="H328"/>
  <c r="H312"/>
  <c r="H296"/>
  <c r="H280"/>
  <c r="H264"/>
  <c r="H248"/>
  <c r="H232"/>
  <c r="H216"/>
  <c r="H389"/>
  <c r="H373"/>
  <c r="H357"/>
  <c r="H341"/>
  <c r="H325"/>
  <c r="H309"/>
  <c r="H293"/>
  <c r="H277"/>
  <c r="H261"/>
  <c r="H245"/>
  <c r="H229"/>
  <c r="H213"/>
  <c r="H610"/>
  <c r="H594"/>
  <c r="H578"/>
  <c r="H562"/>
  <c r="H546"/>
  <c r="H530"/>
  <c r="H514"/>
  <c r="H498"/>
  <c r="H482"/>
  <c r="H466"/>
  <c r="H450"/>
  <c r="H434"/>
  <c r="H418"/>
  <c r="H402"/>
  <c r="H597"/>
  <c r="H581"/>
  <c r="H565"/>
  <c r="H549"/>
  <c r="H533"/>
  <c r="H517"/>
  <c r="H501"/>
  <c r="H485"/>
  <c r="H469"/>
  <c r="H453"/>
  <c r="H437"/>
  <c r="H421"/>
  <c r="H405"/>
  <c r="H619"/>
  <c r="H635"/>
  <c r="H651"/>
  <c r="H667"/>
  <c r="H618"/>
  <c r="H626"/>
  <c r="H634"/>
  <c r="H642"/>
  <c r="H650"/>
  <c r="H658"/>
  <c r="H666"/>
  <c r="H674"/>
  <c r="H396"/>
  <c r="H388"/>
  <c r="H380"/>
  <c r="H372"/>
  <c r="H364"/>
  <c r="H356"/>
  <c r="H348"/>
  <c r="H340"/>
  <c r="H332"/>
  <c r="H324"/>
  <c r="H316"/>
  <c r="H308"/>
  <c r="H300"/>
  <c r="H292"/>
  <c r="H284"/>
  <c r="H276"/>
  <c r="H268"/>
  <c r="H260"/>
  <c r="H252"/>
  <c r="H244"/>
  <c r="H236"/>
  <c r="H228"/>
  <c r="H220"/>
  <c r="H212"/>
  <c r="H204"/>
  <c r="H401"/>
  <c r="H393"/>
  <c r="H385"/>
  <c r="H377"/>
  <c r="H369"/>
  <c r="H361"/>
  <c r="H353"/>
  <c r="H345"/>
  <c r="H337"/>
  <c r="H329"/>
  <c r="H321"/>
  <c r="H313"/>
  <c r="H305"/>
  <c r="H297"/>
  <c r="H289"/>
  <c r="H281"/>
  <c r="H273"/>
  <c r="H265"/>
  <c r="H257"/>
  <c r="H249"/>
  <c r="H241"/>
  <c r="H233"/>
  <c r="H225"/>
  <c r="H217"/>
  <c r="H209"/>
  <c r="H201"/>
  <c r="H606"/>
  <c r="H598"/>
  <c r="H590"/>
  <c r="H582"/>
  <c r="H574"/>
  <c r="H566"/>
  <c r="H558"/>
  <c r="H550"/>
  <c r="H542"/>
  <c r="H534"/>
  <c r="H526"/>
  <c r="H518"/>
  <c r="H510"/>
  <c r="H502"/>
  <c r="H494"/>
  <c r="H486"/>
  <c r="H478"/>
  <c r="H470"/>
  <c r="H462"/>
  <c r="H454"/>
  <c r="H446"/>
  <c r="H438"/>
  <c r="H430"/>
  <c r="H422"/>
  <c r="H414"/>
  <c r="H406"/>
  <c r="H609"/>
  <c r="H601"/>
  <c r="H593"/>
  <c r="H585"/>
  <c r="H577"/>
  <c r="H569"/>
  <c r="H561"/>
  <c r="H553"/>
  <c r="H545"/>
  <c r="H537"/>
  <c r="H529"/>
  <c r="H521"/>
  <c r="H513"/>
  <c r="H505"/>
  <c r="H497"/>
  <c r="H489"/>
  <c r="H481"/>
  <c r="H473"/>
  <c r="H465"/>
  <c r="H457"/>
  <c r="H449"/>
  <c r="H441"/>
  <c r="H433"/>
  <c r="H425"/>
  <c r="H417"/>
  <c r="H409"/>
  <c r="H677"/>
  <c r="H615"/>
  <c r="H623"/>
  <c r="H631"/>
  <c r="H639"/>
  <c r="H647"/>
  <c r="H655"/>
  <c r="H663"/>
  <c r="H671"/>
  <c r="K668"/>
  <c r="K642"/>
  <c r="K676"/>
  <c r="K658"/>
  <c r="K626"/>
  <c r="K672"/>
  <c r="K664"/>
  <c r="K650"/>
  <c r="K634"/>
  <c r="K618"/>
  <c r="K674"/>
  <c r="K670"/>
  <c r="K666"/>
  <c r="K662"/>
  <c r="K654"/>
  <c r="K646"/>
  <c r="K638"/>
  <c r="K630"/>
  <c r="K622"/>
  <c r="K610"/>
  <c r="H612"/>
  <c r="H616"/>
  <c r="H620"/>
  <c r="H624"/>
  <c r="H628"/>
  <c r="H632"/>
  <c r="H636"/>
  <c r="H640"/>
  <c r="H644"/>
  <c r="H648"/>
  <c r="H652"/>
  <c r="H656"/>
  <c r="H660"/>
  <c r="H664"/>
  <c r="H668"/>
  <c r="H672"/>
  <c r="H676"/>
  <c r="H398"/>
  <c r="H394"/>
  <c r="H390"/>
  <c r="H386"/>
  <c r="H382"/>
  <c r="H378"/>
  <c r="H374"/>
  <c r="H370"/>
  <c r="H366"/>
  <c r="H362"/>
  <c r="H358"/>
  <c r="H354"/>
  <c r="H350"/>
  <c r="H346"/>
  <c r="H342"/>
  <c r="H338"/>
  <c r="H334"/>
  <c r="H330"/>
  <c r="H326"/>
  <c r="H322"/>
  <c r="H318"/>
  <c r="H314"/>
  <c r="H310"/>
  <c r="H306"/>
  <c r="H302"/>
  <c r="H298"/>
  <c r="H294"/>
  <c r="H290"/>
  <c r="H286"/>
  <c r="H282"/>
  <c r="H278"/>
  <c r="H274"/>
  <c r="H270"/>
  <c r="H266"/>
  <c r="H262"/>
  <c r="H258"/>
  <c r="H254"/>
  <c r="H250"/>
  <c r="H246"/>
  <c r="H242"/>
  <c r="H238"/>
  <c r="H234"/>
  <c r="H230"/>
  <c r="H226"/>
  <c r="H222"/>
  <c r="H218"/>
  <c r="H214"/>
  <c r="H210"/>
  <c r="H206"/>
  <c r="H202"/>
  <c r="H198"/>
  <c r="H194"/>
  <c r="H190"/>
  <c r="H186"/>
  <c r="H182"/>
  <c r="H399"/>
  <c r="H395"/>
  <c r="H391"/>
  <c r="H387"/>
  <c r="H383"/>
  <c r="H379"/>
  <c r="H375"/>
  <c r="H371"/>
  <c r="H367"/>
  <c r="H363"/>
  <c r="H359"/>
  <c r="H355"/>
  <c r="H351"/>
  <c r="H347"/>
  <c r="H343"/>
  <c r="H339"/>
  <c r="H335"/>
  <c r="H331"/>
  <c r="H327"/>
  <c r="H323"/>
  <c r="H319"/>
  <c r="H315"/>
  <c r="H311"/>
  <c r="H307"/>
  <c r="H303"/>
  <c r="H299"/>
  <c r="H295"/>
  <c r="H291"/>
  <c r="H287"/>
  <c r="H283"/>
  <c r="H279"/>
  <c r="H275"/>
  <c r="H271"/>
  <c r="H267"/>
  <c r="H263"/>
  <c r="H259"/>
  <c r="H255"/>
  <c r="H251"/>
  <c r="H247"/>
  <c r="H243"/>
  <c r="H239"/>
  <c r="H235"/>
  <c r="H231"/>
  <c r="H227"/>
  <c r="H223"/>
  <c r="H219"/>
  <c r="H215"/>
  <c r="H211"/>
  <c r="H207"/>
  <c r="H203"/>
  <c r="H199"/>
  <c r="H195"/>
  <c r="H191"/>
  <c r="H187"/>
  <c r="H183"/>
  <c r="H608"/>
  <c r="H604"/>
  <c r="H600"/>
  <c r="H596"/>
  <c r="H592"/>
  <c r="H588"/>
  <c r="H584"/>
  <c r="H580"/>
  <c r="H576"/>
  <c r="H572"/>
  <c r="H568"/>
  <c r="H564"/>
  <c r="H560"/>
  <c r="H556"/>
  <c r="H552"/>
  <c r="H548"/>
  <c r="H544"/>
  <c r="H540"/>
  <c r="H536"/>
  <c r="H532"/>
  <c r="H528"/>
  <c r="H524"/>
  <c r="H520"/>
  <c r="H516"/>
  <c r="H512"/>
  <c r="H508"/>
  <c r="H504"/>
  <c r="H500"/>
  <c r="H496"/>
  <c r="H492"/>
  <c r="H488"/>
  <c r="H484"/>
  <c r="H480"/>
  <c r="H476"/>
  <c r="H472"/>
  <c r="H468"/>
  <c r="H464"/>
  <c r="H460"/>
  <c r="H456"/>
  <c r="H452"/>
  <c r="H448"/>
  <c r="H444"/>
  <c r="H440"/>
  <c r="H436"/>
  <c r="H432"/>
  <c r="H428"/>
  <c r="H424"/>
  <c r="H420"/>
  <c r="H416"/>
  <c r="H412"/>
  <c r="H408"/>
  <c r="H404"/>
  <c r="H611"/>
  <c r="H607"/>
  <c r="H603"/>
  <c r="H599"/>
  <c r="H595"/>
  <c r="H591"/>
  <c r="H587"/>
  <c r="H583"/>
  <c r="H579"/>
  <c r="H575"/>
  <c r="H571"/>
  <c r="H567"/>
  <c r="H563"/>
  <c r="H559"/>
  <c r="H555"/>
  <c r="H551"/>
  <c r="H547"/>
  <c r="H543"/>
  <c r="H539"/>
  <c r="H535"/>
  <c r="H531"/>
  <c r="H527"/>
  <c r="H523"/>
  <c r="H519"/>
  <c r="H515"/>
  <c r="H511"/>
  <c r="H507"/>
  <c r="H503"/>
  <c r="H499"/>
  <c r="H495"/>
  <c r="H491"/>
  <c r="H487"/>
  <c r="H483"/>
  <c r="H479"/>
  <c r="H475"/>
  <c r="H471"/>
  <c r="H467"/>
  <c r="H463"/>
  <c r="H459"/>
  <c r="H455"/>
  <c r="H451"/>
  <c r="H447"/>
  <c r="H443"/>
  <c r="H439"/>
  <c r="H435"/>
  <c r="H431"/>
  <c r="H427"/>
  <c r="H423"/>
  <c r="H419"/>
  <c r="H415"/>
  <c r="H411"/>
  <c r="H407"/>
  <c r="H403"/>
  <c r="H617"/>
  <c r="H621"/>
  <c r="H625"/>
  <c r="H629"/>
  <c r="H633"/>
  <c r="H637"/>
  <c r="H641"/>
  <c r="H645"/>
  <c r="H649"/>
  <c r="H653"/>
  <c r="H657"/>
  <c r="H661"/>
  <c r="H665"/>
  <c r="H669"/>
  <c r="H673"/>
  <c r="K614"/>
  <c r="K606"/>
  <c r="K660"/>
  <c r="K656"/>
  <c r="K652"/>
  <c r="K648"/>
  <c r="K644"/>
  <c r="K640"/>
  <c r="K636"/>
  <c r="K632"/>
  <c r="K628"/>
  <c r="K624"/>
  <c r="K620"/>
  <c r="K616"/>
  <c r="K612"/>
  <c r="K608"/>
  <c r="K604"/>
  <c r="K675"/>
  <c r="K673"/>
  <c r="K671"/>
  <c r="K669"/>
  <c r="K667"/>
  <c r="K665"/>
  <c r="K663"/>
  <c r="K661"/>
  <c r="K659"/>
  <c r="K657"/>
  <c r="K655"/>
  <c r="K653"/>
  <c r="K651"/>
  <c r="K649"/>
  <c r="K647"/>
  <c r="K645"/>
  <c r="K643"/>
  <c r="K641"/>
  <c r="K639"/>
  <c r="K637"/>
  <c r="K635"/>
  <c r="K633"/>
  <c r="K631"/>
  <c r="K629"/>
  <c r="K627"/>
  <c r="K625"/>
  <c r="K623"/>
  <c r="K621"/>
  <c r="K619"/>
  <c r="K617"/>
  <c r="K615"/>
  <c r="K613"/>
  <c r="K611"/>
  <c r="K609"/>
  <c r="K607"/>
  <c r="K605"/>
  <c r="K603"/>
  <c r="L96"/>
  <c r="L677"/>
  <c r="L503"/>
  <c r="L505"/>
  <c r="L507"/>
  <c r="L509"/>
  <c r="L511"/>
  <c r="L513"/>
  <c r="L515"/>
  <c r="L517"/>
  <c r="L519"/>
  <c r="L521"/>
  <c r="L523"/>
  <c r="L525"/>
  <c r="L527"/>
  <c r="L529"/>
  <c r="L531"/>
  <c r="L533"/>
  <c r="L535"/>
  <c r="L537"/>
  <c r="L539"/>
  <c r="L541"/>
  <c r="L543"/>
  <c r="L545"/>
  <c r="L547"/>
  <c r="L549"/>
  <c r="L551"/>
  <c r="L553"/>
  <c r="L555"/>
  <c r="L557"/>
  <c r="L559"/>
  <c r="L561"/>
  <c r="L563"/>
  <c r="L565"/>
  <c r="L567"/>
  <c r="L569"/>
  <c r="L571"/>
  <c r="L573"/>
  <c r="L575"/>
  <c r="L577"/>
  <c r="L579"/>
  <c r="L581"/>
  <c r="L583"/>
  <c r="L585"/>
  <c r="L587"/>
  <c r="L589"/>
  <c r="L591"/>
  <c r="L593"/>
  <c r="L595"/>
  <c r="L597"/>
  <c r="L599"/>
  <c r="L601"/>
  <c r="L603"/>
  <c r="L605"/>
  <c r="L607"/>
  <c r="L609"/>
  <c r="L611"/>
  <c r="L613"/>
  <c r="L615"/>
  <c r="L617"/>
  <c r="L619"/>
  <c r="L621"/>
  <c r="L623"/>
  <c r="L625"/>
  <c r="L627"/>
  <c r="L629"/>
  <c r="L631"/>
  <c r="L633"/>
  <c r="L635"/>
  <c r="L637"/>
  <c r="L639"/>
  <c r="L641"/>
  <c r="L643"/>
  <c r="L645"/>
  <c r="L647"/>
  <c r="L649"/>
  <c r="L651"/>
  <c r="L653"/>
  <c r="L655"/>
  <c r="L657"/>
  <c r="L659"/>
  <c r="L661"/>
  <c r="L663"/>
  <c r="L665"/>
  <c r="L667"/>
  <c r="L669"/>
  <c r="L671"/>
  <c r="L673"/>
  <c r="L675"/>
  <c r="L502"/>
  <c r="L504"/>
  <c r="L506"/>
  <c r="L508"/>
  <c r="L510"/>
  <c r="L512"/>
  <c r="L514"/>
  <c r="L516"/>
  <c r="L518"/>
  <c r="L520"/>
  <c r="L522"/>
  <c r="L524"/>
  <c r="L526"/>
  <c r="L528"/>
  <c r="L530"/>
  <c r="L532"/>
  <c r="L534"/>
  <c r="L536"/>
  <c r="L538"/>
  <c r="L540"/>
  <c r="L542"/>
  <c r="L544"/>
  <c r="L546"/>
  <c r="L548"/>
  <c r="L550"/>
  <c r="L552"/>
  <c r="L554"/>
  <c r="L556"/>
  <c r="L558"/>
  <c r="L560"/>
  <c r="L562"/>
  <c r="L564"/>
  <c r="L566"/>
  <c r="L568"/>
  <c r="L570"/>
  <c r="L572"/>
  <c r="L574"/>
  <c r="L576"/>
  <c r="L578"/>
  <c r="L580"/>
  <c r="L582"/>
  <c r="L584"/>
  <c r="L586"/>
  <c r="L588"/>
  <c r="L590"/>
  <c r="L592"/>
  <c r="L594"/>
  <c r="L596"/>
  <c r="L598"/>
  <c r="L600"/>
  <c r="L602"/>
  <c r="L604"/>
  <c r="L606"/>
  <c r="L608"/>
  <c r="L610"/>
  <c r="L612"/>
  <c r="L614"/>
  <c r="L616"/>
  <c r="L618"/>
  <c r="L620"/>
  <c r="L622"/>
  <c r="L624"/>
  <c r="L626"/>
  <c r="L628"/>
  <c r="L630"/>
  <c r="L632"/>
  <c r="L634"/>
  <c r="L636"/>
  <c r="L638"/>
  <c r="L640"/>
  <c r="L642"/>
  <c r="L644"/>
  <c r="L646"/>
  <c r="L648"/>
  <c r="L650"/>
  <c r="L652"/>
  <c r="L654"/>
  <c r="L656"/>
  <c r="L658"/>
  <c r="L660"/>
  <c r="L662"/>
  <c r="L664"/>
  <c r="L666"/>
  <c r="L668"/>
  <c r="L670"/>
  <c r="L672"/>
  <c r="L674"/>
  <c r="L676"/>
  <c r="O504"/>
  <c r="O508"/>
  <c r="O512"/>
  <c r="O516"/>
  <c r="O520"/>
  <c r="O524"/>
  <c r="O528"/>
  <c r="O532"/>
  <c r="O536"/>
  <c r="O540"/>
  <c r="O544"/>
  <c r="O548"/>
  <c r="O552"/>
  <c r="O556"/>
  <c r="O560"/>
  <c r="O564"/>
  <c r="O568"/>
  <c r="O572"/>
  <c r="O576"/>
  <c r="O580"/>
  <c r="O584"/>
  <c r="O588"/>
  <c r="O592"/>
  <c r="O596"/>
  <c r="O600"/>
  <c r="O604"/>
  <c r="O608"/>
  <c r="O612"/>
  <c r="O616"/>
  <c r="O620"/>
  <c r="O624"/>
  <c r="O628"/>
  <c r="O632"/>
  <c r="O636"/>
  <c r="O640"/>
  <c r="O644"/>
  <c r="O648"/>
  <c r="O652"/>
  <c r="O656"/>
  <c r="O660"/>
  <c r="O664"/>
  <c r="O668"/>
  <c r="O672"/>
  <c r="O676"/>
  <c r="O505"/>
  <c r="O509"/>
  <c r="O513"/>
  <c r="O517"/>
  <c r="O521"/>
  <c r="O525"/>
  <c r="O529"/>
  <c r="O533"/>
  <c r="O537"/>
  <c r="O541"/>
  <c r="O545"/>
  <c r="O549"/>
  <c r="O553"/>
  <c r="O557"/>
  <c r="O561"/>
  <c r="O565"/>
  <c r="O569"/>
  <c r="O573"/>
  <c r="O577"/>
  <c r="O581"/>
  <c r="O585"/>
  <c r="O589"/>
  <c r="O593"/>
  <c r="O597"/>
  <c r="O601"/>
  <c r="O605"/>
  <c r="O609"/>
  <c r="O613"/>
  <c r="O617"/>
  <c r="O621"/>
  <c r="O625"/>
  <c r="O629"/>
  <c r="O633"/>
  <c r="O637"/>
  <c r="O641"/>
  <c r="O645"/>
  <c r="O649"/>
  <c r="O653"/>
  <c r="O657"/>
  <c r="O661"/>
  <c r="O665"/>
  <c r="O669"/>
  <c r="O673"/>
  <c r="O677"/>
  <c r="O502"/>
  <c r="O506"/>
  <c r="O510"/>
  <c r="O514"/>
  <c r="O518"/>
  <c r="O522"/>
  <c r="O526"/>
  <c r="O530"/>
  <c r="O534"/>
  <c r="O538"/>
  <c r="O542"/>
  <c r="O546"/>
  <c r="O550"/>
  <c r="O554"/>
  <c r="O558"/>
  <c r="O562"/>
  <c r="O566"/>
  <c r="O570"/>
  <c r="O574"/>
  <c r="O578"/>
  <c r="O582"/>
  <c r="O586"/>
  <c r="O590"/>
  <c r="O594"/>
  <c r="O598"/>
  <c r="O602"/>
  <c r="O606"/>
  <c r="O610"/>
  <c r="O614"/>
  <c r="O618"/>
  <c r="O622"/>
  <c r="O626"/>
  <c r="O630"/>
  <c r="O634"/>
  <c r="O638"/>
  <c r="O642"/>
  <c r="O646"/>
  <c r="O650"/>
  <c r="O654"/>
  <c r="O658"/>
  <c r="O662"/>
  <c r="O666"/>
  <c r="O670"/>
  <c r="O674"/>
  <c r="O503"/>
  <c r="O507"/>
  <c r="O511"/>
  <c r="O515"/>
  <c r="O519"/>
  <c r="O523"/>
  <c r="O527"/>
  <c r="O531"/>
  <c r="O535"/>
  <c r="O539"/>
  <c r="O543"/>
  <c r="O547"/>
  <c r="O551"/>
  <c r="O555"/>
  <c r="O559"/>
  <c r="O563"/>
  <c r="O567"/>
  <c r="O571"/>
  <c r="O575"/>
  <c r="O579"/>
  <c r="O583"/>
  <c r="O587"/>
  <c r="O591"/>
  <c r="O595"/>
  <c r="O599"/>
  <c r="O603"/>
  <c r="O607"/>
  <c r="O611"/>
  <c r="O615"/>
  <c r="O619"/>
  <c r="O623"/>
  <c r="O627"/>
  <c r="O631"/>
  <c r="O635"/>
  <c r="O639"/>
  <c r="O643"/>
  <c r="O647"/>
  <c r="O651"/>
  <c r="O655"/>
  <c r="O659"/>
  <c r="O663"/>
  <c r="O667"/>
  <c r="O671"/>
  <c r="K450"/>
  <c r="K448"/>
  <c r="K446"/>
  <c r="K444"/>
  <c r="K442"/>
  <c r="K440"/>
  <c r="K438"/>
  <c r="K436"/>
  <c r="K434"/>
  <c r="K432"/>
  <c r="K430"/>
  <c r="K428"/>
  <c r="K426"/>
  <c r="K424"/>
  <c r="K422"/>
  <c r="K420"/>
  <c r="K418"/>
  <c r="K416"/>
  <c r="K414"/>
  <c r="K412"/>
  <c r="K410"/>
  <c r="K408"/>
  <c r="K406"/>
  <c r="K404"/>
  <c r="G301"/>
  <c r="G300"/>
  <c r="G298"/>
  <c r="G296"/>
  <c r="G294"/>
  <c r="G292"/>
  <c r="G290"/>
  <c r="G288"/>
  <c r="G286"/>
  <c r="G284"/>
  <c r="G282"/>
  <c r="G280"/>
  <c r="G278"/>
  <c r="G276"/>
  <c r="G274"/>
  <c r="G272"/>
  <c r="G270"/>
  <c r="G268"/>
  <c r="G266"/>
  <c r="G264"/>
  <c r="G262"/>
  <c r="G260"/>
  <c r="G258"/>
  <c r="G256"/>
  <c r="G254"/>
  <c r="G252"/>
  <c r="G299"/>
  <c r="G297"/>
  <c r="G295"/>
  <c r="G293"/>
  <c r="G291"/>
  <c r="G289"/>
  <c r="G287"/>
  <c r="G285"/>
  <c r="G283"/>
  <c r="G281"/>
  <c r="G279"/>
  <c r="G277"/>
  <c r="G275"/>
  <c r="G273"/>
  <c r="G271"/>
  <c r="G269"/>
  <c r="G267"/>
  <c r="G265"/>
  <c r="G263"/>
  <c r="G261"/>
  <c r="G259"/>
  <c r="G257"/>
  <c r="G255"/>
  <c r="G253"/>
  <c r="I550"/>
  <c r="I546"/>
  <c r="I542"/>
  <c r="I538"/>
  <c r="I534"/>
  <c r="I530"/>
  <c r="I526"/>
  <c r="I522"/>
  <c r="I518"/>
  <c r="I514"/>
  <c r="I510"/>
  <c r="I506"/>
  <c r="I502"/>
  <c r="I498"/>
  <c r="I494"/>
  <c r="I490"/>
  <c r="I486"/>
  <c r="I482"/>
  <c r="I478"/>
  <c r="I474"/>
  <c r="I470"/>
  <c r="I466"/>
  <c r="I462"/>
  <c r="I458"/>
  <c r="I454"/>
  <c r="I450"/>
  <c r="I446"/>
  <c r="I442"/>
  <c r="I438"/>
  <c r="I434"/>
  <c r="I430"/>
  <c r="I426"/>
  <c r="I422"/>
  <c r="I551"/>
  <c r="I547"/>
  <c r="I543"/>
  <c r="I539"/>
  <c r="I535"/>
  <c r="I531"/>
  <c r="I527"/>
  <c r="I523"/>
  <c r="I519"/>
  <c r="I515"/>
  <c r="I511"/>
  <c r="I507"/>
  <c r="I503"/>
  <c r="I499"/>
  <c r="I495"/>
  <c r="I491"/>
  <c r="I487"/>
  <c r="I483"/>
  <c r="I479"/>
  <c r="I475"/>
  <c r="I471"/>
  <c r="I467"/>
  <c r="I463"/>
  <c r="I459"/>
  <c r="I455"/>
  <c r="I451"/>
  <c r="I447"/>
  <c r="I443"/>
  <c r="I439"/>
  <c r="I435"/>
  <c r="I431"/>
  <c r="I427"/>
  <c r="I423"/>
  <c r="I548"/>
  <c r="I544"/>
  <c r="I540"/>
  <c r="I536"/>
  <c r="I532"/>
  <c r="I528"/>
  <c r="I524"/>
  <c r="I520"/>
  <c r="I516"/>
  <c r="I512"/>
  <c r="I508"/>
  <c r="I504"/>
  <c r="I500"/>
  <c r="I496"/>
  <c r="I492"/>
  <c r="I488"/>
  <c r="I484"/>
  <c r="I480"/>
  <c r="I476"/>
  <c r="I472"/>
  <c r="I468"/>
  <c r="I464"/>
  <c r="I460"/>
  <c r="I456"/>
  <c r="I452"/>
  <c r="I448"/>
  <c r="I444"/>
  <c r="I440"/>
  <c r="I436"/>
  <c r="I432"/>
  <c r="I428"/>
  <c r="I424"/>
  <c r="I549"/>
  <c r="I545"/>
  <c r="I541"/>
  <c r="I537"/>
  <c r="I533"/>
  <c r="I529"/>
  <c r="I525"/>
  <c r="I521"/>
  <c r="I517"/>
  <c r="I513"/>
  <c r="I509"/>
  <c r="I505"/>
  <c r="I501"/>
  <c r="I497"/>
  <c r="I493"/>
  <c r="I489"/>
  <c r="I485"/>
  <c r="I481"/>
  <c r="I477"/>
  <c r="I473"/>
  <c r="I469"/>
  <c r="I465"/>
  <c r="I461"/>
  <c r="I457"/>
  <c r="I453"/>
  <c r="I449"/>
  <c r="I445"/>
  <c r="I441"/>
  <c r="I437"/>
  <c r="I433"/>
  <c r="I429"/>
  <c r="F168"/>
  <c r="F166"/>
  <c r="F164"/>
  <c r="F162"/>
  <c r="F160"/>
  <c r="C160" s="1"/>
  <c r="F158"/>
  <c r="C158" s="1"/>
  <c r="F156"/>
  <c r="C156" s="1"/>
  <c r="F154"/>
  <c r="C154" s="1"/>
  <c r="F152"/>
  <c r="F150"/>
  <c r="F148"/>
  <c r="F146"/>
  <c r="F144"/>
  <c r="C144" s="1"/>
  <c r="F142"/>
  <c r="C142" s="1"/>
  <c r="F140"/>
  <c r="C140" s="1"/>
  <c r="F138"/>
  <c r="C138" s="1"/>
  <c r="F136"/>
  <c r="F134"/>
  <c r="F132"/>
  <c r="F130"/>
  <c r="F128"/>
  <c r="C128" s="1"/>
  <c r="F126"/>
  <c r="C126" s="1"/>
  <c r="F124"/>
  <c r="C124" s="1"/>
  <c r="F122"/>
  <c r="C122" s="1"/>
  <c r="F120"/>
  <c r="F118"/>
  <c r="F116"/>
  <c r="F169"/>
  <c r="C169" s="1"/>
  <c r="F167"/>
  <c r="F165"/>
  <c r="F163"/>
  <c r="F161"/>
  <c r="C161" s="1"/>
  <c r="F159"/>
  <c r="C159" s="1"/>
  <c r="F157"/>
  <c r="C157" s="1"/>
  <c r="F155"/>
  <c r="C155" s="1"/>
  <c r="F153"/>
  <c r="C153" s="1"/>
  <c r="F151"/>
  <c r="C151" s="1"/>
  <c r="F149"/>
  <c r="F147"/>
  <c r="F145"/>
  <c r="C145" s="1"/>
  <c r="F143"/>
  <c r="C143" s="1"/>
  <c r="F141"/>
  <c r="C141" s="1"/>
  <c r="F139"/>
  <c r="F137"/>
  <c r="C137" s="1"/>
  <c r="F135"/>
  <c r="C135" s="1"/>
  <c r="F133"/>
  <c r="F131"/>
  <c r="F129"/>
  <c r="C129" s="1"/>
  <c r="F127"/>
  <c r="F125"/>
  <c r="C125" s="1"/>
  <c r="F123"/>
  <c r="F121"/>
  <c r="C121" s="1"/>
  <c r="F119"/>
  <c r="C119" s="1"/>
  <c r="F117"/>
  <c r="F115"/>
  <c r="C115" s="1"/>
  <c r="F196"/>
  <c r="F194"/>
  <c r="C194" s="1"/>
  <c r="F192"/>
  <c r="F190"/>
  <c r="C190" s="1"/>
  <c r="F188"/>
  <c r="F186"/>
  <c r="F184"/>
  <c r="F182"/>
  <c r="F180"/>
  <c r="F178"/>
  <c r="C178" s="1"/>
  <c r="F176"/>
  <c r="F174"/>
  <c r="F172"/>
  <c r="C172" s="1"/>
  <c r="F170"/>
  <c r="C170" s="1"/>
  <c r="F197"/>
  <c r="F195"/>
  <c r="F193"/>
  <c r="F191"/>
  <c r="F189"/>
  <c r="F187"/>
  <c r="F185"/>
  <c r="C185" s="1"/>
  <c r="F183"/>
  <c r="F181"/>
  <c r="F179"/>
  <c r="F177"/>
  <c r="C177" s="1"/>
  <c r="F175"/>
  <c r="F173"/>
  <c r="F171"/>
  <c r="C171" s="1"/>
  <c r="F210"/>
  <c r="F208"/>
  <c r="C208" s="1"/>
  <c r="F206"/>
  <c r="F204"/>
  <c r="F202"/>
  <c r="F200"/>
  <c r="F198"/>
  <c r="F211"/>
  <c r="F209"/>
  <c r="C209" s="1"/>
  <c r="F207"/>
  <c r="C207" s="1"/>
  <c r="F205"/>
  <c r="F203"/>
  <c r="C203" s="1"/>
  <c r="F201"/>
  <c r="F39"/>
  <c r="F212"/>
  <c r="F214"/>
  <c r="F216"/>
  <c r="F218"/>
  <c r="F220"/>
  <c r="F222"/>
  <c r="C222" s="1"/>
  <c r="F224"/>
  <c r="F226"/>
  <c r="C226" s="1"/>
  <c r="F228"/>
  <c r="F230"/>
  <c r="F232"/>
  <c r="C232" s="1"/>
  <c r="F234"/>
  <c r="F236"/>
  <c r="F238"/>
  <c r="C238" s="1"/>
  <c r="F240"/>
  <c r="C240" s="1"/>
  <c r="F242"/>
  <c r="C242" s="1"/>
  <c r="F244"/>
  <c r="F246"/>
  <c r="F248"/>
  <c r="C248" s="1"/>
  <c r="F250"/>
  <c r="F252"/>
  <c r="F254"/>
  <c r="F256"/>
  <c r="F258"/>
  <c r="F260"/>
  <c r="F262"/>
  <c r="F264"/>
  <c r="F266"/>
  <c r="F268"/>
  <c r="F270"/>
  <c r="F272"/>
  <c r="F274"/>
  <c r="F276"/>
  <c r="F278"/>
  <c r="F280"/>
  <c r="F282"/>
  <c r="F284"/>
  <c r="F286"/>
  <c r="F288"/>
  <c r="F290"/>
  <c r="F292"/>
  <c r="F294"/>
  <c r="F296"/>
  <c r="F298"/>
  <c r="F300"/>
  <c r="F302"/>
  <c r="F304"/>
  <c r="F306"/>
  <c r="F308"/>
  <c r="F310"/>
  <c r="F312"/>
  <c r="F314"/>
  <c r="F316"/>
  <c r="F318"/>
  <c r="F320"/>
  <c r="F322"/>
  <c r="F324"/>
  <c r="F326"/>
  <c r="F328"/>
  <c r="F330"/>
  <c r="F332"/>
  <c r="F334"/>
  <c r="F336"/>
  <c r="F338"/>
  <c r="F340"/>
  <c r="F342"/>
  <c r="F344"/>
  <c r="F346"/>
  <c r="F348"/>
  <c r="F350"/>
  <c r="F352"/>
  <c r="F354"/>
  <c r="F356"/>
  <c r="F675"/>
  <c r="F673"/>
  <c r="F671"/>
  <c r="F669"/>
  <c r="F667"/>
  <c r="F665"/>
  <c r="F663"/>
  <c r="F661"/>
  <c r="F659"/>
  <c r="F657"/>
  <c r="F655"/>
  <c r="F653"/>
  <c r="F651"/>
  <c r="F649"/>
  <c r="F647"/>
  <c r="F645"/>
  <c r="F643"/>
  <c r="F641"/>
  <c r="F639"/>
  <c r="F637"/>
  <c r="F635"/>
  <c r="F633"/>
  <c r="F631"/>
  <c r="F629"/>
  <c r="F627"/>
  <c r="F625"/>
  <c r="F623"/>
  <c r="F621"/>
  <c r="F619"/>
  <c r="F617"/>
  <c r="F615"/>
  <c r="F613"/>
  <c r="F611"/>
  <c r="F609"/>
  <c r="F607"/>
  <c r="F605"/>
  <c r="F603"/>
  <c r="F601"/>
  <c r="F599"/>
  <c r="F597"/>
  <c r="F595"/>
  <c r="F593"/>
  <c r="F591"/>
  <c r="F589"/>
  <c r="F587"/>
  <c r="F585"/>
  <c r="F583"/>
  <c r="F581"/>
  <c r="F579"/>
  <c r="F577"/>
  <c r="F575"/>
  <c r="F573"/>
  <c r="F571"/>
  <c r="F569"/>
  <c r="F567"/>
  <c r="F565"/>
  <c r="F563"/>
  <c r="F561"/>
  <c r="F559"/>
  <c r="F557"/>
  <c r="F555"/>
  <c r="F553"/>
  <c r="F551"/>
  <c r="F549"/>
  <c r="F547"/>
  <c r="F545"/>
  <c r="F543"/>
  <c r="F541"/>
  <c r="F539"/>
  <c r="F537"/>
  <c r="F535"/>
  <c r="F533"/>
  <c r="F531"/>
  <c r="F529"/>
  <c r="F527"/>
  <c r="F525"/>
  <c r="F523"/>
  <c r="F521"/>
  <c r="F519"/>
  <c r="F517"/>
  <c r="F515"/>
  <c r="F513"/>
  <c r="F511"/>
  <c r="F509"/>
  <c r="F507"/>
  <c r="F505"/>
  <c r="F503"/>
  <c r="F501"/>
  <c r="F499"/>
  <c r="F497"/>
  <c r="F495"/>
  <c r="F493"/>
  <c r="F491"/>
  <c r="F489"/>
  <c r="F487"/>
  <c r="F485"/>
  <c r="F483"/>
  <c r="F481"/>
  <c r="F479"/>
  <c r="F477"/>
  <c r="F475"/>
  <c r="F473"/>
  <c r="F471"/>
  <c r="F469"/>
  <c r="F467"/>
  <c r="F465"/>
  <c r="F463"/>
  <c r="F461"/>
  <c r="F459"/>
  <c r="F457"/>
  <c r="F455"/>
  <c r="F453"/>
  <c r="F451"/>
  <c r="F449"/>
  <c r="F447"/>
  <c r="F445"/>
  <c r="F443"/>
  <c r="F441"/>
  <c r="F439"/>
  <c r="F437"/>
  <c r="F435"/>
  <c r="F433"/>
  <c r="F431"/>
  <c r="F429"/>
  <c r="F427"/>
  <c r="F425"/>
  <c r="F423"/>
  <c r="F421"/>
  <c r="F419"/>
  <c r="F417"/>
  <c r="F415"/>
  <c r="F413"/>
  <c r="F411"/>
  <c r="F409"/>
  <c r="F407"/>
  <c r="F405"/>
  <c r="F403"/>
  <c r="F401"/>
  <c r="F399"/>
  <c r="F397"/>
  <c r="F395"/>
  <c r="F393"/>
  <c r="F391"/>
  <c r="F389"/>
  <c r="F387"/>
  <c r="F385"/>
  <c r="F383"/>
  <c r="F381"/>
  <c r="F379"/>
  <c r="F377"/>
  <c r="F375"/>
  <c r="F373"/>
  <c r="F371"/>
  <c r="F369"/>
  <c r="F367"/>
  <c r="F365"/>
  <c r="F363"/>
  <c r="F361"/>
  <c r="F359"/>
  <c r="F357"/>
  <c r="F677"/>
  <c r="F213"/>
  <c r="F215"/>
  <c r="F217"/>
  <c r="F219"/>
  <c r="F221"/>
  <c r="F223"/>
  <c r="C223" s="1"/>
  <c r="F225"/>
  <c r="F227"/>
  <c r="F229"/>
  <c r="F231"/>
  <c r="F233"/>
  <c r="F235"/>
  <c r="F237"/>
  <c r="F239"/>
  <c r="F241"/>
  <c r="C241" s="1"/>
  <c r="F243"/>
  <c r="F245"/>
  <c r="F247"/>
  <c r="F249"/>
  <c r="F251"/>
  <c r="F253"/>
  <c r="F255"/>
  <c r="F257"/>
  <c r="F259"/>
  <c r="F261"/>
  <c r="F263"/>
  <c r="F265"/>
  <c r="F267"/>
  <c r="F269"/>
  <c r="F271"/>
  <c r="F273"/>
  <c r="F275"/>
  <c r="F277"/>
  <c r="F279"/>
  <c r="F281"/>
  <c r="F283"/>
  <c r="F285"/>
  <c r="F287"/>
  <c r="F289"/>
  <c r="F291"/>
  <c r="F293"/>
  <c r="F295"/>
  <c r="F297"/>
  <c r="F299"/>
  <c r="F301"/>
  <c r="F303"/>
  <c r="F305"/>
  <c r="F307"/>
  <c r="F309"/>
  <c r="F311"/>
  <c r="F313"/>
  <c r="F315"/>
  <c r="F317"/>
  <c r="F319"/>
  <c r="F321"/>
  <c r="F323"/>
  <c r="F325"/>
  <c r="F327"/>
  <c r="F329"/>
  <c r="F331"/>
  <c r="F333"/>
  <c r="F335"/>
  <c r="F337"/>
  <c r="F339"/>
  <c r="F341"/>
  <c r="F343"/>
  <c r="F345"/>
  <c r="F347"/>
  <c r="F349"/>
  <c r="F351"/>
  <c r="F353"/>
  <c r="F355"/>
  <c r="F676"/>
  <c r="F674"/>
  <c r="F672"/>
  <c r="F670"/>
  <c r="F668"/>
  <c r="F666"/>
  <c r="F664"/>
  <c r="F662"/>
  <c r="F660"/>
  <c r="F658"/>
  <c r="F656"/>
  <c r="F654"/>
  <c r="F652"/>
  <c r="F650"/>
  <c r="F648"/>
  <c r="F646"/>
  <c r="F644"/>
  <c r="F642"/>
  <c r="F640"/>
  <c r="F638"/>
  <c r="F636"/>
  <c r="F634"/>
  <c r="F632"/>
  <c r="F630"/>
  <c r="F628"/>
  <c r="F626"/>
  <c r="F624"/>
  <c r="F622"/>
  <c r="F620"/>
  <c r="F618"/>
  <c r="F616"/>
  <c r="F614"/>
  <c r="F612"/>
  <c r="F610"/>
  <c r="F608"/>
  <c r="F606"/>
  <c r="F604"/>
  <c r="F602"/>
  <c r="F600"/>
  <c r="F598"/>
  <c r="F596"/>
  <c r="F594"/>
  <c r="F592"/>
  <c r="F590"/>
  <c r="F588"/>
  <c r="F586"/>
  <c r="F584"/>
  <c r="F582"/>
  <c r="F580"/>
  <c r="F578"/>
  <c r="F576"/>
  <c r="F574"/>
  <c r="F572"/>
  <c r="F570"/>
  <c r="F568"/>
  <c r="F566"/>
  <c r="F564"/>
  <c r="F562"/>
  <c r="F560"/>
  <c r="F558"/>
  <c r="F556"/>
  <c r="F554"/>
  <c r="F552"/>
  <c r="F550"/>
  <c r="F548"/>
  <c r="F546"/>
  <c r="F544"/>
  <c r="F542"/>
  <c r="F540"/>
  <c r="F538"/>
  <c r="F536"/>
  <c r="F534"/>
  <c r="F532"/>
  <c r="F530"/>
  <c r="F528"/>
  <c r="F526"/>
  <c r="F524"/>
  <c r="F522"/>
  <c r="F520"/>
  <c r="F518"/>
  <c r="F516"/>
  <c r="F514"/>
  <c r="F512"/>
  <c r="F510"/>
  <c r="F508"/>
  <c r="F506"/>
  <c r="F504"/>
  <c r="F502"/>
  <c r="F500"/>
  <c r="F498"/>
  <c r="F496"/>
  <c r="F494"/>
  <c r="F492"/>
  <c r="F490"/>
  <c r="F488"/>
  <c r="F486"/>
  <c r="F484"/>
  <c r="F482"/>
  <c r="F480"/>
  <c r="F478"/>
  <c r="F476"/>
  <c r="F474"/>
  <c r="F472"/>
  <c r="F470"/>
  <c r="F468"/>
  <c r="F466"/>
  <c r="F464"/>
  <c r="F462"/>
  <c r="F460"/>
  <c r="F458"/>
  <c r="F456"/>
  <c r="F454"/>
  <c r="F452"/>
  <c r="F450"/>
  <c r="F448"/>
  <c r="F446"/>
  <c r="F444"/>
  <c r="F442"/>
  <c r="F440"/>
  <c r="F438"/>
  <c r="F436"/>
  <c r="F434"/>
  <c r="F432"/>
  <c r="F430"/>
  <c r="F428"/>
  <c r="F426"/>
  <c r="F424"/>
  <c r="F422"/>
  <c r="F420"/>
  <c r="F418"/>
  <c r="F416"/>
  <c r="F414"/>
  <c r="F412"/>
  <c r="F410"/>
  <c r="F408"/>
  <c r="F406"/>
  <c r="F404"/>
  <c r="F402"/>
  <c r="F400"/>
  <c r="F398"/>
  <c r="F396"/>
  <c r="F394"/>
  <c r="F392"/>
  <c r="F390"/>
  <c r="F388"/>
  <c r="F386"/>
  <c r="F384"/>
  <c r="F382"/>
  <c r="F380"/>
  <c r="F378"/>
  <c r="F376"/>
  <c r="F374"/>
  <c r="F372"/>
  <c r="F370"/>
  <c r="F368"/>
  <c r="F366"/>
  <c r="F364"/>
  <c r="F362"/>
  <c r="F360"/>
  <c r="F358"/>
  <c r="I87"/>
  <c r="I677"/>
  <c r="I553"/>
  <c r="I555"/>
  <c r="I557"/>
  <c r="I559"/>
  <c r="I561"/>
  <c r="I563"/>
  <c r="I565"/>
  <c r="I567"/>
  <c r="I569"/>
  <c r="I571"/>
  <c r="I573"/>
  <c r="I575"/>
  <c r="I577"/>
  <c r="I579"/>
  <c r="I581"/>
  <c r="I583"/>
  <c r="I585"/>
  <c r="I587"/>
  <c r="I589"/>
  <c r="I591"/>
  <c r="I593"/>
  <c r="I595"/>
  <c r="I597"/>
  <c r="I599"/>
  <c r="I601"/>
  <c r="I603"/>
  <c r="I605"/>
  <c r="I607"/>
  <c r="I609"/>
  <c r="I611"/>
  <c r="I552"/>
  <c r="I554"/>
  <c r="I556"/>
  <c r="I558"/>
  <c r="I560"/>
  <c r="I562"/>
  <c r="I564"/>
  <c r="I566"/>
  <c r="I568"/>
  <c r="I570"/>
  <c r="I572"/>
  <c r="I574"/>
  <c r="I576"/>
  <c r="I578"/>
  <c r="I580"/>
  <c r="I582"/>
  <c r="I584"/>
  <c r="I586"/>
  <c r="I588"/>
  <c r="I590"/>
  <c r="I592"/>
  <c r="I594"/>
  <c r="I596"/>
  <c r="I598"/>
  <c r="I600"/>
  <c r="I602"/>
  <c r="I604"/>
  <c r="I606"/>
  <c r="I608"/>
  <c r="I610"/>
  <c r="I613"/>
  <c r="I615"/>
  <c r="I617"/>
  <c r="I619"/>
  <c r="I621"/>
  <c r="I623"/>
  <c r="I625"/>
  <c r="I627"/>
  <c r="I629"/>
  <c r="I631"/>
  <c r="I633"/>
  <c r="I635"/>
  <c r="I637"/>
  <c r="I639"/>
  <c r="I641"/>
  <c r="I643"/>
  <c r="I645"/>
  <c r="I647"/>
  <c r="I649"/>
  <c r="I651"/>
  <c r="I653"/>
  <c r="I655"/>
  <c r="I657"/>
  <c r="I659"/>
  <c r="I661"/>
  <c r="I663"/>
  <c r="I665"/>
  <c r="I667"/>
  <c r="I669"/>
  <c r="I671"/>
  <c r="I673"/>
  <c r="I675"/>
  <c r="I612"/>
  <c r="I614"/>
  <c r="I616"/>
  <c r="I618"/>
  <c r="I620"/>
  <c r="I622"/>
  <c r="I624"/>
  <c r="I626"/>
  <c r="I628"/>
  <c r="I630"/>
  <c r="I632"/>
  <c r="I634"/>
  <c r="I636"/>
  <c r="I638"/>
  <c r="I640"/>
  <c r="I642"/>
  <c r="I644"/>
  <c r="I646"/>
  <c r="I648"/>
  <c r="I650"/>
  <c r="I652"/>
  <c r="I654"/>
  <c r="I656"/>
  <c r="I658"/>
  <c r="I660"/>
  <c r="I662"/>
  <c r="I664"/>
  <c r="I666"/>
  <c r="I668"/>
  <c r="I670"/>
  <c r="I672"/>
  <c r="I674"/>
  <c r="I676"/>
  <c r="G677"/>
  <c r="G302"/>
  <c r="G303"/>
  <c r="G304"/>
  <c r="G305"/>
  <c r="G306"/>
  <c r="G307"/>
  <c r="G308"/>
  <c r="G309"/>
  <c r="G310"/>
  <c r="G311"/>
  <c r="G312"/>
  <c r="G313"/>
  <c r="G314"/>
  <c r="G315"/>
  <c r="G316"/>
  <c r="G317"/>
  <c r="G318"/>
  <c r="G319"/>
  <c r="G320"/>
  <c r="G321"/>
  <c r="G322"/>
  <c r="G323"/>
  <c r="G324"/>
  <c r="G325"/>
  <c r="G326"/>
  <c r="G327"/>
  <c r="G328"/>
  <c r="G329"/>
  <c r="G330"/>
  <c r="G331"/>
  <c r="G332"/>
  <c r="G333"/>
  <c r="G334"/>
  <c r="G335"/>
  <c r="G336"/>
  <c r="G337"/>
  <c r="G338"/>
  <c r="G339"/>
  <c r="G340"/>
  <c r="G341"/>
  <c r="G342"/>
  <c r="G343"/>
  <c r="G344"/>
  <c r="G345"/>
  <c r="G346"/>
  <c r="G347"/>
  <c r="G348"/>
  <c r="G349"/>
  <c r="G350"/>
  <c r="G351"/>
  <c r="G352"/>
  <c r="G353"/>
  <c r="G354"/>
  <c r="G355"/>
  <c r="G356"/>
  <c r="G357"/>
  <c r="G358"/>
  <c r="G359"/>
  <c r="G360"/>
  <c r="G361"/>
  <c r="G362"/>
  <c r="G363"/>
  <c r="G364"/>
  <c r="G365"/>
  <c r="G366"/>
  <c r="G367"/>
  <c r="G368"/>
  <c r="G369"/>
  <c r="G370"/>
  <c r="G371"/>
  <c r="G372"/>
  <c r="G373"/>
  <c r="G374"/>
  <c r="G375"/>
  <c r="G376"/>
  <c r="G377"/>
  <c r="G378"/>
  <c r="G379"/>
  <c r="G380"/>
  <c r="G381"/>
  <c r="G382"/>
  <c r="G383"/>
  <c r="G384"/>
  <c r="G385"/>
  <c r="G386"/>
  <c r="G387"/>
  <c r="G388"/>
  <c r="G389"/>
  <c r="G390"/>
  <c r="G391"/>
  <c r="G392"/>
  <c r="G393"/>
  <c r="G394"/>
  <c r="G395"/>
  <c r="G396"/>
  <c r="G397"/>
  <c r="G398"/>
  <c r="G399"/>
  <c r="G400"/>
  <c r="G401"/>
  <c r="G402"/>
  <c r="G403"/>
  <c r="G404"/>
  <c r="G405"/>
  <c r="G406"/>
  <c r="G407"/>
  <c r="G408"/>
  <c r="G409"/>
  <c r="G410"/>
  <c r="G411"/>
  <c r="G412"/>
  <c r="G413"/>
  <c r="G414"/>
  <c r="G415"/>
  <c r="G416"/>
  <c r="G417"/>
  <c r="G418"/>
  <c r="G419"/>
  <c r="G420"/>
  <c r="G421"/>
  <c r="G422"/>
  <c r="G423"/>
  <c r="G424"/>
  <c r="G425"/>
  <c r="G426"/>
  <c r="G427"/>
  <c r="G428"/>
  <c r="G429"/>
  <c r="G430"/>
  <c r="G431"/>
  <c r="G432"/>
  <c r="G433"/>
  <c r="G434"/>
  <c r="G435"/>
  <c r="G436"/>
  <c r="G437"/>
  <c r="G438"/>
  <c r="G439"/>
  <c r="G440"/>
  <c r="G441"/>
  <c r="G442"/>
  <c r="G443"/>
  <c r="G444"/>
  <c r="G445"/>
  <c r="G446"/>
  <c r="G447"/>
  <c r="G448"/>
  <c r="G449"/>
  <c r="G450"/>
  <c r="G451"/>
  <c r="G452"/>
  <c r="G453"/>
  <c r="G454"/>
  <c r="G455"/>
  <c r="G456"/>
  <c r="G457"/>
  <c r="G458"/>
  <c r="G459"/>
  <c r="G460"/>
  <c r="G461"/>
  <c r="G462"/>
  <c r="G463"/>
  <c r="G464"/>
  <c r="G465"/>
  <c r="G466"/>
  <c r="G467"/>
  <c r="G468"/>
  <c r="G469"/>
  <c r="G470"/>
  <c r="G471"/>
  <c r="G472"/>
  <c r="G473"/>
  <c r="G474"/>
  <c r="G475"/>
  <c r="G476"/>
  <c r="G477"/>
  <c r="G478"/>
  <c r="G479"/>
  <c r="G480"/>
  <c r="G481"/>
  <c r="G482"/>
  <c r="G483"/>
  <c r="G484"/>
  <c r="G485"/>
  <c r="G486"/>
  <c r="G487"/>
  <c r="G488"/>
  <c r="G489"/>
  <c r="G490"/>
  <c r="G491"/>
  <c r="G492"/>
  <c r="G493"/>
  <c r="G494"/>
  <c r="G495"/>
  <c r="G496"/>
  <c r="G497"/>
  <c r="G498"/>
  <c r="G499"/>
  <c r="G500"/>
  <c r="G501"/>
  <c r="G502"/>
  <c r="G503"/>
  <c r="G504"/>
  <c r="G505"/>
  <c r="G506"/>
  <c r="G507"/>
  <c r="G508"/>
  <c r="G509"/>
  <c r="G510"/>
  <c r="G511"/>
  <c r="G512"/>
  <c r="G513"/>
  <c r="G514"/>
  <c r="G515"/>
  <c r="G516"/>
  <c r="G517"/>
  <c r="G518"/>
  <c r="G519"/>
  <c r="G520"/>
  <c r="G521"/>
  <c r="G522"/>
  <c r="G523"/>
  <c r="G524"/>
  <c r="G525"/>
  <c r="G526"/>
  <c r="G527"/>
  <c r="G528"/>
  <c r="G529"/>
  <c r="G530"/>
  <c r="G531"/>
  <c r="G532"/>
  <c r="G533"/>
  <c r="G534"/>
  <c r="G535"/>
  <c r="G536"/>
  <c r="G537"/>
  <c r="G538"/>
  <c r="G539"/>
  <c r="G540"/>
  <c r="G541"/>
  <c r="G542"/>
  <c r="G543"/>
  <c r="G544"/>
  <c r="G545"/>
  <c r="G546"/>
  <c r="G547"/>
  <c r="G548"/>
  <c r="G549"/>
  <c r="G550"/>
  <c r="G551"/>
  <c r="G552"/>
  <c r="G553"/>
  <c r="G554"/>
  <c r="G555"/>
  <c r="G556"/>
  <c r="G557"/>
  <c r="G558"/>
  <c r="G559"/>
  <c r="G560"/>
  <c r="G561"/>
  <c r="G562"/>
  <c r="G563"/>
  <c r="G564"/>
  <c r="G565"/>
  <c r="G566"/>
  <c r="G567"/>
  <c r="G568"/>
  <c r="G569"/>
  <c r="G570"/>
  <c r="G571"/>
  <c r="G572"/>
  <c r="G573"/>
  <c r="G574"/>
  <c r="G575"/>
  <c r="G576"/>
  <c r="G577"/>
  <c r="G578"/>
  <c r="G579"/>
  <c r="G580"/>
  <c r="G581"/>
  <c r="G582"/>
  <c r="G583"/>
  <c r="G584"/>
  <c r="G585"/>
  <c r="G586"/>
  <c r="G587"/>
  <c r="G588"/>
  <c r="G589"/>
  <c r="G590"/>
  <c r="G591"/>
  <c r="G592"/>
  <c r="G593"/>
  <c r="G594"/>
  <c r="G595"/>
  <c r="G596"/>
  <c r="G597"/>
  <c r="G598"/>
  <c r="G599"/>
  <c r="G600"/>
  <c r="G601"/>
  <c r="G602"/>
  <c r="G603"/>
  <c r="G604"/>
  <c r="G605"/>
  <c r="G606"/>
  <c r="G607"/>
  <c r="G608"/>
  <c r="G609"/>
  <c r="G610"/>
  <c r="G611"/>
  <c r="G612"/>
  <c r="G613"/>
  <c r="G614"/>
  <c r="G615"/>
  <c r="G616"/>
  <c r="G617"/>
  <c r="G618"/>
  <c r="G619"/>
  <c r="G620"/>
  <c r="G621"/>
  <c r="G622"/>
  <c r="G623"/>
  <c r="G624"/>
  <c r="G625"/>
  <c r="G626"/>
  <c r="G627"/>
  <c r="G628"/>
  <c r="G629"/>
  <c r="G630"/>
  <c r="G631"/>
  <c r="G632"/>
  <c r="G633"/>
  <c r="G634"/>
  <c r="G635"/>
  <c r="G636"/>
  <c r="G637"/>
  <c r="G638"/>
  <c r="G639"/>
  <c r="G640"/>
  <c r="G641"/>
  <c r="G642"/>
  <c r="G643"/>
  <c r="G644"/>
  <c r="G645"/>
  <c r="G646"/>
  <c r="G647"/>
  <c r="G648"/>
  <c r="G649"/>
  <c r="G650"/>
  <c r="G651"/>
  <c r="G652"/>
  <c r="G653"/>
  <c r="G654"/>
  <c r="G655"/>
  <c r="G656"/>
  <c r="G657"/>
  <c r="G658"/>
  <c r="G659"/>
  <c r="G660"/>
  <c r="G661"/>
  <c r="G662"/>
  <c r="G663"/>
  <c r="G664"/>
  <c r="G665"/>
  <c r="G666"/>
  <c r="G667"/>
  <c r="G668"/>
  <c r="G669"/>
  <c r="G670"/>
  <c r="G671"/>
  <c r="G672"/>
  <c r="G673"/>
  <c r="G674"/>
  <c r="G675"/>
  <c r="G676"/>
  <c r="G67"/>
  <c r="G71"/>
  <c r="G82"/>
  <c r="G101"/>
  <c r="G74"/>
  <c r="G88"/>
  <c r="G76"/>
  <c r="G77"/>
  <c r="G89"/>
  <c r="G78"/>
  <c r="G94"/>
  <c r="G69"/>
  <c r="G81"/>
  <c r="G87"/>
  <c r="G98"/>
  <c r="G83"/>
  <c r="G68"/>
  <c r="G99"/>
  <c r="G63"/>
  <c r="G62"/>
  <c r="G65"/>
  <c r="G64"/>
  <c r="G61"/>
  <c r="F68"/>
  <c r="O41"/>
  <c r="O24"/>
  <c r="O2"/>
  <c r="O27"/>
  <c r="O30"/>
  <c r="O93"/>
  <c r="I81"/>
  <c r="I90"/>
  <c r="I10"/>
  <c r="I59"/>
  <c r="I12"/>
  <c r="I76"/>
  <c r="I98"/>
  <c r="I8"/>
  <c r="I101"/>
  <c r="I39"/>
  <c r="I42"/>
  <c r="I94"/>
  <c r="I29"/>
  <c r="I64"/>
  <c r="I31"/>
  <c r="I93"/>
  <c r="O43"/>
  <c r="I13"/>
  <c r="L15"/>
  <c r="L79"/>
  <c r="L42"/>
  <c r="L12"/>
  <c r="L85"/>
  <c r="L101"/>
  <c r="L18"/>
  <c r="L36"/>
  <c r="L25"/>
  <c r="L43"/>
  <c r="L23"/>
  <c r="L82"/>
  <c r="L26"/>
  <c r="L73"/>
  <c r="L21"/>
  <c r="L53"/>
  <c r="L78"/>
  <c r="L14"/>
  <c r="L32"/>
  <c r="L83"/>
  <c r="O44"/>
  <c r="O70"/>
  <c r="O47"/>
  <c r="O13"/>
  <c r="O26"/>
  <c r="O54"/>
  <c r="O48"/>
  <c r="O39"/>
  <c r="O53"/>
  <c r="O68"/>
  <c r="O38"/>
  <c r="O31"/>
  <c r="O80"/>
  <c r="O94"/>
  <c r="O95"/>
  <c r="O67"/>
  <c r="O3"/>
  <c r="O17"/>
  <c r="I65"/>
  <c r="I35"/>
  <c r="I73"/>
  <c r="I9"/>
  <c r="I27"/>
  <c r="I28"/>
  <c r="I60"/>
  <c r="I82"/>
  <c r="I83"/>
  <c r="I33"/>
  <c r="I3"/>
  <c r="I6"/>
  <c r="I38"/>
  <c r="I70"/>
  <c r="I53"/>
  <c r="I71"/>
  <c r="I7"/>
  <c r="I96"/>
  <c r="I80"/>
  <c r="I74"/>
  <c r="I79"/>
  <c r="I89"/>
  <c r="I32"/>
  <c r="I15"/>
  <c r="I61"/>
  <c r="L98"/>
  <c r="L56"/>
  <c r="L38"/>
  <c r="L22"/>
  <c r="L33"/>
  <c r="L6"/>
  <c r="L27"/>
  <c r="L84"/>
  <c r="L8"/>
  <c r="L72"/>
  <c r="L54"/>
  <c r="L65"/>
  <c r="L40"/>
  <c r="L75"/>
  <c r="L24"/>
  <c r="L70"/>
  <c r="I63"/>
  <c r="I86"/>
  <c r="I17"/>
  <c r="I41"/>
  <c r="I44"/>
  <c r="I24"/>
  <c r="I51"/>
  <c r="I22"/>
  <c r="I54"/>
  <c r="I21"/>
  <c r="I88"/>
  <c r="I16"/>
  <c r="I97"/>
  <c r="I77"/>
  <c r="L67"/>
  <c r="I85"/>
  <c r="L31"/>
  <c r="L86"/>
  <c r="L10"/>
  <c r="L41"/>
  <c r="L89"/>
  <c r="L66"/>
  <c r="L2"/>
  <c r="L20"/>
  <c r="L19"/>
  <c r="L35"/>
  <c r="L39"/>
  <c r="L90"/>
  <c r="L60"/>
  <c r="L9"/>
  <c r="L29"/>
  <c r="L61"/>
  <c r="L62"/>
  <c r="L80"/>
  <c r="L16"/>
  <c r="L49"/>
  <c r="L99"/>
  <c r="O101"/>
  <c r="O6"/>
  <c r="O15"/>
  <c r="O76"/>
  <c r="O28"/>
  <c r="O22"/>
  <c r="O16"/>
  <c r="O23"/>
  <c r="O37"/>
  <c r="O74"/>
  <c r="O91"/>
  <c r="O77"/>
  <c r="O50"/>
  <c r="O78"/>
  <c r="O72"/>
  <c r="O51"/>
  <c r="O65"/>
  <c r="O88"/>
  <c r="I49"/>
  <c r="I40"/>
  <c r="I57"/>
  <c r="I75"/>
  <c r="I11"/>
  <c r="I36"/>
  <c r="I68"/>
  <c r="I56"/>
  <c r="I95"/>
  <c r="I2"/>
  <c r="I72"/>
  <c r="I14"/>
  <c r="I46"/>
  <c r="I78"/>
  <c r="I37"/>
  <c r="I55"/>
  <c r="I84"/>
  <c r="I100"/>
  <c r="I48"/>
  <c r="I50"/>
  <c r="G60"/>
  <c r="G59"/>
  <c r="G58"/>
  <c r="G57"/>
  <c r="G54"/>
  <c r="G56"/>
  <c r="G55"/>
  <c r="F35"/>
  <c r="F32"/>
  <c r="F13"/>
  <c r="G24"/>
  <c r="F53"/>
  <c r="F52"/>
  <c r="F15"/>
  <c r="F34"/>
  <c r="F18"/>
  <c r="F51"/>
  <c r="F54"/>
  <c r="F8"/>
  <c r="F44"/>
  <c r="F55"/>
  <c r="F10"/>
  <c r="G10"/>
  <c r="F17"/>
  <c r="F9"/>
  <c r="F38"/>
  <c r="F3"/>
  <c r="F57"/>
  <c r="F58"/>
  <c r="F43"/>
  <c r="F2"/>
  <c r="F27"/>
  <c r="F21"/>
  <c r="F28"/>
  <c r="F62"/>
  <c r="F60"/>
  <c r="F22"/>
  <c r="F20"/>
  <c r="F37"/>
  <c r="F25"/>
  <c r="G22"/>
  <c r="F61"/>
  <c r="F49"/>
  <c r="F65"/>
  <c r="F42"/>
  <c r="F40"/>
  <c r="F11"/>
  <c r="F31"/>
  <c r="F66"/>
  <c r="C66" s="1"/>
  <c r="F29"/>
  <c r="F12"/>
  <c r="F30"/>
  <c r="F6"/>
  <c r="F46"/>
  <c r="F19"/>
  <c r="F36"/>
  <c r="F23"/>
  <c r="F59"/>
  <c r="F56"/>
  <c r="F63"/>
  <c r="F16"/>
  <c r="F4"/>
  <c r="F5"/>
  <c r="F67"/>
  <c r="G48"/>
  <c r="F48"/>
  <c r="F26"/>
  <c r="F24"/>
  <c r="F45"/>
  <c r="F33"/>
  <c r="G42"/>
  <c r="F50"/>
  <c r="F64"/>
  <c r="F47"/>
  <c r="F14"/>
  <c r="F7"/>
  <c r="F41"/>
  <c r="G17"/>
  <c r="G37"/>
  <c r="G53"/>
  <c r="B16" i="2"/>
  <c r="G11" i="4"/>
  <c r="G34"/>
  <c r="G47"/>
  <c r="G36"/>
  <c r="G27"/>
  <c r="G29"/>
  <c r="G23"/>
  <c r="G8"/>
  <c r="G14"/>
  <c r="G20"/>
  <c r="G44"/>
  <c r="G41"/>
  <c r="G35"/>
  <c r="G32"/>
  <c r="G38"/>
  <c r="G18"/>
  <c r="G13"/>
  <c r="G45"/>
  <c r="G7"/>
  <c r="G39"/>
  <c r="G40"/>
  <c r="G46"/>
  <c r="G26"/>
  <c r="G52"/>
  <c r="G9"/>
  <c r="G25"/>
  <c r="G3"/>
  <c r="G19"/>
  <c r="G51"/>
  <c r="G6"/>
  <c r="G12"/>
  <c r="G50"/>
  <c r="G49"/>
  <c r="G16"/>
  <c r="G28"/>
  <c r="G21"/>
  <c r="G31"/>
  <c r="G4"/>
  <c r="G33"/>
  <c r="G43"/>
  <c r="G2"/>
  <c r="G5"/>
  <c r="G15"/>
  <c r="G30"/>
  <c r="C250" l="1"/>
  <c r="C234"/>
  <c r="C218"/>
  <c r="C183"/>
  <c r="C186"/>
  <c r="C260"/>
  <c r="C285"/>
  <c r="C269"/>
  <c r="D269" s="1"/>
  <c r="C202"/>
  <c r="D202" s="1"/>
  <c r="C252"/>
  <c r="D252" s="1"/>
  <c r="C220"/>
  <c r="D220" s="1"/>
  <c r="C205"/>
  <c r="C173"/>
  <c r="D173" s="1"/>
  <c r="C176"/>
  <c r="D176" s="1"/>
  <c r="C117"/>
  <c r="D117" s="1"/>
  <c r="C133"/>
  <c r="D133" s="1"/>
  <c r="C149"/>
  <c r="D149" s="1"/>
  <c r="C219"/>
  <c r="D219" s="1"/>
  <c r="C179"/>
  <c r="D179" s="1"/>
  <c r="C123"/>
  <c r="D123" s="1"/>
  <c r="C147"/>
  <c r="D147" s="1"/>
  <c r="C163"/>
  <c r="D163" s="1"/>
  <c r="C116"/>
  <c r="C132"/>
  <c r="C148"/>
  <c r="D148" s="1"/>
  <c r="C301"/>
  <c r="D301" s="1"/>
  <c r="C293"/>
  <c r="C245"/>
  <c r="D245" s="1"/>
  <c r="C229"/>
  <c r="D229" s="1"/>
  <c r="C201"/>
  <c r="D201" s="1"/>
  <c r="C193"/>
  <c r="D193" s="1"/>
  <c r="C180"/>
  <c r="D180" s="1"/>
  <c r="C188"/>
  <c r="D188" s="1"/>
  <c r="C196"/>
  <c r="D196" s="1"/>
  <c r="C130"/>
  <c r="D130" s="1"/>
  <c r="C146"/>
  <c r="D146" s="1"/>
  <c r="C162"/>
  <c r="D162" s="1"/>
  <c r="C247"/>
  <c r="D247" s="1"/>
  <c r="C239"/>
  <c r="D239" s="1"/>
  <c r="C231"/>
  <c r="C215"/>
  <c r="D215" s="1"/>
  <c r="C200"/>
  <c r="D200" s="1"/>
  <c r="C175"/>
  <c r="D175" s="1"/>
  <c r="C191"/>
  <c r="D191" s="1"/>
  <c r="C127"/>
  <c r="D127" s="1"/>
  <c r="C167"/>
  <c r="D167" s="1"/>
  <c r="C120"/>
  <c r="D120" s="1"/>
  <c r="C136"/>
  <c r="C152"/>
  <c r="D152" s="1"/>
  <c r="C168"/>
  <c r="D168" s="1"/>
  <c r="C233"/>
  <c r="D233" s="1"/>
  <c r="C225"/>
  <c r="D225" s="1"/>
  <c r="C292"/>
  <c r="D292" s="1"/>
  <c r="C284"/>
  <c r="D284" s="1"/>
  <c r="C276"/>
  <c r="C198"/>
  <c r="D198" s="1"/>
  <c r="C206"/>
  <c r="D206" s="1"/>
  <c r="C181"/>
  <c r="D181" s="1"/>
  <c r="C197"/>
  <c r="C184"/>
  <c r="D184" s="1"/>
  <c r="C192"/>
  <c r="D192" s="1"/>
  <c r="C118"/>
  <c r="C134"/>
  <c r="D134" s="1"/>
  <c r="C150"/>
  <c r="C166"/>
  <c r="D166" s="1"/>
  <c r="C251"/>
  <c r="D251" s="1"/>
  <c r="C243"/>
  <c r="C235"/>
  <c r="D235" s="1"/>
  <c r="C227"/>
  <c r="D227" s="1"/>
  <c r="C246"/>
  <c r="D246" s="1"/>
  <c r="C230"/>
  <c r="D230" s="1"/>
  <c r="C214"/>
  <c r="D214" s="1"/>
  <c r="C187"/>
  <c r="D187" s="1"/>
  <c r="C174"/>
  <c r="D174" s="1"/>
  <c r="C131"/>
  <c r="C139"/>
  <c r="D139" s="1"/>
  <c r="C164"/>
  <c r="D164" s="1"/>
  <c r="C261"/>
  <c r="D261" s="1"/>
  <c r="C253"/>
  <c r="D253" s="1"/>
  <c r="C295"/>
  <c r="D295" s="1"/>
  <c r="C287"/>
  <c r="D287" s="1"/>
  <c r="C279"/>
  <c r="C271"/>
  <c r="C263"/>
  <c r="D263" s="1"/>
  <c r="C255"/>
  <c r="D255" s="1"/>
  <c r="C105"/>
  <c r="D105" s="1"/>
  <c r="C102"/>
  <c r="D102" s="1"/>
  <c r="C104"/>
  <c r="C109"/>
  <c r="D109" s="1"/>
  <c r="C106"/>
  <c r="D106" s="1"/>
  <c r="C108"/>
  <c r="C299"/>
  <c r="D299" s="1"/>
  <c r="C291"/>
  <c r="D291" s="1"/>
  <c r="C283"/>
  <c r="D283" s="1"/>
  <c r="C275"/>
  <c r="D275" s="1"/>
  <c r="C267"/>
  <c r="D267" s="1"/>
  <c r="C259"/>
  <c r="D259" s="1"/>
  <c r="C195"/>
  <c r="D195" s="1"/>
  <c r="C182"/>
  <c r="D182" s="1"/>
  <c r="C294"/>
  <c r="D294" s="1"/>
  <c r="C286"/>
  <c r="D286" s="1"/>
  <c r="C270"/>
  <c r="D270" s="1"/>
  <c r="C262"/>
  <c r="D262" s="1"/>
  <c r="C254"/>
  <c r="D254" s="1"/>
  <c r="C298"/>
  <c r="D298" s="1"/>
  <c r="C290"/>
  <c r="D290" s="1"/>
  <c r="C282"/>
  <c r="D282" s="1"/>
  <c r="C92"/>
  <c r="D92" s="1"/>
  <c r="C24"/>
  <c r="D24" s="1"/>
  <c r="C67"/>
  <c r="D67" s="1"/>
  <c r="C57"/>
  <c r="D57" s="1"/>
  <c r="C48"/>
  <c r="D48" s="1"/>
  <c r="C61"/>
  <c r="D61" s="1"/>
  <c r="C54"/>
  <c r="D54" s="1"/>
  <c r="C297"/>
  <c r="D297" s="1"/>
  <c r="C289"/>
  <c r="D289" s="1"/>
  <c r="C281"/>
  <c r="D281" s="1"/>
  <c r="C273"/>
  <c r="D273" s="1"/>
  <c r="C265"/>
  <c r="D265" s="1"/>
  <c r="C257"/>
  <c r="D257" s="1"/>
  <c r="C249"/>
  <c r="D249" s="1"/>
  <c r="C217"/>
  <c r="D217" s="1"/>
  <c r="C300"/>
  <c r="D300" s="1"/>
  <c r="C268"/>
  <c r="D268" s="1"/>
  <c r="C244"/>
  <c r="D244" s="1"/>
  <c r="C236"/>
  <c r="D236" s="1"/>
  <c r="C228"/>
  <c r="D228" s="1"/>
  <c r="C212"/>
  <c r="D212" s="1"/>
  <c r="C189"/>
  <c r="D189" s="1"/>
  <c r="C165"/>
  <c r="D165" s="1"/>
  <c r="C111"/>
  <c r="D111" s="1"/>
  <c r="C91"/>
  <c r="D91" s="1"/>
  <c r="C278"/>
  <c r="D278" s="1"/>
  <c r="C211"/>
  <c r="D211" s="1"/>
  <c r="C204"/>
  <c r="D204" s="1"/>
  <c r="C65"/>
  <c r="D65" s="1"/>
  <c r="C60"/>
  <c r="D60" s="1"/>
  <c r="C277"/>
  <c r="D277" s="1"/>
  <c r="C237"/>
  <c r="D237" s="1"/>
  <c r="C221"/>
  <c r="D221" s="1"/>
  <c r="C213"/>
  <c r="D213" s="1"/>
  <c r="C296"/>
  <c r="D296" s="1"/>
  <c r="C288"/>
  <c r="D288" s="1"/>
  <c r="C280"/>
  <c r="D280" s="1"/>
  <c r="C272"/>
  <c r="D272" s="1"/>
  <c r="C264"/>
  <c r="D264" s="1"/>
  <c r="C256"/>
  <c r="D256" s="1"/>
  <c r="C224"/>
  <c r="D224" s="1"/>
  <c r="C216"/>
  <c r="D216" s="1"/>
  <c r="C210"/>
  <c r="D210" s="1"/>
  <c r="C114"/>
  <c r="D114" s="1"/>
  <c r="C110"/>
  <c r="D110" s="1"/>
  <c r="C112"/>
  <c r="D112" s="1"/>
  <c r="C107"/>
  <c r="C63"/>
  <c r="D63" s="1"/>
  <c r="C113"/>
  <c r="D113" s="1"/>
  <c r="C10"/>
  <c r="D10" s="1"/>
  <c r="C274"/>
  <c r="D274" s="1"/>
  <c r="C266"/>
  <c r="D266" s="1"/>
  <c r="C258"/>
  <c r="D258" s="1"/>
  <c r="C59"/>
  <c r="D59" s="1"/>
  <c r="C64"/>
  <c r="D64" s="1"/>
  <c r="C56"/>
  <c r="D56" s="1"/>
  <c r="C62"/>
  <c r="D62" s="1"/>
  <c r="C58"/>
  <c r="D58" s="1"/>
  <c r="C199"/>
  <c r="D199" s="1"/>
  <c r="C7"/>
  <c r="D7" s="1"/>
  <c r="C50"/>
  <c r="D50" s="1"/>
  <c r="C36"/>
  <c r="D36" s="1"/>
  <c r="C30"/>
  <c r="D30" s="1"/>
  <c r="C31"/>
  <c r="D31" s="1"/>
  <c r="C25"/>
  <c r="D25" s="1"/>
  <c r="C27"/>
  <c r="D27" s="1"/>
  <c r="C17"/>
  <c r="D17" s="1"/>
  <c r="C44"/>
  <c r="D44" s="1"/>
  <c r="C18"/>
  <c r="D18" s="1"/>
  <c r="C53"/>
  <c r="D53" s="1"/>
  <c r="C35"/>
  <c r="D35" s="1"/>
  <c r="C364"/>
  <c r="D364" s="1"/>
  <c r="C372"/>
  <c r="D372" s="1"/>
  <c r="C380"/>
  <c r="D380" s="1"/>
  <c r="C388"/>
  <c r="D388" s="1"/>
  <c r="C396"/>
  <c r="D396" s="1"/>
  <c r="C404"/>
  <c r="D404" s="1"/>
  <c r="C412"/>
  <c r="D412" s="1"/>
  <c r="C420"/>
  <c r="D420" s="1"/>
  <c r="C428"/>
  <c r="D428" s="1"/>
  <c r="C436"/>
  <c r="D436" s="1"/>
  <c r="C444"/>
  <c r="D444" s="1"/>
  <c r="C452"/>
  <c r="D452" s="1"/>
  <c r="C460"/>
  <c r="D460" s="1"/>
  <c r="C468"/>
  <c r="D468" s="1"/>
  <c r="C476"/>
  <c r="D476" s="1"/>
  <c r="C484"/>
  <c r="D484" s="1"/>
  <c r="C492"/>
  <c r="D492" s="1"/>
  <c r="C500"/>
  <c r="D500" s="1"/>
  <c r="C508"/>
  <c r="D508" s="1"/>
  <c r="C516"/>
  <c r="D516" s="1"/>
  <c r="C524"/>
  <c r="D524" s="1"/>
  <c r="C532"/>
  <c r="D532" s="1"/>
  <c r="C540"/>
  <c r="D540" s="1"/>
  <c r="C548"/>
  <c r="D548" s="1"/>
  <c r="C556"/>
  <c r="D556" s="1"/>
  <c r="C564"/>
  <c r="D564" s="1"/>
  <c r="C572"/>
  <c r="D572" s="1"/>
  <c r="C580"/>
  <c r="D580" s="1"/>
  <c r="C588"/>
  <c r="D588" s="1"/>
  <c r="C596"/>
  <c r="D596" s="1"/>
  <c r="C604"/>
  <c r="D604" s="1"/>
  <c r="C612"/>
  <c r="D612" s="1"/>
  <c r="C620"/>
  <c r="D620" s="1"/>
  <c r="C628"/>
  <c r="D628" s="1"/>
  <c r="C636"/>
  <c r="D636" s="1"/>
  <c r="C644"/>
  <c r="D644" s="1"/>
  <c r="C652"/>
  <c r="D652" s="1"/>
  <c r="C660"/>
  <c r="D660" s="1"/>
  <c r="C668"/>
  <c r="D668" s="1"/>
  <c r="C676"/>
  <c r="D676" s="1"/>
  <c r="C349"/>
  <c r="D349" s="1"/>
  <c r="C341"/>
  <c r="D341" s="1"/>
  <c r="C333"/>
  <c r="D333" s="1"/>
  <c r="C325"/>
  <c r="D325" s="1"/>
  <c r="C317"/>
  <c r="D317" s="1"/>
  <c r="C309"/>
  <c r="D309" s="1"/>
  <c r="C361"/>
  <c r="D361" s="1"/>
  <c r="C369"/>
  <c r="D369" s="1"/>
  <c r="C377"/>
  <c r="D377" s="1"/>
  <c r="C385"/>
  <c r="D385" s="1"/>
  <c r="C393"/>
  <c r="D393" s="1"/>
  <c r="C401"/>
  <c r="D401" s="1"/>
  <c r="C409"/>
  <c r="D409" s="1"/>
  <c r="C417"/>
  <c r="D417" s="1"/>
  <c r="C425"/>
  <c r="D425" s="1"/>
  <c r="C433"/>
  <c r="D433" s="1"/>
  <c r="C441"/>
  <c r="D441" s="1"/>
  <c r="C449"/>
  <c r="D449" s="1"/>
  <c r="C457"/>
  <c r="D457" s="1"/>
  <c r="C465"/>
  <c r="D465" s="1"/>
  <c r="C473"/>
  <c r="D473" s="1"/>
  <c r="C481"/>
  <c r="D481" s="1"/>
  <c r="C489"/>
  <c r="D489" s="1"/>
  <c r="C497"/>
  <c r="D497" s="1"/>
  <c r="C505"/>
  <c r="D505" s="1"/>
  <c r="C513"/>
  <c r="D513" s="1"/>
  <c r="C521"/>
  <c r="D521" s="1"/>
  <c r="C529"/>
  <c r="D529" s="1"/>
  <c r="C537"/>
  <c r="D537" s="1"/>
  <c r="C545"/>
  <c r="D545" s="1"/>
  <c r="C553"/>
  <c r="D553" s="1"/>
  <c r="C561"/>
  <c r="D561" s="1"/>
  <c r="C569"/>
  <c r="D569" s="1"/>
  <c r="C577"/>
  <c r="D577" s="1"/>
  <c r="C585"/>
  <c r="D585" s="1"/>
  <c r="C593"/>
  <c r="D593" s="1"/>
  <c r="C601"/>
  <c r="D601" s="1"/>
  <c r="C609"/>
  <c r="D609" s="1"/>
  <c r="C617"/>
  <c r="D617" s="1"/>
  <c r="C625"/>
  <c r="D625" s="1"/>
  <c r="C633"/>
  <c r="D633" s="1"/>
  <c r="C641"/>
  <c r="D641" s="1"/>
  <c r="C649"/>
  <c r="D649" s="1"/>
  <c r="C657"/>
  <c r="D657" s="1"/>
  <c r="C665"/>
  <c r="D665" s="1"/>
  <c r="C673"/>
  <c r="D673" s="1"/>
  <c r="C352"/>
  <c r="D352" s="1"/>
  <c r="C344"/>
  <c r="D344" s="1"/>
  <c r="C336"/>
  <c r="D336" s="1"/>
  <c r="C328"/>
  <c r="D328" s="1"/>
  <c r="C320"/>
  <c r="D320" s="1"/>
  <c r="C312"/>
  <c r="D312" s="1"/>
  <c r="C304"/>
  <c r="D304" s="1"/>
  <c r="C70"/>
  <c r="D70" s="1"/>
  <c r="C77"/>
  <c r="D77" s="1"/>
  <c r="C98"/>
  <c r="D98" s="1"/>
  <c r="C89"/>
  <c r="D89" s="1"/>
  <c r="C86"/>
  <c r="D86" s="1"/>
  <c r="C87"/>
  <c r="D87" s="1"/>
  <c r="C88"/>
  <c r="D88" s="1"/>
  <c r="C41"/>
  <c r="D41" s="1"/>
  <c r="C45"/>
  <c r="D45" s="1"/>
  <c r="C16"/>
  <c r="D16" s="1"/>
  <c r="C23"/>
  <c r="D23" s="1"/>
  <c r="C6"/>
  <c r="D6" s="1"/>
  <c r="C42"/>
  <c r="D42" s="1"/>
  <c r="C22"/>
  <c r="D22" s="1"/>
  <c r="C21"/>
  <c r="D21" s="1"/>
  <c r="C9"/>
  <c r="D9" s="1"/>
  <c r="C55"/>
  <c r="D55" s="1"/>
  <c r="C51"/>
  <c r="D51" s="1"/>
  <c r="C52"/>
  <c r="D52" s="1"/>
  <c r="C32"/>
  <c r="D32" s="1"/>
  <c r="C362"/>
  <c r="D362" s="1"/>
  <c r="C370"/>
  <c r="D370" s="1"/>
  <c r="C378"/>
  <c r="D378" s="1"/>
  <c r="C386"/>
  <c r="D386" s="1"/>
  <c r="C394"/>
  <c r="D394" s="1"/>
  <c r="C402"/>
  <c r="D402" s="1"/>
  <c r="C410"/>
  <c r="D410" s="1"/>
  <c r="C418"/>
  <c r="D418" s="1"/>
  <c r="C426"/>
  <c r="D426" s="1"/>
  <c r="C434"/>
  <c r="D434" s="1"/>
  <c r="C442"/>
  <c r="D442" s="1"/>
  <c r="C450"/>
  <c r="D450" s="1"/>
  <c r="C458"/>
  <c r="D458" s="1"/>
  <c r="C466"/>
  <c r="D466" s="1"/>
  <c r="C474"/>
  <c r="D474" s="1"/>
  <c r="C482"/>
  <c r="D482" s="1"/>
  <c r="C490"/>
  <c r="D490" s="1"/>
  <c r="C498"/>
  <c r="D498" s="1"/>
  <c r="C506"/>
  <c r="D506" s="1"/>
  <c r="C514"/>
  <c r="D514" s="1"/>
  <c r="C522"/>
  <c r="D522" s="1"/>
  <c r="C530"/>
  <c r="D530" s="1"/>
  <c r="C538"/>
  <c r="D538" s="1"/>
  <c r="C546"/>
  <c r="D546" s="1"/>
  <c r="C554"/>
  <c r="D554" s="1"/>
  <c r="C562"/>
  <c r="D562" s="1"/>
  <c r="C570"/>
  <c r="D570" s="1"/>
  <c r="C578"/>
  <c r="D578" s="1"/>
  <c r="C586"/>
  <c r="D586" s="1"/>
  <c r="C594"/>
  <c r="D594" s="1"/>
  <c r="C602"/>
  <c r="D602" s="1"/>
  <c r="C610"/>
  <c r="D610" s="1"/>
  <c r="C618"/>
  <c r="D618" s="1"/>
  <c r="C626"/>
  <c r="D626" s="1"/>
  <c r="C634"/>
  <c r="D634" s="1"/>
  <c r="C642"/>
  <c r="D642" s="1"/>
  <c r="C650"/>
  <c r="D650" s="1"/>
  <c r="C658"/>
  <c r="D658" s="1"/>
  <c r="C666"/>
  <c r="D666" s="1"/>
  <c r="C674"/>
  <c r="D674" s="1"/>
  <c r="C351"/>
  <c r="D351" s="1"/>
  <c r="C343"/>
  <c r="D343" s="1"/>
  <c r="C335"/>
  <c r="D335" s="1"/>
  <c r="C327"/>
  <c r="D327" s="1"/>
  <c r="C319"/>
  <c r="D319" s="1"/>
  <c r="C311"/>
  <c r="D311" s="1"/>
  <c r="C303"/>
  <c r="D303" s="1"/>
  <c r="C359"/>
  <c r="D359" s="1"/>
  <c r="C367"/>
  <c r="D367" s="1"/>
  <c r="C375"/>
  <c r="D375" s="1"/>
  <c r="C383"/>
  <c r="D383" s="1"/>
  <c r="C391"/>
  <c r="D391" s="1"/>
  <c r="C399"/>
  <c r="D399" s="1"/>
  <c r="C407"/>
  <c r="D407" s="1"/>
  <c r="C415"/>
  <c r="D415" s="1"/>
  <c r="C423"/>
  <c r="D423" s="1"/>
  <c r="C431"/>
  <c r="D431" s="1"/>
  <c r="C439"/>
  <c r="D439" s="1"/>
  <c r="C447"/>
  <c r="D447" s="1"/>
  <c r="C455"/>
  <c r="D455" s="1"/>
  <c r="C463"/>
  <c r="D463" s="1"/>
  <c r="C471"/>
  <c r="D471" s="1"/>
  <c r="C479"/>
  <c r="D479" s="1"/>
  <c r="C487"/>
  <c r="D487" s="1"/>
  <c r="C495"/>
  <c r="D495" s="1"/>
  <c r="C503"/>
  <c r="D503" s="1"/>
  <c r="C511"/>
  <c r="D511" s="1"/>
  <c r="C519"/>
  <c r="D519" s="1"/>
  <c r="C527"/>
  <c r="D527" s="1"/>
  <c r="C535"/>
  <c r="D535" s="1"/>
  <c r="C543"/>
  <c r="D543" s="1"/>
  <c r="C551"/>
  <c r="D551" s="1"/>
  <c r="C559"/>
  <c r="D559" s="1"/>
  <c r="C567"/>
  <c r="D567" s="1"/>
  <c r="C575"/>
  <c r="D575" s="1"/>
  <c r="C583"/>
  <c r="D583" s="1"/>
  <c r="C591"/>
  <c r="D591" s="1"/>
  <c r="C599"/>
  <c r="D599" s="1"/>
  <c r="C607"/>
  <c r="D607" s="1"/>
  <c r="C615"/>
  <c r="D615" s="1"/>
  <c r="C623"/>
  <c r="D623" s="1"/>
  <c r="C631"/>
  <c r="D631" s="1"/>
  <c r="C639"/>
  <c r="D639" s="1"/>
  <c r="C647"/>
  <c r="D647" s="1"/>
  <c r="C655"/>
  <c r="D655" s="1"/>
  <c r="C663"/>
  <c r="D663" s="1"/>
  <c r="C671"/>
  <c r="D671" s="1"/>
  <c r="C354"/>
  <c r="D354" s="1"/>
  <c r="C346"/>
  <c r="D346" s="1"/>
  <c r="C338"/>
  <c r="D338" s="1"/>
  <c r="C330"/>
  <c r="D330" s="1"/>
  <c r="C322"/>
  <c r="D322" s="1"/>
  <c r="C314"/>
  <c r="D314" s="1"/>
  <c r="C306"/>
  <c r="D306" s="1"/>
  <c r="C39"/>
  <c r="D39" s="1"/>
  <c r="C96"/>
  <c r="D96" s="1"/>
  <c r="C71"/>
  <c r="D71" s="1"/>
  <c r="C95"/>
  <c r="D95" s="1"/>
  <c r="C90"/>
  <c r="D90" s="1"/>
  <c r="C101"/>
  <c r="D101" s="1"/>
  <c r="C85"/>
  <c r="D85" s="1"/>
  <c r="C83"/>
  <c r="D83" s="1"/>
  <c r="C81"/>
  <c r="D81" s="1"/>
  <c r="C47"/>
  <c r="D47" s="1"/>
  <c r="C33"/>
  <c r="D33" s="1"/>
  <c r="C4"/>
  <c r="D4" s="1"/>
  <c r="C46"/>
  <c r="D46" s="1"/>
  <c r="C29"/>
  <c r="D29" s="1"/>
  <c r="C40"/>
  <c r="D40" s="1"/>
  <c r="C20"/>
  <c r="D20" s="1"/>
  <c r="C28"/>
  <c r="D28" s="1"/>
  <c r="C43"/>
  <c r="D43" s="1"/>
  <c r="C38"/>
  <c r="D38" s="1"/>
  <c r="C15"/>
  <c r="D15" s="1"/>
  <c r="C13"/>
  <c r="D13" s="1"/>
  <c r="C68"/>
  <c r="D68" s="1"/>
  <c r="C360"/>
  <c r="D360" s="1"/>
  <c r="C368"/>
  <c r="D368" s="1"/>
  <c r="C376"/>
  <c r="D376" s="1"/>
  <c r="C384"/>
  <c r="D384" s="1"/>
  <c r="C392"/>
  <c r="D392" s="1"/>
  <c r="C400"/>
  <c r="D400" s="1"/>
  <c r="C408"/>
  <c r="D408" s="1"/>
  <c r="C416"/>
  <c r="D416" s="1"/>
  <c r="C424"/>
  <c r="D424" s="1"/>
  <c r="C432"/>
  <c r="D432" s="1"/>
  <c r="C440"/>
  <c r="D440" s="1"/>
  <c r="C448"/>
  <c r="D448" s="1"/>
  <c r="C456"/>
  <c r="D456" s="1"/>
  <c r="C464"/>
  <c r="D464" s="1"/>
  <c r="C472"/>
  <c r="D472" s="1"/>
  <c r="C480"/>
  <c r="D480" s="1"/>
  <c r="C488"/>
  <c r="D488" s="1"/>
  <c r="C496"/>
  <c r="D496" s="1"/>
  <c r="C504"/>
  <c r="D504" s="1"/>
  <c r="C512"/>
  <c r="D512" s="1"/>
  <c r="C520"/>
  <c r="D520" s="1"/>
  <c r="C528"/>
  <c r="D528" s="1"/>
  <c r="C536"/>
  <c r="D536" s="1"/>
  <c r="C544"/>
  <c r="D544" s="1"/>
  <c r="C552"/>
  <c r="D552" s="1"/>
  <c r="C560"/>
  <c r="D560" s="1"/>
  <c r="C568"/>
  <c r="D568" s="1"/>
  <c r="C576"/>
  <c r="D576" s="1"/>
  <c r="C584"/>
  <c r="D584" s="1"/>
  <c r="C592"/>
  <c r="D592" s="1"/>
  <c r="C600"/>
  <c r="D600" s="1"/>
  <c r="C608"/>
  <c r="D608" s="1"/>
  <c r="C616"/>
  <c r="D616" s="1"/>
  <c r="C624"/>
  <c r="D624" s="1"/>
  <c r="C632"/>
  <c r="D632" s="1"/>
  <c r="C640"/>
  <c r="D640" s="1"/>
  <c r="C648"/>
  <c r="D648" s="1"/>
  <c r="C656"/>
  <c r="D656" s="1"/>
  <c r="C664"/>
  <c r="D664" s="1"/>
  <c r="C672"/>
  <c r="D672" s="1"/>
  <c r="C353"/>
  <c r="D353" s="1"/>
  <c r="C345"/>
  <c r="D345" s="1"/>
  <c r="C337"/>
  <c r="D337" s="1"/>
  <c r="C329"/>
  <c r="D329" s="1"/>
  <c r="C321"/>
  <c r="D321" s="1"/>
  <c r="C313"/>
  <c r="D313" s="1"/>
  <c r="C305"/>
  <c r="D305" s="1"/>
  <c r="C357"/>
  <c r="D357" s="1"/>
  <c r="C365"/>
  <c r="D365" s="1"/>
  <c r="C373"/>
  <c r="D373" s="1"/>
  <c r="C381"/>
  <c r="D381" s="1"/>
  <c r="C389"/>
  <c r="D389" s="1"/>
  <c r="C397"/>
  <c r="D397" s="1"/>
  <c r="C405"/>
  <c r="D405" s="1"/>
  <c r="C413"/>
  <c r="D413" s="1"/>
  <c r="C421"/>
  <c r="D421" s="1"/>
  <c r="C429"/>
  <c r="D429" s="1"/>
  <c r="C437"/>
  <c r="D437" s="1"/>
  <c r="C445"/>
  <c r="D445" s="1"/>
  <c r="C453"/>
  <c r="D453" s="1"/>
  <c r="C461"/>
  <c r="D461" s="1"/>
  <c r="C469"/>
  <c r="D469" s="1"/>
  <c r="C477"/>
  <c r="D477" s="1"/>
  <c r="C485"/>
  <c r="D485" s="1"/>
  <c r="C493"/>
  <c r="D493" s="1"/>
  <c r="C501"/>
  <c r="D501" s="1"/>
  <c r="C509"/>
  <c r="D509" s="1"/>
  <c r="C517"/>
  <c r="D517" s="1"/>
  <c r="C525"/>
  <c r="D525" s="1"/>
  <c r="C533"/>
  <c r="D533" s="1"/>
  <c r="C541"/>
  <c r="D541" s="1"/>
  <c r="C549"/>
  <c r="D549" s="1"/>
  <c r="C557"/>
  <c r="D557" s="1"/>
  <c r="C565"/>
  <c r="D565" s="1"/>
  <c r="C573"/>
  <c r="D573" s="1"/>
  <c r="C581"/>
  <c r="D581" s="1"/>
  <c r="C589"/>
  <c r="D589" s="1"/>
  <c r="C597"/>
  <c r="D597" s="1"/>
  <c r="C605"/>
  <c r="D605" s="1"/>
  <c r="C613"/>
  <c r="D613" s="1"/>
  <c r="C621"/>
  <c r="D621" s="1"/>
  <c r="C629"/>
  <c r="D629" s="1"/>
  <c r="C637"/>
  <c r="D637" s="1"/>
  <c r="C645"/>
  <c r="D645" s="1"/>
  <c r="C653"/>
  <c r="D653" s="1"/>
  <c r="C661"/>
  <c r="D661" s="1"/>
  <c r="C669"/>
  <c r="D669" s="1"/>
  <c r="C356"/>
  <c r="D356" s="1"/>
  <c r="C348"/>
  <c r="D348" s="1"/>
  <c r="C340"/>
  <c r="D340" s="1"/>
  <c r="C332"/>
  <c r="D332" s="1"/>
  <c r="C324"/>
  <c r="D324" s="1"/>
  <c r="C316"/>
  <c r="D316" s="1"/>
  <c r="C308"/>
  <c r="D308" s="1"/>
  <c r="C72"/>
  <c r="D72" s="1"/>
  <c r="C76"/>
  <c r="D76" s="1"/>
  <c r="C80"/>
  <c r="D80" s="1"/>
  <c r="C84"/>
  <c r="D84" s="1"/>
  <c r="C99"/>
  <c r="D99" s="1"/>
  <c r="C93"/>
  <c r="D93" s="1"/>
  <c r="C75"/>
  <c r="D75" s="1"/>
  <c r="C14"/>
  <c r="D14" s="1"/>
  <c r="C26"/>
  <c r="D26" s="1"/>
  <c r="C5"/>
  <c r="D5" s="1"/>
  <c r="C19"/>
  <c r="D19" s="1"/>
  <c r="C12"/>
  <c r="D12" s="1"/>
  <c r="C11"/>
  <c r="D11" s="1"/>
  <c r="C49"/>
  <c r="D49" s="1"/>
  <c r="C37"/>
  <c r="D37" s="1"/>
  <c r="C2"/>
  <c r="C3"/>
  <c r="D3" s="1"/>
  <c r="C8"/>
  <c r="D8" s="1"/>
  <c r="C34"/>
  <c r="D34" s="1"/>
  <c r="C358"/>
  <c r="D358" s="1"/>
  <c r="C366"/>
  <c r="D366" s="1"/>
  <c r="C374"/>
  <c r="D374" s="1"/>
  <c r="C382"/>
  <c r="D382" s="1"/>
  <c r="C390"/>
  <c r="D390" s="1"/>
  <c r="C398"/>
  <c r="D398" s="1"/>
  <c r="C406"/>
  <c r="D406" s="1"/>
  <c r="C414"/>
  <c r="D414" s="1"/>
  <c r="C422"/>
  <c r="D422" s="1"/>
  <c r="C430"/>
  <c r="D430" s="1"/>
  <c r="C438"/>
  <c r="D438" s="1"/>
  <c r="C446"/>
  <c r="D446" s="1"/>
  <c r="C454"/>
  <c r="D454" s="1"/>
  <c r="C462"/>
  <c r="D462" s="1"/>
  <c r="C470"/>
  <c r="D470" s="1"/>
  <c r="C478"/>
  <c r="D478" s="1"/>
  <c r="C486"/>
  <c r="D486" s="1"/>
  <c r="C494"/>
  <c r="D494" s="1"/>
  <c r="C502"/>
  <c r="D502" s="1"/>
  <c r="C510"/>
  <c r="D510" s="1"/>
  <c r="C518"/>
  <c r="D518" s="1"/>
  <c r="C526"/>
  <c r="D526" s="1"/>
  <c r="C534"/>
  <c r="D534" s="1"/>
  <c r="C542"/>
  <c r="D542" s="1"/>
  <c r="C550"/>
  <c r="D550" s="1"/>
  <c r="C558"/>
  <c r="D558" s="1"/>
  <c r="C566"/>
  <c r="D566" s="1"/>
  <c r="C574"/>
  <c r="D574" s="1"/>
  <c r="C582"/>
  <c r="D582" s="1"/>
  <c r="C590"/>
  <c r="D590" s="1"/>
  <c r="C598"/>
  <c r="D598" s="1"/>
  <c r="C606"/>
  <c r="D606" s="1"/>
  <c r="C614"/>
  <c r="D614" s="1"/>
  <c r="C622"/>
  <c r="D622" s="1"/>
  <c r="C630"/>
  <c r="D630" s="1"/>
  <c r="C638"/>
  <c r="D638" s="1"/>
  <c r="C646"/>
  <c r="D646" s="1"/>
  <c r="C654"/>
  <c r="D654" s="1"/>
  <c r="C662"/>
  <c r="D662" s="1"/>
  <c r="C670"/>
  <c r="D670" s="1"/>
  <c r="C355"/>
  <c r="D355" s="1"/>
  <c r="C347"/>
  <c r="D347" s="1"/>
  <c r="C339"/>
  <c r="D339" s="1"/>
  <c r="C331"/>
  <c r="D331" s="1"/>
  <c r="C323"/>
  <c r="D323" s="1"/>
  <c r="C315"/>
  <c r="D315" s="1"/>
  <c r="C307"/>
  <c r="D307" s="1"/>
  <c r="C677"/>
  <c r="D677" s="1"/>
  <c r="C363"/>
  <c r="D363" s="1"/>
  <c r="C371"/>
  <c r="D371" s="1"/>
  <c r="C379"/>
  <c r="D379" s="1"/>
  <c r="C387"/>
  <c r="D387" s="1"/>
  <c r="C395"/>
  <c r="D395" s="1"/>
  <c r="C403"/>
  <c r="D403" s="1"/>
  <c r="C411"/>
  <c r="D411" s="1"/>
  <c r="C419"/>
  <c r="D419" s="1"/>
  <c r="C427"/>
  <c r="D427" s="1"/>
  <c r="C435"/>
  <c r="D435" s="1"/>
  <c r="C443"/>
  <c r="D443" s="1"/>
  <c r="C451"/>
  <c r="D451" s="1"/>
  <c r="C459"/>
  <c r="D459" s="1"/>
  <c r="C467"/>
  <c r="D467" s="1"/>
  <c r="C475"/>
  <c r="D475" s="1"/>
  <c r="C483"/>
  <c r="D483" s="1"/>
  <c r="C491"/>
  <c r="D491" s="1"/>
  <c r="C499"/>
  <c r="D499" s="1"/>
  <c r="C507"/>
  <c r="D507" s="1"/>
  <c r="C515"/>
  <c r="D515" s="1"/>
  <c r="C523"/>
  <c r="D523" s="1"/>
  <c r="C531"/>
  <c r="D531" s="1"/>
  <c r="C539"/>
  <c r="D539" s="1"/>
  <c r="C547"/>
  <c r="D547" s="1"/>
  <c r="C555"/>
  <c r="D555" s="1"/>
  <c r="C563"/>
  <c r="D563" s="1"/>
  <c r="C571"/>
  <c r="D571" s="1"/>
  <c r="C579"/>
  <c r="D579" s="1"/>
  <c r="C587"/>
  <c r="D587" s="1"/>
  <c r="C595"/>
  <c r="D595" s="1"/>
  <c r="C603"/>
  <c r="D603" s="1"/>
  <c r="C611"/>
  <c r="D611" s="1"/>
  <c r="C619"/>
  <c r="D619" s="1"/>
  <c r="C627"/>
  <c r="D627" s="1"/>
  <c r="C635"/>
  <c r="D635" s="1"/>
  <c r="C643"/>
  <c r="D643" s="1"/>
  <c r="C651"/>
  <c r="D651" s="1"/>
  <c r="C659"/>
  <c r="D659" s="1"/>
  <c r="C667"/>
  <c r="D667" s="1"/>
  <c r="C675"/>
  <c r="D675" s="1"/>
  <c r="C350"/>
  <c r="D350" s="1"/>
  <c r="C342"/>
  <c r="D342" s="1"/>
  <c r="C334"/>
  <c r="D334" s="1"/>
  <c r="C326"/>
  <c r="D326" s="1"/>
  <c r="C318"/>
  <c r="D318" s="1"/>
  <c r="C310"/>
  <c r="D310" s="1"/>
  <c r="C302"/>
  <c r="D302" s="1"/>
  <c r="C69"/>
  <c r="D69" s="1"/>
  <c r="C82"/>
  <c r="D82" s="1"/>
  <c r="C78"/>
  <c r="D78" s="1"/>
  <c r="C94"/>
  <c r="D94" s="1"/>
  <c r="C100"/>
  <c r="D100" s="1"/>
  <c r="C97"/>
  <c r="D97" s="1"/>
  <c r="C79"/>
  <c r="D79" s="1"/>
  <c r="C74"/>
  <c r="D74" s="1"/>
  <c r="C73"/>
  <c r="D73" s="1"/>
  <c r="D250"/>
  <c r="D234"/>
  <c r="D208"/>
  <c r="D183"/>
  <c r="D186"/>
  <c r="D248"/>
  <c r="D285"/>
  <c r="D238"/>
  <c r="D222"/>
  <c r="D190"/>
  <c r="D107"/>
  <c r="D108"/>
  <c r="D271"/>
  <c r="D203"/>
  <c r="D279"/>
  <c r="D231"/>
  <c r="D276"/>
  <c r="D260"/>
  <c r="D197"/>
  <c r="D293"/>
  <c r="D205"/>
  <c r="D243"/>
  <c r="D116"/>
  <c r="D132"/>
  <c r="D104"/>
  <c r="D66"/>
  <c r="D150"/>
  <c r="D115"/>
  <c r="D241"/>
  <c r="D125"/>
  <c r="D141"/>
  <c r="D157"/>
  <c r="D122"/>
  <c r="D138"/>
  <c r="D154"/>
  <c r="D242"/>
  <c r="D170"/>
  <c r="D178"/>
  <c r="D194"/>
  <c r="D119"/>
  <c r="D143"/>
  <c r="D218"/>
  <c r="D171"/>
  <c r="D240"/>
  <c r="D232"/>
  <c r="D209"/>
  <c r="D177"/>
  <c r="D185"/>
  <c r="D172"/>
  <c r="D129"/>
  <c r="D145"/>
  <c r="D161"/>
  <c r="D169"/>
  <c r="D223"/>
  <c r="D226"/>
  <c r="D207"/>
  <c r="D135"/>
  <c r="D159"/>
  <c r="D128"/>
  <c r="D144"/>
  <c r="D160"/>
  <c r="D103"/>
  <c r="D121"/>
  <c r="D137"/>
  <c r="D153"/>
  <c r="D118"/>
  <c r="D126"/>
  <c r="D142"/>
  <c r="D158"/>
  <c r="D131"/>
  <c r="D151"/>
  <c r="D155"/>
  <c r="D124"/>
  <c r="D136"/>
  <c r="D140"/>
  <c r="D156"/>
  <c r="D2" l="1"/>
  <c r="B19" i="2" s="1"/>
  <c r="B24"/>
  <c r="B22" l="1"/>
  <c r="A50"/>
</calcChain>
</file>

<file path=xl/sharedStrings.xml><?xml version="1.0" encoding="utf-8"?>
<sst xmlns="http://schemas.openxmlformats.org/spreadsheetml/2006/main" count="52" uniqueCount="50">
  <si>
    <t xml:space="preserve">Peak No. </t>
  </si>
  <si>
    <t>BE / eV</t>
  </si>
  <si>
    <t>Height</t>
  </si>
  <si>
    <t>LFWHM / eV</t>
  </si>
  <si>
    <t>RFWHM / eV</t>
  </si>
  <si>
    <t>LGauss(1-0)</t>
  </si>
  <si>
    <t>RGauss(1-0)</t>
  </si>
  <si>
    <t>Area</t>
  </si>
  <si>
    <t>Lbackgrd</t>
  </si>
  <si>
    <t>Rbackgrd</t>
  </si>
  <si>
    <t>SlopeB</t>
  </si>
  <si>
    <t>Sum (Fit) =</t>
  </si>
  <si>
    <t>Sum (Expt) =</t>
  </si>
  <si>
    <t>Error</t>
  </si>
  <si>
    <t>No.of Points</t>
  </si>
  <si>
    <t>RMS</t>
  </si>
  <si>
    <t>L_Lwidth</t>
  </si>
  <si>
    <t>L_Gwidth</t>
  </si>
  <si>
    <t>R_Lwidth</t>
  </si>
  <si>
    <t>R_Gwidth</t>
  </si>
  <si>
    <t>ScreenUpdating :</t>
  </si>
  <si>
    <t>Solver Parameters :</t>
  </si>
  <si>
    <t>Parameters used in multiple calculations.</t>
  </si>
  <si>
    <t>MIN(Data!A:A)</t>
  </si>
  <si>
    <t>Fit</t>
  </si>
  <si>
    <r>
      <t>D</t>
    </r>
    <r>
      <rPr>
        <vertAlign val="superscript"/>
        <sz val="10"/>
        <rFont val="Arial"/>
        <family val="2"/>
      </rPr>
      <t>2</t>
    </r>
  </si>
  <si>
    <t>Lin.Bkgrd</t>
  </si>
  <si>
    <t>Peak 1</t>
  </si>
  <si>
    <t>Peak 2</t>
  </si>
  <si>
    <t>Peak 3</t>
  </si>
  <si>
    <t>Peak 4</t>
  </si>
  <si>
    <t>Peak 5</t>
  </si>
  <si>
    <t>Peak 6</t>
  </si>
  <si>
    <t>Peak 7</t>
  </si>
  <si>
    <t>Peak 8</t>
  </si>
  <si>
    <t>Peak 9</t>
  </si>
  <si>
    <t>Peak 10</t>
  </si>
  <si>
    <t>Sh.Bkg.</t>
  </si>
  <si>
    <t>Data-Sh.Bkg.</t>
  </si>
  <si>
    <t>Iterations</t>
  </si>
  <si>
    <t>Test Data</t>
  </si>
  <si>
    <t>Calculation &amp; Contol Parameters (do not alter).</t>
  </si>
  <si>
    <t>x(i)-Sig1</t>
  </si>
  <si>
    <t>Vert. Pixel</t>
  </si>
  <si>
    <t>imverted multi pk</t>
  </si>
  <si>
    <t>Full exponential</t>
  </si>
  <si>
    <t>correlation</t>
  </si>
  <si>
    <t>http://www.chem.qmul.ac.uk/software/eXPFit.htm</t>
  </si>
  <si>
    <t>see the link below for the software and doc package.</t>
  </si>
  <si>
    <t>Position</t>
  </si>
</sst>
</file>

<file path=xl/styles.xml><?xml version="1.0" encoding="utf-8"?>
<styleSheet xmlns="http://schemas.openxmlformats.org/spreadsheetml/2006/main">
  <numFmts count="5">
    <numFmt numFmtId="164" formatCode="0.0"/>
    <numFmt numFmtId="165" formatCode="0.000"/>
    <numFmt numFmtId="166" formatCode="0.0000"/>
    <numFmt numFmtId="167" formatCode="0.00000"/>
    <numFmt numFmtId="168" formatCode="0.0000000"/>
  </numFmts>
  <fonts count="16">
    <font>
      <sz val="10"/>
      <name val="Arial"/>
    </font>
    <font>
      <sz val="10"/>
      <name val="Arial"/>
      <family val="2"/>
    </font>
    <font>
      <sz val="10"/>
      <name val="Arial"/>
      <family val="2"/>
    </font>
    <font>
      <sz val="10"/>
      <name val="Arial"/>
      <family val="2"/>
    </font>
    <font>
      <sz val="10"/>
      <name val="Arial"/>
      <family val="2"/>
    </font>
    <font>
      <sz val="10"/>
      <color theme="1"/>
      <name val="Arial"/>
      <family val="2"/>
    </font>
    <font>
      <sz val="10"/>
      <name val="Arial"/>
      <family val="2"/>
    </font>
    <font>
      <vertAlign val="superscript"/>
      <sz val="10"/>
      <name val="Arial"/>
      <family val="2"/>
    </font>
    <font>
      <sz val="10"/>
      <name val="Symbol"/>
      <family val="1"/>
      <charset val="2"/>
    </font>
    <font>
      <b/>
      <sz val="10"/>
      <color indexed="10"/>
      <name val="Arial"/>
      <family val="2"/>
    </font>
    <font>
      <b/>
      <sz val="10"/>
      <name val="Arial"/>
      <family val="2"/>
    </font>
    <font>
      <b/>
      <sz val="10"/>
      <color theme="1"/>
      <name val="Arial"/>
      <family val="2"/>
    </font>
    <font>
      <sz val="10"/>
      <color rgb="FF000000"/>
      <name val="Arial"/>
      <family val="2"/>
    </font>
    <font>
      <sz val="10"/>
      <color rgb="FFC00000"/>
      <name val="Arial"/>
      <family val="2"/>
    </font>
    <font>
      <sz val="8"/>
      <color rgb="FF333333"/>
      <name val="Courier New"/>
      <family val="3"/>
    </font>
    <font>
      <u/>
      <sz val="10"/>
      <color theme="10"/>
      <name val="Arial"/>
      <family val="2"/>
    </font>
  </fonts>
  <fills count="4">
    <fill>
      <patternFill patternType="none"/>
    </fill>
    <fill>
      <patternFill patternType="gray125"/>
    </fill>
    <fill>
      <patternFill patternType="solid">
        <fgColor indexed="26"/>
        <bgColor indexed="64"/>
      </patternFill>
    </fill>
    <fill>
      <patternFill patternType="solid">
        <fgColor indexed="47"/>
        <bgColor indexed="64"/>
      </patternFill>
    </fill>
  </fills>
  <borders count="1">
    <border>
      <left/>
      <right/>
      <top/>
      <bottom/>
      <diagonal/>
    </border>
  </borders>
  <cellStyleXfs count="3">
    <xf numFmtId="0" fontId="0" fillId="0" borderId="0"/>
    <xf numFmtId="0" fontId="5" fillId="0" borderId="0"/>
    <xf numFmtId="0" fontId="15" fillId="0" borderId="0" applyNumberFormat="0" applyFill="0" applyBorder="0" applyAlignment="0" applyProtection="0">
      <alignment vertical="top"/>
      <protection locked="0"/>
    </xf>
  </cellStyleXfs>
  <cellXfs count="40">
    <xf numFmtId="0" fontId="0" fillId="0" borderId="0" xfId="0"/>
    <xf numFmtId="2" fontId="0" fillId="0" borderId="0" xfId="0" applyNumberFormat="1"/>
    <xf numFmtId="0" fontId="0" fillId="0" borderId="0" xfId="0" applyAlignment="1">
      <alignment horizontal="center"/>
    </xf>
    <xf numFmtId="1" fontId="0" fillId="0" borderId="0" xfId="0" applyNumberFormat="1"/>
    <xf numFmtId="1" fontId="8" fillId="0" borderId="0" xfId="0" applyNumberFormat="1" applyFont="1" applyAlignment="1">
      <alignment horizontal="center"/>
    </xf>
    <xf numFmtId="11" fontId="0" fillId="0" borderId="0" xfId="0" applyNumberFormat="1"/>
    <xf numFmtId="1" fontId="0" fillId="2" borderId="0" xfId="0" applyNumberFormat="1" applyFill="1"/>
    <xf numFmtId="166" fontId="0" fillId="0" borderId="0" xfId="0" applyNumberFormat="1"/>
    <xf numFmtId="0" fontId="0" fillId="0" borderId="0" xfId="0" applyFill="1"/>
    <xf numFmtId="166" fontId="0" fillId="0" borderId="0" xfId="0" applyNumberFormat="1" applyFill="1"/>
    <xf numFmtId="1" fontId="0" fillId="0" borderId="0" xfId="0" applyNumberFormat="1" applyFill="1"/>
    <xf numFmtId="11" fontId="0" fillId="0" borderId="0" xfId="0" applyNumberFormat="1" applyFill="1"/>
    <xf numFmtId="2" fontId="0" fillId="0" borderId="0" xfId="0" applyNumberFormat="1" applyFill="1"/>
    <xf numFmtId="164" fontId="0" fillId="0" borderId="0" xfId="0" applyNumberFormat="1" applyAlignment="1">
      <alignment horizontal="center"/>
    </xf>
    <xf numFmtId="1" fontId="0" fillId="0" borderId="0" xfId="0" applyNumberFormat="1" applyAlignment="1">
      <alignment horizontal="center"/>
    </xf>
    <xf numFmtId="2" fontId="0" fillId="3" borderId="0" xfId="0" applyNumberFormat="1" applyFill="1"/>
    <xf numFmtId="1" fontId="0" fillId="3" borderId="0" xfId="0" applyNumberFormat="1" applyFill="1"/>
    <xf numFmtId="165" fontId="0" fillId="3" borderId="0" xfId="0" applyNumberFormat="1" applyFill="1"/>
    <xf numFmtId="2" fontId="0" fillId="2" borderId="0" xfId="0" applyNumberFormat="1" applyFill="1"/>
    <xf numFmtId="165" fontId="0" fillId="2" borderId="0" xfId="0" applyNumberFormat="1" applyFill="1"/>
    <xf numFmtId="165" fontId="0" fillId="0" borderId="0" xfId="0" applyNumberFormat="1"/>
    <xf numFmtId="0" fontId="10" fillId="0" borderId="0" xfId="0" applyFont="1"/>
    <xf numFmtId="0" fontId="5" fillId="0" borderId="0" xfId="1"/>
    <xf numFmtId="0" fontId="6" fillId="0" borderId="0" xfId="1" applyFont="1"/>
    <xf numFmtId="0" fontId="11" fillId="0" borderId="0" xfId="1" applyFont="1" applyAlignment="1">
      <alignment wrapText="1"/>
    </xf>
    <xf numFmtId="0" fontId="13" fillId="0" borderId="0" xfId="1" applyFont="1"/>
    <xf numFmtId="0" fontId="10" fillId="0" borderId="0" xfId="1" applyFont="1" applyAlignment="1">
      <alignment wrapText="1"/>
    </xf>
    <xf numFmtId="0" fontId="12" fillId="0" borderId="0" xfId="0" applyFont="1" applyAlignment="1">
      <alignment horizontal="left" indent="4"/>
    </xf>
    <xf numFmtId="0" fontId="14" fillId="0" borderId="0" xfId="1" quotePrefix="1" applyFont="1" applyAlignment="1">
      <alignment horizontal="left"/>
    </xf>
    <xf numFmtId="167" fontId="0" fillId="0" borderId="0" xfId="0" applyNumberFormat="1"/>
    <xf numFmtId="166" fontId="0" fillId="0" borderId="0" xfId="0" applyNumberFormat="1" applyAlignment="1">
      <alignment horizontal="center"/>
    </xf>
    <xf numFmtId="0" fontId="4" fillId="0" borderId="0" xfId="0" applyFont="1"/>
    <xf numFmtId="166" fontId="9" fillId="0" borderId="0" xfId="0" applyNumberFormat="1" applyFont="1" applyFill="1"/>
    <xf numFmtId="0" fontId="0" fillId="0" borderId="0" xfId="0" applyFont="1" applyFill="1"/>
    <xf numFmtId="0" fontId="3" fillId="0" borderId="0" xfId="0" applyFont="1"/>
    <xf numFmtId="168" fontId="0" fillId="0" borderId="0" xfId="0" applyNumberFormat="1" applyFill="1"/>
    <xf numFmtId="0" fontId="2" fillId="0" borderId="0" xfId="0" applyFont="1"/>
    <xf numFmtId="0" fontId="15" fillId="0" borderId="0" xfId="2" applyAlignment="1" applyProtection="1"/>
    <xf numFmtId="0" fontId="1" fillId="0" borderId="0" xfId="0" applyFont="1" applyFill="1"/>
    <xf numFmtId="165" fontId="1" fillId="0" borderId="0" xfId="0" applyNumberFormat="1" applyFont="1"/>
  </cellXfs>
  <cellStyles count="3">
    <cellStyle name="Hyperlink" xfId="2" builtinId="8"/>
    <cellStyle name="Normal" xfId="0" builtinId="0"/>
    <cellStyle name="Normal 2" xfId="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6.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hartsheet" Target="chartsheets/sheet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sharedStrings" Target="sharedStrings.xml"/><Relationship Id="rId5" Type="http://schemas.openxmlformats.org/officeDocument/2006/relationships/chartsheet" Target="chartsheets/sheet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9.3750000000000555E-2"/>
          <c:y val="3.9215686274509803E-2"/>
          <c:w val="0.7578125"/>
          <c:h val="0.87114845938375685"/>
        </c:manualLayout>
      </c:layout>
      <c:scatterChart>
        <c:scatterStyle val="smoothMarker"/>
        <c:ser>
          <c:idx val="1"/>
          <c:order val="0"/>
          <c:tx>
            <c:strRef>
              <c:f>Data!$B$1</c:f>
              <c:strCache>
                <c:ptCount val="1"/>
                <c:pt idx="0">
                  <c:v>Test Data</c:v>
                </c:pt>
              </c:strCache>
            </c:strRef>
          </c:tx>
          <c:spPr>
            <a:ln w="3175">
              <a:solidFill>
                <a:srgbClr val="FF0000"/>
              </a:solidFill>
              <a:prstDash val="solid"/>
            </a:ln>
          </c:spPr>
          <c:marker>
            <c:symbol val="none"/>
          </c:marker>
          <c:xVal>
            <c:numRef>
              <c:f>Data!$A$2:$A$700</c:f>
              <c:numCache>
                <c:formatCode>0.000</c:formatCode>
                <c:ptCount val="699"/>
                <c:pt idx="0">
                  <c:v>1</c:v>
                </c:pt>
                <c:pt idx="1">
                  <c:v>3</c:v>
                </c:pt>
                <c:pt idx="2">
                  <c:v>5</c:v>
                </c:pt>
                <c:pt idx="3">
                  <c:v>7</c:v>
                </c:pt>
                <c:pt idx="4">
                  <c:v>9</c:v>
                </c:pt>
                <c:pt idx="5">
                  <c:v>11</c:v>
                </c:pt>
                <c:pt idx="6">
                  <c:v>13</c:v>
                </c:pt>
                <c:pt idx="7">
                  <c:v>15</c:v>
                </c:pt>
                <c:pt idx="8">
                  <c:v>17</c:v>
                </c:pt>
                <c:pt idx="9">
                  <c:v>19</c:v>
                </c:pt>
                <c:pt idx="10">
                  <c:v>21</c:v>
                </c:pt>
                <c:pt idx="11">
                  <c:v>23</c:v>
                </c:pt>
                <c:pt idx="12">
                  <c:v>25</c:v>
                </c:pt>
                <c:pt idx="13">
                  <c:v>27</c:v>
                </c:pt>
                <c:pt idx="14">
                  <c:v>29</c:v>
                </c:pt>
                <c:pt idx="15">
                  <c:v>31</c:v>
                </c:pt>
                <c:pt idx="16">
                  <c:v>33</c:v>
                </c:pt>
                <c:pt idx="17">
                  <c:v>35</c:v>
                </c:pt>
                <c:pt idx="18">
                  <c:v>37</c:v>
                </c:pt>
                <c:pt idx="19">
                  <c:v>39</c:v>
                </c:pt>
                <c:pt idx="20">
                  <c:v>41</c:v>
                </c:pt>
                <c:pt idx="21">
                  <c:v>43</c:v>
                </c:pt>
                <c:pt idx="22">
                  <c:v>45</c:v>
                </c:pt>
                <c:pt idx="23">
                  <c:v>47</c:v>
                </c:pt>
                <c:pt idx="24">
                  <c:v>49</c:v>
                </c:pt>
                <c:pt idx="25">
                  <c:v>51</c:v>
                </c:pt>
                <c:pt idx="26">
                  <c:v>53</c:v>
                </c:pt>
                <c:pt idx="27">
                  <c:v>55</c:v>
                </c:pt>
                <c:pt idx="28">
                  <c:v>57</c:v>
                </c:pt>
                <c:pt idx="29">
                  <c:v>59</c:v>
                </c:pt>
                <c:pt idx="30">
                  <c:v>61</c:v>
                </c:pt>
                <c:pt idx="31">
                  <c:v>63</c:v>
                </c:pt>
                <c:pt idx="32">
                  <c:v>65</c:v>
                </c:pt>
                <c:pt idx="33">
                  <c:v>67</c:v>
                </c:pt>
                <c:pt idx="34">
                  <c:v>69</c:v>
                </c:pt>
                <c:pt idx="35">
                  <c:v>71</c:v>
                </c:pt>
                <c:pt idx="36">
                  <c:v>73</c:v>
                </c:pt>
                <c:pt idx="37">
                  <c:v>75</c:v>
                </c:pt>
                <c:pt idx="38">
                  <c:v>77</c:v>
                </c:pt>
                <c:pt idx="39">
                  <c:v>79</c:v>
                </c:pt>
                <c:pt idx="40">
                  <c:v>81</c:v>
                </c:pt>
                <c:pt idx="41">
                  <c:v>83</c:v>
                </c:pt>
                <c:pt idx="42">
                  <c:v>85</c:v>
                </c:pt>
                <c:pt idx="43">
                  <c:v>87</c:v>
                </c:pt>
                <c:pt idx="44">
                  <c:v>89</c:v>
                </c:pt>
                <c:pt idx="45">
                  <c:v>91</c:v>
                </c:pt>
                <c:pt idx="46">
                  <c:v>93</c:v>
                </c:pt>
                <c:pt idx="47">
                  <c:v>95</c:v>
                </c:pt>
                <c:pt idx="48">
                  <c:v>97</c:v>
                </c:pt>
                <c:pt idx="49">
                  <c:v>99</c:v>
                </c:pt>
                <c:pt idx="50">
                  <c:v>101</c:v>
                </c:pt>
                <c:pt idx="51">
                  <c:v>103</c:v>
                </c:pt>
                <c:pt idx="52">
                  <c:v>105</c:v>
                </c:pt>
                <c:pt idx="53">
                  <c:v>107</c:v>
                </c:pt>
                <c:pt idx="54">
                  <c:v>109</c:v>
                </c:pt>
                <c:pt idx="55">
                  <c:v>111</c:v>
                </c:pt>
                <c:pt idx="56">
                  <c:v>113</c:v>
                </c:pt>
                <c:pt idx="57">
                  <c:v>115</c:v>
                </c:pt>
                <c:pt idx="58">
                  <c:v>117</c:v>
                </c:pt>
                <c:pt idx="59">
                  <c:v>119</c:v>
                </c:pt>
                <c:pt idx="60">
                  <c:v>121</c:v>
                </c:pt>
                <c:pt idx="61">
                  <c:v>123</c:v>
                </c:pt>
                <c:pt idx="62">
                  <c:v>125</c:v>
                </c:pt>
                <c:pt idx="63">
                  <c:v>127</c:v>
                </c:pt>
                <c:pt idx="64">
                  <c:v>129</c:v>
                </c:pt>
                <c:pt idx="65">
                  <c:v>131</c:v>
                </c:pt>
                <c:pt idx="66">
                  <c:v>133</c:v>
                </c:pt>
                <c:pt idx="67">
                  <c:v>135</c:v>
                </c:pt>
                <c:pt idx="68">
                  <c:v>137</c:v>
                </c:pt>
                <c:pt idx="69">
                  <c:v>139</c:v>
                </c:pt>
                <c:pt idx="70">
                  <c:v>141</c:v>
                </c:pt>
                <c:pt idx="71">
                  <c:v>143</c:v>
                </c:pt>
                <c:pt idx="72">
                  <c:v>145</c:v>
                </c:pt>
                <c:pt idx="73">
                  <c:v>147</c:v>
                </c:pt>
                <c:pt idx="74">
                  <c:v>149</c:v>
                </c:pt>
                <c:pt idx="75">
                  <c:v>151</c:v>
                </c:pt>
                <c:pt idx="76">
                  <c:v>153</c:v>
                </c:pt>
                <c:pt idx="77">
                  <c:v>155</c:v>
                </c:pt>
                <c:pt idx="78">
                  <c:v>157</c:v>
                </c:pt>
                <c:pt idx="79">
                  <c:v>159</c:v>
                </c:pt>
                <c:pt idx="80">
                  <c:v>161</c:v>
                </c:pt>
                <c:pt idx="81">
                  <c:v>163</c:v>
                </c:pt>
                <c:pt idx="82">
                  <c:v>165</c:v>
                </c:pt>
                <c:pt idx="83">
                  <c:v>167</c:v>
                </c:pt>
                <c:pt idx="84">
                  <c:v>169</c:v>
                </c:pt>
                <c:pt idx="85">
                  <c:v>171</c:v>
                </c:pt>
                <c:pt idx="86">
                  <c:v>173</c:v>
                </c:pt>
                <c:pt idx="87">
                  <c:v>175</c:v>
                </c:pt>
                <c:pt idx="88">
                  <c:v>177</c:v>
                </c:pt>
                <c:pt idx="89">
                  <c:v>179</c:v>
                </c:pt>
                <c:pt idx="90">
                  <c:v>181</c:v>
                </c:pt>
                <c:pt idx="91">
                  <c:v>183</c:v>
                </c:pt>
                <c:pt idx="92">
                  <c:v>185</c:v>
                </c:pt>
                <c:pt idx="93">
                  <c:v>187</c:v>
                </c:pt>
                <c:pt idx="94">
                  <c:v>189</c:v>
                </c:pt>
                <c:pt idx="95">
                  <c:v>191</c:v>
                </c:pt>
                <c:pt idx="96">
                  <c:v>193</c:v>
                </c:pt>
                <c:pt idx="97">
                  <c:v>195</c:v>
                </c:pt>
                <c:pt idx="98">
                  <c:v>197</c:v>
                </c:pt>
                <c:pt idx="99">
                  <c:v>199</c:v>
                </c:pt>
                <c:pt idx="100">
                  <c:v>201</c:v>
                </c:pt>
                <c:pt idx="101">
                  <c:v>203</c:v>
                </c:pt>
                <c:pt idx="102">
                  <c:v>205</c:v>
                </c:pt>
                <c:pt idx="103">
                  <c:v>207</c:v>
                </c:pt>
                <c:pt idx="104">
                  <c:v>209</c:v>
                </c:pt>
                <c:pt idx="105">
                  <c:v>211</c:v>
                </c:pt>
                <c:pt idx="106">
                  <c:v>213</c:v>
                </c:pt>
                <c:pt idx="107">
                  <c:v>215</c:v>
                </c:pt>
                <c:pt idx="108">
                  <c:v>217</c:v>
                </c:pt>
                <c:pt idx="109">
                  <c:v>219</c:v>
                </c:pt>
                <c:pt idx="110">
                  <c:v>221</c:v>
                </c:pt>
                <c:pt idx="111">
                  <c:v>223</c:v>
                </c:pt>
                <c:pt idx="112">
                  <c:v>225</c:v>
                </c:pt>
                <c:pt idx="113">
                  <c:v>227</c:v>
                </c:pt>
                <c:pt idx="114">
                  <c:v>229</c:v>
                </c:pt>
                <c:pt idx="115">
                  <c:v>231</c:v>
                </c:pt>
                <c:pt idx="116">
                  <c:v>233</c:v>
                </c:pt>
                <c:pt idx="117">
                  <c:v>235</c:v>
                </c:pt>
                <c:pt idx="118">
                  <c:v>237</c:v>
                </c:pt>
                <c:pt idx="119">
                  <c:v>239</c:v>
                </c:pt>
                <c:pt idx="120">
                  <c:v>241</c:v>
                </c:pt>
                <c:pt idx="121">
                  <c:v>243</c:v>
                </c:pt>
                <c:pt idx="122">
                  <c:v>245</c:v>
                </c:pt>
                <c:pt idx="123">
                  <c:v>247</c:v>
                </c:pt>
                <c:pt idx="124">
                  <c:v>249</c:v>
                </c:pt>
                <c:pt idx="125">
                  <c:v>251</c:v>
                </c:pt>
                <c:pt idx="126">
                  <c:v>253</c:v>
                </c:pt>
                <c:pt idx="127">
                  <c:v>255</c:v>
                </c:pt>
                <c:pt idx="128">
                  <c:v>257</c:v>
                </c:pt>
                <c:pt idx="129">
                  <c:v>259</c:v>
                </c:pt>
                <c:pt idx="130">
                  <c:v>261</c:v>
                </c:pt>
                <c:pt idx="131">
                  <c:v>263</c:v>
                </c:pt>
                <c:pt idx="132">
                  <c:v>265</c:v>
                </c:pt>
                <c:pt idx="133">
                  <c:v>267</c:v>
                </c:pt>
                <c:pt idx="134">
                  <c:v>269</c:v>
                </c:pt>
                <c:pt idx="135">
                  <c:v>271</c:v>
                </c:pt>
                <c:pt idx="136">
                  <c:v>273</c:v>
                </c:pt>
                <c:pt idx="137">
                  <c:v>275</c:v>
                </c:pt>
                <c:pt idx="138">
                  <c:v>277</c:v>
                </c:pt>
                <c:pt idx="139">
                  <c:v>279</c:v>
                </c:pt>
                <c:pt idx="140">
                  <c:v>281</c:v>
                </c:pt>
                <c:pt idx="141">
                  <c:v>283</c:v>
                </c:pt>
                <c:pt idx="142">
                  <c:v>285</c:v>
                </c:pt>
                <c:pt idx="143">
                  <c:v>287</c:v>
                </c:pt>
                <c:pt idx="144">
                  <c:v>289</c:v>
                </c:pt>
                <c:pt idx="145">
                  <c:v>291</c:v>
                </c:pt>
                <c:pt idx="146">
                  <c:v>293</c:v>
                </c:pt>
                <c:pt idx="147">
                  <c:v>295</c:v>
                </c:pt>
                <c:pt idx="148">
                  <c:v>297</c:v>
                </c:pt>
                <c:pt idx="149">
                  <c:v>299</c:v>
                </c:pt>
                <c:pt idx="150">
                  <c:v>301</c:v>
                </c:pt>
                <c:pt idx="151">
                  <c:v>303</c:v>
                </c:pt>
                <c:pt idx="152">
                  <c:v>305</c:v>
                </c:pt>
                <c:pt idx="153">
                  <c:v>307</c:v>
                </c:pt>
                <c:pt idx="154">
                  <c:v>309</c:v>
                </c:pt>
                <c:pt idx="155">
                  <c:v>311</c:v>
                </c:pt>
                <c:pt idx="156">
                  <c:v>313</c:v>
                </c:pt>
                <c:pt idx="157">
                  <c:v>315</c:v>
                </c:pt>
                <c:pt idx="158">
                  <c:v>317</c:v>
                </c:pt>
                <c:pt idx="159">
                  <c:v>319</c:v>
                </c:pt>
                <c:pt idx="160">
                  <c:v>321</c:v>
                </c:pt>
                <c:pt idx="161">
                  <c:v>323</c:v>
                </c:pt>
                <c:pt idx="162">
                  <c:v>325</c:v>
                </c:pt>
                <c:pt idx="163">
                  <c:v>327</c:v>
                </c:pt>
                <c:pt idx="164">
                  <c:v>329</c:v>
                </c:pt>
                <c:pt idx="165">
                  <c:v>331</c:v>
                </c:pt>
                <c:pt idx="166">
                  <c:v>333</c:v>
                </c:pt>
                <c:pt idx="167">
                  <c:v>335</c:v>
                </c:pt>
                <c:pt idx="168">
                  <c:v>337</c:v>
                </c:pt>
                <c:pt idx="169">
                  <c:v>339</c:v>
                </c:pt>
                <c:pt idx="170">
                  <c:v>341</c:v>
                </c:pt>
                <c:pt idx="171">
                  <c:v>343</c:v>
                </c:pt>
                <c:pt idx="172">
                  <c:v>345</c:v>
                </c:pt>
                <c:pt idx="173">
                  <c:v>347</c:v>
                </c:pt>
                <c:pt idx="174">
                  <c:v>349</c:v>
                </c:pt>
                <c:pt idx="175">
                  <c:v>351</c:v>
                </c:pt>
                <c:pt idx="176">
                  <c:v>353</c:v>
                </c:pt>
                <c:pt idx="177">
                  <c:v>355</c:v>
                </c:pt>
                <c:pt idx="178">
                  <c:v>357</c:v>
                </c:pt>
                <c:pt idx="179">
                  <c:v>359</c:v>
                </c:pt>
                <c:pt idx="180">
                  <c:v>361</c:v>
                </c:pt>
                <c:pt idx="181">
                  <c:v>363</c:v>
                </c:pt>
                <c:pt idx="182">
                  <c:v>365</c:v>
                </c:pt>
                <c:pt idx="183">
                  <c:v>367</c:v>
                </c:pt>
                <c:pt idx="184">
                  <c:v>369</c:v>
                </c:pt>
                <c:pt idx="185">
                  <c:v>371</c:v>
                </c:pt>
                <c:pt idx="186">
                  <c:v>373</c:v>
                </c:pt>
                <c:pt idx="187">
                  <c:v>375</c:v>
                </c:pt>
                <c:pt idx="188">
                  <c:v>377</c:v>
                </c:pt>
                <c:pt idx="189">
                  <c:v>379</c:v>
                </c:pt>
                <c:pt idx="190">
                  <c:v>381</c:v>
                </c:pt>
                <c:pt idx="191">
                  <c:v>383</c:v>
                </c:pt>
                <c:pt idx="192">
                  <c:v>385</c:v>
                </c:pt>
                <c:pt idx="193">
                  <c:v>387</c:v>
                </c:pt>
                <c:pt idx="194">
                  <c:v>389</c:v>
                </c:pt>
                <c:pt idx="195">
                  <c:v>391</c:v>
                </c:pt>
                <c:pt idx="196">
                  <c:v>393</c:v>
                </c:pt>
                <c:pt idx="197">
                  <c:v>395</c:v>
                </c:pt>
                <c:pt idx="198">
                  <c:v>397</c:v>
                </c:pt>
                <c:pt idx="199">
                  <c:v>399</c:v>
                </c:pt>
                <c:pt idx="200">
                  <c:v>401</c:v>
                </c:pt>
                <c:pt idx="201">
                  <c:v>403</c:v>
                </c:pt>
                <c:pt idx="202">
                  <c:v>405</c:v>
                </c:pt>
                <c:pt idx="203">
                  <c:v>407</c:v>
                </c:pt>
                <c:pt idx="204">
                  <c:v>409</c:v>
                </c:pt>
                <c:pt idx="205">
                  <c:v>411</c:v>
                </c:pt>
                <c:pt idx="206">
                  <c:v>413</c:v>
                </c:pt>
                <c:pt idx="207">
                  <c:v>415</c:v>
                </c:pt>
                <c:pt idx="208">
                  <c:v>417</c:v>
                </c:pt>
                <c:pt idx="209">
                  <c:v>419</c:v>
                </c:pt>
                <c:pt idx="210">
                  <c:v>421</c:v>
                </c:pt>
                <c:pt idx="211">
                  <c:v>423</c:v>
                </c:pt>
                <c:pt idx="212">
                  <c:v>425</c:v>
                </c:pt>
                <c:pt idx="213">
                  <c:v>427</c:v>
                </c:pt>
                <c:pt idx="214">
                  <c:v>429</c:v>
                </c:pt>
                <c:pt idx="215">
                  <c:v>431</c:v>
                </c:pt>
                <c:pt idx="216">
                  <c:v>433</c:v>
                </c:pt>
                <c:pt idx="217">
                  <c:v>435</c:v>
                </c:pt>
                <c:pt idx="218">
                  <c:v>437</c:v>
                </c:pt>
                <c:pt idx="219">
                  <c:v>439</c:v>
                </c:pt>
                <c:pt idx="220">
                  <c:v>441</c:v>
                </c:pt>
                <c:pt idx="221">
                  <c:v>443</c:v>
                </c:pt>
                <c:pt idx="222">
                  <c:v>445</c:v>
                </c:pt>
                <c:pt idx="223">
                  <c:v>447</c:v>
                </c:pt>
                <c:pt idx="224">
                  <c:v>449</c:v>
                </c:pt>
                <c:pt idx="225">
                  <c:v>451</c:v>
                </c:pt>
                <c:pt idx="226">
                  <c:v>453</c:v>
                </c:pt>
                <c:pt idx="227">
                  <c:v>455</c:v>
                </c:pt>
                <c:pt idx="228">
                  <c:v>457</c:v>
                </c:pt>
                <c:pt idx="229">
                  <c:v>459</c:v>
                </c:pt>
                <c:pt idx="230">
                  <c:v>461</c:v>
                </c:pt>
                <c:pt idx="231">
                  <c:v>463</c:v>
                </c:pt>
                <c:pt idx="232">
                  <c:v>465</c:v>
                </c:pt>
                <c:pt idx="233">
                  <c:v>467</c:v>
                </c:pt>
                <c:pt idx="234">
                  <c:v>469</c:v>
                </c:pt>
                <c:pt idx="235">
                  <c:v>471</c:v>
                </c:pt>
                <c:pt idx="236">
                  <c:v>473</c:v>
                </c:pt>
                <c:pt idx="237">
                  <c:v>475</c:v>
                </c:pt>
                <c:pt idx="238">
                  <c:v>477</c:v>
                </c:pt>
                <c:pt idx="239">
                  <c:v>479</c:v>
                </c:pt>
                <c:pt idx="240">
                  <c:v>481</c:v>
                </c:pt>
                <c:pt idx="241">
                  <c:v>483</c:v>
                </c:pt>
                <c:pt idx="242">
                  <c:v>485</c:v>
                </c:pt>
                <c:pt idx="243">
                  <c:v>487</c:v>
                </c:pt>
                <c:pt idx="244">
                  <c:v>489</c:v>
                </c:pt>
                <c:pt idx="245">
                  <c:v>491</c:v>
                </c:pt>
                <c:pt idx="246">
                  <c:v>493</c:v>
                </c:pt>
                <c:pt idx="247">
                  <c:v>495</c:v>
                </c:pt>
                <c:pt idx="248">
                  <c:v>497</c:v>
                </c:pt>
                <c:pt idx="249">
                  <c:v>499</c:v>
                </c:pt>
                <c:pt idx="250">
                  <c:v>501</c:v>
                </c:pt>
                <c:pt idx="251">
                  <c:v>503</c:v>
                </c:pt>
                <c:pt idx="252">
                  <c:v>505</c:v>
                </c:pt>
                <c:pt idx="253">
                  <c:v>507</c:v>
                </c:pt>
                <c:pt idx="254">
                  <c:v>509</c:v>
                </c:pt>
                <c:pt idx="255">
                  <c:v>511</c:v>
                </c:pt>
                <c:pt idx="256">
                  <c:v>513</c:v>
                </c:pt>
                <c:pt idx="257">
                  <c:v>515</c:v>
                </c:pt>
                <c:pt idx="258">
                  <c:v>517</c:v>
                </c:pt>
                <c:pt idx="259">
                  <c:v>519</c:v>
                </c:pt>
                <c:pt idx="260">
                  <c:v>521</c:v>
                </c:pt>
                <c:pt idx="261">
                  <c:v>523</c:v>
                </c:pt>
                <c:pt idx="262">
                  <c:v>525</c:v>
                </c:pt>
                <c:pt idx="263">
                  <c:v>527</c:v>
                </c:pt>
                <c:pt idx="264">
                  <c:v>529</c:v>
                </c:pt>
                <c:pt idx="265">
                  <c:v>531</c:v>
                </c:pt>
                <c:pt idx="266">
                  <c:v>533</c:v>
                </c:pt>
                <c:pt idx="267">
                  <c:v>535</c:v>
                </c:pt>
                <c:pt idx="268">
                  <c:v>537</c:v>
                </c:pt>
                <c:pt idx="269">
                  <c:v>539</c:v>
                </c:pt>
                <c:pt idx="270">
                  <c:v>541</c:v>
                </c:pt>
                <c:pt idx="271">
                  <c:v>543</c:v>
                </c:pt>
                <c:pt idx="272">
                  <c:v>545</c:v>
                </c:pt>
                <c:pt idx="273">
                  <c:v>547</c:v>
                </c:pt>
                <c:pt idx="274">
                  <c:v>549</c:v>
                </c:pt>
                <c:pt idx="275">
                  <c:v>551</c:v>
                </c:pt>
                <c:pt idx="276">
                  <c:v>553</c:v>
                </c:pt>
                <c:pt idx="277">
                  <c:v>555</c:v>
                </c:pt>
                <c:pt idx="278">
                  <c:v>557</c:v>
                </c:pt>
                <c:pt idx="279">
                  <c:v>559</c:v>
                </c:pt>
                <c:pt idx="280">
                  <c:v>561</c:v>
                </c:pt>
                <c:pt idx="281">
                  <c:v>563</c:v>
                </c:pt>
                <c:pt idx="282">
                  <c:v>565</c:v>
                </c:pt>
                <c:pt idx="283">
                  <c:v>567</c:v>
                </c:pt>
                <c:pt idx="284">
                  <c:v>569</c:v>
                </c:pt>
                <c:pt idx="285">
                  <c:v>571</c:v>
                </c:pt>
                <c:pt idx="286">
                  <c:v>573</c:v>
                </c:pt>
                <c:pt idx="287">
                  <c:v>575</c:v>
                </c:pt>
                <c:pt idx="288">
                  <c:v>577</c:v>
                </c:pt>
                <c:pt idx="289">
                  <c:v>579</c:v>
                </c:pt>
                <c:pt idx="290">
                  <c:v>581</c:v>
                </c:pt>
                <c:pt idx="291">
                  <c:v>583</c:v>
                </c:pt>
                <c:pt idx="292">
                  <c:v>585</c:v>
                </c:pt>
                <c:pt idx="293">
                  <c:v>587</c:v>
                </c:pt>
                <c:pt idx="294">
                  <c:v>589</c:v>
                </c:pt>
                <c:pt idx="295">
                  <c:v>591</c:v>
                </c:pt>
                <c:pt idx="296">
                  <c:v>593</c:v>
                </c:pt>
                <c:pt idx="297">
                  <c:v>595</c:v>
                </c:pt>
                <c:pt idx="298">
                  <c:v>597</c:v>
                </c:pt>
                <c:pt idx="299">
                  <c:v>599</c:v>
                </c:pt>
                <c:pt idx="300">
                  <c:v>601</c:v>
                </c:pt>
                <c:pt idx="301">
                  <c:v>603</c:v>
                </c:pt>
                <c:pt idx="302">
                  <c:v>605</c:v>
                </c:pt>
                <c:pt idx="303">
                  <c:v>607</c:v>
                </c:pt>
                <c:pt idx="304">
                  <c:v>609</c:v>
                </c:pt>
                <c:pt idx="305">
                  <c:v>611</c:v>
                </c:pt>
                <c:pt idx="306">
                  <c:v>613</c:v>
                </c:pt>
                <c:pt idx="307">
                  <c:v>615</c:v>
                </c:pt>
                <c:pt idx="308">
                  <c:v>617</c:v>
                </c:pt>
                <c:pt idx="309">
                  <c:v>619</c:v>
                </c:pt>
                <c:pt idx="310">
                  <c:v>621</c:v>
                </c:pt>
                <c:pt idx="311">
                  <c:v>623</c:v>
                </c:pt>
                <c:pt idx="312">
                  <c:v>625</c:v>
                </c:pt>
                <c:pt idx="313">
                  <c:v>627</c:v>
                </c:pt>
                <c:pt idx="314">
                  <c:v>629</c:v>
                </c:pt>
                <c:pt idx="315">
                  <c:v>631</c:v>
                </c:pt>
                <c:pt idx="316">
                  <c:v>633</c:v>
                </c:pt>
                <c:pt idx="317">
                  <c:v>635</c:v>
                </c:pt>
                <c:pt idx="318">
                  <c:v>637</c:v>
                </c:pt>
                <c:pt idx="319">
                  <c:v>639</c:v>
                </c:pt>
                <c:pt idx="320">
                  <c:v>641</c:v>
                </c:pt>
                <c:pt idx="321">
                  <c:v>643</c:v>
                </c:pt>
                <c:pt idx="322">
                  <c:v>645</c:v>
                </c:pt>
                <c:pt idx="323">
                  <c:v>647</c:v>
                </c:pt>
                <c:pt idx="324">
                  <c:v>649</c:v>
                </c:pt>
                <c:pt idx="325">
                  <c:v>651</c:v>
                </c:pt>
                <c:pt idx="326">
                  <c:v>653</c:v>
                </c:pt>
                <c:pt idx="327">
                  <c:v>655</c:v>
                </c:pt>
                <c:pt idx="328">
                  <c:v>657</c:v>
                </c:pt>
                <c:pt idx="329">
                  <c:v>659</c:v>
                </c:pt>
                <c:pt idx="330">
                  <c:v>661</c:v>
                </c:pt>
                <c:pt idx="331">
                  <c:v>663</c:v>
                </c:pt>
                <c:pt idx="332">
                  <c:v>665</c:v>
                </c:pt>
                <c:pt idx="333">
                  <c:v>667</c:v>
                </c:pt>
                <c:pt idx="334">
                  <c:v>669</c:v>
                </c:pt>
                <c:pt idx="335">
                  <c:v>671</c:v>
                </c:pt>
                <c:pt idx="336">
                  <c:v>673</c:v>
                </c:pt>
                <c:pt idx="337">
                  <c:v>675</c:v>
                </c:pt>
                <c:pt idx="338">
                  <c:v>677</c:v>
                </c:pt>
                <c:pt idx="339">
                  <c:v>679</c:v>
                </c:pt>
                <c:pt idx="340">
                  <c:v>681</c:v>
                </c:pt>
                <c:pt idx="341">
                  <c:v>683</c:v>
                </c:pt>
                <c:pt idx="342">
                  <c:v>685</c:v>
                </c:pt>
                <c:pt idx="343">
                  <c:v>687</c:v>
                </c:pt>
                <c:pt idx="344">
                  <c:v>689</c:v>
                </c:pt>
                <c:pt idx="345">
                  <c:v>691</c:v>
                </c:pt>
                <c:pt idx="346">
                  <c:v>693</c:v>
                </c:pt>
                <c:pt idx="347">
                  <c:v>695</c:v>
                </c:pt>
                <c:pt idx="348">
                  <c:v>697</c:v>
                </c:pt>
                <c:pt idx="349">
                  <c:v>699</c:v>
                </c:pt>
                <c:pt idx="350">
                  <c:v>701</c:v>
                </c:pt>
                <c:pt idx="351">
                  <c:v>703</c:v>
                </c:pt>
                <c:pt idx="352">
                  <c:v>705</c:v>
                </c:pt>
                <c:pt idx="353">
                  <c:v>707</c:v>
                </c:pt>
                <c:pt idx="354">
                  <c:v>709</c:v>
                </c:pt>
                <c:pt idx="355">
                  <c:v>711</c:v>
                </c:pt>
                <c:pt idx="356">
                  <c:v>713</c:v>
                </c:pt>
                <c:pt idx="357">
                  <c:v>715</c:v>
                </c:pt>
                <c:pt idx="358">
                  <c:v>717</c:v>
                </c:pt>
                <c:pt idx="359">
                  <c:v>719</c:v>
                </c:pt>
                <c:pt idx="360">
                  <c:v>721</c:v>
                </c:pt>
                <c:pt idx="361">
                  <c:v>723</c:v>
                </c:pt>
                <c:pt idx="362">
                  <c:v>725</c:v>
                </c:pt>
                <c:pt idx="363">
                  <c:v>727</c:v>
                </c:pt>
                <c:pt idx="364">
                  <c:v>729</c:v>
                </c:pt>
                <c:pt idx="365">
                  <c:v>731</c:v>
                </c:pt>
                <c:pt idx="366">
                  <c:v>733</c:v>
                </c:pt>
                <c:pt idx="367">
                  <c:v>735</c:v>
                </c:pt>
                <c:pt idx="368">
                  <c:v>737</c:v>
                </c:pt>
                <c:pt idx="369">
                  <c:v>739</c:v>
                </c:pt>
                <c:pt idx="370">
                  <c:v>741</c:v>
                </c:pt>
                <c:pt idx="371">
                  <c:v>743</c:v>
                </c:pt>
                <c:pt idx="372">
                  <c:v>745</c:v>
                </c:pt>
                <c:pt idx="373">
                  <c:v>747</c:v>
                </c:pt>
                <c:pt idx="374">
                  <c:v>749</c:v>
                </c:pt>
                <c:pt idx="375">
                  <c:v>751</c:v>
                </c:pt>
                <c:pt idx="376">
                  <c:v>753</c:v>
                </c:pt>
                <c:pt idx="377">
                  <c:v>755</c:v>
                </c:pt>
                <c:pt idx="378">
                  <c:v>757</c:v>
                </c:pt>
                <c:pt idx="379">
                  <c:v>759</c:v>
                </c:pt>
                <c:pt idx="380">
                  <c:v>761</c:v>
                </c:pt>
                <c:pt idx="381">
                  <c:v>763</c:v>
                </c:pt>
                <c:pt idx="382">
                  <c:v>765</c:v>
                </c:pt>
                <c:pt idx="383">
                  <c:v>767</c:v>
                </c:pt>
                <c:pt idx="384">
                  <c:v>769</c:v>
                </c:pt>
                <c:pt idx="385">
                  <c:v>771</c:v>
                </c:pt>
                <c:pt idx="386">
                  <c:v>773</c:v>
                </c:pt>
                <c:pt idx="387">
                  <c:v>775</c:v>
                </c:pt>
                <c:pt idx="388">
                  <c:v>777</c:v>
                </c:pt>
                <c:pt idx="389">
                  <c:v>779</c:v>
                </c:pt>
                <c:pt idx="390">
                  <c:v>781</c:v>
                </c:pt>
                <c:pt idx="391">
                  <c:v>783</c:v>
                </c:pt>
                <c:pt idx="392">
                  <c:v>785</c:v>
                </c:pt>
                <c:pt idx="393">
                  <c:v>787</c:v>
                </c:pt>
                <c:pt idx="394">
                  <c:v>789</c:v>
                </c:pt>
                <c:pt idx="395">
                  <c:v>791</c:v>
                </c:pt>
                <c:pt idx="396">
                  <c:v>793</c:v>
                </c:pt>
                <c:pt idx="397">
                  <c:v>795</c:v>
                </c:pt>
                <c:pt idx="398">
                  <c:v>797</c:v>
                </c:pt>
                <c:pt idx="399">
                  <c:v>799</c:v>
                </c:pt>
                <c:pt idx="400">
                  <c:v>801</c:v>
                </c:pt>
                <c:pt idx="401">
                  <c:v>803</c:v>
                </c:pt>
                <c:pt idx="402">
                  <c:v>805</c:v>
                </c:pt>
                <c:pt idx="403">
                  <c:v>807</c:v>
                </c:pt>
                <c:pt idx="404">
                  <c:v>809</c:v>
                </c:pt>
                <c:pt idx="405">
                  <c:v>811</c:v>
                </c:pt>
                <c:pt idx="406">
                  <c:v>813</c:v>
                </c:pt>
                <c:pt idx="407">
                  <c:v>815</c:v>
                </c:pt>
                <c:pt idx="408">
                  <c:v>817</c:v>
                </c:pt>
                <c:pt idx="409">
                  <c:v>819</c:v>
                </c:pt>
                <c:pt idx="410">
                  <c:v>821</c:v>
                </c:pt>
                <c:pt idx="411">
                  <c:v>823</c:v>
                </c:pt>
                <c:pt idx="412">
                  <c:v>825</c:v>
                </c:pt>
                <c:pt idx="413">
                  <c:v>827</c:v>
                </c:pt>
                <c:pt idx="414">
                  <c:v>829</c:v>
                </c:pt>
                <c:pt idx="415">
                  <c:v>831</c:v>
                </c:pt>
                <c:pt idx="416">
                  <c:v>833</c:v>
                </c:pt>
                <c:pt idx="417">
                  <c:v>835</c:v>
                </c:pt>
                <c:pt idx="418">
                  <c:v>837</c:v>
                </c:pt>
                <c:pt idx="419">
                  <c:v>839</c:v>
                </c:pt>
                <c:pt idx="420">
                  <c:v>841</c:v>
                </c:pt>
                <c:pt idx="421">
                  <c:v>843</c:v>
                </c:pt>
                <c:pt idx="422">
                  <c:v>845</c:v>
                </c:pt>
                <c:pt idx="423">
                  <c:v>847</c:v>
                </c:pt>
                <c:pt idx="424">
                  <c:v>849</c:v>
                </c:pt>
                <c:pt idx="425">
                  <c:v>851</c:v>
                </c:pt>
                <c:pt idx="426">
                  <c:v>853</c:v>
                </c:pt>
                <c:pt idx="427">
                  <c:v>855</c:v>
                </c:pt>
                <c:pt idx="428">
                  <c:v>857</c:v>
                </c:pt>
                <c:pt idx="429">
                  <c:v>859</c:v>
                </c:pt>
                <c:pt idx="430">
                  <c:v>861</c:v>
                </c:pt>
                <c:pt idx="431">
                  <c:v>863</c:v>
                </c:pt>
                <c:pt idx="432">
                  <c:v>865</c:v>
                </c:pt>
                <c:pt idx="433">
                  <c:v>867</c:v>
                </c:pt>
                <c:pt idx="434">
                  <c:v>869</c:v>
                </c:pt>
                <c:pt idx="435">
                  <c:v>871</c:v>
                </c:pt>
                <c:pt idx="436">
                  <c:v>873</c:v>
                </c:pt>
                <c:pt idx="437">
                  <c:v>875</c:v>
                </c:pt>
                <c:pt idx="438">
                  <c:v>877</c:v>
                </c:pt>
                <c:pt idx="439">
                  <c:v>879</c:v>
                </c:pt>
                <c:pt idx="440">
                  <c:v>881</c:v>
                </c:pt>
                <c:pt idx="441">
                  <c:v>883</c:v>
                </c:pt>
                <c:pt idx="442">
                  <c:v>885</c:v>
                </c:pt>
                <c:pt idx="443">
                  <c:v>887</c:v>
                </c:pt>
                <c:pt idx="444">
                  <c:v>889</c:v>
                </c:pt>
                <c:pt idx="445">
                  <c:v>891</c:v>
                </c:pt>
                <c:pt idx="446">
                  <c:v>893</c:v>
                </c:pt>
                <c:pt idx="447">
                  <c:v>895</c:v>
                </c:pt>
                <c:pt idx="448">
                  <c:v>897</c:v>
                </c:pt>
                <c:pt idx="449">
                  <c:v>899</c:v>
                </c:pt>
                <c:pt idx="450">
                  <c:v>901</c:v>
                </c:pt>
                <c:pt idx="451">
                  <c:v>903</c:v>
                </c:pt>
                <c:pt idx="452">
                  <c:v>905</c:v>
                </c:pt>
                <c:pt idx="453">
                  <c:v>907</c:v>
                </c:pt>
                <c:pt idx="454">
                  <c:v>909</c:v>
                </c:pt>
                <c:pt idx="455">
                  <c:v>911</c:v>
                </c:pt>
                <c:pt idx="456">
                  <c:v>913</c:v>
                </c:pt>
                <c:pt idx="457">
                  <c:v>915</c:v>
                </c:pt>
                <c:pt idx="458">
                  <c:v>917</c:v>
                </c:pt>
                <c:pt idx="459">
                  <c:v>919</c:v>
                </c:pt>
                <c:pt idx="460">
                  <c:v>921</c:v>
                </c:pt>
                <c:pt idx="461">
                  <c:v>923</c:v>
                </c:pt>
                <c:pt idx="462">
                  <c:v>925</c:v>
                </c:pt>
                <c:pt idx="463">
                  <c:v>927</c:v>
                </c:pt>
                <c:pt idx="464">
                  <c:v>929</c:v>
                </c:pt>
                <c:pt idx="465">
                  <c:v>931</c:v>
                </c:pt>
                <c:pt idx="466">
                  <c:v>933</c:v>
                </c:pt>
                <c:pt idx="467">
                  <c:v>935</c:v>
                </c:pt>
                <c:pt idx="468">
                  <c:v>937</c:v>
                </c:pt>
                <c:pt idx="469">
                  <c:v>939</c:v>
                </c:pt>
                <c:pt idx="470">
                  <c:v>941</c:v>
                </c:pt>
                <c:pt idx="471">
                  <c:v>943</c:v>
                </c:pt>
                <c:pt idx="472">
                  <c:v>945</c:v>
                </c:pt>
                <c:pt idx="473">
                  <c:v>947</c:v>
                </c:pt>
                <c:pt idx="474">
                  <c:v>949</c:v>
                </c:pt>
                <c:pt idx="475">
                  <c:v>951</c:v>
                </c:pt>
                <c:pt idx="476">
                  <c:v>953</c:v>
                </c:pt>
                <c:pt idx="477">
                  <c:v>955</c:v>
                </c:pt>
                <c:pt idx="478">
                  <c:v>957</c:v>
                </c:pt>
                <c:pt idx="479">
                  <c:v>959</c:v>
                </c:pt>
                <c:pt idx="480">
                  <c:v>961</c:v>
                </c:pt>
                <c:pt idx="481">
                  <c:v>963</c:v>
                </c:pt>
                <c:pt idx="482">
                  <c:v>965</c:v>
                </c:pt>
                <c:pt idx="483">
                  <c:v>967</c:v>
                </c:pt>
                <c:pt idx="484">
                  <c:v>969</c:v>
                </c:pt>
                <c:pt idx="485">
                  <c:v>971</c:v>
                </c:pt>
                <c:pt idx="486">
                  <c:v>973</c:v>
                </c:pt>
                <c:pt idx="487">
                  <c:v>975</c:v>
                </c:pt>
                <c:pt idx="488">
                  <c:v>977</c:v>
                </c:pt>
                <c:pt idx="489">
                  <c:v>979</c:v>
                </c:pt>
                <c:pt idx="490">
                  <c:v>981</c:v>
                </c:pt>
                <c:pt idx="491">
                  <c:v>983</c:v>
                </c:pt>
                <c:pt idx="492">
                  <c:v>985</c:v>
                </c:pt>
                <c:pt idx="493">
                  <c:v>987</c:v>
                </c:pt>
                <c:pt idx="494">
                  <c:v>989</c:v>
                </c:pt>
                <c:pt idx="495">
                  <c:v>991</c:v>
                </c:pt>
                <c:pt idx="496">
                  <c:v>993</c:v>
                </c:pt>
                <c:pt idx="497">
                  <c:v>995</c:v>
                </c:pt>
                <c:pt idx="498">
                  <c:v>997</c:v>
                </c:pt>
                <c:pt idx="499">
                  <c:v>999</c:v>
                </c:pt>
                <c:pt idx="500">
                  <c:v>1001</c:v>
                </c:pt>
                <c:pt idx="501">
                  <c:v>1003</c:v>
                </c:pt>
                <c:pt idx="502">
                  <c:v>1005</c:v>
                </c:pt>
                <c:pt idx="503">
                  <c:v>1007</c:v>
                </c:pt>
                <c:pt idx="504">
                  <c:v>1009</c:v>
                </c:pt>
                <c:pt idx="505">
                  <c:v>1011</c:v>
                </c:pt>
                <c:pt idx="506">
                  <c:v>1013</c:v>
                </c:pt>
                <c:pt idx="507">
                  <c:v>1015</c:v>
                </c:pt>
                <c:pt idx="508">
                  <c:v>1017</c:v>
                </c:pt>
                <c:pt idx="509">
                  <c:v>1019</c:v>
                </c:pt>
                <c:pt idx="510">
                  <c:v>1021</c:v>
                </c:pt>
                <c:pt idx="511">
                  <c:v>1023</c:v>
                </c:pt>
                <c:pt idx="512">
                  <c:v>1025</c:v>
                </c:pt>
                <c:pt idx="513">
                  <c:v>1027</c:v>
                </c:pt>
                <c:pt idx="514">
                  <c:v>1029</c:v>
                </c:pt>
                <c:pt idx="515">
                  <c:v>1031</c:v>
                </c:pt>
                <c:pt idx="516">
                  <c:v>1033</c:v>
                </c:pt>
                <c:pt idx="517">
                  <c:v>1035</c:v>
                </c:pt>
                <c:pt idx="518">
                  <c:v>1037</c:v>
                </c:pt>
                <c:pt idx="519">
                  <c:v>1039</c:v>
                </c:pt>
                <c:pt idx="520">
                  <c:v>1041</c:v>
                </c:pt>
                <c:pt idx="521">
                  <c:v>1043</c:v>
                </c:pt>
                <c:pt idx="522">
                  <c:v>1045</c:v>
                </c:pt>
                <c:pt idx="523">
                  <c:v>1047</c:v>
                </c:pt>
                <c:pt idx="524">
                  <c:v>1049</c:v>
                </c:pt>
                <c:pt idx="525">
                  <c:v>1051</c:v>
                </c:pt>
                <c:pt idx="526">
                  <c:v>1053</c:v>
                </c:pt>
                <c:pt idx="527">
                  <c:v>1055</c:v>
                </c:pt>
                <c:pt idx="528">
                  <c:v>1057</c:v>
                </c:pt>
                <c:pt idx="529">
                  <c:v>1059</c:v>
                </c:pt>
                <c:pt idx="530">
                  <c:v>1061</c:v>
                </c:pt>
                <c:pt idx="531">
                  <c:v>1063</c:v>
                </c:pt>
                <c:pt idx="532">
                  <c:v>1065</c:v>
                </c:pt>
                <c:pt idx="533">
                  <c:v>1067</c:v>
                </c:pt>
                <c:pt idx="534">
                  <c:v>1069</c:v>
                </c:pt>
                <c:pt idx="535">
                  <c:v>1071</c:v>
                </c:pt>
                <c:pt idx="536">
                  <c:v>1073</c:v>
                </c:pt>
                <c:pt idx="537">
                  <c:v>1075</c:v>
                </c:pt>
                <c:pt idx="538">
                  <c:v>1077</c:v>
                </c:pt>
                <c:pt idx="539">
                  <c:v>1079</c:v>
                </c:pt>
                <c:pt idx="540">
                  <c:v>1081</c:v>
                </c:pt>
                <c:pt idx="541">
                  <c:v>1083</c:v>
                </c:pt>
                <c:pt idx="542">
                  <c:v>1085</c:v>
                </c:pt>
                <c:pt idx="543">
                  <c:v>1087</c:v>
                </c:pt>
                <c:pt idx="544">
                  <c:v>1089</c:v>
                </c:pt>
                <c:pt idx="545">
                  <c:v>1091</c:v>
                </c:pt>
                <c:pt idx="546">
                  <c:v>1093</c:v>
                </c:pt>
                <c:pt idx="547">
                  <c:v>1095</c:v>
                </c:pt>
                <c:pt idx="548">
                  <c:v>1097</c:v>
                </c:pt>
                <c:pt idx="549">
                  <c:v>1099</c:v>
                </c:pt>
                <c:pt idx="550">
                  <c:v>1101</c:v>
                </c:pt>
                <c:pt idx="551">
                  <c:v>1103</c:v>
                </c:pt>
                <c:pt idx="552">
                  <c:v>1105</c:v>
                </c:pt>
                <c:pt idx="553">
                  <c:v>1107</c:v>
                </c:pt>
                <c:pt idx="554">
                  <c:v>1109</c:v>
                </c:pt>
                <c:pt idx="555">
                  <c:v>1111</c:v>
                </c:pt>
                <c:pt idx="556">
                  <c:v>1113</c:v>
                </c:pt>
                <c:pt idx="557">
                  <c:v>1115</c:v>
                </c:pt>
                <c:pt idx="558">
                  <c:v>1117</c:v>
                </c:pt>
                <c:pt idx="559">
                  <c:v>1119</c:v>
                </c:pt>
                <c:pt idx="560">
                  <c:v>1121</c:v>
                </c:pt>
                <c:pt idx="561">
                  <c:v>1123</c:v>
                </c:pt>
                <c:pt idx="562">
                  <c:v>1125</c:v>
                </c:pt>
                <c:pt idx="563">
                  <c:v>1127</c:v>
                </c:pt>
                <c:pt idx="564">
                  <c:v>1129</c:v>
                </c:pt>
                <c:pt idx="565">
                  <c:v>1131</c:v>
                </c:pt>
                <c:pt idx="566">
                  <c:v>1133</c:v>
                </c:pt>
                <c:pt idx="567">
                  <c:v>1135</c:v>
                </c:pt>
                <c:pt idx="568">
                  <c:v>1137</c:v>
                </c:pt>
                <c:pt idx="569">
                  <c:v>1139</c:v>
                </c:pt>
                <c:pt idx="570">
                  <c:v>1141</c:v>
                </c:pt>
                <c:pt idx="571">
                  <c:v>1143</c:v>
                </c:pt>
                <c:pt idx="572">
                  <c:v>1145</c:v>
                </c:pt>
                <c:pt idx="573">
                  <c:v>1147</c:v>
                </c:pt>
                <c:pt idx="574">
                  <c:v>1149</c:v>
                </c:pt>
                <c:pt idx="575">
                  <c:v>1151</c:v>
                </c:pt>
                <c:pt idx="576">
                  <c:v>1153</c:v>
                </c:pt>
                <c:pt idx="577">
                  <c:v>1155</c:v>
                </c:pt>
                <c:pt idx="578">
                  <c:v>1157</c:v>
                </c:pt>
                <c:pt idx="579">
                  <c:v>1159</c:v>
                </c:pt>
                <c:pt idx="580">
                  <c:v>1161</c:v>
                </c:pt>
                <c:pt idx="581">
                  <c:v>1163</c:v>
                </c:pt>
                <c:pt idx="582">
                  <c:v>1165</c:v>
                </c:pt>
                <c:pt idx="583">
                  <c:v>1167</c:v>
                </c:pt>
                <c:pt idx="584">
                  <c:v>1169</c:v>
                </c:pt>
                <c:pt idx="585">
                  <c:v>1171</c:v>
                </c:pt>
                <c:pt idx="586">
                  <c:v>1173</c:v>
                </c:pt>
                <c:pt idx="587">
                  <c:v>1175</c:v>
                </c:pt>
                <c:pt idx="588">
                  <c:v>1177</c:v>
                </c:pt>
                <c:pt idx="589">
                  <c:v>1179</c:v>
                </c:pt>
                <c:pt idx="590">
                  <c:v>1181</c:v>
                </c:pt>
                <c:pt idx="591">
                  <c:v>1183</c:v>
                </c:pt>
                <c:pt idx="592">
                  <c:v>1185</c:v>
                </c:pt>
                <c:pt idx="593">
                  <c:v>1187</c:v>
                </c:pt>
                <c:pt idx="594">
                  <c:v>1189</c:v>
                </c:pt>
                <c:pt idx="595">
                  <c:v>1191</c:v>
                </c:pt>
                <c:pt idx="596">
                  <c:v>1193</c:v>
                </c:pt>
                <c:pt idx="597">
                  <c:v>1195</c:v>
                </c:pt>
                <c:pt idx="598">
                  <c:v>1197</c:v>
                </c:pt>
                <c:pt idx="599">
                  <c:v>1199</c:v>
                </c:pt>
                <c:pt idx="600">
                  <c:v>1201</c:v>
                </c:pt>
                <c:pt idx="601">
                  <c:v>1203</c:v>
                </c:pt>
                <c:pt idx="602">
                  <c:v>1205</c:v>
                </c:pt>
                <c:pt idx="603">
                  <c:v>1207</c:v>
                </c:pt>
                <c:pt idx="604">
                  <c:v>1209</c:v>
                </c:pt>
                <c:pt idx="605">
                  <c:v>1211</c:v>
                </c:pt>
                <c:pt idx="606">
                  <c:v>1213</c:v>
                </c:pt>
                <c:pt idx="607">
                  <c:v>1215</c:v>
                </c:pt>
                <c:pt idx="608">
                  <c:v>1217</c:v>
                </c:pt>
                <c:pt idx="609">
                  <c:v>1219</c:v>
                </c:pt>
                <c:pt idx="610">
                  <c:v>1221</c:v>
                </c:pt>
                <c:pt idx="611">
                  <c:v>1223</c:v>
                </c:pt>
                <c:pt idx="612">
                  <c:v>1225</c:v>
                </c:pt>
                <c:pt idx="613">
                  <c:v>1227</c:v>
                </c:pt>
                <c:pt idx="614">
                  <c:v>1229</c:v>
                </c:pt>
                <c:pt idx="615">
                  <c:v>1231</c:v>
                </c:pt>
                <c:pt idx="616">
                  <c:v>1233</c:v>
                </c:pt>
                <c:pt idx="617">
                  <c:v>1235</c:v>
                </c:pt>
                <c:pt idx="618">
                  <c:v>1237</c:v>
                </c:pt>
                <c:pt idx="619">
                  <c:v>1239</c:v>
                </c:pt>
                <c:pt idx="620">
                  <c:v>1241</c:v>
                </c:pt>
                <c:pt idx="621">
                  <c:v>1243</c:v>
                </c:pt>
                <c:pt idx="622">
                  <c:v>1245</c:v>
                </c:pt>
                <c:pt idx="623">
                  <c:v>1247</c:v>
                </c:pt>
                <c:pt idx="624">
                  <c:v>1249</c:v>
                </c:pt>
                <c:pt idx="625">
                  <c:v>1251</c:v>
                </c:pt>
                <c:pt idx="626">
                  <c:v>1253</c:v>
                </c:pt>
                <c:pt idx="627">
                  <c:v>1255</c:v>
                </c:pt>
                <c:pt idx="628">
                  <c:v>1257</c:v>
                </c:pt>
                <c:pt idx="629">
                  <c:v>1259</c:v>
                </c:pt>
                <c:pt idx="630">
                  <c:v>1261</c:v>
                </c:pt>
                <c:pt idx="631">
                  <c:v>1263</c:v>
                </c:pt>
                <c:pt idx="632">
                  <c:v>1265</c:v>
                </c:pt>
                <c:pt idx="633">
                  <c:v>1267</c:v>
                </c:pt>
                <c:pt idx="634">
                  <c:v>1269</c:v>
                </c:pt>
                <c:pt idx="635">
                  <c:v>1271</c:v>
                </c:pt>
                <c:pt idx="636">
                  <c:v>1273</c:v>
                </c:pt>
                <c:pt idx="637">
                  <c:v>1275</c:v>
                </c:pt>
                <c:pt idx="638">
                  <c:v>1277</c:v>
                </c:pt>
                <c:pt idx="639">
                  <c:v>1279</c:v>
                </c:pt>
                <c:pt idx="640">
                  <c:v>1281</c:v>
                </c:pt>
                <c:pt idx="641">
                  <c:v>1283</c:v>
                </c:pt>
                <c:pt idx="642">
                  <c:v>1285</c:v>
                </c:pt>
                <c:pt idx="643">
                  <c:v>1287</c:v>
                </c:pt>
                <c:pt idx="644">
                  <c:v>1289</c:v>
                </c:pt>
                <c:pt idx="645">
                  <c:v>1291</c:v>
                </c:pt>
                <c:pt idx="646">
                  <c:v>1293</c:v>
                </c:pt>
                <c:pt idx="647">
                  <c:v>1295</c:v>
                </c:pt>
                <c:pt idx="648">
                  <c:v>1297</c:v>
                </c:pt>
                <c:pt idx="649">
                  <c:v>1299</c:v>
                </c:pt>
                <c:pt idx="650">
                  <c:v>1301</c:v>
                </c:pt>
                <c:pt idx="651">
                  <c:v>1303</c:v>
                </c:pt>
                <c:pt idx="652">
                  <c:v>1305</c:v>
                </c:pt>
                <c:pt idx="653">
                  <c:v>1307</c:v>
                </c:pt>
                <c:pt idx="654">
                  <c:v>1309</c:v>
                </c:pt>
                <c:pt idx="655">
                  <c:v>1311</c:v>
                </c:pt>
                <c:pt idx="656">
                  <c:v>1313</c:v>
                </c:pt>
                <c:pt idx="657">
                  <c:v>1315</c:v>
                </c:pt>
                <c:pt idx="658">
                  <c:v>1317</c:v>
                </c:pt>
                <c:pt idx="659">
                  <c:v>1319</c:v>
                </c:pt>
                <c:pt idx="660">
                  <c:v>1321</c:v>
                </c:pt>
                <c:pt idx="661">
                  <c:v>1323</c:v>
                </c:pt>
                <c:pt idx="662">
                  <c:v>1325</c:v>
                </c:pt>
                <c:pt idx="663">
                  <c:v>1327</c:v>
                </c:pt>
                <c:pt idx="664">
                  <c:v>1329</c:v>
                </c:pt>
                <c:pt idx="665">
                  <c:v>1331</c:v>
                </c:pt>
                <c:pt idx="666">
                  <c:v>1333</c:v>
                </c:pt>
                <c:pt idx="667">
                  <c:v>1335</c:v>
                </c:pt>
                <c:pt idx="668">
                  <c:v>1337</c:v>
                </c:pt>
                <c:pt idx="669">
                  <c:v>1339</c:v>
                </c:pt>
                <c:pt idx="670">
                  <c:v>1341</c:v>
                </c:pt>
                <c:pt idx="671">
                  <c:v>1343</c:v>
                </c:pt>
                <c:pt idx="672">
                  <c:v>1345</c:v>
                </c:pt>
                <c:pt idx="673">
                  <c:v>1347</c:v>
                </c:pt>
                <c:pt idx="674">
                  <c:v>1349</c:v>
                </c:pt>
                <c:pt idx="675">
                  <c:v>1351</c:v>
                </c:pt>
                <c:pt idx="676">
                  <c:v>1353</c:v>
                </c:pt>
                <c:pt idx="677">
                  <c:v>1355</c:v>
                </c:pt>
                <c:pt idx="678">
                  <c:v>1357</c:v>
                </c:pt>
              </c:numCache>
            </c:numRef>
          </c:xVal>
          <c:yVal>
            <c:numRef>
              <c:f>Data!$B$2:$B$700</c:f>
              <c:numCache>
                <c:formatCode>0.00000</c:formatCode>
                <c:ptCount val="699"/>
                <c:pt idx="0">
                  <c:v>0.17090048082783937</c:v>
                </c:pt>
                <c:pt idx="1">
                  <c:v>0.19601274513175326</c:v>
                </c:pt>
                <c:pt idx="2">
                  <c:v>0.22287873029821981</c:v>
                </c:pt>
                <c:pt idx="3">
                  <c:v>0.25151490155850809</c:v>
                </c:pt>
                <c:pt idx="4">
                  <c:v>0.28193745307086715</c:v>
                </c:pt>
                <c:pt idx="5">
                  <c:v>0.3141623035208454</c:v>
                </c:pt>
                <c:pt idx="6">
                  <c:v>0.34820509177443171</c:v>
                </c:pt>
                <c:pt idx="7">
                  <c:v>0.38408117258464358</c:v>
                </c:pt>
                <c:pt idx="8">
                  <c:v>0.42180561235353764</c:v>
                </c:pt>
                <c:pt idx="9">
                  <c:v>0.46139318495069404</c:v>
                </c:pt>
                <c:pt idx="10">
                  <c:v>0.50285836758924063</c:v>
                </c:pt>
                <c:pt idx="11">
                  <c:v>0.54621533676127854</c:v>
                </c:pt>
                <c:pt idx="12">
                  <c:v>0.59147796423349064</c:v>
                </c:pt>
                <c:pt idx="13">
                  <c:v>0.638659813104411</c:v>
                </c:pt>
                <c:pt idx="14">
                  <c:v>0.68777413392449205</c:v>
                </c:pt>
                <c:pt idx="15">
                  <c:v>0.73883386088054692</c:v>
                </c:pt>
                <c:pt idx="16">
                  <c:v>0.79185160804513544</c:v>
                </c:pt>
                <c:pt idx="17">
                  <c:v>0.84683966569272684</c:v>
                </c:pt>
                <c:pt idx="18">
                  <c:v>0.90380999668346362</c:v>
                </c:pt>
                <c:pt idx="19">
                  <c:v>0.96277423291579112</c:v>
                </c:pt>
                <c:pt idx="20">
                  <c:v>1.0237436718489334</c:v>
                </c:pt>
                <c:pt idx="21">
                  <c:v>1.086729273096779</c:v>
                </c:pt>
                <c:pt idx="22">
                  <c:v>1.1517416550935735</c:v>
                </c:pt>
                <c:pt idx="23">
                  <c:v>1.2187910918332392</c:v>
                </c:pt>
                <c:pt idx="24">
                  <c:v>1.2878875096828182</c:v>
                </c:pt>
                <c:pt idx="25">
                  <c:v>1.3590404842713184</c:v>
                </c:pt>
                <c:pt idx="26">
                  <c:v>1.4322592374550425</c:v>
                </c:pt>
                <c:pt idx="27">
                  <c:v>1.5075526343600956</c:v>
                </c:pt>
                <c:pt idx="28">
                  <c:v>1.584929180503508</c:v>
                </c:pt>
                <c:pt idx="29">
                  <c:v>1.6643970189933128</c:v>
                </c:pt>
                <c:pt idx="30">
                  <c:v>1.7459639278091998</c:v>
                </c:pt>
                <c:pt idx="31">
                  <c:v>1.8296373171639715</c:v>
                </c:pt>
                <c:pt idx="32">
                  <c:v>1.9154242269470814</c:v>
                </c:pt>
                <c:pt idx="33">
                  <c:v>2.0033313242511639</c:v>
                </c:pt>
                <c:pt idx="34">
                  <c:v>2.0933649009818822</c:v>
                </c:pt>
                <c:pt idx="35">
                  <c:v>2.1855308715526576</c:v>
                </c:pt>
                <c:pt idx="36">
                  <c:v>2.2798347706641806</c:v>
                </c:pt>
                <c:pt idx="37">
                  <c:v>2.3762817511703389</c:v>
                </c:pt>
                <c:pt idx="38">
                  <c:v>2.4748765820304897</c:v>
                </c:pt>
                <c:pt idx="39">
                  <c:v>2.5756236463493423</c:v>
                </c:pt>
                <c:pt idx="40">
                  <c:v>2.6785269395048772</c:v>
                </c:pt>
                <c:pt idx="41">
                  <c:v>2.7835900673648837</c:v>
                </c:pt>
                <c:pt idx="42">
                  <c:v>2.890816244592969</c:v>
                </c:pt>
                <c:pt idx="43">
                  <c:v>3.0002082930443663</c:v>
                </c:pt>
                <c:pt idx="44">
                  <c:v>3.1117686402522224</c:v>
                </c:pt>
                <c:pt idx="45">
                  <c:v>3.2254993180050491</c:v>
                </c:pt>
                <c:pt idx="46">
                  <c:v>3.3414019610154355</c:v>
                </c:pt>
                <c:pt idx="47">
                  <c:v>3.4594778056810469</c:v>
                </c:pt>
                <c:pt idx="48">
                  <c:v>3.579727688937723</c:v>
                </c:pt>
                <c:pt idx="49">
                  <c:v>3.7021520472057574</c:v>
                </c:pt>
                <c:pt idx="50">
                  <c:v>3.8267509154292583</c:v>
                </c:pt>
                <c:pt idx="51">
                  <c:v>3.9535239262090442</c:v>
                </c:pt>
                <c:pt idx="52">
                  <c:v>4.0824703090297021</c:v>
                </c:pt>
                <c:pt idx="53">
                  <c:v>4.2135888895806772</c:v>
                </c:pt>
                <c:pt idx="54">
                  <c:v>4.3468780891719945</c:v>
                </c:pt>
                <c:pt idx="55">
                  <c:v>4.4823359242447083</c:v>
                </c:pt>
                <c:pt idx="56">
                  <c:v>4.6199600059763384</c:v>
                </c:pt>
                <c:pt idx="57">
                  <c:v>4.7597475399814471</c:v>
                </c:pt>
                <c:pt idx="58">
                  <c:v>4.9016953261074576</c:v>
                </c:pt>
                <c:pt idx="59">
                  <c:v>5.045799758326126</c:v>
                </c:pt>
                <c:pt idx="60">
                  <c:v>5.1920568247202681</c:v>
                </c:pt>
                <c:pt idx="61">
                  <c:v>5.3404621075663812</c:v>
                </c:pt>
                <c:pt idx="62">
                  <c:v>5.4910107835124933</c:v>
                </c:pt>
                <c:pt idx="63">
                  <c:v>5.6436976238520913</c:v>
                </c:pt>
                <c:pt idx="64">
                  <c:v>5.7985169948933759</c:v>
                </c:pt>
                <c:pt idx="65">
                  <c:v>5.9554628584241698</c:v>
                </c:pt>
                <c:pt idx="66">
                  <c:v>6.1145287722721804</c:v>
                </c:pt>
                <c:pt idx="67">
                  <c:v>6.2757078909608595</c:v>
                </c:pt>
                <c:pt idx="68">
                  <c:v>6.4389929664601766</c:v>
                </c:pt>
                <c:pt idx="69">
                  <c:v>6.6043763490326199</c:v>
                </c:pt>
                <c:pt idx="70">
                  <c:v>6.820487598877591</c:v>
                </c:pt>
                <c:pt idx="71">
                  <c:v>7.0384923572991909</c:v>
                </c:pt>
                <c:pt idx="72">
                  <c:v>7.2569580090362251</c:v>
                </c:pt>
                <c:pt idx="73">
                  <c:v>7.4758810307295747</c:v>
                </c:pt>
                <c:pt idx="74">
                  <c:v>7.6952579056974599</c:v>
                </c:pt>
                <c:pt idx="75">
                  <c:v>7.9150851350380265</c:v>
                </c:pt>
                <c:pt idx="76">
                  <c:v>8.1353592507018888</c:v>
                </c:pt>
                <c:pt idx="77">
                  <c:v>8.3560768308192976</c:v>
                </c:pt>
                <c:pt idx="78">
                  <c:v>8.5772345175966649</c:v>
                </c:pt>
                <c:pt idx="79">
                  <c:v>8.7988290381281544</c:v>
                </c:pt>
                <c:pt idx="80">
                  <c:v>9.0208572284988549</c:v>
                </c:pt>
                <c:pt idx="81">
                  <c:v>9.2433160615871017</c:v>
                </c:pt>
                <c:pt idx="82">
                  <c:v>9.4662026790035441</c:v>
                </c:pt>
                <c:pt idx="83">
                  <c:v>9.6895144276316927</c:v>
                </c:pt>
                <c:pt idx="84">
                  <c:v>9.9132489012599478</c:v>
                </c:pt>
                <c:pt idx="85">
                  <c:v>10.13740398781507</c:v>
                </c:pt>
                <c:pt idx="86">
                  <c:v>10.361977922721003</c:v>
                </c:pt>
                <c:pt idx="87">
                  <c:v>10.586969348914252</c:v>
                </c:pt>
                <c:pt idx="88">
                  <c:v>10.812377384043579</c:v>
                </c:pt>
                <c:pt idx="89">
                  <c:v>11.038201695367945</c:v>
                </c:pt>
                <c:pt idx="90">
                  <c:v>11.264442582838463</c:v>
                </c:pt>
                <c:pt idx="91">
                  <c:v>11.491101070806351</c:v>
                </c:pt>
                <c:pt idx="92">
                  <c:v>11.718179008736726</c:v>
                </c:pt>
                <c:pt idx="93">
                  <c:v>11.945679181225238</c:v>
                </c:pt>
                <c:pt idx="94">
                  <c:v>12.173605427508512</c:v>
                </c:pt>
                <c:pt idx="95">
                  <c:v>12.401962770528243</c:v>
                </c:pt>
                <c:pt idx="96">
                  <c:v>12.630757555450067</c:v>
                </c:pt>
                <c:pt idx="97">
                  <c:v>12.859997597350471</c:v>
                </c:pt>
                <c:pt idx="98">
                  <c:v>13.089692337566618</c:v>
                </c:pt>
                <c:pt idx="99">
                  <c:v>13.319853007954073</c:v>
                </c:pt>
                <c:pt idx="100">
                  <c:v>13.550492802015576</c:v>
                </c:pt>
                <c:pt idx="101">
                  <c:v>13.781627051551247</c:v>
                </c:pt>
                <c:pt idx="102">
                  <c:v>14.013273407138016</c:v>
                </c:pt>
                <c:pt idx="103">
                  <c:v>14.245452020375239</c:v>
                </c:pt>
                <c:pt idx="104">
                  <c:v>14.478185725440028</c:v>
                </c:pt>
                <c:pt idx="105">
                  <c:v>14.711500217081721</c:v>
                </c:pt>
                <c:pt idx="106">
                  <c:v>14.945424221758628</c:v>
                </c:pt>
                <c:pt idx="107">
                  <c:v>15.179989658187822</c:v>
                </c:pt>
                <c:pt idx="108">
                  <c:v>15.415231783149636</c:v>
                </c:pt>
                <c:pt idx="109">
                  <c:v>15.651189317972502</c:v>
                </c:pt>
                <c:pt idx="110">
                  <c:v>15.887904550732941</c:v>
                </c:pt>
                <c:pt idx="111">
                  <c:v>16.125423408852519</c:v>
                </c:pt>
                <c:pt idx="112">
                  <c:v>16.3637954964721</c:v>
                </c:pt>
                <c:pt idx="113">
                  <c:v>16.603074090748713</c:v>
                </c:pt>
                <c:pt idx="114">
                  <c:v>16.843316091068004</c:v>
                </c:pt>
                <c:pt idx="115">
                  <c:v>17.084581915109382</c:v>
                </c:pt>
                <c:pt idx="116">
                  <c:v>17.326935335760176</c:v>
                </c:pt>
                <c:pt idx="117">
                  <c:v>17.570443253060716</c:v>
                </c:pt>
                <c:pt idx="118">
                  <c:v>17.815175395693331</c:v>
                </c:pt>
                <c:pt idx="119">
                  <c:v>18.061203947011045</c:v>
                </c:pt>
                <c:pt idx="120">
                  <c:v>18.308603091254234</c:v>
                </c:pt>
                <c:pt idx="121">
                  <c:v>18.557448476426245</c:v>
                </c:pt>
                <c:pt idx="122">
                  <c:v>18.807816591302505</c:v>
                </c:pt>
                <c:pt idx="123">
                  <c:v>19.059784055229613</c:v>
                </c:pt>
                <c:pt idx="124">
                  <c:v>19.31342682072912</c:v>
                </c:pt>
                <c:pt idx="125">
                  <c:v>19.568819290447685</c:v>
                </c:pt>
                <c:pt idx="126">
                  <c:v>19.826033351677573</c:v>
                </c:pt>
                <c:pt idx="127">
                  <c:v>20.08513733349136</c:v>
                </c:pt>
                <c:pt idx="128">
                  <c:v>20.346194893469118</c:v>
                </c:pt>
                <c:pt idx="129">
                  <c:v>20.609263843015441</c:v>
                </c:pt>
                <c:pt idx="130">
                  <c:v>20.874394922335419</c:v>
                </c:pt>
                <c:pt idx="131">
                  <c:v>21.141630538222572</c:v>
                </c:pt>
                <c:pt idx="132">
                  <c:v>21.411003479866721</c:v>
                </c:pt>
                <c:pt idx="133">
                  <c:v>21.682535629867225</c:v>
                </c:pt>
                <c:pt idx="134">
                  <c:v>21.956236689490318</c:v>
                </c:pt>
                <c:pt idx="135">
                  <c:v>22.232102938884921</c:v>
                </c:pt>
                <c:pt idx="136">
                  <c:v>22.510116054419669</c:v>
                </c:pt>
                <c:pt idx="137">
                  <c:v>22.790242006472809</c:v>
                </c:pt>
                <c:pt idx="138">
                  <c:v>23.072430061848031</c:v>
                </c:pt>
                <c:pt idx="139">
                  <c:v>23.356611915457059</c:v>
                </c:pt>
                <c:pt idx="140">
                  <c:v>23.642700975963059</c:v>
                </c:pt>
                <c:pt idx="141">
                  <c:v>23.930591829682918</c:v>
                </c:pt>
                <c:pt idx="142">
                  <c:v>24.220159906173834</c:v>
                </c:pt>
                <c:pt idx="143">
                  <c:v>24.511261367559626</c:v>
                </c:pt>
                <c:pt idx="144">
                  <c:v>24.803733241777337</c:v>
                </c:pt>
                <c:pt idx="145">
                  <c:v>25.097393817541743</c:v>
                </c:pt>
                <c:pt idx="146">
                  <c:v>25.392043315947589</c:v>
                </c:pt>
                <c:pt idx="147">
                  <c:v>25.687464850275518</c:v>
                </c:pt>
                <c:pt idx="148">
                  <c:v>25.983425681770939</c:v>
                </c:pt>
                <c:pt idx="149">
                  <c:v>26.279678774966285</c:v>
                </c:pt>
                <c:pt idx="150">
                  <c:v>26.57596465156827</c:v>
                </c:pt>
                <c:pt idx="151">
                  <c:v>26.872013537092414</c:v>
                </c:pt>
                <c:pt idx="152">
                  <c:v>27.167547789366864</c:v>
                </c:pt>
                <c:pt idx="153">
                  <c:v>27.462284592816786</c:v>
                </c:pt>
                <c:pt idx="154">
                  <c:v>27.75593889716464</c:v>
                </c:pt>
                <c:pt idx="155">
                  <c:v>28.048226573916224</c:v>
                </c:pt>
                <c:pt idx="156">
                  <c:v>28.33886775883893</c:v>
                </c:pt>
                <c:pt idx="157">
                  <c:v>28.627590343657758</c:v>
                </c:pt>
                <c:pt idx="158">
                  <c:v>28.914133575485323</c:v>
                </c:pt>
                <c:pt idx="159">
                  <c:v>29.198251718143894</c:v>
                </c:pt>
                <c:pt idx="160">
                  <c:v>29.479717725616098</c:v>
                </c:pt>
                <c:pt idx="161">
                  <c:v>29.758326874447121</c:v>
                </c:pt>
                <c:pt idx="162">
                  <c:v>30.033900299096331</c:v>
                </c:pt>
                <c:pt idx="163">
                  <c:v>30.306288372062696</c:v>
                </c:pt>
                <c:pt idx="164">
                  <c:v>30.575373869156593</c:v>
                </c:pt>
                <c:pt idx="165">
                  <c:v>30.841074859617692</c:v>
                </c:pt>
                <c:pt idx="166">
                  <c:v>31.1033472609451</c:v>
                </c:pt>
                <c:pt idx="167">
                  <c:v>31.362186999360915</c:v>
                </c:pt>
                <c:pt idx="168">
                  <c:v>31.617631718822182</c:v>
                </c:pt>
                <c:pt idx="169">
                  <c:v>31.869761984471012</c:v>
                </c:pt>
                <c:pt idx="170">
                  <c:v>32.118701930405948</c:v>
                </c:pt>
                <c:pt idx="171">
                  <c:v>32.36461930670086</c:v>
                </c:pt>
                <c:pt idx="172">
                  <c:v>32.607724886710344</c:v>
                </c:pt>
                <c:pt idx="173">
                  <c:v>32.848271202896825</c:v>
                </c:pt>
                <c:pt idx="174">
                  <c:v>33.086550587686801</c:v>
                </c:pt>
                <c:pt idx="175">
                  <c:v>33.32289250519716</c:v>
                </c:pt>
                <c:pt idx="176">
                  <c:v>33.557660170019815</c:v>
                </c:pt>
                <c:pt idx="177">
                  <c:v>33.791246460554035</c:v>
                </c:pt>
                <c:pt idx="178">
                  <c:v>34.024069146532625</c:v>
                </c:pt>
                <c:pt idx="179">
                  <c:v>34.256565463274612</c:v>
                </c:pt>
                <c:pt idx="180">
                  <c:v>34.489186078652537</c:v>
                </c:pt>
                <c:pt idx="181">
                  <c:v>34.722388512584416</c:v>
                </c:pt>
                <c:pt idx="182">
                  <c:v>34.95663008281322</c:v>
                </c:pt>
                <c:pt idx="183">
                  <c:v>35.19236046453922</c:v>
                </c:pt>
                <c:pt idx="184">
                  <c:v>35.430013964813639</c:v>
                </c:pt>
                <c:pt idx="185">
                  <c:v>35.670001625135455</c:v>
                </c:pt>
                <c:pt idx="186">
                  <c:v>35.912703277048848</c:v>
                </c:pt>
                <c:pt idx="187">
                  <c:v>36.158459685323493</c:v>
                </c:pt>
                <c:pt idx="188">
                  <c:v>36.407564921121775</c:v>
                </c:pt>
                <c:pt idx="189">
                  <c:v>36.660259113021667</c:v>
                </c:pt>
                <c:pt idx="190">
                  <c:v>36.916721726503027</c:v>
                </c:pt>
                <c:pt idx="191">
                  <c:v>37.17706552218489</c:v>
                </c:pt>
                <c:pt idx="192">
                  <c:v>37.441331339436474</c:v>
                </c:pt>
                <c:pt idx="193">
                  <c:v>37.709483844764108</c:v>
                </c:pt>
                <c:pt idx="194">
                  <c:v>37.981408373465698</c:v>
                </c:pt>
                <c:pt idx="195">
                  <c:v>38.256908978416547</c:v>
                </c:pt>
                <c:pt idx="196">
                  <c:v>38.535707781575198</c:v>
                </c:pt>
                <c:pt idx="197">
                  <c:v>38.817445702077379</c:v>
                </c:pt>
                <c:pt idx="198">
                  <c:v>39.101684609931823</c:v>
                </c:pt>
                <c:pt idx="199">
                  <c:v>39.387910926789118</c:v>
                </c:pt>
                <c:pt idx="200">
                  <c:v>39.675540665578751</c:v>
                </c:pt>
                <c:pt idx="201">
                  <c:v>39.963925869670234</c:v>
                </c:pt>
                <c:pt idx="202">
                  <c:v>40.252362380370428</c:v>
                </c:pt>
                <c:pt idx="203">
                  <c:v>40.540098829857087</c:v>
                </c:pt>
                <c:pt idx="204">
                  <c:v>40.826346725950131</c:v>
                </c:pt>
                <c:pt idx="205">
                  <c:v>41.110291466344009</c:v>
                </c:pt>
                <c:pt idx="206">
                  <c:v>41.391104093962156</c:v>
                </c:pt>
                <c:pt idx="207">
                  <c:v>41.667953582802156</c:v>
                </c:pt>
                <c:pt idx="208">
                  <c:v>41.940019425799164</c:v>
                </c:pt>
                <c:pt idx="209">
                  <c:v>42.206504283520104</c:v>
                </c:pt>
                <c:pt idx="210">
                  <c:v>42.46664644545497</c:v>
                </c:pt>
                <c:pt idx="211">
                  <c:v>42.719731854674535</c:v>
                </c:pt>
                <c:pt idx="212">
                  <c:v>42.96510545188238</c:v>
                </c:pt>
                <c:pt idx="213">
                  <c:v>43.202181606413475</c:v>
                </c:pt>
                <c:pt idx="214">
                  <c:v>43.430453419335649</c:v>
                </c:pt>
                <c:pt idx="215">
                  <c:v>43.64950070710924</c:v>
                </c:pt>
                <c:pt idx="216">
                  <c:v>43.858996502682189</c:v>
                </c:pt>
                <c:pt idx="217">
                  <c:v>44.058711943694362</c:v>
                </c:pt>
                <c:pt idx="218">
                  <c:v>44.248519453744564</c:v>
                </c:pt>
                <c:pt idx="219">
                  <c:v>44.42839416141814</c:v>
                </c:pt>
                <c:pt idx="220">
                  <c:v>44.598413541884966</c:v>
                </c:pt>
                <c:pt idx="221">
                  <c:v>44.758755306208059</c:v>
                </c:pt>
                <c:pt idx="222">
                  <c:v>44.909693602898273</c:v>
                </c:pt>
                <c:pt idx="223">
                  <c:v>45.051593633590556</c:v>
                </c:pt>
                <c:pt idx="224">
                  <c:v>45.184904818952802</c:v>
                </c:pt>
                <c:pt idx="225">
                  <c:v>45.310152681132251</c:v>
                </c:pt>
                <c:pt idx="226">
                  <c:v>45.427929634397486</c:v>
                </c:pt>
                <c:pt idx="227">
                  <c:v>45.538884895516048</c:v>
                </c:pt>
                <c:pt idx="228">
                  <c:v>45.643713739373268</c:v>
                </c:pt>
                <c:pt idx="229">
                  <c:v>45.743146333140686</c:v>
                </c:pt>
                <c:pt idx="230">
                  <c:v>45.837936383896917</c:v>
                </c:pt>
                <c:pt idx="231">
                  <c:v>45.928849830143278</c:v>
                </c:pt>
                <c:pt idx="232">
                  <c:v>46.016653797481936</c:v>
                </c:pt>
                <c:pt idx="233">
                  <c:v>46.102106023342827</c:v>
                </c:pt>
                <c:pt idx="234">
                  <c:v>46.185944935712456</c:v>
                </c:pt>
                <c:pt idx="235">
                  <c:v>46.26888054710291</c:v>
                </c:pt>
                <c:pt idx="236">
                  <c:v>46.35158629835766</c:v>
                </c:pt>
                <c:pt idx="237">
                  <c:v>46.434691958227646</c:v>
                </c:pt>
                <c:pt idx="238">
                  <c:v>46.518777654892347</c:v>
                </c:pt>
                <c:pt idx="239">
                  <c:v>46.604369085651271</c:v>
                </c:pt>
                <c:pt idx="240">
                  <c:v>46.691933921734943</c:v>
                </c:pt>
                <c:pt idx="241">
                  <c:v>46.781879397368442</c:v>
                </c:pt>
                <c:pt idx="242">
                  <c:v>46.874551046558665</c:v>
                </c:pt>
                <c:pt idx="243">
                  <c:v>46.97023252814455</c:v>
                </c:pt>
                <c:pt idx="244">
                  <c:v>47.069146459905483</c:v>
                </c:pt>
                <c:pt idx="245">
                  <c:v>47.171456166280706</c:v>
                </c:pt>
                <c:pt idx="246">
                  <c:v>47.277268231704213</c:v>
                </c:pt>
                <c:pt idx="247">
                  <c:v>47.386635742758642</c:v>
                </c:pt>
                <c:pt idx="248">
                  <c:v>47.499562097233067</c:v>
                </c:pt>
                <c:pt idx="249">
                  <c:v>47.616005256560712</c:v>
                </c:pt>
                <c:pt idx="250">
                  <c:v>47.73588231974388</c:v>
                </c:pt>
                <c:pt idx="251">
                  <c:v>47.859074301400099</c:v>
                </c:pt>
                <c:pt idx="252">
                  <c:v>47.985431003585262</c:v>
                </c:pt>
                <c:pt idx="253">
                  <c:v>48.11477588012157</c:v>
                </c:pt>
                <c:pt idx="254">
                  <c:v>48.246910802825781</c:v>
                </c:pt>
                <c:pt idx="255">
                  <c:v>48.381620650826079</c:v>
                </c:pt>
                <c:pt idx="256">
                  <c:v>48.518677656633116</c:v>
                </c:pt>
                <c:pt idx="257">
                  <c:v>48.657845455363926</c:v>
                </c:pt>
                <c:pt idx="258">
                  <c:v>48.798882796128893</c:v>
                </c:pt>
                <c:pt idx="259">
                  <c:v>48.941546886742131</c:v>
                </c:pt>
                <c:pt idx="260">
                  <c:v>49.085596354327507</c:v>
                </c:pt>
                <c:pt idx="261">
                  <c:v>49.230793814833632</c:v>
                </c:pt>
                <c:pt idx="262">
                  <c:v>49.376908053780681</c:v>
                </c:pt>
                <c:pt idx="263">
                  <c:v>49.523715828620325</c:v>
                </c:pt>
                <c:pt idx="264">
                  <c:v>49.671003309841609</c:v>
                </c:pt>
                <c:pt idx="265">
                  <c:v>49.818567183386136</c:v>
                </c:pt>
                <c:pt idx="266">
                  <c:v>49.966215441075207</c:v>
                </c:pt>
                <c:pt idx="267">
                  <c:v>50.113767888663986</c:v>
                </c:pt>
                <c:pt idx="268">
                  <c:v>50.261056402916665</c:v>
                </c:pt>
                <c:pt idx="269">
                  <c:v>50.407924969855515</c:v>
                </c:pt>
                <c:pt idx="270">
                  <c:v>50.554229536205327</c:v>
                </c:pt>
                <c:pt idx="271">
                  <c:v>50.699837705165578</c:v>
                </c:pt>
                <c:pt idx="272">
                  <c:v>50.844628306141246</c:v>
                </c:pt>
                <c:pt idx="273">
                  <c:v>50.988490866077385</c:v>
                </c:pt>
                <c:pt idx="274">
                  <c:v>51.131325007707332</c:v>
                </c:pt>
                <c:pt idx="275">
                  <c:v>51.273039797458154</c:v>
                </c:pt>
                <c:pt idx="276">
                  <c:v>51.413553063062878</c:v>
                </c:pt>
                <c:pt idx="277">
                  <c:v>51.552790698205996</c:v>
                </c:pt>
                <c:pt idx="278">
                  <c:v>51.690685968851142</c:v>
                </c:pt>
                <c:pt idx="279">
                  <c:v>51.827178833332439</c:v>
                </c:pt>
                <c:pt idx="280">
                  <c:v>51.962215285885023</c:v>
                </c:pt>
                <c:pt idx="281">
                  <c:v>52.095746731080894</c:v>
                </c:pt>
                <c:pt idx="282">
                  <c:v>52.227729394644783</c:v>
                </c:pt>
                <c:pt idx="283">
                  <c:v>52.358123774370924</c:v>
                </c:pt>
                <c:pt idx="284">
                  <c:v>52.486894133340883</c:v>
                </c:pt>
                <c:pt idx="285">
                  <c:v>52.614008036358598</c:v>
                </c:pt>
                <c:pt idx="286">
                  <c:v>52.739435929456278</c:v>
                </c:pt>
                <c:pt idx="287">
                  <c:v>52.863150761471104</c:v>
                </c:pt>
                <c:pt idx="288">
                  <c:v>52.985127646031472</c:v>
                </c:pt>
                <c:pt idx="289">
                  <c:v>53.105343561798691</c:v>
                </c:pt>
                <c:pt idx="290">
                  <c:v>53.22377708846895</c:v>
                </c:pt>
                <c:pt idx="291">
                  <c:v>53.34040817582671</c:v>
                </c:pt>
                <c:pt idx="292">
                  <c:v>53.455217943036715</c:v>
                </c:pt>
                <c:pt idx="293">
                  <c:v>53.568188505344651</c:v>
                </c:pt>
                <c:pt idx="294">
                  <c:v>53.679302825412663</c:v>
                </c:pt>
                <c:pt idx="295">
                  <c:v>53.788544586625548</c:v>
                </c:pt>
                <c:pt idx="296">
                  <c:v>53.895898085855407</c:v>
                </c:pt>
                <c:pt idx="297">
                  <c:v>54.001348143352018</c:v>
                </c:pt>
                <c:pt idx="298">
                  <c:v>54.104880027627075</c:v>
                </c:pt>
                <c:pt idx="299">
                  <c:v>54.20647939340958</c:v>
                </c:pt>
                <c:pt idx="300">
                  <c:v>54.306132230965602</c:v>
                </c:pt>
                <c:pt idx="301">
                  <c:v>54.403824825290044</c:v>
                </c:pt>
                <c:pt idx="302">
                  <c:v>54.499543723889744</c:v>
                </c:pt>
                <c:pt idx="303">
                  <c:v>54.593275712082331</c:v>
                </c:pt>
                <c:pt idx="304">
                  <c:v>54.685007794935061</c:v>
                </c:pt>
                <c:pt idx="305">
                  <c:v>54.774727185159222</c:v>
                </c:pt>
                <c:pt idx="306">
                  <c:v>54.862421296462387</c:v>
                </c:pt>
                <c:pt idx="307">
                  <c:v>54.948077742039487</c:v>
                </c:pt>
                <c:pt idx="308">
                  <c:v>55.031684338061396</c:v>
                </c:pt>
                <c:pt idx="309">
                  <c:v>55.113229112191362</c:v>
                </c:pt>
                <c:pt idx="310">
                  <c:v>55.192700317331486</c:v>
                </c:pt>
                <c:pt idx="311">
                  <c:v>55.27008645097284</c:v>
                </c:pt>
                <c:pt idx="312">
                  <c:v>55.34537628069323</c:v>
                </c:pt>
                <c:pt idx="313">
                  <c:v>55.418558876519469</c:v>
                </c:pt>
                <c:pt idx="314">
                  <c:v>55.48962365104083</c:v>
                </c:pt>
                <c:pt idx="315">
                  <c:v>55.558560408332156</c:v>
                </c:pt>
                <c:pt idx="316">
                  <c:v>55.625359402909112</c:v>
                </c:pt>
                <c:pt idx="317">
                  <c:v>55.69001141009592</c:v>
                </c:pt>
                <c:pt idx="318">
                  <c:v>55.752507809330439</c:v>
                </c:pt>
                <c:pt idx="319">
                  <c:v>55.812840682053348</c:v>
                </c:pt>
                <c:pt idx="320">
                  <c:v>55.871002925923989</c:v>
                </c:pt>
                <c:pt idx="321">
                  <c:v>55.926988387159497</c:v>
                </c:pt>
                <c:pt idx="322">
                  <c:v>55.980792012796968</c:v>
                </c:pt>
                <c:pt idx="323">
                  <c:v>56.032410024617974</c:v>
                </c:pt>
                <c:pt idx="324">
                  <c:v>56.081840116331506</c:v>
                </c:pt>
                <c:pt idx="325">
                  <c:v>56.129081675374678</c:v>
                </c:pt>
                <c:pt idx="326">
                  <c:v>56.174136030339255</c:v>
                </c:pt>
                <c:pt idx="327">
                  <c:v>56.217006724552519</c:v>
                </c:pt>
                <c:pt idx="328">
                  <c:v>56.257699815716407</c:v>
                </c:pt>
                <c:pt idx="329">
                  <c:v>56.296224200725646</c:v>
                </c:pt>
                <c:pt idx="330">
                  <c:v>56.332591963834304</c:v>
                </c:pt>
                <c:pt idx="331">
                  <c:v>56.366818745212328</c:v>
                </c:pt>
                <c:pt idx="332">
                  <c:v>56.398924125630302</c:v>
                </c:pt>
                <c:pt idx="333">
                  <c:v>56.428932021539069</c:v>
                </c:pt>
                <c:pt idx="334">
                  <c:v>56.45687108318306</c:v>
                </c:pt>
                <c:pt idx="335">
                  <c:v>56.482775086629758</c:v>
                </c:pt>
                <c:pt idx="336">
                  <c:v>56.50668330874835</c:v>
                </c:pt>
                <c:pt idx="337">
                  <c:v>56.528640872274579</c:v>
                </c:pt>
                <c:pt idx="338">
                  <c:v>56.548699046217664</c:v>
                </c:pt>
                <c:pt idx="339">
                  <c:v>56.566915485071632</c:v>
                </c:pt>
                <c:pt idx="340">
                  <c:v>56.583354388670102</c:v>
                </c:pt>
                <c:pt idx="341">
                  <c:v>56.598086563167385</c:v>
                </c:pt>
                <c:pt idx="342">
                  <c:v>56.611189362640872</c:v>
                </c:pt>
                <c:pt idx="343">
                  <c:v>56.622746490298994</c:v>
                </c:pt>
                <c:pt idx="344">
                  <c:v>56.632847638354619</c:v>
                </c:pt>
                <c:pt idx="345">
                  <c:v>56.641587946393145</c:v>
                </c:pt>
                <c:pt idx="346">
                  <c:v>56.649067259623195</c:v>
                </c:pt>
                <c:pt idx="347">
                  <c:v>56.655389170833757</c:v>
                </c:pt>
                <c:pt idx="348">
                  <c:v>56.660659833251131</c:v>
                </c:pt>
                <c:pt idx="349">
                  <c:v>56.664986535835595</c:v>
                </c:pt>
                <c:pt idx="350">
                  <c:v>56.668476037877355</c:v>
                </c:pt>
                <c:pt idx="351">
                  <c:v>56.671232666012997</c:v>
                </c:pt>
                <c:pt idx="352">
                  <c:v>56.673356183904588</c:v>
                </c:pt>
                <c:pt idx="353">
                  <c:v>56.674939452681329</c:v>
                </c:pt>
                <c:pt idx="354">
                  <c:v>56.6760659086613</c:v>
                </c:pt>
                <c:pt idx="355">
                  <c:v>56.676806893628694</c:v>
                </c:pt>
                <c:pt idx="356">
                  <c:v>56.677218881775275</c:v>
                </c:pt>
                <c:pt idx="357">
                  <c:v>56.67734065601492</c:v>
                </c:pt>
                <c:pt idx="358">
                  <c:v>56.677190494414575</c:v>
                </c:pt>
                <c:pt idx="359">
                  <c:v>56.676763434595614</c:v>
                </c:pt>
                <c:pt idx="360">
                  <c:v>56.676028689779614</c:v>
                </c:pt>
                <c:pt idx="361">
                  <c:v>56.674927294330132</c:v>
                </c:pt>
                <c:pt idx="362">
                  <c:v>56.673370058836213</c:v>
                </c:pt>
                <c:pt idx="363">
                  <c:v>56.671235914707196</c:v>
                </c:pt>
                <c:pt idx="364">
                  <c:v>56.668370725661404</c:v>
                </c:pt>
                <c:pt idx="365">
                  <c:v>56.664586638233899</c:v>
                </c:pt>
                <c:pt idx="366">
                  <c:v>56.659662035425512</c:v>
                </c:pt>
                <c:pt idx="367">
                  <c:v>56.653342146892228</c:v>
                </c:pt>
                <c:pt idx="368">
                  <c:v>56.6453403557652</c:v>
                </c:pt>
                <c:pt idx="369">
                  <c:v>56.635340226542311</c:v>
                </c:pt>
                <c:pt idx="370">
                  <c:v>56.622998260857173</c:v>
                </c:pt>
                <c:pt idx="371">
                  <c:v>56.607947368773665</c:v>
                </c:pt>
                <c:pt idx="372">
                  <c:v>56.589801023124764</c:v>
                </c:pt>
                <c:pt idx="373">
                  <c:v>56.568158043946482</c:v>
                </c:pt>
                <c:pt idx="374">
                  <c:v>56.542607939932708</c:v>
                </c:pt>
                <c:pt idx="375">
                  <c:v>56.512736714772856</c:v>
                </c:pt>
                <c:pt idx="376">
                  <c:v>56.478133028943859</c:v>
                </c:pt>
                <c:pt idx="377">
                  <c:v>56.438394592702309</c:v>
                </c:pt>
                <c:pt idx="378">
                  <c:v>56.393134654285575</c:v>
                </c:pt>
                <c:pt idx="379">
                  <c:v>56.34198843922556</c:v>
                </c:pt>
                <c:pt idx="380">
                  <c:v>56.284619392631242</c:v>
                </c:pt>
                <c:pt idx="381">
                  <c:v>56.220725076590199</c:v>
                </c:pt>
                <c:pt idx="382">
                  <c:v>56.150042579616311</c:v>
                </c:pt>
                <c:pt idx="383">
                  <c:v>56.072353304292847</c:v>
                </c:pt>
                <c:pt idx="384">
                  <c:v>55.987487012733567</c:v>
                </c:pt>
                <c:pt idx="385">
                  <c:v>55.89532502684294</c:v>
                </c:pt>
                <c:pt idx="386">
                  <c:v>55.795802501083827</c:v>
                </c:pt>
                <c:pt idx="387">
                  <c:v>55.688909708907531</c:v>
                </c:pt>
                <c:pt idx="388">
                  <c:v>55.574692309403957</c:v>
                </c:pt>
                <c:pt idx="389">
                  <c:v>55.453250587250892</c:v>
                </c:pt>
                <c:pt idx="390">
                  <c:v>55.324737685793579</c:v>
                </c:pt>
                <c:pt idx="391">
                  <c:v>55.189356879174539</c:v>
                </c:pt>
                <c:pt idx="392">
                  <c:v>55.047357953991849</c:v>
                </c:pt>
                <c:pt idx="393">
                  <c:v>54.899032793182826</c:v>
                </c:pt>
                <c:pt idx="394">
                  <c:v>54.744710274002941</c:v>
                </c:pt>
                <c:pt idx="395">
                  <c:v>54.584750607503665</c:v>
                </c:pt>
                <c:pt idx="396">
                  <c:v>54.419539258365674</c:v>
                </c:pt>
                <c:pt idx="397">
                  <c:v>54.249480591030817</c:v>
                </c:pt>
                <c:pt idx="398">
                  <c:v>54.074991390677667</c:v>
                </c:pt>
                <c:pt idx="399">
                  <c:v>53.896494405754169</c:v>
                </c:pt>
                <c:pt idx="400">
                  <c:v>53.714412052724825</c:v>
                </c:pt>
                <c:pt idx="401">
                  <c:v>53.529160413767684</c:v>
                </c:pt>
                <c:pt idx="402">
                  <c:v>53.341143644852593</c:v>
                </c:pt>
                <c:pt idx="403">
                  <c:v>53.150748895530356</c:v>
                </c:pt>
                <c:pt idx="404">
                  <c:v>52.958341823527121</c:v>
                </c:pt>
                <c:pt idx="405">
                  <c:v>52.764262767570528</c:v>
                </c:pt>
                <c:pt idx="406">
                  <c:v>52.56882362149554</c:v>
                </c:pt>
                <c:pt idx="407">
                  <c:v>52.372305432290915</c:v>
                </c:pt>
                <c:pt idx="408">
                  <c:v>52.174956725013473</c:v>
                </c:pt>
                <c:pt idx="409">
                  <c:v>51.976992539012258</c:v>
                </c:pt>
                <c:pt idx="410">
                  <c:v>51.778594143179191</c:v>
                </c:pt>
                <c:pt idx="411">
                  <c:v>51.579909383387047</c:v>
                </c:pt>
                <c:pt idx="412">
                  <c:v>51.381053603194374</c:v>
                </c:pt>
                <c:pt idx="413">
                  <c:v>51.182111069479475</c:v>
                </c:pt>
                <c:pt idx="414">
                  <c:v>50.983136827993519</c:v>
                </c:pt>
                <c:pt idx="415">
                  <c:v>50.784158909872559</c:v>
                </c:pt>
                <c:pt idx="416">
                  <c:v>50.585180808800089</c:v>
                </c:pt>
                <c:pt idx="417">
                  <c:v>50.386184149567697</c:v>
                </c:pt>
                <c:pt idx="418">
                  <c:v>50.187131471974737</c:v>
                </c:pt>
                <c:pt idx="419">
                  <c:v>49.987969059021822</c:v>
                </c:pt>
                <c:pt idx="420">
                  <c:v>49.788629744845039</c:v>
                </c:pt>
                <c:pt idx="421">
                  <c:v>49.589035645438742</c:v>
                </c:pt>
                <c:pt idx="422">
                  <c:v>49.389100763566859</c:v>
                </c:pt>
                <c:pt idx="423">
                  <c:v>49.188733428016988</c:v>
                </c:pt>
                <c:pt idx="424">
                  <c:v>48.98783853618221</c:v>
                </c:pt>
                <c:pt idx="425">
                  <c:v>48.786319577581466</c:v>
                </c:pt>
                <c:pt idx="426">
                  <c:v>48.584080424099724</c:v>
                </c:pt>
                <c:pt idx="427">
                  <c:v>48.381026880249294</c:v>
                </c:pt>
                <c:pt idx="428">
                  <c:v>48.177067993472591</c:v>
                </c:pt>
                <c:pt idx="429">
                  <c:v>47.972117130318793</c:v>
                </c:pt>
                <c:pt idx="430">
                  <c:v>47.766092829178888</c:v>
                </c:pt>
                <c:pt idx="431">
                  <c:v>47.558919444133949</c:v>
                </c:pt>
                <c:pt idx="432">
                  <c:v>47.350527597384314</c:v>
                </c:pt>
                <c:pt idx="433">
                  <c:v>47.140854459728629</c:v>
                </c:pt>
                <c:pt idx="434">
                  <c:v>46.929843879728381</c:v>
                </c:pt>
                <c:pt idx="435">
                  <c:v>46.717446382612849</c:v>
                </c:pt>
                <c:pt idx="436">
                  <c:v>46.503619059759899</c:v>
                </c:pt>
                <c:pt idx="437">
                  <c:v>46.28832536883084</c:v>
                </c:pt>
                <c:pt idx="438">
                  <c:v>46.071534863459846</c:v>
                </c:pt>
                <c:pt idx="439">
                  <c:v>45.853222869899326</c:v>
                </c:pt>
                <c:pt idx="440">
                  <c:v>45.633370126307028</c:v>
                </c:pt>
                <c:pt idx="441">
                  <c:v>45.411962398513708</c:v>
                </c:pt>
                <c:pt idx="442">
                  <c:v>45.188990084214197</c:v>
                </c:pt>
                <c:pt idx="443">
                  <c:v>44.964447815643965</c:v>
                </c:pt>
                <c:pt idx="444">
                  <c:v>44.738334068993339</c:v>
                </c:pt>
                <c:pt idx="445">
                  <c:v>44.510650787113491</c:v>
                </c:pt>
                <c:pt idx="446">
                  <c:v>44.281403020513252</c:v>
                </c:pt>
                <c:pt idx="447">
                  <c:v>44.050598590253031</c:v>
                </c:pt>
                <c:pt idx="448">
                  <c:v>43.818247775123439</c:v>
                </c:pt>
                <c:pt idx="449">
                  <c:v>43.584363024452443</c:v>
                </c:pt>
                <c:pt idx="450">
                  <c:v>43.348958697015263</c:v>
                </c:pt>
                <c:pt idx="451">
                  <c:v>43.112050825814038</c:v>
                </c:pt>
                <c:pt idx="452">
                  <c:v>42.873656907939662</c:v>
                </c:pt>
                <c:pt idx="453">
                  <c:v>42.633795718310267</c:v>
                </c:pt>
                <c:pt idx="454">
                  <c:v>42.392487145782098</c:v>
                </c:pt>
                <c:pt idx="455">
                  <c:v>42.149752049936254</c:v>
                </c:pt>
                <c:pt idx="456">
                  <c:v>41.905612136735485</c:v>
                </c:pt>
                <c:pt idx="457">
                  <c:v>41.660089851212007</c:v>
                </c:pt>
                <c:pt idx="458">
                  <c:v>41.413208285365258</c:v>
                </c:pt>
                <c:pt idx="459">
                  <c:v>41.164991099514609</c:v>
                </c:pt>
                <c:pt idx="460">
                  <c:v>40.915462455445379</c:v>
                </c:pt>
                <c:pt idx="461">
                  <c:v>40.664646959804102</c:v>
                </c:pt>
                <c:pt idx="462">
                  <c:v>40.412569616328611</c:v>
                </c:pt>
                <c:pt idx="463">
                  <c:v>40.159255785633093</c:v>
                </c:pt>
                <c:pt idx="464">
                  <c:v>39.904731151406139</c:v>
                </c:pt>
                <c:pt idx="465">
                  <c:v>39.649021692011132</c:v>
                </c:pt>
                <c:pt idx="466">
                  <c:v>39.392153656606041</c:v>
                </c:pt>
                <c:pt idx="467">
                  <c:v>39.134153545016261</c:v>
                </c:pt>
                <c:pt idx="468">
                  <c:v>38.875048090703245</c:v>
                </c:pt>
                <c:pt idx="469">
                  <c:v>38.614864246267999</c:v>
                </c:pt>
                <c:pt idx="470">
                  <c:v>38.353629171016237</c:v>
                </c:pt>
                <c:pt idx="471">
                  <c:v>38.091370220187997</c:v>
                </c:pt>
                <c:pt idx="472">
                  <c:v>37.828114935520873</c:v>
                </c:pt>
                <c:pt idx="473">
                  <c:v>37.563891036874352</c:v>
                </c:pt>
                <c:pt idx="474">
                  <c:v>37.298726414689966</c:v>
                </c:pt>
                <c:pt idx="475">
                  <c:v>37.032649123105671</c:v>
                </c:pt>
                <c:pt idx="476">
                  <c:v>36.765687373575503</c:v>
                </c:pt>
                <c:pt idx="477">
                  <c:v>36.497869528876237</c:v>
                </c:pt>
                <c:pt idx="478">
                  <c:v>36.229224097405222</c:v>
                </c:pt>
                <c:pt idx="479">
                  <c:v>35.959779727694709</c:v>
                </c:pt>
                <c:pt idx="480">
                  <c:v>35.689565203082566</c:v>
                </c:pt>
                <c:pt idx="481">
                  <c:v>35.418609436492972</c:v>
                </c:pt>
                <c:pt idx="482">
                  <c:v>35.146941465291093</c:v>
                </c:pt>
                <c:pt idx="483">
                  <c:v>34.874590446183447</c:v>
                </c:pt>
                <c:pt idx="484">
                  <c:v>34.601585650143079</c:v>
                </c:pt>
                <c:pt idx="485">
                  <c:v>34.327956457342935</c:v>
                </c:pt>
                <c:pt idx="486">
                  <c:v>34.053732352085447</c:v>
                </c:pt>
                <c:pt idx="487">
                  <c:v>33.778942917719789</c:v>
                </c:pt>
                <c:pt idx="488">
                  <c:v>33.503617831539728</c:v>
                </c:pt>
                <c:pt idx="489">
                  <c:v>33.227786859657797</c:v>
                </c:pt>
                <c:pt idx="490">
                  <c:v>32.95147985185281</c:v>
                </c:pt>
                <c:pt idx="491">
                  <c:v>32.674726736388223</c:v>
                </c:pt>
                <c:pt idx="492">
                  <c:v>32.397557514800724</c:v>
                </c:pt>
                <c:pt idx="493">
                  <c:v>32.12000225665804</c:v>
                </c:pt>
                <c:pt idx="494">
                  <c:v>31.842091094286062</c:v>
                </c:pt>
                <c:pt idx="495">
                  <c:v>31.563854217465845</c:v>
                </c:pt>
                <c:pt idx="496">
                  <c:v>31.28532186810051</c:v>
                </c:pt>
                <c:pt idx="497">
                  <c:v>31.006524334853438</c:v>
                </c:pt>
                <c:pt idx="498">
                  <c:v>30.727491947758224</c:v>
                </c:pt>
                <c:pt idx="499">
                  <c:v>30.448255072801601</c:v>
                </c:pt>
                <c:pt idx="500">
                  <c:v>30.168844106480634</c:v>
                </c:pt>
                <c:pt idx="501">
                  <c:v>29.8892894703351</c:v>
                </c:pt>
                <c:pt idx="502">
                  <c:v>29.609621605456539</c:v>
                </c:pt>
                <c:pt idx="503">
                  <c:v>29.329870966975108</c:v>
                </c:pt>
                <c:pt idx="504">
                  <c:v>29.050068018525664</c:v>
                </c:pt>
                <c:pt idx="505">
                  <c:v>28.770243226694546</c:v>
                </c:pt>
                <c:pt idx="506">
                  <c:v>28.490427055448109</c:v>
                </c:pt>
                <c:pt idx="507">
                  <c:v>28.210649960544686</c:v>
                </c:pt>
                <c:pt idx="508">
                  <c:v>27.930942383931296</c:v>
                </c:pt>
                <c:pt idx="509">
                  <c:v>27.651334748126544</c:v>
                </c:pt>
                <c:pt idx="510">
                  <c:v>27.371857450591193</c:v>
                </c:pt>
                <c:pt idx="511">
                  <c:v>27.092540858087531</c:v>
                </c:pt>
                <c:pt idx="512">
                  <c:v>26.813415301029693</c:v>
                </c:pt>
                <c:pt idx="513">
                  <c:v>26.534511067825505</c:v>
                </c:pt>
                <c:pt idx="514">
                  <c:v>26.255858399212244</c:v>
                </c:pt>
                <c:pt idx="515">
                  <c:v>25.977487482586923</c:v>
                </c:pt>
                <c:pt idx="516">
                  <c:v>25.699428446333343</c:v>
                </c:pt>
                <c:pt idx="517">
                  <c:v>25.421711354146993</c:v>
                </c:pt>
                <c:pt idx="518">
                  <c:v>25.144366199359283</c:v>
                </c:pt>
                <c:pt idx="519">
                  <c:v>24.867422899262806</c:v>
                </c:pt>
                <c:pt idx="520">
                  <c:v>24.590911289439305</c:v>
                </c:pt>
                <c:pt idx="521">
                  <c:v>24.314861118091201</c:v>
                </c:pt>
                <c:pt idx="522">
                  <c:v>24.039302040378907</c:v>
                </c:pt>
                <c:pt idx="523">
                  <c:v>23.764263612765291</c:v>
                </c:pt>
                <c:pt idx="524">
                  <c:v>23.489775287368438</c:v>
                </c:pt>
                <c:pt idx="525">
                  <c:v>23.215866406324736</c:v>
                </c:pt>
                <c:pt idx="526">
                  <c:v>22.942566196163554</c:v>
                </c:pt>
                <c:pt idx="527">
                  <c:v>22.669903762195048</c:v>
                </c:pt>
                <c:pt idx="528">
                  <c:v>22.397908082912849</c:v>
                </c:pt>
                <c:pt idx="529">
                  <c:v>22.126608004412844</c:v>
                </c:pt>
                <c:pt idx="530">
                  <c:v>21.85603223482984</c:v>
                </c:pt>
                <c:pt idx="531">
                  <c:v>21.586209338793651</c:v>
                </c:pt>
                <c:pt idx="532">
                  <c:v>21.31716773190584</c:v>
                </c:pt>
                <c:pt idx="533">
                  <c:v>21.048935675239193</c:v>
                </c:pt>
                <c:pt idx="534">
                  <c:v>20.781541269860767</c:v>
                </c:pt>
                <c:pt idx="535">
                  <c:v>20.51501245138077</c:v>
                </c:pt>
                <c:pt idx="536">
                  <c:v>20.249376984528197</c:v>
                </c:pt>
                <c:pt idx="537">
                  <c:v>19.984662457755164</c:v>
                </c:pt>
                <c:pt idx="538">
                  <c:v>19.720896277871034</c:v>
                </c:pt>
                <c:pt idx="539">
                  <c:v>19.458105664708413</c:v>
                </c:pt>
                <c:pt idx="540">
                  <c:v>19.196317645821978</c:v>
                </c:pt>
                <c:pt idx="541">
                  <c:v>18.935559051221887</c:v>
                </c:pt>
                <c:pt idx="542">
                  <c:v>18.675856508143426</c:v>
                </c:pt>
                <c:pt idx="543">
                  <c:v>18.417236435853866</c:v>
                </c:pt>
                <c:pt idx="544">
                  <c:v>18.159725040498742</c:v>
                </c:pt>
                <c:pt idx="545">
                  <c:v>17.903348309988132</c:v>
                </c:pt>
                <c:pt idx="546">
                  <c:v>17.648132008925444</c:v>
                </c:pt>
                <c:pt idx="547">
                  <c:v>17.394101673579101</c:v>
                </c:pt>
                <c:pt idx="548">
                  <c:v>17.141282606899352</c:v>
                </c:pt>
                <c:pt idx="549">
                  <c:v>16.889699873581222</c:v>
                </c:pt>
                <c:pt idx="550">
                  <c:v>16.639378295175291</c:v>
                </c:pt>
                <c:pt idx="551">
                  <c:v>16.390342445247413</c:v>
                </c:pt>
                <c:pt idx="552">
                  <c:v>16.142616644588983</c:v>
                </c:pt>
                <c:pt idx="553">
                  <c:v>15.896224956479088</c:v>
                </c:pt>
                <c:pt idx="554">
                  <c:v>15.651191181999934</c:v>
                </c:pt>
                <c:pt idx="555">
                  <c:v>15.407538855406827</c:v>
                </c:pt>
                <c:pt idx="556">
                  <c:v>15.16529123955408</c:v>
                </c:pt>
                <c:pt idx="557">
                  <c:v>14.924471321378192</c:v>
                </c:pt>
                <c:pt idx="558">
                  <c:v>14.685101807439679</c:v>
                </c:pt>
                <c:pt idx="559">
                  <c:v>14.447205119524696</c:v>
                </c:pt>
                <c:pt idx="560">
                  <c:v>14.210803390307817</c:v>
                </c:pt>
                <c:pt idx="561">
                  <c:v>13.975918459077306</c:v>
                </c:pt>
                <c:pt idx="562">
                  <c:v>13.742571867523864</c:v>
                </c:pt>
                <c:pt idx="563">
                  <c:v>13.510784855594565</c:v>
                </c:pt>
                <c:pt idx="564">
                  <c:v>13.280578357412594</c:v>
                </c:pt>
                <c:pt idx="565">
                  <c:v>13.051972997264414</c:v>
                </c:pt>
                <c:pt idx="566">
                  <c:v>12.824989085655375</c:v>
                </c:pt>
                <c:pt idx="567">
                  <c:v>12.599646615434921</c:v>
                </c:pt>
                <c:pt idx="568">
                  <c:v>12.375965257992604</c:v>
                </c:pt>
                <c:pt idx="569">
                  <c:v>12.153964359525801</c:v>
                </c:pt>
                <c:pt idx="570">
                  <c:v>11.933662937380504</c:v>
                </c:pt>
                <c:pt idx="571">
                  <c:v>11.774069085736473</c:v>
                </c:pt>
                <c:pt idx="572">
                  <c:v>11.581833487002168</c:v>
                </c:pt>
                <c:pt idx="573">
                  <c:v>11.403711134856076</c:v>
                </c:pt>
                <c:pt idx="574">
                  <c:v>11.245903772308059</c:v>
                </c:pt>
                <c:pt idx="575">
                  <c:v>11.094437227982883</c:v>
                </c:pt>
                <c:pt idx="576">
                  <c:v>10.93839779141228</c:v>
                </c:pt>
                <c:pt idx="577">
                  <c:v>10.786558764753783</c:v>
                </c:pt>
                <c:pt idx="578">
                  <c:v>10.652288872929699</c:v>
                </c:pt>
                <c:pt idx="579">
                  <c:v>10.521421594328439</c:v>
                </c:pt>
                <c:pt idx="580">
                  <c:v>10.395704219159949</c:v>
                </c:pt>
                <c:pt idx="581">
                  <c:v>10.27542236454812</c:v>
                </c:pt>
                <c:pt idx="582">
                  <c:v>10.163600886773242</c:v>
                </c:pt>
                <c:pt idx="583">
                  <c:v>10.060927840182323</c:v>
                </c:pt>
                <c:pt idx="584">
                  <c:v>9.9721534570195232</c:v>
                </c:pt>
                <c:pt idx="585">
                  <c:v>9.8993124696741823</c:v>
                </c:pt>
                <c:pt idx="586">
                  <c:v>9.8308627256869752</c:v>
                </c:pt>
                <c:pt idx="587">
                  <c:v>9.7519614034843354</c:v>
                </c:pt>
                <c:pt idx="588">
                  <c:v>9.6784706022398961</c:v>
                </c:pt>
                <c:pt idx="589">
                  <c:v>9.606450200650956</c:v>
                </c:pt>
                <c:pt idx="590">
                  <c:v>9.5400345382830896</c:v>
                </c:pt>
                <c:pt idx="591">
                  <c:v>9.4810010410818286</c:v>
                </c:pt>
                <c:pt idx="592">
                  <c:v>9.4243104171921068</c:v>
                </c:pt>
                <c:pt idx="593">
                  <c:v>9.3533845112738536</c:v>
                </c:pt>
                <c:pt idx="594">
                  <c:v>9.282989529555179</c:v>
                </c:pt>
                <c:pt idx="595">
                  <c:v>9.2236734644774501</c:v>
                </c:pt>
                <c:pt idx="596">
                  <c:v>9.1783736120414385</c:v>
                </c:pt>
                <c:pt idx="597">
                  <c:v>9.1299405474182453</c:v>
                </c:pt>
                <c:pt idx="598">
                  <c:v>9.0699605569319957</c:v>
                </c:pt>
                <c:pt idx="599">
                  <c:v>9.006230201046316</c:v>
                </c:pt>
                <c:pt idx="600">
                  <c:v>8.9290480053835797</c:v>
                </c:pt>
                <c:pt idx="601">
                  <c:v>8.8301654519507426</c:v>
                </c:pt>
                <c:pt idx="602">
                  <c:v>8.7188008232184071</c:v>
                </c:pt>
                <c:pt idx="603">
                  <c:v>8.6002015067471458</c:v>
                </c:pt>
                <c:pt idx="604">
                  <c:v>8.4723520863397006</c:v>
                </c:pt>
                <c:pt idx="605">
                  <c:v>8.3305976626057721</c:v>
                </c:pt>
                <c:pt idx="606">
                  <c:v>8.184242091404812</c:v>
                </c:pt>
                <c:pt idx="607">
                  <c:v>8.0339346718789439</c:v>
                </c:pt>
                <c:pt idx="608">
                  <c:v>7.8743774579480696</c:v>
                </c:pt>
                <c:pt idx="609">
                  <c:v>7.7177277709668637</c:v>
                </c:pt>
                <c:pt idx="610">
                  <c:v>7.5736560923903014</c:v>
                </c:pt>
                <c:pt idx="611">
                  <c:v>7.4204559006537858</c:v>
                </c:pt>
                <c:pt idx="612">
                  <c:v>7.2478763718792409</c:v>
                </c:pt>
                <c:pt idx="613">
                  <c:v>7.0631742307294427</c:v>
                </c:pt>
                <c:pt idx="614">
                  <c:v>6.8972354823910518</c:v>
                </c:pt>
                <c:pt idx="615">
                  <c:v>6.739004086722586</c:v>
                </c:pt>
                <c:pt idx="616">
                  <c:v>6.5814180030951421</c:v>
                </c:pt>
                <c:pt idx="617">
                  <c:v>6.41432018490584</c:v>
                </c:pt>
                <c:pt idx="618">
                  <c:v>6.2437956542216488</c:v>
                </c:pt>
                <c:pt idx="619">
                  <c:v>6.0603113111269158</c:v>
                </c:pt>
                <c:pt idx="620">
                  <c:v>5.8736564096580128</c:v>
                </c:pt>
                <c:pt idx="621">
                  <c:v>5.7111271807397204</c:v>
                </c:pt>
                <c:pt idx="622">
                  <c:v>5.5597726347663174</c:v>
                </c:pt>
                <c:pt idx="623">
                  <c:v>5.4113645842995002</c:v>
                </c:pt>
                <c:pt idx="624">
                  <c:v>5.263753381411524</c:v>
                </c:pt>
                <c:pt idx="625">
                  <c:v>5.1105880737638953</c:v>
                </c:pt>
                <c:pt idx="626">
                  <c:v>4.9508528066100848</c:v>
                </c:pt>
                <c:pt idx="627">
                  <c:v>4.8079815612021672</c:v>
                </c:pt>
                <c:pt idx="628">
                  <c:v>4.6791317294912922</c:v>
                </c:pt>
                <c:pt idx="629">
                  <c:v>4.506501735572316</c:v>
                </c:pt>
                <c:pt idx="630">
                  <c:v>4.3043048050451214</c:v>
                </c:pt>
                <c:pt idx="631">
                  <c:v>4.1036763706733588</c:v>
                </c:pt>
                <c:pt idx="632">
                  <c:v>3.9207188436022533</c:v>
                </c:pt>
                <c:pt idx="633">
                  <c:v>3.7433295914889633</c:v>
                </c:pt>
                <c:pt idx="634">
                  <c:v>3.5738865786071981</c:v>
                </c:pt>
                <c:pt idx="635">
                  <c:v>3.4016982234272568</c:v>
                </c:pt>
                <c:pt idx="636">
                  <c:v>3.2521289071786432</c:v>
                </c:pt>
                <c:pt idx="637">
                  <c:v>3.1176552549179335</c:v>
                </c:pt>
                <c:pt idx="638">
                  <c:v>2.9858139189969863</c:v>
                </c:pt>
                <c:pt idx="639">
                  <c:v>2.8506713952009299</c:v>
                </c:pt>
                <c:pt idx="640">
                  <c:v>2.72673503355951</c:v>
                </c:pt>
                <c:pt idx="641">
                  <c:v>2.6089430304502095</c:v>
                </c:pt>
                <c:pt idx="642">
                  <c:v>2.4973797763371768</c:v>
                </c:pt>
                <c:pt idx="643">
                  <c:v>2.3757185098667932</c:v>
                </c:pt>
                <c:pt idx="644">
                  <c:v>2.2621092362277686</c:v>
                </c:pt>
                <c:pt idx="645">
                  <c:v>2.1504017301353162</c:v>
                </c:pt>
                <c:pt idx="646">
                  <c:v>2.0550875729207094</c:v>
                </c:pt>
                <c:pt idx="647">
                  <c:v>1.9586823926439914</c:v>
                </c:pt>
                <c:pt idx="648">
                  <c:v>1.8712395864414024</c:v>
                </c:pt>
                <c:pt idx="649">
                  <c:v>1.8120220758140262</c:v>
                </c:pt>
                <c:pt idx="650">
                  <c:v>1.7707773158598838</c:v>
                </c:pt>
                <c:pt idx="651">
                  <c:v>1.710426222486346</c:v>
                </c:pt>
                <c:pt idx="652">
                  <c:v>1.645954691655469</c:v>
                </c:pt>
                <c:pt idx="653">
                  <c:v>1.5915983459662726</c:v>
                </c:pt>
                <c:pt idx="654">
                  <c:v>1.5485950780960729</c:v>
                </c:pt>
                <c:pt idx="655">
                  <c:v>1.5012384151201545</c:v>
                </c:pt>
                <c:pt idx="656">
                  <c:v>1.4642346879200934</c:v>
                </c:pt>
                <c:pt idx="657">
                  <c:v>1.4422532970531901</c:v>
                </c:pt>
                <c:pt idx="658">
                  <c:v>1.4044964303668017</c:v>
                </c:pt>
                <c:pt idx="659">
                  <c:v>1.3526349243256599</c:v>
                </c:pt>
                <c:pt idx="660">
                  <c:v>1.2970804244127989</c:v>
                </c:pt>
                <c:pt idx="661">
                  <c:v>1.2516893179109443</c:v>
                </c:pt>
                <c:pt idx="662">
                  <c:v>1.2164031186326765</c:v>
                </c:pt>
                <c:pt idx="663">
                  <c:v>1.1888585630142663</c:v>
                </c:pt>
                <c:pt idx="664">
                  <c:v>1.1505963184872654</c:v>
                </c:pt>
                <c:pt idx="665">
                  <c:v>1.0941690104843051</c:v>
                </c:pt>
                <c:pt idx="666">
                  <c:v>1.0493799837570552</c:v>
                </c:pt>
                <c:pt idx="667">
                  <c:v>1.0126978646002478</c:v>
                </c:pt>
                <c:pt idx="668">
                  <c:v>0.81015829168019826</c:v>
                </c:pt>
                <c:pt idx="669">
                  <c:v>0.60761871876014872</c:v>
                </c:pt>
                <c:pt idx="670">
                  <c:v>0.40507914584009913</c:v>
                </c:pt>
                <c:pt idx="671">
                  <c:v>0.20253957292004957</c:v>
                </c:pt>
                <c:pt idx="672">
                  <c:v>0</c:v>
                </c:pt>
                <c:pt idx="673">
                  <c:v>0</c:v>
                </c:pt>
                <c:pt idx="674">
                  <c:v>0</c:v>
                </c:pt>
                <c:pt idx="675">
                  <c:v>0</c:v>
                </c:pt>
                <c:pt idx="676">
                  <c:v>0</c:v>
                </c:pt>
                <c:pt idx="677">
                  <c:v>0</c:v>
                </c:pt>
                <c:pt idx="678">
                  <c:v>0</c:v>
                </c:pt>
              </c:numCache>
            </c:numRef>
          </c:yVal>
        </c:ser>
        <c:ser>
          <c:idx val="0"/>
          <c:order val="1"/>
          <c:tx>
            <c:strRef>
              <c:f>Data!$C$1</c:f>
              <c:strCache>
                <c:ptCount val="1"/>
                <c:pt idx="0">
                  <c:v>Fit</c:v>
                </c:pt>
              </c:strCache>
            </c:strRef>
          </c:tx>
          <c:spPr>
            <a:ln w="3175">
              <a:solidFill>
                <a:srgbClr val="000080"/>
              </a:solidFill>
              <a:prstDash val="solid"/>
            </a:ln>
          </c:spPr>
          <c:marker>
            <c:symbol val="none"/>
          </c:marker>
          <c:xVal>
            <c:numRef>
              <c:f>Data!$A$2:$A$700</c:f>
              <c:numCache>
                <c:formatCode>0.000</c:formatCode>
                <c:ptCount val="699"/>
                <c:pt idx="0">
                  <c:v>1</c:v>
                </c:pt>
                <c:pt idx="1">
                  <c:v>3</c:v>
                </c:pt>
                <c:pt idx="2">
                  <c:v>5</c:v>
                </c:pt>
                <c:pt idx="3">
                  <c:v>7</c:v>
                </c:pt>
                <c:pt idx="4">
                  <c:v>9</c:v>
                </c:pt>
                <c:pt idx="5">
                  <c:v>11</c:v>
                </c:pt>
                <c:pt idx="6">
                  <c:v>13</c:v>
                </c:pt>
                <c:pt idx="7">
                  <c:v>15</c:v>
                </c:pt>
                <c:pt idx="8">
                  <c:v>17</c:v>
                </c:pt>
                <c:pt idx="9">
                  <c:v>19</c:v>
                </c:pt>
                <c:pt idx="10">
                  <c:v>21</c:v>
                </c:pt>
                <c:pt idx="11">
                  <c:v>23</c:v>
                </c:pt>
                <c:pt idx="12">
                  <c:v>25</c:v>
                </c:pt>
                <c:pt idx="13">
                  <c:v>27</c:v>
                </c:pt>
                <c:pt idx="14">
                  <c:v>29</c:v>
                </c:pt>
                <c:pt idx="15">
                  <c:v>31</c:v>
                </c:pt>
                <c:pt idx="16">
                  <c:v>33</c:v>
                </c:pt>
                <c:pt idx="17">
                  <c:v>35</c:v>
                </c:pt>
                <c:pt idx="18">
                  <c:v>37</c:v>
                </c:pt>
                <c:pt idx="19">
                  <c:v>39</c:v>
                </c:pt>
                <c:pt idx="20">
                  <c:v>41</c:v>
                </c:pt>
                <c:pt idx="21">
                  <c:v>43</c:v>
                </c:pt>
                <c:pt idx="22">
                  <c:v>45</c:v>
                </c:pt>
                <c:pt idx="23">
                  <c:v>47</c:v>
                </c:pt>
                <c:pt idx="24">
                  <c:v>49</c:v>
                </c:pt>
                <c:pt idx="25">
                  <c:v>51</c:v>
                </c:pt>
                <c:pt idx="26">
                  <c:v>53</c:v>
                </c:pt>
                <c:pt idx="27">
                  <c:v>55</c:v>
                </c:pt>
                <c:pt idx="28">
                  <c:v>57</c:v>
                </c:pt>
                <c:pt idx="29">
                  <c:v>59</c:v>
                </c:pt>
                <c:pt idx="30">
                  <c:v>61</c:v>
                </c:pt>
                <c:pt idx="31">
                  <c:v>63</c:v>
                </c:pt>
                <c:pt idx="32">
                  <c:v>65</c:v>
                </c:pt>
                <c:pt idx="33">
                  <c:v>67</c:v>
                </c:pt>
                <c:pt idx="34">
                  <c:v>69</c:v>
                </c:pt>
                <c:pt idx="35">
                  <c:v>71</c:v>
                </c:pt>
                <c:pt idx="36">
                  <c:v>73</c:v>
                </c:pt>
                <c:pt idx="37">
                  <c:v>75</c:v>
                </c:pt>
                <c:pt idx="38">
                  <c:v>77</c:v>
                </c:pt>
                <c:pt idx="39">
                  <c:v>79</c:v>
                </c:pt>
                <c:pt idx="40">
                  <c:v>81</c:v>
                </c:pt>
                <c:pt idx="41">
                  <c:v>83</c:v>
                </c:pt>
                <c:pt idx="42">
                  <c:v>85</c:v>
                </c:pt>
                <c:pt idx="43">
                  <c:v>87</c:v>
                </c:pt>
                <c:pt idx="44">
                  <c:v>89</c:v>
                </c:pt>
                <c:pt idx="45">
                  <c:v>91</c:v>
                </c:pt>
                <c:pt idx="46">
                  <c:v>93</c:v>
                </c:pt>
                <c:pt idx="47">
                  <c:v>95</c:v>
                </c:pt>
                <c:pt idx="48">
                  <c:v>97</c:v>
                </c:pt>
                <c:pt idx="49">
                  <c:v>99</c:v>
                </c:pt>
                <c:pt idx="50">
                  <c:v>101</c:v>
                </c:pt>
                <c:pt idx="51">
                  <c:v>103</c:v>
                </c:pt>
                <c:pt idx="52">
                  <c:v>105</c:v>
                </c:pt>
                <c:pt idx="53">
                  <c:v>107</c:v>
                </c:pt>
                <c:pt idx="54">
                  <c:v>109</c:v>
                </c:pt>
                <c:pt idx="55">
                  <c:v>111</c:v>
                </c:pt>
                <c:pt idx="56">
                  <c:v>113</c:v>
                </c:pt>
                <c:pt idx="57">
                  <c:v>115</c:v>
                </c:pt>
                <c:pt idx="58">
                  <c:v>117</c:v>
                </c:pt>
                <c:pt idx="59">
                  <c:v>119</c:v>
                </c:pt>
                <c:pt idx="60">
                  <c:v>121</c:v>
                </c:pt>
                <c:pt idx="61">
                  <c:v>123</c:v>
                </c:pt>
                <c:pt idx="62">
                  <c:v>125</c:v>
                </c:pt>
                <c:pt idx="63">
                  <c:v>127</c:v>
                </c:pt>
                <c:pt idx="64">
                  <c:v>129</c:v>
                </c:pt>
                <c:pt idx="65">
                  <c:v>131</c:v>
                </c:pt>
                <c:pt idx="66">
                  <c:v>133</c:v>
                </c:pt>
                <c:pt idx="67">
                  <c:v>135</c:v>
                </c:pt>
                <c:pt idx="68">
                  <c:v>137</c:v>
                </c:pt>
                <c:pt idx="69">
                  <c:v>139</c:v>
                </c:pt>
                <c:pt idx="70">
                  <c:v>141</c:v>
                </c:pt>
                <c:pt idx="71">
                  <c:v>143</c:v>
                </c:pt>
                <c:pt idx="72">
                  <c:v>145</c:v>
                </c:pt>
                <c:pt idx="73">
                  <c:v>147</c:v>
                </c:pt>
                <c:pt idx="74">
                  <c:v>149</c:v>
                </c:pt>
                <c:pt idx="75">
                  <c:v>151</c:v>
                </c:pt>
                <c:pt idx="76">
                  <c:v>153</c:v>
                </c:pt>
                <c:pt idx="77">
                  <c:v>155</c:v>
                </c:pt>
                <c:pt idx="78">
                  <c:v>157</c:v>
                </c:pt>
                <c:pt idx="79">
                  <c:v>159</c:v>
                </c:pt>
                <c:pt idx="80">
                  <c:v>161</c:v>
                </c:pt>
                <c:pt idx="81">
                  <c:v>163</c:v>
                </c:pt>
                <c:pt idx="82">
                  <c:v>165</c:v>
                </c:pt>
                <c:pt idx="83">
                  <c:v>167</c:v>
                </c:pt>
                <c:pt idx="84">
                  <c:v>169</c:v>
                </c:pt>
                <c:pt idx="85">
                  <c:v>171</c:v>
                </c:pt>
                <c:pt idx="86">
                  <c:v>173</c:v>
                </c:pt>
                <c:pt idx="87">
                  <c:v>175</c:v>
                </c:pt>
                <c:pt idx="88">
                  <c:v>177</c:v>
                </c:pt>
                <c:pt idx="89">
                  <c:v>179</c:v>
                </c:pt>
                <c:pt idx="90">
                  <c:v>181</c:v>
                </c:pt>
                <c:pt idx="91">
                  <c:v>183</c:v>
                </c:pt>
                <c:pt idx="92">
                  <c:v>185</c:v>
                </c:pt>
                <c:pt idx="93">
                  <c:v>187</c:v>
                </c:pt>
                <c:pt idx="94">
                  <c:v>189</c:v>
                </c:pt>
                <c:pt idx="95">
                  <c:v>191</c:v>
                </c:pt>
                <c:pt idx="96">
                  <c:v>193</c:v>
                </c:pt>
                <c:pt idx="97">
                  <c:v>195</c:v>
                </c:pt>
                <c:pt idx="98">
                  <c:v>197</c:v>
                </c:pt>
                <c:pt idx="99">
                  <c:v>199</c:v>
                </c:pt>
                <c:pt idx="100">
                  <c:v>201</c:v>
                </c:pt>
                <c:pt idx="101">
                  <c:v>203</c:v>
                </c:pt>
                <c:pt idx="102">
                  <c:v>205</c:v>
                </c:pt>
                <c:pt idx="103">
                  <c:v>207</c:v>
                </c:pt>
                <c:pt idx="104">
                  <c:v>209</c:v>
                </c:pt>
                <c:pt idx="105">
                  <c:v>211</c:v>
                </c:pt>
                <c:pt idx="106">
                  <c:v>213</c:v>
                </c:pt>
                <c:pt idx="107">
                  <c:v>215</c:v>
                </c:pt>
                <c:pt idx="108">
                  <c:v>217</c:v>
                </c:pt>
                <c:pt idx="109">
                  <c:v>219</c:v>
                </c:pt>
                <c:pt idx="110">
                  <c:v>221</c:v>
                </c:pt>
                <c:pt idx="111">
                  <c:v>223</c:v>
                </c:pt>
                <c:pt idx="112">
                  <c:v>225</c:v>
                </c:pt>
                <c:pt idx="113">
                  <c:v>227</c:v>
                </c:pt>
                <c:pt idx="114">
                  <c:v>229</c:v>
                </c:pt>
                <c:pt idx="115">
                  <c:v>231</c:v>
                </c:pt>
                <c:pt idx="116">
                  <c:v>233</c:v>
                </c:pt>
                <c:pt idx="117">
                  <c:v>235</c:v>
                </c:pt>
                <c:pt idx="118">
                  <c:v>237</c:v>
                </c:pt>
                <c:pt idx="119">
                  <c:v>239</c:v>
                </c:pt>
                <c:pt idx="120">
                  <c:v>241</c:v>
                </c:pt>
                <c:pt idx="121">
                  <c:v>243</c:v>
                </c:pt>
                <c:pt idx="122">
                  <c:v>245</c:v>
                </c:pt>
                <c:pt idx="123">
                  <c:v>247</c:v>
                </c:pt>
                <c:pt idx="124">
                  <c:v>249</c:v>
                </c:pt>
                <c:pt idx="125">
                  <c:v>251</c:v>
                </c:pt>
                <c:pt idx="126">
                  <c:v>253</c:v>
                </c:pt>
                <c:pt idx="127">
                  <c:v>255</c:v>
                </c:pt>
                <c:pt idx="128">
                  <c:v>257</c:v>
                </c:pt>
                <c:pt idx="129">
                  <c:v>259</c:v>
                </c:pt>
                <c:pt idx="130">
                  <c:v>261</c:v>
                </c:pt>
                <c:pt idx="131">
                  <c:v>263</c:v>
                </c:pt>
                <c:pt idx="132">
                  <c:v>265</c:v>
                </c:pt>
                <c:pt idx="133">
                  <c:v>267</c:v>
                </c:pt>
                <c:pt idx="134">
                  <c:v>269</c:v>
                </c:pt>
                <c:pt idx="135">
                  <c:v>271</c:v>
                </c:pt>
                <c:pt idx="136">
                  <c:v>273</c:v>
                </c:pt>
                <c:pt idx="137">
                  <c:v>275</c:v>
                </c:pt>
                <c:pt idx="138">
                  <c:v>277</c:v>
                </c:pt>
                <c:pt idx="139">
                  <c:v>279</c:v>
                </c:pt>
                <c:pt idx="140">
                  <c:v>281</c:v>
                </c:pt>
                <c:pt idx="141">
                  <c:v>283</c:v>
                </c:pt>
                <c:pt idx="142">
                  <c:v>285</c:v>
                </c:pt>
                <c:pt idx="143">
                  <c:v>287</c:v>
                </c:pt>
                <c:pt idx="144">
                  <c:v>289</c:v>
                </c:pt>
                <c:pt idx="145">
                  <c:v>291</c:v>
                </c:pt>
                <c:pt idx="146">
                  <c:v>293</c:v>
                </c:pt>
                <c:pt idx="147">
                  <c:v>295</c:v>
                </c:pt>
                <c:pt idx="148">
                  <c:v>297</c:v>
                </c:pt>
                <c:pt idx="149">
                  <c:v>299</c:v>
                </c:pt>
                <c:pt idx="150">
                  <c:v>301</c:v>
                </c:pt>
                <c:pt idx="151">
                  <c:v>303</c:v>
                </c:pt>
                <c:pt idx="152">
                  <c:v>305</c:v>
                </c:pt>
                <c:pt idx="153">
                  <c:v>307</c:v>
                </c:pt>
                <c:pt idx="154">
                  <c:v>309</c:v>
                </c:pt>
                <c:pt idx="155">
                  <c:v>311</c:v>
                </c:pt>
                <c:pt idx="156">
                  <c:v>313</c:v>
                </c:pt>
                <c:pt idx="157">
                  <c:v>315</c:v>
                </c:pt>
                <c:pt idx="158">
                  <c:v>317</c:v>
                </c:pt>
                <c:pt idx="159">
                  <c:v>319</c:v>
                </c:pt>
                <c:pt idx="160">
                  <c:v>321</c:v>
                </c:pt>
                <c:pt idx="161">
                  <c:v>323</c:v>
                </c:pt>
                <c:pt idx="162">
                  <c:v>325</c:v>
                </c:pt>
                <c:pt idx="163">
                  <c:v>327</c:v>
                </c:pt>
                <c:pt idx="164">
                  <c:v>329</c:v>
                </c:pt>
                <c:pt idx="165">
                  <c:v>331</c:v>
                </c:pt>
                <c:pt idx="166">
                  <c:v>333</c:v>
                </c:pt>
                <c:pt idx="167">
                  <c:v>335</c:v>
                </c:pt>
                <c:pt idx="168">
                  <c:v>337</c:v>
                </c:pt>
                <c:pt idx="169">
                  <c:v>339</c:v>
                </c:pt>
                <c:pt idx="170">
                  <c:v>341</c:v>
                </c:pt>
                <c:pt idx="171">
                  <c:v>343</c:v>
                </c:pt>
                <c:pt idx="172">
                  <c:v>345</c:v>
                </c:pt>
                <c:pt idx="173">
                  <c:v>347</c:v>
                </c:pt>
                <c:pt idx="174">
                  <c:v>349</c:v>
                </c:pt>
                <c:pt idx="175">
                  <c:v>351</c:v>
                </c:pt>
                <c:pt idx="176">
                  <c:v>353</c:v>
                </c:pt>
                <c:pt idx="177">
                  <c:v>355</c:v>
                </c:pt>
                <c:pt idx="178">
                  <c:v>357</c:v>
                </c:pt>
                <c:pt idx="179">
                  <c:v>359</c:v>
                </c:pt>
                <c:pt idx="180">
                  <c:v>361</c:v>
                </c:pt>
                <c:pt idx="181">
                  <c:v>363</c:v>
                </c:pt>
                <c:pt idx="182">
                  <c:v>365</c:v>
                </c:pt>
                <c:pt idx="183">
                  <c:v>367</c:v>
                </c:pt>
                <c:pt idx="184">
                  <c:v>369</c:v>
                </c:pt>
                <c:pt idx="185">
                  <c:v>371</c:v>
                </c:pt>
                <c:pt idx="186">
                  <c:v>373</c:v>
                </c:pt>
                <c:pt idx="187">
                  <c:v>375</c:v>
                </c:pt>
                <c:pt idx="188">
                  <c:v>377</c:v>
                </c:pt>
                <c:pt idx="189">
                  <c:v>379</c:v>
                </c:pt>
                <c:pt idx="190">
                  <c:v>381</c:v>
                </c:pt>
                <c:pt idx="191">
                  <c:v>383</c:v>
                </c:pt>
                <c:pt idx="192">
                  <c:v>385</c:v>
                </c:pt>
                <c:pt idx="193">
                  <c:v>387</c:v>
                </c:pt>
                <c:pt idx="194">
                  <c:v>389</c:v>
                </c:pt>
                <c:pt idx="195">
                  <c:v>391</c:v>
                </c:pt>
                <c:pt idx="196">
                  <c:v>393</c:v>
                </c:pt>
                <c:pt idx="197">
                  <c:v>395</c:v>
                </c:pt>
                <c:pt idx="198">
                  <c:v>397</c:v>
                </c:pt>
                <c:pt idx="199">
                  <c:v>399</c:v>
                </c:pt>
                <c:pt idx="200">
                  <c:v>401</c:v>
                </c:pt>
                <c:pt idx="201">
                  <c:v>403</c:v>
                </c:pt>
                <c:pt idx="202">
                  <c:v>405</c:v>
                </c:pt>
                <c:pt idx="203">
                  <c:v>407</c:v>
                </c:pt>
                <c:pt idx="204">
                  <c:v>409</c:v>
                </c:pt>
                <c:pt idx="205">
                  <c:v>411</c:v>
                </c:pt>
                <c:pt idx="206">
                  <c:v>413</c:v>
                </c:pt>
                <c:pt idx="207">
                  <c:v>415</c:v>
                </c:pt>
                <c:pt idx="208">
                  <c:v>417</c:v>
                </c:pt>
                <c:pt idx="209">
                  <c:v>419</c:v>
                </c:pt>
                <c:pt idx="210">
                  <c:v>421</c:v>
                </c:pt>
                <c:pt idx="211">
                  <c:v>423</c:v>
                </c:pt>
                <c:pt idx="212">
                  <c:v>425</c:v>
                </c:pt>
                <c:pt idx="213">
                  <c:v>427</c:v>
                </c:pt>
                <c:pt idx="214">
                  <c:v>429</c:v>
                </c:pt>
                <c:pt idx="215">
                  <c:v>431</c:v>
                </c:pt>
                <c:pt idx="216">
                  <c:v>433</c:v>
                </c:pt>
                <c:pt idx="217">
                  <c:v>435</c:v>
                </c:pt>
                <c:pt idx="218">
                  <c:v>437</c:v>
                </c:pt>
                <c:pt idx="219">
                  <c:v>439</c:v>
                </c:pt>
                <c:pt idx="220">
                  <c:v>441</c:v>
                </c:pt>
                <c:pt idx="221">
                  <c:v>443</c:v>
                </c:pt>
                <c:pt idx="222">
                  <c:v>445</c:v>
                </c:pt>
                <c:pt idx="223">
                  <c:v>447</c:v>
                </c:pt>
                <c:pt idx="224">
                  <c:v>449</c:v>
                </c:pt>
                <c:pt idx="225">
                  <c:v>451</c:v>
                </c:pt>
                <c:pt idx="226">
                  <c:v>453</c:v>
                </c:pt>
                <c:pt idx="227">
                  <c:v>455</c:v>
                </c:pt>
                <c:pt idx="228">
                  <c:v>457</c:v>
                </c:pt>
                <c:pt idx="229">
                  <c:v>459</c:v>
                </c:pt>
                <c:pt idx="230">
                  <c:v>461</c:v>
                </c:pt>
                <c:pt idx="231">
                  <c:v>463</c:v>
                </c:pt>
                <c:pt idx="232">
                  <c:v>465</c:v>
                </c:pt>
                <c:pt idx="233">
                  <c:v>467</c:v>
                </c:pt>
                <c:pt idx="234">
                  <c:v>469</c:v>
                </c:pt>
                <c:pt idx="235">
                  <c:v>471</c:v>
                </c:pt>
                <c:pt idx="236">
                  <c:v>473</c:v>
                </c:pt>
                <c:pt idx="237">
                  <c:v>475</c:v>
                </c:pt>
                <c:pt idx="238">
                  <c:v>477</c:v>
                </c:pt>
                <c:pt idx="239">
                  <c:v>479</c:v>
                </c:pt>
                <c:pt idx="240">
                  <c:v>481</c:v>
                </c:pt>
                <c:pt idx="241">
                  <c:v>483</c:v>
                </c:pt>
                <c:pt idx="242">
                  <c:v>485</c:v>
                </c:pt>
                <c:pt idx="243">
                  <c:v>487</c:v>
                </c:pt>
                <c:pt idx="244">
                  <c:v>489</c:v>
                </c:pt>
                <c:pt idx="245">
                  <c:v>491</c:v>
                </c:pt>
                <c:pt idx="246">
                  <c:v>493</c:v>
                </c:pt>
                <c:pt idx="247">
                  <c:v>495</c:v>
                </c:pt>
                <c:pt idx="248">
                  <c:v>497</c:v>
                </c:pt>
                <c:pt idx="249">
                  <c:v>499</c:v>
                </c:pt>
                <c:pt idx="250">
                  <c:v>501</c:v>
                </c:pt>
                <c:pt idx="251">
                  <c:v>503</c:v>
                </c:pt>
                <c:pt idx="252">
                  <c:v>505</c:v>
                </c:pt>
                <c:pt idx="253">
                  <c:v>507</c:v>
                </c:pt>
                <c:pt idx="254">
                  <c:v>509</c:v>
                </c:pt>
                <c:pt idx="255">
                  <c:v>511</c:v>
                </c:pt>
                <c:pt idx="256">
                  <c:v>513</c:v>
                </c:pt>
                <c:pt idx="257">
                  <c:v>515</c:v>
                </c:pt>
                <c:pt idx="258">
                  <c:v>517</c:v>
                </c:pt>
                <c:pt idx="259">
                  <c:v>519</c:v>
                </c:pt>
                <c:pt idx="260">
                  <c:v>521</c:v>
                </c:pt>
                <c:pt idx="261">
                  <c:v>523</c:v>
                </c:pt>
                <c:pt idx="262">
                  <c:v>525</c:v>
                </c:pt>
                <c:pt idx="263">
                  <c:v>527</c:v>
                </c:pt>
                <c:pt idx="264">
                  <c:v>529</c:v>
                </c:pt>
                <c:pt idx="265">
                  <c:v>531</c:v>
                </c:pt>
                <c:pt idx="266">
                  <c:v>533</c:v>
                </c:pt>
                <c:pt idx="267">
                  <c:v>535</c:v>
                </c:pt>
                <c:pt idx="268">
                  <c:v>537</c:v>
                </c:pt>
                <c:pt idx="269">
                  <c:v>539</c:v>
                </c:pt>
                <c:pt idx="270">
                  <c:v>541</c:v>
                </c:pt>
                <c:pt idx="271">
                  <c:v>543</c:v>
                </c:pt>
                <c:pt idx="272">
                  <c:v>545</c:v>
                </c:pt>
                <c:pt idx="273">
                  <c:v>547</c:v>
                </c:pt>
                <c:pt idx="274">
                  <c:v>549</c:v>
                </c:pt>
                <c:pt idx="275">
                  <c:v>551</c:v>
                </c:pt>
                <c:pt idx="276">
                  <c:v>553</c:v>
                </c:pt>
                <c:pt idx="277">
                  <c:v>555</c:v>
                </c:pt>
                <c:pt idx="278">
                  <c:v>557</c:v>
                </c:pt>
                <c:pt idx="279">
                  <c:v>559</c:v>
                </c:pt>
                <c:pt idx="280">
                  <c:v>561</c:v>
                </c:pt>
                <c:pt idx="281">
                  <c:v>563</c:v>
                </c:pt>
                <c:pt idx="282">
                  <c:v>565</c:v>
                </c:pt>
                <c:pt idx="283">
                  <c:v>567</c:v>
                </c:pt>
                <c:pt idx="284">
                  <c:v>569</c:v>
                </c:pt>
                <c:pt idx="285">
                  <c:v>571</c:v>
                </c:pt>
                <c:pt idx="286">
                  <c:v>573</c:v>
                </c:pt>
                <c:pt idx="287">
                  <c:v>575</c:v>
                </c:pt>
                <c:pt idx="288">
                  <c:v>577</c:v>
                </c:pt>
                <c:pt idx="289">
                  <c:v>579</c:v>
                </c:pt>
                <c:pt idx="290">
                  <c:v>581</c:v>
                </c:pt>
                <c:pt idx="291">
                  <c:v>583</c:v>
                </c:pt>
                <c:pt idx="292">
                  <c:v>585</c:v>
                </c:pt>
                <c:pt idx="293">
                  <c:v>587</c:v>
                </c:pt>
                <c:pt idx="294">
                  <c:v>589</c:v>
                </c:pt>
                <c:pt idx="295">
                  <c:v>591</c:v>
                </c:pt>
                <c:pt idx="296">
                  <c:v>593</c:v>
                </c:pt>
                <c:pt idx="297">
                  <c:v>595</c:v>
                </c:pt>
                <c:pt idx="298">
                  <c:v>597</c:v>
                </c:pt>
                <c:pt idx="299">
                  <c:v>599</c:v>
                </c:pt>
                <c:pt idx="300">
                  <c:v>601</c:v>
                </c:pt>
                <c:pt idx="301">
                  <c:v>603</c:v>
                </c:pt>
                <c:pt idx="302">
                  <c:v>605</c:v>
                </c:pt>
                <c:pt idx="303">
                  <c:v>607</c:v>
                </c:pt>
                <c:pt idx="304">
                  <c:v>609</c:v>
                </c:pt>
                <c:pt idx="305">
                  <c:v>611</c:v>
                </c:pt>
                <c:pt idx="306">
                  <c:v>613</c:v>
                </c:pt>
                <c:pt idx="307">
                  <c:v>615</c:v>
                </c:pt>
                <c:pt idx="308">
                  <c:v>617</c:v>
                </c:pt>
                <c:pt idx="309">
                  <c:v>619</c:v>
                </c:pt>
                <c:pt idx="310">
                  <c:v>621</c:v>
                </c:pt>
                <c:pt idx="311">
                  <c:v>623</c:v>
                </c:pt>
                <c:pt idx="312">
                  <c:v>625</c:v>
                </c:pt>
                <c:pt idx="313">
                  <c:v>627</c:v>
                </c:pt>
                <c:pt idx="314">
                  <c:v>629</c:v>
                </c:pt>
                <c:pt idx="315">
                  <c:v>631</c:v>
                </c:pt>
                <c:pt idx="316">
                  <c:v>633</c:v>
                </c:pt>
                <c:pt idx="317">
                  <c:v>635</c:v>
                </c:pt>
                <c:pt idx="318">
                  <c:v>637</c:v>
                </c:pt>
                <c:pt idx="319">
                  <c:v>639</c:v>
                </c:pt>
                <c:pt idx="320">
                  <c:v>641</c:v>
                </c:pt>
                <c:pt idx="321">
                  <c:v>643</c:v>
                </c:pt>
                <c:pt idx="322">
                  <c:v>645</c:v>
                </c:pt>
                <c:pt idx="323">
                  <c:v>647</c:v>
                </c:pt>
                <c:pt idx="324">
                  <c:v>649</c:v>
                </c:pt>
                <c:pt idx="325">
                  <c:v>651</c:v>
                </c:pt>
                <c:pt idx="326">
                  <c:v>653</c:v>
                </c:pt>
                <c:pt idx="327">
                  <c:v>655</c:v>
                </c:pt>
                <c:pt idx="328">
                  <c:v>657</c:v>
                </c:pt>
                <c:pt idx="329">
                  <c:v>659</c:v>
                </c:pt>
                <c:pt idx="330">
                  <c:v>661</c:v>
                </c:pt>
                <c:pt idx="331">
                  <c:v>663</c:v>
                </c:pt>
                <c:pt idx="332">
                  <c:v>665</c:v>
                </c:pt>
                <c:pt idx="333">
                  <c:v>667</c:v>
                </c:pt>
                <c:pt idx="334">
                  <c:v>669</c:v>
                </c:pt>
                <c:pt idx="335">
                  <c:v>671</c:v>
                </c:pt>
                <c:pt idx="336">
                  <c:v>673</c:v>
                </c:pt>
                <c:pt idx="337">
                  <c:v>675</c:v>
                </c:pt>
                <c:pt idx="338">
                  <c:v>677</c:v>
                </c:pt>
                <c:pt idx="339">
                  <c:v>679</c:v>
                </c:pt>
                <c:pt idx="340">
                  <c:v>681</c:v>
                </c:pt>
                <c:pt idx="341">
                  <c:v>683</c:v>
                </c:pt>
                <c:pt idx="342">
                  <c:v>685</c:v>
                </c:pt>
                <c:pt idx="343">
                  <c:v>687</c:v>
                </c:pt>
                <c:pt idx="344">
                  <c:v>689</c:v>
                </c:pt>
                <c:pt idx="345">
                  <c:v>691</c:v>
                </c:pt>
                <c:pt idx="346">
                  <c:v>693</c:v>
                </c:pt>
                <c:pt idx="347">
                  <c:v>695</c:v>
                </c:pt>
                <c:pt idx="348">
                  <c:v>697</c:v>
                </c:pt>
                <c:pt idx="349">
                  <c:v>699</c:v>
                </c:pt>
                <c:pt idx="350">
                  <c:v>701</c:v>
                </c:pt>
                <c:pt idx="351">
                  <c:v>703</c:v>
                </c:pt>
                <c:pt idx="352">
                  <c:v>705</c:v>
                </c:pt>
                <c:pt idx="353">
                  <c:v>707</c:v>
                </c:pt>
                <c:pt idx="354">
                  <c:v>709</c:v>
                </c:pt>
                <c:pt idx="355">
                  <c:v>711</c:v>
                </c:pt>
                <c:pt idx="356">
                  <c:v>713</c:v>
                </c:pt>
                <c:pt idx="357">
                  <c:v>715</c:v>
                </c:pt>
                <c:pt idx="358">
                  <c:v>717</c:v>
                </c:pt>
                <c:pt idx="359">
                  <c:v>719</c:v>
                </c:pt>
                <c:pt idx="360">
                  <c:v>721</c:v>
                </c:pt>
                <c:pt idx="361">
                  <c:v>723</c:v>
                </c:pt>
                <c:pt idx="362">
                  <c:v>725</c:v>
                </c:pt>
                <c:pt idx="363">
                  <c:v>727</c:v>
                </c:pt>
                <c:pt idx="364">
                  <c:v>729</c:v>
                </c:pt>
                <c:pt idx="365">
                  <c:v>731</c:v>
                </c:pt>
                <c:pt idx="366">
                  <c:v>733</c:v>
                </c:pt>
                <c:pt idx="367">
                  <c:v>735</c:v>
                </c:pt>
                <c:pt idx="368">
                  <c:v>737</c:v>
                </c:pt>
                <c:pt idx="369">
                  <c:v>739</c:v>
                </c:pt>
                <c:pt idx="370">
                  <c:v>741</c:v>
                </c:pt>
                <c:pt idx="371">
                  <c:v>743</c:v>
                </c:pt>
                <c:pt idx="372">
                  <c:v>745</c:v>
                </c:pt>
                <c:pt idx="373">
                  <c:v>747</c:v>
                </c:pt>
                <c:pt idx="374">
                  <c:v>749</c:v>
                </c:pt>
                <c:pt idx="375">
                  <c:v>751</c:v>
                </c:pt>
                <c:pt idx="376">
                  <c:v>753</c:v>
                </c:pt>
                <c:pt idx="377">
                  <c:v>755</c:v>
                </c:pt>
                <c:pt idx="378">
                  <c:v>757</c:v>
                </c:pt>
                <c:pt idx="379">
                  <c:v>759</c:v>
                </c:pt>
                <c:pt idx="380">
                  <c:v>761</c:v>
                </c:pt>
                <c:pt idx="381">
                  <c:v>763</c:v>
                </c:pt>
                <c:pt idx="382">
                  <c:v>765</c:v>
                </c:pt>
                <c:pt idx="383">
                  <c:v>767</c:v>
                </c:pt>
                <c:pt idx="384">
                  <c:v>769</c:v>
                </c:pt>
                <c:pt idx="385">
                  <c:v>771</c:v>
                </c:pt>
                <c:pt idx="386">
                  <c:v>773</c:v>
                </c:pt>
                <c:pt idx="387">
                  <c:v>775</c:v>
                </c:pt>
                <c:pt idx="388">
                  <c:v>777</c:v>
                </c:pt>
                <c:pt idx="389">
                  <c:v>779</c:v>
                </c:pt>
                <c:pt idx="390">
                  <c:v>781</c:v>
                </c:pt>
                <c:pt idx="391">
                  <c:v>783</c:v>
                </c:pt>
                <c:pt idx="392">
                  <c:v>785</c:v>
                </c:pt>
                <c:pt idx="393">
                  <c:v>787</c:v>
                </c:pt>
                <c:pt idx="394">
                  <c:v>789</c:v>
                </c:pt>
                <c:pt idx="395">
                  <c:v>791</c:v>
                </c:pt>
                <c:pt idx="396">
                  <c:v>793</c:v>
                </c:pt>
                <c:pt idx="397">
                  <c:v>795</c:v>
                </c:pt>
                <c:pt idx="398">
                  <c:v>797</c:v>
                </c:pt>
                <c:pt idx="399">
                  <c:v>799</c:v>
                </c:pt>
                <c:pt idx="400">
                  <c:v>801</c:v>
                </c:pt>
                <c:pt idx="401">
                  <c:v>803</c:v>
                </c:pt>
                <c:pt idx="402">
                  <c:v>805</c:v>
                </c:pt>
                <c:pt idx="403">
                  <c:v>807</c:v>
                </c:pt>
                <c:pt idx="404">
                  <c:v>809</c:v>
                </c:pt>
                <c:pt idx="405">
                  <c:v>811</c:v>
                </c:pt>
                <c:pt idx="406">
                  <c:v>813</c:v>
                </c:pt>
                <c:pt idx="407">
                  <c:v>815</c:v>
                </c:pt>
                <c:pt idx="408">
                  <c:v>817</c:v>
                </c:pt>
                <c:pt idx="409">
                  <c:v>819</c:v>
                </c:pt>
                <c:pt idx="410">
                  <c:v>821</c:v>
                </c:pt>
                <c:pt idx="411">
                  <c:v>823</c:v>
                </c:pt>
                <c:pt idx="412">
                  <c:v>825</c:v>
                </c:pt>
                <c:pt idx="413">
                  <c:v>827</c:v>
                </c:pt>
                <c:pt idx="414">
                  <c:v>829</c:v>
                </c:pt>
                <c:pt idx="415">
                  <c:v>831</c:v>
                </c:pt>
                <c:pt idx="416">
                  <c:v>833</c:v>
                </c:pt>
                <c:pt idx="417">
                  <c:v>835</c:v>
                </c:pt>
                <c:pt idx="418">
                  <c:v>837</c:v>
                </c:pt>
                <c:pt idx="419">
                  <c:v>839</c:v>
                </c:pt>
                <c:pt idx="420">
                  <c:v>841</c:v>
                </c:pt>
                <c:pt idx="421">
                  <c:v>843</c:v>
                </c:pt>
                <c:pt idx="422">
                  <c:v>845</c:v>
                </c:pt>
                <c:pt idx="423">
                  <c:v>847</c:v>
                </c:pt>
                <c:pt idx="424">
                  <c:v>849</c:v>
                </c:pt>
                <c:pt idx="425">
                  <c:v>851</c:v>
                </c:pt>
                <c:pt idx="426">
                  <c:v>853</c:v>
                </c:pt>
                <c:pt idx="427">
                  <c:v>855</c:v>
                </c:pt>
                <c:pt idx="428">
                  <c:v>857</c:v>
                </c:pt>
                <c:pt idx="429">
                  <c:v>859</c:v>
                </c:pt>
                <c:pt idx="430">
                  <c:v>861</c:v>
                </c:pt>
                <c:pt idx="431">
                  <c:v>863</c:v>
                </c:pt>
                <c:pt idx="432">
                  <c:v>865</c:v>
                </c:pt>
                <c:pt idx="433">
                  <c:v>867</c:v>
                </c:pt>
                <c:pt idx="434">
                  <c:v>869</c:v>
                </c:pt>
                <c:pt idx="435">
                  <c:v>871</c:v>
                </c:pt>
                <c:pt idx="436">
                  <c:v>873</c:v>
                </c:pt>
                <c:pt idx="437">
                  <c:v>875</c:v>
                </c:pt>
                <c:pt idx="438">
                  <c:v>877</c:v>
                </c:pt>
                <c:pt idx="439">
                  <c:v>879</c:v>
                </c:pt>
                <c:pt idx="440">
                  <c:v>881</c:v>
                </c:pt>
                <c:pt idx="441">
                  <c:v>883</c:v>
                </c:pt>
                <c:pt idx="442">
                  <c:v>885</c:v>
                </c:pt>
                <c:pt idx="443">
                  <c:v>887</c:v>
                </c:pt>
                <c:pt idx="444">
                  <c:v>889</c:v>
                </c:pt>
                <c:pt idx="445">
                  <c:v>891</c:v>
                </c:pt>
                <c:pt idx="446">
                  <c:v>893</c:v>
                </c:pt>
                <c:pt idx="447">
                  <c:v>895</c:v>
                </c:pt>
                <c:pt idx="448">
                  <c:v>897</c:v>
                </c:pt>
                <c:pt idx="449">
                  <c:v>899</c:v>
                </c:pt>
                <c:pt idx="450">
                  <c:v>901</c:v>
                </c:pt>
                <c:pt idx="451">
                  <c:v>903</c:v>
                </c:pt>
                <c:pt idx="452">
                  <c:v>905</c:v>
                </c:pt>
                <c:pt idx="453">
                  <c:v>907</c:v>
                </c:pt>
                <c:pt idx="454">
                  <c:v>909</c:v>
                </c:pt>
                <c:pt idx="455">
                  <c:v>911</c:v>
                </c:pt>
                <c:pt idx="456">
                  <c:v>913</c:v>
                </c:pt>
                <c:pt idx="457">
                  <c:v>915</c:v>
                </c:pt>
                <c:pt idx="458">
                  <c:v>917</c:v>
                </c:pt>
                <c:pt idx="459">
                  <c:v>919</c:v>
                </c:pt>
                <c:pt idx="460">
                  <c:v>921</c:v>
                </c:pt>
                <c:pt idx="461">
                  <c:v>923</c:v>
                </c:pt>
                <c:pt idx="462">
                  <c:v>925</c:v>
                </c:pt>
                <c:pt idx="463">
                  <c:v>927</c:v>
                </c:pt>
                <c:pt idx="464">
                  <c:v>929</c:v>
                </c:pt>
                <c:pt idx="465">
                  <c:v>931</c:v>
                </c:pt>
                <c:pt idx="466">
                  <c:v>933</c:v>
                </c:pt>
                <c:pt idx="467">
                  <c:v>935</c:v>
                </c:pt>
                <c:pt idx="468">
                  <c:v>937</c:v>
                </c:pt>
                <c:pt idx="469">
                  <c:v>939</c:v>
                </c:pt>
                <c:pt idx="470">
                  <c:v>941</c:v>
                </c:pt>
                <c:pt idx="471">
                  <c:v>943</c:v>
                </c:pt>
                <c:pt idx="472">
                  <c:v>945</c:v>
                </c:pt>
                <c:pt idx="473">
                  <c:v>947</c:v>
                </c:pt>
                <c:pt idx="474">
                  <c:v>949</c:v>
                </c:pt>
                <c:pt idx="475">
                  <c:v>951</c:v>
                </c:pt>
                <c:pt idx="476">
                  <c:v>953</c:v>
                </c:pt>
                <c:pt idx="477">
                  <c:v>955</c:v>
                </c:pt>
                <c:pt idx="478">
                  <c:v>957</c:v>
                </c:pt>
                <c:pt idx="479">
                  <c:v>959</c:v>
                </c:pt>
                <c:pt idx="480">
                  <c:v>961</c:v>
                </c:pt>
                <c:pt idx="481">
                  <c:v>963</c:v>
                </c:pt>
                <c:pt idx="482">
                  <c:v>965</c:v>
                </c:pt>
                <c:pt idx="483">
                  <c:v>967</c:v>
                </c:pt>
                <c:pt idx="484">
                  <c:v>969</c:v>
                </c:pt>
                <c:pt idx="485">
                  <c:v>971</c:v>
                </c:pt>
                <c:pt idx="486">
                  <c:v>973</c:v>
                </c:pt>
                <c:pt idx="487">
                  <c:v>975</c:v>
                </c:pt>
                <c:pt idx="488">
                  <c:v>977</c:v>
                </c:pt>
                <c:pt idx="489">
                  <c:v>979</c:v>
                </c:pt>
                <c:pt idx="490">
                  <c:v>981</c:v>
                </c:pt>
                <c:pt idx="491">
                  <c:v>983</c:v>
                </c:pt>
                <c:pt idx="492">
                  <c:v>985</c:v>
                </c:pt>
                <c:pt idx="493">
                  <c:v>987</c:v>
                </c:pt>
                <c:pt idx="494">
                  <c:v>989</c:v>
                </c:pt>
                <c:pt idx="495">
                  <c:v>991</c:v>
                </c:pt>
                <c:pt idx="496">
                  <c:v>993</c:v>
                </c:pt>
                <c:pt idx="497">
                  <c:v>995</c:v>
                </c:pt>
                <c:pt idx="498">
                  <c:v>997</c:v>
                </c:pt>
                <c:pt idx="499">
                  <c:v>999</c:v>
                </c:pt>
                <c:pt idx="500">
                  <c:v>1001</c:v>
                </c:pt>
                <c:pt idx="501">
                  <c:v>1003</c:v>
                </c:pt>
                <c:pt idx="502">
                  <c:v>1005</c:v>
                </c:pt>
                <c:pt idx="503">
                  <c:v>1007</c:v>
                </c:pt>
                <c:pt idx="504">
                  <c:v>1009</c:v>
                </c:pt>
                <c:pt idx="505">
                  <c:v>1011</c:v>
                </c:pt>
                <c:pt idx="506">
                  <c:v>1013</c:v>
                </c:pt>
                <c:pt idx="507">
                  <c:v>1015</c:v>
                </c:pt>
                <c:pt idx="508">
                  <c:v>1017</c:v>
                </c:pt>
                <c:pt idx="509">
                  <c:v>1019</c:v>
                </c:pt>
                <c:pt idx="510">
                  <c:v>1021</c:v>
                </c:pt>
                <c:pt idx="511">
                  <c:v>1023</c:v>
                </c:pt>
                <c:pt idx="512">
                  <c:v>1025</c:v>
                </c:pt>
                <c:pt idx="513">
                  <c:v>1027</c:v>
                </c:pt>
                <c:pt idx="514">
                  <c:v>1029</c:v>
                </c:pt>
                <c:pt idx="515">
                  <c:v>1031</c:v>
                </c:pt>
                <c:pt idx="516">
                  <c:v>1033</c:v>
                </c:pt>
                <c:pt idx="517">
                  <c:v>1035</c:v>
                </c:pt>
                <c:pt idx="518">
                  <c:v>1037</c:v>
                </c:pt>
                <c:pt idx="519">
                  <c:v>1039</c:v>
                </c:pt>
                <c:pt idx="520">
                  <c:v>1041</c:v>
                </c:pt>
                <c:pt idx="521">
                  <c:v>1043</c:v>
                </c:pt>
                <c:pt idx="522">
                  <c:v>1045</c:v>
                </c:pt>
                <c:pt idx="523">
                  <c:v>1047</c:v>
                </c:pt>
                <c:pt idx="524">
                  <c:v>1049</c:v>
                </c:pt>
                <c:pt idx="525">
                  <c:v>1051</c:v>
                </c:pt>
                <c:pt idx="526">
                  <c:v>1053</c:v>
                </c:pt>
                <c:pt idx="527">
                  <c:v>1055</c:v>
                </c:pt>
                <c:pt idx="528">
                  <c:v>1057</c:v>
                </c:pt>
                <c:pt idx="529">
                  <c:v>1059</c:v>
                </c:pt>
                <c:pt idx="530">
                  <c:v>1061</c:v>
                </c:pt>
                <c:pt idx="531">
                  <c:v>1063</c:v>
                </c:pt>
                <c:pt idx="532">
                  <c:v>1065</c:v>
                </c:pt>
                <c:pt idx="533">
                  <c:v>1067</c:v>
                </c:pt>
                <c:pt idx="534">
                  <c:v>1069</c:v>
                </c:pt>
                <c:pt idx="535">
                  <c:v>1071</c:v>
                </c:pt>
                <c:pt idx="536">
                  <c:v>1073</c:v>
                </c:pt>
                <c:pt idx="537">
                  <c:v>1075</c:v>
                </c:pt>
                <c:pt idx="538">
                  <c:v>1077</c:v>
                </c:pt>
                <c:pt idx="539">
                  <c:v>1079</c:v>
                </c:pt>
                <c:pt idx="540">
                  <c:v>1081</c:v>
                </c:pt>
                <c:pt idx="541">
                  <c:v>1083</c:v>
                </c:pt>
                <c:pt idx="542">
                  <c:v>1085</c:v>
                </c:pt>
                <c:pt idx="543">
                  <c:v>1087</c:v>
                </c:pt>
                <c:pt idx="544">
                  <c:v>1089</c:v>
                </c:pt>
                <c:pt idx="545">
                  <c:v>1091</c:v>
                </c:pt>
                <c:pt idx="546">
                  <c:v>1093</c:v>
                </c:pt>
                <c:pt idx="547">
                  <c:v>1095</c:v>
                </c:pt>
                <c:pt idx="548">
                  <c:v>1097</c:v>
                </c:pt>
                <c:pt idx="549">
                  <c:v>1099</c:v>
                </c:pt>
                <c:pt idx="550">
                  <c:v>1101</c:v>
                </c:pt>
                <c:pt idx="551">
                  <c:v>1103</c:v>
                </c:pt>
                <c:pt idx="552">
                  <c:v>1105</c:v>
                </c:pt>
                <c:pt idx="553">
                  <c:v>1107</c:v>
                </c:pt>
                <c:pt idx="554">
                  <c:v>1109</c:v>
                </c:pt>
                <c:pt idx="555">
                  <c:v>1111</c:v>
                </c:pt>
                <c:pt idx="556">
                  <c:v>1113</c:v>
                </c:pt>
                <c:pt idx="557">
                  <c:v>1115</c:v>
                </c:pt>
                <c:pt idx="558">
                  <c:v>1117</c:v>
                </c:pt>
                <c:pt idx="559">
                  <c:v>1119</c:v>
                </c:pt>
                <c:pt idx="560">
                  <c:v>1121</c:v>
                </c:pt>
                <c:pt idx="561">
                  <c:v>1123</c:v>
                </c:pt>
                <c:pt idx="562">
                  <c:v>1125</c:v>
                </c:pt>
                <c:pt idx="563">
                  <c:v>1127</c:v>
                </c:pt>
                <c:pt idx="564">
                  <c:v>1129</c:v>
                </c:pt>
                <c:pt idx="565">
                  <c:v>1131</c:v>
                </c:pt>
                <c:pt idx="566">
                  <c:v>1133</c:v>
                </c:pt>
                <c:pt idx="567">
                  <c:v>1135</c:v>
                </c:pt>
                <c:pt idx="568">
                  <c:v>1137</c:v>
                </c:pt>
                <c:pt idx="569">
                  <c:v>1139</c:v>
                </c:pt>
                <c:pt idx="570">
                  <c:v>1141</c:v>
                </c:pt>
                <c:pt idx="571">
                  <c:v>1143</c:v>
                </c:pt>
                <c:pt idx="572">
                  <c:v>1145</c:v>
                </c:pt>
                <c:pt idx="573">
                  <c:v>1147</c:v>
                </c:pt>
                <c:pt idx="574">
                  <c:v>1149</c:v>
                </c:pt>
                <c:pt idx="575">
                  <c:v>1151</c:v>
                </c:pt>
                <c:pt idx="576">
                  <c:v>1153</c:v>
                </c:pt>
                <c:pt idx="577">
                  <c:v>1155</c:v>
                </c:pt>
                <c:pt idx="578">
                  <c:v>1157</c:v>
                </c:pt>
                <c:pt idx="579">
                  <c:v>1159</c:v>
                </c:pt>
                <c:pt idx="580">
                  <c:v>1161</c:v>
                </c:pt>
                <c:pt idx="581">
                  <c:v>1163</c:v>
                </c:pt>
                <c:pt idx="582">
                  <c:v>1165</c:v>
                </c:pt>
                <c:pt idx="583">
                  <c:v>1167</c:v>
                </c:pt>
                <c:pt idx="584">
                  <c:v>1169</c:v>
                </c:pt>
                <c:pt idx="585">
                  <c:v>1171</c:v>
                </c:pt>
                <c:pt idx="586">
                  <c:v>1173</c:v>
                </c:pt>
                <c:pt idx="587">
                  <c:v>1175</c:v>
                </c:pt>
                <c:pt idx="588">
                  <c:v>1177</c:v>
                </c:pt>
                <c:pt idx="589">
                  <c:v>1179</c:v>
                </c:pt>
                <c:pt idx="590">
                  <c:v>1181</c:v>
                </c:pt>
                <c:pt idx="591">
                  <c:v>1183</c:v>
                </c:pt>
                <c:pt idx="592">
                  <c:v>1185</c:v>
                </c:pt>
                <c:pt idx="593">
                  <c:v>1187</c:v>
                </c:pt>
                <c:pt idx="594">
                  <c:v>1189</c:v>
                </c:pt>
                <c:pt idx="595">
                  <c:v>1191</c:v>
                </c:pt>
                <c:pt idx="596">
                  <c:v>1193</c:v>
                </c:pt>
                <c:pt idx="597">
                  <c:v>1195</c:v>
                </c:pt>
                <c:pt idx="598">
                  <c:v>1197</c:v>
                </c:pt>
                <c:pt idx="599">
                  <c:v>1199</c:v>
                </c:pt>
                <c:pt idx="600">
                  <c:v>1201</c:v>
                </c:pt>
                <c:pt idx="601">
                  <c:v>1203</c:v>
                </c:pt>
                <c:pt idx="602">
                  <c:v>1205</c:v>
                </c:pt>
                <c:pt idx="603">
                  <c:v>1207</c:v>
                </c:pt>
                <c:pt idx="604">
                  <c:v>1209</c:v>
                </c:pt>
                <c:pt idx="605">
                  <c:v>1211</c:v>
                </c:pt>
                <c:pt idx="606">
                  <c:v>1213</c:v>
                </c:pt>
                <c:pt idx="607">
                  <c:v>1215</c:v>
                </c:pt>
                <c:pt idx="608">
                  <c:v>1217</c:v>
                </c:pt>
                <c:pt idx="609">
                  <c:v>1219</c:v>
                </c:pt>
                <c:pt idx="610">
                  <c:v>1221</c:v>
                </c:pt>
                <c:pt idx="611">
                  <c:v>1223</c:v>
                </c:pt>
                <c:pt idx="612">
                  <c:v>1225</c:v>
                </c:pt>
                <c:pt idx="613">
                  <c:v>1227</c:v>
                </c:pt>
                <c:pt idx="614">
                  <c:v>1229</c:v>
                </c:pt>
                <c:pt idx="615">
                  <c:v>1231</c:v>
                </c:pt>
                <c:pt idx="616">
                  <c:v>1233</c:v>
                </c:pt>
                <c:pt idx="617">
                  <c:v>1235</c:v>
                </c:pt>
                <c:pt idx="618">
                  <c:v>1237</c:v>
                </c:pt>
                <c:pt idx="619">
                  <c:v>1239</c:v>
                </c:pt>
                <c:pt idx="620">
                  <c:v>1241</c:v>
                </c:pt>
                <c:pt idx="621">
                  <c:v>1243</c:v>
                </c:pt>
                <c:pt idx="622">
                  <c:v>1245</c:v>
                </c:pt>
                <c:pt idx="623">
                  <c:v>1247</c:v>
                </c:pt>
                <c:pt idx="624">
                  <c:v>1249</c:v>
                </c:pt>
                <c:pt idx="625">
                  <c:v>1251</c:v>
                </c:pt>
                <c:pt idx="626">
                  <c:v>1253</c:v>
                </c:pt>
                <c:pt idx="627">
                  <c:v>1255</c:v>
                </c:pt>
                <c:pt idx="628">
                  <c:v>1257</c:v>
                </c:pt>
                <c:pt idx="629">
                  <c:v>1259</c:v>
                </c:pt>
                <c:pt idx="630">
                  <c:v>1261</c:v>
                </c:pt>
                <c:pt idx="631">
                  <c:v>1263</c:v>
                </c:pt>
                <c:pt idx="632">
                  <c:v>1265</c:v>
                </c:pt>
                <c:pt idx="633">
                  <c:v>1267</c:v>
                </c:pt>
                <c:pt idx="634">
                  <c:v>1269</c:v>
                </c:pt>
                <c:pt idx="635">
                  <c:v>1271</c:v>
                </c:pt>
                <c:pt idx="636">
                  <c:v>1273</c:v>
                </c:pt>
                <c:pt idx="637">
                  <c:v>1275</c:v>
                </c:pt>
                <c:pt idx="638">
                  <c:v>1277</c:v>
                </c:pt>
                <c:pt idx="639">
                  <c:v>1279</c:v>
                </c:pt>
                <c:pt idx="640">
                  <c:v>1281</c:v>
                </c:pt>
                <c:pt idx="641">
                  <c:v>1283</c:v>
                </c:pt>
                <c:pt idx="642">
                  <c:v>1285</c:v>
                </c:pt>
                <c:pt idx="643">
                  <c:v>1287</c:v>
                </c:pt>
                <c:pt idx="644">
                  <c:v>1289</c:v>
                </c:pt>
                <c:pt idx="645">
                  <c:v>1291</c:v>
                </c:pt>
                <c:pt idx="646">
                  <c:v>1293</c:v>
                </c:pt>
                <c:pt idx="647">
                  <c:v>1295</c:v>
                </c:pt>
                <c:pt idx="648">
                  <c:v>1297</c:v>
                </c:pt>
                <c:pt idx="649">
                  <c:v>1299</c:v>
                </c:pt>
                <c:pt idx="650">
                  <c:v>1301</c:v>
                </c:pt>
                <c:pt idx="651">
                  <c:v>1303</c:v>
                </c:pt>
                <c:pt idx="652">
                  <c:v>1305</c:v>
                </c:pt>
                <c:pt idx="653">
                  <c:v>1307</c:v>
                </c:pt>
                <c:pt idx="654">
                  <c:v>1309</c:v>
                </c:pt>
                <c:pt idx="655">
                  <c:v>1311</c:v>
                </c:pt>
                <c:pt idx="656">
                  <c:v>1313</c:v>
                </c:pt>
                <c:pt idx="657">
                  <c:v>1315</c:v>
                </c:pt>
                <c:pt idx="658">
                  <c:v>1317</c:v>
                </c:pt>
                <c:pt idx="659">
                  <c:v>1319</c:v>
                </c:pt>
                <c:pt idx="660">
                  <c:v>1321</c:v>
                </c:pt>
                <c:pt idx="661">
                  <c:v>1323</c:v>
                </c:pt>
                <c:pt idx="662">
                  <c:v>1325</c:v>
                </c:pt>
                <c:pt idx="663">
                  <c:v>1327</c:v>
                </c:pt>
                <c:pt idx="664">
                  <c:v>1329</c:v>
                </c:pt>
                <c:pt idx="665">
                  <c:v>1331</c:v>
                </c:pt>
                <c:pt idx="666">
                  <c:v>1333</c:v>
                </c:pt>
                <c:pt idx="667">
                  <c:v>1335</c:v>
                </c:pt>
                <c:pt idx="668">
                  <c:v>1337</c:v>
                </c:pt>
                <c:pt idx="669">
                  <c:v>1339</c:v>
                </c:pt>
                <c:pt idx="670">
                  <c:v>1341</c:v>
                </c:pt>
                <c:pt idx="671">
                  <c:v>1343</c:v>
                </c:pt>
                <c:pt idx="672">
                  <c:v>1345</c:v>
                </c:pt>
                <c:pt idx="673">
                  <c:v>1347</c:v>
                </c:pt>
                <c:pt idx="674">
                  <c:v>1349</c:v>
                </c:pt>
                <c:pt idx="675">
                  <c:v>1351</c:v>
                </c:pt>
                <c:pt idx="676">
                  <c:v>1353</c:v>
                </c:pt>
                <c:pt idx="677">
                  <c:v>1355</c:v>
                </c:pt>
                <c:pt idx="678">
                  <c:v>1357</c:v>
                </c:pt>
              </c:numCache>
            </c:numRef>
          </c:xVal>
          <c:yVal>
            <c:numRef>
              <c:f>Data!$C$2:$C$700</c:f>
              <c:numCache>
                <c:formatCode>0.0000</c:formatCode>
                <c:ptCount val="699"/>
                <c:pt idx="0">
                  <c:v>0.19987534966264064</c:v>
                </c:pt>
                <c:pt idx="1">
                  <c:v>0.22451378458275073</c:v>
                </c:pt>
                <c:pt idx="2">
                  <c:v>0.25061265685733503</c:v>
                </c:pt>
                <c:pt idx="3">
                  <c:v>0.27820983747376893</c:v>
                </c:pt>
                <c:pt idx="4">
                  <c:v>0.30734277403213994</c:v>
                </c:pt>
                <c:pt idx="5">
                  <c:v>0.33804847519338743</c:v>
                </c:pt>
                <c:pt idx="6">
                  <c:v>0.37036349517118694</c:v>
                </c:pt>
                <c:pt idx="7">
                  <c:v>0.40432391827707903</c:v>
                </c:pt>
                <c:pt idx="8">
                  <c:v>0.43996534352819694</c:v>
                </c:pt>
                <c:pt idx="9">
                  <c:v>0.47732286932741808</c:v>
                </c:pt>
                <c:pt idx="10">
                  <c:v>0.51643107822552281</c:v>
                </c:pt>
                <c:pt idx="11">
                  <c:v>0.55732402177530282</c:v>
                </c:pt>
                <c:pt idx="12">
                  <c:v>0.60003520548730549</c:v>
                </c:pt>
                <c:pt idx="13">
                  <c:v>0.6445975738974532</c:v>
                </c:pt>
                <c:pt idx="14">
                  <c:v>0.69104349575603763</c:v>
                </c:pt>
                <c:pt idx="15">
                  <c:v>0.73940474934879319</c:v>
                </c:pt>
                <c:pt idx="16">
                  <c:v>0.78971250795994585</c:v>
                </c:pt>
                <c:pt idx="17">
                  <c:v>0.84199732548689887</c:v>
                </c:pt>
                <c:pt idx="18">
                  <c:v>0.89628912221778378</c:v>
                </c:pt>
                <c:pt idx="19">
                  <c:v>0.95261717078098584</c:v>
                </c:pt>
                <c:pt idx="20">
                  <c:v>1.0110100822776751</c:v>
                </c:pt>
                <c:pt idx="21">
                  <c:v>1.0714957926074291</c:v>
                </c:pt>
                <c:pt idx="22">
                  <c:v>1.1341015489969202</c:v>
                </c:pt>
                <c:pt idx="23">
                  <c:v>1.1988538967421007</c:v>
                </c:pt>
                <c:pt idx="24">
                  <c:v>1.2657786661742936</c:v>
                </c:pt>
                <c:pt idx="25">
                  <c:v>1.334900959860045</c:v>
                </c:pt>
                <c:pt idx="26">
                  <c:v>1.4062451400451916</c:v>
                </c:pt>
                <c:pt idx="27">
                  <c:v>1.4798348163530921</c:v>
                </c:pt>
                <c:pt idx="28">
                  <c:v>1.5556928337472904</c:v>
                </c:pt>
                <c:pt idx="29">
                  <c:v>1.6338412607683122</c:v>
                </c:pt>
                <c:pt idx="30">
                  <c:v>1.7143013780548468</c:v>
                </c:pt>
                <c:pt idx="31">
                  <c:v>1.7970936671591407</c:v>
                </c:pt>
                <c:pt idx="32">
                  <c:v>1.8822377996660045</c:v>
                </c:pt>
                <c:pt idx="33">
                  <c:v>1.9697526266257359</c:v>
                </c:pt>
                <c:pt idx="34">
                  <c:v>2.0596561683099068</c:v>
                </c:pt>
                <c:pt idx="35">
                  <c:v>2.1519656042997894</c:v>
                </c:pt>
                <c:pt idx="36">
                  <c:v>2.2466972639167526</c:v>
                </c:pt>
                <c:pt idx="37">
                  <c:v>2.3438666170036413</c:v>
                </c:pt>
                <c:pt idx="38">
                  <c:v>2.4434882650661756</c:v>
                </c:pt>
                <c:pt idx="39">
                  <c:v>2.5455759327835636</c:v>
                </c:pt>
                <c:pt idx="40">
                  <c:v>2.6501424598963261</c:v>
                </c:pt>
                <c:pt idx="41">
                  <c:v>2.7571997934807655</c:v>
                </c:pt>
                <c:pt idx="42">
                  <c:v>2.866758980617746</c:v>
                </c:pt>
                <c:pt idx="43">
                  <c:v>2.9788301614640602</c:v>
                </c:pt>
                <c:pt idx="44">
                  <c:v>3.0934225627345455</c:v>
                </c:pt>
                <c:pt idx="45">
                  <c:v>3.2105444916024375</c:v>
                </c:pt>
                <c:pt idx="46">
                  <c:v>3.3302033300255722</c:v>
                </c:pt>
                <c:pt idx="47">
                  <c:v>3.4524055295057217</c:v>
                </c:pt>
                <c:pt idx="48">
                  <c:v>3.577156606287879</c:v>
                </c:pt>
                <c:pt idx="49">
                  <c:v>3.7044611370064402</c:v>
                </c:pt>
                <c:pt idx="50">
                  <c:v>3.8343227547852372</c:v>
                </c:pt>
                <c:pt idx="51">
                  <c:v>3.9667441457962553</c:v>
                </c:pt>
                <c:pt idx="52">
                  <c:v>4.1017270462848927</c:v>
                </c:pt>
                <c:pt idx="53">
                  <c:v>4.2392722400657838</c:v>
                </c:pt>
                <c:pt idx="54">
                  <c:v>4.3793795564957563</c:v>
                </c:pt>
                <c:pt idx="55">
                  <c:v>4.5220478689280377</c:v>
                </c:pt>
                <c:pt idx="56">
                  <c:v>4.6672750936533944</c:v>
                </c:pt>
                <c:pt idx="57">
                  <c:v>4.8150581893318822</c:v>
                </c:pt>
                <c:pt idx="58">
                  <c:v>4.9653931569197098</c:v>
                </c:pt>
                <c:pt idx="59">
                  <c:v>5.1182750400949821</c:v>
                </c:pt>
                <c:pt idx="60">
                  <c:v>5.2736979261859709</c:v>
                </c:pt>
                <c:pt idx="61">
                  <c:v>5.4316549476040485</c:v>
                </c:pt>
                <c:pt idx="62">
                  <c:v>5.5921382837857472</c:v>
                </c:pt>
                <c:pt idx="63">
                  <c:v>5.7551391636444436</c:v>
                </c:pt>
                <c:pt idx="64">
                  <c:v>5.9206478685352231</c:v>
                </c:pt>
                <c:pt idx="65">
                  <c:v>6.088653735733601</c:v>
                </c:pt>
                <c:pt idx="66">
                  <c:v>6.2591451624298742</c:v>
                </c:pt>
                <c:pt idx="67">
                  <c:v>6.4321096102397384</c:v>
                </c:pt>
                <c:pt idx="68">
                  <c:v>6.6075336102318261</c:v>
                </c:pt>
                <c:pt idx="69">
                  <c:v>6.7854027684723803</c:v>
                </c:pt>
                <c:pt idx="70">
                  <c:v>6.9657017720863195</c:v>
                </c:pt>
                <c:pt idx="71">
                  <c:v>7.1484143958345321</c:v>
                </c:pt>
                <c:pt idx="72">
                  <c:v>7.3335235092063122</c:v>
                </c:pt>
                <c:pt idx="73">
                  <c:v>7.5210110840247353</c:v>
                </c:pt>
                <c:pt idx="74">
                  <c:v>7.7108582025642853</c:v>
                </c:pt>
                <c:pt idx="75">
                  <c:v>7.9030450661770644</c:v>
                </c:pt>
                <c:pt idx="76">
                  <c:v>8.0975510044260801</c:v>
                </c:pt>
                <c:pt idx="77">
                  <c:v>8.2943544847217439</c:v>
                </c:pt>
                <c:pt idx="78">
                  <c:v>8.4934331224581321</c:v>
                </c:pt>
                <c:pt idx="79">
                  <c:v>8.694763691645452</c:v>
                </c:pt>
                <c:pt idx="80">
                  <c:v>8.8983221360338511</c:v>
                </c:pt>
                <c:pt idx="81">
                  <c:v>9.1040835807238309</c:v>
                </c:pt>
                <c:pt idx="82">
                  <c:v>9.3120223442586614</c:v>
                </c:pt>
                <c:pt idx="83">
                  <c:v>9.5221119511922403</c:v>
                </c:pt>
                <c:pt idx="84">
                  <c:v>9.7343251451270092</c:v>
                </c:pt>
                <c:pt idx="85">
                  <c:v>9.9486339022153878</c:v>
                </c:pt>
                <c:pt idx="86">
                  <c:v>10.165009445117619</c:v>
                </c:pt>
                <c:pt idx="87">
                  <c:v>10.383422257409094</c:v>
                </c:pt>
                <c:pt idx="88">
                  <c:v>10.603842098429077</c:v>
                </c:pt>
                <c:pt idx="89">
                  <c:v>10.826238018563181</c:v>
                </c:pt>
                <c:pt idx="90">
                  <c:v>11.05057837495098</c:v>
                </c:pt>
                <c:pt idx="91">
                  <c:v>11.27683084760961</c:v>
                </c:pt>
                <c:pt idx="92">
                  <c:v>11.504962455964566</c:v>
                </c:pt>
                <c:pt idx="93">
                  <c:v>11.734939575777972</c:v>
                </c:pt>
                <c:pt idx="94">
                  <c:v>11.966727956463671</c:v>
                </c:pt>
                <c:pt idx="95">
                  <c:v>12.200292738780036</c:v>
                </c:pt>
                <c:pt idx="96">
                  <c:v>12.435598472888305</c:v>
                </c:pt>
                <c:pt idx="97">
                  <c:v>12.67260913676656</c:v>
                </c:pt>
                <c:pt idx="98">
                  <c:v>12.911288154966918</c:v>
                </c:pt>
                <c:pt idx="99">
                  <c:v>13.15159841770501</c:v>
                </c:pt>
                <c:pt idx="100">
                  <c:v>13.393502300268906</c:v>
                </c:pt>
                <c:pt idx="101">
                  <c:v>13.636961682735343</c:v>
                </c:pt>
                <c:pt idx="102">
                  <c:v>13.881937969980619</c:v>
                </c:pt>
                <c:pt idx="103">
                  <c:v>14.128392111972573</c:v>
                </c:pt>
                <c:pt idx="104">
                  <c:v>14.376284624330857</c:v>
                </c:pt>
                <c:pt idx="105">
                  <c:v>14.625575609141428</c:v>
                </c:pt>
                <c:pt idx="106">
                  <c:v>14.876224776011309</c:v>
                </c:pt>
                <c:pt idx="107">
                  <c:v>15.12819146334968</c:v>
                </c:pt>
                <c:pt idx="108">
                  <c:v>15.381434659860439</c:v>
                </c:pt>
                <c:pt idx="109">
                  <c:v>15.635913026231783</c:v>
                </c:pt>
                <c:pt idx="110">
                  <c:v>15.891584917007762</c:v>
                </c:pt>
                <c:pt idx="111">
                  <c:v>16.148408402626401</c:v>
                </c:pt>
                <c:pt idx="112">
                  <c:v>16.406341291609486</c:v>
                </c:pt>
                <c:pt idx="113">
                  <c:v>16.665341152887812</c:v>
                </c:pt>
                <c:pt idx="114">
                  <c:v>16.925365338246664</c:v>
                </c:pt>
                <c:pt idx="115">
                  <c:v>17.18637100487496</c:v>
                </c:pt>
                <c:pt idx="116">
                  <c:v>17.448315138002773</c:v>
                </c:pt>
                <c:pt idx="117">
                  <c:v>17.711154573610003</c:v>
                </c:pt>
                <c:pt idx="118">
                  <c:v>17.974846021190672</c:v>
                </c:pt>
                <c:pt idx="119">
                  <c:v>18.239346086555727</c:v>
                </c:pt>
                <c:pt idx="120">
                  <c:v>18.504611294658268</c:v>
                </c:pt>
                <c:pt idx="121">
                  <c:v>18.770598112423794</c:v>
                </c:pt>
                <c:pt idx="122">
                  <c:v>19.037262971569945</c:v>
                </c:pt>
                <c:pt idx="123">
                  <c:v>19.304562291397335</c:v>
                </c:pt>
                <c:pt idx="124">
                  <c:v>19.57245250153634</c:v>
                </c:pt>
                <c:pt idx="125">
                  <c:v>19.840890064632013</c:v>
                </c:pt>
                <c:pt idx="126">
                  <c:v>20.109831498950889</c:v>
                </c:pt>
                <c:pt idx="127">
                  <c:v>20.379233400893195</c:v>
                </c:pt>
                <c:pt idx="128">
                  <c:v>20.649052467394043</c:v>
                </c:pt>
                <c:pt idx="129">
                  <c:v>20.919245518197769</c:v>
                </c:pt>
                <c:pt idx="130">
                  <c:v>21.189769517990094</c:v>
                </c:pt>
                <c:pt idx="131">
                  <c:v>21.46058159837337</c:v>
                </c:pt>
                <c:pt idx="132">
                  <c:v>21.731639079671734</c:v>
                </c:pt>
                <c:pt idx="133">
                  <c:v>22.00289949255361</c:v>
                </c:pt>
                <c:pt idx="134">
                  <c:v>22.274320599463053</c:v>
                </c:pt>
                <c:pt idx="135">
                  <c:v>22.54586041585257</c:v>
                </c:pt>
                <c:pt idx="136">
                  <c:v>22.817477231216252</c:v>
                </c:pt>
                <c:pt idx="137">
                  <c:v>23.089129629927779</c:v>
                </c:pt>
                <c:pt idx="138">
                  <c:v>23.360776511896727</c:v>
                </c:pt>
                <c:pt idx="139">
                  <c:v>23.632377113068941</c:v>
                </c:pt>
                <c:pt idx="140">
                  <c:v>23.903891025813866</c:v>
                </c:pt>
                <c:pt idx="141">
                  <c:v>24.175278219263578</c:v>
                </c:pt>
                <c:pt idx="142">
                  <c:v>24.44649905970055</c:v>
                </c:pt>
                <c:pt idx="143">
                  <c:v>24.717514331130459</c:v>
                </c:pt>
                <c:pt idx="144">
                  <c:v>24.988285256232331</c:v>
                </c:pt>
                <c:pt idx="145">
                  <c:v>25.258773517948626</c:v>
                </c:pt>
                <c:pt idx="146">
                  <c:v>25.528941282071862</c:v>
                </c:pt>
                <c:pt idx="147">
                  <c:v>25.798751221302858</c:v>
                </c:pt>
                <c:pt idx="148">
                  <c:v>26.06816654140912</c:v>
                </c:pt>
                <c:pt idx="149">
                  <c:v>26.337151010303735</c:v>
                </c:pt>
                <c:pt idx="150">
                  <c:v>26.605668991105642</c:v>
                </c:pt>
                <c:pt idx="151">
                  <c:v>26.873685480535716</c:v>
                </c:pt>
                <c:pt idx="152">
                  <c:v>27.141166154365244</c:v>
                </c:pt>
                <c:pt idx="153">
                  <c:v>27.408077422061865</c:v>
                </c:pt>
                <c:pt idx="154">
                  <c:v>27.674386493288949</c:v>
                </c:pt>
                <c:pt idx="155">
                  <c:v>27.940061459507589</c:v>
                </c:pt>
                <c:pt idx="156">
                  <c:v>28.205071394605664</c:v>
                </c:pt>
                <c:pt idx="157">
                  <c:v>28.469386479237112</c:v>
                </c:pt>
                <c:pt idx="158">
                  <c:v>28.732978154379179</c:v>
                </c:pt>
                <c:pt idx="159">
                  <c:v>28.995819310491612</c:v>
                </c:pt>
                <c:pt idx="160">
                  <c:v>29.257884519554324</c:v>
                </c:pt>
                <c:pt idx="161">
                  <c:v>29.519150318125064</c:v>
                </c:pt>
                <c:pt idx="162">
                  <c:v>29.779595550335817</c:v>
                </c:pt>
                <c:pt idx="163">
                  <c:v>30.03920178035618</c:v>
                </c:pt>
                <c:pt idx="164">
                  <c:v>30.297953784195641</c:v>
                </c:pt>
                <c:pt idx="165">
                  <c:v>30.555840130678384</c:v>
                </c:pt>
                <c:pt idx="166">
                  <c:v>30.812853860868458</c:v>
                </c:pt>
                <c:pt idx="167">
                  <c:v>31.068993274000462</c:v>
                </c:pt>
                <c:pt idx="168">
                  <c:v>31.324262825920556</c:v>
                </c:pt>
                <c:pt idx="169">
                  <c:v>31.578674143005067</c:v>
                </c:pt>
                <c:pt idx="170">
                  <c:v>31.83224715034611</c:v>
                </c:pt>
                <c:pt idx="171">
                  <c:v>32.085011307544747</c:v>
                </c:pt>
                <c:pt idx="172">
                  <c:v>32.337006938642382</c:v>
                </c:pt>
                <c:pt idx="173">
                  <c:v>32.588286634514553</c:v>
                </c:pt>
                <c:pt idx="174">
                  <c:v>32.838916696491665</c:v>
                </c:pt>
                <c:pt idx="175">
                  <c:v>33.088978579197033</c:v>
                </c:pt>
                <c:pt idx="176">
                  <c:v>33.338570278860857</c:v>
                </c:pt>
                <c:pt idx="177">
                  <c:v>33.587807601065393</c:v>
                </c:pt>
                <c:pt idx="178">
                  <c:v>33.836825229530604</c:v>
                </c:pt>
                <c:pt idx="179">
                  <c:v>34.085777505837939</c:v>
                </c:pt>
                <c:pt idx="180">
                  <c:v>34.334838819719522</c:v>
                </c:pt>
                <c:pt idx="181">
                  <c:v>34.584203501643174</c:v>
                </c:pt>
                <c:pt idx="182">
                  <c:v>34.834085104916724</c:v>
                </c:pt>
                <c:pt idx="183">
                  <c:v>35.084714964464531</c:v>
                </c:pt>
                <c:pt idx="184">
                  <c:v>35.336339924832501</c:v>
                </c:pt>
                <c:pt idx="185">
                  <c:v>35.589219141778827</c:v>
                </c:pt>
                <c:pt idx="186">
                  <c:v>35.843619880760897</c:v>
                </c:pt>
                <c:pt idx="187">
                  <c:v>36.099812262212424</c:v>
                </c:pt>
                <c:pt idx="188">
                  <c:v>36.358062937838568</c:v>
                </c:pt>
                <c:pt idx="189">
                  <c:v>36.618627723918159</c:v>
                </c:pt>
                <c:pt idx="190">
                  <c:v>36.881743265968865</c:v>
                </c:pt>
                <c:pt idx="191">
                  <c:v>37.147617862720665</c:v>
                </c:pt>
                <c:pt idx="192">
                  <c:v>37.416421634225351</c:v>
                </c:pt>
                <c:pt idx="193">
                  <c:v>37.68827627663174</c:v>
                </c:pt>
                <c:pt idx="194">
                  <c:v>37.963244701746859</c:v>
                </c:pt>
                <c:pt idx="195">
                  <c:v>38.24132090969934</c:v>
                </c:pt>
                <c:pt idx="196">
                  <c:v>38.522420484344224</c:v>
                </c:pt>
                <c:pt idx="197">
                  <c:v>38.806372130026702</c:v>
                </c:pt>
                <c:pt idx="198">
                  <c:v>39.092910681702783</c:v>
                </c:pt>
                <c:pt idx="199">
                  <c:v>39.381672015416413</c:v>
                </c:pt>
                <c:pt idx="200">
                  <c:v>39.672190260674071</c:v>
                </c:pt>
                <c:pt idx="201">
                  <c:v>39.963897669188604</c:v>
                </c:pt>
                <c:pt idx="202">
                  <c:v>40.256127425748112</c:v>
                </c:pt>
                <c:pt idx="203">
                  <c:v>40.548119597806448</c:v>
                </c:pt>
                <c:pt idx="204">
                  <c:v>40.839030313298025</c:v>
                </c:pt>
                <c:pt idx="205">
                  <c:v>41.127944134942148</c:v>
                </c:pt>
                <c:pt idx="206">
                  <c:v>41.413889468862379</c:v>
                </c:pt>
                <c:pt idx="207">
                  <c:v>41.695856711624529</c:v>
                </c:pt>
                <c:pt idx="208">
                  <c:v>41.972818709361789</c:v>
                </c:pt>
                <c:pt idx="209">
                  <c:v>42.243752982404686</c:v>
                </c:pt>
                <c:pt idx="210">
                  <c:v>42.507665065562598</c:v>
                </c:pt>
                <c:pt idx="211">
                  <c:v>42.76361223419071</c:v>
                </c:pt>
                <c:pt idx="212">
                  <c:v>43.010726834752788</c:v>
                </c:pt>
                <c:pt idx="213">
                  <c:v>43.248238419773571</c:v>
                </c:pt>
                <c:pt idx="214">
                  <c:v>43.475493903235346</c:v>
                </c:pt>
                <c:pt idx="215">
                  <c:v>43.691975004142023</c:v>
                </c:pt>
                <c:pt idx="216">
                  <c:v>43.897312331710339</c:v>
                </c:pt>
                <c:pt idx="217">
                  <c:v>44.091295582099917</c:v>
                </c:pt>
                <c:pt idx="218">
                  <c:v>44.273879458607489</c:v>
                </c:pt>
                <c:pt idx="219">
                  <c:v>44.445185088191266</c:v>
                </c:pt>
                <c:pt idx="220">
                  <c:v>44.60549687927832</c:v>
                </c:pt>
                <c:pt idx="221">
                  <c:v>44.755254940607756</c:v>
                </c:pt>
                <c:pt idx="222">
                  <c:v>44.895043349771299</c:v>
                </c:pt>
                <c:pt idx="223">
                  <c:v>45.025574714881458</c:v>
                </c:pt>
                <c:pt idx="224">
                  <c:v>45.147671606023202</c:v>
                </c:pt>
                <c:pt idx="225">
                  <c:v>45.262245538701741</c:v>
                </c:pt>
                <c:pt idx="226">
                  <c:v>45.370274264878546</c:v>
                </c:pt>
                <c:pt idx="227">
                  <c:v>45.472778165733196</c:v>
                </c:pt>
                <c:pt idx="228">
                  <c:v>45.570796543299394</c:v>
                </c:pt>
                <c:pt idx="229">
                  <c:v>45.665364576828594</c:v>
                </c:pt>
                <c:pt idx="230">
                  <c:v>45.757491647150722</c:v>
                </c:pt>
                <c:pt idx="231">
                  <c:v>45.848141642969111</c:v>
                </c:pt>
                <c:pt idx="232">
                  <c:v>45.938215752682382</c:v>
                </c:pt>
                <c:pt idx="233">
                  <c:v>46.028538120484825</c:v>
                </c:pt>
                <c:pt idx="234">
                  <c:v>46.119844613046745</c:v>
                </c:pt>
                <c:pt idx="235">
                  <c:v>46.212774809830215</c:v>
                </c:pt>
                <c:pt idx="236">
                  <c:v>46.307867202430842</c:v>
                </c:pt>
                <c:pt idx="237">
                  <c:v>46.405557471829695</c:v>
                </c:pt>
                <c:pt idx="238">
                  <c:v>46.506179611628113</c:v>
                </c:pt>
                <c:pt idx="239">
                  <c:v>46.60996958354697</c:v>
                </c:pt>
                <c:pt idx="240">
                  <c:v>46.717071130719525</c:v>
                </c:pt>
                <c:pt idx="241">
                  <c:v>46.827543335329409</c:v>
                </c:pt>
                <c:pt idx="242">
                  <c:v>46.941369489469793</c:v>
                </c:pt>
                <c:pt idx="243">
                  <c:v>47.05846685021227</c:v>
                </c:pt>
                <c:pt idx="244">
                  <c:v>47.178696869397463</c:v>
                </c:pt>
                <c:pt idx="245">
                  <c:v>47.301875522619525</c:v>
                </c:pt>
                <c:pt idx="246">
                  <c:v>47.427783406901924</c:v>
                </c:pt>
                <c:pt idx="247">
                  <c:v>47.556175329160531</c:v>
                </c:pt>
                <c:pt idx="248">
                  <c:v>47.686789164290651</c:v>
                </c:pt>
                <c:pt idx="249">
                  <c:v>47.819353819431257</c:v>
                </c:pt>
                <c:pt idx="250">
                  <c:v>47.953596196879509</c:v>
                </c:pt>
                <c:pt idx="251">
                  <c:v>48.08924709997433</c:v>
                </c:pt>
                <c:pt idx="252">
                  <c:v>48.226046072311682</c:v>
                </c:pt>
                <c:pt idx="253">
                  <c:v>48.363745199724931</c:v>
                </c:pt>
                <c:pt idx="254">
                  <c:v>48.502111935932504</c:v>
                </c:pt>
                <c:pt idx="255">
                  <c:v>48.640931036467208</c:v>
                </c:pt>
                <c:pt idx="256">
                  <c:v>48.780005701728562</c:v>
                </c:pt>
                <c:pt idx="257">
                  <c:v>48.91915803932271</c:v>
                </c:pt>
                <c:pt idx="258">
                  <c:v>49.058228959109996</c:v>
                </c:pt>
                <c:pt idx="259">
                  <c:v>49.197077612539651</c:v>
                </c:pt>
                <c:pt idx="260">
                  <c:v>49.335580481958942</c:v>
                </c:pt>
                <c:pt idx="261">
                  <c:v>49.47363021669463</c:v>
                </c:pt>
                <c:pt idx="262">
                  <c:v>49.611134301792532</c:v>
                </c:pt>
                <c:pt idx="263">
                  <c:v>49.748013633265458</c:v>
                </c:pt>
                <c:pt idx="264">
                  <c:v>49.884201061298427</c:v>
                </c:pt>
                <c:pt idx="265">
                  <c:v>50.019639950714023</c:v>
                </c:pt>
                <c:pt idx="266">
                  <c:v>50.154282796584084</c:v>
                </c:pt>
                <c:pt idx="267">
                  <c:v>50.288089922528755</c:v>
                </c:pt>
                <c:pt idx="268">
                  <c:v>50.421028280172266</c:v>
                </c:pt>
                <c:pt idx="269">
                  <c:v>50.553070360538854</c:v>
                </c:pt>
                <c:pt idx="270">
                  <c:v>50.684193221870188</c:v>
                </c:pt>
                <c:pt idx="271">
                  <c:v>50.814377633384147</c:v>
                </c:pt>
                <c:pt idx="272">
                  <c:v>50.943607330755029</c:v>
                </c:pt>
                <c:pt idx="273">
                  <c:v>51.071868376439923</c:v>
                </c:pt>
                <c:pt idx="274">
                  <c:v>51.199148616253872</c:v>
                </c:pt>
                <c:pt idx="275">
                  <c:v>51.325437222636808</c:v>
                </c:pt>
                <c:pt idx="276">
                  <c:v>51.450724314707216</c:v>
                </c:pt>
                <c:pt idx="277">
                  <c:v>51.575000645316088</c:v>
                </c:pt>
                <c:pt idx="278">
                  <c:v>51.698257345767843</c:v>
                </c:pt>
                <c:pt idx="279">
                  <c:v>51.820485719556274</c:v>
                </c:pt>
                <c:pt idx="280">
                  <c:v>51.941677077280815</c:v>
                </c:pt>
                <c:pt idx="281">
                  <c:v>52.061822605788791</c:v>
                </c:pt>
                <c:pt idx="282">
                  <c:v>52.180913265479418</c:v>
                </c:pt>
                <c:pt idx="283">
                  <c:v>52.298939710564838</c:v>
                </c:pt>
                <c:pt idx="284">
                  <c:v>52.415892227883148</c:v>
                </c:pt>
                <c:pt idx="285">
                  <c:v>52.531760690588115</c:v>
                </c:pt>
                <c:pt idx="286">
                  <c:v>52.646534523682561</c:v>
                </c:pt>
                <c:pt idx="287">
                  <c:v>52.760202678924799</c:v>
                </c:pt>
                <c:pt idx="288">
                  <c:v>52.872753617116054</c:v>
                </c:pt>
                <c:pt idx="289">
                  <c:v>52.984175296178933</c:v>
                </c:pt>
                <c:pt idx="290">
                  <c:v>53.094455163771649</c:v>
                </c:pt>
                <c:pt idx="291">
                  <c:v>53.203580153455484</c:v>
                </c:pt>
                <c:pt idx="292">
                  <c:v>53.311536683653031</c:v>
                </c:pt>
                <c:pt idx="293">
                  <c:v>53.418310658810995</c:v>
                </c:pt>
                <c:pt idx="294">
                  <c:v>53.52388747232051</c:v>
                </c:pt>
                <c:pt idx="295">
                  <c:v>53.628252010855121</c:v>
                </c:pt>
                <c:pt idx="296">
                  <c:v>53.731388659871925</c:v>
                </c:pt>
                <c:pt idx="297">
                  <c:v>53.833281310083819</c:v>
                </c:pt>
                <c:pt idx="298">
                  <c:v>53.933913364760137</c:v>
                </c:pt>
                <c:pt idx="299">
                  <c:v>54.033267747748724</c:v>
                </c:pt>
                <c:pt idx="300">
                  <c:v>54.131326912140452</c:v>
                </c:pt>
                <c:pt idx="301">
                  <c:v>54.22807284951525</c:v>
                </c:pt>
                <c:pt idx="302">
                  <c:v>54.323487099724844</c:v>
                </c:pt>
                <c:pt idx="303">
                  <c:v>54.417550761176749</c:v>
                </c:pt>
                <c:pt idx="304">
                  <c:v>54.510244501591863</c:v>
                </c:pt>
                <c:pt idx="305">
                  <c:v>54.601548569212738</c:v>
                </c:pt>
                <c:pt idx="306">
                  <c:v>54.691442804444151</c:v>
                </c:pt>
                <c:pt idx="307">
                  <c:v>54.779906651908419</c:v>
                </c:pt>
                <c:pt idx="308">
                  <c:v>54.866919172901355</c:v>
                </c:pt>
                <c:pt idx="309">
                  <c:v>54.952459058234737</c:v>
                </c:pt>
                <c:pt idx="310">
                  <c:v>55.036504641451486</c:v>
                </c:pt>
                <c:pt idx="311">
                  <c:v>55.119033912401378</c:v>
                </c:pt>
                <c:pt idx="312">
                  <c:v>55.200024531163848</c:v>
                </c:pt>
                <c:pt idx="313">
                  <c:v>55.27945384230604</c:v>
                </c:pt>
                <c:pt idx="314">
                  <c:v>55.357298889462243</c:v>
                </c:pt>
                <c:pt idx="315">
                  <c:v>55.433536430223278</c:v>
                </c:pt>
                <c:pt idx="316">
                  <c:v>55.508142951321297</c:v>
                </c:pt>
                <c:pt idx="317">
                  <c:v>55.581094684098815</c:v>
                </c:pt>
                <c:pt idx="318">
                  <c:v>55.652367620247041</c:v>
                </c:pt>
                <c:pt idx="319">
                  <c:v>55.721937527801373</c:v>
                </c:pt>
                <c:pt idx="320">
                  <c:v>55.789779967380191</c:v>
                </c:pt>
                <c:pt idx="321">
                  <c:v>55.855870308653422</c:v>
                </c:pt>
                <c:pt idx="322">
                  <c:v>55.920183747026925</c:v>
                </c:pt>
                <c:pt idx="323">
                  <c:v>55.982695320529864</c:v>
                </c:pt>
                <c:pt idx="324">
                  <c:v>56.043379926889642</c:v>
                </c:pt>
                <c:pt idx="325">
                  <c:v>56.102212340782295</c:v>
                </c:pt>
                <c:pt idx="326">
                  <c:v>56.15916723124267</c:v>
                </c:pt>
                <c:pt idx="327">
                  <c:v>56.214219179221331</c:v>
                </c:pt>
                <c:pt idx="328">
                  <c:v>56.267342695273896</c:v>
                </c:pt>
                <c:pt idx="329">
                  <c:v>56.318512237368552</c:v>
                </c:pt>
                <c:pt idx="330">
                  <c:v>56.367702228797185</c:v>
                </c:pt>
                <c:pt idx="331">
                  <c:v>56.414887076177067</c:v>
                </c:pt>
                <c:pt idx="332">
                  <c:v>56.460041187527736</c:v>
                </c:pt>
                <c:pt idx="333">
                  <c:v>56.503138990409667</c:v>
                </c:pt>
                <c:pt idx="334">
                  <c:v>56.544154950110453</c:v>
                </c:pt>
                <c:pt idx="335">
                  <c:v>56.583063587864245</c:v>
                </c:pt>
                <c:pt idx="336">
                  <c:v>56.619839499090567</c:v>
                </c:pt>
                <c:pt idx="337">
                  <c:v>56.654457371638841</c:v>
                </c:pt>
                <c:pt idx="338">
                  <c:v>56.68689200402406</c:v>
                </c:pt>
                <c:pt idx="339">
                  <c:v>56.717118323640499</c:v>
                </c:pt>
                <c:pt idx="340">
                  <c:v>56.745111404939536</c:v>
                </c:pt>
                <c:pt idx="341">
                  <c:v>56.770846487557598</c:v>
                </c:pt>
                <c:pt idx="342">
                  <c:v>56.794298994381499</c:v>
                </c:pt>
                <c:pt idx="343">
                  <c:v>56.815444549537418</c:v>
                </c:pt>
                <c:pt idx="344">
                  <c:v>56.83425899628989</c:v>
                </c:pt>
                <c:pt idx="345">
                  <c:v>56.850718414839044</c:v>
                </c:pt>
                <c:pt idx="346">
                  <c:v>56.864799140001381</c:v>
                </c:pt>
                <c:pt idx="347">
                  <c:v>56.876477778763288</c:v>
                </c:pt>
                <c:pt idx="348">
                  <c:v>56.885731227693029</c:v>
                </c:pt>
                <c:pt idx="349">
                  <c:v>56.89253669020011</c:v>
                </c:pt>
                <c:pt idx="350">
                  <c:v>56.89687169362908</c:v>
                </c:pt>
                <c:pt idx="351">
                  <c:v>56.898714106176058</c:v>
                </c:pt>
                <c:pt idx="352">
                  <c:v>56.898042153616601</c:v>
                </c:pt>
                <c:pt idx="353">
                  <c:v>56.894834435832202</c:v>
                </c:pt>
                <c:pt idx="354">
                  <c:v>56.889069943125811</c:v>
                </c:pt>
                <c:pt idx="355">
                  <c:v>56.88072807231363</c:v>
                </c:pt>
                <c:pt idx="356">
                  <c:v>56.869788642583487</c:v>
                </c:pt>
                <c:pt idx="357">
                  <c:v>56.856231911108559</c:v>
                </c:pt>
                <c:pt idx="358">
                  <c:v>56.840038588406394</c:v>
                </c:pt>
                <c:pt idx="359">
                  <c:v>56.82118985343299</c:v>
                </c:pt>
                <c:pt idx="360">
                  <c:v>56.79966736840219</c:v>
                </c:pt>
                <c:pt idx="361">
                  <c:v>56.775453293320865</c:v>
                </c:pt>
                <c:pt idx="362">
                  <c:v>56.748530300230328</c:v>
                </c:pt>
                <c:pt idx="363">
                  <c:v>56.718881587145461</c:v>
                </c:pt>
                <c:pt idx="364">
                  <c:v>56.686490891682354</c:v>
                </c:pt>
                <c:pt idx="365">
                  <c:v>56.651342504366255</c:v>
                </c:pt>
                <c:pt idx="366">
                  <c:v>56.613421281611942</c:v>
                </c:pt>
                <c:pt idx="367">
                  <c:v>56.572712658367927</c:v>
                </c:pt>
                <c:pt idx="368">
                  <c:v>56.529202660417788</c:v>
                </c:pt>
                <c:pt idx="369">
                  <c:v>56.482877916331013</c:v>
                </c:pt>
                <c:pt idx="370">
                  <c:v>56.433725669056287</c:v>
                </c:pt>
                <c:pt idx="371">
                  <c:v>56.381733787150843</c:v>
                </c:pt>
                <c:pt idx="372">
                  <c:v>56.326890775639505</c:v>
                </c:pt>
                <c:pt idx="373">
                  <c:v>56.269185786497303</c:v>
                </c:pt>
                <c:pt idx="374">
                  <c:v>56.208608628750248</c:v>
                </c:pt>
                <c:pt idx="375">
                  <c:v>56.145149778188568</c:v>
                </c:pt>
                <c:pt idx="376">
                  <c:v>56.078800386687405</c:v>
                </c:pt>
                <c:pt idx="377">
                  <c:v>56.009552291130632</c:v>
                </c:pt>
                <c:pt idx="378">
                  <c:v>55.937398021933042</c:v>
                </c:pt>
                <c:pt idx="379">
                  <c:v>55.862330811156397</c:v>
                </c:pt>
                <c:pt idx="380">
                  <c:v>55.784344600216635</c:v>
                </c:pt>
                <c:pt idx="381">
                  <c:v>55.703434047177765</c:v>
                </c:pt>
                <c:pt idx="382">
                  <c:v>55.619594533629879</c:v>
                </c:pt>
                <c:pt idx="383">
                  <c:v>55.532822171148162</c:v>
                </c:pt>
                <c:pt idx="384">
                  <c:v>55.443113807330491</c:v>
                </c:pt>
                <c:pt idx="385">
                  <c:v>55.350467031411668</c:v>
                </c:pt>
                <c:pt idx="386">
                  <c:v>55.254880179451774</c:v>
                </c:pt>
                <c:pt idx="387">
                  <c:v>55.156352339098085</c:v>
                </c:pt>
                <c:pt idx="388">
                  <c:v>55.054883353917972</c:v>
                </c:pt>
                <c:pt idx="389">
                  <c:v>54.950473827303099</c:v>
                </c:pt>
                <c:pt idx="390">
                  <c:v>54.843125125943693</c:v>
                </c:pt>
                <c:pt idx="391">
                  <c:v>54.732839382872079</c:v>
                </c:pt>
                <c:pt idx="392">
                  <c:v>54.61961950007678</c:v>
                </c:pt>
                <c:pt idx="393">
                  <c:v>54.503469150685547</c:v>
                </c:pt>
                <c:pt idx="394">
                  <c:v>54.384392780719956</c:v>
                </c:pt>
                <c:pt idx="395">
                  <c:v>54.262395610420697</c:v>
                </c:pt>
                <c:pt idx="396">
                  <c:v>54.137483635145415</c:v>
                </c:pt>
                <c:pt idx="397">
                  <c:v>54.009663625840723</c:v>
                </c:pt>
                <c:pt idx="398">
                  <c:v>53.878943129089393</c:v>
                </c:pt>
                <c:pt idx="399">
                  <c:v>53.745330466735417</c:v>
                </c:pt>
                <c:pt idx="400">
                  <c:v>53.608834735088635</c:v>
                </c:pt>
                <c:pt idx="401">
                  <c:v>53.469465803711572</c:v>
                </c:pt>
                <c:pt idx="402">
                  <c:v>53.327234313791216</c:v>
                </c:pt>
                <c:pt idx="403">
                  <c:v>53.182151676099032</c:v>
                </c:pt>
                <c:pt idx="404">
                  <c:v>53.034230068542008</c:v>
                </c:pt>
                <c:pt idx="405">
                  <c:v>52.883482433308444</c:v>
                </c:pt>
                <c:pt idx="406">
                  <c:v>52.729922473612376</c:v>
                </c:pt>
                <c:pt idx="407">
                  <c:v>52.57356465004036</c:v>
                </c:pt>
                <c:pt idx="408">
                  <c:v>52.414424176504802</c:v>
                </c:pt>
                <c:pt idx="409">
                  <c:v>52.25251701580892</c:v>
                </c:pt>
                <c:pt idx="410">
                  <c:v>52.087859874826719</c:v>
                </c:pt>
                <c:pt idx="411">
                  <c:v>51.920470199304027</c:v>
                </c:pt>
                <c:pt idx="412">
                  <c:v>51.750366168285453</c:v>
                </c:pt>
                <c:pt idx="413">
                  <c:v>51.577566688171437</c:v>
                </c:pt>
                <c:pt idx="414">
                  <c:v>51.402091386412948</c:v>
                </c:pt>
                <c:pt idx="415">
                  <c:v>51.223960604846894</c:v>
                </c:pt>
                <c:pt idx="416">
                  <c:v>51.043195392680623</c:v>
                </c:pt>
                <c:pt idx="417">
                  <c:v>50.859817499129555</c:v>
                </c:pt>
                <c:pt idx="418">
                  <c:v>50.673849365715341</c:v>
                </c:pt>
                <c:pt idx="419">
                  <c:v>50.485314118230342</c:v>
                </c:pt>
                <c:pt idx="420">
                  <c:v>50.294235558374737</c:v>
                </c:pt>
                <c:pt idx="421">
                  <c:v>50.100638155073931</c:v>
                </c:pt>
                <c:pt idx="422">
                  <c:v>49.90454703548167</c:v>
                </c:pt>
                <c:pt idx="423">
                  <c:v>49.705987975676777</c:v>
                </c:pt>
                <c:pt idx="424">
                  <c:v>49.504987391060503</c:v>
                </c:pt>
                <c:pt idx="425">
                  <c:v>49.301572326460942</c:v>
                </c:pt>
                <c:pt idx="426">
                  <c:v>49.095770445952866</c:v>
                </c:pt>
                <c:pt idx="427">
                  <c:v>48.887610022399556</c:v>
                </c:pt>
                <c:pt idx="428">
                  <c:v>48.677119926724849</c:v>
                </c:pt>
                <c:pt idx="429">
                  <c:v>48.464329616922214</c:v>
                </c:pt>
                <c:pt idx="430">
                  <c:v>48.249269126809494</c:v>
                </c:pt>
                <c:pt idx="431">
                  <c:v>48.031969054536269</c:v>
                </c:pt>
                <c:pt idx="432">
                  <c:v>47.812460550852677</c:v>
                </c:pt>
                <c:pt idx="433">
                  <c:v>47.590775307146586</c:v>
                </c:pt>
                <c:pt idx="434">
                  <c:v>47.366945543257955</c:v>
                </c:pt>
                <c:pt idx="435">
                  <c:v>47.1410039950784</c:v>
                </c:pt>
                <c:pt idx="436">
                  <c:v>46.912983901943363</c:v>
                </c:pt>
                <c:pt idx="437">
                  <c:v>46.682918993826448</c:v>
                </c:pt>
                <c:pt idx="438">
                  <c:v>46.450843478342648</c:v>
                </c:pt>
                <c:pt idx="439">
                  <c:v>46.216792027570101</c:v>
                </c:pt>
                <c:pt idx="440">
                  <c:v>45.980799764697466</c:v>
                </c:pt>
                <c:pt idx="441">
                  <c:v>45.74290225050629</c:v>
                </c:pt>
                <c:pt idx="442">
                  <c:v>45.503135469696424</c:v>
                </c:pt>
                <c:pt idx="443">
                  <c:v>45.261535817061997</c:v>
                </c:pt>
                <c:pt idx="444">
                  <c:v>45.018140083528046</c:v>
                </c:pt>
                <c:pt idx="445">
                  <c:v>44.772985442054335</c:v>
                </c:pt>
                <c:pt idx="446">
                  <c:v>44.526109433416352</c:v>
                </c:pt>
                <c:pt idx="447">
                  <c:v>44.277549951870412</c:v>
                </c:pt>
                <c:pt idx="448">
                  <c:v>44.027345230712562</c:v>
                </c:pt>
                <c:pt idx="449">
                  <c:v>43.775533827738606</c:v>
                </c:pt>
                <c:pt idx="450">
                  <c:v>43.522154610614095</c:v>
                </c:pt>
                <c:pt idx="451">
                  <c:v>43.267246742162399</c:v>
                </c:pt>
                <c:pt idx="452">
                  <c:v>43.010849665579208</c:v>
                </c:pt>
                <c:pt idx="453">
                  <c:v>42.753003089581476</c:v>
                </c:pt>
                <c:pt idx="454">
                  <c:v>42.493746973499242</c:v>
                </c:pt>
                <c:pt idx="455">
                  <c:v>42.233121512318306</c:v>
                </c:pt>
                <c:pt idx="456">
                  <c:v>41.971167121681788</c:v>
                </c:pt>
                <c:pt idx="457">
                  <c:v>41.707924422858454</c:v>
                </c:pt>
                <c:pt idx="458">
                  <c:v>41.443434227686382</c:v>
                </c:pt>
                <c:pt idx="459">
                  <c:v>41.177737523499047</c:v>
                </c:pt>
                <c:pt idx="460">
                  <c:v>40.910875458041922</c:v>
                </c:pt>
                <c:pt idx="461">
                  <c:v>40.642889324387625</c:v>
                </c:pt>
                <c:pt idx="462">
                  <c:v>40.373820545856987</c:v>
                </c:pt>
                <c:pt idx="463">
                  <c:v>40.103710660953524</c:v>
                </c:pt>
                <c:pt idx="464">
                  <c:v>39.832601308319099</c:v>
                </c:pt>
                <c:pt idx="465">
                  <c:v>39.560534211717766</c:v>
                </c:pt>
                <c:pt idx="466">
                  <c:v>39.287551165055774</c:v>
                </c:pt>
                <c:pt idx="467">
                  <c:v>39.013694017444045</c:v>
                </c:pt>
                <c:pt idx="468">
                  <c:v>38.73900465831094</c:v>
                </c:pt>
                <c:pt idx="469">
                  <c:v>38.463525002572254</c:v>
                </c:pt>
                <c:pt idx="470">
                  <c:v>38.187296975864712</c:v>
                </c:pt>
                <c:pt idx="471">
                  <c:v>37.910362499850564</c:v>
                </c:pt>
                <c:pt idx="472">
                  <c:v>37.632763477599617</c:v>
                </c:pt>
                <c:pt idx="473">
                  <c:v>37.354541779055133</c:v>
                </c:pt>
                <c:pt idx="474">
                  <c:v>37.075739226590109</c:v>
                </c:pt>
                <c:pt idx="475">
                  <c:v>36.796397580660653</c:v>
                </c:pt>
                <c:pt idx="476">
                  <c:v>36.516558525561855</c:v>
                </c:pt>
                <c:pt idx="477">
                  <c:v>36.236263655293392</c:v>
                </c:pt>
                <c:pt idx="478">
                  <c:v>35.955554459539599</c:v>
                </c:pt>
                <c:pt idx="479">
                  <c:v>35.674472309770529</c:v>
                </c:pt>
                <c:pt idx="480">
                  <c:v>35.39305844546989</c:v>
                </c:pt>
                <c:pt idx="481">
                  <c:v>35.111353960494945</c:v>
                </c:pt>
                <c:pt idx="482">
                  <c:v>34.829399789573834</c:v>
                </c:pt>
                <c:pt idx="483">
                  <c:v>34.547236694946008</c:v>
                </c:pt>
                <c:pt idx="484">
                  <c:v>34.264905253150836</c:v>
                </c:pt>
                <c:pt idx="485">
                  <c:v>33.982445841968946</c:v>
                </c:pt>
                <c:pt idx="486">
                  <c:v>33.699898627522046</c:v>
                </c:pt>
                <c:pt idx="487">
                  <c:v>33.417303551535028</c:v>
                </c:pt>
                <c:pt idx="488">
                  <c:v>33.134700318765944</c:v>
                </c:pt>
                <c:pt idx="489">
                  <c:v>32.852128384607411</c:v>
                </c:pt>
                <c:pt idx="490">
                  <c:v>32.569626942864375</c:v>
                </c:pt>
                <c:pt idx="491">
                  <c:v>32.287234913712517</c:v>
                </c:pt>
                <c:pt idx="492">
                  <c:v>32.004990931840673</c:v>
                </c:pt>
                <c:pt idx="493">
                  <c:v>31.722933334781825</c:v>
                </c:pt>
                <c:pt idx="494">
                  <c:v>31.441100151436391</c:v>
                </c:pt>
                <c:pt idx="495">
                  <c:v>31.159529090790901</c:v>
                </c:pt>
                <c:pt idx="496">
                  <c:v>30.878257530835974</c:v>
                </c:pt>
                <c:pt idx="497">
                  <c:v>30.597322507687288</c:v>
                </c:pt>
                <c:pt idx="498">
                  <c:v>30.316760704911516</c:v>
                </c:pt>
                <c:pt idx="499">
                  <c:v>30.036608443061876</c:v>
                </c:pt>
                <c:pt idx="500">
                  <c:v>29.75690166942465</c:v>
                </c:pt>
                <c:pt idx="501">
                  <c:v>29.477675947980735</c:v>
                </c:pt>
                <c:pt idx="502">
                  <c:v>29.19896644958391</c:v>
                </c:pt>
                <c:pt idx="503">
                  <c:v>28.920807942358852</c:v>
                </c:pt>
                <c:pt idx="504">
                  <c:v>28.643234782320842</c:v>
                </c:pt>
                <c:pt idx="505">
                  <c:v>28.366280904219689</c:v>
                </c:pt>
                <c:pt idx="506">
                  <c:v>28.089979812609894</c:v>
                </c:pt>
                <c:pt idx="507">
                  <c:v>27.814364573148566</c:v>
                </c:pt>
                <c:pt idx="508">
                  <c:v>27.539467804123362</c:v>
                </c:pt>
                <c:pt idx="509">
                  <c:v>27.265321668211822</c:v>
                </c:pt>
                <c:pt idx="510">
                  <c:v>26.991957864473672</c:v>
                </c:pt>
                <c:pt idx="511">
                  <c:v>26.719407620577318</c:v>
                </c:pt>
                <c:pt idx="512">
                  <c:v>26.447701685262253</c:v>
                </c:pt>
                <c:pt idx="513">
                  <c:v>26.176870321037502</c:v>
                </c:pt>
                <c:pt idx="514">
                  <c:v>25.906943297118286</c:v>
                </c:pt>
                <c:pt idx="515">
                  <c:v>25.637949882600761</c:v>
                </c:pt>
                <c:pt idx="516">
                  <c:v>25.369918839876039</c:v>
                </c:pt>
                <c:pt idx="517">
                  <c:v>25.102878418283773</c:v>
                </c:pt>
                <c:pt idx="518">
                  <c:v>24.836856348005998</c:v>
                </c:pt>
                <c:pt idx="519">
                  <c:v>24.57187983420172</c:v>
                </c:pt>
                <c:pt idx="520">
                  <c:v>24.30797555138172</c:v>
                </c:pt>
                <c:pt idx="521">
                  <c:v>24.045169638024209</c:v>
                </c:pt>
                <c:pt idx="522">
                  <c:v>23.783487691431862</c:v>
                </c:pt>
                <c:pt idx="523">
                  <c:v>23.522954762828441</c:v>
                </c:pt>
                <c:pt idx="524">
                  <c:v>23.263595352696246</c:v>
                </c:pt>
                <c:pt idx="525">
                  <c:v>23.005433406353724</c:v>
                </c:pt>
                <c:pt idx="526">
                  <c:v>22.748492309771699</c:v>
                </c:pt>
                <c:pt idx="527">
                  <c:v>22.492794885629102</c:v>
                </c:pt>
                <c:pt idx="528">
                  <c:v>22.238363389606381</c:v>
                </c:pt>
                <c:pt idx="529">
                  <c:v>21.985219506916312</c:v>
                </c:pt>
                <c:pt idx="530">
                  <c:v>21.733384349070874</c:v>
                </c:pt>
                <c:pt idx="531">
                  <c:v>21.482878450883653</c:v>
                </c:pt>
                <c:pt idx="532">
                  <c:v>21.233721767706207</c:v>
                </c:pt>
                <c:pt idx="533">
                  <c:v>20.985933672897104</c:v>
                </c:pt>
                <c:pt idx="534">
                  <c:v>20.739532955523007</c:v>
                </c:pt>
                <c:pt idx="535">
                  <c:v>20.494537818289153</c:v>
                </c:pt>
                <c:pt idx="536">
                  <c:v>20.250965875699169</c:v>
                </c:pt>
                <c:pt idx="537">
                  <c:v>20.008834152441128</c:v>
                </c:pt>
                <c:pt idx="538">
                  <c:v>19.768159081999325</c:v>
                </c:pt>
                <c:pt idx="539">
                  <c:v>19.528956505489457</c:v>
                </c:pt>
                <c:pt idx="540">
                  <c:v>19.291241670715117</c:v>
                </c:pt>
                <c:pt idx="541">
                  <c:v>19.055029231444252</c:v>
                </c:pt>
                <c:pt idx="542">
                  <c:v>18.820333246903086</c:v>
                </c:pt>
                <c:pt idx="543">
                  <c:v>18.587167181485359</c:v>
                </c:pt>
                <c:pt idx="544">
                  <c:v>18.355543904675173</c:v>
                </c:pt>
                <c:pt idx="545">
                  <c:v>18.125475691180633</c:v>
                </c:pt>
                <c:pt idx="546">
                  <c:v>17.896974221276359</c:v>
                </c:pt>
                <c:pt idx="547">
                  <c:v>17.670050581352136</c:v>
                </c:pt>
                <c:pt idx="548">
                  <c:v>17.44471526466555</c:v>
                </c:pt>
                <c:pt idx="549">
                  <c:v>17.220978172295919</c:v>
                </c:pt>
                <c:pt idx="550">
                  <c:v>16.998848614296669</c:v>
                </c:pt>
                <c:pt idx="551">
                  <c:v>16.778335311044298</c:v>
                </c:pt>
                <c:pt idx="552">
                  <c:v>16.559446394780167</c:v>
                </c:pt>
                <c:pt idx="553">
                  <c:v>16.342189411343377</c:v>
                </c:pt>
                <c:pt idx="554">
                  <c:v>16.126571322090903</c:v>
                </c:pt>
                <c:pt idx="555">
                  <c:v>15.912598506003134</c:v>
                </c:pt>
                <c:pt idx="556">
                  <c:v>15.700276761971137</c:v>
                </c:pt>
                <c:pt idx="557">
                  <c:v>15.489611311263028</c:v>
                </c:pt>
                <c:pt idx="558">
                  <c:v>15.280606800166424</c:v>
                </c:pt>
                <c:pt idx="559">
                  <c:v>15.07326730280389</c:v>
                </c:pt>
                <c:pt idx="560">
                  <c:v>14.867596324118228</c:v>
                </c:pt>
                <c:pt idx="561">
                  <c:v>14.663596803024726</c:v>
                </c:pt>
                <c:pt idx="562">
                  <c:v>14.461271115726797</c:v>
                </c:pt>
                <c:pt idx="563">
                  <c:v>14.260621079192344</c:v>
                </c:pt>
                <c:pt idx="564">
                  <c:v>14.061647954787086</c:v>
                </c:pt>
                <c:pt idx="565">
                  <c:v>13.864352452062336</c:v>
                </c:pt>
                <c:pt idx="566">
                  <c:v>13.668734732692698</c:v>
                </c:pt>
                <c:pt idx="567">
                  <c:v>13.474794414561934</c:v>
                </c:pt>
                <c:pt idx="568">
                  <c:v>13.282530575992732</c:v>
                </c:pt>
                <c:pt idx="569">
                  <c:v>13.091941760116942</c:v>
                </c:pt>
                <c:pt idx="570">
                  <c:v>12.90302597938337</c:v>
                </c:pt>
                <c:pt idx="571">
                  <c:v>12.715780720199882</c:v>
                </c:pt>
                <c:pt idx="572">
                  <c:v>12.530202947705554</c:v>
                </c:pt>
                <c:pt idx="573">
                  <c:v>12.346289110670584</c:v>
                </c:pt>
                <c:pt idx="574">
                  <c:v>12.164035146519664</c:v>
                </c:pt>
                <c:pt idx="575">
                  <c:v>11.983436486475931</c:v>
                </c:pt>
                <c:pt idx="576">
                  <c:v>11.804488060821804</c:v>
                </c:pt>
                <c:pt idx="577">
                  <c:v>11.627184304273337</c:v>
                </c:pt>
                <c:pt idx="578">
                  <c:v>11.451519161464649</c:v>
                </c:pt>
                <c:pt idx="579">
                  <c:v>11.277486092539201</c:v>
                </c:pt>
                <c:pt idx="580">
                  <c:v>11.10507807884381</c:v>
                </c:pt>
                <c:pt idx="581">
                  <c:v>10.934287628723137</c:v>
                </c:pt>
                <c:pt idx="582">
                  <c:v>10.765106783409625</c:v>
                </c:pt>
                <c:pt idx="583">
                  <c:v>10.597527123007342</c:v>
                </c:pt>
                <c:pt idx="584">
                  <c:v>10.431539772564573</c:v>
                </c:pt>
                <c:pt idx="585">
                  <c:v>10.267135408232665</c:v>
                </c:pt>
                <c:pt idx="586">
                  <c:v>10.104304263507926</c:v>
                </c:pt>
                <c:pt idx="587">
                  <c:v>9.9430361355521928</c:v>
                </c:pt>
                <c:pt idx="588">
                  <c:v>9.7833203915898448</c:v>
                </c:pt>
                <c:pt idx="589">
                  <c:v>9.6251459753771034</c:v>
                </c:pt>
                <c:pt idx="590">
                  <c:v>9.468501413740567</c:v>
                </c:pt>
                <c:pt idx="591">
                  <c:v>9.313374823181725</c:v>
                </c:pt>
                <c:pt idx="592">
                  <c:v>9.1597539165438455</c:v>
                </c:pt>
                <c:pt idx="593">
                  <c:v>9.007626009738317</c:v>
                </c:pt>
                <c:pt idx="594">
                  <c:v>8.856978028527001</c:v>
                </c:pt>
                <c:pt idx="595">
                  <c:v>8.707796515357165</c:v>
                </c:pt>
                <c:pt idx="596">
                  <c:v>8.5600676362460799</c:v>
                </c:pt>
                <c:pt idx="597">
                  <c:v>8.4137771877119949</c:v>
                </c:pt>
                <c:pt idx="598">
                  <c:v>8.2689106037482141</c:v>
                </c:pt>
                <c:pt idx="599">
                  <c:v>8.1254529628372492</c:v>
                </c:pt>
                <c:pt idx="600">
                  <c:v>7.9833889950017536</c:v>
                </c:pt>
                <c:pt idx="601">
                  <c:v>7.8427030888895475</c:v>
                </c:pt>
                <c:pt idx="602">
                  <c:v>7.7033792988891596</c:v>
                </c:pt>
                <c:pt idx="603">
                  <c:v>7.5654013522732289</c:v>
                </c:pt>
                <c:pt idx="604">
                  <c:v>7.4287526563666928</c:v>
                </c:pt>
                <c:pt idx="605">
                  <c:v>7.2934163057368275</c:v>
                </c:pt>
                <c:pt idx="606">
                  <c:v>7.1593750894019736</c:v>
                </c:pt>
                <c:pt idx="607">
                  <c:v>7.0266114980563747</c:v>
                </c:pt>
                <c:pt idx="608">
                  <c:v>6.895107731308352</c:v>
                </c:pt>
                <c:pt idx="609">
                  <c:v>6.7648457049285549</c:v>
                </c:pt>
                <c:pt idx="610">
                  <c:v>6.6358070581058106</c:v>
                </c:pt>
                <c:pt idx="611">
                  <c:v>6.5079731607077065</c:v>
                </c:pt>
                <c:pt idx="612">
                  <c:v>6.3813251205439112</c:v>
                </c:pt>
                <c:pt idx="613">
                  <c:v>6.2558437906279067</c:v>
                </c:pt>
                <c:pt idx="614">
                  <c:v>6.1315097764364825</c:v>
                </c:pt>
                <c:pt idx="615">
                  <c:v>6.0083034431630375</c:v>
                </c:pt>
                <c:pt idx="616">
                  <c:v>5.8862049229628068</c:v>
                </c:pt>
                <c:pt idx="617">
                  <c:v>5.765194122187193</c:v>
                </c:pt>
                <c:pt idx="618">
                  <c:v>5.6452507286049727</c:v>
                </c:pt>
                <c:pt idx="619">
                  <c:v>5.5263542186078798</c:v>
                </c:pt>
                <c:pt idx="620">
                  <c:v>5.4084838643981961</c:v>
                </c:pt>
                <c:pt idx="621">
                  <c:v>5.2916187411560971</c:v>
                </c:pt>
                <c:pt idx="622">
                  <c:v>5.1757377341840902</c:v>
                </c:pt>
                <c:pt idx="623">
                  <c:v>5.0608195460273473</c:v>
                </c:pt>
                <c:pt idx="624">
                  <c:v>4.9468427035662321</c:v>
                </c:pt>
                <c:pt idx="625">
                  <c:v>4.8337855650803156</c:v>
                </c:pt>
                <c:pt idx="626">
                  <c:v>4.7216263272808421</c:v>
                </c:pt>
                <c:pt idx="627">
                  <c:v>4.6103430323099133</c:v>
                </c:pt>
                <c:pt idx="628">
                  <c:v>4.4999135747046175</c:v>
                </c:pt>
                <c:pt idx="629">
                  <c:v>4.390315708323671</c:v>
                </c:pt>
                <c:pt idx="630">
                  <c:v>4.2815270532350942</c:v>
                </c:pt>
                <c:pt idx="631">
                  <c:v>4.1735251025626381</c:v>
                </c:pt>
                <c:pt idx="632">
                  <c:v>4.0662872292896557</c:v>
                </c:pt>
                <c:pt idx="633">
                  <c:v>3.9597906930183382</c:v>
                </c:pt>
                <c:pt idx="634">
                  <c:v>3.8540126466822517</c:v>
                </c:pt>
                <c:pt idx="635">
                  <c:v>3.748930143211382</c:v>
                </c:pt>
                <c:pt idx="636">
                  <c:v>3.6445201421471132</c:v>
                </c:pt>
                <c:pt idx="637">
                  <c:v>3.5407595162065215</c:v>
                </c:pt>
                <c:pt idx="638">
                  <c:v>3.437625057792995</c:v>
                </c:pt>
                <c:pt idx="639">
                  <c:v>3.3350934854538736</c:v>
                </c:pt>
                <c:pt idx="640">
                  <c:v>3.2331414502810127</c:v>
                </c:pt>
                <c:pt idx="641">
                  <c:v>3.1317455422553704</c:v>
                </c:pt>
                <c:pt idx="642">
                  <c:v>3.0308822965326367</c:v>
                </c:pt>
                <c:pt idx="643">
                  <c:v>2.9305281996690753</c:v>
                </c:pt>
                <c:pt idx="644">
                  <c:v>2.8306596957865096</c:v>
                </c:pt>
                <c:pt idx="645">
                  <c:v>2.7312531926750845</c:v>
                </c:pt>
                <c:pt idx="646">
                  <c:v>2.6322850678324858</c:v>
                </c:pt>
                <c:pt idx="647">
                  <c:v>2.5337316744387968</c:v>
                </c:pt>
                <c:pt idx="648">
                  <c:v>2.4355693472657602</c:v>
                </c:pt>
                <c:pt idx="649">
                  <c:v>2.337774408519012</c:v>
                </c:pt>
                <c:pt idx="650">
                  <c:v>2.2403231736134961</c:v>
                </c:pt>
                <c:pt idx="651">
                  <c:v>2.1431919568793947</c:v>
                </c:pt>
                <c:pt idx="652">
                  <c:v>2.0463570771993527</c:v>
                </c:pt>
                <c:pt idx="653">
                  <c:v>1.9497948635744979</c:v>
                </c:pt>
                <c:pt idx="654">
                  <c:v>1.8534816606205349</c:v>
                </c:pt>
                <c:pt idx="655">
                  <c:v>1.7573938339905302</c:v>
                </c:pt>
                <c:pt idx="656">
                  <c:v>1.6615077757262702</c:v>
                </c:pt>
                <c:pt idx="657">
                  <c:v>1.5657999095351838</c:v>
                </c:pt>
                <c:pt idx="658">
                  <c:v>1.4702466959943179</c:v>
                </c:pt>
                <c:pt idx="659">
                  <c:v>1.3748246376786992</c:v>
                </c:pt>
                <c:pt idx="660">
                  <c:v>1.2795102842153807</c:v>
                </c:pt>
                <c:pt idx="661">
                  <c:v>1.1842802372611065</c:v>
                </c:pt>
                <c:pt idx="662">
                  <c:v>1.0891111554044079</c:v>
                </c:pt>
                <c:pt idx="663">
                  <c:v>0.99397975899027613</c:v>
                </c:pt>
                <c:pt idx="664">
                  <c:v>0.89886283486870677</c:v>
                </c:pt>
                <c:pt idx="665">
                  <c:v>0.80373724106503641</c:v>
                </c:pt>
                <c:pt idx="666">
                  <c:v>0.70857991137303256</c:v>
                </c:pt>
                <c:pt idx="667">
                  <c:v>0.6133678598693979</c:v>
                </c:pt>
                <c:pt idx="668">
                  <c:v>0.51807818535071104</c:v>
                </c:pt>
                <c:pt idx="669">
                  <c:v>0.42268807569098449</c:v>
                </c:pt>
                <c:pt idx="670">
                  <c:v>0.32717481212103539</c:v>
                </c:pt>
                <c:pt idx="671">
                  <c:v>0.23151577342876445</c:v>
                </c:pt>
                <c:pt idx="672">
                  <c:v>0.1356884400804316</c:v>
                </c:pt>
                <c:pt idx="673">
                  <c:v>3.9670398262851354E-2</c:v>
                </c:pt>
                <c:pt idx="674">
                  <c:v>-5.6560656153797656E-2</c:v>
                </c:pt>
                <c:pt idx="675">
                  <c:v>-0.1530269137318849</c:v>
                </c:pt>
                <c:pt idx="676">
                  <c:v>0</c:v>
                </c:pt>
                <c:pt idx="677">
                  <c:v>0</c:v>
                </c:pt>
                <c:pt idx="678">
                  <c:v>0</c:v>
                </c:pt>
              </c:numCache>
            </c:numRef>
          </c:yVal>
        </c:ser>
        <c:axId val="61803904"/>
        <c:axId val="186721792"/>
      </c:scatterChart>
      <c:valAx>
        <c:axId val="61803904"/>
        <c:scaling>
          <c:orientation val="minMax"/>
        </c:scaling>
        <c:axPos val="b"/>
        <c:numFmt formatCode="0.000" sourceLinked="1"/>
        <c:majorTickMark val="cross"/>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86721792"/>
        <c:crosses val="autoZero"/>
        <c:crossBetween val="midCat"/>
      </c:valAx>
      <c:valAx>
        <c:axId val="186721792"/>
        <c:scaling>
          <c:orientation val="minMax"/>
        </c:scaling>
        <c:axPos val="l"/>
        <c:numFmt formatCode="0.00000" sourceLinked="1"/>
        <c:majorTickMark val="cross"/>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61803904"/>
        <c:crosses val="autoZero"/>
        <c:crossBetween val="midCat"/>
      </c:valAx>
      <c:spPr>
        <a:noFill/>
        <a:ln w="12700">
          <a:solidFill>
            <a:srgbClr val="808080"/>
          </a:solidFill>
          <a:prstDash val="solid"/>
        </a:ln>
      </c:spPr>
    </c:plotArea>
    <c:legend>
      <c:legendPos val="r"/>
      <c:layout>
        <c:manualLayout>
          <c:xMode val="edge"/>
          <c:yMode val="edge"/>
          <c:x val="0.818359375"/>
          <c:y val="2.2408963585434344E-2"/>
          <c:w val="0.173828125"/>
          <c:h val="0.43137372534315765"/>
        </c:manualLayout>
      </c:layout>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233" r="0.75000000000000233" t="1" header="0.5" footer="0.5"/>
    <c:pageSetup paperSize="9" orientation="landscape" horizontalDpi="300" verticalDpi="300"/>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solidFill>
                  <a:srgbClr val="000000"/>
                </a:solidFill>
                <a:latin typeface="Arial"/>
                <a:ea typeface="Arial"/>
                <a:cs typeface="Arial"/>
              </a:defRPr>
            </a:pPr>
            <a:r>
              <a:rPr lang="en-GB"/>
              <a:t>Spectral Fit - Showing Individual Peak Components</a:t>
            </a:r>
          </a:p>
        </c:rich>
      </c:tx>
      <c:layout>
        <c:manualLayout>
          <c:xMode val="edge"/>
          <c:yMode val="edge"/>
          <c:x val="0.28817649086522001"/>
          <c:y val="3.6158192090395481E-2"/>
        </c:manualLayout>
      </c:layout>
      <c:spPr>
        <a:noFill/>
        <a:ln w="25400">
          <a:noFill/>
        </a:ln>
      </c:spPr>
    </c:title>
    <c:plotArea>
      <c:layout>
        <c:manualLayout>
          <c:layoutTarget val="inner"/>
          <c:xMode val="edge"/>
          <c:yMode val="edge"/>
          <c:x val="0.10306790761806255"/>
          <c:y val="0.11694915254237288"/>
          <c:w val="0.76042743881420205"/>
          <c:h val="0.77118644067796616"/>
        </c:manualLayout>
      </c:layout>
      <c:scatterChart>
        <c:scatterStyle val="smoothMarker"/>
        <c:ser>
          <c:idx val="1"/>
          <c:order val="0"/>
          <c:tx>
            <c:strRef>
              <c:f>Data!$B$1</c:f>
              <c:strCache>
                <c:ptCount val="1"/>
                <c:pt idx="0">
                  <c:v>Test Data</c:v>
                </c:pt>
              </c:strCache>
            </c:strRef>
          </c:tx>
          <c:spPr>
            <a:ln w="12700">
              <a:solidFill>
                <a:srgbClr val="FF00FF"/>
              </a:solidFill>
              <a:prstDash val="solid"/>
            </a:ln>
          </c:spPr>
          <c:marker>
            <c:symbol val="none"/>
          </c:marker>
          <c:xVal>
            <c:numRef>
              <c:f>Data!$A$2:$A$1001</c:f>
              <c:numCache>
                <c:formatCode>0.000</c:formatCode>
                <c:ptCount val="1000"/>
                <c:pt idx="0">
                  <c:v>1</c:v>
                </c:pt>
                <c:pt idx="1">
                  <c:v>3</c:v>
                </c:pt>
                <c:pt idx="2">
                  <c:v>5</c:v>
                </c:pt>
                <c:pt idx="3">
                  <c:v>7</c:v>
                </c:pt>
                <c:pt idx="4">
                  <c:v>9</c:v>
                </c:pt>
                <c:pt idx="5">
                  <c:v>11</c:v>
                </c:pt>
                <c:pt idx="6">
                  <c:v>13</c:v>
                </c:pt>
                <c:pt idx="7">
                  <c:v>15</c:v>
                </c:pt>
                <c:pt idx="8">
                  <c:v>17</c:v>
                </c:pt>
                <c:pt idx="9">
                  <c:v>19</c:v>
                </c:pt>
                <c:pt idx="10">
                  <c:v>21</c:v>
                </c:pt>
                <c:pt idx="11">
                  <c:v>23</c:v>
                </c:pt>
                <c:pt idx="12">
                  <c:v>25</c:v>
                </c:pt>
                <c:pt idx="13">
                  <c:v>27</c:v>
                </c:pt>
                <c:pt idx="14">
                  <c:v>29</c:v>
                </c:pt>
                <c:pt idx="15">
                  <c:v>31</c:v>
                </c:pt>
                <c:pt idx="16">
                  <c:v>33</c:v>
                </c:pt>
                <c:pt idx="17">
                  <c:v>35</c:v>
                </c:pt>
                <c:pt idx="18">
                  <c:v>37</c:v>
                </c:pt>
                <c:pt idx="19">
                  <c:v>39</c:v>
                </c:pt>
                <c:pt idx="20">
                  <c:v>41</c:v>
                </c:pt>
                <c:pt idx="21">
                  <c:v>43</c:v>
                </c:pt>
                <c:pt idx="22">
                  <c:v>45</c:v>
                </c:pt>
                <c:pt idx="23">
                  <c:v>47</c:v>
                </c:pt>
                <c:pt idx="24">
                  <c:v>49</c:v>
                </c:pt>
                <c:pt idx="25">
                  <c:v>51</c:v>
                </c:pt>
                <c:pt idx="26">
                  <c:v>53</c:v>
                </c:pt>
                <c:pt idx="27">
                  <c:v>55</c:v>
                </c:pt>
                <c:pt idx="28">
                  <c:v>57</c:v>
                </c:pt>
                <c:pt idx="29">
                  <c:v>59</c:v>
                </c:pt>
                <c:pt idx="30">
                  <c:v>61</c:v>
                </c:pt>
                <c:pt idx="31">
                  <c:v>63</c:v>
                </c:pt>
                <c:pt idx="32">
                  <c:v>65</c:v>
                </c:pt>
                <c:pt idx="33">
                  <c:v>67</c:v>
                </c:pt>
                <c:pt idx="34">
                  <c:v>69</c:v>
                </c:pt>
                <c:pt idx="35">
                  <c:v>71</c:v>
                </c:pt>
                <c:pt idx="36">
                  <c:v>73</c:v>
                </c:pt>
                <c:pt idx="37">
                  <c:v>75</c:v>
                </c:pt>
                <c:pt idx="38">
                  <c:v>77</c:v>
                </c:pt>
                <c:pt idx="39">
                  <c:v>79</c:v>
                </c:pt>
                <c:pt idx="40">
                  <c:v>81</c:v>
                </c:pt>
                <c:pt idx="41">
                  <c:v>83</c:v>
                </c:pt>
                <c:pt idx="42">
                  <c:v>85</c:v>
                </c:pt>
                <c:pt idx="43">
                  <c:v>87</c:v>
                </c:pt>
                <c:pt idx="44">
                  <c:v>89</c:v>
                </c:pt>
                <c:pt idx="45">
                  <c:v>91</c:v>
                </c:pt>
                <c:pt idx="46">
                  <c:v>93</c:v>
                </c:pt>
                <c:pt idx="47">
                  <c:v>95</c:v>
                </c:pt>
                <c:pt idx="48">
                  <c:v>97</c:v>
                </c:pt>
                <c:pt idx="49">
                  <c:v>99</c:v>
                </c:pt>
                <c:pt idx="50">
                  <c:v>101</c:v>
                </c:pt>
                <c:pt idx="51">
                  <c:v>103</c:v>
                </c:pt>
                <c:pt idx="52">
                  <c:v>105</c:v>
                </c:pt>
                <c:pt idx="53">
                  <c:v>107</c:v>
                </c:pt>
                <c:pt idx="54">
                  <c:v>109</c:v>
                </c:pt>
                <c:pt idx="55">
                  <c:v>111</c:v>
                </c:pt>
                <c:pt idx="56">
                  <c:v>113</c:v>
                </c:pt>
                <c:pt idx="57">
                  <c:v>115</c:v>
                </c:pt>
                <c:pt idx="58">
                  <c:v>117</c:v>
                </c:pt>
                <c:pt idx="59">
                  <c:v>119</c:v>
                </c:pt>
                <c:pt idx="60">
                  <c:v>121</c:v>
                </c:pt>
                <c:pt idx="61">
                  <c:v>123</c:v>
                </c:pt>
                <c:pt idx="62">
                  <c:v>125</c:v>
                </c:pt>
                <c:pt idx="63">
                  <c:v>127</c:v>
                </c:pt>
                <c:pt idx="64">
                  <c:v>129</c:v>
                </c:pt>
                <c:pt idx="65">
                  <c:v>131</c:v>
                </c:pt>
                <c:pt idx="66">
                  <c:v>133</c:v>
                </c:pt>
                <c:pt idx="67">
                  <c:v>135</c:v>
                </c:pt>
                <c:pt idx="68">
                  <c:v>137</c:v>
                </c:pt>
                <c:pt idx="69">
                  <c:v>139</c:v>
                </c:pt>
                <c:pt idx="70">
                  <c:v>141</c:v>
                </c:pt>
                <c:pt idx="71">
                  <c:v>143</c:v>
                </c:pt>
                <c:pt idx="72">
                  <c:v>145</c:v>
                </c:pt>
                <c:pt idx="73">
                  <c:v>147</c:v>
                </c:pt>
                <c:pt idx="74">
                  <c:v>149</c:v>
                </c:pt>
                <c:pt idx="75">
                  <c:v>151</c:v>
                </c:pt>
                <c:pt idx="76">
                  <c:v>153</c:v>
                </c:pt>
                <c:pt idx="77">
                  <c:v>155</c:v>
                </c:pt>
                <c:pt idx="78">
                  <c:v>157</c:v>
                </c:pt>
                <c:pt idx="79">
                  <c:v>159</c:v>
                </c:pt>
                <c:pt idx="80">
                  <c:v>161</c:v>
                </c:pt>
                <c:pt idx="81">
                  <c:v>163</c:v>
                </c:pt>
                <c:pt idx="82">
                  <c:v>165</c:v>
                </c:pt>
                <c:pt idx="83">
                  <c:v>167</c:v>
                </c:pt>
                <c:pt idx="84">
                  <c:v>169</c:v>
                </c:pt>
                <c:pt idx="85">
                  <c:v>171</c:v>
                </c:pt>
                <c:pt idx="86">
                  <c:v>173</c:v>
                </c:pt>
                <c:pt idx="87">
                  <c:v>175</c:v>
                </c:pt>
                <c:pt idx="88">
                  <c:v>177</c:v>
                </c:pt>
                <c:pt idx="89">
                  <c:v>179</c:v>
                </c:pt>
                <c:pt idx="90">
                  <c:v>181</c:v>
                </c:pt>
                <c:pt idx="91">
                  <c:v>183</c:v>
                </c:pt>
                <c:pt idx="92">
                  <c:v>185</c:v>
                </c:pt>
                <c:pt idx="93">
                  <c:v>187</c:v>
                </c:pt>
                <c:pt idx="94">
                  <c:v>189</c:v>
                </c:pt>
                <c:pt idx="95">
                  <c:v>191</c:v>
                </c:pt>
                <c:pt idx="96">
                  <c:v>193</c:v>
                </c:pt>
                <c:pt idx="97">
                  <c:v>195</c:v>
                </c:pt>
                <c:pt idx="98">
                  <c:v>197</c:v>
                </c:pt>
                <c:pt idx="99">
                  <c:v>199</c:v>
                </c:pt>
                <c:pt idx="100">
                  <c:v>201</c:v>
                </c:pt>
                <c:pt idx="101">
                  <c:v>203</c:v>
                </c:pt>
                <c:pt idx="102">
                  <c:v>205</c:v>
                </c:pt>
                <c:pt idx="103">
                  <c:v>207</c:v>
                </c:pt>
                <c:pt idx="104">
                  <c:v>209</c:v>
                </c:pt>
                <c:pt idx="105">
                  <c:v>211</c:v>
                </c:pt>
                <c:pt idx="106">
                  <c:v>213</c:v>
                </c:pt>
                <c:pt idx="107">
                  <c:v>215</c:v>
                </c:pt>
                <c:pt idx="108">
                  <c:v>217</c:v>
                </c:pt>
                <c:pt idx="109">
                  <c:v>219</c:v>
                </c:pt>
                <c:pt idx="110">
                  <c:v>221</c:v>
                </c:pt>
                <c:pt idx="111">
                  <c:v>223</c:v>
                </c:pt>
                <c:pt idx="112">
                  <c:v>225</c:v>
                </c:pt>
                <c:pt idx="113">
                  <c:v>227</c:v>
                </c:pt>
                <c:pt idx="114">
                  <c:v>229</c:v>
                </c:pt>
                <c:pt idx="115">
                  <c:v>231</c:v>
                </c:pt>
                <c:pt idx="116">
                  <c:v>233</c:v>
                </c:pt>
                <c:pt idx="117">
                  <c:v>235</c:v>
                </c:pt>
                <c:pt idx="118">
                  <c:v>237</c:v>
                </c:pt>
                <c:pt idx="119">
                  <c:v>239</c:v>
                </c:pt>
                <c:pt idx="120">
                  <c:v>241</c:v>
                </c:pt>
                <c:pt idx="121">
                  <c:v>243</c:v>
                </c:pt>
                <c:pt idx="122">
                  <c:v>245</c:v>
                </c:pt>
                <c:pt idx="123">
                  <c:v>247</c:v>
                </c:pt>
                <c:pt idx="124">
                  <c:v>249</c:v>
                </c:pt>
                <c:pt idx="125">
                  <c:v>251</c:v>
                </c:pt>
                <c:pt idx="126">
                  <c:v>253</c:v>
                </c:pt>
                <c:pt idx="127">
                  <c:v>255</c:v>
                </c:pt>
                <c:pt idx="128">
                  <c:v>257</c:v>
                </c:pt>
                <c:pt idx="129">
                  <c:v>259</c:v>
                </c:pt>
                <c:pt idx="130">
                  <c:v>261</c:v>
                </c:pt>
                <c:pt idx="131">
                  <c:v>263</c:v>
                </c:pt>
                <c:pt idx="132">
                  <c:v>265</c:v>
                </c:pt>
                <c:pt idx="133">
                  <c:v>267</c:v>
                </c:pt>
                <c:pt idx="134">
                  <c:v>269</c:v>
                </c:pt>
                <c:pt idx="135">
                  <c:v>271</c:v>
                </c:pt>
                <c:pt idx="136">
                  <c:v>273</c:v>
                </c:pt>
                <c:pt idx="137">
                  <c:v>275</c:v>
                </c:pt>
                <c:pt idx="138">
                  <c:v>277</c:v>
                </c:pt>
                <c:pt idx="139">
                  <c:v>279</c:v>
                </c:pt>
                <c:pt idx="140">
                  <c:v>281</c:v>
                </c:pt>
                <c:pt idx="141">
                  <c:v>283</c:v>
                </c:pt>
                <c:pt idx="142">
                  <c:v>285</c:v>
                </c:pt>
                <c:pt idx="143">
                  <c:v>287</c:v>
                </c:pt>
                <c:pt idx="144">
                  <c:v>289</c:v>
                </c:pt>
                <c:pt idx="145">
                  <c:v>291</c:v>
                </c:pt>
                <c:pt idx="146">
                  <c:v>293</c:v>
                </c:pt>
                <c:pt idx="147">
                  <c:v>295</c:v>
                </c:pt>
                <c:pt idx="148">
                  <c:v>297</c:v>
                </c:pt>
                <c:pt idx="149">
                  <c:v>299</c:v>
                </c:pt>
                <c:pt idx="150">
                  <c:v>301</c:v>
                </c:pt>
                <c:pt idx="151">
                  <c:v>303</c:v>
                </c:pt>
                <c:pt idx="152">
                  <c:v>305</c:v>
                </c:pt>
                <c:pt idx="153">
                  <c:v>307</c:v>
                </c:pt>
                <c:pt idx="154">
                  <c:v>309</c:v>
                </c:pt>
                <c:pt idx="155">
                  <c:v>311</c:v>
                </c:pt>
                <c:pt idx="156">
                  <c:v>313</c:v>
                </c:pt>
                <c:pt idx="157">
                  <c:v>315</c:v>
                </c:pt>
                <c:pt idx="158">
                  <c:v>317</c:v>
                </c:pt>
                <c:pt idx="159">
                  <c:v>319</c:v>
                </c:pt>
                <c:pt idx="160">
                  <c:v>321</c:v>
                </c:pt>
                <c:pt idx="161">
                  <c:v>323</c:v>
                </c:pt>
                <c:pt idx="162">
                  <c:v>325</c:v>
                </c:pt>
                <c:pt idx="163">
                  <c:v>327</c:v>
                </c:pt>
                <c:pt idx="164">
                  <c:v>329</c:v>
                </c:pt>
                <c:pt idx="165">
                  <c:v>331</c:v>
                </c:pt>
                <c:pt idx="166">
                  <c:v>333</c:v>
                </c:pt>
                <c:pt idx="167">
                  <c:v>335</c:v>
                </c:pt>
                <c:pt idx="168">
                  <c:v>337</c:v>
                </c:pt>
                <c:pt idx="169">
                  <c:v>339</c:v>
                </c:pt>
                <c:pt idx="170">
                  <c:v>341</c:v>
                </c:pt>
                <c:pt idx="171">
                  <c:v>343</c:v>
                </c:pt>
                <c:pt idx="172">
                  <c:v>345</c:v>
                </c:pt>
                <c:pt idx="173">
                  <c:v>347</c:v>
                </c:pt>
                <c:pt idx="174">
                  <c:v>349</c:v>
                </c:pt>
                <c:pt idx="175">
                  <c:v>351</c:v>
                </c:pt>
                <c:pt idx="176">
                  <c:v>353</c:v>
                </c:pt>
                <c:pt idx="177">
                  <c:v>355</c:v>
                </c:pt>
                <c:pt idx="178">
                  <c:v>357</c:v>
                </c:pt>
                <c:pt idx="179">
                  <c:v>359</c:v>
                </c:pt>
                <c:pt idx="180">
                  <c:v>361</c:v>
                </c:pt>
                <c:pt idx="181">
                  <c:v>363</c:v>
                </c:pt>
                <c:pt idx="182">
                  <c:v>365</c:v>
                </c:pt>
                <c:pt idx="183">
                  <c:v>367</c:v>
                </c:pt>
                <c:pt idx="184">
                  <c:v>369</c:v>
                </c:pt>
                <c:pt idx="185">
                  <c:v>371</c:v>
                </c:pt>
                <c:pt idx="186">
                  <c:v>373</c:v>
                </c:pt>
                <c:pt idx="187">
                  <c:v>375</c:v>
                </c:pt>
                <c:pt idx="188">
                  <c:v>377</c:v>
                </c:pt>
                <c:pt idx="189">
                  <c:v>379</c:v>
                </c:pt>
                <c:pt idx="190">
                  <c:v>381</c:v>
                </c:pt>
                <c:pt idx="191">
                  <c:v>383</c:v>
                </c:pt>
                <c:pt idx="192">
                  <c:v>385</c:v>
                </c:pt>
                <c:pt idx="193">
                  <c:v>387</c:v>
                </c:pt>
                <c:pt idx="194">
                  <c:v>389</c:v>
                </c:pt>
                <c:pt idx="195">
                  <c:v>391</c:v>
                </c:pt>
                <c:pt idx="196">
                  <c:v>393</c:v>
                </c:pt>
                <c:pt idx="197">
                  <c:v>395</c:v>
                </c:pt>
                <c:pt idx="198">
                  <c:v>397</c:v>
                </c:pt>
                <c:pt idx="199">
                  <c:v>399</c:v>
                </c:pt>
                <c:pt idx="200">
                  <c:v>401</c:v>
                </c:pt>
                <c:pt idx="201">
                  <c:v>403</c:v>
                </c:pt>
                <c:pt idx="202">
                  <c:v>405</c:v>
                </c:pt>
                <c:pt idx="203">
                  <c:v>407</c:v>
                </c:pt>
                <c:pt idx="204">
                  <c:v>409</c:v>
                </c:pt>
                <c:pt idx="205">
                  <c:v>411</c:v>
                </c:pt>
                <c:pt idx="206">
                  <c:v>413</c:v>
                </c:pt>
                <c:pt idx="207">
                  <c:v>415</c:v>
                </c:pt>
                <c:pt idx="208">
                  <c:v>417</c:v>
                </c:pt>
                <c:pt idx="209">
                  <c:v>419</c:v>
                </c:pt>
                <c:pt idx="210">
                  <c:v>421</c:v>
                </c:pt>
                <c:pt idx="211">
                  <c:v>423</c:v>
                </c:pt>
                <c:pt idx="212">
                  <c:v>425</c:v>
                </c:pt>
                <c:pt idx="213">
                  <c:v>427</c:v>
                </c:pt>
                <c:pt idx="214">
                  <c:v>429</c:v>
                </c:pt>
                <c:pt idx="215">
                  <c:v>431</c:v>
                </c:pt>
                <c:pt idx="216">
                  <c:v>433</c:v>
                </c:pt>
                <c:pt idx="217">
                  <c:v>435</c:v>
                </c:pt>
                <c:pt idx="218">
                  <c:v>437</c:v>
                </c:pt>
                <c:pt idx="219">
                  <c:v>439</c:v>
                </c:pt>
                <c:pt idx="220">
                  <c:v>441</c:v>
                </c:pt>
                <c:pt idx="221">
                  <c:v>443</c:v>
                </c:pt>
                <c:pt idx="222">
                  <c:v>445</c:v>
                </c:pt>
                <c:pt idx="223">
                  <c:v>447</c:v>
                </c:pt>
                <c:pt idx="224">
                  <c:v>449</c:v>
                </c:pt>
                <c:pt idx="225">
                  <c:v>451</c:v>
                </c:pt>
                <c:pt idx="226">
                  <c:v>453</c:v>
                </c:pt>
                <c:pt idx="227">
                  <c:v>455</c:v>
                </c:pt>
                <c:pt idx="228">
                  <c:v>457</c:v>
                </c:pt>
                <c:pt idx="229">
                  <c:v>459</c:v>
                </c:pt>
                <c:pt idx="230">
                  <c:v>461</c:v>
                </c:pt>
                <c:pt idx="231">
                  <c:v>463</c:v>
                </c:pt>
                <c:pt idx="232">
                  <c:v>465</c:v>
                </c:pt>
                <c:pt idx="233">
                  <c:v>467</c:v>
                </c:pt>
                <c:pt idx="234">
                  <c:v>469</c:v>
                </c:pt>
                <c:pt idx="235">
                  <c:v>471</c:v>
                </c:pt>
                <c:pt idx="236">
                  <c:v>473</c:v>
                </c:pt>
                <c:pt idx="237">
                  <c:v>475</c:v>
                </c:pt>
                <c:pt idx="238">
                  <c:v>477</c:v>
                </c:pt>
                <c:pt idx="239">
                  <c:v>479</c:v>
                </c:pt>
                <c:pt idx="240">
                  <c:v>481</c:v>
                </c:pt>
                <c:pt idx="241">
                  <c:v>483</c:v>
                </c:pt>
                <c:pt idx="242">
                  <c:v>485</c:v>
                </c:pt>
                <c:pt idx="243">
                  <c:v>487</c:v>
                </c:pt>
                <c:pt idx="244">
                  <c:v>489</c:v>
                </c:pt>
                <c:pt idx="245">
                  <c:v>491</c:v>
                </c:pt>
                <c:pt idx="246">
                  <c:v>493</c:v>
                </c:pt>
                <c:pt idx="247">
                  <c:v>495</c:v>
                </c:pt>
                <c:pt idx="248">
                  <c:v>497</c:v>
                </c:pt>
                <c:pt idx="249">
                  <c:v>499</c:v>
                </c:pt>
                <c:pt idx="250">
                  <c:v>501</c:v>
                </c:pt>
                <c:pt idx="251">
                  <c:v>503</c:v>
                </c:pt>
                <c:pt idx="252">
                  <c:v>505</c:v>
                </c:pt>
                <c:pt idx="253">
                  <c:v>507</c:v>
                </c:pt>
                <c:pt idx="254">
                  <c:v>509</c:v>
                </c:pt>
                <c:pt idx="255">
                  <c:v>511</c:v>
                </c:pt>
                <c:pt idx="256">
                  <c:v>513</c:v>
                </c:pt>
                <c:pt idx="257">
                  <c:v>515</c:v>
                </c:pt>
                <c:pt idx="258">
                  <c:v>517</c:v>
                </c:pt>
                <c:pt idx="259">
                  <c:v>519</c:v>
                </c:pt>
                <c:pt idx="260">
                  <c:v>521</c:v>
                </c:pt>
                <c:pt idx="261">
                  <c:v>523</c:v>
                </c:pt>
                <c:pt idx="262">
                  <c:v>525</c:v>
                </c:pt>
                <c:pt idx="263">
                  <c:v>527</c:v>
                </c:pt>
                <c:pt idx="264">
                  <c:v>529</c:v>
                </c:pt>
                <c:pt idx="265">
                  <c:v>531</c:v>
                </c:pt>
                <c:pt idx="266">
                  <c:v>533</c:v>
                </c:pt>
                <c:pt idx="267">
                  <c:v>535</c:v>
                </c:pt>
                <c:pt idx="268">
                  <c:v>537</c:v>
                </c:pt>
                <c:pt idx="269">
                  <c:v>539</c:v>
                </c:pt>
                <c:pt idx="270">
                  <c:v>541</c:v>
                </c:pt>
                <c:pt idx="271">
                  <c:v>543</c:v>
                </c:pt>
                <c:pt idx="272">
                  <c:v>545</c:v>
                </c:pt>
                <c:pt idx="273">
                  <c:v>547</c:v>
                </c:pt>
                <c:pt idx="274">
                  <c:v>549</c:v>
                </c:pt>
                <c:pt idx="275">
                  <c:v>551</c:v>
                </c:pt>
                <c:pt idx="276">
                  <c:v>553</c:v>
                </c:pt>
                <c:pt idx="277">
                  <c:v>555</c:v>
                </c:pt>
                <c:pt idx="278">
                  <c:v>557</c:v>
                </c:pt>
                <c:pt idx="279">
                  <c:v>559</c:v>
                </c:pt>
                <c:pt idx="280">
                  <c:v>561</c:v>
                </c:pt>
                <c:pt idx="281">
                  <c:v>563</c:v>
                </c:pt>
                <c:pt idx="282">
                  <c:v>565</c:v>
                </c:pt>
                <c:pt idx="283">
                  <c:v>567</c:v>
                </c:pt>
                <c:pt idx="284">
                  <c:v>569</c:v>
                </c:pt>
                <c:pt idx="285">
                  <c:v>571</c:v>
                </c:pt>
                <c:pt idx="286">
                  <c:v>573</c:v>
                </c:pt>
                <c:pt idx="287">
                  <c:v>575</c:v>
                </c:pt>
                <c:pt idx="288">
                  <c:v>577</c:v>
                </c:pt>
                <c:pt idx="289">
                  <c:v>579</c:v>
                </c:pt>
                <c:pt idx="290">
                  <c:v>581</c:v>
                </c:pt>
                <c:pt idx="291">
                  <c:v>583</c:v>
                </c:pt>
                <c:pt idx="292">
                  <c:v>585</c:v>
                </c:pt>
                <c:pt idx="293">
                  <c:v>587</c:v>
                </c:pt>
                <c:pt idx="294">
                  <c:v>589</c:v>
                </c:pt>
                <c:pt idx="295">
                  <c:v>591</c:v>
                </c:pt>
                <c:pt idx="296">
                  <c:v>593</c:v>
                </c:pt>
                <c:pt idx="297">
                  <c:v>595</c:v>
                </c:pt>
                <c:pt idx="298">
                  <c:v>597</c:v>
                </c:pt>
                <c:pt idx="299">
                  <c:v>599</c:v>
                </c:pt>
                <c:pt idx="300">
                  <c:v>601</c:v>
                </c:pt>
                <c:pt idx="301">
                  <c:v>603</c:v>
                </c:pt>
                <c:pt idx="302">
                  <c:v>605</c:v>
                </c:pt>
                <c:pt idx="303">
                  <c:v>607</c:v>
                </c:pt>
                <c:pt idx="304">
                  <c:v>609</c:v>
                </c:pt>
                <c:pt idx="305">
                  <c:v>611</c:v>
                </c:pt>
                <c:pt idx="306">
                  <c:v>613</c:v>
                </c:pt>
                <c:pt idx="307">
                  <c:v>615</c:v>
                </c:pt>
                <c:pt idx="308">
                  <c:v>617</c:v>
                </c:pt>
                <c:pt idx="309">
                  <c:v>619</c:v>
                </c:pt>
                <c:pt idx="310">
                  <c:v>621</c:v>
                </c:pt>
                <c:pt idx="311">
                  <c:v>623</c:v>
                </c:pt>
                <c:pt idx="312">
                  <c:v>625</c:v>
                </c:pt>
                <c:pt idx="313">
                  <c:v>627</c:v>
                </c:pt>
                <c:pt idx="314">
                  <c:v>629</c:v>
                </c:pt>
                <c:pt idx="315">
                  <c:v>631</c:v>
                </c:pt>
                <c:pt idx="316">
                  <c:v>633</c:v>
                </c:pt>
                <c:pt idx="317">
                  <c:v>635</c:v>
                </c:pt>
                <c:pt idx="318">
                  <c:v>637</c:v>
                </c:pt>
                <c:pt idx="319">
                  <c:v>639</c:v>
                </c:pt>
                <c:pt idx="320">
                  <c:v>641</c:v>
                </c:pt>
                <c:pt idx="321">
                  <c:v>643</c:v>
                </c:pt>
                <c:pt idx="322">
                  <c:v>645</c:v>
                </c:pt>
                <c:pt idx="323">
                  <c:v>647</c:v>
                </c:pt>
                <c:pt idx="324">
                  <c:v>649</c:v>
                </c:pt>
                <c:pt idx="325">
                  <c:v>651</c:v>
                </c:pt>
                <c:pt idx="326">
                  <c:v>653</c:v>
                </c:pt>
                <c:pt idx="327">
                  <c:v>655</c:v>
                </c:pt>
                <c:pt idx="328">
                  <c:v>657</c:v>
                </c:pt>
                <c:pt idx="329">
                  <c:v>659</c:v>
                </c:pt>
                <c:pt idx="330">
                  <c:v>661</c:v>
                </c:pt>
                <c:pt idx="331">
                  <c:v>663</c:v>
                </c:pt>
                <c:pt idx="332">
                  <c:v>665</c:v>
                </c:pt>
                <c:pt idx="333">
                  <c:v>667</c:v>
                </c:pt>
                <c:pt idx="334">
                  <c:v>669</c:v>
                </c:pt>
                <c:pt idx="335">
                  <c:v>671</c:v>
                </c:pt>
                <c:pt idx="336">
                  <c:v>673</c:v>
                </c:pt>
                <c:pt idx="337">
                  <c:v>675</c:v>
                </c:pt>
                <c:pt idx="338">
                  <c:v>677</c:v>
                </c:pt>
                <c:pt idx="339">
                  <c:v>679</c:v>
                </c:pt>
                <c:pt idx="340">
                  <c:v>681</c:v>
                </c:pt>
                <c:pt idx="341">
                  <c:v>683</c:v>
                </c:pt>
                <c:pt idx="342">
                  <c:v>685</c:v>
                </c:pt>
                <c:pt idx="343">
                  <c:v>687</c:v>
                </c:pt>
                <c:pt idx="344">
                  <c:v>689</c:v>
                </c:pt>
                <c:pt idx="345">
                  <c:v>691</c:v>
                </c:pt>
                <c:pt idx="346">
                  <c:v>693</c:v>
                </c:pt>
                <c:pt idx="347">
                  <c:v>695</c:v>
                </c:pt>
                <c:pt idx="348">
                  <c:v>697</c:v>
                </c:pt>
                <c:pt idx="349">
                  <c:v>699</c:v>
                </c:pt>
                <c:pt idx="350">
                  <c:v>701</c:v>
                </c:pt>
                <c:pt idx="351">
                  <c:v>703</c:v>
                </c:pt>
                <c:pt idx="352">
                  <c:v>705</c:v>
                </c:pt>
                <c:pt idx="353">
                  <c:v>707</c:v>
                </c:pt>
                <c:pt idx="354">
                  <c:v>709</c:v>
                </c:pt>
                <c:pt idx="355">
                  <c:v>711</c:v>
                </c:pt>
                <c:pt idx="356">
                  <c:v>713</c:v>
                </c:pt>
                <c:pt idx="357">
                  <c:v>715</c:v>
                </c:pt>
                <c:pt idx="358">
                  <c:v>717</c:v>
                </c:pt>
                <c:pt idx="359">
                  <c:v>719</c:v>
                </c:pt>
                <c:pt idx="360">
                  <c:v>721</c:v>
                </c:pt>
                <c:pt idx="361">
                  <c:v>723</c:v>
                </c:pt>
                <c:pt idx="362">
                  <c:v>725</c:v>
                </c:pt>
                <c:pt idx="363">
                  <c:v>727</c:v>
                </c:pt>
                <c:pt idx="364">
                  <c:v>729</c:v>
                </c:pt>
                <c:pt idx="365">
                  <c:v>731</c:v>
                </c:pt>
                <c:pt idx="366">
                  <c:v>733</c:v>
                </c:pt>
                <c:pt idx="367">
                  <c:v>735</c:v>
                </c:pt>
                <c:pt idx="368">
                  <c:v>737</c:v>
                </c:pt>
                <c:pt idx="369">
                  <c:v>739</c:v>
                </c:pt>
                <c:pt idx="370">
                  <c:v>741</c:v>
                </c:pt>
                <c:pt idx="371">
                  <c:v>743</c:v>
                </c:pt>
                <c:pt idx="372">
                  <c:v>745</c:v>
                </c:pt>
                <c:pt idx="373">
                  <c:v>747</c:v>
                </c:pt>
                <c:pt idx="374">
                  <c:v>749</c:v>
                </c:pt>
                <c:pt idx="375">
                  <c:v>751</c:v>
                </c:pt>
                <c:pt idx="376">
                  <c:v>753</c:v>
                </c:pt>
                <c:pt idx="377">
                  <c:v>755</c:v>
                </c:pt>
                <c:pt idx="378">
                  <c:v>757</c:v>
                </c:pt>
                <c:pt idx="379">
                  <c:v>759</c:v>
                </c:pt>
                <c:pt idx="380">
                  <c:v>761</c:v>
                </c:pt>
                <c:pt idx="381">
                  <c:v>763</c:v>
                </c:pt>
                <c:pt idx="382">
                  <c:v>765</c:v>
                </c:pt>
                <c:pt idx="383">
                  <c:v>767</c:v>
                </c:pt>
                <c:pt idx="384">
                  <c:v>769</c:v>
                </c:pt>
                <c:pt idx="385">
                  <c:v>771</c:v>
                </c:pt>
                <c:pt idx="386">
                  <c:v>773</c:v>
                </c:pt>
                <c:pt idx="387">
                  <c:v>775</c:v>
                </c:pt>
                <c:pt idx="388">
                  <c:v>777</c:v>
                </c:pt>
                <c:pt idx="389">
                  <c:v>779</c:v>
                </c:pt>
                <c:pt idx="390">
                  <c:v>781</c:v>
                </c:pt>
                <c:pt idx="391">
                  <c:v>783</c:v>
                </c:pt>
                <c:pt idx="392">
                  <c:v>785</c:v>
                </c:pt>
                <c:pt idx="393">
                  <c:v>787</c:v>
                </c:pt>
                <c:pt idx="394">
                  <c:v>789</c:v>
                </c:pt>
                <c:pt idx="395">
                  <c:v>791</c:v>
                </c:pt>
                <c:pt idx="396">
                  <c:v>793</c:v>
                </c:pt>
                <c:pt idx="397">
                  <c:v>795</c:v>
                </c:pt>
                <c:pt idx="398">
                  <c:v>797</c:v>
                </c:pt>
                <c:pt idx="399">
                  <c:v>799</c:v>
                </c:pt>
                <c:pt idx="400">
                  <c:v>801</c:v>
                </c:pt>
                <c:pt idx="401">
                  <c:v>803</c:v>
                </c:pt>
                <c:pt idx="402">
                  <c:v>805</c:v>
                </c:pt>
                <c:pt idx="403">
                  <c:v>807</c:v>
                </c:pt>
                <c:pt idx="404">
                  <c:v>809</c:v>
                </c:pt>
                <c:pt idx="405">
                  <c:v>811</c:v>
                </c:pt>
                <c:pt idx="406">
                  <c:v>813</c:v>
                </c:pt>
                <c:pt idx="407">
                  <c:v>815</c:v>
                </c:pt>
                <c:pt idx="408">
                  <c:v>817</c:v>
                </c:pt>
                <c:pt idx="409">
                  <c:v>819</c:v>
                </c:pt>
                <c:pt idx="410">
                  <c:v>821</c:v>
                </c:pt>
                <c:pt idx="411">
                  <c:v>823</c:v>
                </c:pt>
                <c:pt idx="412">
                  <c:v>825</c:v>
                </c:pt>
                <c:pt idx="413">
                  <c:v>827</c:v>
                </c:pt>
                <c:pt idx="414">
                  <c:v>829</c:v>
                </c:pt>
                <c:pt idx="415">
                  <c:v>831</c:v>
                </c:pt>
                <c:pt idx="416">
                  <c:v>833</c:v>
                </c:pt>
                <c:pt idx="417">
                  <c:v>835</c:v>
                </c:pt>
                <c:pt idx="418">
                  <c:v>837</c:v>
                </c:pt>
                <c:pt idx="419">
                  <c:v>839</c:v>
                </c:pt>
                <c:pt idx="420">
                  <c:v>841</c:v>
                </c:pt>
                <c:pt idx="421">
                  <c:v>843</c:v>
                </c:pt>
                <c:pt idx="422">
                  <c:v>845</c:v>
                </c:pt>
                <c:pt idx="423">
                  <c:v>847</c:v>
                </c:pt>
                <c:pt idx="424">
                  <c:v>849</c:v>
                </c:pt>
                <c:pt idx="425">
                  <c:v>851</c:v>
                </c:pt>
                <c:pt idx="426">
                  <c:v>853</c:v>
                </c:pt>
                <c:pt idx="427">
                  <c:v>855</c:v>
                </c:pt>
                <c:pt idx="428">
                  <c:v>857</c:v>
                </c:pt>
                <c:pt idx="429">
                  <c:v>859</c:v>
                </c:pt>
                <c:pt idx="430">
                  <c:v>861</c:v>
                </c:pt>
                <c:pt idx="431">
                  <c:v>863</c:v>
                </c:pt>
                <c:pt idx="432">
                  <c:v>865</c:v>
                </c:pt>
                <c:pt idx="433">
                  <c:v>867</c:v>
                </c:pt>
                <c:pt idx="434">
                  <c:v>869</c:v>
                </c:pt>
                <c:pt idx="435">
                  <c:v>871</c:v>
                </c:pt>
                <c:pt idx="436">
                  <c:v>873</c:v>
                </c:pt>
                <c:pt idx="437">
                  <c:v>875</c:v>
                </c:pt>
                <c:pt idx="438">
                  <c:v>877</c:v>
                </c:pt>
                <c:pt idx="439">
                  <c:v>879</c:v>
                </c:pt>
                <c:pt idx="440">
                  <c:v>881</c:v>
                </c:pt>
                <c:pt idx="441">
                  <c:v>883</c:v>
                </c:pt>
                <c:pt idx="442">
                  <c:v>885</c:v>
                </c:pt>
                <c:pt idx="443">
                  <c:v>887</c:v>
                </c:pt>
                <c:pt idx="444">
                  <c:v>889</c:v>
                </c:pt>
                <c:pt idx="445">
                  <c:v>891</c:v>
                </c:pt>
                <c:pt idx="446">
                  <c:v>893</c:v>
                </c:pt>
                <c:pt idx="447">
                  <c:v>895</c:v>
                </c:pt>
                <c:pt idx="448">
                  <c:v>897</c:v>
                </c:pt>
                <c:pt idx="449">
                  <c:v>899</c:v>
                </c:pt>
                <c:pt idx="450">
                  <c:v>901</c:v>
                </c:pt>
                <c:pt idx="451">
                  <c:v>903</c:v>
                </c:pt>
                <c:pt idx="452">
                  <c:v>905</c:v>
                </c:pt>
                <c:pt idx="453">
                  <c:v>907</c:v>
                </c:pt>
                <c:pt idx="454">
                  <c:v>909</c:v>
                </c:pt>
                <c:pt idx="455">
                  <c:v>911</c:v>
                </c:pt>
                <c:pt idx="456">
                  <c:v>913</c:v>
                </c:pt>
                <c:pt idx="457">
                  <c:v>915</c:v>
                </c:pt>
                <c:pt idx="458">
                  <c:v>917</c:v>
                </c:pt>
                <c:pt idx="459">
                  <c:v>919</c:v>
                </c:pt>
                <c:pt idx="460">
                  <c:v>921</c:v>
                </c:pt>
                <c:pt idx="461">
                  <c:v>923</c:v>
                </c:pt>
                <c:pt idx="462">
                  <c:v>925</c:v>
                </c:pt>
                <c:pt idx="463">
                  <c:v>927</c:v>
                </c:pt>
                <c:pt idx="464">
                  <c:v>929</c:v>
                </c:pt>
                <c:pt idx="465">
                  <c:v>931</c:v>
                </c:pt>
                <c:pt idx="466">
                  <c:v>933</c:v>
                </c:pt>
                <c:pt idx="467">
                  <c:v>935</c:v>
                </c:pt>
                <c:pt idx="468">
                  <c:v>937</c:v>
                </c:pt>
                <c:pt idx="469">
                  <c:v>939</c:v>
                </c:pt>
                <c:pt idx="470">
                  <c:v>941</c:v>
                </c:pt>
                <c:pt idx="471">
                  <c:v>943</c:v>
                </c:pt>
                <c:pt idx="472">
                  <c:v>945</c:v>
                </c:pt>
                <c:pt idx="473">
                  <c:v>947</c:v>
                </c:pt>
                <c:pt idx="474">
                  <c:v>949</c:v>
                </c:pt>
                <c:pt idx="475">
                  <c:v>951</c:v>
                </c:pt>
                <c:pt idx="476">
                  <c:v>953</c:v>
                </c:pt>
                <c:pt idx="477">
                  <c:v>955</c:v>
                </c:pt>
                <c:pt idx="478">
                  <c:v>957</c:v>
                </c:pt>
                <c:pt idx="479">
                  <c:v>959</c:v>
                </c:pt>
                <c:pt idx="480">
                  <c:v>961</c:v>
                </c:pt>
                <c:pt idx="481">
                  <c:v>963</c:v>
                </c:pt>
                <c:pt idx="482">
                  <c:v>965</c:v>
                </c:pt>
                <c:pt idx="483">
                  <c:v>967</c:v>
                </c:pt>
                <c:pt idx="484">
                  <c:v>969</c:v>
                </c:pt>
                <c:pt idx="485">
                  <c:v>971</c:v>
                </c:pt>
                <c:pt idx="486">
                  <c:v>973</c:v>
                </c:pt>
                <c:pt idx="487">
                  <c:v>975</c:v>
                </c:pt>
                <c:pt idx="488">
                  <c:v>977</c:v>
                </c:pt>
                <c:pt idx="489">
                  <c:v>979</c:v>
                </c:pt>
                <c:pt idx="490">
                  <c:v>981</c:v>
                </c:pt>
                <c:pt idx="491">
                  <c:v>983</c:v>
                </c:pt>
                <c:pt idx="492">
                  <c:v>985</c:v>
                </c:pt>
                <c:pt idx="493">
                  <c:v>987</c:v>
                </c:pt>
                <c:pt idx="494">
                  <c:v>989</c:v>
                </c:pt>
                <c:pt idx="495">
                  <c:v>991</c:v>
                </c:pt>
                <c:pt idx="496">
                  <c:v>993</c:v>
                </c:pt>
                <c:pt idx="497">
                  <c:v>995</c:v>
                </c:pt>
                <c:pt idx="498">
                  <c:v>997</c:v>
                </c:pt>
                <c:pt idx="499">
                  <c:v>999</c:v>
                </c:pt>
                <c:pt idx="500">
                  <c:v>1001</c:v>
                </c:pt>
                <c:pt idx="501">
                  <c:v>1003</c:v>
                </c:pt>
                <c:pt idx="502">
                  <c:v>1005</c:v>
                </c:pt>
                <c:pt idx="503">
                  <c:v>1007</c:v>
                </c:pt>
                <c:pt idx="504">
                  <c:v>1009</c:v>
                </c:pt>
                <c:pt idx="505">
                  <c:v>1011</c:v>
                </c:pt>
                <c:pt idx="506">
                  <c:v>1013</c:v>
                </c:pt>
                <c:pt idx="507">
                  <c:v>1015</c:v>
                </c:pt>
                <c:pt idx="508">
                  <c:v>1017</c:v>
                </c:pt>
                <c:pt idx="509">
                  <c:v>1019</c:v>
                </c:pt>
                <c:pt idx="510">
                  <c:v>1021</c:v>
                </c:pt>
                <c:pt idx="511">
                  <c:v>1023</c:v>
                </c:pt>
                <c:pt idx="512">
                  <c:v>1025</c:v>
                </c:pt>
                <c:pt idx="513">
                  <c:v>1027</c:v>
                </c:pt>
                <c:pt idx="514">
                  <c:v>1029</c:v>
                </c:pt>
                <c:pt idx="515">
                  <c:v>1031</c:v>
                </c:pt>
                <c:pt idx="516">
                  <c:v>1033</c:v>
                </c:pt>
                <c:pt idx="517">
                  <c:v>1035</c:v>
                </c:pt>
                <c:pt idx="518">
                  <c:v>1037</c:v>
                </c:pt>
                <c:pt idx="519">
                  <c:v>1039</c:v>
                </c:pt>
                <c:pt idx="520">
                  <c:v>1041</c:v>
                </c:pt>
                <c:pt idx="521">
                  <c:v>1043</c:v>
                </c:pt>
                <c:pt idx="522">
                  <c:v>1045</c:v>
                </c:pt>
                <c:pt idx="523">
                  <c:v>1047</c:v>
                </c:pt>
                <c:pt idx="524">
                  <c:v>1049</c:v>
                </c:pt>
                <c:pt idx="525">
                  <c:v>1051</c:v>
                </c:pt>
                <c:pt idx="526">
                  <c:v>1053</c:v>
                </c:pt>
                <c:pt idx="527">
                  <c:v>1055</c:v>
                </c:pt>
                <c:pt idx="528">
                  <c:v>1057</c:v>
                </c:pt>
                <c:pt idx="529">
                  <c:v>1059</c:v>
                </c:pt>
                <c:pt idx="530">
                  <c:v>1061</c:v>
                </c:pt>
                <c:pt idx="531">
                  <c:v>1063</c:v>
                </c:pt>
                <c:pt idx="532">
                  <c:v>1065</c:v>
                </c:pt>
                <c:pt idx="533">
                  <c:v>1067</c:v>
                </c:pt>
                <c:pt idx="534">
                  <c:v>1069</c:v>
                </c:pt>
                <c:pt idx="535">
                  <c:v>1071</c:v>
                </c:pt>
                <c:pt idx="536">
                  <c:v>1073</c:v>
                </c:pt>
                <c:pt idx="537">
                  <c:v>1075</c:v>
                </c:pt>
                <c:pt idx="538">
                  <c:v>1077</c:v>
                </c:pt>
                <c:pt idx="539">
                  <c:v>1079</c:v>
                </c:pt>
                <c:pt idx="540">
                  <c:v>1081</c:v>
                </c:pt>
                <c:pt idx="541">
                  <c:v>1083</c:v>
                </c:pt>
                <c:pt idx="542">
                  <c:v>1085</c:v>
                </c:pt>
                <c:pt idx="543">
                  <c:v>1087</c:v>
                </c:pt>
                <c:pt idx="544">
                  <c:v>1089</c:v>
                </c:pt>
                <c:pt idx="545">
                  <c:v>1091</c:v>
                </c:pt>
                <c:pt idx="546">
                  <c:v>1093</c:v>
                </c:pt>
                <c:pt idx="547">
                  <c:v>1095</c:v>
                </c:pt>
                <c:pt idx="548">
                  <c:v>1097</c:v>
                </c:pt>
                <c:pt idx="549">
                  <c:v>1099</c:v>
                </c:pt>
                <c:pt idx="550">
                  <c:v>1101</c:v>
                </c:pt>
                <c:pt idx="551">
                  <c:v>1103</c:v>
                </c:pt>
                <c:pt idx="552">
                  <c:v>1105</c:v>
                </c:pt>
                <c:pt idx="553">
                  <c:v>1107</c:v>
                </c:pt>
                <c:pt idx="554">
                  <c:v>1109</c:v>
                </c:pt>
                <c:pt idx="555">
                  <c:v>1111</c:v>
                </c:pt>
                <c:pt idx="556">
                  <c:v>1113</c:v>
                </c:pt>
                <c:pt idx="557">
                  <c:v>1115</c:v>
                </c:pt>
                <c:pt idx="558">
                  <c:v>1117</c:v>
                </c:pt>
                <c:pt idx="559">
                  <c:v>1119</c:v>
                </c:pt>
                <c:pt idx="560">
                  <c:v>1121</c:v>
                </c:pt>
                <c:pt idx="561">
                  <c:v>1123</c:v>
                </c:pt>
                <c:pt idx="562">
                  <c:v>1125</c:v>
                </c:pt>
                <c:pt idx="563">
                  <c:v>1127</c:v>
                </c:pt>
                <c:pt idx="564">
                  <c:v>1129</c:v>
                </c:pt>
                <c:pt idx="565">
                  <c:v>1131</c:v>
                </c:pt>
                <c:pt idx="566">
                  <c:v>1133</c:v>
                </c:pt>
                <c:pt idx="567">
                  <c:v>1135</c:v>
                </c:pt>
                <c:pt idx="568">
                  <c:v>1137</c:v>
                </c:pt>
                <c:pt idx="569">
                  <c:v>1139</c:v>
                </c:pt>
                <c:pt idx="570">
                  <c:v>1141</c:v>
                </c:pt>
                <c:pt idx="571">
                  <c:v>1143</c:v>
                </c:pt>
                <c:pt idx="572">
                  <c:v>1145</c:v>
                </c:pt>
                <c:pt idx="573">
                  <c:v>1147</c:v>
                </c:pt>
                <c:pt idx="574">
                  <c:v>1149</c:v>
                </c:pt>
                <c:pt idx="575">
                  <c:v>1151</c:v>
                </c:pt>
                <c:pt idx="576">
                  <c:v>1153</c:v>
                </c:pt>
                <c:pt idx="577">
                  <c:v>1155</c:v>
                </c:pt>
                <c:pt idx="578">
                  <c:v>1157</c:v>
                </c:pt>
                <c:pt idx="579">
                  <c:v>1159</c:v>
                </c:pt>
                <c:pt idx="580">
                  <c:v>1161</c:v>
                </c:pt>
                <c:pt idx="581">
                  <c:v>1163</c:v>
                </c:pt>
                <c:pt idx="582">
                  <c:v>1165</c:v>
                </c:pt>
                <c:pt idx="583">
                  <c:v>1167</c:v>
                </c:pt>
                <c:pt idx="584">
                  <c:v>1169</c:v>
                </c:pt>
                <c:pt idx="585">
                  <c:v>1171</c:v>
                </c:pt>
                <c:pt idx="586">
                  <c:v>1173</c:v>
                </c:pt>
                <c:pt idx="587">
                  <c:v>1175</c:v>
                </c:pt>
                <c:pt idx="588">
                  <c:v>1177</c:v>
                </c:pt>
                <c:pt idx="589">
                  <c:v>1179</c:v>
                </c:pt>
                <c:pt idx="590">
                  <c:v>1181</c:v>
                </c:pt>
                <c:pt idx="591">
                  <c:v>1183</c:v>
                </c:pt>
                <c:pt idx="592">
                  <c:v>1185</c:v>
                </c:pt>
                <c:pt idx="593">
                  <c:v>1187</c:v>
                </c:pt>
                <c:pt idx="594">
                  <c:v>1189</c:v>
                </c:pt>
                <c:pt idx="595">
                  <c:v>1191</c:v>
                </c:pt>
                <c:pt idx="596">
                  <c:v>1193</c:v>
                </c:pt>
                <c:pt idx="597">
                  <c:v>1195</c:v>
                </c:pt>
                <c:pt idx="598">
                  <c:v>1197</c:v>
                </c:pt>
                <c:pt idx="599">
                  <c:v>1199</c:v>
                </c:pt>
                <c:pt idx="600">
                  <c:v>1201</c:v>
                </c:pt>
                <c:pt idx="601">
                  <c:v>1203</c:v>
                </c:pt>
                <c:pt idx="602">
                  <c:v>1205</c:v>
                </c:pt>
                <c:pt idx="603">
                  <c:v>1207</c:v>
                </c:pt>
                <c:pt idx="604">
                  <c:v>1209</c:v>
                </c:pt>
                <c:pt idx="605">
                  <c:v>1211</c:v>
                </c:pt>
                <c:pt idx="606">
                  <c:v>1213</c:v>
                </c:pt>
                <c:pt idx="607">
                  <c:v>1215</c:v>
                </c:pt>
                <c:pt idx="608">
                  <c:v>1217</c:v>
                </c:pt>
                <c:pt idx="609">
                  <c:v>1219</c:v>
                </c:pt>
                <c:pt idx="610">
                  <c:v>1221</c:v>
                </c:pt>
                <c:pt idx="611">
                  <c:v>1223</c:v>
                </c:pt>
                <c:pt idx="612">
                  <c:v>1225</c:v>
                </c:pt>
                <c:pt idx="613">
                  <c:v>1227</c:v>
                </c:pt>
                <c:pt idx="614">
                  <c:v>1229</c:v>
                </c:pt>
                <c:pt idx="615">
                  <c:v>1231</c:v>
                </c:pt>
                <c:pt idx="616">
                  <c:v>1233</c:v>
                </c:pt>
                <c:pt idx="617">
                  <c:v>1235</c:v>
                </c:pt>
                <c:pt idx="618">
                  <c:v>1237</c:v>
                </c:pt>
                <c:pt idx="619">
                  <c:v>1239</c:v>
                </c:pt>
                <c:pt idx="620">
                  <c:v>1241</c:v>
                </c:pt>
                <c:pt idx="621">
                  <c:v>1243</c:v>
                </c:pt>
                <c:pt idx="622">
                  <c:v>1245</c:v>
                </c:pt>
                <c:pt idx="623">
                  <c:v>1247</c:v>
                </c:pt>
                <c:pt idx="624">
                  <c:v>1249</c:v>
                </c:pt>
                <c:pt idx="625">
                  <c:v>1251</c:v>
                </c:pt>
                <c:pt idx="626">
                  <c:v>1253</c:v>
                </c:pt>
                <c:pt idx="627">
                  <c:v>1255</c:v>
                </c:pt>
                <c:pt idx="628">
                  <c:v>1257</c:v>
                </c:pt>
                <c:pt idx="629">
                  <c:v>1259</c:v>
                </c:pt>
                <c:pt idx="630">
                  <c:v>1261</c:v>
                </c:pt>
                <c:pt idx="631">
                  <c:v>1263</c:v>
                </c:pt>
                <c:pt idx="632">
                  <c:v>1265</c:v>
                </c:pt>
                <c:pt idx="633">
                  <c:v>1267</c:v>
                </c:pt>
                <c:pt idx="634">
                  <c:v>1269</c:v>
                </c:pt>
                <c:pt idx="635">
                  <c:v>1271</c:v>
                </c:pt>
                <c:pt idx="636">
                  <c:v>1273</c:v>
                </c:pt>
                <c:pt idx="637">
                  <c:v>1275</c:v>
                </c:pt>
                <c:pt idx="638">
                  <c:v>1277</c:v>
                </c:pt>
                <c:pt idx="639">
                  <c:v>1279</c:v>
                </c:pt>
                <c:pt idx="640">
                  <c:v>1281</c:v>
                </c:pt>
                <c:pt idx="641">
                  <c:v>1283</c:v>
                </c:pt>
                <c:pt idx="642">
                  <c:v>1285</c:v>
                </c:pt>
                <c:pt idx="643">
                  <c:v>1287</c:v>
                </c:pt>
                <c:pt idx="644">
                  <c:v>1289</c:v>
                </c:pt>
                <c:pt idx="645">
                  <c:v>1291</c:v>
                </c:pt>
                <c:pt idx="646">
                  <c:v>1293</c:v>
                </c:pt>
                <c:pt idx="647">
                  <c:v>1295</c:v>
                </c:pt>
                <c:pt idx="648">
                  <c:v>1297</c:v>
                </c:pt>
                <c:pt idx="649">
                  <c:v>1299</c:v>
                </c:pt>
                <c:pt idx="650">
                  <c:v>1301</c:v>
                </c:pt>
                <c:pt idx="651">
                  <c:v>1303</c:v>
                </c:pt>
                <c:pt idx="652">
                  <c:v>1305</c:v>
                </c:pt>
                <c:pt idx="653">
                  <c:v>1307</c:v>
                </c:pt>
                <c:pt idx="654">
                  <c:v>1309</c:v>
                </c:pt>
                <c:pt idx="655">
                  <c:v>1311</c:v>
                </c:pt>
                <c:pt idx="656">
                  <c:v>1313</c:v>
                </c:pt>
                <c:pt idx="657">
                  <c:v>1315</c:v>
                </c:pt>
                <c:pt idx="658">
                  <c:v>1317</c:v>
                </c:pt>
                <c:pt idx="659">
                  <c:v>1319</c:v>
                </c:pt>
                <c:pt idx="660">
                  <c:v>1321</c:v>
                </c:pt>
                <c:pt idx="661">
                  <c:v>1323</c:v>
                </c:pt>
                <c:pt idx="662">
                  <c:v>1325</c:v>
                </c:pt>
                <c:pt idx="663">
                  <c:v>1327</c:v>
                </c:pt>
                <c:pt idx="664">
                  <c:v>1329</c:v>
                </c:pt>
                <c:pt idx="665">
                  <c:v>1331</c:v>
                </c:pt>
                <c:pt idx="666">
                  <c:v>1333</c:v>
                </c:pt>
                <c:pt idx="667">
                  <c:v>1335</c:v>
                </c:pt>
                <c:pt idx="668">
                  <c:v>1337</c:v>
                </c:pt>
                <c:pt idx="669">
                  <c:v>1339</c:v>
                </c:pt>
                <c:pt idx="670">
                  <c:v>1341</c:v>
                </c:pt>
                <c:pt idx="671">
                  <c:v>1343</c:v>
                </c:pt>
                <c:pt idx="672">
                  <c:v>1345</c:v>
                </c:pt>
                <c:pt idx="673">
                  <c:v>1347</c:v>
                </c:pt>
                <c:pt idx="674">
                  <c:v>1349</c:v>
                </c:pt>
                <c:pt idx="675">
                  <c:v>1351</c:v>
                </c:pt>
                <c:pt idx="676">
                  <c:v>1353</c:v>
                </c:pt>
                <c:pt idx="677">
                  <c:v>1355</c:v>
                </c:pt>
                <c:pt idx="678">
                  <c:v>1357</c:v>
                </c:pt>
              </c:numCache>
            </c:numRef>
          </c:xVal>
          <c:yVal>
            <c:numRef>
              <c:f>Data!$B$2:$B$1001</c:f>
              <c:numCache>
                <c:formatCode>0.00000</c:formatCode>
                <c:ptCount val="1000"/>
                <c:pt idx="0">
                  <c:v>0.17090048082783937</c:v>
                </c:pt>
                <c:pt idx="1">
                  <c:v>0.19601274513175326</c:v>
                </c:pt>
                <c:pt idx="2">
                  <c:v>0.22287873029821981</c:v>
                </c:pt>
                <c:pt idx="3">
                  <c:v>0.25151490155850809</c:v>
                </c:pt>
                <c:pt idx="4">
                  <c:v>0.28193745307086715</c:v>
                </c:pt>
                <c:pt idx="5">
                  <c:v>0.3141623035208454</c:v>
                </c:pt>
                <c:pt idx="6">
                  <c:v>0.34820509177443171</c:v>
                </c:pt>
                <c:pt idx="7">
                  <c:v>0.38408117258464358</c:v>
                </c:pt>
                <c:pt idx="8">
                  <c:v>0.42180561235353764</c:v>
                </c:pt>
                <c:pt idx="9">
                  <c:v>0.46139318495069404</c:v>
                </c:pt>
                <c:pt idx="10">
                  <c:v>0.50285836758924063</c:v>
                </c:pt>
                <c:pt idx="11">
                  <c:v>0.54621533676127854</c:v>
                </c:pt>
                <c:pt idx="12">
                  <c:v>0.59147796423349064</c:v>
                </c:pt>
                <c:pt idx="13">
                  <c:v>0.638659813104411</c:v>
                </c:pt>
                <c:pt idx="14">
                  <c:v>0.68777413392449205</c:v>
                </c:pt>
                <c:pt idx="15">
                  <c:v>0.73883386088054692</c:v>
                </c:pt>
                <c:pt idx="16">
                  <c:v>0.79185160804513544</c:v>
                </c:pt>
                <c:pt idx="17">
                  <c:v>0.84683966569272684</c:v>
                </c:pt>
                <c:pt idx="18">
                  <c:v>0.90380999668346362</c:v>
                </c:pt>
                <c:pt idx="19">
                  <c:v>0.96277423291579112</c:v>
                </c:pt>
                <c:pt idx="20">
                  <c:v>1.0237436718489334</c:v>
                </c:pt>
                <c:pt idx="21">
                  <c:v>1.086729273096779</c:v>
                </c:pt>
                <c:pt idx="22">
                  <c:v>1.1517416550935735</c:v>
                </c:pt>
                <c:pt idx="23">
                  <c:v>1.2187910918332392</c:v>
                </c:pt>
                <c:pt idx="24">
                  <c:v>1.2878875096828182</c:v>
                </c:pt>
                <c:pt idx="25">
                  <c:v>1.3590404842713184</c:v>
                </c:pt>
                <c:pt idx="26">
                  <c:v>1.4322592374550425</c:v>
                </c:pt>
                <c:pt idx="27">
                  <c:v>1.5075526343600956</c:v>
                </c:pt>
                <c:pt idx="28">
                  <c:v>1.584929180503508</c:v>
                </c:pt>
                <c:pt idx="29">
                  <c:v>1.6643970189933128</c:v>
                </c:pt>
                <c:pt idx="30">
                  <c:v>1.7459639278091998</c:v>
                </c:pt>
                <c:pt idx="31">
                  <c:v>1.8296373171639715</c:v>
                </c:pt>
                <c:pt idx="32">
                  <c:v>1.9154242269470814</c:v>
                </c:pt>
                <c:pt idx="33">
                  <c:v>2.0033313242511639</c:v>
                </c:pt>
                <c:pt idx="34">
                  <c:v>2.0933649009818822</c:v>
                </c:pt>
                <c:pt idx="35">
                  <c:v>2.1855308715526576</c:v>
                </c:pt>
                <c:pt idx="36">
                  <c:v>2.2798347706641806</c:v>
                </c:pt>
                <c:pt idx="37">
                  <c:v>2.3762817511703389</c:v>
                </c:pt>
                <c:pt idx="38">
                  <c:v>2.4748765820304897</c:v>
                </c:pt>
                <c:pt idx="39">
                  <c:v>2.5756236463493423</c:v>
                </c:pt>
                <c:pt idx="40">
                  <c:v>2.6785269395048772</c:v>
                </c:pt>
                <c:pt idx="41">
                  <c:v>2.7835900673648837</c:v>
                </c:pt>
                <c:pt idx="42">
                  <c:v>2.890816244592969</c:v>
                </c:pt>
                <c:pt idx="43">
                  <c:v>3.0002082930443663</c:v>
                </c:pt>
                <c:pt idx="44">
                  <c:v>3.1117686402522224</c:v>
                </c:pt>
                <c:pt idx="45">
                  <c:v>3.2254993180050491</c:v>
                </c:pt>
                <c:pt idx="46">
                  <c:v>3.3414019610154355</c:v>
                </c:pt>
                <c:pt idx="47">
                  <c:v>3.4594778056810469</c:v>
                </c:pt>
                <c:pt idx="48">
                  <c:v>3.579727688937723</c:v>
                </c:pt>
                <c:pt idx="49">
                  <c:v>3.7021520472057574</c:v>
                </c:pt>
                <c:pt idx="50">
                  <c:v>3.8267509154292583</c:v>
                </c:pt>
                <c:pt idx="51">
                  <c:v>3.9535239262090442</c:v>
                </c:pt>
                <c:pt idx="52">
                  <c:v>4.0824703090297021</c:v>
                </c:pt>
                <c:pt idx="53">
                  <c:v>4.2135888895806772</c:v>
                </c:pt>
                <c:pt idx="54">
                  <c:v>4.3468780891719945</c:v>
                </c:pt>
                <c:pt idx="55">
                  <c:v>4.4823359242447083</c:v>
                </c:pt>
                <c:pt idx="56">
                  <c:v>4.6199600059763384</c:v>
                </c:pt>
                <c:pt idx="57">
                  <c:v>4.7597475399814471</c:v>
                </c:pt>
                <c:pt idx="58">
                  <c:v>4.9016953261074576</c:v>
                </c:pt>
                <c:pt idx="59">
                  <c:v>5.045799758326126</c:v>
                </c:pt>
                <c:pt idx="60">
                  <c:v>5.1920568247202681</c:v>
                </c:pt>
                <c:pt idx="61">
                  <c:v>5.3404621075663812</c:v>
                </c:pt>
                <c:pt idx="62">
                  <c:v>5.4910107835124933</c:v>
                </c:pt>
                <c:pt idx="63">
                  <c:v>5.6436976238520913</c:v>
                </c:pt>
                <c:pt idx="64">
                  <c:v>5.7985169948933759</c:v>
                </c:pt>
                <c:pt idx="65">
                  <c:v>5.9554628584241698</c:v>
                </c:pt>
                <c:pt idx="66">
                  <c:v>6.1145287722721804</c:v>
                </c:pt>
                <c:pt idx="67">
                  <c:v>6.2757078909608595</c:v>
                </c:pt>
                <c:pt idx="68">
                  <c:v>6.4389929664601766</c:v>
                </c:pt>
                <c:pt idx="69">
                  <c:v>6.6043763490326199</c:v>
                </c:pt>
                <c:pt idx="70">
                  <c:v>6.820487598877591</c:v>
                </c:pt>
                <c:pt idx="71">
                  <c:v>7.0384923572991909</c:v>
                </c:pt>
                <c:pt idx="72">
                  <c:v>7.2569580090362251</c:v>
                </c:pt>
                <c:pt idx="73">
                  <c:v>7.4758810307295747</c:v>
                </c:pt>
                <c:pt idx="74">
                  <c:v>7.6952579056974599</c:v>
                </c:pt>
                <c:pt idx="75">
                  <c:v>7.9150851350380265</c:v>
                </c:pt>
                <c:pt idx="76">
                  <c:v>8.1353592507018888</c:v>
                </c:pt>
                <c:pt idx="77">
                  <c:v>8.3560768308192976</c:v>
                </c:pt>
                <c:pt idx="78">
                  <c:v>8.5772345175966649</c:v>
                </c:pt>
                <c:pt idx="79">
                  <c:v>8.7988290381281544</c:v>
                </c:pt>
                <c:pt idx="80">
                  <c:v>9.0208572284988549</c:v>
                </c:pt>
                <c:pt idx="81">
                  <c:v>9.2433160615871017</c:v>
                </c:pt>
                <c:pt idx="82">
                  <c:v>9.4662026790035441</c:v>
                </c:pt>
                <c:pt idx="83">
                  <c:v>9.6895144276316927</c:v>
                </c:pt>
                <c:pt idx="84">
                  <c:v>9.9132489012599478</c:v>
                </c:pt>
                <c:pt idx="85">
                  <c:v>10.13740398781507</c:v>
                </c:pt>
                <c:pt idx="86">
                  <c:v>10.361977922721003</c:v>
                </c:pt>
                <c:pt idx="87">
                  <c:v>10.586969348914252</c:v>
                </c:pt>
                <c:pt idx="88">
                  <c:v>10.812377384043579</c:v>
                </c:pt>
                <c:pt idx="89">
                  <c:v>11.038201695367945</c:v>
                </c:pt>
                <c:pt idx="90">
                  <c:v>11.264442582838463</c:v>
                </c:pt>
                <c:pt idx="91">
                  <c:v>11.491101070806351</c:v>
                </c:pt>
                <c:pt idx="92">
                  <c:v>11.718179008736726</c:v>
                </c:pt>
                <c:pt idx="93">
                  <c:v>11.945679181225238</c:v>
                </c:pt>
                <c:pt idx="94">
                  <c:v>12.173605427508512</c:v>
                </c:pt>
                <c:pt idx="95">
                  <c:v>12.401962770528243</c:v>
                </c:pt>
                <c:pt idx="96">
                  <c:v>12.630757555450067</c:v>
                </c:pt>
                <c:pt idx="97">
                  <c:v>12.859997597350471</c:v>
                </c:pt>
                <c:pt idx="98">
                  <c:v>13.089692337566618</c:v>
                </c:pt>
                <c:pt idx="99">
                  <c:v>13.319853007954073</c:v>
                </c:pt>
                <c:pt idx="100">
                  <c:v>13.550492802015576</c:v>
                </c:pt>
                <c:pt idx="101">
                  <c:v>13.781627051551247</c:v>
                </c:pt>
                <c:pt idx="102">
                  <c:v>14.013273407138016</c:v>
                </c:pt>
                <c:pt idx="103">
                  <c:v>14.245452020375239</c:v>
                </c:pt>
                <c:pt idx="104">
                  <c:v>14.478185725440028</c:v>
                </c:pt>
                <c:pt idx="105">
                  <c:v>14.711500217081721</c:v>
                </c:pt>
                <c:pt idx="106">
                  <c:v>14.945424221758628</c:v>
                </c:pt>
                <c:pt idx="107">
                  <c:v>15.179989658187822</c:v>
                </c:pt>
                <c:pt idx="108">
                  <c:v>15.415231783149636</c:v>
                </c:pt>
                <c:pt idx="109">
                  <c:v>15.651189317972502</c:v>
                </c:pt>
                <c:pt idx="110">
                  <c:v>15.887904550732941</c:v>
                </c:pt>
                <c:pt idx="111">
                  <c:v>16.125423408852519</c:v>
                </c:pt>
                <c:pt idx="112">
                  <c:v>16.3637954964721</c:v>
                </c:pt>
                <c:pt idx="113">
                  <c:v>16.603074090748713</c:v>
                </c:pt>
                <c:pt idx="114">
                  <c:v>16.843316091068004</c:v>
                </c:pt>
                <c:pt idx="115">
                  <c:v>17.084581915109382</c:v>
                </c:pt>
                <c:pt idx="116">
                  <c:v>17.326935335760176</c:v>
                </c:pt>
                <c:pt idx="117">
                  <c:v>17.570443253060716</c:v>
                </c:pt>
                <c:pt idx="118">
                  <c:v>17.815175395693331</c:v>
                </c:pt>
                <c:pt idx="119">
                  <c:v>18.061203947011045</c:v>
                </c:pt>
                <c:pt idx="120">
                  <c:v>18.308603091254234</c:v>
                </c:pt>
                <c:pt idx="121">
                  <c:v>18.557448476426245</c:v>
                </c:pt>
                <c:pt idx="122">
                  <c:v>18.807816591302505</c:v>
                </c:pt>
                <c:pt idx="123">
                  <c:v>19.059784055229613</c:v>
                </c:pt>
                <c:pt idx="124">
                  <c:v>19.31342682072912</c:v>
                </c:pt>
                <c:pt idx="125">
                  <c:v>19.568819290447685</c:v>
                </c:pt>
                <c:pt idx="126">
                  <c:v>19.826033351677573</c:v>
                </c:pt>
                <c:pt idx="127">
                  <c:v>20.08513733349136</c:v>
                </c:pt>
                <c:pt idx="128">
                  <c:v>20.346194893469118</c:v>
                </c:pt>
                <c:pt idx="129">
                  <c:v>20.609263843015441</c:v>
                </c:pt>
                <c:pt idx="130">
                  <c:v>20.874394922335419</c:v>
                </c:pt>
                <c:pt idx="131">
                  <c:v>21.141630538222572</c:v>
                </c:pt>
                <c:pt idx="132">
                  <c:v>21.411003479866721</c:v>
                </c:pt>
                <c:pt idx="133">
                  <c:v>21.682535629867225</c:v>
                </c:pt>
                <c:pt idx="134">
                  <c:v>21.956236689490318</c:v>
                </c:pt>
                <c:pt idx="135">
                  <c:v>22.232102938884921</c:v>
                </c:pt>
                <c:pt idx="136">
                  <c:v>22.510116054419669</c:v>
                </c:pt>
                <c:pt idx="137">
                  <c:v>22.790242006472809</c:v>
                </c:pt>
                <c:pt idx="138">
                  <c:v>23.072430061848031</c:v>
                </c:pt>
                <c:pt idx="139">
                  <c:v>23.356611915457059</c:v>
                </c:pt>
                <c:pt idx="140">
                  <c:v>23.642700975963059</c:v>
                </c:pt>
                <c:pt idx="141">
                  <c:v>23.930591829682918</c:v>
                </c:pt>
                <c:pt idx="142">
                  <c:v>24.220159906173834</c:v>
                </c:pt>
                <c:pt idx="143">
                  <c:v>24.511261367559626</c:v>
                </c:pt>
                <c:pt idx="144">
                  <c:v>24.803733241777337</c:v>
                </c:pt>
                <c:pt idx="145">
                  <c:v>25.097393817541743</c:v>
                </c:pt>
                <c:pt idx="146">
                  <c:v>25.392043315947589</c:v>
                </c:pt>
                <c:pt idx="147">
                  <c:v>25.687464850275518</c:v>
                </c:pt>
                <c:pt idx="148">
                  <c:v>25.983425681770939</c:v>
                </c:pt>
                <c:pt idx="149">
                  <c:v>26.279678774966285</c:v>
                </c:pt>
                <c:pt idx="150">
                  <c:v>26.57596465156827</c:v>
                </c:pt>
                <c:pt idx="151">
                  <c:v>26.872013537092414</c:v>
                </c:pt>
                <c:pt idx="152">
                  <c:v>27.167547789366864</c:v>
                </c:pt>
                <c:pt idx="153">
                  <c:v>27.462284592816786</c:v>
                </c:pt>
                <c:pt idx="154">
                  <c:v>27.75593889716464</c:v>
                </c:pt>
                <c:pt idx="155">
                  <c:v>28.048226573916224</c:v>
                </c:pt>
                <c:pt idx="156">
                  <c:v>28.33886775883893</c:v>
                </c:pt>
                <c:pt idx="157">
                  <c:v>28.627590343657758</c:v>
                </c:pt>
                <c:pt idx="158">
                  <c:v>28.914133575485323</c:v>
                </c:pt>
                <c:pt idx="159">
                  <c:v>29.198251718143894</c:v>
                </c:pt>
                <c:pt idx="160">
                  <c:v>29.479717725616098</c:v>
                </c:pt>
                <c:pt idx="161">
                  <c:v>29.758326874447121</c:v>
                </c:pt>
                <c:pt idx="162">
                  <c:v>30.033900299096331</c:v>
                </c:pt>
                <c:pt idx="163">
                  <c:v>30.306288372062696</c:v>
                </c:pt>
                <c:pt idx="164">
                  <c:v>30.575373869156593</c:v>
                </c:pt>
                <c:pt idx="165">
                  <c:v>30.841074859617692</c:v>
                </c:pt>
                <c:pt idx="166">
                  <c:v>31.1033472609451</c:v>
                </c:pt>
                <c:pt idx="167">
                  <c:v>31.362186999360915</c:v>
                </c:pt>
                <c:pt idx="168">
                  <c:v>31.617631718822182</c:v>
                </c:pt>
                <c:pt idx="169">
                  <c:v>31.869761984471012</c:v>
                </c:pt>
                <c:pt idx="170">
                  <c:v>32.118701930405948</c:v>
                </c:pt>
                <c:pt idx="171">
                  <c:v>32.36461930670086</c:v>
                </c:pt>
                <c:pt idx="172">
                  <c:v>32.607724886710344</c:v>
                </c:pt>
                <c:pt idx="173">
                  <c:v>32.848271202896825</c:v>
                </c:pt>
                <c:pt idx="174">
                  <c:v>33.086550587686801</c:v>
                </c:pt>
                <c:pt idx="175">
                  <c:v>33.32289250519716</c:v>
                </c:pt>
                <c:pt idx="176">
                  <c:v>33.557660170019815</c:v>
                </c:pt>
                <c:pt idx="177">
                  <c:v>33.791246460554035</c:v>
                </c:pt>
                <c:pt idx="178">
                  <c:v>34.024069146532625</c:v>
                </c:pt>
                <c:pt idx="179">
                  <c:v>34.256565463274612</c:v>
                </c:pt>
                <c:pt idx="180">
                  <c:v>34.489186078652537</c:v>
                </c:pt>
                <c:pt idx="181">
                  <c:v>34.722388512584416</c:v>
                </c:pt>
                <c:pt idx="182">
                  <c:v>34.95663008281322</c:v>
                </c:pt>
                <c:pt idx="183">
                  <c:v>35.19236046453922</c:v>
                </c:pt>
                <c:pt idx="184">
                  <c:v>35.430013964813639</c:v>
                </c:pt>
                <c:pt idx="185">
                  <c:v>35.670001625135455</c:v>
                </c:pt>
                <c:pt idx="186">
                  <c:v>35.912703277048848</c:v>
                </c:pt>
                <c:pt idx="187">
                  <c:v>36.158459685323493</c:v>
                </c:pt>
                <c:pt idx="188">
                  <c:v>36.407564921121775</c:v>
                </c:pt>
                <c:pt idx="189">
                  <c:v>36.660259113021667</c:v>
                </c:pt>
                <c:pt idx="190">
                  <c:v>36.916721726503027</c:v>
                </c:pt>
                <c:pt idx="191">
                  <c:v>37.17706552218489</c:v>
                </c:pt>
                <c:pt idx="192">
                  <c:v>37.441331339436474</c:v>
                </c:pt>
                <c:pt idx="193">
                  <c:v>37.709483844764108</c:v>
                </c:pt>
                <c:pt idx="194">
                  <c:v>37.981408373465698</c:v>
                </c:pt>
                <c:pt idx="195">
                  <c:v>38.256908978416547</c:v>
                </c:pt>
                <c:pt idx="196">
                  <c:v>38.535707781575198</c:v>
                </c:pt>
                <c:pt idx="197">
                  <c:v>38.817445702077379</c:v>
                </c:pt>
                <c:pt idx="198">
                  <c:v>39.101684609931823</c:v>
                </c:pt>
                <c:pt idx="199">
                  <c:v>39.387910926789118</c:v>
                </c:pt>
                <c:pt idx="200">
                  <c:v>39.675540665578751</c:v>
                </c:pt>
                <c:pt idx="201">
                  <c:v>39.963925869670234</c:v>
                </c:pt>
                <c:pt idx="202">
                  <c:v>40.252362380370428</c:v>
                </c:pt>
                <c:pt idx="203">
                  <c:v>40.540098829857087</c:v>
                </c:pt>
                <c:pt idx="204">
                  <c:v>40.826346725950131</c:v>
                </c:pt>
                <c:pt idx="205">
                  <c:v>41.110291466344009</c:v>
                </c:pt>
                <c:pt idx="206">
                  <c:v>41.391104093962156</c:v>
                </c:pt>
                <c:pt idx="207">
                  <c:v>41.667953582802156</c:v>
                </c:pt>
                <c:pt idx="208">
                  <c:v>41.940019425799164</c:v>
                </c:pt>
                <c:pt idx="209">
                  <c:v>42.206504283520104</c:v>
                </c:pt>
                <c:pt idx="210">
                  <c:v>42.46664644545497</c:v>
                </c:pt>
                <c:pt idx="211">
                  <c:v>42.719731854674535</c:v>
                </c:pt>
                <c:pt idx="212">
                  <c:v>42.96510545188238</c:v>
                </c:pt>
                <c:pt idx="213">
                  <c:v>43.202181606413475</c:v>
                </c:pt>
                <c:pt idx="214">
                  <c:v>43.430453419335649</c:v>
                </c:pt>
                <c:pt idx="215">
                  <c:v>43.64950070710924</c:v>
                </c:pt>
                <c:pt idx="216">
                  <c:v>43.858996502682189</c:v>
                </c:pt>
                <c:pt idx="217">
                  <c:v>44.058711943694362</c:v>
                </c:pt>
                <c:pt idx="218">
                  <c:v>44.248519453744564</c:v>
                </c:pt>
                <c:pt idx="219">
                  <c:v>44.42839416141814</c:v>
                </c:pt>
                <c:pt idx="220">
                  <c:v>44.598413541884966</c:v>
                </c:pt>
                <c:pt idx="221">
                  <c:v>44.758755306208059</c:v>
                </c:pt>
                <c:pt idx="222">
                  <c:v>44.909693602898273</c:v>
                </c:pt>
                <c:pt idx="223">
                  <c:v>45.051593633590556</c:v>
                </c:pt>
                <c:pt idx="224">
                  <c:v>45.184904818952802</c:v>
                </c:pt>
                <c:pt idx="225">
                  <c:v>45.310152681132251</c:v>
                </c:pt>
                <c:pt idx="226">
                  <c:v>45.427929634397486</c:v>
                </c:pt>
                <c:pt idx="227">
                  <c:v>45.538884895516048</c:v>
                </c:pt>
                <c:pt idx="228">
                  <c:v>45.643713739373268</c:v>
                </c:pt>
                <c:pt idx="229">
                  <c:v>45.743146333140686</c:v>
                </c:pt>
                <c:pt idx="230">
                  <c:v>45.837936383896917</c:v>
                </c:pt>
                <c:pt idx="231">
                  <c:v>45.928849830143278</c:v>
                </c:pt>
                <c:pt idx="232">
                  <c:v>46.016653797481936</c:v>
                </c:pt>
                <c:pt idx="233">
                  <c:v>46.102106023342827</c:v>
                </c:pt>
                <c:pt idx="234">
                  <c:v>46.185944935712456</c:v>
                </c:pt>
                <c:pt idx="235">
                  <c:v>46.26888054710291</c:v>
                </c:pt>
                <c:pt idx="236">
                  <c:v>46.35158629835766</c:v>
                </c:pt>
                <c:pt idx="237">
                  <c:v>46.434691958227646</c:v>
                </c:pt>
                <c:pt idx="238">
                  <c:v>46.518777654892347</c:v>
                </c:pt>
                <c:pt idx="239">
                  <c:v>46.604369085651271</c:v>
                </c:pt>
                <c:pt idx="240">
                  <c:v>46.691933921734943</c:v>
                </c:pt>
                <c:pt idx="241">
                  <c:v>46.781879397368442</c:v>
                </c:pt>
                <c:pt idx="242">
                  <c:v>46.874551046558665</c:v>
                </c:pt>
                <c:pt idx="243">
                  <c:v>46.97023252814455</c:v>
                </c:pt>
                <c:pt idx="244">
                  <c:v>47.069146459905483</c:v>
                </c:pt>
                <c:pt idx="245">
                  <c:v>47.171456166280706</c:v>
                </c:pt>
                <c:pt idx="246">
                  <c:v>47.277268231704213</c:v>
                </c:pt>
                <c:pt idx="247">
                  <c:v>47.386635742758642</c:v>
                </c:pt>
                <c:pt idx="248">
                  <c:v>47.499562097233067</c:v>
                </c:pt>
                <c:pt idx="249">
                  <c:v>47.616005256560712</c:v>
                </c:pt>
                <c:pt idx="250">
                  <c:v>47.73588231974388</c:v>
                </c:pt>
                <c:pt idx="251">
                  <c:v>47.859074301400099</c:v>
                </c:pt>
                <c:pt idx="252">
                  <c:v>47.985431003585262</c:v>
                </c:pt>
                <c:pt idx="253">
                  <c:v>48.11477588012157</c:v>
                </c:pt>
                <c:pt idx="254">
                  <c:v>48.246910802825781</c:v>
                </c:pt>
                <c:pt idx="255">
                  <c:v>48.381620650826079</c:v>
                </c:pt>
                <c:pt idx="256">
                  <c:v>48.518677656633116</c:v>
                </c:pt>
                <c:pt idx="257">
                  <c:v>48.657845455363926</c:v>
                </c:pt>
                <c:pt idx="258">
                  <c:v>48.798882796128893</c:v>
                </c:pt>
                <c:pt idx="259">
                  <c:v>48.941546886742131</c:v>
                </c:pt>
                <c:pt idx="260">
                  <c:v>49.085596354327507</c:v>
                </c:pt>
                <c:pt idx="261">
                  <c:v>49.230793814833632</c:v>
                </c:pt>
                <c:pt idx="262">
                  <c:v>49.376908053780681</c:v>
                </c:pt>
                <c:pt idx="263">
                  <c:v>49.523715828620325</c:v>
                </c:pt>
                <c:pt idx="264">
                  <c:v>49.671003309841609</c:v>
                </c:pt>
                <c:pt idx="265">
                  <c:v>49.818567183386136</c:v>
                </c:pt>
                <c:pt idx="266">
                  <c:v>49.966215441075207</c:v>
                </c:pt>
                <c:pt idx="267">
                  <c:v>50.113767888663986</c:v>
                </c:pt>
                <c:pt idx="268">
                  <c:v>50.261056402916665</c:v>
                </c:pt>
                <c:pt idx="269">
                  <c:v>50.407924969855515</c:v>
                </c:pt>
                <c:pt idx="270">
                  <c:v>50.554229536205327</c:v>
                </c:pt>
                <c:pt idx="271">
                  <c:v>50.699837705165578</c:v>
                </c:pt>
                <c:pt idx="272">
                  <c:v>50.844628306141246</c:v>
                </c:pt>
                <c:pt idx="273">
                  <c:v>50.988490866077385</c:v>
                </c:pt>
                <c:pt idx="274">
                  <c:v>51.131325007707332</c:v>
                </c:pt>
                <c:pt idx="275">
                  <c:v>51.273039797458154</c:v>
                </c:pt>
                <c:pt idx="276">
                  <c:v>51.413553063062878</c:v>
                </c:pt>
                <c:pt idx="277">
                  <c:v>51.552790698205996</c:v>
                </c:pt>
                <c:pt idx="278">
                  <c:v>51.690685968851142</c:v>
                </c:pt>
                <c:pt idx="279">
                  <c:v>51.827178833332439</c:v>
                </c:pt>
                <c:pt idx="280">
                  <c:v>51.962215285885023</c:v>
                </c:pt>
                <c:pt idx="281">
                  <c:v>52.095746731080894</c:v>
                </c:pt>
                <c:pt idx="282">
                  <c:v>52.227729394644783</c:v>
                </c:pt>
                <c:pt idx="283">
                  <c:v>52.358123774370924</c:v>
                </c:pt>
                <c:pt idx="284">
                  <c:v>52.486894133340883</c:v>
                </c:pt>
                <c:pt idx="285">
                  <c:v>52.614008036358598</c:v>
                </c:pt>
                <c:pt idx="286">
                  <c:v>52.739435929456278</c:v>
                </c:pt>
                <c:pt idx="287">
                  <c:v>52.863150761471104</c:v>
                </c:pt>
                <c:pt idx="288">
                  <c:v>52.985127646031472</c:v>
                </c:pt>
                <c:pt idx="289">
                  <c:v>53.105343561798691</c:v>
                </c:pt>
                <c:pt idx="290">
                  <c:v>53.22377708846895</c:v>
                </c:pt>
                <c:pt idx="291">
                  <c:v>53.34040817582671</c:v>
                </c:pt>
                <c:pt idx="292">
                  <c:v>53.455217943036715</c:v>
                </c:pt>
                <c:pt idx="293">
                  <c:v>53.568188505344651</c:v>
                </c:pt>
                <c:pt idx="294">
                  <c:v>53.679302825412663</c:v>
                </c:pt>
                <c:pt idx="295">
                  <c:v>53.788544586625548</c:v>
                </c:pt>
                <c:pt idx="296">
                  <c:v>53.895898085855407</c:v>
                </c:pt>
                <c:pt idx="297">
                  <c:v>54.001348143352018</c:v>
                </c:pt>
                <c:pt idx="298">
                  <c:v>54.104880027627075</c:v>
                </c:pt>
                <c:pt idx="299">
                  <c:v>54.20647939340958</c:v>
                </c:pt>
                <c:pt idx="300">
                  <c:v>54.306132230965602</c:v>
                </c:pt>
                <c:pt idx="301">
                  <c:v>54.403824825290044</c:v>
                </c:pt>
                <c:pt idx="302">
                  <c:v>54.499543723889744</c:v>
                </c:pt>
                <c:pt idx="303">
                  <c:v>54.593275712082331</c:v>
                </c:pt>
                <c:pt idx="304">
                  <c:v>54.685007794935061</c:v>
                </c:pt>
                <c:pt idx="305">
                  <c:v>54.774727185159222</c:v>
                </c:pt>
                <c:pt idx="306">
                  <c:v>54.862421296462387</c:v>
                </c:pt>
                <c:pt idx="307">
                  <c:v>54.948077742039487</c:v>
                </c:pt>
                <c:pt idx="308">
                  <c:v>55.031684338061396</c:v>
                </c:pt>
                <c:pt idx="309">
                  <c:v>55.113229112191362</c:v>
                </c:pt>
                <c:pt idx="310">
                  <c:v>55.192700317331486</c:v>
                </c:pt>
                <c:pt idx="311">
                  <c:v>55.27008645097284</c:v>
                </c:pt>
                <c:pt idx="312">
                  <c:v>55.34537628069323</c:v>
                </c:pt>
                <c:pt idx="313">
                  <c:v>55.418558876519469</c:v>
                </c:pt>
                <c:pt idx="314">
                  <c:v>55.48962365104083</c:v>
                </c:pt>
                <c:pt idx="315">
                  <c:v>55.558560408332156</c:v>
                </c:pt>
                <c:pt idx="316">
                  <c:v>55.625359402909112</c:v>
                </c:pt>
                <c:pt idx="317">
                  <c:v>55.69001141009592</c:v>
                </c:pt>
                <c:pt idx="318">
                  <c:v>55.752507809330439</c:v>
                </c:pt>
                <c:pt idx="319">
                  <c:v>55.812840682053348</c:v>
                </c:pt>
                <c:pt idx="320">
                  <c:v>55.871002925923989</c:v>
                </c:pt>
                <c:pt idx="321">
                  <c:v>55.926988387159497</c:v>
                </c:pt>
                <c:pt idx="322">
                  <c:v>55.980792012796968</c:v>
                </c:pt>
                <c:pt idx="323">
                  <c:v>56.032410024617974</c:v>
                </c:pt>
                <c:pt idx="324">
                  <c:v>56.081840116331506</c:v>
                </c:pt>
                <c:pt idx="325">
                  <c:v>56.129081675374678</c:v>
                </c:pt>
                <c:pt idx="326">
                  <c:v>56.174136030339255</c:v>
                </c:pt>
                <c:pt idx="327">
                  <c:v>56.217006724552519</c:v>
                </c:pt>
                <c:pt idx="328">
                  <c:v>56.257699815716407</c:v>
                </c:pt>
                <c:pt idx="329">
                  <c:v>56.296224200725646</c:v>
                </c:pt>
                <c:pt idx="330">
                  <c:v>56.332591963834304</c:v>
                </c:pt>
                <c:pt idx="331">
                  <c:v>56.366818745212328</c:v>
                </c:pt>
                <c:pt idx="332">
                  <c:v>56.398924125630302</c:v>
                </c:pt>
                <c:pt idx="333">
                  <c:v>56.428932021539069</c:v>
                </c:pt>
                <c:pt idx="334">
                  <c:v>56.45687108318306</c:v>
                </c:pt>
                <c:pt idx="335">
                  <c:v>56.482775086629758</c:v>
                </c:pt>
                <c:pt idx="336">
                  <c:v>56.50668330874835</c:v>
                </c:pt>
                <c:pt idx="337">
                  <c:v>56.528640872274579</c:v>
                </c:pt>
                <c:pt idx="338">
                  <c:v>56.548699046217664</c:v>
                </c:pt>
                <c:pt idx="339">
                  <c:v>56.566915485071632</c:v>
                </c:pt>
                <c:pt idx="340">
                  <c:v>56.583354388670102</c:v>
                </c:pt>
                <c:pt idx="341">
                  <c:v>56.598086563167385</c:v>
                </c:pt>
                <c:pt idx="342">
                  <c:v>56.611189362640872</c:v>
                </c:pt>
                <c:pt idx="343">
                  <c:v>56.622746490298994</c:v>
                </c:pt>
                <c:pt idx="344">
                  <c:v>56.632847638354619</c:v>
                </c:pt>
                <c:pt idx="345">
                  <c:v>56.641587946393145</c:v>
                </c:pt>
                <c:pt idx="346">
                  <c:v>56.649067259623195</c:v>
                </c:pt>
                <c:pt idx="347">
                  <c:v>56.655389170833757</c:v>
                </c:pt>
                <c:pt idx="348">
                  <c:v>56.660659833251131</c:v>
                </c:pt>
                <c:pt idx="349">
                  <c:v>56.664986535835595</c:v>
                </c:pt>
                <c:pt idx="350">
                  <c:v>56.668476037877355</c:v>
                </c:pt>
                <c:pt idx="351">
                  <c:v>56.671232666012997</c:v>
                </c:pt>
                <c:pt idx="352">
                  <c:v>56.673356183904588</c:v>
                </c:pt>
                <c:pt idx="353">
                  <c:v>56.674939452681329</c:v>
                </c:pt>
                <c:pt idx="354">
                  <c:v>56.6760659086613</c:v>
                </c:pt>
                <c:pt idx="355">
                  <c:v>56.676806893628694</c:v>
                </c:pt>
                <c:pt idx="356">
                  <c:v>56.677218881775275</c:v>
                </c:pt>
                <c:pt idx="357">
                  <c:v>56.67734065601492</c:v>
                </c:pt>
                <c:pt idx="358">
                  <c:v>56.677190494414575</c:v>
                </c:pt>
                <c:pt idx="359">
                  <c:v>56.676763434595614</c:v>
                </c:pt>
                <c:pt idx="360">
                  <c:v>56.676028689779614</c:v>
                </c:pt>
                <c:pt idx="361">
                  <c:v>56.674927294330132</c:v>
                </c:pt>
                <c:pt idx="362">
                  <c:v>56.673370058836213</c:v>
                </c:pt>
                <c:pt idx="363">
                  <c:v>56.671235914707196</c:v>
                </c:pt>
                <c:pt idx="364">
                  <c:v>56.668370725661404</c:v>
                </c:pt>
                <c:pt idx="365">
                  <c:v>56.664586638233899</c:v>
                </c:pt>
                <c:pt idx="366">
                  <c:v>56.659662035425512</c:v>
                </c:pt>
                <c:pt idx="367">
                  <c:v>56.653342146892228</c:v>
                </c:pt>
                <c:pt idx="368">
                  <c:v>56.6453403557652</c:v>
                </c:pt>
                <c:pt idx="369">
                  <c:v>56.635340226542311</c:v>
                </c:pt>
                <c:pt idx="370">
                  <c:v>56.622998260857173</c:v>
                </c:pt>
                <c:pt idx="371">
                  <c:v>56.607947368773665</c:v>
                </c:pt>
                <c:pt idx="372">
                  <c:v>56.589801023124764</c:v>
                </c:pt>
                <c:pt idx="373">
                  <c:v>56.568158043946482</c:v>
                </c:pt>
                <c:pt idx="374">
                  <c:v>56.542607939932708</c:v>
                </c:pt>
                <c:pt idx="375">
                  <c:v>56.512736714772856</c:v>
                </c:pt>
                <c:pt idx="376">
                  <c:v>56.478133028943859</c:v>
                </c:pt>
                <c:pt idx="377">
                  <c:v>56.438394592702309</c:v>
                </c:pt>
                <c:pt idx="378">
                  <c:v>56.393134654285575</c:v>
                </c:pt>
                <c:pt idx="379">
                  <c:v>56.34198843922556</c:v>
                </c:pt>
                <c:pt idx="380">
                  <c:v>56.284619392631242</c:v>
                </c:pt>
                <c:pt idx="381">
                  <c:v>56.220725076590199</c:v>
                </c:pt>
                <c:pt idx="382">
                  <c:v>56.150042579616311</c:v>
                </c:pt>
                <c:pt idx="383">
                  <c:v>56.072353304292847</c:v>
                </c:pt>
                <c:pt idx="384">
                  <c:v>55.987487012733567</c:v>
                </c:pt>
                <c:pt idx="385">
                  <c:v>55.89532502684294</c:v>
                </c:pt>
                <c:pt idx="386">
                  <c:v>55.795802501083827</c:v>
                </c:pt>
                <c:pt idx="387">
                  <c:v>55.688909708907531</c:v>
                </c:pt>
                <c:pt idx="388">
                  <c:v>55.574692309403957</c:v>
                </c:pt>
                <c:pt idx="389">
                  <c:v>55.453250587250892</c:v>
                </c:pt>
                <c:pt idx="390">
                  <c:v>55.324737685793579</c:v>
                </c:pt>
                <c:pt idx="391">
                  <c:v>55.189356879174539</c:v>
                </c:pt>
                <c:pt idx="392">
                  <c:v>55.047357953991849</c:v>
                </c:pt>
                <c:pt idx="393">
                  <c:v>54.899032793182826</c:v>
                </c:pt>
                <c:pt idx="394">
                  <c:v>54.744710274002941</c:v>
                </c:pt>
                <c:pt idx="395">
                  <c:v>54.584750607503665</c:v>
                </c:pt>
                <c:pt idx="396">
                  <c:v>54.419539258365674</c:v>
                </c:pt>
                <c:pt idx="397">
                  <c:v>54.249480591030817</c:v>
                </c:pt>
                <c:pt idx="398">
                  <c:v>54.074991390677667</c:v>
                </c:pt>
                <c:pt idx="399">
                  <c:v>53.896494405754169</c:v>
                </c:pt>
                <c:pt idx="400">
                  <c:v>53.714412052724825</c:v>
                </c:pt>
                <c:pt idx="401">
                  <c:v>53.529160413767684</c:v>
                </c:pt>
                <c:pt idx="402">
                  <c:v>53.341143644852593</c:v>
                </c:pt>
                <c:pt idx="403">
                  <c:v>53.150748895530356</c:v>
                </c:pt>
                <c:pt idx="404">
                  <c:v>52.958341823527121</c:v>
                </c:pt>
                <c:pt idx="405">
                  <c:v>52.764262767570528</c:v>
                </c:pt>
                <c:pt idx="406">
                  <c:v>52.56882362149554</c:v>
                </c:pt>
                <c:pt idx="407">
                  <c:v>52.372305432290915</c:v>
                </c:pt>
                <c:pt idx="408">
                  <c:v>52.174956725013473</c:v>
                </c:pt>
                <c:pt idx="409">
                  <c:v>51.976992539012258</c:v>
                </c:pt>
                <c:pt idx="410">
                  <c:v>51.778594143179191</c:v>
                </c:pt>
                <c:pt idx="411">
                  <c:v>51.579909383387047</c:v>
                </c:pt>
                <c:pt idx="412">
                  <c:v>51.381053603194374</c:v>
                </c:pt>
                <c:pt idx="413">
                  <c:v>51.182111069479475</c:v>
                </c:pt>
                <c:pt idx="414">
                  <c:v>50.983136827993519</c:v>
                </c:pt>
                <c:pt idx="415">
                  <c:v>50.784158909872559</c:v>
                </c:pt>
                <c:pt idx="416">
                  <c:v>50.585180808800089</c:v>
                </c:pt>
                <c:pt idx="417">
                  <c:v>50.386184149567697</c:v>
                </c:pt>
                <c:pt idx="418">
                  <c:v>50.187131471974737</c:v>
                </c:pt>
                <c:pt idx="419">
                  <c:v>49.987969059021822</c:v>
                </c:pt>
                <c:pt idx="420">
                  <c:v>49.788629744845039</c:v>
                </c:pt>
                <c:pt idx="421">
                  <c:v>49.589035645438742</c:v>
                </c:pt>
                <c:pt idx="422">
                  <c:v>49.389100763566859</c:v>
                </c:pt>
                <c:pt idx="423">
                  <c:v>49.188733428016988</c:v>
                </c:pt>
                <c:pt idx="424">
                  <c:v>48.98783853618221</c:v>
                </c:pt>
                <c:pt idx="425">
                  <c:v>48.786319577581466</c:v>
                </c:pt>
                <c:pt idx="426">
                  <c:v>48.584080424099724</c:v>
                </c:pt>
                <c:pt idx="427">
                  <c:v>48.381026880249294</c:v>
                </c:pt>
                <c:pt idx="428">
                  <c:v>48.177067993472591</c:v>
                </c:pt>
                <c:pt idx="429">
                  <c:v>47.972117130318793</c:v>
                </c:pt>
                <c:pt idx="430">
                  <c:v>47.766092829178888</c:v>
                </c:pt>
                <c:pt idx="431">
                  <c:v>47.558919444133949</c:v>
                </c:pt>
                <c:pt idx="432">
                  <c:v>47.350527597384314</c:v>
                </c:pt>
                <c:pt idx="433">
                  <c:v>47.140854459728629</c:v>
                </c:pt>
                <c:pt idx="434">
                  <c:v>46.929843879728381</c:v>
                </c:pt>
                <c:pt idx="435">
                  <c:v>46.717446382612849</c:v>
                </c:pt>
                <c:pt idx="436">
                  <c:v>46.503619059759899</c:v>
                </c:pt>
                <c:pt idx="437">
                  <c:v>46.28832536883084</c:v>
                </c:pt>
                <c:pt idx="438">
                  <c:v>46.071534863459846</c:v>
                </c:pt>
                <c:pt idx="439">
                  <c:v>45.853222869899326</c:v>
                </c:pt>
                <c:pt idx="440">
                  <c:v>45.633370126307028</c:v>
                </c:pt>
                <c:pt idx="441">
                  <c:v>45.411962398513708</c:v>
                </c:pt>
                <c:pt idx="442">
                  <c:v>45.188990084214197</c:v>
                </c:pt>
                <c:pt idx="443">
                  <c:v>44.964447815643965</c:v>
                </c:pt>
                <c:pt idx="444">
                  <c:v>44.738334068993339</c:v>
                </c:pt>
                <c:pt idx="445">
                  <c:v>44.510650787113491</c:v>
                </c:pt>
                <c:pt idx="446">
                  <c:v>44.281403020513252</c:v>
                </c:pt>
                <c:pt idx="447">
                  <c:v>44.050598590253031</c:v>
                </c:pt>
                <c:pt idx="448">
                  <c:v>43.818247775123439</c:v>
                </c:pt>
                <c:pt idx="449">
                  <c:v>43.584363024452443</c:v>
                </c:pt>
                <c:pt idx="450">
                  <c:v>43.348958697015263</c:v>
                </c:pt>
                <c:pt idx="451">
                  <c:v>43.112050825814038</c:v>
                </c:pt>
                <c:pt idx="452">
                  <c:v>42.873656907939662</c:v>
                </c:pt>
                <c:pt idx="453">
                  <c:v>42.633795718310267</c:v>
                </c:pt>
                <c:pt idx="454">
                  <c:v>42.392487145782098</c:v>
                </c:pt>
                <c:pt idx="455">
                  <c:v>42.149752049936254</c:v>
                </c:pt>
                <c:pt idx="456">
                  <c:v>41.905612136735485</c:v>
                </c:pt>
                <c:pt idx="457">
                  <c:v>41.660089851212007</c:v>
                </c:pt>
                <c:pt idx="458">
                  <c:v>41.413208285365258</c:v>
                </c:pt>
                <c:pt idx="459">
                  <c:v>41.164991099514609</c:v>
                </c:pt>
                <c:pt idx="460">
                  <c:v>40.915462455445379</c:v>
                </c:pt>
                <c:pt idx="461">
                  <c:v>40.664646959804102</c:v>
                </c:pt>
                <c:pt idx="462">
                  <c:v>40.412569616328611</c:v>
                </c:pt>
                <c:pt idx="463">
                  <c:v>40.159255785633093</c:v>
                </c:pt>
                <c:pt idx="464">
                  <c:v>39.904731151406139</c:v>
                </c:pt>
                <c:pt idx="465">
                  <c:v>39.649021692011132</c:v>
                </c:pt>
                <c:pt idx="466">
                  <c:v>39.392153656606041</c:v>
                </c:pt>
                <c:pt idx="467">
                  <c:v>39.134153545016261</c:v>
                </c:pt>
                <c:pt idx="468">
                  <c:v>38.875048090703245</c:v>
                </c:pt>
                <c:pt idx="469">
                  <c:v>38.614864246267999</c:v>
                </c:pt>
                <c:pt idx="470">
                  <c:v>38.353629171016237</c:v>
                </c:pt>
                <c:pt idx="471">
                  <c:v>38.091370220187997</c:v>
                </c:pt>
                <c:pt idx="472">
                  <c:v>37.828114935520873</c:v>
                </c:pt>
                <c:pt idx="473">
                  <c:v>37.563891036874352</c:v>
                </c:pt>
                <c:pt idx="474">
                  <c:v>37.298726414689966</c:v>
                </c:pt>
                <c:pt idx="475">
                  <c:v>37.032649123105671</c:v>
                </c:pt>
                <c:pt idx="476">
                  <c:v>36.765687373575503</c:v>
                </c:pt>
                <c:pt idx="477">
                  <c:v>36.497869528876237</c:v>
                </c:pt>
                <c:pt idx="478">
                  <c:v>36.229224097405222</c:v>
                </c:pt>
                <c:pt idx="479">
                  <c:v>35.959779727694709</c:v>
                </c:pt>
                <c:pt idx="480">
                  <c:v>35.689565203082566</c:v>
                </c:pt>
                <c:pt idx="481">
                  <c:v>35.418609436492972</c:v>
                </c:pt>
                <c:pt idx="482">
                  <c:v>35.146941465291093</c:v>
                </c:pt>
                <c:pt idx="483">
                  <c:v>34.874590446183447</c:v>
                </c:pt>
                <c:pt idx="484">
                  <c:v>34.601585650143079</c:v>
                </c:pt>
                <c:pt idx="485">
                  <c:v>34.327956457342935</c:v>
                </c:pt>
                <c:pt idx="486">
                  <c:v>34.053732352085447</c:v>
                </c:pt>
                <c:pt idx="487">
                  <c:v>33.778942917719789</c:v>
                </c:pt>
                <c:pt idx="488">
                  <c:v>33.503617831539728</c:v>
                </c:pt>
                <c:pt idx="489">
                  <c:v>33.227786859657797</c:v>
                </c:pt>
                <c:pt idx="490">
                  <c:v>32.95147985185281</c:v>
                </c:pt>
                <c:pt idx="491">
                  <c:v>32.674726736388223</c:v>
                </c:pt>
                <c:pt idx="492">
                  <c:v>32.397557514800724</c:v>
                </c:pt>
                <c:pt idx="493">
                  <c:v>32.12000225665804</c:v>
                </c:pt>
                <c:pt idx="494">
                  <c:v>31.842091094286062</c:v>
                </c:pt>
                <c:pt idx="495">
                  <c:v>31.563854217465845</c:v>
                </c:pt>
                <c:pt idx="496">
                  <c:v>31.28532186810051</c:v>
                </c:pt>
                <c:pt idx="497">
                  <c:v>31.006524334853438</c:v>
                </c:pt>
                <c:pt idx="498">
                  <c:v>30.727491947758224</c:v>
                </c:pt>
                <c:pt idx="499">
                  <c:v>30.448255072801601</c:v>
                </c:pt>
                <c:pt idx="500">
                  <c:v>30.168844106480634</c:v>
                </c:pt>
                <c:pt idx="501">
                  <c:v>29.8892894703351</c:v>
                </c:pt>
                <c:pt idx="502">
                  <c:v>29.609621605456539</c:v>
                </c:pt>
                <c:pt idx="503">
                  <c:v>29.329870966975108</c:v>
                </c:pt>
                <c:pt idx="504">
                  <c:v>29.050068018525664</c:v>
                </c:pt>
                <c:pt idx="505">
                  <c:v>28.770243226694546</c:v>
                </c:pt>
                <c:pt idx="506">
                  <c:v>28.490427055448109</c:v>
                </c:pt>
                <c:pt idx="507">
                  <c:v>28.210649960544686</c:v>
                </c:pt>
                <c:pt idx="508">
                  <c:v>27.930942383931296</c:v>
                </c:pt>
                <c:pt idx="509">
                  <c:v>27.651334748126544</c:v>
                </c:pt>
                <c:pt idx="510">
                  <c:v>27.371857450591193</c:v>
                </c:pt>
                <c:pt idx="511">
                  <c:v>27.092540858087531</c:v>
                </c:pt>
                <c:pt idx="512">
                  <c:v>26.813415301029693</c:v>
                </c:pt>
                <c:pt idx="513">
                  <c:v>26.534511067825505</c:v>
                </c:pt>
                <c:pt idx="514">
                  <c:v>26.255858399212244</c:v>
                </c:pt>
                <c:pt idx="515">
                  <c:v>25.977487482586923</c:v>
                </c:pt>
                <c:pt idx="516">
                  <c:v>25.699428446333343</c:v>
                </c:pt>
                <c:pt idx="517">
                  <c:v>25.421711354146993</c:v>
                </c:pt>
                <c:pt idx="518">
                  <c:v>25.144366199359283</c:v>
                </c:pt>
                <c:pt idx="519">
                  <c:v>24.867422899262806</c:v>
                </c:pt>
                <c:pt idx="520">
                  <c:v>24.590911289439305</c:v>
                </c:pt>
                <c:pt idx="521">
                  <c:v>24.314861118091201</c:v>
                </c:pt>
                <c:pt idx="522">
                  <c:v>24.039302040378907</c:v>
                </c:pt>
                <c:pt idx="523">
                  <c:v>23.764263612765291</c:v>
                </c:pt>
                <c:pt idx="524">
                  <c:v>23.489775287368438</c:v>
                </c:pt>
                <c:pt idx="525">
                  <c:v>23.215866406324736</c:v>
                </c:pt>
                <c:pt idx="526">
                  <c:v>22.942566196163554</c:v>
                </c:pt>
                <c:pt idx="527">
                  <c:v>22.669903762195048</c:v>
                </c:pt>
                <c:pt idx="528">
                  <c:v>22.397908082912849</c:v>
                </c:pt>
                <c:pt idx="529">
                  <c:v>22.126608004412844</c:v>
                </c:pt>
                <c:pt idx="530">
                  <c:v>21.85603223482984</c:v>
                </c:pt>
                <c:pt idx="531">
                  <c:v>21.586209338793651</c:v>
                </c:pt>
                <c:pt idx="532">
                  <c:v>21.31716773190584</c:v>
                </c:pt>
                <c:pt idx="533">
                  <c:v>21.048935675239193</c:v>
                </c:pt>
                <c:pt idx="534">
                  <c:v>20.781541269860767</c:v>
                </c:pt>
                <c:pt idx="535">
                  <c:v>20.51501245138077</c:v>
                </c:pt>
                <c:pt idx="536">
                  <c:v>20.249376984528197</c:v>
                </c:pt>
                <c:pt idx="537">
                  <c:v>19.984662457755164</c:v>
                </c:pt>
                <c:pt idx="538">
                  <c:v>19.720896277871034</c:v>
                </c:pt>
                <c:pt idx="539">
                  <c:v>19.458105664708413</c:v>
                </c:pt>
                <c:pt idx="540">
                  <c:v>19.196317645821978</c:v>
                </c:pt>
                <c:pt idx="541">
                  <c:v>18.935559051221887</c:v>
                </c:pt>
                <c:pt idx="542">
                  <c:v>18.675856508143426</c:v>
                </c:pt>
                <c:pt idx="543">
                  <c:v>18.417236435853866</c:v>
                </c:pt>
                <c:pt idx="544">
                  <c:v>18.159725040498742</c:v>
                </c:pt>
                <c:pt idx="545">
                  <c:v>17.903348309988132</c:v>
                </c:pt>
                <c:pt idx="546">
                  <c:v>17.648132008925444</c:v>
                </c:pt>
                <c:pt idx="547">
                  <c:v>17.394101673579101</c:v>
                </c:pt>
                <c:pt idx="548">
                  <c:v>17.141282606899352</c:v>
                </c:pt>
                <c:pt idx="549">
                  <c:v>16.889699873581222</c:v>
                </c:pt>
                <c:pt idx="550">
                  <c:v>16.639378295175291</c:v>
                </c:pt>
                <c:pt idx="551">
                  <c:v>16.390342445247413</c:v>
                </c:pt>
                <c:pt idx="552">
                  <c:v>16.142616644588983</c:v>
                </c:pt>
                <c:pt idx="553">
                  <c:v>15.896224956479088</c:v>
                </c:pt>
                <c:pt idx="554">
                  <c:v>15.651191181999934</c:v>
                </c:pt>
                <c:pt idx="555">
                  <c:v>15.407538855406827</c:v>
                </c:pt>
                <c:pt idx="556">
                  <c:v>15.16529123955408</c:v>
                </c:pt>
                <c:pt idx="557">
                  <c:v>14.924471321378192</c:v>
                </c:pt>
                <c:pt idx="558">
                  <c:v>14.685101807439679</c:v>
                </c:pt>
                <c:pt idx="559">
                  <c:v>14.447205119524696</c:v>
                </c:pt>
                <c:pt idx="560">
                  <c:v>14.210803390307817</c:v>
                </c:pt>
                <c:pt idx="561">
                  <c:v>13.975918459077306</c:v>
                </c:pt>
                <c:pt idx="562">
                  <c:v>13.742571867523864</c:v>
                </c:pt>
                <c:pt idx="563">
                  <c:v>13.510784855594565</c:v>
                </c:pt>
                <c:pt idx="564">
                  <c:v>13.280578357412594</c:v>
                </c:pt>
                <c:pt idx="565">
                  <c:v>13.051972997264414</c:v>
                </c:pt>
                <c:pt idx="566">
                  <c:v>12.824989085655375</c:v>
                </c:pt>
                <c:pt idx="567">
                  <c:v>12.599646615434921</c:v>
                </c:pt>
                <c:pt idx="568">
                  <c:v>12.375965257992604</c:v>
                </c:pt>
                <c:pt idx="569">
                  <c:v>12.153964359525801</c:v>
                </c:pt>
                <c:pt idx="570">
                  <c:v>11.933662937380504</c:v>
                </c:pt>
                <c:pt idx="571">
                  <c:v>11.774069085736473</c:v>
                </c:pt>
                <c:pt idx="572">
                  <c:v>11.581833487002168</c:v>
                </c:pt>
                <c:pt idx="573">
                  <c:v>11.403711134856076</c:v>
                </c:pt>
                <c:pt idx="574">
                  <c:v>11.245903772308059</c:v>
                </c:pt>
                <c:pt idx="575">
                  <c:v>11.094437227982883</c:v>
                </c:pt>
                <c:pt idx="576">
                  <c:v>10.93839779141228</c:v>
                </c:pt>
                <c:pt idx="577">
                  <c:v>10.786558764753783</c:v>
                </c:pt>
                <c:pt idx="578">
                  <c:v>10.652288872929699</c:v>
                </c:pt>
                <c:pt idx="579">
                  <c:v>10.521421594328439</c:v>
                </c:pt>
                <c:pt idx="580">
                  <c:v>10.395704219159949</c:v>
                </c:pt>
                <c:pt idx="581">
                  <c:v>10.27542236454812</c:v>
                </c:pt>
                <c:pt idx="582">
                  <c:v>10.163600886773242</c:v>
                </c:pt>
                <c:pt idx="583">
                  <c:v>10.060927840182323</c:v>
                </c:pt>
                <c:pt idx="584">
                  <c:v>9.9721534570195232</c:v>
                </c:pt>
                <c:pt idx="585">
                  <c:v>9.8993124696741823</c:v>
                </c:pt>
                <c:pt idx="586">
                  <c:v>9.8308627256869752</c:v>
                </c:pt>
                <c:pt idx="587">
                  <c:v>9.7519614034843354</c:v>
                </c:pt>
                <c:pt idx="588">
                  <c:v>9.6784706022398961</c:v>
                </c:pt>
                <c:pt idx="589">
                  <c:v>9.606450200650956</c:v>
                </c:pt>
                <c:pt idx="590">
                  <c:v>9.5400345382830896</c:v>
                </c:pt>
                <c:pt idx="591">
                  <c:v>9.4810010410818286</c:v>
                </c:pt>
                <c:pt idx="592">
                  <c:v>9.4243104171921068</c:v>
                </c:pt>
                <c:pt idx="593">
                  <c:v>9.3533845112738536</c:v>
                </c:pt>
                <c:pt idx="594">
                  <c:v>9.282989529555179</c:v>
                </c:pt>
                <c:pt idx="595">
                  <c:v>9.2236734644774501</c:v>
                </c:pt>
                <c:pt idx="596">
                  <c:v>9.1783736120414385</c:v>
                </c:pt>
                <c:pt idx="597">
                  <c:v>9.1299405474182453</c:v>
                </c:pt>
                <c:pt idx="598">
                  <c:v>9.0699605569319957</c:v>
                </c:pt>
                <c:pt idx="599">
                  <c:v>9.006230201046316</c:v>
                </c:pt>
                <c:pt idx="600">
                  <c:v>8.9290480053835797</c:v>
                </c:pt>
                <c:pt idx="601">
                  <c:v>8.8301654519507426</c:v>
                </c:pt>
                <c:pt idx="602">
                  <c:v>8.7188008232184071</c:v>
                </c:pt>
                <c:pt idx="603">
                  <c:v>8.6002015067471458</c:v>
                </c:pt>
                <c:pt idx="604">
                  <c:v>8.4723520863397006</c:v>
                </c:pt>
                <c:pt idx="605">
                  <c:v>8.3305976626057721</c:v>
                </c:pt>
                <c:pt idx="606">
                  <c:v>8.184242091404812</c:v>
                </c:pt>
                <c:pt idx="607">
                  <c:v>8.0339346718789439</c:v>
                </c:pt>
                <c:pt idx="608">
                  <c:v>7.8743774579480696</c:v>
                </c:pt>
                <c:pt idx="609">
                  <c:v>7.7177277709668637</c:v>
                </c:pt>
                <c:pt idx="610">
                  <c:v>7.5736560923903014</c:v>
                </c:pt>
                <c:pt idx="611">
                  <c:v>7.4204559006537858</c:v>
                </c:pt>
                <c:pt idx="612">
                  <c:v>7.2478763718792409</c:v>
                </c:pt>
                <c:pt idx="613">
                  <c:v>7.0631742307294427</c:v>
                </c:pt>
                <c:pt idx="614">
                  <c:v>6.8972354823910518</c:v>
                </c:pt>
                <c:pt idx="615">
                  <c:v>6.739004086722586</c:v>
                </c:pt>
                <c:pt idx="616">
                  <c:v>6.5814180030951421</c:v>
                </c:pt>
                <c:pt idx="617">
                  <c:v>6.41432018490584</c:v>
                </c:pt>
                <c:pt idx="618">
                  <c:v>6.2437956542216488</c:v>
                </c:pt>
                <c:pt idx="619">
                  <c:v>6.0603113111269158</c:v>
                </c:pt>
                <c:pt idx="620">
                  <c:v>5.8736564096580128</c:v>
                </c:pt>
                <c:pt idx="621">
                  <c:v>5.7111271807397204</c:v>
                </c:pt>
                <c:pt idx="622">
                  <c:v>5.5597726347663174</c:v>
                </c:pt>
                <c:pt idx="623">
                  <c:v>5.4113645842995002</c:v>
                </c:pt>
                <c:pt idx="624">
                  <c:v>5.263753381411524</c:v>
                </c:pt>
                <c:pt idx="625">
                  <c:v>5.1105880737638953</c:v>
                </c:pt>
                <c:pt idx="626">
                  <c:v>4.9508528066100848</c:v>
                </c:pt>
                <c:pt idx="627">
                  <c:v>4.8079815612021672</c:v>
                </c:pt>
                <c:pt idx="628">
                  <c:v>4.6791317294912922</c:v>
                </c:pt>
                <c:pt idx="629">
                  <c:v>4.506501735572316</c:v>
                </c:pt>
                <c:pt idx="630">
                  <c:v>4.3043048050451214</c:v>
                </c:pt>
                <c:pt idx="631">
                  <c:v>4.1036763706733588</c:v>
                </c:pt>
                <c:pt idx="632">
                  <c:v>3.9207188436022533</c:v>
                </c:pt>
                <c:pt idx="633">
                  <c:v>3.7433295914889633</c:v>
                </c:pt>
                <c:pt idx="634">
                  <c:v>3.5738865786071981</c:v>
                </c:pt>
                <c:pt idx="635">
                  <c:v>3.4016982234272568</c:v>
                </c:pt>
                <c:pt idx="636">
                  <c:v>3.2521289071786432</c:v>
                </c:pt>
                <c:pt idx="637">
                  <c:v>3.1176552549179335</c:v>
                </c:pt>
                <c:pt idx="638">
                  <c:v>2.9858139189969863</c:v>
                </c:pt>
                <c:pt idx="639">
                  <c:v>2.8506713952009299</c:v>
                </c:pt>
                <c:pt idx="640">
                  <c:v>2.72673503355951</c:v>
                </c:pt>
                <c:pt idx="641">
                  <c:v>2.6089430304502095</c:v>
                </c:pt>
                <c:pt idx="642">
                  <c:v>2.4973797763371768</c:v>
                </c:pt>
                <c:pt idx="643">
                  <c:v>2.3757185098667932</c:v>
                </c:pt>
                <c:pt idx="644">
                  <c:v>2.2621092362277686</c:v>
                </c:pt>
                <c:pt idx="645">
                  <c:v>2.1504017301353162</c:v>
                </c:pt>
                <c:pt idx="646">
                  <c:v>2.0550875729207094</c:v>
                </c:pt>
                <c:pt idx="647">
                  <c:v>1.9586823926439914</c:v>
                </c:pt>
                <c:pt idx="648">
                  <c:v>1.8712395864414024</c:v>
                </c:pt>
                <c:pt idx="649">
                  <c:v>1.8120220758140262</c:v>
                </c:pt>
                <c:pt idx="650">
                  <c:v>1.7707773158598838</c:v>
                </c:pt>
                <c:pt idx="651">
                  <c:v>1.710426222486346</c:v>
                </c:pt>
                <c:pt idx="652">
                  <c:v>1.645954691655469</c:v>
                </c:pt>
                <c:pt idx="653">
                  <c:v>1.5915983459662726</c:v>
                </c:pt>
                <c:pt idx="654">
                  <c:v>1.5485950780960729</c:v>
                </c:pt>
                <c:pt idx="655">
                  <c:v>1.5012384151201545</c:v>
                </c:pt>
                <c:pt idx="656">
                  <c:v>1.4642346879200934</c:v>
                </c:pt>
                <c:pt idx="657">
                  <c:v>1.4422532970531901</c:v>
                </c:pt>
                <c:pt idx="658">
                  <c:v>1.4044964303668017</c:v>
                </c:pt>
                <c:pt idx="659">
                  <c:v>1.3526349243256599</c:v>
                </c:pt>
                <c:pt idx="660">
                  <c:v>1.2970804244127989</c:v>
                </c:pt>
                <c:pt idx="661">
                  <c:v>1.2516893179109443</c:v>
                </c:pt>
                <c:pt idx="662">
                  <c:v>1.2164031186326765</c:v>
                </c:pt>
                <c:pt idx="663">
                  <c:v>1.1888585630142663</c:v>
                </c:pt>
                <c:pt idx="664">
                  <c:v>1.1505963184872654</c:v>
                </c:pt>
                <c:pt idx="665">
                  <c:v>1.0941690104843051</c:v>
                </c:pt>
                <c:pt idx="666">
                  <c:v>1.0493799837570552</c:v>
                </c:pt>
                <c:pt idx="667">
                  <c:v>1.0126978646002478</c:v>
                </c:pt>
                <c:pt idx="668">
                  <c:v>0.81015829168019826</c:v>
                </c:pt>
                <c:pt idx="669">
                  <c:v>0.60761871876014872</c:v>
                </c:pt>
                <c:pt idx="670">
                  <c:v>0.40507914584009913</c:v>
                </c:pt>
                <c:pt idx="671">
                  <c:v>0.20253957292004957</c:v>
                </c:pt>
                <c:pt idx="672">
                  <c:v>0</c:v>
                </c:pt>
                <c:pt idx="673">
                  <c:v>0</c:v>
                </c:pt>
                <c:pt idx="674">
                  <c:v>0</c:v>
                </c:pt>
                <c:pt idx="675">
                  <c:v>0</c:v>
                </c:pt>
                <c:pt idx="676">
                  <c:v>0</c:v>
                </c:pt>
                <c:pt idx="677">
                  <c:v>0</c:v>
                </c:pt>
                <c:pt idx="678">
                  <c:v>0</c:v>
                </c:pt>
              </c:numCache>
            </c:numRef>
          </c:yVal>
        </c:ser>
        <c:ser>
          <c:idx val="2"/>
          <c:order val="1"/>
          <c:tx>
            <c:strRef>
              <c:f>Data!$E$1</c:f>
              <c:strCache>
                <c:ptCount val="1"/>
                <c:pt idx="0">
                  <c:v>Lin.Bkgrd</c:v>
                </c:pt>
              </c:strCache>
            </c:strRef>
          </c:tx>
          <c:spPr>
            <a:ln w="12700">
              <a:solidFill>
                <a:srgbClr val="00FF00"/>
              </a:solidFill>
              <a:prstDash val="solid"/>
            </a:ln>
          </c:spPr>
          <c:marker>
            <c:symbol val="none"/>
          </c:marker>
          <c:xVal>
            <c:numRef>
              <c:f>Data!$A$2:$A$1001</c:f>
              <c:numCache>
                <c:formatCode>0.000</c:formatCode>
                <c:ptCount val="1000"/>
                <c:pt idx="0">
                  <c:v>1</c:v>
                </c:pt>
                <c:pt idx="1">
                  <c:v>3</c:v>
                </c:pt>
                <c:pt idx="2">
                  <c:v>5</c:v>
                </c:pt>
                <c:pt idx="3">
                  <c:v>7</c:v>
                </c:pt>
                <c:pt idx="4">
                  <c:v>9</c:v>
                </c:pt>
                <c:pt idx="5">
                  <c:v>11</c:v>
                </c:pt>
                <c:pt idx="6">
                  <c:v>13</c:v>
                </c:pt>
                <c:pt idx="7">
                  <c:v>15</c:v>
                </c:pt>
                <c:pt idx="8">
                  <c:v>17</c:v>
                </c:pt>
                <c:pt idx="9">
                  <c:v>19</c:v>
                </c:pt>
                <c:pt idx="10">
                  <c:v>21</c:v>
                </c:pt>
                <c:pt idx="11">
                  <c:v>23</c:v>
                </c:pt>
                <c:pt idx="12">
                  <c:v>25</c:v>
                </c:pt>
                <c:pt idx="13">
                  <c:v>27</c:v>
                </c:pt>
                <c:pt idx="14">
                  <c:v>29</c:v>
                </c:pt>
                <c:pt idx="15">
                  <c:v>31</c:v>
                </c:pt>
                <c:pt idx="16">
                  <c:v>33</c:v>
                </c:pt>
                <c:pt idx="17">
                  <c:v>35</c:v>
                </c:pt>
                <c:pt idx="18">
                  <c:v>37</c:v>
                </c:pt>
                <c:pt idx="19">
                  <c:v>39</c:v>
                </c:pt>
                <c:pt idx="20">
                  <c:v>41</c:v>
                </c:pt>
                <c:pt idx="21">
                  <c:v>43</c:v>
                </c:pt>
                <c:pt idx="22">
                  <c:v>45</c:v>
                </c:pt>
                <c:pt idx="23">
                  <c:v>47</c:v>
                </c:pt>
                <c:pt idx="24">
                  <c:v>49</c:v>
                </c:pt>
                <c:pt idx="25">
                  <c:v>51</c:v>
                </c:pt>
                <c:pt idx="26">
                  <c:v>53</c:v>
                </c:pt>
                <c:pt idx="27">
                  <c:v>55</c:v>
                </c:pt>
                <c:pt idx="28">
                  <c:v>57</c:v>
                </c:pt>
                <c:pt idx="29">
                  <c:v>59</c:v>
                </c:pt>
                <c:pt idx="30">
                  <c:v>61</c:v>
                </c:pt>
                <c:pt idx="31">
                  <c:v>63</c:v>
                </c:pt>
                <c:pt idx="32">
                  <c:v>65</c:v>
                </c:pt>
                <c:pt idx="33">
                  <c:v>67</c:v>
                </c:pt>
                <c:pt idx="34">
                  <c:v>69</c:v>
                </c:pt>
                <c:pt idx="35">
                  <c:v>71</c:v>
                </c:pt>
                <c:pt idx="36">
                  <c:v>73</c:v>
                </c:pt>
                <c:pt idx="37">
                  <c:v>75</c:v>
                </c:pt>
                <c:pt idx="38">
                  <c:v>77</c:v>
                </c:pt>
                <c:pt idx="39">
                  <c:v>79</c:v>
                </c:pt>
                <c:pt idx="40">
                  <c:v>81</c:v>
                </c:pt>
                <c:pt idx="41">
                  <c:v>83</c:v>
                </c:pt>
                <c:pt idx="42">
                  <c:v>85</c:v>
                </c:pt>
                <c:pt idx="43">
                  <c:v>87</c:v>
                </c:pt>
                <c:pt idx="44">
                  <c:v>89</c:v>
                </c:pt>
                <c:pt idx="45">
                  <c:v>91</c:v>
                </c:pt>
                <c:pt idx="46">
                  <c:v>93</c:v>
                </c:pt>
                <c:pt idx="47">
                  <c:v>95</c:v>
                </c:pt>
                <c:pt idx="48">
                  <c:v>97</c:v>
                </c:pt>
                <c:pt idx="49">
                  <c:v>99</c:v>
                </c:pt>
                <c:pt idx="50">
                  <c:v>101</c:v>
                </c:pt>
                <c:pt idx="51">
                  <c:v>103</c:v>
                </c:pt>
                <c:pt idx="52">
                  <c:v>105</c:v>
                </c:pt>
                <c:pt idx="53">
                  <c:v>107</c:v>
                </c:pt>
                <c:pt idx="54">
                  <c:v>109</c:v>
                </c:pt>
                <c:pt idx="55">
                  <c:v>111</c:v>
                </c:pt>
                <c:pt idx="56">
                  <c:v>113</c:v>
                </c:pt>
                <c:pt idx="57">
                  <c:v>115</c:v>
                </c:pt>
                <c:pt idx="58">
                  <c:v>117</c:v>
                </c:pt>
                <c:pt idx="59">
                  <c:v>119</c:v>
                </c:pt>
                <c:pt idx="60">
                  <c:v>121</c:v>
                </c:pt>
                <c:pt idx="61">
                  <c:v>123</c:v>
                </c:pt>
                <c:pt idx="62">
                  <c:v>125</c:v>
                </c:pt>
                <c:pt idx="63">
                  <c:v>127</c:v>
                </c:pt>
                <c:pt idx="64">
                  <c:v>129</c:v>
                </c:pt>
                <c:pt idx="65">
                  <c:v>131</c:v>
                </c:pt>
                <c:pt idx="66">
                  <c:v>133</c:v>
                </c:pt>
                <c:pt idx="67">
                  <c:v>135</c:v>
                </c:pt>
                <c:pt idx="68">
                  <c:v>137</c:v>
                </c:pt>
                <c:pt idx="69">
                  <c:v>139</c:v>
                </c:pt>
                <c:pt idx="70">
                  <c:v>141</c:v>
                </c:pt>
                <c:pt idx="71">
                  <c:v>143</c:v>
                </c:pt>
                <c:pt idx="72">
                  <c:v>145</c:v>
                </c:pt>
                <c:pt idx="73">
                  <c:v>147</c:v>
                </c:pt>
                <c:pt idx="74">
                  <c:v>149</c:v>
                </c:pt>
                <c:pt idx="75">
                  <c:v>151</c:v>
                </c:pt>
                <c:pt idx="76">
                  <c:v>153</c:v>
                </c:pt>
                <c:pt idx="77">
                  <c:v>155</c:v>
                </c:pt>
                <c:pt idx="78">
                  <c:v>157</c:v>
                </c:pt>
                <c:pt idx="79">
                  <c:v>159</c:v>
                </c:pt>
                <c:pt idx="80">
                  <c:v>161</c:v>
                </c:pt>
                <c:pt idx="81">
                  <c:v>163</c:v>
                </c:pt>
                <c:pt idx="82">
                  <c:v>165</c:v>
                </c:pt>
                <c:pt idx="83">
                  <c:v>167</c:v>
                </c:pt>
                <c:pt idx="84">
                  <c:v>169</c:v>
                </c:pt>
                <c:pt idx="85">
                  <c:v>171</c:v>
                </c:pt>
                <c:pt idx="86">
                  <c:v>173</c:v>
                </c:pt>
                <c:pt idx="87">
                  <c:v>175</c:v>
                </c:pt>
                <c:pt idx="88">
                  <c:v>177</c:v>
                </c:pt>
                <c:pt idx="89">
                  <c:v>179</c:v>
                </c:pt>
                <c:pt idx="90">
                  <c:v>181</c:v>
                </c:pt>
                <c:pt idx="91">
                  <c:v>183</c:v>
                </c:pt>
                <c:pt idx="92">
                  <c:v>185</c:v>
                </c:pt>
                <c:pt idx="93">
                  <c:v>187</c:v>
                </c:pt>
                <c:pt idx="94">
                  <c:v>189</c:v>
                </c:pt>
                <c:pt idx="95">
                  <c:v>191</c:v>
                </c:pt>
                <c:pt idx="96">
                  <c:v>193</c:v>
                </c:pt>
                <c:pt idx="97">
                  <c:v>195</c:v>
                </c:pt>
                <c:pt idx="98">
                  <c:v>197</c:v>
                </c:pt>
                <c:pt idx="99">
                  <c:v>199</c:v>
                </c:pt>
                <c:pt idx="100">
                  <c:v>201</c:v>
                </c:pt>
                <c:pt idx="101">
                  <c:v>203</c:v>
                </c:pt>
                <c:pt idx="102">
                  <c:v>205</c:v>
                </c:pt>
                <c:pt idx="103">
                  <c:v>207</c:v>
                </c:pt>
                <c:pt idx="104">
                  <c:v>209</c:v>
                </c:pt>
                <c:pt idx="105">
                  <c:v>211</c:v>
                </c:pt>
                <c:pt idx="106">
                  <c:v>213</c:v>
                </c:pt>
                <c:pt idx="107">
                  <c:v>215</c:v>
                </c:pt>
                <c:pt idx="108">
                  <c:v>217</c:v>
                </c:pt>
                <c:pt idx="109">
                  <c:v>219</c:v>
                </c:pt>
                <c:pt idx="110">
                  <c:v>221</c:v>
                </c:pt>
                <c:pt idx="111">
                  <c:v>223</c:v>
                </c:pt>
                <c:pt idx="112">
                  <c:v>225</c:v>
                </c:pt>
                <c:pt idx="113">
                  <c:v>227</c:v>
                </c:pt>
                <c:pt idx="114">
                  <c:v>229</c:v>
                </c:pt>
                <c:pt idx="115">
                  <c:v>231</c:v>
                </c:pt>
                <c:pt idx="116">
                  <c:v>233</c:v>
                </c:pt>
                <c:pt idx="117">
                  <c:v>235</c:v>
                </c:pt>
                <c:pt idx="118">
                  <c:v>237</c:v>
                </c:pt>
                <c:pt idx="119">
                  <c:v>239</c:v>
                </c:pt>
                <c:pt idx="120">
                  <c:v>241</c:v>
                </c:pt>
                <c:pt idx="121">
                  <c:v>243</c:v>
                </c:pt>
                <c:pt idx="122">
                  <c:v>245</c:v>
                </c:pt>
                <c:pt idx="123">
                  <c:v>247</c:v>
                </c:pt>
                <c:pt idx="124">
                  <c:v>249</c:v>
                </c:pt>
                <c:pt idx="125">
                  <c:v>251</c:v>
                </c:pt>
                <c:pt idx="126">
                  <c:v>253</c:v>
                </c:pt>
                <c:pt idx="127">
                  <c:v>255</c:v>
                </c:pt>
                <c:pt idx="128">
                  <c:v>257</c:v>
                </c:pt>
                <c:pt idx="129">
                  <c:v>259</c:v>
                </c:pt>
                <c:pt idx="130">
                  <c:v>261</c:v>
                </c:pt>
                <c:pt idx="131">
                  <c:v>263</c:v>
                </c:pt>
                <c:pt idx="132">
                  <c:v>265</c:v>
                </c:pt>
                <c:pt idx="133">
                  <c:v>267</c:v>
                </c:pt>
                <c:pt idx="134">
                  <c:v>269</c:v>
                </c:pt>
                <c:pt idx="135">
                  <c:v>271</c:v>
                </c:pt>
                <c:pt idx="136">
                  <c:v>273</c:v>
                </c:pt>
                <c:pt idx="137">
                  <c:v>275</c:v>
                </c:pt>
                <c:pt idx="138">
                  <c:v>277</c:v>
                </c:pt>
                <c:pt idx="139">
                  <c:v>279</c:v>
                </c:pt>
                <c:pt idx="140">
                  <c:v>281</c:v>
                </c:pt>
                <c:pt idx="141">
                  <c:v>283</c:v>
                </c:pt>
                <c:pt idx="142">
                  <c:v>285</c:v>
                </c:pt>
                <c:pt idx="143">
                  <c:v>287</c:v>
                </c:pt>
                <c:pt idx="144">
                  <c:v>289</c:v>
                </c:pt>
                <c:pt idx="145">
                  <c:v>291</c:v>
                </c:pt>
                <c:pt idx="146">
                  <c:v>293</c:v>
                </c:pt>
                <c:pt idx="147">
                  <c:v>295</c:v>
                </c:pt>
                <c:pt idx="148">
                  <c:v>297</c:v>
                </c:pt>
                <c:pt idx="149">
                  <c:v>299</c:v>
                </c:pt>
                <c:pt idx="150">
                  <c:v>301</c:v>
                </c:pt>
                <c:pt idx="151">
                  <c:v>303</c:v>
                </c:pt>
                <c:pt idx="152">
                  <c:v>305</c:v>
                </c:pt>
                <c:pt idx="153">
                  <c:v>307</c:v>
                </c:pt>
                <c:pt idx="154">
                  <c:v>309</c:v>
                </c:pt>
                <c:pt idx="155">
                  <c:v>311</c:v>
                </c:pt>
                <c:pt idx="156">
                  <c:v>313</c:v>
                </c:pt>
                <c:pt idx="157">
                  <c:v>315</c:v>
                </c:pt>
                <c:pt idx="158">
                  <c:v>317</c:v>
                </c:pt>
                <c:pt idx="159">
                  <c:v>319</c:v>
                </c:pt>
                <c:pt idx="160">
                  <c:v>321</c:v>
                </c:pt>
                <c:pt idx="161">
                  <c:v>323</c:v>
                </c:pt>
                <c:pt idx="162">
                  <c:v>325</c:v>
                </c:pt>
                <c:pt idx="163">
                  <c:v>327</c:v>
                </c:pt>
                <c:pt idx="164">
                  <c:v>329</c:v>
                </c:pt>
                <c:pt idx="165">
                  <c:v>331</c:v>
                </c:pt>
                <c:pt idx="166">
                  <c:v>333</c:v>
                </c:pt>
                <c:pt idx="167">
                  <c:v>335</c:v>
                </c:pt>
                <c:pt idx="168">
                  <c:v>337</c:v>
                </c:pt>
                <c:pt idx="169">
                  <c:v>339</c:v>
                </c:pt>
                <c:pt idx="170">
                  <c:v>341</c:v>
                </c:pt>
                <c:pt idx="171">
                  <c:v>343</c:v>
                </c:pt>
                <c:pt idx="172">
                  <c:v>345</c:v>
                </c:pt>
                <c:pt idx="173">
                  <c:v>347</c:v>
                </c:pt>
                <c:pt idx="174">
                  <c:v>349</c:v>
                </c:pt>
                <c:pt idx="175">
                  <c:v>351</c:v>
                </c:pt>
                <c:pt idx="176">
                  <c:v>353</c:v>
                </c:pt>
                <c:pt idx="177">
                  <c:v>355</c:v>
                </c:pt>
                <c:pt idx="178">
                  <c:v>357</c:v>
                </c:pt>
                <c:pt idx="179">
                  <c:v>359</c:v>
                </c:pt>
                <c:pt idx="180">
                  <c:v>361</c:v>
                </c:pt>
                <c:pt idx="181">
                  <c:v>363</c:v>
                </c:pt>
                <c:pt idx="182">
                  <c:v>365</c:v>
                </c:pt>
                <c:pt idx="183">
                  <c:v>367</c:v>
                </c:pt>
                <c:pt idx="184">
                  <c:v>369</c:v>
                </c:pt>
                <c:pt idx="185">
                  <c:v>371</c:v>
                </c:pt>
                <c:pt idx="186">
                  <c:v>373</c:v>
                </c:pt>
                <c:pt idx="187">
                  <c:v>375</c:v>
                </c:pt>
                <c:pt idx="188">
                  <c:v>377</c:v>
                </c:pt>
                <c:pt idx="189">
                  <c:v>379</c:v>
                </c:pt>
                <c:pt idx="190">
                  <c:v>381</c:v>
                </c:pt>
                <c:pt idx="191">
                  <c:v>383</c:v>
                </c:pt>
                <c:pt idx="192">
                  <c:v>385</c:v>
                </c:pt>
                <c:pt idx="193">
                  <c:v>387</c:v>
                </c:pt>
                <c:pt idx="194">
                  <c:v>389</c:v>
                </c:pt>
                <c:pt idx="195">
                  <c:v>391</c:v>
                </c:pt>
                <c:pt idx="196">
                  <c:v>393</c:v>
                </c:pt>
                <c:pt idx="197">
                  <c:v>395</c:v>
                </c:pt>
                <c:pt idx="198">
                  <c:v>397</c:v>
                </c:pt>
                <c:pt idx="199">
                  <c:v>399</c:v>
                </c:pt>
                <c:pt idx="200">
                  <c:v>401</c:v>
                </c:pt>
                <c:pt idx="201">
                  <c:v>403</c:v>
                </c:pt>
                <c:pt idx="202">
                  <c:v>405</c:v>
                </c:pt>
                <c:pt idx="203">
                  <c:v>407</c:v>
                </c:pt>
                <c:pt idx="204">
                  <c:v>409</c:v>
                </c:pt>
                <c:pt idx="205">
                  <c:v>411</c:v>
                </c:pt>
                <c:pt idx="206">
                  <c:v>413</c:v>
                </c:pt>
                <c:pt idx="207">
                  <c:v>415</c:v>
                </c:pt>
                <c:pt idx="208">
                  <c:v>417</c:v>
                </c:pt>
                <c:pt idx="209">
                  <c:v>419</c:v>
                </c:pt>
                <c:pt idx="210">
                  <c:v>421</c:v>
                </c:pt>
                <c:pt idx="211">
                  <c:v>423</c:v>
                </c:pt>
                <c:pt idx="212">
                  <c:v>425</c:v>
                </c:pt>
                <c:pt idx="213">
                  <c:v>427</c:v>
                </c:pt>
                <c:pt idx="214">
                  <c:v>429</c:v>
                </c:pt>
                <c:pt idx="215">
                  <c:v>431</c:v>
                </c:pt>
                <c:pt idx="216">
                  <c:v>433</c:v>
                </c:pt>
                <c:pt idx="217">
                  <c:v>435</c:v>
                </c:pt>
                <c:pt idx="218">
                  <c:v>437</c:v>
                </c:pt>
                <c:pt idx="219">
                  <c:v>439</c:v>
                </c:pt>
                <c:pt idx="220">
                  <c:v>441</c:v>
                </c:pt>
                <c:pt idx="221">
                  <c:v>443</c:v>
                </c:pt>
                <c:pt idx="222">
                  <c:v>445</c:v>
                </c:pt>
                <c:pt idx="223">
                  <c:v>447</c:v>
                </c:pt>
                <c:pt idx="224">
                  <c:v>449</c:v>
                </c:pt>
                <c:pt idx="225">
                  <c:v>451</c:v>
                </c:pt>
                <c:pt idx="226">
                  <c:v>453</c:v>
                </c:pt>
                <c:pt idx="227">
                  <c:v>455</c:v>
                </c:pt>
                <c:pt idx="228">
                  <c:v>457</c:v>
                </c:pt>
                <c:pt idx="229">
                  <c:v>459</c:v>
                </c:pt>
                <c:pt idx="230">
                  <c:v>461</c:v>
                </c:pt>
                <c:pt idx="231">
                  <c:v>463</c:v>
                </c:pt>
                <c:pt idx="232">
                  <c:v>465</c:v>
                </c:pt>
                <c:pt idx="233">
                  <c:v>467</c:v>
                </c:pt>
                <c:pt idx="234">
                  <c:v>469</c:v>
                </c:pt>
                <c:pt idx="235">
                  <c:v>471</c:v>
                </c:pt>
                <c:pt idx="236">
                  <c:v>473</c:v>
                </c:pt>
                <c:pt idx="237">
                  <c:v>475</c:v>
                </c:pt>
                <c:pt idx="238">
                  <c:v>477</c:v>
                </c:pt>
                <c:pt idx="239">
                  <c:v>479</c:v>
                </c:pt>
                <c:pt idx="240">
                  <c:v>481</c:v>
                </c:pt>
                <c:pt idx="241">
                  <c:v>483</c:v>
                </c:pt>
                <c:pt idx="242">
                  <c:v>485</c:v>
                </c:pt>
                <c:pt idx="243">
                  <c:v>487</c:v>
                </c:pt>
                <c:pt idx="244">
                  <c:v>489</c:v>
                </c:pt>
                <c:pt idx="245">
                  <c:v>491</c:v>
                </c:pt>
                <c:pt idx="246">
                  <c:v>493</c:v>
                </c:pt>
                <c:pt idx="247">
                  <c:v>495</c:v>
                </c:pt>
                <c:pt idx="248">
                  <c:v>497</c:v>
                </c:pt>
                <c:pt idx="249">
                  <c:v>499</c:v>
                </c:pt>
                <c:pt idx="250">
                  <c:v>501</c:v>
                </c:pt>
                <c:pt idx="251">
                  <c:v>503</c:v>
                </c:pt>
                <c:pt idx="252">
                  <c:v>505</c:v>
                </c:pt>
                <c:pt idx="253">
                  <c:v>507</c:v>
                </c:pt>
                <c:pt idx="254">
                  <c:v>509</c:v>
                </c:pt>
                <c:pt idx="255">
                  <c:v>511</c:v>
                </c:pt>
                <c:pt idx="256">
                  <c:v>513</c:v>
                </c:pt>
                <c:pt idx="257">
                  <c:v>515</c:v>
                </c:pt>
                <c:pt idx="258">
                  <c:v>517</c:v>
                </c:pt>
                <c:pt idx="259">
                  <c:v>519</c:v>
                </c:pt>
                <c:pt idx="260">
                  <c:v>521</c:v>
                </c:pt>
                <c:pt idx="261">
                  <c:v>523</c:v>
                </c:pt>
                <c:pt idx="262">
                  <c:v>525</c:v>
                </c:pt>
                <c:pt idx="263">
                  <c:v>527</c:v>
                </c:pt>
                <c:pt idx="264">
                  <c:v>529</c:v>
                </c:pt>
                <c:pt idx="265">
                  <c:v>531</c:v>
                </c:pt>
                <c:pt idx="266">
                  <c:v>533</c:v>
                </c:pt>
                <c:pt idx="267">
                  <c:v>535</c:v>
                </c:pt>
                <c:pt idx="268">
                  <c:v>537</c:v>
                </c:pt>
                <c:pt idx="269">
                  <c:v>539</c:v>
                </c:pt>
                <c:pt idx="270">
                  <c:v>541</c:v>
                </c:pt>
                <c:pt idx="271">
                  <c:v>543</c:v>
                </c:pt>
                <c:pt idx="272">
                  <c:v>545</c:v>
                </c:pt>
                <c:pt idx="273">
                  <c:v>547</c:v>
                </c:pt>
                <c:pt idx="274">
                  <c:v>549</c:v>
                </c:pt>
                <c:pt idx="275">
                  <c:v>551</c:v>
                </c:pt>
                <c:pt idx="276">
                  <c:v>553</c:v>
                </c:pt>
                <c:pt idx="277">
                  <c:v>555</c:v>
                </c:pt>
                <c:pt idx="278">
                  <c:v>557</c:v>
                </c:pt>
                <c:pt idx="279">
                  <c:v>559</c:v>
                </c:pt>
                <c:pt idx="280">
                  <c:v>561</c:v>
                </c:pt>
                <c:pt idx="281">
                  <c:v>563</c:v>
                </c:pt>
                <c:pt idx="282">
                  <c:v>565</c:v>
                </c:pt>
                <c:pt idx="283">
                  <c:v>567</c:v>
                </c:pt>
                <c:pt idx="284">
                  <c:v>569</c:v>
                </c:pt>
                <c:pt idx="285">
                  <c:v>571</c:v>
                </c:pt>
                <c:pt idx="286">
                  <c:v>573</c:v>
                </c:pt>
                <c:pt idx="287">
                  <c:v>575</c:v>
                </c:pt>
                <c:pt idx="288">
                  <c:v>577</c:v>
                </c:pt>
                <c:pt idx="289">
                  <c:v>579</c:v>
                </c:pt>
                <c:pt idx="290">
                  <c:v>581</c:v>
                </c:pt>
                <c:pt idx="291">
                  <c:v>583</c:v>
                </c:pt>
                <c:pt idx="292">
                  <c:v>585</c:v>
                </c:pt>
                <c:pt idx="293">
                  <c:v>587</c:v>
                </c:pt>
                <c:pt idx="294">
                  <c:v>589</c:v>
                </c:pt>
                <c:pt idx="295">
                  <c:v>591</c:v>
                </c:pt>
                <c:pt idx="296">
                  <c:v>593</c:v>
                </c:pt>
                <c:pt idx="297">
                  <c:v>595</c:v>
                </c:pt>
                <c:pt idx="298">
                  <c:v>597</c:v>
                </c:pt>
                <c:pt idx="299">
                  <c:v>599</c:v>
                </c:pt>
                <c:pt idx="300">
                  <c:v>601</c:v>
                </c:pt>
                <c:pt idx="301">
                  <c:v>603</c:v>
                </c:pt>
                <c:pt idx="302">
                  <c:v>605</c:v>
                </c:pt>
                <c:pt idx="303">
                  <c:v>607</c:v>
                </c:pt>
                <c:pt idx="304">
                  <c:v>609</c:v>
                </c:pt>
                <c:pt idx="305">
                  <c:v>611</c:v>
                </c:pt>
                <c:pt idx="306">
                  <c:v>613</c:v>
                </c:pt>
                <c:pt idx="307">
                  <c:v>615</c:v>
                </c:pt>
                <c:pt idx="308">
                  <c:v>617</c:v>
                </c:pt>
                <c:pt idx="309">
                  <c:v>619</c:v>
                </c:pt>
                <c:pt idx="310">
                  <c:v>621</c:v>
                </c:pt>
                <c:pt idx="311">
                  <c:v>623</c:v>
                </c:pt>
                <c:pt idx="312">
                  <c:v>625</c:v>
                </c:pt>
                <c:pt idx="313">
                  <c:v>627</c:v>
                </c:pt>
                <c:pt idx="314">
                  <c:v>629</c:v>
                </c:pt>
                <c:pt idx="315">
                  <c:v>631</c:v>
                </c:pt>
                <c:pt idx="316">
                  <c:v>633</c:v>
                </c:pt>
                <c:pt idx="317">
                  <c:v>635</c:v>
                </c:pt>
                <c:pt idx="318">
                  <c:v>637</c:v>
                </c:pt>
                <c:pt idx="319">
                  <c:v>639</c:v>
                </c:pt>
                <c:pt idx="320">
                  <c:v>641</c:v>
                </c:pt>
                <c:pt idx="321">
                  <c:v>643</c:v>
                </c:pt>
                <c:pt idx="322">
                  <c:v>645</c:v>
                </c:pt>
                <c:pt idx="323">
                  <c:v>647</c:v>
                </c:pt>
                <c:pt idx="324">
                  <c:v>649</c:v>
                </c:pt>
                <c:pt idx="325">
                  <c:v>651</c:v>
                </c:pt>
                <c:pt idx="326">
                  <c:v>653</c:v>
                </c:pt>
                <c:pt idx="327">
                  <c:v>655</c:v>
                </c:pt>
                <c:pt idx="328">
                  <c:v>657</c:v>
                </c:pt>
                <c:pt idx="329">
                  <c:v>659</c:v>
                </c:pt>
                <c:pt idx="330">
                  <c:v>661</c:v>
                </c:pt>
                <c:pt idx="331">
                  <c:v>663</c:v>
                </c:pt>
                <c:pt idx="332">
                  <c:v>665</c:v>
                </c:pt>
                <c:pt idx="333">
                  <c:v>667</c:v>
                </c:pt>
                <c:pt idx="334">
                  <c:v>669</c:v>
                </c:pt>
                <c:pt idx="335">
                  <c:v>671</c:v>
                </c:pt>
                <c:pt idx="336">
                  <c:v>673</c:v>
                </c:pt>
                <c:pt idx="337">
                  <c:v>675</c:v>
                </c:pt>
                <c:pt idx="338">
                  <c:v>677</c:v>
                </c:pt>
                <c:pt idx="339">
                  <c:v>679</c:v>
                </c:pt>
                <c:pt idx="340">
                  <c:v>681</c:v>
                </c:pt>
                <c:pt idx="341">
                  <c:v>683</c:v>
                </c:pt>
                <c:pt idx="342">
                  <c:v>685</c:v>
                </c:pt>
                <c:pt idx="343">
                  <c:v>687</c:v>
                </c:pt>
                <c:pt idx="344">
                  <c:v>689</c:v>
                </c:pt>
                <c:pt idx="345">
                  <c:v>691</c:v>
                </c:pt>
                <c:pt idx="346">
                  <c:v>693</c:v>
                </c:pt>
                <c:pt idx="347">
                  <c:v>695</c:v>
                </c:pt>
                <c:pt idx="348">
                  <c:v>697</c:v>
                </c:pt>
                <c:pt idx="349">
                  <c:v>699</c:v>
                </c:pt>
                <c:pt idx="350">
                  <c:v>701</c:v>
                </c:pt>
                <c:pt idx="351">
                  <c:v>703</c:v>
                </c:pt>
                <c:pt idx="352">
                  <c:v>705</c:v>
                </c:pt>
                <c:pt idx="353">
                  <c:v>707</c:v>
                </c:pt>
                <c:pt idx="354">
                  <c:v>709</c:v>
                </c:pt>
                <c:pt idx="355">
                  <c:v>711</c:v>
                </c:pt>
                <c:pt idx="356">
                  <c:v>713</c:v>
                </c:pt>
                <c:pt idx="357">
                  <c:v>715</c:v>
                </c:pt>
                <c:pt idx="358">
                  <c:v>717</c:v>
                </c:pt>
                <c:pt idx="359">
                  <c:v>719</c:v>
                </c:pt>
                <c:pt idx="360">
                  <c:v>721</c:v>
                </c:pt>
                <c:pt idx="361">
                  <c:v>723</c:v>
                </c:pt>
                <c:pt idx="362">
                  <c:v>725</c:v>
                </c:pt>
                <c:pt idx="363">
                  <c:v>727</c:v>
                </c:pt>
                <c:pt idx="364">
                  <c:v>729</c:v>
                </c:pt>
                <c:pt idx="365">
                  <c:v>731</c:v>
                </c:pt>
                <c:pt idx="366">
                  <c:v>733</c:v>
                </c:pt>
                <c:pt idx="367">
                  <c:v>735</c:v>
                </c:pt>
                <c:pt idx="368">
                  <c:v>737</c:v>
                </c:pt>
                <c:pt idx="369">
                  <c:v>739</c:v>
                </c:pt>
                <c:pt idx="370">
                  <c:v>741</c:v>
                </c:pt>
                <c:pt idx="371">
                  <c:v>743</c:v>
                </c:pt>
                <c:pt idx="372">
                  <c:v>745</c:v>
                </c:pt>
                <c:pt idx="373">
                  <c:v>747</c:v>
                </c:pt>
                <c:pt idx="374">
                  <c:v>749</c:v>
                </c:pt>
                <c:pt idx="375">
                  <c:v>751</c:v>
                </c:pt>
                <c:pt idx="376">
                  <c:v>753</c:v>
                </c:pt>
                <c:pt idx="377">
                  <c:v>755</c:v>
                </c:pt>
                <c:pt idx="378">
                  <c:v>757</c:v>
                </c:pt>
                <c:pt idx="379">
                  <c:v>759</c:v>
                </c:pt>
                <c:pt idx="380">
                  <c:v>761</c:v>
                </c:pt>
                <c:pt idx="381">
                  <c:v>763</c:v>
                </c:pt>
                <c:pt idx="382">
                  <c:v>765</c:v>
                </c:pt>
                <c:pt idx="383">
                  <c:v>767</c:v>
                </c:pt>
                <c:pt idx="384">
                  <c:v>769</c:v>
                </c:pt>
                <c:pt idx="385">
                  <c:v>771</c:v>
                </c:pt>
                <c:pt idx="386">
                  <c:v>773</c:v>
                </c:pt>
                <c:pt idx="387">
                  <c:v>775</c:v>
                </c:pt>
                <c:pt idx="388">
                  <c:v>777</c:v>
                </c:pt>
                <c:pt idx="389">
                  <c:v>779</c:v>
                </c:pt>
                <c:pt idx="390">
                  <c:v>781</c:v>
                </c:pt>
                <c:pt idx="391">
                  <c:v>783</c:v>
                </c:pt>
                <c:pt idx="392">
                  <c:v>785</c:v>
                </c:pt>
                <c:pt idx="393">
                  <c:v>787</c:v>
                </c:pt>
                <c:pt idx="394">
                  <c:v>789</c:v>
                </c:pt>
                <c:pt idx="395">
                  <c:v>791</c:v>
                </c:pt>
                <c:pt idx="396">
                  <c:v>793</c:v>
                </c:pt>
                <c:pt idx="397">
                  <c:v>795</c:v>
                </c:pt>
                <c:pt idx="398">
                  <c:v>797</c:v>
                </c:pt>
                <c:pt idx="399">
                  <c:v>799</c:v>
                </c:pt>
                <c:pt idx="400">
                  <c:v>801</c:v>
                </c:pt>
                <c:pt idx="401">
                  <c:v>803</c:v>
                </c:pt>
                <c:pt idx="402">
                  <c:v>805</c:v>
                </c:pt>
                <c:pt idx="403">
                  <c:v>807</c:v>
                </c:pt>
                <c:pt idx="404">
                  <c:v>809</c:v>
                </c:pt>
                <c:pt idx="405">
                  <c:v>811</c:v>
                </c:pt>
                <c:pt idx="406">
                  <c:v>813</c:v>
                </c:pt>
                <c:pt idx="407">
                  <c:v>815</c:v>
                </c:pt>
                <c:pt idx="408">
                  <c:v>817</c:v>
                </c:pt>
                <c:pt idx="409">
                  <c:v>819</c:v>
                </c:pt>
                <c:pt idx="410">
                  <c:v>821</c:v>
                </c:pt>
                <c:pt idx="411">
                  <c:v>823</c:v>
                </c:pt>
                <c:pt idx="412">
                  <c:v>825</c:v>
                </c:pt>
                <c:pt idx="413">
                  <c:v>827</c:v>
                </c:pt>
                <c:pt idx="414">
                  <c:v>829</c:v>
                </c:pt>
                <c:pt idx="415">
                  <c:v>831</c:v>
                </c:pt>
                <c:pt idx="416">
                  <c:v>833</c:v>
                </c:pt>
                <c:pt idx="417">
                  <c:v>835</c:v>
                </c:pt>
                <c:pt idx="418">
                  <c:v>837</c:v>
                </c:pt>
                <c:pt idx="419">
                  <c:v>839</c:v>
                </c:pt>
                <c:pt idx="420">
                  <c:v>841</c:v>
                </c:pt>
                <c:pt idx="421">
                  <c:v>843</c:v>
                </c:pt>
                <c:pt idx="422">
                  <c:v>845</c:v>
                </c:pt>
                <c:pt idx="423">
                  <c:v>847</c:v>
                </c:pt>
                <c:pt idx="424">
                  <c:v>849</c:v>
                </c:pt>
                <c:pt idx="425">
                  <c:v>851</c:v>
                </c:pt>
                <c:pt idx="426">
                  <c:v>853</c:v>
                </c:pt>
                <c:pt idx="427">
                  <c:v>855</c:v>
                </c:pt>
                <c:pt idx="428">
                  <c:v>857</c:v>
                </c:pt>
                <c:pt idx="429">
                  <c:v>859</c:v>
                </c:pt>
                <c:pt idx="430">
                  <c:v>861</c:v>
                </c:pt>
                <c:pt idx="431">
                  <c:v>863</c:v>
                </c:pt>
                <c:pt idx="432">
                  <c:v>865</c:v>
                </c:pt>
                <c:pt idx="433">
                  <c:v>867</c:v>
                </c:pt>
                <c:pt idx="434">
                  <c:v>869</c:v>
                </c:pt>
                <c:pt idx="435">
                  <c:v>871</c:v>
                </c:pt>
                <c:pt idx="436">
                  <c:v>873</c:v>
                </c:pt>
                <c:pt idx="437">
                  <c:v>875</c:v>
                </c:pt>
                <c:pt idx="438">
                  <c:v>877</c:v>
                </c:pt>
                <c:pt idx="439">
                  <c:v>879</c:v>
                </c:pt>
                <c:pt idx="440">
                  <c:v>881</c:v>
                </c:pt>
                <c:pt idx="441">
                  <c:v>883</c:v>
                </c:pt>
                <c:pt idx="442">
                  <c:v>885</c:v>
                </c:pt>
                <c:pt idx="443">
                  <c:v>887</c:v>
                </c:pt>
                <c:pt idx="444">
                  <c:v>889</c:v>
                </c:pt>
                <c:pt idx="445">
                  <c:v>891</c:v>
                </c:pt>
                <c:pt idx="446">
                  <c:v>893</c:v>
                </c:pt>
                <c:pt idx="447">
                  <c:v>895</c:v>
                </c:pt>
                <c:pt idx="448">
                  <c:v>897</c:v>
                </c:pt>
                <c:pt idx="449">
                  <c:v>899</c:v>
                </c:pt>
                <c:pt idx="450">
                  <c:v>901</c:v>
                </c:pt>
                <c:pt idx="451">
                  <c:v>903</c:v>
                </c:pt>
                <c:pt idx="452">
                  <c:v>905</c:v>
                </c:pt>
                <c:pt idx="453">
                  <c:v>907</c:v>
                </c:pt>
                <c:pt idx="454">
                  <c:v>909</c:v>
                </c:pt>
                <c:pt idx="455">
                  <c:v>911</c:v>
                </c:pt>
                <c:pt idx="456">
                  <c:v>913</c:v>
                </c:pt>
                <c:pt idx="457">
                  <c:v>915</c:v>
                </c:pt>
                <c:pt idx="458">
                  <c:v>917</c:v>
                </c:pt>
                <c:pt idx="459">
                  <c:v>919</c:v>
                </c:pt>
                <c:pt idx="460">
                  <c:v>921</c:v>
                </c:pt>
                <c:pt idx="461">
                  <c:v>923</c:v>
                </c:pt>
                <c:pt idx="462">
                  <c:v>925</c:v>
                </c:pt>
                <c:pt idx="463">
                  <c:v>927</c:v>
                </c:pt>
                <c:pt idx="464">
                  <c:v>929</c:v>
                </c:pt>
                <c:pt idx="465">
                  <c:v>931</c:v>
                </c:pt>
                <c:pt idx="466">
                  <c:v>933</c:v>
                </c:pt>
                <c:pt idx="467">
                  <c:v>935</c:v>
                </c:pt>
                <c:pt idx="468">
                  <c:v>937</c:v>
                </c:pt>
                <c:pt idx="469">
                  <c:v>939</c:v>
                </c:pt>
                <c:pt idx="470">
                  <c:v>941</c:v>
                </c:pt>
                <c:pt idx="471">
                  <c:v>943</c:v>
                </c:pt>
                <c:pt idx="472">
                  <c:v>945</c:v>
                </c:pt>
                <c:pt idx="473">
                  <c:v>947</c:v>
                </c:pt>
                <c:pt idx="474">
                  <c:v>949</c:v>
                </c:pt>
                <c:pt idx="475">
                  <c:v>951</c:v>
                </c:pt>
                <c:pt idx="476">
                  <c:v>953</c:v>
                </c:pt>
                <c:pt idx="477">
                  <c:v>955</c:v>
                </c:pt>
                <c:pt idx="478">
                  <c:v>957</c:v>
                </c:pt>
                <c:pt idx="479">
                  <c:v>959</c:v>
                </c:pt>
                <c:pt idx="480">
                  <c:v>961</c:v>
                </c:pt>
                <c:pt idx="481">
                  <c:v>963</c:v>
                </c:pt>
                <c:pt idx="482">
                  <c:v>965</c:v>
                </c:pt>
                <c:pt idx="483">
                  <c:v>967</c:v>
                </c:pt>
                <c:pt idx="484">
                  <c:v>969</c:v>
                </c:pt>
                <c:pt idx="485">
                  <c:v>971</c:v>
                </c:pt>
                <c:pt idx="486">
                  <c:v>973</c:v>
                </c:pt>
                <c:pt idx="487">
                  <c:v>975</c:v>
                </c:pt>
                <c:pt idx="488">
                  <c:v>977</c:v>
                </c:pt>
                <c:pt idx="489">
                  <c:v>979</c:v>
                </c:pt>
                <c:pt idx="490">
                  <c:v>981</c:v>
                </c:pt>
                <c:pt idx="491">
                  <c:v>983</c:v>
                </c:pt>
                <c:pt idx="492">
                  <c:v>985</c:v>
                </c:pt>
                <c:pt idx="493">
                  <c:v>987</c:v>
                </c:pt>
                <c:pt idx="494">
                  <c:v>989</c:v>
                </c:pt>
                <c:pt idx="495">
                  <c:v>991</c:v>
                </c:pt>
                <c:pt idx="496">
                  <c:v>993</c:v>
                </c:pt>
                <c:pt idx="497">
                  <c:v>995</c:v>
                </c:pt>
                <c:pt idx="498">
                  <c:v>997</c:v>
                </c:pt>
                <c:pt idx="499">
                  <c:v>999</c:v>
                </c:pt>
                <c:pt idx="500">
                  <c:v>1001</c:v>
                </c:pt>
                <c:pt idx="501">
                  <c:v>1003</c:v>
                </c:pt>
                <c:pt idx="502">
                  <c:v>1005</c:v>
                </c:pt>
                <c:pt idx="503">
                  <c:v>1007</c:v>
                </c:pt>
                <c:pt idx="504">
                  <c:v>1009</c:v>
                </c:pt>
                <c:pt idx="505">
                  <c:v>1011</c:v>
                </c:pt>
                <c:pt idx="506">
                  <c:v>1013</c:v>
                </c:pt>
                <c:pt idx="507">
                  <c:v>1015</c:v>
                </c:pt>
                <c:pt idx="508">
                  <c:v>1017</c:v>
                </c:pt>
                <c:pt idx="509">
                  <c:v>1019</c:v>
                </c:pt>
                <c:pt idx="510">
                  <c:v>1021</c:v>
                </c:pt>
                <c:pt idx="511">
                  <c:v>1023</c:v>
                </c:pt>
                <c:pt idx="512">
                  <c:v>1025</c:v>
                </c:pt>
                <c:pt idx="513">
                  <c:v>1027</c:v>
                </c:pt>
                <c:pt idx="514">
                  <c:v>1029</c:v>
                </c:pt>
                <c:pt idx="515">
                  <c:v>1031</c:v>
                </c:pt>
                <c:pt idx="516">
                  <c:v>1033</c:v>
                </c:pt>
                <c:pt idx="517">
                  <c:v>1035</c:v>
                </c:pt>
                <c:pt idx="518">
                  <c:v>1037</c:v>
                </c:pt>
                <c:pt idx="519">
                  <c:v>1039</c:v>
                </c:pt>
                <c:pt idx="520">
                  <c:v>1041</c:v>
                </c:pt>
                <c:pt idx="521">
                  <c:v>1043</c:v>
                </c:pt>
                <c:pt idx="522">
                  <c:v>1045</c:v>
                </c:pt>
                <c:pt idx="523">
                  <c:v>1047</c:v>
                </c:pt>
                <c:pt idx="524">
                  <c:v>1049</c:v>
                </c:pt>
                <c:pt idx="525">
                  <c:v>1051</c:v>
                </c:pt>
                <c:pt idx="526">
                  <c:v>1053</c:v>
                </c:pt>
                <c:pt idx="527">
                  <c:v>1055</c:v>
                </c:pt>
                <c:pt idx="528">
                  <c:v>1057</c:v>
                </c:pt>
                <c:pt idx="529">
                  <c:v>1059</c:v>
                </c:pt>
                <c:pt idx="530">
                  <c:v>1061</c:v>
                </c:pt>
                <c:pt idx="531">
                  <c:v>1063</c:v>
                </c:pt>
                <c:pt idx="532">
                  <c:v>1065</c:v>
                </c:pt>
                <c:pt idx="533">
                  <c:v>1067</c:v>
                </c:pt>
                <c:pt idx="534">
                  <c:v>1069</c:v>
                </c:pt>
                <c:pt idx="535">
                  <c:v>1071</c:v>
                </c:pt>
                <c:pt idx="536">
                  <c:v>1073</c:v>
                </c:pt>
                <c:pt idx="537">
                  <c:v>1075</c:v>
                </c:pt>
                <c:pt idx="538">
                  <c:v>1077</c:v>
                </c:pt>
                <c:pt idx="539">
                  <c:v>1079</c:v>
                </c:pt>
                <c:pt idx="540">
                  <c:v>1081</c:v>
                </c:pt>
                <c:pt idx="541">
                  <c:v>1083</c:v>
                </c:pt>
                <c:pt idx="542">
                  <c:v>1085</c:v>
                </c:pt>
                <c:pt idx="543">
                  <c:v>1087</c:v>
                </c:pt>
                <c:pt idx="544">
                  <c:v>1089</c:v>
                </c:pt>
                <c:pt idx="545">
                  <c:v>1091</c:v>
                </c:pt>
                <c:pt idx="546">
                  <c:v>1093</c:v>
                </c:pt>
                <c:pt idx="547">
                  <c:v>1095</c:v>
                </c:pt>
                <c:pt idx="548">
                  <c:v>1097</c:v>
                </c:pt>
                <c:pt idx="549">
                  <c:v>1099</c:v>
                </c:pt>
                <c:pt idx="550">
                  <c:v>1101</c:v>
                </c:pt>
                <c:pt idx="551">
                  <c:v>1103</c:v>
                </c:pt>
                <c:pt idx="552">
                  <c:v>1105</c:v>
                </c:pt>
                <c:pt idx="553">
                  <c:v>1107</c:v>
                </c:pt>
                <c:pt idx="554">
                  <c:v>1109</c:v>
                </c:pt>
                <c:pt idx="555">
                  <c:v>1111</c:v>
                </c:pt>
                <c:pt idx="556">
                  <c:v>1113</c:v>
                </c:pt>
                <c:pt idx="557">
                  <c:v>1115</c:v>
                </c:pt>
                <c:pt idx="558">
                  <c:v>1117</c:v>
                </c:pt>
                <c:pt idx="559">
                  <c:v>1119</c:v>
                </c:pt>
                <c:pt idx="560">
                  <c:v>1121</c:v>
                </c:pt>
                <c:pt idx="561">
                  <c:v>1123</c:v>
                </c:pt>
                <c:pt idx="562">
                  <c:v>1125</c:v>
                </c:pt>
                <c:pt idx="563">
                  <c:v>1127</c:v>
                </c:pt>
                <c:pt idx="564">
                  <c:v>1129</c:v>
                </c:pt>
                <c:pt idx="565">
                  <c:v>1131</c:v>
                </c:pt>
                <c:pt idx="566">
                  <c:v>1133</c:v>
                </c:pt>
                <c:pt idx="567">
                  <c:v>1135</c:v>
                </c:pt>
                <c:pt idx="568">
                  <c:v>1137</c:v>
                </c:pt>
                <c:pt idx="569">
                  <c:v>1139</c:v>
                </c:pt>
                <c:pt idx="570">
                  <c:v>1141</c:v>
                </c:pt>
                <c:pt idx="571">
                  <c:v>1143</c:v>
                </c:pt>
                <c:pt idx="572">
                  <c:v>1145</c:v>
                </c:pt>
                <c:pt idx="573">
                  <c:v>1147</c:v>
                </c:pt>
                <c:pt idx="574">
                  <c:v>1149</c:v>
                </c:pt>
                <c:pt idx="575">
                  <c:v>1151</c:v>
                </c:pt>
                <c:pt idx="576">
                  <c:v>1153</c:v>
                </c:pt>
                <c:pt idx="577">
                  <c:v>1155</c:v>
                </c:pt>
                <c:pt idx="578">
                  <c:v>1157</c:v>
                </c:pt>
                <c:pt idx="579">
                  <c:v>1159</c:v>
                </c:pt>
                <c:pt idx="580">
                  <c:v>1161</c:v>
                </c:pt>
                <c:pt idx="581">
                  <c:v>1163</c:v>
                </c:pt>
                <c:pt idx="582">
                  <c:v>1165</c:v>
                </c:pt>
                <c:pt idx="583">
                  <c:v>1167</c:v>
                </c:pt>
                <c:pt idx="584">
                  <c:v>1169</c:v>
                </c:pt>
                <c:pt idx="585">
                  <c:v>1171</c:v>
                </c:pt>
                <c:pt idx="586">
                  <c:v>1173</c:v>
                </c:pt>
                <c:pt idx="587">
                  <c:v>1175</c:v>
                </c:pt>
                <c:pt idx="588">
                  <c:v>1177</c:v>
                </c:pt>
                <c:pt idx="589">
                  <c:v>1179</c:v>
                </c:pt>
                <c:pt idx="590">
                  <c:v>1181</c:v>
                </c:pt>
                <c:pt idx="591">
                  <c:v>1183</c:v>
                </c:pt>
                <c:pt idx="592">
                  <c:v>1185</c:v>
                </c:pt>
                <c:pt idx="593">
                  <c:v>1187</c:v>
                </c:pt>
                <c:pt idx="594">
                  <c:v>1189</c:v>
                </c:pt>
                <c:pt idx="595">
                  <c:v>1191</c:v>
                </c:pt>
                <c:pt idx="596">
                  <c:v>1193</c:v>
                </c:pt>
                <c:pt idx="597">
                  <c:v>1195</c:v>
                </c:pt>
                <c:pt idx="598">
                  <c:v>1197</c:v>
                </c:pt>
                <c:pt idx="599">
                  <c:v>1199</c:v>
                </c:pt>
                <c:pt idx="600">
                  <c:v>1201</c:v>
                </c:pt>
                <c:pt idx="601">
                  <c:v>1203</c:v>
                </c:pt>
                <c:pt idx="602">
                  <c:v>1205</c:v>
                </c:pt>
                <c:pt idx="603">
                  <c:v>1207</c:v>
                </c:pt>
                <c:pt idx="604">
                  <c:v>1209</c:v>
                </c:pt>
                <c:pt idx="605">
                  <c:v>1211</c:v>
                </c:pt>
                <c:pt idx="606">
                  <c:v>1213</c:v>
                </c:pt>
                <c:pt idx="607">
                  <c:v>1215</c:v>
                </c:pt>
                <c:pt idx="608">
                  <c:v>1217</c:v>
                </c:pt>
                <c:pt idx="609">
                  <c:v>1219</c:v>
                </c:pt>
                <c:pt idx="610">
                  <c:v>1221</c:v>
                </c:pt>
                <c:pt idx="611">
                  <c:v>1223</c:v>
                </c:pt>
                <c:pt idx="612">
                  <c:v>1225</c:v>
                </c:pt>
                <c:pt idx="613">
                  <c:v>1227</c:v>
                </c:pt>
                <c:pt idx="614">
                  <c:v>1229</c:v>
                </c:pt>
                <c:pt idx="615">
                  <c:v>1231</c:v>
                </c:pt>
                <c:pt idx="616">
                  <c:v>1233</c:v>
                </c:pt>
                <c:pt idx="617">
                  <c:v>1235</c:v>
                </c:pt>
                <c:pt idx="618">
                  <c:v>1237</c:v>
                </c:pt>
                <c:pt idx="619">
                  <c:v>1239</c:v>
                </c:pt>
                <c:pt idx="620">
                  <c:v>1241</c:v>
                </c:pt>
                <c:pt idx="621">
                  <c:v>1243</c:v>
                </c:pt>
                <c:pt idx="622">
                  <c:v>1245</c:v>
                </c:pt>
                <c:pt idx="623">
                  <c:v>1247</c:v>
                </c:pt>
                <c:pt idx="624">
                  <c:v>1249</c:v>
                </c:pt>
                <c:pt idx="625">
                  <c:v>1251</c:v>
                </c:pt>
                <c:pt idx="626">
                  <c:v>1253</c:v>
                </c:pt>
                <c:pt idx="627">
                  <c:v>1255</c:v>
                </c:pt>
                <c:pt idx="628">
                  <c:v>1257</c:v>
                </c:pt>
                <c:pt idx="629">
                  <c:v>1259</c:v>
                </c:pt>
                <c:pt idx="630">
                  <c:v>1261</c:v>
                </c:pt>
                <c:pt idx="631">
                  <c:v>1263</c:v>
                </c:pt>
                <c:pt idx="632">
                  <c:v>1265</c:v>
                </c:pt>
                <c:pt idx="633">
                  <c:v>1267</c:v>
                </c:pt>
                <c:pt idx="634">
                  <c:v>1269</c:v>
                </c:pt>
                <c:pt idx="635">
                  <c:v>1271</c:v>
                </c:pt>
                <c:pt idx="636">
                  <c:v>1273</c:v>
                </c:pt>
                <c:pt idx="637">
                  <c:v>1275</c:v>
                </c:pt>
                <c:pt idx="638">
                  <c:v>1277</c:v>
                </c:pt>
                <c:pt idx="639">
                  <c:v>1279</c:v>
                </c:pt>
                <c:pt idx="640">
                  <c:v>1281</c:v>
                </c:pt>
                <c:pt idx="641">
                  <c:v>1283</c:v>
                </c:pt>
                <c:pt idx="642">
                  <c:v>1285</c:v>
                </c:pt>
                <c:pt idx="643">
                  <c:v>1287</c:v>
                </c:pt>
                <c:pt idx="644">
                  <c:v>1289</c:v>
                </c:pt>
                <c:pt idx="645">
                  <c:v>1291</c:v>
                </c:pt>
                <c:pt idx="646">
                  <c:v>1293</c:v>
                </c:pt>
                <c:pt idx="647">
                  <c:v>1295</c:v>
                </c:pt>
                <c:pt idx="648">
                  <c:v>1297</c:v>
                </c:pt>
                <c:pt idx="649">
                  <c:v>1299</c:v>
                </c:pt>
                <c:pt idx="650">
                  <c:v>1301</c:v>
                </c:pt>
                <c:pt idx="651">
                  <c:v>1303</c:v>
                </c:pt>
                <c:pt idx="652">
                  <c:v>1305</c:v>
                </c:pt>
                <c:pt idx="653">
                  <c:v>1307</c:v>
                </c:pt>
                <c:pt idx="654">
                  <c:v>1309</c:v>
                </c:pt>
                <c:pt idx="655">
                  <c:v>1311</c:v>
                </c:pt>
                <c:pt idx="656">
                  <c:v>1313</c:v>
                </c:pt>
                <c:pt idx="657">
                  <c:v>1315</c:v>
                </c:pt>
                <c:pt idx="658">
                  <c:v>1317</c:v>
                </c:pt>
                <c:pt idx="659">
                  <c:v>1319</c:v>
                </c:pt>
                <c:pt idx="660">
                  <c:v>1321</c:v>
                </c:pt>
                <c:pt idx="661">
                  <c:v>1323</c:v>
                </c:pt>
                <c:pt idx="662">
                  <c:v>1325</c:v>
                </c:pt>
                <c:pt idx="663">
                  <c:v>1327</c:v>
                </c:pt>
                <c:pt idx="664">
                  <c:v>1329</c:v>
                </c:pt>
                <c:pt idx="665">
                  <c:v>1331</c:v>
                </c:pt>
                <c:pt idx="666">
                  <c:v>1333</c:v>
                </c:pt>
                <c:pt idx="667">
                  <c:v>1335</c:v>
                </c:pt>
                <c:pt idx="668">
                  <c:v>1337</c:v>
                </c:pt>
                <c:pt idx="669">
                  <c:v>1339</c:v>
                </c:pt>
                <c:pt idx="670">
                  <c:v>1341</c:v>
                </c:pt>
                <c:pt idx="671">
                  <c:v>1343</c:v>
                </c:pt>
                <c:pt idx="672">
                  <c:v>1345</c:v>
                </c:pt>
                <c:pt idx="673">
                  <c:v>1347</c:v>
                </c:pt>
                <c:pt idx="674">
                  <c:v>1349</c:v>
                </c:pt>
                <c:pt idx="675">
                  <c:v>1351</c:v>
                </c:pt>
                <c:pt idx="676">
                  <c:v>1353</c:v>
                </c:pt>
                <c:pt idx="677">
                  <c:v>1355</c:v>
                </c:pt>
                <c:pt idx="678">
                  <c:v>1357</c:v>
                </c:pt>
              </c:numCache>
            </c:numRef>
          </c:xVal>
          <c:yVal>
            <c:numRef>
              <c:f>Data!$E$2:$E$1001</c:f>
              <c:numCache>
                <c:formatCode>0</c:formatCode>
                <c:ptCount val="1000"/>
                <c:pt idx="0">
                  <c:v>-200</c:v>
                </c:pt>
                <c:pt idx="1">
                  <c:v>-200</c:v>
                </c:pt>
                <c:pt idx="2">
                  <c:v>-200</c:v>
                </c:pt>
                <c:pt idx="3">
                  <c:v>-200</c:v>
                </c:pt>
                <c:pt idx="4">
                  <c:v>-200</c:v>
                </c:pt>
                <c:pt idx="5">
                  <c:v>-200</c:v>
                </c:pt>
                <c:pt idx="6">
                  <c:v>-200</c:v>
                </c:pt>
                <c:pt idx="7">
                  <c:v>-200</c:v>
                </c:pt>
                <c:pt idx="8">
                  <c:v>-200</c:v>
                </c:pt>
                <c:pt idx="9">
                  <c:v>-200</c:v>
                </c:pt>
                <c:pt idx="10">
                  <c:v>-200</c:v>
                </c:pt>
                <c:pt idx="11">
                  <c:v>-200</c:v>
                </c:pt>
                <c:pt idx="12">
                  <c:v>-200</c:v>
                </c:pt>
                <c:pt idx="13">
                  <c:v>-200</c:v>
                </c:pt>
                <c:pt idx="14">
                  <c:v>-200</c:v>
                </c:pt>
                <c:pt idx="15">
                  <c:v>-200</c:v>
                </c:pt>
                <c:pt idx="16">
                  <c:v>-200</c:v>
                </c:pt>
                <c:pt idx="17">
                  <c:v>-200</c:v>
                </c:pt>
                <c:pt idx="18">
                  <c:v>-200</c:v>
                </c:pt>
                <c:pt idx="19">
                  <c:v>-200</c:v>
                </c:pt>
                <c:pt idx="20">
                  <c:v>-200</c:v>
                </c:pt>
                <c:pt idx="21">
                  <c:v>-200</c:v>
                </c:pt>
                <c:pt idx="22">
                  <c:v>-200</c:v>
                </c:pt>
                <c:pt idx="23">
                  <c:v>-200</c:v>
                </c:pt>
                <c:pt idx="24">
                  <c:v>-200</c:v>
                </c:pt>
                <c:pt idx="25">
                  <c:v>-200</c:v>
                </c:pt>
                <c:pt idx="26">
                  <c:v>-200</c:v>
                </c:pt>
                <c:pt idx="27">
                  <c:v>-200</c:v>
                </c:pt>
                <c:pt idx="28">
                  <c:v>-200</c:v>
                </c:pt>
                <c:pt idx="29">
                  <c:v>-200</c:v>
                </c:pt>
                <c:pt idx="30">
                  <c:v>-200</c:v>
                </c:pt>
                <c:pt idx="31">
                  <c:v>-200</c:v>
                </c:pt>
                <c:pt idx="32">
                  <c:v>-200</c:v>
                </c:pt>
                <c:pt idx="33">
                  <c:v>-200</c:v>
                </c:pt>
                <c:pt idx="34">
                  <c:v>-200</c:v>
                </c:pt>
                <c:pt idx="35">
                  <c:v>-200</c:v>
                </c:pt>
                <c:pt idx="36">
                  <c:v>-200</c:v>
                </c:pt>
                <c:pt idx="37">
                  <c:v>-200</c:v>
                </c:pt>
                <c:pt idx="38">
                  <c:v>-200</c:v>
                </c:pt>
                <c:pt idx="39">
                  <c:v>-200</c:v>
                </c:pt>
                <c:pt idx="40">
                  <c:v>-200</c:v>
                </c:pt>
                <c:pt idx="41">
                  <c:v>-200</c:v>
                </c:pt>
                <c:pt idx="42">
                  <c:v>-200</c:v>
                </c:pt>
                <c:pt idx="43">
                  <c:v>-200</c:v>
                </c:pt>
                <c:pt idx="44">
                  <c:v>-200</c:v>
                </c:pt>
                <c:pt idx="45">
                  <c:v>-200</c:v>
                </c:pt>
                <c:pt idx="46">
                  <c:v>-200</c:v>
                </c:pt>
                <c:pt idx="47">
                  <c:v>-200</c:v>
                </c:pt>
                <c:pt idx="48">
                  <c:v>-200</c:v>
                </c:pt>
                <c:pt idx="49">
                  <c:v>-200</c:v>
                </c:pt>
                <c:pt idx="50">
                  <c:v>-200</c:v>
                </c:pt>
                <c:pt idx="51">
                  <c:v>-200</c:v>
                </c:pt>
                <c:pt idx="52">
                  <c:v>-200</c:v>
                </c:pt>
                <c:pt idx="53">
                  <c:v>-200</c:v>
                </c:pt>
                <c:pt idx="54">
                  <c:v>-200</c:v>
                </c:pt>
                <c:pt idx="55">
                  <c:v>-200</c:v>
                </c:pt>
                <c:pt idx="56">
                  <c:v>-200</c:v>
                </c:pt>
                <c:pt idx="57">
                  <c:v>-200</c:v>
                </c:pt>
                <c:pt idx="58">
                  <c:v>-200</c:v>
                </c:pt>
                <c:pt idx="59">
                  <c:v>-200</c:v>
                </c:pt>
                <c:pt idx="60">
                  <c:v>-200</c:v>
                </c:pt>
                <c:pt idx="61">
                  <c:v>-200</c:v>
                </c:pt>
                <c:pt idx="62">
                  <c:v>-200</c:v>
                </c:pt>
                <c:pt idx="63">
                  <c:v>-200</c:v>
                </c:pt>
                <c:pt idx="64">
                  <c:v>-200</c:v>
                </c:pt>
                <c:pt idx="65">
                  <c:v>-200</c:v>
                </c:pt>
                <c:pt idx="66">
                  <c:v>-200</c:v>
                </c:pt>
                <c:pt idx="67">
                  <c:v>-200</c:v>
                </c:pt>
                <c:pt idx="68">
                  <c:v>-200</c:v>
                </c:pt>
                <c:pt idx="69">
                  <c:v>-200</c:v>
                </c:pt>
                <c:pt idx="70">
                  <c:v>-200</c:v>
                </c:pt>
                <c:pt idx="71">
                  <c:v>-200</c:v>
                </c:pt>
                <c:pt idx="72">
                  <c:v>-200</c:v>
                </c:pt>
                <c:pt idx="73">
                  <c:v>-200</c:v>
                </c:pt>
                <c:pt idx="74">
                  <c:v>-200</c:v>
                </c:pt>
                <c:pt idx="75">
                  <c:v>-200</c:v>
                </c:pt>
                <c:pt idx="76">
                  <c:v>-200</c:v>
                </c:pt>
                <c:pt idx="77">
                  <c:v>-200</c:v>
                </c:pt>
                <c:pt idx="78">
                  <c:v>-200</c:v>
                </c:pt>
                <c:pt idx="79">
                  <c:v>-200</c:v>
                </c:pt>
                <c:pt idx="80">
                  <c:v>-200</c:v>
                </c:pt>
                <c:pt idx="81">
                  <c:v>-200</c:v>
                </c:pt>
                <c:pt idx="82">
                  <c:v>-200</c:v>
                </c:pt>
                <c:pt idx="83">
                  <c:v>-200</c:v>
                </c:pt>
                <c:pt idx="84">
                  <c:v>-200</c:v>
                </c:pt>
                <c:pt idx="85">
                  <c:v>-200</c:v>
                </c:pt>
                <c:pt idx="86">
                  <c:v>-200</c:v>
                </c:pt>
                <c:pt idx="87">
                  <c:v>-200</c:v>
                </c:pt>
                <c:pt idx="88">
                  <c:v>-200</c:v>
                </c:pt>
                <c:pt idx="89">
                  <c:v>-200</c:v>
                </c:pt>
                <c:pt idx="90">
                  <c:v>-200</c:v>
                </c:pt>
                <c:pt idx="91">
                  <c:v>-200</c:v>
                </c:pt>
                <c:pt idx="92">
                  <c:v>-200</c:v>
                </c:pt>
                <c:pt idx="93">
                  <c:v>-200</c:v>
                </c:pt>
                <c:pt idx="94">
                  <c:v>-200</c:v>
                </c:pt>
                <c:pt idx="95">
                  <c:v>-200</c:v>
                </c:pt>
                <c:pt idx="96">
                  <c:v>-200</c:v>
                </c:pt>
                <c:pt idx="97">
                  <c:v>-200</c:v>
                </c:pt>
                <c:pt idx="98">
                  <c:v>-200</c:v>
                </c:pt>
                <c:pt idx="99">
                  <c:v>-200</c:v>
                </c:pt>
                <c:pt idx="100">
                  <c:v>-200</c:v>
                </c:pt>
                <c:pt idx="101">
                  <c:v>-200</c:v>
                </c:pt>
                <c:pt idx="102">
                  <c:v>-200</c:v>
                </c:pt>
                <c:pt idx="103">
                  <c:v>-200</c:v>
                </c:pt>
                <c:pt idx="104">
                  <c:v>-200</c:v>
                </c:pt>
                <c:pt idx="105">
                  <c:v>-200</c:v>
                </c:pt>
                <c:pt idx="106">
                  <c:v>-200</c:v>
                </c:pt>
                <c:pt idx="107">
                  <c:v>-200</c:v>
                </c:pt>
                <c:pt idx="108">
                  <c:v>-200</c:v>
                </c:pt>
                <c:pt idx="109">
                  <c:v>-200</c:v>
                </c:pt>
                <c:pt idx="110">
                  <c:v>-200</c:v>
                </c:pt>
                <c:pt idx="111">
                  <c:v>-200</c:v>
                </c:pt>
                <c:pt idx="112">
                  <c:v>-200</c:v>
                </c:pt>
                <c:pt idx="113">
                  <c:v>-200</c:v>
                </c:pt>
                <c:pt idx="114">
                  <c:v>-200</c:v>
                </c:pt>
                <c:pt idx="115">
                  <c:v>-200</c:v>
                </c:pt>
                <c:pt idx="116">
                  <c:v>-200</c:v>
                </c:pt>
                <c:pt idx="117">
                  <c:v>-200</c:v>
                </c:pt>
                <c:pt idx="118">
                  <c:v>-200</c:v>
                </c:pt>
                <c:pt idx="119">
                  <c:v>-200</c:v>
                </c:pt>
                <c:pt idx="120">
                  <c:v>-200</c:v>
                </c:pt>
                <c:pt idx="121">
                  <c:v>-200</c:v>
                </c:pt>
                <c:pt idx="122">
                  <c:v>-200</c:v>
                </c:pt>
                <c:pt idx="123">
                  <c:v>-200</c:v>
                </c:pt>
                <c:pt idx="124">
                  <c:v>-200</c:v>
                </c:pt>
                <c:pt idx="125">
                  <c:v>-200</c:v>
                </c:pt>
                <c:pt idx="126">
                  <c:v>-200</c:v>
                </c:pt>
                <c:pt idx="127">
                  <c:v>-200</c:v>
                </c:pt>
                <c:pt idx="128">
                  <c:v>-200</c:v>
                </c:pt>
                <c:pt idx="129">
                  <c:v>-200</c:v>
                </c:pt>
                <c:pt idx="130">
                  <c:v>-200</c:v>
                </c:pt>
                <c:pt idx="131">
                  <c:v>-200</c:v>
                </c:pt>
                <c:pt idx="132">
                  <c:v>-200</c:v>
                </c:pt>
                <c:pt idx="133">
                  <c:v>-200</c:v>
                </c:pt>
                <c:pt idx="134">
                  <c:v>-200</c:v>
                </c:pt>
                <c:pt idx="135">
                  <c:v>-200</c:v>
                </c:pt>
                <c:pt idx="136">
                  <c:v>-200</c:v>
                </c:pt>
                <c:pt idx="137">
                  <c:v>-200</c:v>
                </c:pt>
                <c:pt idx="138">
                  <c:v>-200</c:v>
                </c:pt>
                <c:pt idx="139">
                  <c:v>-200</c:v>
                </c:pt>
                <c:pt idx="140">
                  <c:v>-200</c:v>
                </c:pt>
                <c:pt idx="141">
                  <c:v>-200</c:v>
                </c:pt>
                <c:pt idx="142">
                  <c:v>-200</c:v>
                </c:pt>
                <c:pt idx="143">
                  <c:v>-200</c:v>
                </c:pt>
                <c:pt idx="144">
                  <c:v>-200</c:v>
                </c:pt>
                <c:pt idx="145">
                  <c:v>-200</c:v>
                </c:pt>
                <c:pt idx="146">
                  <c:v>-200</c:v>
                </c:pt>
                <c:pt idx="147">
                  <c:v>-200</c:v>
                </c:pt>
                <c:pt idx="148">
                  <c:v>-200</c:v>
                </c:pt>
                <c:pt idx="149">
                  <c:v>-200</c:v>
                </c:pt>
                <c:pt idx="150">
                  <c:v>-200</c:v>
                </c:pt>
                <c:pt idx="151">
                  <c:v>-200</c:v>
                </c:pt>
                <c:pt idx="152">
                  <c:v>-200</c:v>
                </c:pt>
                <c:pt idx="153">
                  <c:v>-200</c:v>
                </c:pt>
                <c:pt idx="154">
                  <c:v>-200</c:v>
                </c:pt>
                <c:pt idx="155">
                  <c:v>-200</c:v>
                </c:pt>
                <c:pt idx="156">
                  <c:v>-200</c:v>
                </c:pt>
                <c:pt idx="157">
                  <c:v>-200</c:v>
                </c:pt>
                <c:pt idx="158">
                  <c:v>-200</c:v>
                </c:pt>
                <c:pt idx="159">
                  <c:v>-200</c:v>
                </c:pt>
                <c:pt idx="160">
                  <c:v>-200</c:v>
                </c:pt>
                <c:pt idx="161">
                  <c:v>-200</c:v>
                </c:pt>
                <c:pt idx="162">
                  <c:v>-200</c:v>
                </c:pt>
                <c:pt idx="163">
                  <c:v>-200</c:v>
                </c:pt>
                <c:pt idx="164">
                  <c:v>-200</c:v>
                </c:pt>
                <c:pt idx="165">
                  <c:v>-200</c:v>
                </c:pt>
                <c:pt idx="166">
                  <c:v>-200</c:v>
                </c:pt>
                <c:pt idx="167">
                  <c:v>-200</c:v>
                </c:pt>
                <c:pt idx="168">
                  <c:v>-200</c:v>
                </c:pt>
                <c:pt idx="169">
                  <c:v>-200</c:v>
                </c:pt>
                <c:pt idx="170">
                  <c:v>-200</c:v>
                </c:pt>
                <c:pt idx="171">
                  <c:v>-200</c:v>
                </c:pt>
                <c:pt idx="172">
                  <c:v>-200</c:v>
                </c:pt>
                <c:pt idx="173">
                  <c:v>-200</c:v>
                </c:pt>
                <c:pt idx="174">
                  <c:v>-200</c:v>
                </c:pt>
                <c:pt idx="175">
                  <c:v>-200</c:v>
                </c:pt>
                <c:pt idx="176">
                  <c:v>-200</c:v>
                </c:pt>
                <c:pt idx="177">
                  <c:v>-200</c:v>
                </c:pt>
                <c:pt idx="178">
                  <c:v>-200</c:v>
                </c:pt>
                <c:pt idx="179">
                  <c:v>-200</c:v>
                </c:pt>
                <c:pt idx="180">
                  <c:v>-200</c:v>
                </c:pt>
                <c:pt idx="181">
                  <c:v>-200</c:v>
                </c:pt>
                <c:pt idx="182">
                  <c:v>-200</c:v>
                </c:pt>
                <c:pt idx="183">
                  <c:v>-200</c:v>
                </c:pt>
                <c:pt idx="184">
                  <c:v>-200</c:v>
                </c:pt>
                <c:pt idx="185">
                  <c:v>-200</c:v>
                </c:pt>
                <c:pt idx="186">
                  <c:v>-200</c:v>
                </c:pt>
                <c:pt idx="187">
                  <c:v>-200</c:v>
                </c:pt>
                <c:pt idx="188">
                  <c:v>-200</c:v>
                </c:pt>
                <c:pt idx="189">
                  <c:v>-200</c:v>
                </c:pt>
                <c:pt idx="190">
                  <c:v>-200</c:v>
                </c:pt>
                <c:pt idx="191">
                  <c:v>-200</c:v>
                </c:pt>
                <c:pt idx="192">
                  <c:v>-200</c:v>
                </c:pt>
                <c:pt idx="193">
                  <c:v>-200</c:v>
                </c:pt>
                <c:pt idx="194">
                  <c:v>-200</c:v>
                </c:pt>
                <c:pt idx="195">
                  <c:v>-200</c:v>
                </c:pt>
                <c:pt idx="196">
                  <c:v>-200</c:v>
                </c:pt>
                <c:pt idx="197">
                  <c:v>-200</c:v>
                </c:pt>
                <c:pt idx="198">
                  <c:v>-200</c:v>
                </c:pt>
                <c:pt idx="199">
                  <c:v>-200</c:v>
                </c:pt>
                <c:pt idx="200">
                  <c:v>-200</c:v>
                </c:pt>
                <c:pt idx="201">
                  <c:v>-200</c:v>
                </c:pt>
                <c:pt idx="202">
                  <c:v>-200</c:v>
                </c:pt>
                <c:pt idx="203">
                  <c:v>-200</c:v>
                </c:pt>
                <c:pt idx="204">
                  <c:v>-200</c:v>
                </c:pt>
                <c:pt idx="205">
                  <c:v>-200</c:v>
                </c:pt>
                <c:pt idx="206">
                  <c:v>-200</c:v>
                </c:pt>
                <c:pt idx="207">
                  <c:v>-200</c:v>
                </c:pt>
                <c:pt idx="208">
                  <c:v>-200</c:v>
                </c:pt>
                <c:pt idx="209">
                  <c:v>-200</c:v>
                </c:pt>
                <c:pt idx="210">
                  <c:v>-200</c:v>
                </c:pt>
                <c:pt idx="211">
                  <c:v>-200</c:v>
                </c:pt>
                <c:pt idx="212">
                  <c:v>-200</c:v>
                </c:pt>
                <c:pt idx="213">
                  <c:v>-200</c:v>
                </c:pt>
                <c:pt idx="214">
                  <c:v>-200</c:v>
                </c:pt>
                <c:pt idx="215">
                  <c:v>-200</c:v>
                </c:pt>
                <c:pt idx="216">
                  <c:v>-200</c:v>
                </c:pt>
                <c:pt idx="217">
                  <c:v>-200</c:v>
                </c:pt>
                <c:pt idx="218">
                  <c:v>-200</c:v>
                </c:pt>
                <c:pt idx="219">
                  <c:v>-200</c:v>
                </c:pt>
                <c:pt idx="220">
                  <c:v>-200</c:v>
                </c:pt>
                <c:pt idx="221">
                  <c:v>-200</c:v>
                </c:pt>
                <c:pt idx="222">
                  <c:v>-200</c:v>
                </c:pt>
                <c:pt idx="223">
                  <c:v>-200</c:v>
                </c:pt>
                <c:pt idx="224">
                  <c:v>-200</c:v>
                </c:pt>
                <c:pt idx="225">
                  <c:v>-200</c:v>
                </c:pt>
                <c:pt idx="226">
                  <c:v>-200</c:v>
                </c:pt>
                <c:pt idx="227">
                  <c:v>-200</c:v>
                </c:pt>
                <c:pt idx="228">
                  <c:v>-200</c:v>
                </c:pt>
                <c:pt idx="229">
                  <c:v>-200</c:v>
                </c:pt>
                <c:pt idx="230">
                  <c:v>-200</c:v>
                </c:pt>
                <c:pt idx="231">
                  <c:v>-200</c:v>
                </c:pt>
                <c:pt idx="232">
                  <c:v>-200</c:v>
                </c:pt>
                <c:pt idx="233">
                  <c:v>-200</c:v>
                </c:pt>
                <c:pt idx="234">
                  <c:v>-200</c:v>
                </c:pt>
                <c:pt idx="235">
                  <c:v>-200</c:v>
                </c:pt>
                <c:pt idx="236">
                  <c:v>-200</c:v>
                </c:pt>
                <c:pt idx="237">
                  <c:v>-200</c:v>
                </c:pt>
                <c:pt idx="238">
                  <c:v>-200</c:v>
                </c:pt>
                <c:pt idx="239">
                  <c:v>-200</c:v>
                </c:pt>
                <c:pt idx="240">
                  <c:v>-200</c:v>
                </c:pt>
                <c:pt idx="241">
                  <c:v>-200</c:v>
                </c:pt>
                <c:pt idx="242">
                  <c:v>-200</c:v>
                </c:pt>
                <c:pt idx="243">
                  <c:v>-200</c:v>
                </c:pt>
                <c:pt idx="244">
                  <c:v>-200</c:v>
                </c:pt>
                <c:pt idx="245">
                  <c:v>-200</c:v>
                </c:pt>
                <c:pt idx="246">
                  <c:v>-200</c:v>
                </c:pt>
                <c:pt idx="247">
                  <c:v>-200</c:v>
                </c:pt>
                <c:pt idx="248">
                  <c:v>-200</c:v>
                </c:pt>
                <c:pt idx="249">
                  <c:v>-200</c:v>
                </c:pt>
                <c:pt idx="250">
                  <c:v>-200</c:v>
                </c:pt>
                <c:pt idx="251">
                  <c:v>-200</c:v>
                </c:pt>
                <c:pt idx="252">
                  <c:v>-200</c:v>
                </c:pt>
                <c:pt idx="253">
                  <c:v>-200</c:v>
                </c:pt>
                <c:pt idx="254">
                  <c:v>-200</c:v>
                </c:pt>
                <c:pt idx="255">
                  <c:v>-200</c:v>
                </c:pt>
                <c:pt idx="256">
                  <c:v>-200</c:v>
                </c:pt>
                <c:pt idx="257">
                  <c:v>-200</c:v>
                </c:pt>
                <c:pt idx="258">
                  <c:v>-200</c:v>
                </c:pt>
                <c:pt idx="259">
                  <c:v>-200</c:v>
                </c:pt>
                <c:pt idx="260">
                  <c:v>-200</c:v>
                </c:pt>
                <c:pt idx="261">
                  <c:v>-200</c:v>
                </c:pt>
                <c:pt idx="262">
                  <c:v>-200</c:v>
                </c:pt>
                <c:pt idx="263">
                  <c:v>-200</c:v>
                </c:pt>
                <c:pt idx="264">
                  <c:v>-200</c:v>
                </c:pt>
                <c:pt idx="265">
                  <c:v>-200</c:v>
                </c:pt>
                <c:pt idx="266">
                  <c:v>-200</c:v>
                </c:pt>
                <c:pt idx="267">
                  <c:v>-200</c:v>
                </c:pt>
                <c:pt idx="268">
                  <c:v>-200</c:v>
                </c:pt>
                <c:pt idx="269">
                  <c:v>-200</c:v>
                </c:pt>
                <c:pt idx="270">
                  <c:v>-200</c:v>
                </c:pt>
                <c:pt idx="271">
                  <c:v>-200</c:v>
                </c:pt>
                <c:pt idx="272">
                  <c:v>-200</c:v>
                </c:pt>
                <c:pt idx="273">
                  <c:v>-200</c:v>
                </c:pt>
                <c:pt idx="274">
                  <c:v>-200</c:v>
                </c:pt>
                <c:pt idx="275">
                  <c:v>-200</c:v>
                </c:pt>
                <c:pt idx="276">
                  <c:v>-200</c:v>
                </c:pt>
                <c:pt idx="277">
                  <c:v>-200</c:v>
                </c:pt>
                <c:pt idx="278">
                  <c:v>-200</c:v>
                </c:pt>
                <c:pt idx="279">
                  <c:v>-200</c:v>
                </c:pt>
                <c:pt idx="280">
                  <c:v>-200</c:v>
                </c:pt>
                <c:pt idx="281">
                  <c:v>-200</c:v>
                </c:pt>
                <c:pt idx="282">
                  <c:v>-200</c:v>
                </c:pt>
                <c:pt idx="283">
                  <c:v>-200</c:v>
                </c:pt>
                <c:pt idx="284">
                  <c:v>-200</c:v>
                </c:pt>
                <c:pt idx="285">
                  <c:v>-200</c:v>
                </c:pt>
                <c:pt idx="286">
                  <c:v>-200</c:v>
                </c:pt>
                <c:pt idx="287">
                  <c:v>-200</c:v>
                </c:pt>
                <c:pt idx="288">
                  <c:v>-200</c:v>
                </c:pt>
                <c:pt idx="289">
                  <c:v>-200</c:v>
                </c:pt>
                <c:pt idx="290">
                  <c:v>-200</c:v>
                </c:pt>
                <c:pt idx="291">
                  <c:v>-200</c:v>
                </c:pt>
                <c:pt idx="292">
                  <c:v>-200</c:v>
                </c:pt>
                <c:pt idx="293">
                  <c:v>-200</c:v>
                </c:pt>
                <c:pt idx="294">
                  <c:v>-200</c:v>
                </c:pt>
                <c:pt idx="295">
                  <c:v>-200</c:v>
                </c:pt>
                <c:pt idx="296">
                  <c:v>-200</c:v>
                </c:pt>
                <c:pt idx="297">
                  <c:v>-200</c:v>
                </c:pt>
                <c:pt idx="298">
                  <c:v>-200</c:v>
                </c:pt>
                <c:pt idx="299">
                  <c:v>-200</c:v>
                </c:pt>
                <c:pt idx="300">
                  <c:v>-200</c:v>
                </c:pt>
                <c:pt idx="301">
                  <c:v>-200</c:v>
                </c:pt>
                <c:pt idx="302">
                  <c:v>-200</c:v>
                </c:pt>
                <c:pt idx="303">
                  <c:v>-200</c:v>
                </c:pt>
                <c:pt idx="304">
                  <c:v>-200</c:v>
                </c:pt>
                <c:pt idx="305">
                  <c:v>-200</c:v>
                </c:pt>
                <c:pt idx="306">
                  <c:v>-200</c:v>
                </c:pt>
                <c:pt idx="307">
                  <c:v>-200</c:v>
                </c:pt>
                <c:pt idx="308">
                  <c:v>-200</c:v>
                </c:pt>
                <c:pt idx="309">
                  <c:v>-200</c:v>
                </c:pt>
                <c:pt idx="310">
                  <c:v>-200</c:v>
                </c:pt>
                <c:pt idx="311">
                  <c:v>-200</c:v>
                </c:pt>
                <c:pt idx="312">
                  <c:v>-200</c:v>
                </c:pt>
                <c:pt idx="313">
                  <c:v>-200</c:v>
                </c:pt>
                <c:pt idx="314">
                  <c:v>-200</c:v>
                </c:pt>
                <c:pt idx="315">
                  <c:v>-200</c:v>
                </c:pt>
                <c:pt idx="316">
                  <c:v>-200</c:v>
                </c:pt>
                <c:pt idx="317">
                  <c:v>-200</c:v>
                </c:pt>
                <c:pt idx="318">
                  <c:v>-200</c:v>
                </c:pt>
                <c:pt idx="319">
                  <c:v>-200</c:v>
                </c:pt>
                <c:pt idx="320">
                  <c:v>-200</c:v>
                </c:pt>
                <c:pt idx="321">
                  <c:v>-200</c:v>
                </c:pt>
                <c:pt idx="322">
                  <c:v>-200</c:v>
                </c:pt>
                <c:pt idx="323">
                  <c:v>-200</c:v>
                </c:pt>
                <c:pt idx="324">
                  <c:v>-200</c:v>
                </c:pt>
                <c:pt idx="325">
                  <c:v>-200</c:v>
                </c:pt>
                <c:pt idx="326">
                  <c:v>-200</c:v>
                </c:pt>
                <c:pt idx="327">
                  <c:v>-200</c:v>
                </c:pt>
                <c:pt idx="328">
                  <c:v>-200</c:v>
                </c:pt>
                <c:pt idx="329">
                  <c:v>-200</c:v>
                </c:pt>
                <c:pt idx="330">
                  <c:v>-200</c:v>
                </c:pt>
                <c:pt idx="331">
                  <c:v>-200</c:v>
                </c:pt>
                <c:pt idx="332">
                  <c:v>-200</c:v>
                </c:pt>
                <c:pt idx="333">
                  <c:v>-200</c:v>
                </c:pt>
                <c:pt idx="334">
                  <c:v>-200</c:v>
                </c:pt>
                <c:pt idx="335">
                  <c:v>-200</c:v>
                </c:pt>
                <c:pt idx="336">
                  <c:v>-200</c:v>
                </c:pt>
                <c:pt idx="337">
                  <c:v>-200</c:v>
                </c:pt>
                <c:pt idx="338">
                  <c:v>-200</c:v>
                </c:pt>
                <c:pt idx="339">
                  <c:v>-200</c:v>
                </c:pt>
                <c:pt idx="340">
                  <c:v>-200</c:v>
                </c:pt>
                <c:pt idx="341">
                  <c:v>-200</c:v>
                </c:pt>
                <c:pt idx="342">
                  <c:v>-200</c:v>
                </c:pt>
                <c:pt idx="343">
                  <c:v>-200</c:v>
                </c:pt>
                <c:pt idx="344">
                  <c:v>-200</c:v>
                </c:pt>
                <c:pt idx="345">
                  <c:v>-200</c:v>
                </c:pt>
                <c:pt idx="346">
                  <c:v>-200</c:v>
                </c:pt>
                <c:pt idx="347">
                  <c:v>-200</c:v>
                </c:pt>
                <c:pt idx="348">
                  <c:v>-200</c:v>
                </c:pt>
                <c:pt idx="349">
                  <c:v>-200</c:v>
                </c:pt>
                <c:pt idx="350">
                  <c:v>-200</c:v>
                </c:pt>
                <c:pt idx="351">
                  <c:v>-200</c:v>
                </c:pt>
                <c:pt idx="352">
                  <c:v>-200</c:v>
                </c:pt>
                <c:pt idx="353">
                  <c:v>-200</c:v>
                </c:pt>
                <c:pt idx="354">
                  <c:v>-200</c:v>
                </c:pt>
                <c:pt idx="355">
                  <c:v>-200</c:v>
                </c:pt>
                <c:pt idx="356">
                  <c:v>-200</c:v>
                </c:pt>
                <c:pt idx="357">
                  <c:v>-200</c:v>
                </c:pt>
                <c:pt idx="358">
                  <c:v>-200</c:v>
                </c:pt>
                <c:pt idx="359">
                  <c:v>-200</c:v>
                </c:pt>
                <c:pt idx="360">
                  <c:v>-200</c:v>
                </c:pt>
                <c:pt idx="361">
                  <c:v>-200</c:v>
                </c:pt>
                <c:pt idx="362">
                  <c:v>-200</c:v>
                </c:pt>
                <c:pt idx="363">
                  <c:v>-200</c:v>
                </c:pt>
                <c:pt idx="364">
                  <c:v>-200</c:v>
                </c:pt>
                <c:pt idx="365">
                  <c:v>-200</c:v>
                </c:pt>
                <c:pt idx="366">
                  <c:v>-200</c:v>
                </c:pt>
                <c:pt idx="367">
                  <c:v>-200</c:v>
                </c:pt>
                <c:pt idx="368">
                  <c:v>-200</c:v>
                </c:pt>
                <c:pt idx="369">
                  <c:v>-200</c:v>
                </c:pt>
                <c:pt idx="370">
                  <c:v>-200</c:v>
                </c:pt>
                <c:pt idx="371">
                  <c:v>-200</c:v>
                </c:pt>
                <c:pt idx="372">
                  <c:v>-200</c:v>
                </c:pt>
                <c:pt idx="373">
                  <c:v>-200</c:v>
                </c:pt>
                <c:pt idx="374">
                  <c:v>-200</c:v>
                </c:pt>
                <c:pt idx="375">
                  <c:v>-200</c:v>
                </c:pt>
                <c:pt idx="376">
                  <c:v>-200</c:v>
                </c:pt>
                <c:pt idx="377">
                  <c:v>-200</c:v>
                </c:pt>
                <c:pt idx="378">
                  <c:v>-200</c:v>
                </c:pt>
                <c:pt idx="379">
                  <c:v>-200</c:v>
                </c:pt>
                <c:pt idx="380">
                  <c:v>-200</c:v>
                </c:pt>
                <c:pt idx="381">
                  <c:v>-200</c:v>
                </c:pt>
                <c:pt idx="382">
                  <c:v>-200</c:v>
                </c:pt>
                <c:pt idx="383">
                  <c:v>-200</c:v>
                </c:pt>
                <c:pt idx="384">
                  <c:v>-200</c:v>
                </c:pt>
                <c:pt idx="385">
                  <c:v>-200</c:v>
                </c:pt>
                <c:pt idx="386">
                  <c:v>-200</c:v>
                </c:pt>
                <c:pt idx="387">
                  <c:v>-200</c:v>
                </c:pt>
                <c:pt idx="388">
                  <c:v>-200</c:v>
                </c:pt>
                <c:pt idx="389">
                  <c:v>-200</c:v>
                </c:pt>
                <c:pt idx="390">
                  <c:v>-200</c:v>
                </c:pt>
                <c:pt idx="391">
                  <c:v>-200</c:v>
                </c:pt>
                <c:pt idx="392">
                  <c:v>-200</c:v>
                </c:pt>
                <c:pt idx="393">
                  <c:v>-200</c:v>
                </c:pt>
                <c:pt idx="394">
                  <c:v>-200</c:v>
                </c:pt>
                <c:pt idx="395">
                  <c:v>-200</c:v>
                </c:pt>
                <c:pt idx="396">
                  <c:v>-200</c:v>
                </c:pt>
                <c:pt idx="397">
                  <c:v>-200</c:v>
                </c:pt>
                <c:pt idx="398">
                  <c:v>-200</c:v>
                </c:pt>
                <c:pt idx="399">
                  <c:v>-200</c:v>
                </c:pt>
                <c:pt idx="400">
                  <c:v>-200</c:v>
                </c:pt>
                <c:pt idx="401">
                  <c:v>-200</c:v>
                </c:pt>
                <c:pt idx="402">
                  <c:v>-200</c:v>
                </c:pt>
                <c:pt idx="403">
                  <c:v>-200</c:v>
                </c:pt>
                <c:pt idx="404">
                  <c:v>-200</c:v>
                </c:pt>
                <c:pt idx="405">
                  <c:v>-200</c:v>
                </c:pt>
                <c:pt idx="406">
                  <c:v>-200</c:v>
                </c:pt>
                <c:pt idx="407">
                  <c:v>-200</c:v>
                </c:pt>
                <c:pt idx="408">
                  <c:v>-200</c:v>
                </c:pt>
                <c:pt idx="409">
                  <c:v>-200</c:v>
                </c:pt>
                <c:pt idx="410">
                  <c:v>-200</c:v>
                </c:pt>
                <c:pt idx="411">
                  <c:v>-200</c:v>
                </c:pt>
                <c:pt idx="412">
                  <c:v>-200</c:v>
                </c:pt>
                <c:pt idx="413">
                  <c:v>-200</c:v>
                </c:pt>
                <c:pt idx="414">
                  <c:v>-200</c:v>
                </c:pt>
                <c:pt idx="415">
                  <c:v>-200</c:v>
                </c:pt>
                <c:pt idx="416">
                  <c:v>-200</c:v>
                </c:pt>
                <c:pt idx="417">
                  <c:v>-200</c:v>
                </c:pt>
                <c:pt idx="418">
                  <c:v>-200</c:v>
                </c:pt>
                <c:pt idx="419">
                  <c:v>-200</c:v>
                </c:pt>
                <c:pt idx="420">
                  <c:v>-200</c:v>
                </c:pt>
                <c:pt idx="421">
                  <c:v>-200</c:v>
                </c:pt>
                <c:pt idx="422">
                  <c:v>-200</c:v>
                </c:pt>
                <c:pt idx="423">
                  <c:v>-200</c:v>
                </c:pt>
                <c:pt idx="424">
                  <c:v>-200</c:v>
                </c:pt>
                <c:pt idx="425">
                  <c:v>-200</c:v>
                </c:pt>
                <c:pt idx="426">
                  <c:v>-200</c:v>
                </c:pt>
                <c:pt idx="427">
                  <c:v>-200</c:v>
                </c:pt>
                <c:pt idx="428">
                  <c:v>-200</c:v>
                </c:pt>
                <c:pt idx="429">
                  <c:v>-200</c:v>
                </c:pt>
                <c:pt idx="430">
                  <c:v>-200</c:v>
                </c:pt>
                <c:pt idx="431">
                  <c:v>-200</c:v>
                </c:pt>
                <c:pt idx="432">
                  <c:v>-200</c:v>
                </c:pt>
                <c:pt idx="433">
                  <c:v>-200</c:v>
                </c:pt>
                <c:pt idx="434">
                  <c:v>-200</c:v>
                </c:pt>
                <c:pt idx="435">
                  <c:v>-200</c:v>
                </c:pt>
                <c:pt idx="436">
                  <c:v>-200</c:v>
                </c:pt>
                <c:pt idx="437">
                  <c:v>-200</c:v>
                </c:pt>
                <c:pt idx="438">
                  <c:v>-200</c:v>
                </c:pt>
                <c:pt idx="439">
                  <c:v>-200</c:v>
                </c:pt>
                <c:pt idx="440">
                  <c:v>-200</c:v>
                </c:pt>
                <c:pt idx="441">
                  <c:v>-200</c:v>
                </c:pt>
                <c:pt idx="442">
                  <c:v>-200</c:v>
                </c:pt>
                <c:pt idx="443">
                  <c:v>-200</c:v>
                </c:pt>
                <c:pt idx="444">
                  <c:v>-200</c:v>
                </c:pt>
                <c:pt idx="445">
                  <c:v>-200</c:v>
                </c:pt>
                <c:pt idx="446">
                  <c:v>-200</c:v>
                </c:pt>
                <c:pt idx="447">
                  <c:v>-200</c:v>
                </c:pt>
                <c:pt idx="448">
                  <c:v>-200</c:v>
                </c:pt>
                <c:pt idx="449">
                  <c:v>-200</c:v>
                </c:pt>
                <c:pt idx="450">
                  <c:v>-200</c:v>
                </c:pt>
                <c:pt idx="451">
                  <c:v>-200</c:v>
                </c:pt>
                <c:pt idx="452">
                  <c:v>-200</c:v>
                </c:pt>
                <c:pt idx="453">
                  <c:v>-200</c:v>
                </c:pt>
                <c:pt idx="454">
                  <c:v>-200</c:v>
                </c:pt>
                <c:pt idx="455">
                  <c:v>-200</c:v>
                </c:pt>
                <c:pt idx="456">
                  <c:v>-200</c:v>
                </c:pt>
                <c:pt idx="457">
                  <c:v>-200</c:v>
                </c:pt>
                <c:pt idx="458">
                  <c:v>-200</c:v>
                </c:pt>
                <c:pt idx="459">
                  <c:v>-200</c:v>
                </c:pt>
                <c:pt idx="460">
                  <c:v>-200</c:v>
                </c:pt>
                <c:pt idx="461">
                  <c:v>-200</c:v>
                </c:pt>
                <c:pt idx="462">
                  <c:v>-200</c:v>
                </c:pt>
                <c:pt idx="463">
                  <c:v>-200</c:v>
                </c:pt>
                <c:pt idx="464">
                  <c:v>-200</c:v>
                </c:pt>
                <c:pt idx="465">
                  <c:v>-200</c:v>
                </c:pt>
                <c:pt idx="466">
                  <c:v>-200</c:v>
                </c:pt>
                <c:pt idx="467">
                  <c:v>-200</c:v>
                </c:pt>
                <c:pt idx="468">
                  <c:v>-200</c:v>
                </c:pt>
                <c:pt idx="469">
                  <c:v>-200</c:v>
                </c:pt>
                <c:pt idx="470">
                  <c:v>-200</c:v>
                </c:pt>
                <c:pt idx="471">
                  <c:v>-200</c:v>
                </c:pt>
                <c:pt idx="472">
                  <c:v>-200</c:v>
                </c:pt>
                <c:pt idx="473">
                  <c:v>-200</c:v>
                </c:pt>
                <c:pt idx="474">
                  <c:v>-200</c:v>
                </c:pt>
                <c:pt idx="475">
                  <c:v>-200</c:v>
                </c:pt>
                <c:pt idx="476">
                  <c:v>-200</c:v>
                </c:pt>
                <c:pt idx="477">
                  <c:v>-200</c:v>
                </c:pt>
                <c:pt idx="478">
                  <c:v>-200</c:v>
                </c:pt>
                <c:pt idx="479">
                  <c:v>-200</c:v>
                </c:pt>
                <c:pt idx="480">
                  <c:v>-200</c:v>
                </c:pt>
                <c:pt idx="481">
                  <c:v>-200</c:v>
                </c:pt>
                <c:pt idx="482">
                  <c:v>-200</c:v>
                </c:pt>
                <c:pt idx="483">
                  <c:v>-200</c:v>
                </c:pt>
                <c:pt idx="484">
                  <c:v>-200</c:v>
                </c:pt>
                <c:pt idx="485">
                  <c:v>-200</c:v>
                </c:pt>
                <c:pt idx="486">
                  <c:v>-200</c:v>
                </c:pt>
                <c:pt idx="487">
                  <c:v>-200</c:v>
                </c:pt>
                <c:pt idx="488">
                  <c:v>-200</c:v>
                </c:pt>
                <c:pt idx="489">
                  <c:v>-200</c:v>
                </c:pt>
                <c:pt idx="490">
                  <c:v>-200</c:v>
                </c:pt>
                <c:pt idx="491">
                  <c:v>-200</c:v>
                </c:pt>
                <c:pt idx="492">
                  <c:v>-200</c:v>
                </c:pt>
                <c:pt idx="493">
                  <c:v>-200</c:v>
                </c:pt>
                <c:pt idx="494">
                  <c:v>-200</c:v>
                </c:pt>
                <c:pt idx="495">
                  <c:v>-200</c:v>
                </c:pt>
                <c:pt idx="496">
                  <c:v>-200</c:v>
                </c:pt>
                <c:pt idx="497">
                  <c:v>-200</c:v>
                </c:pt>
                <c:pt idx="498">
                  <c:v>-200</c:v>
                </c:pt>
                <c:pt idx="499">
                  <c:v>-200</c:v>
                </c:pt>
                <c:pt idx="500">
                  <c:v>-200</c:v>
                </c:pt>
                <c:pt idx="501">
                  <c:v>-200</c:v>
                </c:pt>
                <c:pt idx="502">
                  <c:v>-200</c:v>
                </c:pt>
                <c:pt idx="503">
                  <c:v>-200</c:v>
                </c:pt>
                <c:pt idx="504">
                  <c:v>-200</c:v>
                </c:pt>
                <c:pt idx="505">
                  <c:v>-200</c:v>
                </c:pt>
                <c:pt idx="506">
                  <c:v>-200</c:v>
                </c:pt>
                <c:pt idx="507">
                  <c:v>-200</c:v>
                </c:pt>
                <c:pt idx="508">
                  <c:v>-200</c:v>
                </c:pt>
                <c:pt idx="509">
                  <c:v>-200</c:v>
                </c:pt>
                <c:pt idx="510">
                  <c:v>-200</c:v>
                </c:pt>
                <c:pt idx="511">
                  <c:v>-200</c:v>
                </c:pt>
                <c:pt idx="512">
                  <c:v>-200</c:v>
                </c:pt>
                <c:pt idx="513">
                  <c:v>-200</c:v>
                </c:pt>
                <c:pt idx="514">
                  <c:v>-200</c:v>
                </c:pt>
                <c:pt idx="515">
                  <c:v>-200</c:v>
                </c:pt>
                <c:pt idx="516">
                  <c:v>-200</c:v>
                </c:pt>
                <c:pt idx="517">
                  <c:v>-200</c:v>
                </c:pt>
                <c:pt idx="518">
                  <c:v>-200</c:v>
                </c:pt>
                <c:pt idx="519">
                  <c:v>-200</c:v>
                </c:pt>
                <c:pt idx="520">
                  <c:v>-200</c:v>
                </c:pt>
                <c:pt idx="521">
                  <c:v>-200</c:v>
                </c:pt>
                <c:pt idx="522">
                  <c:v>-200</c:v>
                </c:pt>
                <c:pt idx="523">
                  <c:v>-200</c:v>
                </c:pt>
                <c:pt idx="524">
                  <c:v>-200</c:v>
                </c:pt>
                <c:pt idx="525">
                  <c:v>-200</c:v>
                </c:pt>
                <c:pt idx="526">
                  <c:v>-200</c:v>
                </c:pt>
                <c:pt idx="527">
                  <c:v>-200</c:v>
                </c:pt>
                <c:pt idx="528">
                  <c:v>-200</c:v>
                </c:pt>
                <c:pt idx="529">
                  <c:v>-200</c:v>
                </c:pt>
                <c:pt idx="530">
                  <c:v>-200</c:v>
                </c:pt>
                <c:pt idx="531">
                  <c:v>-200</c:v>
                </c:pt>
                <c:pt idx="532">
                  <c:v>-200</c:v>
                </c:pt>
                <c:pt idx="533">
                  <c:v>-200</c:v>
                </c:pt>
                <c:pt idx="534">
                  <c:v>-200</c:v>
                </c:pt>
                <c:pt idx="535">
                  <c:v>-200</c:v>
                </c:pt>
                <c:pt idx="536">
                  <c:v>-200</c:v>
                </c:pt>
                <c:pt idx="537">
                  <c:v>-200</c:v>
                </c:pt>
                <c:pt idx="538">
                  <c:v>-200</c:v>
                </c:pt>
                <c:pt idx="539">
                  <c:v>-200</c:v>
                </c:pt>
                <c:pt idx="540">
                  <c:v>-200</c:v>
                </c:pt>
                <c:pt idx="541">
                  <c:v>-200</c:v>
                </c:pt>
                <c:pt idx="542">
                  <c:v>-200</c:v>
                </c:pt>
                <c:pt idx="543">
                  <c:v>-200</c:v>
                </c:pt>
                <c:pt idx="544">
                  <c:v>-200</c:v>
                </c:pt>
                <c:pt idx="545">
                  <c:v>-200</c:v>
                </c:pt>
                <c:pt idx="546">
                  <c:v>-200</c:v>
                </c:pt>
                <c:pt idx="547">
                  <c:v>-200</c:v>
                </c:pt>
                <c:pt idx="548">
                  <c:v>-200</c:v>
                </c:pt>
                <c:pt idx="549">
                  <c:v>-200</c:v>
                </c:pt>
                <c:pt idx="550">
                  <c:v>-200</c:v>
                </c:pt>
                <c:pt idx="551">
                  <c:v>-200</c:v>
                </c:pt>
                <c:pt idx="552">
                  <c:v>-200</c:v>
                </c:pt>
                <c:pt idx="553">
                  <c:v>-200</c:v>
                </c:pt>
                <c:pt idx="554">
                  <c:v>-200</c:v>
                </c:pt>
                <c:pt idx="555">
                  <c:v>-200</c:v>
                </c:pt>
                <c:pt idx="556">
                  <c:v>-200</c:v>
                </c:pt>
                <c:pt idx="557">
                  <c:v>-200</c:v>
                </c:pt>
                <c:pt idx="558">
                  <c:v>-200</c:v>
                </c:pt>
                <c:pt idx="559">
                  <c:v>-200</c:v>
                </c:pt>
                <c:pt idx="560">
                  <c:v>-200</c:v>
                </c:pt>
                <c:pt idx="561">
                  <c:v>-200</c:v>
                </c:pt>
                <c:pt idx="562">
                  <c:v>-200</c:v>
                </c:pt>
                <c:pt idx="563">
                  <c:v>-200</c:v>
                </c:pt>
                <c:pt idx="564">
                  <c:v>-200</c:v>
                </c:pt>
                <c:pt idx="565">
                  <c:v>-200</c:v>
                </c:pt>
                <c:pt idx="566">
                  <c:v>-200</c:v>
                </c:pt>
                <c:pt idx="567">
                  <c:v>-200</c:v>
                </c:pt>
                <c:pt idx="568">
                  <c:v>-200</c:v>
                </c:pt>
                <c:pt idx="569">
                  <c:v>-200</c:v>
                </c:pt>
                <c:pt idx="570">
                  <c:v>-200</c:v>
                </c:pt>
                <c:pt idx="571">
                  <c:v>-200</c:v>
                </c:pt>
                <c:pt idx="572">
                  <c:v>-200</c:v>
                </c:pt>
                <c:pt idx="573">
                  <c:v>-200</c:v>
                </c:pt>
                <c:pt idx="574">
                  <c:v>-200</c:v>
                </c:pt>
                <c:pt idx="575">
                  <c:v>-200</c:v>
                </c:pt>
                <c:pt idx="576">
                  <c:v>-200</c:v>
                </c:pt>
                <c:pt idx="577">
                  <c:v>-200</c:v>
                </c:pt>
                <c:pt idx="578">
                  <c:v>-200</c:v>
                </c:pt>
                <c:pt idx="579">
                  <c:v>-200</c:v>
                </c:pt>
                <c:pt idx="580">
                  <c:v>-200</c:v>
                </c:pt>
                <c:pt idx="581">
                  <c:v>-200</c:v>
                </c:pt>
                <c:pt idx="582">
                  <c:v>-200</c:v>
                </c:pt>
                <c:pt idx="583">
                  <c:v>-200</c:v>
                </c:pt>
                <c:pt idx="584">
                  <c:v>-200</c:v>
                </c:pt>
                <c:pt idx="585">
                  <c:v>-200</c:v>
                </c:pt>
                <c:pt idx="586">
                  <c:v>-200</c:v>
                </c:pt>
                <c:pt idx="587">
                  <c:v>-200</c:v>
                </c:pt>
                <c:pt idx="588">
                  <c:v>-200</c:v>
                </c:pt>
                <c:pt idx="589">
                  <c:v>-200</c:v>
                </c:pt>
                <c:pt idx="590">
                  <c:v>-200</c:v>
                </c:pt>
                <c:pt idx="591">
                  <c:v>-200</c:v>
                </c:pt>
                <c:pt idx="592">
                  <c:v>-200</c:v>
                </c:pt>
                <c:pt idx="593">
                  <c:v>-200</c:v>
                </c:pt>
                <c:pt idx="594">
                  <c:v>-200</c:v>
                </c:pt>
                <c:pt idx="595">
                  <c:v>-200</c:v>
                </c:pt>
                <c:pt idx="596">
                  <c:v>-200</c:v>
                </c:pt>
                <c:pt idx="597">
                  <c:v>-200</c:v>
                </c:pt>
                <c:pt idx="598">
                  <c:v>-200</c:v>
                </c:pt>
                <c:pt idx="599">
                  <c:v>-200</c:v>
                </c:pt>
                <c:pt idx="600">
                  <c:v>-200</c:v>
                </c:pt>
                <c:pt idx="601">
                  <c:v>-200</c:v>
                </c:pt>
                <c:pt idx="602">
                  <c:v>-200</c:v>
                </c:pt>
                <c:pt idx="603">
                  <c:v>-200</c:v>
                </c:pt>
                <c:pt idx="604">
                  <c:v>-200</c:v>
                </c:pt>
                <c:pt idx="605">
                  <c:v>-200</c:v>
                </c:pt>
                <c:pt idx="606">
                  <c:v>-200</c:v>
                </c:pt>
                <c:pt idx="607">
                  <c:v>-200</c:v>
                </c:pt>
                <c:pt idx="608">
                  <c:v>-200</c:v>
                </c:pt>
                <c:pt idx="609">
                  <c:v>-200</c:v>
                </c:pt>
                <c:pt idx="610">
                  <c:v>-200</c:v>
                </c:pt>
                <c:pt idx="611">
                  <c:v>-200</c:v>
                </c:pt>
                <c:pt idx="612">
                  <c:v>-200</c:v>
                </c:pt>
                <c:pt idx="613">
                  <c:v>-200</c:v>
                </c:pt>
                <c:pt idx="614">
                  <c:v>-200</c:v>
                </c:pt>
                <c:pt idx="615">
                  <c:v>-200</c:v>
                </c:pt>
                <c:pt idx="616">
                  <c:v>-200</c:v>
                </c:pt>
                <c:pt idx="617">
                  <c:v>-200</c:v>
                </c:pt>
                <c:pt idx="618">
                  <c:v>-200</c:v>
                </c:pt>
                <c:pt idx="619">
                  <c:v>-200</c:v>
                </c:pt>
                <c:pt idx="620">
                  <c:v>-200</c:v>
                </c:pt>
                <c:pt idx="621">
                  <c:v>-200</c:v>
                </c:pt>
                <c:pt idx="622">
                  <c:v>-200</c:v>
                </c:pt>
                <c:pt idx="623">
                  <c:v>-200</c:v>
                </c:pt>
                <c:pt idx="624">
                  <c:v>-200</c:v>
                </c:pt>
                <c:pt idx="625">
                  <c:v>-200</c:v>
                </c:pt>
                <c:pt idx="626">
                  <c:v>-200</c:v>
                </c:pt>
                <c:pt idx="627">
                  <c:v>-200</c:v>
                </c:pt>
                <c:pt idx="628">
                  <c:v>-200</c:v>
                </c:pt>
                <c:pt idx="629">
                  <c:v>-200</c:v>
                </c:pt>
                <c:pt idx="630">
                  <c:v>-200</c:v>
                </c:pt>
                <c:pt idx="631">
                  <c:v>-200</c:v>
                </c:pt>
                <c:pt idx="632">
                  <c:v>-200</c:v>
                </c:pt>
                <c:pt idx="633">
                  <c:v>-200</c:v>
                </c:pt>
                <c:pt idx="634">
                  <c:v>-200</c:v>
                </c:pt>
                <c:pt idx="635">
                  <c:v>-200</c:v>
                </c:pt>
                <c:pt idx="636">
                  <c:v>-200</c:v>
                </c:pt>
                <c:pt idx="637">
                  <c:v>-200</c:v>
                </c:pt>
                <c:pt idx="638">
                  <c:v>-200</c:v>
                </c:pt>
                <c:pt idx="639">
                  <c:v>-200</c:v>
                </c:pt>
                <c:pt idx="640">
                  <c:v>-200</c:v>
                </c:pt>
                <c:pt idx="641">
                  <c:v>-200</c:v>
                </c:pt>
                <c:pt idx="642">
                  <c:v>-200</c:v>
                </c:pt>
                <c:pt idx="643">
                  <c:v>-200</c:v>
                </c:pt>
                <c:pt idx="644">
                  <c:v>-200</c:v>
                </c:pt>
                <c:pt idx="645">
                  <c:v>-200</c:v>
                </c:pt>
                <c:pt idx="646">
                  <c:v>-200</c:v>
                </c:pt>
                <c:pt idx="647">
                  <c:v>-200</c:v>
                </c:pt>
                <c:pt idx="648">
                  <c:v>-200</c:v>
                </c:pt>
                <c:pt idx="649">
                  <c:v>-200</c:v>
                </c:pt>
                <c:pt idx="650">
                  <c:v>-200</c:v>
                </c:pt>
                <c:pt idx="651">
                  <c:v>-200</c:v>
                </c:pt>
                <c:pt idx="652">
                  <c:v>-200</c:v>
                </c:pt>
                <c:pt idx="653">
                  <c:v>-200</c:v>
                </c:pt>
                <c:pt idx="654">
                  <c:v>-200</c:v>
                </c:pt>
                <c:pt idx="655">
                  <c:v>-200</c:v>
                </c:pt>
                <c:pt idx="656">
                  <c:v>-200</c:v>
                </c:pt>
                <c:pt idx="657">
                  <c:v>-200</c:v>
                </c:pt>
                <c:pt idx="658">
                  <c:v>-200</c:v>
                </c:pt>
                <c:pt idx="659">
                  <c:v>-200</c:v>
                </c:pt>
                <c:pt idx="660">
                  <c:v>-200</c:v>
                </c:pt>
                <c:pt idx="661">
                  <c:v>-200</c:v>
                </c:pt>
                <c:pt idx="662">
                  <c:v>-200</c:v>
                </c:pt>
                <c:pt idx="663">
                  <c:v>-200</c:v>
                </c:pt>
                <c:pt idx="664">
                  <c:v>-200</c:v>
                </c:pt>
                <c:pt idx="665">
                  <c:v>-200</c:v>
                </c:pt>
                <c:pt idx="666">
                  <c:v>-200</c:v>
                </c:pt>
                <c:pt idx="667">
                  <c:v>-200</c:v>
                </c:pt>
                <c:pt idx="668">
                  <c:v>-200</c:v>
                </c:pt>
                <c:pt idx="669">
                  <c:v>-200</c:v>
                </c:pt>
                <c:pt idx="670">
                  <c:v>-200</c:v>
                </c:pt>
                <c:pt idx="671">
                  <c:v>-200</c:v>
                </c:pt>
                <c:pt idx="672">
                  <c:v>-200</c:v>
                </c:pt>
                <c:pt idx="673">
                  <c:v>-200</c:v>
                </c:pt>
                <c:pt idx="674">
                  <c:v>-200</c:v>
                </c:pt>
                <c:pt idx="675">
                  <c:v>-200</c:v>
                </c:pt>
              </c:numCache>
            </c:numRef>
          </c:yVal>
          <c:smooth val="1"/>
        </c:ser>
        <c:ser>
          <c:idx val="3"/>
          <c:order val="2"/>
          <c:tx>
            <c:strRef>
              <c:f>Data!$F$1</c:f>
              <c:strCache>
                <c:ptCount val="1"/>
                <c:pt idx="0">
                  <c:v>Peak 1</c:v>
                </c:pt>
              </c:strCache>
            </c:strRef>
          </c:tx>
          <c:spPr>
            <a:ln w="12700">
              <a:solidFill>
                <a:srgbClr val="00FFFF"/>
              </a:solidFill>
              <a:prstDash val="solid"/>
            </a:ln>
          </c:spPr>
          <c:marker>
            <c:symbol val="none"/>
          </c:marker>
          <c:xVal>
            <c:numRef>
              <c:f>Data!$A$2:$A$1001</c:f>
              <c:numCache>
                <c:formatCode>0.000</c:formatCode>
                <c:ptCount val="1000"/>
                <c:pt idx="0">
                  <c:v>1</c:v>
                </c:pt>
                <c:pt idx="1">
                  <c:v>3</c:v>
                </c:pt>
                <c:pt idx="2">
                  <c:v>5</c:v>
                </c:pt>
                <c:pt idx="3">
                  <c:v>7</c:v>
                </c:pt>
                <c:pt idx="4">
                  <c:v>9</c:v>
                </c:pt>
                <c:pt idx="5">
                  <c:v>11</c:v>
                </c:pt>
                <c:pt idx="6">
                  <c:v>13</c:v>
                </c:pt>
                <c:pt idx="7">
                  <c:v>15</c:v>
                </c:pt>
                <c:pt idx="8">
                  <c:v>17</c:v>
                </c:pt>
                <c:pt idx="9">
                  <c:v>19</c:v>
                </c:pt>
                <c:pt idx="10">
                  <c:v>21</c:v>
                </c:pt>
                <c:pt idx="11">
                  <c:v>23</c:v>
                </c:pt>
                <c:pt idx="12">
                  <c:v>25</c:v>
                </c:pt>
                <c:pt idx="13">
                  <c:v>27</c:v>
                </c:pt>
                <c:pt idx="14">
                  <c:v>29</c:v>
                </c:pt>
                <c:pt idx="15">
                  <c:v>31</c:v>
                </c:pt>
                <c:pt idx="16">
                  <c:v>33</c:v>
                </c:pt>
                <c:pt idx="17">
                  <c:v>35</c:v>
                </c:pt>
                <c:pt idx="18">
                  <c:v>37</c:v>
                </c:pt>
                <c:pt idx="19">
                  <c:v>39</c:v>
                </c:pt>
                <c:pt idx="20">
                  <c:v>41</c:v>
                </c:pt>
                <c:pt idx="21">
                  <c:v>43</c:v>
                </c:pt>
                <c:pt idx="22">
                  <c:v>45</c:v>
                </c:pt>
                <c:pt idx="23">
                  <c:v>47</c:v>
                </c:pt>
                <c:pt idx="24">
                  <c:v>49</c:v>
                </c:pt>
                <c:pt idx="25">
                  <c:v>51</c:v>
                </c:pt>
                <c:pt idx="26">
                  <c:v>53</c:v>
                </c:pt>
                <c:pt idx="27">
                  <c:v>55</c:v>
                </c:pt>
                <c:pt idx="28">
                  <c:v>57</c:v>
                </c:pt>
                <c:pt idx="29">
                  <c:v>59</c:v>
                </c:pt>
                <c:pt idx="30">
                  <c:v>61</c:v>
                </c:pt>
                <c:pt idx="31">
                  <c:v>63</c:v>
                </c:pt>
                <c:pt idx="32">
                  <c:v>65</c:v>
                </c:pt>
                <c:pt idx="33">
                  <c:v>67</c:v>
                </c:pt>
                <c:pt idx="34">
                  <c:v>69</c:v>
                </c:pt>
                <c:pt idx="35">
                  <c:v>71</c:v>
                </c:pt>
                <c:pt idx="36">
                  <c:v>73</c:v>
                </c:pt>
                <c:pt idx="37">
                  <c:v>75</c:v>
                </c:pt>
                <c:pt idx="38">
                  <c:v>77</c:v>
                </c:pt>
                <c:pt idx="39">
                  <c:v>79</c:v>
                </c:pt>
                <c:pt idx="40">
                  <c:v>81</c:v>
                </c:pt>
                <c:pt idx="41">
                  <c:v>83</c:v>
                </c:pt>
                <c:pt idx="42">
                  <c:v>85</c:v>
                </c:pt>
                <c:pt idx="43">
                  <c:v>87</c:v>
                </c:pt>
                <c:pt idx="44">
                  <c:v>89</c:v>
                </c:pt>
                <c:pt idx="45">
                  <c:v>91</c:v>
                </c:pt>
                <c:pt idx="46">
                  <c:v>93</c:v>
                </c:pt>
                <c:pt idx="47">
                  <c:v>95</c:v>
                </c:pt>
                <c:pt idx="48">
                  <c:v>97</c:v>
                </c:pt>
                <c:pt idx="49">
                  <c:v>99</c:v>
                </c:pt>
                <c:pt idx="50">
                  <c:v>101</c:v>
                </c:pt>
                <c:pt idx="51">
                  <c:v>103</c:v>
                </c:pt>
                <c:pt idx="52">
                  <c:v>105</c:v>
                </c:pt>
                <c:pt idx="53">
                  <c:v>107</c:v>
                </c:pt>
                <c:pt idx="54">
                  <c:v>109</c:v>
                </c:pt>
                <c:pt idx="55">
                  <c:v>111</c:v>
                </c:pt>
                <c:pt idx="56">
                  <c:v>113</c:v>
                </c:pt>
                <c:pt idx="57">
                  <c:v>115</c:v>
                </c:pt>
                <c:pt idx="58">
                  <c:v>117</c:v>
                </c:pt>
                <c:pt idx="59">
                  <c:v>119</c:v>
                </c:pt>
                <c:pt idx="60">
                  <c:v>121</c:v>
                </c:pt>
                <c:pt idx="61">
                  <c:v>123</c:v>
                </c:pt>
                <c:pt idx="62">
                  <c:v>125</c:v>
                </c:pt>
                <c:pt idx="63">
                  <c:v>127</c:v>
                </c:pt>
                <c:pt idx="64">
                  <c:v>129</c:v>
                </c:pt>
                <c:pt idx="65">
                  <c:v>131</c:v>
                </c:pt>
                <c:pt idx="66">
                  <c:v>133</c:v>
                </c:pt>
                <c:pt idx="67">
                  <c:v>135</c:v>
                </c:pt>
                <c:pt idx="68">
                  <c:v>137</c:v>
                </c:pt>
                <c:pt idx="69">
                  <c:v>139</c:v>
                </c:pt>
                <c:pt idx="70">
                  <c:v>141</c:v>
                </c:pt>
                <c:pt idx="71">
                  <c:v>143</c:v>
                </c:pt>
                <c:pt idx="72">
                  <c:v>145</c:v>
                </c:pt>
                <c:pt idx="73">
                  <c:v>147</c:v>
                </c:pt>
                <c:pt idx="74">
                  <c:v>149</c:v>
                </c:pt>
                <c:pt idx="75">
                  <c:v>151</c:v>
                </c:pt>
                <c:pt idx="76">
                  <c:v>153</c:v>
                </c:pt>
                <c:pt idx="77">
                  <c:v>155</c:v>
                </c:pt>
                <c:pt idx="78">
                  <c:v>157</c:v>
                </c:pt>
                <c:pt idx="79">
                  <c:v>159</c:v>
                </c:pt>
                <c:pt idx="80">
                  <c:v>161</c:v>
                </c:pt>
                <c:pt idx="81">
                  <c:v>163</c:v>
                </c:pt>
                <c:pt idx="82">
                  <c:v>165</c:v>
                </c:pt>
                <c:pt idx="83">
                  <c:v>167</c:v>
                </c:pt>
                <c:pt idx="84">
                  <c:v>169</c:v>
                </c:pt>
                <c:pt idx="85">
                  <c:v>171</c:v>
                </c:pt>
                <c:pt idx="86">
                  <c:v>173</c:v>
                </c:pt>
                <c:pt idx="87">
                  <c:v>175</c:v>
                </c:pt>
                <c:pt idx="88">
                  <c:v>177</c:v>
                </c:pt>
                <c:pt idx="89">
                  <c:v>179</c:v>
                </c:pt>
                <c:pt idx="90">
                  <c:v>181</c:v>
                </c:pt>
                <c:pt idx="91">
                  <c:v>183</c:v>
                </c:pt>
                <c:pt idx="92">
                  <c:v>185</c:v>
                </c:pt>
                <c:pt idx="93">
                  <c:v>187</c:v>
                </c:pt>
                <c:pt idx="94">
                  <c:v>189</c:v>
                </c:pt>
                <c:pt idx="95">
                  <c:v>191</c:v>
                </c:pt>
                <c:pt idx="96">
                  <c:v>193</c:v>
                </c:pt>
                <c:pt idx="97">
                  <c:v>195</c:v>
                </c:pt>
                <c:pt idx="98">
                  <c:v>197</c:v>
                </c:pt>
                <c:pt idx="99">
                  <c:v>199</c:v>
                </c:pt>
                <c:pt idx="100">
                  <c:v>201</c:v>
                </c:pt>
                <c:pt idx="101">
                  <c:v>203</c:v>
                </c:pt>
                <c:pt idx="102">
                  <c:v>205</c:v>
                </c:pt>
                <c:pt idx="103">
                  <c:v>207</c:v>
                </c:pt>
                <c:pt idx="104">
                  <c:v>209</c:v>
                </c:pt>
                <c:pt idx="105">
                  <c:v>211</c:v>
                </c:pt>
                <c:pt idx="106">
                  <c:v>213</c:v>
                </c:pt>
                <c:pt idx="107">
                  <c:v>215</c:v>
                </c:pt>
                <c:pt idx="108">
                  <c:v>217</c:v>
                </c:pt>
                <c:pt idx="109">
                  <c:v>219</c:v>
                </c:pt>
                <c:pt idx="110">
                  <c:v>221</c:v>
                </c:pt>
                <c:pt idx="111">
                  <c:v>223</c:v>
                </c:pt>
                <c:pt idx="112">
                  <c:v>225</c:v>
                </c:pt>
                <c:pt idx="113">
                  <c:v>227</c:v>
                </c:pt>
                <c:pt idx="114">
                  <c:v>229</c:v>
                </c:pt>
                <c:pt idx="115">
                  <c:v>231</c:v>
                </c:pt>
                <c:pt idx="116">
                  <c:v>233</c:v>
                </c:pt>
                <c:pt idx="117">
                  <c:v>235</c:v>
                </c:pt>
                <c:pt idx="118">
                  <c:v>237</c:v>
                </c:pt>
                <c:pt idx="119">
                  <c:v>239</c:v>
                </c:pt>
                <c:pt idx="120">
                  <c:v>241</c:v>
                </c:pt>
                <c:pt idx="121">
                  <c:v>243</c:v>
                </c:pt>
                <c:pt idx="122">
                  <c:v>245</c:v>
                </c:pt>
                <c:pt idx="123">
                  <c:v>247</c:v>
                </c:pt>
                <c:pt idx="124">
                  <c:v>249</c:v>
                </c:pt>
                <c:pt idx="125">
                  <c:v>251</c:v>
                </c:pt>
                <c:pt idx="126">
                  <c:v>253</c:v>
                </c:pt>
                <c:pt idx="127">
                  <c:v>255</c:v>
                </c:pt>
                <c:pt idx="128">
                  <c:v>257</c:v>
                </c:pt>
                <c:pt idx="129">
                  <c:v>259</c:v>
                </c:pt>
                <c:pt idx="130">
                  <c:v>261</c:v>
                </c:pt>
                <c:pt idx="131">
                  <c:v>263</c:v>
                </c:pt>
                <c:pt idx="132">
                  <c:v>265</c:v>
                </c:pt>
                <c:pt idx="133">
                  <c:v>267</c:v>
                </c:pt>
                <c:pt idx="134">
                  <c:v>269</c:v>
                </c:pt>
                <c:pt idx="135">
                  <c:v>271</c:v>
                </c:pt>
                <c:pt idx="136">
                  <c:v>273</c:v>
                </c:pt>
                <c:pt idx="137">
                  <c:v>275</c:v>
                </c:pt>
                <c:pt idx="138">
                  <c:v>277</c:v>
                </c:pt>
                <c:pt idx="139">
                  <c:v>279</c:v>
                </c:pt>
                <c:pt idx="140">
                  <c:v>281</c:v>
                </c:pt>
                <c:pt idx="141">
                  <c:v>283</c:v>
                </c:pt>
                <c:pt idx="142">
                  <c:v>285</c:v>
                </c:pt>
                <c:pt idx="143">
                  <c:v>287</c:v>
                </c:pt>
                <c:pt idx="144">
                  <c:v>289</c:v>
                </c:pt>
                <c:pt idx="145">
                  <c:v>291</c:v>
                </c:pt>
                <c:pt idx="146">
                  <c:v>293</c:v>
                </c:pt>
                <c:pt idx="147">
                  <c:v>295</c:v>
                </c:pt>
                <c:pt idx="148">
                  <c:v>297</c:v>
                </c:pt>
                <c:pt idx="149">
                  <c:v>299</c:v>
                </c:pt>
                <c:pt idx="150">
                  <c:v>301</c:v>
                </c:pt>
                <c:pt idx="151">
                  <c:v>303</c:v>
                </c:pt>
                <c:pt idx="152">
                  <c:v>305</c:v>
                </c:pt>
                <c:pt idx="153">
                  <c:v>307</c:v>
                </c:pt>
                <c:pt idx="154">
                  <c:v>309</c:v>
                </c:pt>
                <c:pt idx="155">
                  <c:v>311</c:v>
                </c:pt>
                <c:pt idx="156">
                  <c:v>313</c:v>
                </c:pt>
                <c:pt idx="157">
                  <c:v>315</c:v>
                </c:pt>
                <c:pt idx="158">
                  <c:v>317</c:v>
                </c:pt>
                <c:pt idx="159">
                  <c:v>319</c:v>
                </c:pt>
                <c:pt idx="160">
                  <c:v>321</c:v>
                </c:pt>
                <c:pt idx="161">
                  <c:v>323</c:v>
                </c:pt>
                <c:pt idx="162">
                  <c:v>325</c:v>
                </c:pt>
                <c:pt idx="163">
                  <c:v>327</c:v>
                </c:pt>
                <c:pt idx="164">
                  <c:v>329</c:v>
                </c:pt>
                <c:pt idx="165">
                  <c:v>331</c:v>
                </c:pt>
                <c:pt idx="166">
                  <c:v>333</c:v>
                </c:pt>
                <c:pt idx="167">
                  <c:v>335</c:v>
                </c:pt>
                <c:pt idx="168">
                  <c:v>337</c:v>
                </c:pt>
                <c:pt idx="169">
                  <c:v>339</c:v>
                </c:pt>
                <c:pt idx="170">
                  <c:v>341</c:v>
                </c:pt>
                <c:pt idx="171">
                  <c:v>343</c:v>
                </c:pt>
                <c:pt idx="172">
                  <c:v>345</c:v>
                </c:pt>
                <c:pt idx="173">
                  <c:v>347</c:v>
                </c:pt>
                <c:pt idx="174">
                  <c:v>349</c:v>
                </c:pt>
                <c:pt idx="175">
                  <c:v>351</c:v>
                </c:pt>
                <c:pt idx="176">
                  <c:v>353</c:v>
                </c:pt>
                <c:pt idx="177">
                  <c:v>355</c:v>
                </c:pt>
                <c:pt idx="178">
                  <c:v>357</c:v>
                </c:pt>
                <c:pt idx="179">
                  <c:v>359</c:v>
                </c:pt>
                <c:pt idx="180">
                  <c:v>361</c:v>
                </c:pt>
                <c:pt idx="181">
                  <c:v>363</c:v>
                </c:pt>
                <c:pt idx="182">
                  <c:v>365</c:v>
                </c:pt>
                <c:pt idx="183">
                  <c:v>367</c:v>
                </c:pt>
                <c:pt idx="184">
                  <c:v>369</c:v>
                </c:pt>
                <c:pt idx="185">
                  <c:v>371</c:v>
                </c:pt>
                <c:pt idx="186">
                  <c:v>373</c:v>
                </c:pt>
                <c:pt idx="187">
                  <c:v>375</c:v>
                </c:pt>
                <c:pt idx="188">
                  <c:v>377</c:v>
                </c:pt>
                <c:pt idx="189">
                  <c:v>379</c:v>
                </c:pt>
                <c:pt idx="190">
                  <c:v>381</c:v>
                </c:pt>
                <c:pt idx="191">
                  <c:v>383</c:v>
                </c:pt>
                <c:pt idx="192">
                  <c:v>385</c:v>
                </c:pt>
                <c:pt idx="193">
                  <c:v>387</c:v>
                </c:pt>
                <c:pt idx="194">
                  <c:v>389</c:v>
                </c:pt>
                <c:pt idx="195">
                  <c:v>391</c:v>
                </c:pt>
                <c:pt idx="196">
                  <c:v>393</c:v>
                </c:pt>
                <c:pt idx="197">
                  <c:v>395</c:v>
                </c:pt>
                <c:pt idx="198">
                  <c:v>397</c:v>
                </c:pt>
                <c:pt idx="199">
                  <c:v>399</c:v>
                </c:pt>
                <c:pt idx="200">
                  <c:v>401</c:v>
                </c:pt>
                <c:pt idx="201">
                  <c:v>403</c:v>
                </c:pt>
                <c:pt idx="202">
                  <c:v>405</c:v>
                </c:pt>
                <c:pt idx="203">
                  <c:v>407</c:v>
                </c:pt>
                <c:pt idx="204">
                  <c:v>409</c:v>
                </c:pt>
                <c:pt idx="205">
                  <c:v>411</c:v>
                </c:pt>
                <c:pt idx="206">
                  <c:v>413</c:v>
                </c:pt>
                <c:pt idx="207">
                  <c:v>415</c:v>
                </c:pt>
                <c:pt idx="208">
                  <c:v>417</c:v>
                </c:pt>
                <c:pt idx="209">
                  <c:v>419</c:v>
                </c:pt>
                <c:pt idx="210">
                  <c:v>421</c:v>
                </c:pt>
                <c:pt idx="211">
                  <c:v>423</c:v>
                </c:pt>
                <c:pt idx="212">
                  <c:v>425</c:v>
                </c:pt>
                <c:pt idx="213">
                  <c:v>427</c:v>
                </c:pt>
                <c:pt idx="214">
                  <c:v>429</c:v>
                </c:pt>
                <c:pt idx="215">
                  <c:v>431</c:v>
                </c:pt>
                <c:pt idx="216">
                  <c:v>433</c:v>
                </c:pt>
                <c:pt idx="217">
                  <c:v>435</c:v>
                </c:pt>
                <c:pt idx="218">
                  <c:v>437</c:v>
                </c:pt>
                <c:pt idx="219">
                  <c:v>439</c:v>
                </c:pt>
                <c:pt idx="220">
                  <c:v>441</c:v>
                </c:pt>
                <c:pt idx="221">
                  <c:v>443</c:v>
                </c:pt>
                <c:pt idx="222">
                  <c:v>445</c:v>
                </c:pt>
                <c:pt idx="223">
                  <c:v>447</c:v>
                </c:pt>
                <c:pt idx="224">
                  <c:v>449</c:v>
                </c:pt>
                <c:pt idx="225">
                  <c:v>451</c:v>
                </c:pt>
                <c:pt idx="226">
                  <c:v>453</c:v>
                </c:pt>
                <c:pt idx="227">
                  <c:v>455</c:v>
                </c:pt>
                <c:pt idx="228">
                  <c:v>457</c:v>
                </c:pt>
                <c:pt idx="229">
                  <c:v>459</c:v>
                </c:pt>
                <c:pt idx="230">
                  <c:v>461</c:v>
                </c:pt>
                <c:pt idx="231">
                  <c:v>463</c:v>
                </c:pt>
                <c:pt idx="232">
                  <c:v>465</c:v>
                </c:pt>
                <c:pt idx="233">
                  <c:v>467</c:v>
                </c:pt>
                <c:pt idx="234">
                  <c:v>469</c:v>
                </c:pt>
                <c:pt idx="235">
                  <c:v>471</c:v>
                </c:pt>
                <c:pt idx="236">
                  <c:v>473</c:v>
                </c:pt>
                <c:pt idx="237">
                  <c:v>475</c:v>
                </c:pt>
                <c:pt idx="238">
                  <c:v>477</c:v>
                </c:pt>
                <c:pt idx="239">
                  <c:v>479</c:v>
                </c:pt>
                <c:pt idx="240">
                  <c:v>481</c:v>
                </c:pt>
                <c:pt idx="241">
                  <c:v>483</c:v>
                </c:pt>
                <c:pt idx="242">
                  <c:v>485</c:v>
                </c:pt>
                <c:pt idx="243">
                  <c:v>487</c:v>
                </c:pt>
                <c:pt idx="244">
                  <c:v>489</c:v>
                </c:pt>
                <c:pt idx="245">
                  <c:v>491</c:v>
                </c:pt>
                <c:pt idx="246">
                  <c:v>493</c:v>
                </c:pt>
                <c:pt idx="247">
                  <c:v>495</c:v>
                </c:pt>
                <c:pt idx="248">
                  <c:v>497</c:v>
                </c:pt>
                <c:pt idx="249">
                  <c:v>499</c:v>
                </c:pt>
                <c:pt idx="250">
                  <c:v>501</c:v>
                </c:pt>
                <c:pt idx="251">
                  <c:v>503</c:v>
                </c:pt>
                <c:pt idx="252">
                  <c:v>505</c:v>
                </c:pt>
                <c:pt idx="253">
                  <c:v>507</c:v>
                </c:pt>
                <c:pt idx="254">
                  <c:v>509</c:v>
                </c:pt>
                <c:pt idx="255">
                  <c:v>511</c:v>
                </c:pt>
                <c:pt idx="256">
                  <c:v>513</c:v>
                </c:pt>
                <c:pt idx="257">
                  <c:v>515</c:v>
                </c:pt>
                <c:pt idx="258">
                  <c:v>517</c:v>
                </c:pt>
                <c:pt idx="259">
                  <c:v>519</c:v>
                </c:pt>
                <c:pt idx="260">
                  <c:v>521</c:v>
                </c:pt>
                <c:pt idx="261">
                  <c:v>523</c:v>
                </c:pt>
                <c:pt idx="262">
                  <c:v>525</c:v>
                </c:pt>
                <c:pt idx="263">
                  <c:v>527</c:v>
                </c:pt>
                <c:pt idx="264">
                  <c:v>529</c:v>
                </c:pt>
                <c:pt idx="265">
                  <c:v>531</c:v>
                </c:pt>
                <c:pt idx="266">
                  <c:v>533</c:v>
                </c:pt>
                <c:pt idx="267">
                  <c:v>535</c:v>
                </c:pt>
                <c:pt idx="268">
                  <c:v>537</c:v>
                </c:pt>
                <c:pt idx="269">
                  <c:v>539</c:v>
                </c:pt>
                <c:pt idx="270">
                  <c:v>541</c:v>
                </c:pt>
                <c:pt idx="271">
                  <c:v>543</c:v>
                </c:pt>
                <c:pt idx="272">
                  <c:v>545</c:v>
                </c:pt>
                <c:pt idx="273">
                  <c:v>547</c:v>
                </c:pt>
                <c:pt idx="274">
                  <c:v>549</c:v>
                </c:pt>
                <c:pt idx="275">
                  <c:v>551</c:v>
                </c:pt>
                <c:pt idx="276">
                  <c:v>553</c:v>
                </c:pt>
                <c:pt idx="277">
                  <c:v>555</c:v>
                </c:pt>
                <c:pt idx="278">
                  <c:v>557</c:v>
                </c:pt>
                <c:pt idx="279">
                  <c:v>559</c:v>
                </c:pt>
                <c:pt idx="280">
                  <c:v>561</c:v>
                </c:pt>
                <c:pt idx="281">
                  <c:v>563</c:v>
                </c:pt>
                <c:pt idx="282">
                  <c:v>565</c:v>
                </c:pt>
                <c:pt idx="283">
                  <c:v>567</c:v>
                </c:pt>
                <c:pt idx="284">
                  <c:v>569</c:v>
                </c:pt>
                <c:pt idx="285">
                  <c:v>571</c:v>
                </c:pt>
                <c:pt idx="286">
                  <c:v>573</c:v>
                </c:pt>
                <c:pt idx="287">
                  <c:v>575</c:v>
                </c:pt>
                <c:pt idx="288">
                  <c:v>577</c:v>
                </c:pt>
                <c:pt idx="289">
                  <c:v>579</c:v>
                </c:pt>
                <c:pt idx="290">
                  <c:v>581</c:v>
                </c:pt>
                <c:pt idx="291">
                  <c:v>583</c:v>
                </c:pt>
                <c:pt idx="292">
                  <c:v>585</c:v>
                </c:pt>
                <c:pt idx="293">
                  <c:v>587</c:v>
                </c:pt>
                <c:pt idx="294">
                  <c:v>589</c:v>
                </c:pt>
                <c:pt idx="295">
                  <c:v>591</c:v>
                </c:pt>
                <c:pt idx="296">
                  <c:v>593</c:v>
                </c:pt>
                <c:pt idx="297">
                  <c:v>595</c:v>
                </c:pt>
                <c:pt idx="298">
                  <c:v>597</c:v>
                </c:pt>
                <c:pt idx="299">
                  <c:v>599</c:v>
                </c:pt>
                <c:pt idx="300">
                  <c:v>601</c:v>
                </c:pt>
                <c:pt idx="301">
                  <c:v>603</c:v>
                </c:pt>
                <c:pt idx="302">
                  <c:v>605</c:v>
                </c:pt>
                <c:pt idx="303">
                  <c:v>607</c:v>
                </c:pt>
                <c:pt idx="304">
                  <c:v>609</c:v>
                </c:pt>
                <c:pt idx="305">
                  <c:v>611</c:v>
                </c:pt>
                <c:pt idx="306">
                  <c:v>613</c:v>
                </c:pt>
                <c:pt idx="307">
                  <c:v>615</c:v>
                </c:pt>
                <c:pt idx="308">
                  <c:v>617</c:v>
                </c:pt>
                <c:pt idx="309">
                  <c:v>619</c:v>
                </c:pt>
                <c:pt idx="310">
                  <c:v>621</c:v>
                </c:pt>
                <c:pt idx="311">
                  <c:v>623</c:v>
                </c:pt>
                <c:pt idx="312">
                  <c:v>625</c:v>
                </c:pt>
                <c:pt idx="313">
                  <c:v>627</c:v>
                </c:pt>
                <c:pt idx="314">
                  <c:v>629</c:v>
                </c:pt>
                <c:pt idx="315">
                  <c:v>631</c:v>
                </c:pt>
                <c:pt idx="316">
                  <c:v>633</c:v>
                </c:pt>
                <c:pt idx="317">
                  <c:v>635</c:v>
                </c:pt>
                <c:pt idx="318">
                  <c:v>637</c:v>
                </c:pt>
                <c:pt idx="319">
                  <c:v>639</c:v>
                </c:pt>
                <c:pt idx="320">
                  <c:v>641</c:v>
                </c:pt>
                <c:pt idx="321">
                  <c:v>643</c:v>
                </c:pt>
                <c:pt idx="322">
                  <c:v>645</c:v>
                </c:pt>
                <c:pt idx="323">
                  <c:v>647</c:v>
                </c:pt>
                <c:pt idx="324">
                  <c:v>649</c:v>
                </c:pt>
                <c:pt idx="325">
                  <c:v>651</c:v>
                </c:pt>
                <c:pt idx="326">
                  <c:v>653</c:v>
                </c:pt>
                <c:pt idx="327">
                  <c:v>655</c:v>
                </c:pt>
                <c:pt idx="328">
                  <c:v>657</c:v>
                </c:pt>
                <c:pt idx="329">
                  <c:v>659</c:v>
                </c:pt>
                <c:pt idx="330">
                  <c:v>661</c:v>
                </c:pt>
                <c:pt idx="331">
                  <c:v>663</c:v>
                </c:pt>
                <c:pt idx="332">
                  <c:v>665</c:v>
                </c:pt>
                <c:pt idx="333">
                  <c:v>667</c:v>
                </c:pt>
                <c:pt idx="334">
                  <c:v>669</c:v>
                </c:pt>
                <c:pt idx="335">
                  <c:v>671</c:v>
                </c:pt>
                <c:pt idx="336">
                  <c:v>673</c:v>
                </c:pt>
                <c:pt idx="337">
                  <c:v>675</c:v>
                </c:pt>
                <c:pt idx="338">
                  <c:v>677</c:v>
                </c:pt>
                <c:pt idx="339">
                  <c:v>679</c:v>
                </c:pt>
                <c:pt idx="340">
                  <c:v>681</c:v>
                </c:pt>
                <c:pt idx="341">
                  <c:v>683</c:v>
                </c:pt>
                <c:pt idx="342">
                  <c:v>685</c:v>
                </c:pt>
                <c:pt idx="343">
                  <c:v>687</c:v>
                </c:pt>
                <c:pt idx="344">
                  <c:v>689</c:v>
                </c:pt>
                <c:pt idx="345">
                  <c:v>691</c:v>
                </c:pt>
                <c:pt idx="346">
                  <c:v>693</c:v>
                </c:pt>
                <c:pt idx="347">
                  <c:v>695</c:v>
                </c:pt>
                <c:pt idx="348">
                  <c:v>697</c:v>
                </c:pt>
                <c:pt idx="349">
                  <c:v>699</c:v>
                </c:pt>
                <c:pt idx="350">
                  <c:v>701</c:v>
                </c:pt>
                <c:pt idx="351">
                  <c:v>703</c:v>
                </c:pt>
                <c:pt idx="352">
                  <c:v>705</c:v>
                </c:pt>
                <c:pt idx="353">
                  <c:v>707</c:v>
                </c:pt>
                <c:pt idx="354">
                  <c:v>709</c:v>
                </c:pt>
                <c:pt idx="355">
                  <c:v>711</c:v>
                </c:pt>
                <c:pt idx="356">
                  <c:v>713</c:v>
                </c:pt>
                <c:pt idx="357">
                  <c:v>715</c:v>
                </c:pt>
                <c:pt idx="358">
                  <c:v>717</c:v>
                </c:pt>
                <c:pt idx="359">
                  <c:v>719</c:v>
                </c:pt>
                <c:pt idx="360">
                  <c:v>721</c:v>
                </c:pt>
                <c:pt idx="361">
                  <c:v>723</c:v>
                </c:pt>
                <c:pt idx="362">
                  <c:v>725</c:v>
                </c:pt>
                <c:pt idx="363">
                  <c:v>727</c:v>
                </c:pt>
                <c:pt idx="364">
                  <c:v>729</c:v>
                </c:pt>
                <c:pt idx="365">
                  <c:v>731</c:v>
                </c:pt>
                <c:pt idx="366">
                  <c:v>733</c:v>
                </c:pt>
                <c:pt idx="367">
                  <c:v>735</c:v>
                </c:pt>
                <c:pt idx="368">
                  <c:v>737</c:v>
                </c:pt>
                <c:pt idx="369">
                  <c:v>739</c:v>
                </c:pt>
                <c:pt idx="370">
                  <c:v>741</c:v>
                </c:pt>
                <c:pt idx="371">
                  <c:v>743</c:v>
                </c:pt>
                <c:pt idx="372">
                  <c:v>745</c:v>
                </c:pt>
                <c:pt idx="373">
                  <c:v>747</c:v>
                </c:pt>
                <c:pt idx="374">
                  <c:v>749</c:v>
                </c:pt>
                <c:pt idx="375">
                  <c:v>751</c:v>
                </c:pt>
                <c:pt idx="376">
                  <c:v>753</c:v>
                </c:pt>
                <c:pt idx="377">
                  <c:v>755</c:v>
                </c:pt>
                <c:pt idx="378">
                  <c:v>757</c:v>
                </c:pt>
                <c:pt idx="379">
                  <c:v>759</c:v>
                </c:pt>
                <c:pt idx="380">
                  <c:v>761</c:v>
                </c:pt>
                <c:pt idx="381">
                  <c:v>763</c:v>
                </c:pt>
                <c:pt idx="382">
                  <c:v>765</c:v>
                </c:pt>
                <c:pt idx="383">
                  <c:v>767</c:v>
                </c:pt>
                <c:pt idx="384">
                  <c:v>769</c:v>
                </c:pt>
                <c:pt idx="385">
                  <c:v>771</c:v>
                </c:pt>
                <c:pt idx="386">
                  <c:v>773</c:v>
                </c:pt>
                <c:pt idx="387">
                  <c:v>775</c:v>
                </c:pt>
                <c:pt idx="388">
                  <c:v>777</c:v>
                </c:pt>
                <c:pt idx="389">
                  <c:v>779</c:v>
                </c:pt>
                <c:pt idx="390">
                  <c:v>781</c:v>
                </c:pt>
                <c:pt idx="391">
                  <c:v>783</c:v>
                </c:pt>
                <c:pt idx="392">
                  <c:v>785</c:v>
                </c:pt>
                <c:pt idx="393">
                  <c:v>787</c:v>
                </c:pt>
                <c:pt idx="394">
                  <c:v>789</c:v>
                </c:pt>
                <c:pt idx="395">
                  <c:v>791</c:v>
                </c:pt>
                <c:pt idx="396">
                  <c:v>793</c:v>
                </c:pt>
                <c:pt idx="397">
                  <c:v>795</c:v>
                </c:pt>
                <c:pt idx="398">
                  <c:v>797</c:v>
                </c:pt>
                <c:pt idx="399">
                  <c:v>799</c:v>
                </c:pt>
                <c:pt idx="400">
                  <c:v>801</c:v>
                </c:pt>
                <c:pt idx="401">
                  <c:v>803</c:v>
                </c:pt>
                <c:pt idx="402">
                  <c:v>805</c:v>
                </c:pt>
                <c:pt idx="403">
                  <c:v>807</c:v>
                </c:pt>
                <c:pt idx="404">
                  <c:v>809</c:v>
                </c:pt>
                <c:pt idx="405">
                  <c:v>811</c:v>
                </c:pt>
                <c:pt idx="406">
                  <c:v>813</c:v>
                </c:pt>
                <c:pt idx="407">
                  <c:v>815</c:v>
                </c:pt>
                <c:pt idx="408">
                  <c:v>817</c:v>
                </c:pt>
                <c:pt idx="409">
                  <c:v>819</c:v>
                </c:pt>
                <c:pt idx="410">
                  <c:v>821</c:v>
                </c:pt>
                <c:pt idx="411">
                  <c:v>823</c:v>
                </c:pt>
                <c:pt idx="412">
                  <c:v>825</c:v>
                </c:pt>
                <c:pt idx="413">
                  <c:v>827</c:v>
                </c:pt>
                <c:pt idx="414">
                  <c:v>829</c:v>
                </c:pt>
                <c:pt idx="415">
                  <c:v>831</c:v>
                </c:pt>
                <c:pt idx="416">
                  <c:v>833</c:v>
                </c:pt>
                <c:pt idx="417">
                  <c:v>835</c:v>
                </c:pt>
                <c:pt idx="418">
                  <c:v>837</c:v>
                </c:pt>
                <c:pt idx="419">
                  <c:v>839</c:v>
                </c:pt>
                <c:pt idx="420">
                  <c:v>841</c:v>
                </c:pt>
                <c:pt idx="421">
                  <c:v>843</c:v>
                </c:pt>
                <c:pt idx="422">
                  <c:v>845</c:v>
                </c:pt>
                <c:pt idx="423">
                  <c:v>847</c:v>
                </c:pt>
                <c:pt idx="424">
                  <c:v>849</c:v>
                </c:pt>
                <c:pt idx="425">
                  <c:v>851</c:v>
                </c:pt>
                <c:pt idx="426">
                  <c:v>853</c:v>
                </c:pt>
                <c:pt idx="427">
                  <c:v>855</c:v>
                </c:pt>
                <c:pt idx="428">
                  <c:v>857</c:v>
                </c:pt>
                <c:pt idx="429">
                  <c:v>859</c:v>
                </c:pt>
                <c:pt idx="430">
                  <c:v>861</c:v>
                </c:pt>
                <c:pt idx="431">
                  <c:v>863</c:v>
                </c:pt>
                <c:pt idx="432">
                  <c:v>865</c:v>
                </c:pt>
                <c:pt idx="433">
                  <c:v>867</c:v>
                </c:pt>
                <c:pt idx="434">
                  <c:v>869</c:v>
                </c:pt>
                <c:pt idx="435">
                  <c:v>871</c:v>
                </c:pt>
                <c:pt idx="436">
                  <c:v>873</c:v>
                </c:pt>
                <c:pt idx="437">
                  <c:v>875</c:v>
                </c:pt>
                <c:pt idx="438">
                  <c:v>877</c:v>
                </c:pt>
                <c:pt idx="439">
                  <c:v>879</c:v>
                </c:pt>
                <c:pt idx="440">
                  <c:v>881</c:v>
                </c:pt>
                <c:pt idx="441">
                  <c:v>883</c:v>
                </c:pt>
                <c:pt idx="442">
                  <c:v>885</c:v>
                </c:pt>
                <c:pt idx="443">
                  <c:v>887</c:v>
                </c:pt>
                <c:pt idx="444">
                  <c:v>889</c:v>
                </c:pt>
                <c:pt idx="445">
                  <c:v>891</c:v>
                </c:pt>
                <c:pt idx="446">
                  <c:v>893</c:v>
                </c:pt>
                <c:pt idx="447">
                  <c:v>895</c:v>
                </c:pt>
                <c:pt idx="448">
                  <c:v>897</c:v>
                </c:pt>
                <c:pt idx="449">
                  <c:v>899</c:v>
                </c:pt>
                <c:pt idx="450">
                  <c:v>901</c:v>
                </c:pt>
                <c:pt idx="451">
                  <c:v>903</c:v>
                </c:pt>
                <c:pt idx="452">
                  <c:v>905</c:v>
                </c:pt>
                <c:pt idx="453">
                  <c:v>907</c:v>
                </c:pt>
                <c:pt idx="454">
                  <c:v>909</c:v>
                </c:pt>
                <c:pt idx="455">
                  <c:v>911</c:v>
                </c:pt>
                <c:pt idx="456">
                  <c:v>913</c:v>
                </c:pt>
                <c:pt idx="457">
                  <c:v>915</c:v>
                </c:pt>
                <c:pt idx="458">
                  <c:v>917</c:v>
                </c:pt>
                <c:pt idx="459">
                  <c:v>919</c:v>
                </c:pt>
                <c:pt idx="460">
                  <c:v>921</c:v>
                </c:pt>
                <c:pt idx="461">
                  <c:v>923</c:v>
                </c:pt>
                <c:pt idx="462">
                  <c:v>925</c:v>
                </c:pt>
                <c:pt idx="463">
                  <c:v>927</c:v>
                </c:pt>
                <c:pt idx="464">
                  <c:v>929</c:v>
                </c:pt>
                <c:pt idx="465">
                  <c:v>931</c:v>
                </c:pt>
                <c:pt idx="466">
                  <c:v>933</c:v>
                </c:pt>
                <c:pt idx="467">
                  <c:v>935</c:v>
                </c:pt>
                <c:pt idx="468">
                  <c:v>937</c:v>
                </c:pt>
                <c:pt idx="469">
                  <c:v>939</c:v>
                </c:pt>
                <c:pt idx="470">
                  <c:v>941</c:v>
                </c:pt>
                <c:pt idx="471">
                  <c:v>943</c:v>
                </c:pt>
                <c:pt idx="472">
                  <c:v>945</c:v>
                </c:pt>
                <c:pt idx="473">
                  <c:v>947</c:v>
                </c:pt>
                <c:pt idx="474">
                  <c:v>949</c:v>
                </c:pt>
                <c:pt idx="475">
                  <c:v>951</c:v>
                </c:pt>
                <c:pt idx="476">
                  <c:v>953</c:v>
                </c:pt>
                <c:pt idx="477">
                  <c:v>955</c:v>
                </c:pt>
                <c:pt idx="478">
                  <c:v>957</c:v>
                </c:pt>
                <c:pt idx="479">
                  <c:v>959</c:v>
                </c:pt>
                <c:pt idx="480">
                  <c:v>961</c:v>
                </c:pt>
                <c:pt idx="481">
                  <c:v>963</c:v>
                </c:pt>
                <c:pt idx="482">
                  <c:v>965</c:v>
                </c:pt>
                <c:pt idx="483">
                  <c:v>967</c:v>
                </c:pt>
                <c:pt idx="484">
                  <c:v>969</c:v>
                </c:pt>
                <c:pt idx="485">
                  <c:v>971</c:v>
                </c:pt>
                <c:pt idx="486">
                  <c:v>973</c:v>
                </c:pt>
                <c:pt idx="487">
                  <c:v>975</c:v>
                </c:pt>
                <c:pt idx="488">
                  <c:v>977</c:v>
                </c:pt>
                <c:pt idx="489">
                  <c:v>979</c:v>
                </c:pt>
                <c:pt idx="490">
                  <c:v>981</c:v>
                </c:pt>
                <c:pt idx="491">
                  <c:v>983</c:v>
                </c:pt>
                <c:pt idx="492">
                  <c:v>985</c:v>
                </c:pt>
                <c:pt idx="493">
                  <c:v>987</c:v>
                </c:pt>
                <c:pt idx="494">
                  <c:v>989</c:v>
                </c:pt>
                <c:pt idx="495">
                  <c:v>991</c:v>
                </c:pt>
                <c:pt idx="496">
                  <c:v>993</c:v>
                </c:pt>
                <c:pt idx="497">
                  <c:v>995</c:v>
                </c:pt>
                <c:pt idx="498">
                  <c:v>997</c:v>
                </c:pt>
                <c:pt idx="499">
                  <c:v>999</c:v>
                </c:pt>
                <c:pt idx="500">
                  <c:v>1001</c:v>
                </c:pt>
                <c:pt idx="501">
                  <c:v>1003</c:v>
                </c:pt>
                <c:pt idx="502">
                  <c:v>1005</c:v>
                </c:pt>
                <c:pt idx="503">
                  <c:v>1007</c:v>
                </c:pt>
                <c:pt idx="504">
                  <c:v>1009</c:v>
                </c:pt>
                <c:pt idx="505">
                  <c:v>1011</c:v>
                </c:pt>
                <c:pt idx="506">
                  <c:v>1013</c:v>
                </c:pt>
                <c:pt idx="507">
                  <c:v>1015</c:v>
                </c:pt>
                <c:pt idx="508">
                  <c:v>1017</c:v>
                </c:pt>
                <c:pt idx="509">
                  <c:v>1019</c:v>
                </c:pt>
                <c:pt idx="510">
                  <c:v>1021</c:v>
                </c:pt>
                <c:pt idx="511">
                  <c:v>1023</c:v>
                </c:pt>
                <c:pt idx="512">
                  <c:v>1025</c:v>
                </c:pt>
                <c:pt idx="513">
                  <c:v>1027</c:v>
                </c:pt>
                <c:pt idx="514">
                  <c:v>1029</c:v>
                </c:pt>
                <c:pt idx="515">
                  <c:v>1031</c:v>
                </c:pt>
                <c:pt idx="516">
                  <c:v>1033</c:v>
                </c:pt>
                <c:pt idx="517">
                  <c:v>1035</c:v>
                </c:pt>
                <c:pt idx="518">
                  <c:v>1037</c:v>
                </c:pt>
                <c:pt idx="519">
                  <c:v>1039</c:v>
                </c:pt>
                <c:pt idx="520">
                  <c:v>1041</c:v>
                </c:pt>
                <c:pt idx="521">
                  <c:v>1043</c:v>
                </c:pt>
                <c:pt idx="522">
                  <c:v>1045</c:v>
                </c:pt>
                <c:pt idx="523">
                  <c:v>1047</c:v>
                </c:pt>
                <c:pt idx="524">
                  <c:v>1049</c:v>
                </c:pt>
                <c:pt idx="525">
                  <c:v>1051</c:v>
                </c:pt>
                <c:pt idx="526">
                  <c:v>1053</c:v>
                </c:pt>
                <c:pt idx="527">
                  <c:v>1055</c:v>
                </c:pt>
                <c:pt idx="528">
                  <c:v>1057</c:v>
                </c:pt>
                <c:pt idx="529">
                  <c:v>1059</c:v>
                </c:pt>
                <c:pt idx="530">
                  <c:v>1061</c:v>
                </c:pt>
                <c:pt idx="531">
                  <c:v>1063</c:v>
                </c:pt>
                <c:pt idx="532">
                  <c:v>1065</c:v>
                </c:pt>
                <c:pt idx="533">
                  <c:v>1067</c:v>
                </c:pt>
                <c:pt idx="534">
                  <c:v>1069</c:v>
                </c:pt>
                <c:pt idx="535">
                  <c:v>1071</c:v>
                </c:pt>
                <c:pt idx="536">
                  <c:v>1073</c:v>
                </c:pt>
                <c:pt idx="537">
                  <c:v>1075</c:v>
                </c:pt>
                <c:pt idx="538">
                  <c:v>1077</c:v>
                </c:pt>
                <c:pt idx="539">
                  <c:v>1079</c:v>
                </c:pt>
                <c:pt idx="540">
                  <c:v>1081</c:v>
                </c:pt>
                <c:pt idx="541">
                  <c:v>1083</c:v>
                </c:pt>
                <c:pt idx="542">
                  <c:v>1085</c:v>
                </c:pt>
                <c:pt idx="543">
                  <c:v>1087</c:v>
                </c:pt>
                <c:pt idx="544">
                  <c:v>1089</c:v>
                </c:pt>
                <c:pt idx="545">
                  <c:v>1091</c:v>
                </c:pt>
                <c:pt idx="546">
                  <c:v>1093</c:v>
                </c:pt>
                <c:pt idx="547">
                  <c:v>1095</c:v>
                </c:pt>
                <c:pt idx="548">
                  <c:v>1097</c:v>
                </c:pt>
                <c:pt idx="549">
                  <c:v>1099</c:v>
                </c:pt>
                <c:pt idx="550">
                  <c:v>1101</c:v>
                </c:pt>
                <c:pt idx="551">
                  <c:v>1103</c:v>
                </c:pt>
                <c:pt idx="552">
                  <c:v>1105</c:v>
                </c:pt>
                <c:pt idx="553">
                  <c:v>1107</c:v>
                </c:pt>
                <c:pt idx="554">
                  <c:v>1109</c:v>
                </c:pt>
                <c:pt idx="555">
                  <c:v>1111</c:v>
                </c:pt>
                <c:pt idx="556">
                  <c:v>1113</c:v>
                </c:pt>
                <c:pt idx="557">
                  <c:v>1115</c:v>
                </c:pt>
                <c:pt idx="558">
                  <c:v>1117</c:v>
                </c:pt>
                <c:pt idx="559">
                  <c:v>1119</c:v>
                </c:pt>
                <c:pt idx="560">
                  <c:v>1121</c:v>
                </c:pt>
                <c:pt idx="561">
                  <c:v>1123</c:v>
                </c:pt>
                <c:pt idx="562">
                  <c:v>1125</c:v>
                </c:pt>
                <c:pt idx="563">
                  <c:v>1127</c:v>
                </c:pt>
                <c:pt idx="564">
                  <c:v>1129</c:v>
                </c:pt>
                <c:pt idx="565">
                  <c:v>1131</c:v>
                </c:pt>
                <c:pt idx="566">
                  <c:v>1133</c:v>
                </c:pt>
                <c:pt idx="567">
                  <c:v>1135</c:v>
                </c:pt>
                <c:pt idx="568">
                  <c:v>1137</c:v>
                </c:pt>
                <c:pt idx="569">
                  <c:v>1139</c:v>
                </c:pt>
                <c:pt idx="570">
                  <c:v>1141</c:v>
                </c:pt>
                <c:pt idx="571">
                  <c:v>1143</c:v>
                </c:pt>
                <c:pt idx="572">
                  <c:v>1145</c:v>
                </c:pt>
                <c:pt idx="573">
                  <c:v>1147</c:v>
                </c:pt>
                <c:pt idx="574">
                  <c:v>1149</c:v>
                </c:pt>
                <c:pt idx="575">
                  <c:v>1151</c:v>
                </c:pt>
                <c:pt idx="576">
                  <c:v>1153</c:v>
                </c:pt>
                <c:pt idx="577">
                  <c:v>1155</c:v>
                </c:pt>
                <c:pt idx="578">
                  <c:v>1157</c:v>
                </c:pt>
                <c:pt idx="579">
                  <c:v>1159</c:v>
                </c:pt>
                <c:pt idx="580">
                  <c:v>1161</c:v>
                </c:pt>
                <c:pt idx="581">
                  <c:v>1163</c:v>
                </c:pt>
                <c:pt idx="582">
                  <c:v>1165</c:v>
                </c:pt>
                <c:pt idx="583">
                  <c:v>1167</c:v>
                </c:pt>
                <c:pt idx="584">
                  <c:v>1169</c:v>
                </c:pt>
                <c:pt idx="585">
                  <c:v>1171</c:v>
                </c:pt>
                <c:pt idx="586">
                  <c:v>1173</c:v>
                </c:pt>
                <c:pt idx="587">
                  <c:v>1175</c:v>
                </c:pt>
                <c:pt idx="588">
                  <c:v>1177</c:v>
                </c:pt>
                <c:pt idx="589">
                  <c:v>1179</c:v>
                </c:pt>
                <c:pt idx="590">
                  <c:v>1181</c:v>
                </c:pt>
                <c:pt idx="591">
                  <c:v>1183</c:v>
                </c:pt>
                <c:pt idx="592">
                  <c:v>1185</c:v>
                </c:pt>
                <c:pt idx="593">
                  <c:v>1187</c:v>
                </c:pt>
                <c:pt idx="594">
                  <c:v>1189</c:v>
                </c:pt>
                <c:pt idx="595">
                  <c:v>1191</c:v>
                </c:pt>
                <c:pt idx="596">
                  <c:v>1193</c:v>
                </c:pt>
                <c:pt idx="597">
                  <c:v>1195</c:v>
                </c:pt>
                <c:pt idx="598">
                  <c:v>1197</c:v>
                </c:pt>
                <c:pt idx="599">
                  <c:v>1199</c:v>
                </c:pt>
                <c:pt idx="600">
                  <c:v>1201</c:v>
                </c:pt>
                <c:pt idx="601">
                  <c:v>1203</c:v>
                </c:pt>
                <c:pt idx="602">
                  <c:v>1205</c:v>
                </c:pt>
                <c:pt idx="603">
                  <c:v>1207</c:v>
                </c:pt>
                <c:pt idx="604">
                  <c:v>1209</c:v>
                </c:pt>
                <c:pt idx="605">
                  <c:v>1211</c:v>
                </c:pt>
                <c:pt idx="606">
                  <c:v>1213</c:v>
                </c:pt>
                <c:pt idx="607">
                  <c:v>1215</c:v>
                </c:pt>
                <c:pt idx="608">
                  <c:v>1217</c:v>
                </c:pt>
                <c:pt idx="609">
                  <c:v>1219</c:v>
                </c:pt>
                <c:pt idx="610">
                  <c:v>1221</c:v>
                </c:pt>
                <c:pt idx="611">
                  <c:v>1223</c:v>
                </c:pt>
                <c:pt idx="612">
                  <c:v>1225</c:v>
                </c:pt>
                <c:pt idx="613">
                  <c:v>1227</c:v>
                </c:pt>
                <c:pt idx="614">
                  <c:v>1229</c:v>
                </c:pt>
                <c:pt idx="615">
                  <c:v>1231</c:v>
                </c:pt>
                <c:pt idx="616">
                  <c:v>1233</c:v>
                </c:pt>
                <c:pt idx="617">
                  <c:v>1235</c:v>
                </c:pt>
                <c:pt idx="618">
                  <c:v>1237</c:v>
                </c:pt>
                <c:pt idx="619">
                  <c:v>1239</c:v>
                </c:pt>
                <c:pt idx="620">
                  <c:v>1241</c:v>
                </c:pt>
                <c:pt idx="621">
                  <c:v>1243</c:v>
                </c:pt>
                <c:pt idx="622">
                  <c:v>1245</c:v>
                </c:pt>
                <c:pt idx="623">
                  <c:v>1247</c:v>
                </c:pt>
                <c:pt idx="624">
                  <c:v>1249</c:v>
                </c:pt>
                <c:pt idx="625">
                  <c:v>1251</c:v>
                </c:pt>
                <c:pt idx="626">
                  <c:v>1253</c:v>
                </c:pt>
                <c:pt idx="627">
                  <c:v>1255</c:v>
                </c:pt>
                <c:pt idx="628">
                  <c:v>1257</c:v>
                </c:pt>
                <c:pt idx="629">
                  <c:v>1259</c:v>
                </c:pt>
                <c:pt idx="630">
                  <c:v>1261</c:v>
                </c:pt>
                <c:pt idx="631">
                  <c:v>1263</c:v>
                </c:pt>
                <c:pt idx="632">
                  <c:v>1265</c:v>
                </c:pt>
                <c:pt idx="633">
                  <c:v>1267</c:v>
                </c:pt>
                <c:pt idx="634">
                  <c:v>1269</c:v>
                </c:pt>
                <c:pt idx="635">
                  <c:v>1271</c:v>
                </c:pt>
                <c:pt idx="636">
                  <c:v>1273</c:v>
                </c:pt>
                <c:pt idx="637">
                  <c:v>1275</c:v>
                </c:pt>
                <c:pt idx="638">
                  <c:v>1277</c:v>
                </c:pt>
                <c:pt idx="639">
                  <c:v>1279</c:v>
                </c:pt>
                <c:pt idx="640">
                  <c:v>1281</c:v>
                </c:pt>
                <c:pt idx="641">
                  <c:v>1283</c:v>
                </c:pt>
                <c:pt idx="642">
                  <c:v>1285</c:v>
                </c:pt>
                <c:pt idx="643">
                  <c:v>1287</c:v>
                </c:pt>
                <c:pt idx="644">
                  <c:v>1289</c:v>
                </c:pt>
                <c:pt idx="645">
                  <c:v>1291</c:v>
                </c:pt>
                <c:pt idx="646">
                  <c:v>1293</c:v>
                </c:pt>
                <c:pt idx="647">
                  <c:v>1295</c:v>
                </c:pt>
                <c:pt idx="648">
                  <c:v>1297</c:v>
                </c:pt>
                <c:pt idx="649">
                  <c:v>1299</c:v>
                </c:pt>
                <c:pt idx="650">
                  <c:v>1301</c:v>
                </c:pt>
                <c:pt idx="651">
                  <c:v>1303</c:v>
                </c:pt>
                <c:pt idx="652">
                  <c:v>1305</c:v>
                </c:pt>
                <c:pt idx="653">
                  <c:v>1307</c:v>
                </c:pt>
                <c:pt idx="654">
                  <c:v>1309</c:v>
                </c:pt>
                <c:pt idx="655">
                  <c:v>1311</c:v>
                </c:pt>
                <c:pt idx="656">
                  <c:v>1313</c:v>
                </c:pt>
                <c:pt idx="657">
                  <c:v>1315</c:v>
                </c:pt>
                <c:pt idx="658">
                  <c:v>1317</c:v>
                </c:pt>
                <c:pt idx="659">
                  <c:v>1319</c:v>
                </c:pt>
                <c:pt idx="660">
                  <c:v>1321</c:v>
                </c:pt>
                <c:pt idx="661">
                  <c:v>1323</c:v>
                </c:pt>
                <c:pt idx="662">
                  <c:v>1325</c:v>
                </c:pt>
                <c:pt idx="663">
                  <c:v>1327</c:v>
                </c:pt>
                <c:pt idx="664">
                  <c:v>1329</c:v>
                </c:pt>
                <c:pt idx="665">
                  <c:v>1331</c:v>
                </c:pt>
                <c:pt idx="666">
                  <c:v>1333</c:v>
                </c:pt>
                <c:pt idx="667">
                  <c:v>1335</c:v>
                </c:pt>
                <c:pt idx="668">
                  <c:v>1337</c:v>
                </c:pt>
                <c:pt idx="669">
                  <c:v>1339</c:v>
                </c:pt>
                <c:pt idx="670">
                  <c:v>1341</c:v>
                </c:pt>
                <c:pt idx="671">
                  <c:v>1343</c:v>
                </c:pt>
                <c:pt idx="672">
                  <c:v>1345</c:v>
                </c:pt>
                <c:pt idx="673">
                  <c:v>1347</c:v>
                </c:pt>
                <c:pt idx="674">
                  <c:v>1349</c:v>
                </c:pt>
                <c:pt idx="675">
                  <c:v>1351</c:v>
                </c:pt>
                <c:pt idx="676">
                  <c:v>1353</c:v>
                </c:pt>
                <c:pt idx="677">
                  <c:v>1355</c:v>
                </c:pt>
                <c:pt idx="678">
                  <c:v>1357</c:v>
                </c:pt>
              </c:numCache>
            </c:numRef>
          </c:xVal>
          <c:yVal>
            <c:numRef>
              <c:f>Data!$F$2:$F$1001</c:f>
              <c:numCache>
                <c:formatCode>0</c:formatCode>
                <c:ptCount val="1000"/>
                <c:pt idx="0">
                  <c:v>160.6301302669965</c:v>
                </c:pt>
                <c:pt idx="1">
                  <c:v>160.2874453565332</c:v>
                </c:pt>
                <c:pt idx="2">
                  <c:v>159.94243871318147</c:v>
                </c:pt>
                <c:pt idx="3">
                  <c:v>159.59512849010437</c:v>
                </c:pt>
                <c:pt idx="4">
                  <c:v>159.24553293297828</c:v>
                </c:pt>
                <c:pt idx="5">
                  <c:v>158.89367037840063</c:v>
                </c:pt>
                <c:pt idx="6">
                  <c:v>158.53955925229235</c:v>
                </c:pt>
                <c:pt idx="7">
                  <c:v>158.18321806829536</c:v>
                </c:pt>
                <c:pt idx="8">
                  <c:v>157.82466542616515</c:v>
                </c:pt>
                <c:pt idx="9">
                  <c:v>157.46392001015886</c:v>
                </c:pt>
                <c:pt idx="10">
                  <c:v>157.10100058741881</c:v>
                </c:pt>
                <c:pt idx="11">
                  <c:v>156.73592600635197</c:v>
                </c:pt>
                <c:pt idx="12">
                  <c:v>156.36871519500531</c:v>
                </c:pt>
                <c:pt idx="13">
                  <c:v>155.99938715943736</c:v>
                </c:pt>
                <c:pt idx="14">
                  <c:v>155.62796098208602</c:v>
                </c:pt>
                <c:pt idx="15">
                  <c:v>155.25445582013305</c:v>
                </c:pt>
                <c:pt idx="16">
                  <c:v>154.87889090386537</c:v>
                </c:pt>
                <c:pt idx="17">
                  <c:v>154.50128553503305</c:v>
                </c:pt>
                <c:pt idx="18">
                  <c:v>154.12165908520484</c:v>
                </c:pt>
                <c:pt idx="19">
                  <c:v>153.74003099412059</c:v>
                </c:pt>
                <c:pt idx="20">
                  <c:v>153.35642076804149</c:v>
                </c:pt>
                <c:pt idx="21">
                  <c:v>152.97084797809805</c:v>
                </c:pt>
                <c:pt idx="22">
                  <c:v>152.58333225863595</c:v>
                </c:pt>
                <c:pt idx="23">
                  <c:v>152.19389330555981</c:v>
                </c:pt>
                <c:pt idx="24">
                  <c:v>151.80255087467563</c:v>
                </c:pt>
                <c:pt idx="25">
                  <c:v>151.40932478003148</c:v>
                </c:pt>
                <c:pt idx="26">
                  <c:v>151.01423489225695</c:v>
                </c:pt>
                <c:pt idx="27">
                  <c:v>150.61730113690152</c:v>
                </c:pt>
                <c:pt idx="28">
                  <c:v>150.21854349277208</c:v>
                </c:pt>
                <c:pt idx="29">
                  <c:v>149.81798199026954</c:v>
                </c:pt>
                <c:pt idx="30">
                  <c:v>149.41563670972505</c:v>
                </c:pt>
                <c:pt idx="31">
                  <c:v>149.01152777973596</c:v>
                </c:pt>
                <c:pt idx="32">
                  <c:v>148.60567537550131</c:v>
                </c:pt>
                <c:pt idx="33">
                  <c:v>148.19809971715785</c:v>
                </c:pt>
                <c:pt idx="34">
                  <c:v>147.78882106811582</c:v>
                </c:pt>
                <c:pt idx="35">
                  <c:v>147.37785973339544</c:v>
                </c:pt>
                <c:pt idx="36">
                  <c:v>146.96523605796392</c:v>
                </c:pt>
                <c:pt idx="37">
                  <c:v>146.55097042507333</c:v>
                </c:pt>
                <c:pt idx="38">
                  <c:v>146.13508325459929</c:v>
                </c:pt>
                <c:pt idx="39">
                  <c:v>145.7175950013812</c:v>
                </c:pt>
                <c:pt idx="40">
                  <c:v>145.29852615356324</c:v>
                </c:pt>
                <c:pt idx="41">
                  <c:v>144.87789723093761</c:v>
                </c:pt>
                <c:pt idx="42">
                  <c:v>144.45572878328898</c:v>
                </c:pt>
                <c:pt idx="43">
                  <c:v>144.03204138874111</c:v>
                </c:pt>
                <c:pt idx="44">
                  <c:v>143.60685565210548</c:v>
                </c:pt>
                <c:pt idx="45">
                  <c:v>143.18019220323222</c:v>
                </c:pt>
                <c:pt idx="46">
                  <c:v>142.75207169536358</c:v>
                </c:pt>
                <c:pt idx="47">
                  <c:v>142.32251480348995</c:v>
                </c:pt>
                <c:pt idx="48">
                  <c:v>141.89154222270869</c:v>
                </c:pt>
                <c:pt idx="49">
                  <c:v>141.45917466658599</c:v>
                </c:pt>
                <c:pt idx="50">
                  <c:v>141.02543286552225</c:v>
                </c:pt>
                <c:pt idx="51">
                  <c:v>140.59033756512005</c:v>
                </c:pt>
                <c:pt idx="52">
                  <c:v>140.1539095245565</c:v>
                </c:pt>
                <c:pt idx="53">
                  <c:v>139.71616951495869</c:v>
                </c:pt>
                <c:pt idx="54">
                  <c:v>139.27713831778348</c:v>
                </c:pt>
                <c:pt idx="55">
                  <c:v>138.83683672320089</c:v>
                </c:pt>
                <c:pt idx="56">
                  <c:v>138.39528552848219</c:v>
                </c:pt>
                <c:pt idx="57">
                  <c:v>137.9525055363921</c:v>
                </c:pt>
                <c:pt idx="58">
                  <c:v>137.50851755358556</c:v>
                </c:pt>
                <c:pt idx="59">
                  <c:v>137.06334238900939</c:v>
                </c:pt>
                <c:pt idx="60">
                  <c:v>136.61700085230896</c:v>
                </c:pt>
                <c:pt idx="61">
                  <c:v>136.16951375223937</c:v>
                </c:pt>
                <c:pt idx="62">
                  <c:v>135.7209018950827</c:v>
                </c:pt>
                <c:pt idx="63">
                  <c:v>135.27118608306995</c:v>
                </c:pt>
                <c:pt idx="64">
                  <c:v>134.82038711280899</c:v>
                </c:pt>
                <c:pt idx="65">
                  <c:v>134.36852577371801</c:v>
                </c:pt>
                <c:pt idx="66">
                  <c:v>133.91562284646497</c:v>
                </c:pt>
                <c:pt idx="67">
                  <c:v>133.46169910141313</c:v>
                </c:pt>
                <c:pt idx="68">
                  <c:v>133.00677529707255</c:v>
                </c:pt>
                <c:pt idx="69">
                  <c:v>132.55087217855834</c:v>
                </c:pt>
                <c:pt idx="70">
                  <c:v>132.0940104760551</c:v>
                </c:pt>
                <c:pt idx="71">
                  <c:v>131.63621090328809</c:v>
                </c:pt>
                <c:pt idx="72">
                  <c:v>131.17749415600147</c:v>
                </c:pt>
                <c:pt idx="73">
                  <c:v>130.71788091044306</c:v>
                </c:pt>
                <c:pt idx="74">
                  <c:v>130.25739182185677</c:v>
                </c:pt>
                <c:pt idx="75">
                  <c:v>129.79604752298178</c:v>
                </c:pt>
                <c:pt idx="76">
                  <c:v>129.33386862255949</c:v>
                </c:pt>
                <c:pt idx="77">
                  <c:v>128.8708757038479</c:v>
                </c:pt>
                <c:pt idx="78">
                  <c:v>128.40708932314362</c:v>
                </c:pt>
                <c:pt idx="79">
                  <c:v>127.94253000831193</c:v>
                </c:pt>
                <c:pt idx="80">
                  <c:v>127.47721825732468</c:v>
                </c:pt>
                <c:pt idx="81">
                  <c:v>127.01117453680617</c:v>
                </c:pt>
                <c:pt idx="82">
                  <c:v>126.5444192805877</c:v>
                </c:pt>
                <c:pt idx="83">
                  <c:v>126.07697288827019</c:v>
                </c:pt>
                <c:pt idx="84">
                  <c:v>125.60885572379526</c:v>
                </c:pt>
                <c:pt idx="85">
                  <c:v>125.14008811402532</c:v>
                </c:pt>
                <c:pt idx="86">
                  <c:v>124.67069034733215</c:v>
                </c:pt>
                <c:pt idx="87">
                  <c:v>124.20068267219459</c:v>
                </c:pt>
                <c:pt idx="88">
                  <c:v>123.73008529580507</c:v>
                </c:pt>
                <c:pt idx="89">
                  <c:v>123.25891838268547</c:v>
                </c:pt>
                <c:pt idx="90">
                  <c:v>122.78720205331234</c:v>
                </c:pt>
                <c:pt idx="91">
                  <c:v>122.31495638275129</c:v>
                </c:pt>
                <c:pt idx="92">
                  <c:v>121.84220139930113</c:v>
                </c:pt>
                <c:pt idx="93">
                  <c:v>121.36895708314768</c:v>
                </c:pt>
                <c:pt idx="94">
                  <c:v>120.89524336502706</c:v>
                </c:pt>
                <c:pt idx="95">
                  <c:v>120.42108012489933</c:v>
                </c:pt>
                <c:pt idx="96">
                  <c:v>119.94648719063171</c:v>
                </c:pt>
                <c:pt idx="97">
                  <c:v>119.47148433669221</c:v>
                </c:pt>
                <c:pt idx="98">
                  <c:v>118.9960912828532</c:v>
                </c:pt>
                <c:pt idx="99">
                  <c:v>118.52032769290561</c:v>
                </c:pt>
                <c:pt idx="100">
                  <c:v>118.0442131733834</c:v>
                </c:pt>
                <c:pt idx="101">
                  <c:v>117.56776727229852</c:v>
                </c:pt>
                <c:pt idx="102">
                  <c:v>117.09100947788673</c:v>
                </c:pt>
                <c:pt idx="103">
                  <c:v>116.61395921736386</c:v>
                </c:pt>
                <c:pt idx="104">
                  <c:v>116.13663585569316</c:v>
                </c:pt>
                <c:pt idx="105">
                  <c:v>115.65905869436355</c:v>
                </c:pt>
                <c:pt idx="106">
                  <c:v>115.18124697017875</c:v>
                </c:pt>
                <c:pt idx="107">
                  <c:v>114.70321985405776</c:v>
                </c:pt>
                <c:pt idx="108">
                  <c:v>114.22499644984637</c:v>
                </c:pt>
                <c:pt idx="109">
                  <c:v>113.74659579314006</c:v>
                </c:pt>
                <c:pt idx="110">
                  <c:v>113.26803685011836</c:v>
                </c:pt>
                <c:pt idx="111">
                  <c:v>112.7893385163905</c:v>
                </c:pt>
                <c:pt idx="112">
                  <c:v>112.31051961585288</c:v>
                </c:pt>
                <c:pt idx="113">
                  <c:v>111.83159889955796</c:v>
                </c:pt>
                <c:pt idx="114">
                  <c:v>111.35259504459506</c:v>
                </c:pt>
                <c:pt idx="115">
                  <c:v>110.87352665298278</c:v>
                </c:pt>
                <c:pt idx="116">
                  <c:v>110.39441225057347</c:v>
                </c:pt>
                <c:pt idx="117">
                  <c:v>109.91527028596957</c:v>
                </c:pt>
                <c:pt idx="118">
                  <c:v>109.43611912945201</c:v>
                </c:pt>
                <c:pt idx="119">
                  <c:v>108.95697707192065</c:v>
                </c:pt>
                <c:pt idx="120">
                  <c:v>108.47786232384701</c:v>
                </c:pt>
                <c:pt idx="121">
                  <c:v>107.998793014239</c:v>
                </c:pt>
                <c:pt idx="122">
                  <c:v>107.51978718961837</c:v>
                </c:pt>
                <c:pt idx="123">
                  <c:v>107.04086281301002</c:v>
                </c:pt>
                <c:pt idx="124">
                  <c:v>106.56203776294403</c:v>
                </c:pt>
                <c:pt idx="125">
                  <c:v>106.0833298324702</c:v>
                </c:pt>
                <c:pt idx="126">
                  <c:v>105.60475672818492</c:v>
                </c:pt>
                <c:pt idx="127">
                  <c:v>105.12633606927086</c:v>
                </c:pt>
                <c:pt idx="128">
                  <c:v>104.64808538654911</c:v>
                </c:pt>
                <c:pt idx="129">
                  <c:v>104.17002212154419</c:v>
                </c:pt>
                <c:pt idx="130">
                  <c:v>103.69216362556165</c:v>
                </c:pt>
                <c:pt idx="131">
                  <c:v>103.21452715877859</c:v>
                </c:pt>
                <c:pt idx="132">
                  <c:v>102.737129889347</c:v>
                </c:pt>
                <c:pt idx="133">
                  <c:v>102.25998889250987</c:v>
                </c:pt>
                <c:pt idx="134">
                  <c:v>101.78312114973033</c:v>
                </c:pt>
                <c:pt idx="135">
                  <c:v>101.30654354783388</c:v>
                </c:pt>
                <c:pt idx="136">
                  <c:v>100.83027287816323</c:v>
                </c:pt>
                <c:pt idx="137">
                  <c:v>100.35432583574664</c:v>
                </c:pt>
                <c:pt idx="138">
                  <c:v>99.878719018478989</c:v>
                </c:pt>
                <c:pt idx="139">
                  <c:v>99.403468926316179</c:v>
                </c:pt>
                <c:pt idx="140">
                  <c:v>98.928591960482535</c:v>
                </c:pt>
                <c:pt idx="141">
                  <c:v>98.454104422691316</c:v>
                </c:pt>
                <c:pt idx="142">
                  <c:v>97.980022514378689</c:v>
                </c:pt>
                <c:pt idx="143">
                  <c:v>97.506362335950627</c:v>
                </c:pt>
                <c:pt idx="144">
                  <c:v>97.033139886043145</c:v>
                </c:pt>
                <c:pt idx="145">
                  <c:v>96.560371060795845</c:v>
                </c:pt>
                <c:pt idx="146">
                  <c:v>96.088071653138655</c:v>
                </c:pt>
                <c:pt idx="147">
                  <c:v>95.616257352091978</c:v>
                </c:pt>
                <c:pt idx="148">
                  <c:v>95.144943742079988</c:v>
                </c:pt>
                <c:pt idx="149">
                  <c:v>94.67414630225737</c:v>
                </c:pt>
                <c:pt idx="150">
                  <c:v>94.203880405849375</c:v>
                </c:pt>
                <c:pt idx="151">
                  <c:v>93.734161319505191</c:v>
                </c:pt>
                <c:pt idx="152">
                  <c:v>93.265004202664642</c:v>
                </c:pt>
                <c:pt idx="153">
                  <c:v>92.796424106938346</c:v>
                </c:pt>
                <c:pt idx="154">
                  <c:v>92.328435975501122</c:v>
                </c:pt>
                <c:pt idx="155">
                  <c:v>91.861054642498758</c:v>
                </c:pt>
                <c:pt idx="156">
                  <c:v>91.394294832468319</c:v>
                </c:pt>
                <c:pt idx="157">
                  <c:v>90.928171159771594</c:v>
                </c:pt>
                <c:pt idx="158">
                  <c:v>90.462698128042007</c:v>
                </c:pt>
                <c:pt idx="159">
                  <c:v>89.997890129644915</c:v>
                </c:pt>
                <c:pt idx="160">
                  <c:v>89.533761445151143</c:v>
                </c:pt>
                <c:pt idx="161">
                  <c:v>89.070326242824081</c:v>
                </c:pt>
                <c:pt idx="162">
                  <c:v>88.60759857811982</c:v>
                </c:pt>
                <c:pt idx="163">
                  <c:v>88.145592393200729</c:v>
                </c:pt>
                <c:pt idx="164">
                  <c:v>87.684321516462589</c:v>
                </c:pt>
                <c:pt idx="165">
                  <c:v>87.223799662074526</c:v>
                </c:pt>
                <c:pt idx="166">
                  <c:v>86.764040429532628</c:v>
                </c:pt>
                <c:pt idx="167">
                  <c:v>86.305057303226619</c:v>
                </c:pt>
                <c:pt idx="168">
                  <c:v>85.846863652019863</c:v>
                </c:pt>
                <c:pt idx="169">
                  <c:v>85.389472728842549</c:v>
                </c:pt>
                <c:pt idx="170">
                  <c:v>84.932897670297962</c:v>
                </c:pt>
                <c:pt idx="171">
                  <c:v>84.477151496282119</c:v>
                </c:pt>
                <c:pt idx="172">
                  <c:v>84.022247109616416</c:v>
                </c:pt>
                <c:pt idx="173">
                  <c:v>83.568197295693352</c:v>
                </c:pt>
                <c:pt idx="174">
                  <c:v>83.115014722135498</c:v>
                </c:pt>
                <c:pt idx="175">
                  <c:v>82.662711938467282</c:v>
                </c:pt>
                <c:pt idx="176">
                  <c:v>82.211301375800005</c:v>
                </c:pt>
                <c:pt idx="177">
                  <c:v>81.760795346529719</c:v>
                </c:pt>
                <c:pt idx="178">
                  <c:v>81.31120604404812</c:v>
                </c:pt>
                <c:pt idx="179">
                  <c:v>80.862545542466194</c:v>
                </c:pt>
                <c:pt idx="180">
                  <c:v>80.414825796350982</c:v>
                </c:pt>
                <c:pt idx="181">
                  <c:v>79.968058640474965</c:v>
                </c:pt>
                <c:pt idx="182">
                  <c:v>79.522255789578324</c:v>
                </c:pt>
                <c:pt idx="183">
                  <c:v>79.077428838143916</c:v>
                </c:pt>
                <c:pt idx="184">
                  <c:v>78.633589260184891</c:v>
                </c:pt>
                <c:pt idx="185">
                  <c:v>78.190748409045199</c:v>
                </c:pt>
                <c:pt idx="186">
                  <c:v>77.748917517212334</c:v>
                </c:pt>
                <c:pt idx="187">
                  <c:v>77.308107696142926</c:v>
                </c:pt>
                <c:pt idx="188">
                  <c:v>76.868329936100693</c:v>
                </c:pt>
                <c:pt idx="189">
                  <c:v>76.429595106006857</c:v>
                </c:pt>
                <c:pt idx="190">
                  <c:v>75.991913953303055</c:v>
                </c:pt>
                <c:pt idx="191">
                  <c:v>75.555297103826419</c:v>
                </c:pt>
                <c:pt idx="192">
                  <c:v>75.11975506169712</c:v>
                </c:pt>
                <c:pt idx="193">
                  <c:v>74.685298209218004</c:v>
                </c:pt>
                <c:pt idx="194">
                  <c:v>74.251936806786432</c:v>
                </c:pt>
                <c:pt idx="195">
                  <c:v>73.819680992818334</c:v>
                </c:pt>
                <c:pt idx="196">
                  <c:v>73.388540783684135</c:v>
                </c:pt>
                <c:pt idx="197">
                  <c:v>72.958526073656813</c:v>
                </c:pt>
                <c:pt idx="198">
                  <c:v>72.529646634871781</c:v>
                </c:pt>
                <c:pt idx="199">
                  <c:v>72.101912117298639</c:v>
                </c:pt>
                <c:pt idx="200">
                  <c:v>71.675332048724869</c:v>
                </c:pt>
                <c:pt idx="201">
                  <c:v>71.249915834750979</c:v>
                </c:pt>
                <c:pt idx="202">
                  <c:v>70.825672758797481</c:v>
                </c:pt>
                <c:pt idx="203">
                  <c:v>70.402611982123503</c:v>
                </c:pt>
                <c:pt idx="204">
                  <c:v>69.980742543856721</c:v>
                </c:pt>
                <c:pt idx="205">
                  <c:v>69.560073361034895</c:v>
                </c:pt>
                <c:pt idx="206">
                  <c:v>69.140613228658708</c:v>
                </c:pt>
                <c:pt idx="207">
                  <c:v>68.722370819755952</c:v>
                </c:pt>
                <c:pt idx="208">
                  <c:v>68.305354685456805</c:v>
                </c:pt>
                <c:pt idx="209">
                  <c:v>67.889573255080393</c:v>
                </c:pt>
                <c:pt idx="210">
                  <c:v>67.475034836232368</c:v>
                </c:pt>
                <c:pt idx="211">
                  <c:v>67.061747614913457</c:v>
                </c:pt>
                <c:pt idx="212">
                  <c:v>66.649719655638876</c:v>
                </c:pt>
                <c:pt idx="213">
                  <c:v>66.238958901568751</c:v>
                </c:pt>
                <c:pt idx="214">
                  <c:v>65.829473174648953</c:v>
                </c:pt>
                <c:pt idx="215">
                  <c:v>65.42127017576307</c:v>
                </c:pt>
                <c:pt idx="216">
                  <c:v>65.014357484894461</c:v>
                </c:pt>
                <c:pt idx="217">
                  <c:v>64.608742561299096</c:v>
                </c:pt>
                <c:pt idx="218">
                  <c:v>64.204432743688884</c:v>
                </c:pt>
                <c:pt idx="219">
                  <c:v>63.801435250424959</c:v>
                </c:pt>
                <c:pt idx="220">
                  <c:v>63.399757179721689</c:v>
                </c:pt>
                <c:pt idx="221">
                  <c:v>62.999405509860402</c:v>
                </c:pt>
                <c:pt idx="222">
                  <c:v>62.600387099413467</c:v>
                </c:pt>
                <c:pt idx="223">
                  <c:v>62.202708687478207</c:v>
                </c:pt>
                <c:pt idx="224">
                  <c:v>61.80637689392077</c:v>
                </c:pt>
                <c:pt idx="225">
                  <c:v>61.411398219629717</c:v>
                </c:pt>
                <c:pt idx="226">
                  <c:v>61.017779046779438</c:v>
                </c:pt>
                <c:pt idx="227">
                  <c:v>60.625525639102996</c:v>
                </c:pt>
                <c:pt idx="228">
                  <c:v>60.234644142174758</c:v>
                </c:pt>
                <c:pt idx="229">
                  <c:v>59.845140583702118</c:v>
                </c:pt>
                <c:pt idx="230">
                  <c:v>59.457020873826856</c:v>
                </c:pt>
                <c:pt idx="231">
                  <c:v>59.070290805435583</c:v>
                </c:pt>
                <c:pt idx="232">
                  <c:v>58.684956054479343</c:v>
                </c:pt>
                <c:pt idx="233">
                  <c:v>58.301022180302219</c:v>
                </c:pt>
                <c:pt idx="234">
                  <c:v>57.918494625979079</c:v>
                </c:pt>
                <c:pt idx="235">
                  <c:v>57.537378718661898</c:v>
                </c:pt>
                <c:pt idx="236">
                  <c:v>57.157679669935121</c:v>
                </c:pt>
                <c:pt idx="237">
                  <c:v>56.779402576179386</c:v>
                </c:pt>
                <c:pt idx="238">
                  <c:v>56.40255241894414</c:v>
                </c:pt>
                <c:pt idx="239">
                  <c:v>56.027134065328404</c:v>
                </c:pt>
                <c:pt idx="240">
                  <c:v>55.653152268370064</c:v>
                </c:pt>
                <c:pt idx="241">
                  <c:v>55.280611667443516</c:v>
                </c:pt>
                <c:pt idx="242">
                  <c:v>54.909516788665151</c:v>
                </c:pt>
                <c:pt idx="243">
                  <c:v>54.539872045307263</c:v>
                </c:pt>
                <c:pt idx="244">
                  <c:v>54.171681738219711</c:v>
                </c:pt>
                <c:pt idx="245">
                  <c:v>53.804950056259464</c:v>
                </c:pt>
                <c:pt idx="246">
                  <c:v>53.439681076727901</c:v>
                </c:pt>
                <c:pt idx="247">
                  <c:v>53.075878765815894</c:v>
                </c:pt>
                <c:pt idx="248">
                  <c:v>52.713546979056161</c:v>
                </c:pt>
                <c:pt idx="249">
                  <c:v>52.352689461783427</c:v>
                </c:pt>
                <c:pt idx="250">
                  <c:v>51.993309849601594</c:v>
                </c:pt>
                <c:pt idx="251">
                  <c:v>51.635411668858353</c:v>
                </c:pt>
                <c:pt idx="252">
                  <c:v>51.278998337126943</c:v>
                </c:pt>
                <c:pt idx="253">
                  <c:v>50.924073163694736</c:v>
                </c:pt>
                <c:pt idx="254">
                  <c:v>50.570639350059068</c:v>
                </c:pt>
                <c:pt idx="255">
                  <c:v>50.218699990429585</c:v>
                </c:pt>
                <c:pt idx="256">
                  <c:v>49.868258072237509</c:v>
                </c:pt>
                <c:pt idx="257">
                  <c:v>49.519316476651497</c:v>
                </c:pt>
                <c:pt idx="258">
                  <c:v>49.171877979099861</c:v>
                </c:pt>
                <c:pt idx="259">
                  <c:v>48.825945249799474</c:v>
                </c:pt>
                <c:pt idx="260">
                  <c:v>48.481520854290622</c:v>
                </c:pt>
                <c:pt idx="261">
                  <c:v>48.138607253978336</c:v>
                </c:pt>
                <c:pt idx="262">
                  <c:v>47.797206806679768</c:v>
                </c:pt>
                <c:pt idx="263">
                  <c:v>47.457321767177369</c:v>
                </c:pt>
                <c:pt idx="264">
                  <c:v>47.118954287778209</c:v>
                </c:pt>
                <c:pt idx="265">
                  <c:v>46.782106418878818</c:v>
                </c:pt>
                <c:pt idx="266">
                  <c:v>46.446780109535901</c:v>
                </c:pt>
                <c:pt idx="267">
                  <c:v>46.112977208042508</c:v>
                </c:pt>
                <c:pt idx="268">
                  <c:v>45.780699462509666</c:v>
                </c:pt>
                <c:pt idx="269">
                  <c:v>45.449948521453408</c:v>
                </c:pt>
                <c:pt idx="270">
                  <c:v>45.120725934386982</c:v>
                </c:pt>
                <c:pt idx="271">
                  <c:v>44.793033152418261</c:v>
                </c:pt>
                <c:pt idx="272">
                  <c:v>44.466871528852195</c:v>
                </c:pt>
                <c:pt idx="273">
                  <c:v>44.142242319798093</c:v>
                </c:pt>
                <c:pt idx="274">
                  <c:v>43.819146684781892</c:v>
                </c:pt>
                <c:pt idx="275">
                  <c:v>43.497585687362971</c:v>
                </c:pt>
                <c:pt idx="276">
                  <c:v>43.17756029575569</c:v>
                </c:pt>
                <c:pt idx="277">
                  <c:v>42.859071383455472</c:v>
                </c:pt>
                <c:pt idx="278">
                  <c:v>42.542119729869142</c:v>
                </c:pt>
                <c:pt idx="279">
                  <c:v>42.226706020949749</c:v>
                </c:pt>
                <c:pt idx="280">
                  <c:v>41.912830849835416</c:v>
                </c:pt>
                <c:pt idx="281">
                  <c:v>41.600494717492403</c:v>
                </c:pt>
                <c:pt idx="282">
                  <c:v>41.289698033362143</c:v>
                </c:pt>
                <c:pt idx="283">
                  <c:v>40.980441116012081</c:v>
                </c:pt>
                <c:pt idx="284">
                  <c:v>40.672724193790437</c:v>
                </c:pt>
                <c:pt idx="285">
                  <c:v>40.366547405484496</c:v>
                </c:pt>
                <c:pt idx="286">
                  <c:v>40.061910800982552</c:v>
                </c:pt>
                <c:pt idx="287">
                  <c:v>39.75881434193942</c:v>
                </c:pt>
                <c:pt idx="288">
                  <c:v>39.457257902445093</c:v>
                </c:pt>
                <c:pt idx="289">
                  <c:v>39.157241269696918</c:v>
                </c:pt>
                <c:pt idx="290">
                  <c:v>38.858764144674716</c:v>
                </c:pt>
                <c:pt idx="291">
                  <c:v>38.561826142819186</c:v>
                </c:pt>
                <c:pt idx="292">
                  <c:v>38.266426794713141</c:v>
                </c:pt>
                <c:pt idx="293">
                  <c:v>37.972565546765566</c:v>
                </c:pt>
                <c:pt idx="294">
                  <c:v>37.680241761898657</c:v>
                </c:pt>
                <c:pt idx="295">
                  <c:v>37.389454720237289</c:v>
                </c:pt>
                <c:pt idx="296">
                  <c:v>37.100203619801164</c:v>
                </c:pt>
                <c:pt idx="297">
                  <c:v>36.812487577199512</c:v>
                </c:pt>
                <c:pt idx="298">
                  <c:v>36.526305628327961</c:v>
                </c:pt>
                <c:pt idx="299">
                  <c:v>36.241656729067877</c:v>
                </c:pt>
                <c:pt idx="300">
                  <c:v>35.958539755987744</c:v>
                </c:pt>
                <c:pt idx="301">
                  <c:v>35.676953507046697</c:v>
                </c:pt>
                <c:pt idx="302">
                  <c:v>35.396896702300069</c:v>
                </c:pt>
                <c:pt idx="303">
                  <c:v>35.118367984606664</c:v>
                </c:pt>
                <c:pt idx="304">
                  <c:v>34.841365920338077</c:v>
                </c:pt>
                <c:pt idx="305">
                  <c:v>34.565889000089442</c:v>
                </c:pt>
                <c:pt idx="306">
                  <c:v>34.291935639391966</c:v>
                </c:pt>
                <c:pt idx="307">
                  <c:v>34.019504179426967</c:v>
                </c:pt>
                <c:pt idx="308">
                  <c:v>33.748592887741118</c:v>
                </c:pt>
                <c:pt idx="309">
                  <c:v>33.47919995896337</c:v>
                </c:pt>
                <c:pt idx="310">
                  <c:v>33.211323515522757</c:v>
                </c:pt>
                <c:pt idx="311">
                  <c:v>32.944961608367549</c:v>
                </c:pt>
                <c:pt idx="312">
                  <c:v>32.680112217685377</c:v>
                </c:pt>
                <c:pt idx="313">
                  <c:v>32.416773253624335</c:v>
                </c:pt>
                <c:pt idx="314">
                  <c:v>32.154942557014977</c:v>
                </c:pt>
                <c:pt idx="315">
                  <c:v>31.894617900092989</c:v>
                </c:pt>
                <c:pt idx="316">
                  <c:v>31.635796987222644</c:v>
                </c:pt>
                <c:pt idx="317">
                  <c:v>31.37847745562091</c:v>
                </c:pt>
                <c:pt idx="318">
                  <c:v>31.122656876081855</c:v>
                </c:pt>
                <c:pt idx="319">
                  <c:v>30.86833275370175</c:v>
                </c:pt>
                <c:pt idx="320">
                  <c:v>30.615502528604306</c:v>
                </c:pt>
                <c:pt idx="321">
                  <c:v>30.364163576666247</c:v>
                </c:pt>
                <c:pt idx="322">
                  <c:v>30.114313210243104</c:v>
                </c:pt>
                <c:pt idx="323">
                  <c:v>29.865948678894949</c:v>
                </c:pt>
                <c:pt idx="324">
                  <c:v>29.619067170112299</c:v>
                </c:pt>
                <c:pt idx="325">
                  <c:v>29.373665810041828</c:v>
                </c:pt>
                <c:pt idx="326">
                  <c:v>29.129741664211934</c:v>
                </c:pt>
                <c:pt idx="327">
                  <c:v>28.887291738258138</c:v>
                </c:pt>
                <c:pt idx="328">
                  <c:v>28.646312978647998</c:v>
                </c:pt>
                <c:pt idx="329">
                  <c:v>28.406802273405855</c:v>
                </c:pt>
                <c:pt idx="330">
                  <c:v>28.168756452836828</c:v>
                </c:pt>
                <c:pt idx="331">
                  <c:v>27.932172290250463</c:v>
                </c:pt>
                <c:pt idx="332">
                  <c:v>27.697046502683634</c:v>
                </c:pt>
                <c:pt idx="333">
                  <c:v>27.463375751622731</c:v>
                </c:pt>
                <c:pt idx="334">
                  <c:v>27.231156643725114</c:v>
                </c:pt>
                <c:pt idx="335">
                  <c:v>27.000385731539616</c:v>
                </c:pt>
                <c:pt idx="336">
                  <c:v>26.771059514226163</c:v>
                </c:pt>
                <c:pt idx="337">
                  <c:v>26.543174438274384</c:v>
                </c:pt>
                <c:pt idx="338">
                  <c:v>26.316726898221042</c:v>
                </c:pt>
                <c:pt idx="339">
                  <c:v>26.091713237366406</c:v>
                </c:pt>
                <c:pt idx="340">
                  <c:v>25.868129748489341</c:v>
                </c:pt>
                <c:pt idx="341">
                  <c:v>25.645972674561079</c:v>
                </c:pt>
                <c:pt idx="342">
                  <c:v>25.425238209457643</c:v>
                </c:pt>
                <c:pt idx="343">
                  <c:v>25.205922498670787</c:v>
                </c:pt>
                <c:pt idx="344">
                  <c:v>24.988021640017458</c:v>
                </c:pt>
                <c:pt idx="345">
                  <c:v>24.771531684347675</c:v>
                </c:pt>
                <c:pt idx="346">
                  <c:v>24.556448636250703</c:v>
                </c:pt>
                <c:pt idx="347">
                  <c:v>24.342768454759604</c:v>
                </c:pt>
                <c:pt idx="348">
                  <c:v>24.130487054053905</c:v>
                </c:pt>
                <c:pt idx="349">
                  <c:v>23.919600304160511</c:v>
                </c:pt>
                <c:pt idx="350">
                  <c:v>23.710104031652634</c:v>
                </c:pt>
                <c:pt idx="351">
                  <c:v>23.501994020346768</c:v>
                </c:pt>
                <c:pt idx="352">
                  <c:v>23.295266011997732</c:v>
                </c:pt>
                <c:pt idx="353">
                  <c:v>23.089915706991409</c:v>
                </c:pt>
                <c:pt idx="354">
                  <c:v>22.88593876503549</c:v>
                </c:pt>
                <c:pt idx="355">
                  <c:v>22.683330805847987</c:v>
                </c:pt>
                <c:pt idx="356">
                  <c:v>22.482087409843395</c:v>
                </c:pt>
                <c:pt idx="357">
                  <c:v>22.28220411881659</c:v>
                </c:pt>
                <c:pt idx="358">
                  <c:v>22.083676436624291</c:v>
                </c:pt>
                <c:pt idx="359">
                  <c:v>21.8864998298641</c:v>
                </c:pt>
                <c:pt idx="360">
                  <c:v>21.690669728551018</c:v>
                </c:pt>
                <c:pt idx="361">
                  <c:v>21.496181526791442</c:v>
                </c:pt>
                <c:pt idx="362">
                  <c:v>21.303030583454508</c:v>
                </c:pt>
                <c:pt idx="363">
                  <c:v>21.111212222840742</c:v>
                </c:pt>
                <c:pt idx="364">
                  <c:v>20.920721735348099</c:v>
                </c:pt>
                <c:pt idx="365">
                  <c:v>20.731554378135154</c:v>
                </c:pt>
                <c:pt idx="366">
                  <c:v>20.543705375781418</c:v>
                </c:pt>
                <c:pt idx="367">
                  <c:v>20.357169920944958</c:v>
                </c:pt>
                <c:pt idx="368">
                  <c:v>20.17194317501691</c:v>
                </c:pt>
                <c:pt idx="369">
                  <c:v>19.98802026877312</c:v>
                </c:pt>
                <c:pt idx="370">
                  <c:v>19.805396303022814</c:v>
                </c:pt>
                <c:pt idx="371">
                  <c:v>19.624066349254068</c:v>
                </c:pt>
                <c:pt idx="372">
                  <c:v>19.444025450276317</c:v>
                </c:pt>
                <c:pt idx="373">
                  <c:v>19.265268620859619</c:v>
                </c:pt>
                <c:pt idx="374">
                  <c:v>19.087790848370744</c:v>
                </c:pt>
                <c:pt idx="375">
                  <c:v>18.911587093406087</c:v>
                </c:pt>
                <c:pt idx="376">
                  <c:v>18.736652290421191</c:v>
                </c:pt>
                <c:pt idx="377">
                  <c:v>18.562981348357003</c:v>
                </c:pt>
                <c:pt idx="378">
                  <c:v>18.39056915126282</c:v>
                </c:pt>
                <c:pt idx="379">
                  <c:v>18.219410558915719</c:v>
                </c:pt>
                <c:pt idx="380">
                  <c:v>18.049500407436646</c:v>
                </c:pt>
                <c:pt idx="381">
                  <c:v>17.880833509902963</c:v>
                </c:pt>
                <c:pt idx="382">
                  <c:v>17.713404656957493</c:v>
                </c:pt>
                <c:pt idx="383">
                  <c:v>17.547208617414043</c:v>
                </c:pt>
                <c:pt idx="384">
                  <c:v>17.382240138859249</c:v>
                </c:pt>
                <c:pt idx="385">
                  <c:v>17.218493948250927</c:v>
                </c:pt>
                <c:pt idx="386">
                  <c:v>17.055964752512647</c:v>
                </c:pt>
                <c:pt idx="387">
                  <c:v>16.894647239124662</c:v>
                </c:pt>
                <c:pt idx="388">
                  <c:v>16.734536076711123</c:v>
                </c:pt>
                <c:pt idx="389">
                  <c:v>16.575625915623487</c:v>
                </c:pt>
                <c:pt idx="390">
                  <c:v>16.417911388520253</c:v>
                </c:pt>
                <c:pt idx="391">
                  <c:v>16.261387110942692</c:v>
                </c:pt>
                <c:pt idx="392">
                  <c:v>16.106047681886917</c:v>
                </c:pt>
                <c:pt idx="393">
                  <c:v>15.951887684371957</c:v>
                </c:pt>
                <c:pt idx="394">
                  <c:v>15.798901686003974</c:v>
                </c:pt>
                <c:pt idx="395">
                  <c:v>15.647084239536545</c:v>
                </c:pt>
                <c:pt idx="396">
                  <c:v>15.49642988342697</c:v>
                </c:pt>
                <c:pt idx="397">
                  <c:v>15.346933142388634</c:v>
                </c:pt>
                <c:pt idx="398">
                  <c:v>15.198588527939295</c:v>
                </c:pt>
                <c:pt idx="399">
                  <c:v>15.051390538945421</c:v>
                </c:pt>
                <c:pt idx="400">
                  <c:v>14.905333662162418</c:v>
                </c:pt>
                <c:pt idx="401">
                  <c:v>14.760412372770794</c:v>
                </c:pt>
                <c:pt idx="402">
                  <c:v>14.616621134908234</c:v>
                </c:pt>
                <c:pt idx="403">
                  <c:v>14.473954402197537</c:v>
                </c:pt>
                <c:pt idx="404">
                  <c:v>14.332406618270435</c:v>
                </c:pt>
                <c:pt idx="405">
                  <c:v>14.191972217287249</c:v>
                </c:pt>
                <c:pt idx="406">
                  <c:v>14.052645624452362</c:v>
                </c:pt>
                <c:pt idx="407">
                  <c:v>13.914421256525456</c:v>
                </c:pt>
                <c:pt idx="408">
                  <c:v>13.777293522328632</c:v>
                </c:pt>
                <c:pt idx="409">
                  <c:v>13.641256823249234</c:v>
                </c:pt>
                <c:pt idx="410">
                  <c:v>13.506305553738393</c:v>
                </c:pt>
                <c:pt idx="411">
                  <c:v>13.372434101805435</c:v>
                </c:pt>
                <c:pt idx="412">
                  <c:v>13.23963684950788</c:v>
                </c:pt>
                <c:pt idx="413">
                  <c:v>13.10790817343722</c:v>
                </c:pt>
                <c:pt idx="414">
                  <c:v>12.977242445200416</c:v>
                </c:pt>
                <c:pt idx="415">
                  <c:v>12.847634031897035</c:v>
                </c:pt>
                <c:pt idx="416">
                  <c:v>12.719077296592081</c:v>
                </c:pt>
                <c:pt idx="417">
                  <c:v>12.591566598784498</c:v>
                </c:pt>
                <c:pt idx="418">
                  <c:v>12.465096294871334</c:v>
                </c:pt>
                <c:pt idx="419">
                  <c:v>12.339660738607524</c:v>
                </c:pt>
                <c:pt idx="420">
                  <c:v>12.215254281561331</c:v>
                </c:pt>
                <c:pt idx="421">
                  <c:v>12.091871273565422</c:v>
                </c:pt>
                <c:pt idx="422">
                  <c:v>11.969506063163539</c:v>
                </c:pt>
                <c:pt idx="423">
                  <c:v>11.848152998052811</c:v>
                </c:pt>
                <c:pt idx="424">
                  <c:v>11.727806425521662</c:v>
                </c:pt>
                <c:pt idx="425">
                  <c:v>11.608460692883328</c:v>
                </c:pt>
                <c:pt idx="426">
                  <c:v>11.490110147904959</c:v>
                </c:pt>
                <c:pt idx="427">
                  <c:v>11.372749139232326</c:v>
                </c:pt>
                <c:pt idx="428">
                  <c:v>11.256372016810133</c:v>
                </c:pt>
                <c:pt idx="429">
                  <c:v>11.140973132297898</c:v>
                </c:pt>
                <c:pt idx="430">
                  <c:v>11.026546839481393</c:v>
                </c:pt>
                <c:pt idx="431">
                  <c:v>10.913087494679736</c:v>
                </c:pt>
                <c:pt idx="432">
                  <c:v>10.800589457148019</c:v>
                </c:pt>
                <c:pt idx="433">
                  <c:v>10.689047089475499</c:v>
                </c:pt>
                <c:pt idx="434">
                  <c:v>10.578454757979436</c:v>
                </c:pt>
                <c:pt idx="435">
                  <c:v>10.46880683309446</c:v>
                </c:pt>
                <c:pt idx="436">
                  <c:v>10.360097689757529</c:v>
                </c:pt>
                <c:pt idx="437">
                  <c:v>10.252321707788493</c:v>
                </c:pt>
                <c:pt idx="438">
                  <c:v>10.145473272266239</c:v>
                </c:pt>
                <c:pt idx="439">
                  <c:v>10.039546773900422</c:v>
                </c:pt>
                <c:pt idx="440">
                  <c:v>9.9345366093987764</c:v>
                </c:pt>
                <c:pt idx="441">
                  <c:v>9.8304371818300655</c:v>
                </c:pt>
                <c:pt idx="442">
                  <c:v>9.7272429009826222</c:v>
                </c:pt>
                <c:pt idx="443">
                  <c:v>9.6249481837184341</c:v>
                </c:pt>
                <c:pt idx="444">
                  <c:v>9.523547454322955</c:v>
                </c:pt>
                <c:pt idx="445">
                  <c:v>9.4230351448504575</c:v>
                </c:pt>
                <c:pt idx="446">
                  <c:v>9.3234056954650235</c:v>
                </c:pt>
                <c:pt idx="447">
                  <c:v>9.2246535547771842</c:v>
                </c:pt>
                <c:pt idx="448">
                  <c:v>9.1267731801762224</c:v>
                </c:pt>
                <c:pt idx="449">
                  <c:v>9.0297590381580619</c:v>
                </c:pt>
                <c:pt idx="450">
                  <c:v>8.9336056046488732</c:v>
                </c:pt>
                <c:pt idx="451">
                  <c:v>8.8383073653243454</c:v>
                </c:pt>
                <c:pt idx="452">
                  <c:v>8.7438588159245949</c:v>
                </c:pt>
                <c:pt idx="453">
                  <c:v>8.6502544625647904</c:v>
                </c:pt>
                <c:pt idx="454">
                  <c:v>8.5574888220414813</c:v>
                </c:pt>
                <c:pt idx="455">
                  <c:v>8.4655564221346324</c:v>
                </c:pt>
                <c:pt idx="456">
                  <c:v>8.3744518019053658</c:v>
                </c:pt>
                <c:pt idx="457">
                  <c:v>8.2841695119894379</c:v>
                </c:pt>
                <c:pt idx="458">
                  <c:v>8.1947041148864912</c:v>
                </c:pt>
                <c:pt idx="459">
                  <c:v>8.1060501852450422</c:v>
                </c:pt>
                <c:pt idx="460">
                  <c:v>8.0182023101432041</c:v>
                </c:pt>
                <c:pt idx="461">
                  <c:v>7.9311550893652942</c:v>
                </c:pt>
                <c:pt idx="462">
                  <c:v>7.8449031356741283</c:v>
                </c:pt>
                <c:pt idx="463">
                  <c:v>7.7594410750792067</c:v>
                </c:pt>
                <c:pt idx="464">
                  <c:v>7.6747635471007012</c:v>
                </c:pt>
                <c:pt idx="465">
                  <c:v>7.5908652050292771</c:v>
                </c:pt>
                <c:pt idx="466">
                  <c:v>7.5077407161818117</c:v>
                </c:pt>
                <c:pt idx="467">
                  <c:v>7.4253847621529205</c:v>
                </c:pt>
                <c:pt idx="468">
                  <c:v>7.343792039062472</c:v>
                </c:pt>
                <c:pt idx="469">
                  <c:v>7.2629572577989192</c:v>
                </c:pt>
                <c:pt idx="470">
                  <c:v>7.1828751442586096</c:v>
                </c:pt>
                <c:pt idx="471">
                  <c:v>7.1035404395810406</c:v>
                </c:pt>
                <c:pt idx="472">
                  <c:v>7.0249479003800399</c:v>
                </c:pt>
                <c:pt idx="473">
                  <c:v>6.9470922989709605</c:v>
                </c:pt>
                <c:pt idx="474">
                  <c:v>6.8699684235938721</c:v>
                </c:pt>
                <c:pt idx="475">
                  <c:v>6.7935710786327395</c:v>
                </c:pt>
                <c:pt idx="476">
                  <c:v>6.7178950848306735</c:v>
                </c:pt>
                <c:pt idx="477">
                  <c:v>6.64293527950122</c:v>
                </c:pt>
                <c:pt idx="478">
                  <c:v>6.5686865167357258</c:v>
                </c:pt>
                <c:pt idx="479">
                  <c:v>6.4951436676068077</c:v>
                </c:pt>
                <c:pt idx="480">
                  <c:v>6.4223016203679135</c:v>
                </c:pt>
                <c:pt idx="481">
                  <c:v>6.3501552806490684</c:v>
                </c:pt>
                <c:pt idx="482">
                  <c:v>6.2786995716487306</c:v>
                </c:pt>
                <c:pt idx="483">
                  <c:v>6.2079294343218425</c:v>
                </c:pt>
                <c:pt idx="484">
                  <c:v>6.1378398275641013</c:v>
                </c:pt>
                <c:pt idx="485">
                  <c:v>6.0684257283924232</c:v>
                </c:pt>
                <c:pt idx="486">
                  <c:v>5.9996821321216736</c:v>
                </c:pt>
                <c:pt idx="487">
                  <c:v>5.9316040525376454</c:v>
                </c:pt>
                <c:pt idx="488">
                  <c:v>5.8641865220663476</c:v>
                </c:pt>
                <c:pt idx="489">
                  <c:v>5.7974245919395928</c:v>
                </c:pt>
                <c:pt idx="490">
                  <c:v>5.7313133323569074</c:v>
                </c:pt>
                <c:pt idx="491">
                  <c:v>5.6658478326438457</c:v>
                </c:pt>
                <c:pt idx="492">
                  <c:v>5.6010232014066244</c:v>
                </c:pt>
                <c:pt idx="493">
                  <c:v>5.5368345666832042</c:v>
                </c:pt>
                <c:pt idx="494">
                  <c:v>5.4732770760907954</c:v>
                </c:pt>
                <c:pt idx="495">
                  <c:v>5.4103458969698055</c:v>
                </c:pt>
                <c:pt idx="496">
                  <c:v>5.3480362165242692</c:v>
                </c:pt>
                <c:pt idx="497">
                  <c:v>5.2863432419587708</c:v>
                </c:pt>
                <c:pt idx="498">
                  <c:v>5.2252622006119269</c:v>
                </c:pt>
                <c:pt idx="499">
                  <c:v>5.1647883400863774</c:v>
                </c:pt>
                <c:pt idx="500">
                  <c:v>5.1049169283753697</c:v>
                </c:pt>
                <c:pt idx="501">
                  <c:v>5.0456432539859666</c:v>
                </c:pt>
                <c:pt idx="502">
                  <c:v>4.986962626058844</c:v>
                </c:pt>
                <c:pt idx="503">
                  <c:v>4.9288703744847577</c:v>
                </c:pt>
                <c:pt idx="504">
                  <c:v>4.8713618500177027</c:v>
                </c:pt>
                <c:pt idx="505">
                  <c:v>4.8144324243847487</c:v>
                </c:pt>
                <c:pt idx="506">
                  <c:v>4.7580774903926297</c:v>
                </c:pt>
                <c:pt idx="507">
                  <c:v>4.7022924620310587</c:v>
                </c:pt>
                <c:pt idx="508">
                  <c:v>4.6470727745728659</c:v>
                </c:pt>
                <c:pt idx="509">
                  <c:v>4.5924138846709166</c:v>
                </c:pt>
                <c:pt idx="510">
                  <c:v>4.5383112704518487</c:v>
                </c:pt>
                <c:pt idx="511">
                  <c:v>4.4847604316067278</c:v>
                </c:pt>
                <c:pt idx="512">
                  <c:v>4.4317568894785229</c:v>
                </c:pt>
                <c:pt idx="513">
                  <c:v>4.3792961871465375</c:v>
                </c:pt>
                <c:pt idx="514">
                  <c:v>4.3273738895077765</c:v>
                </c:pt>
                <c:pt idx="515">
                  <c:v>4.2759855833552711</c:v>
                </c:pt>
                <c:pt idx="516">
                  <c:v>4.2251268774534045</c:v>
                </c:pt>
                <c:pt idx="517">
                  <c:v>4.1747934026102484</c:v>
                </c:pt>
                <c:pt idx="518">
                  <c:v>4.1249808117469762</c:v>
                </c:pt>
                <c:pt idx="519">
                  <c:v>4.075684779964325</c:v>
                </c:pt>
                <c:pt idx="520">
                  <c:v>4.0269010046061631</c:v>
                </c:pt>
                <c:pt idx="521">
                  <c:v>3.9786252053202138</c:v>
                </c:pt>
                <c:pt idx="522">
                  <c:v>3.9308531241159064</c:v>
                </c:pt>
                <c:pt idx="523">
                  <c:v>3.8835805254194238</c:v>
                </c:pt>
                <c:pt idx="524">
                  <c:v>3.8368031961259801</c:v>
                </c:pt>
                <c:pt idx="525">
                  <c:v>3.7905169456493111</c:v>
                </c:pt>
                <c:pt idx="526">
                  <c:v>3.7447176059684493</c:v>
                </c:pt>
                <c:pt idx="527">
                  <c:v>3.6994010316717922</c:v>
                </c:pt>
                <c:pt idx="528">
                  <c:v>3.6545630999984957</c:v>
                </c:pt>
                <c:pt idx="529">
                  <c:v>3.6101997108772101</c:v>
                </c:pt>
                <c:pt idx="530">
                  <c:v>3.5663067869622052</c:v>
                </c:pt>
                <c:pt idx="531">
                  <c:v>3.5228802736668956</c:v>
                </c:pt>
                <c:pt idx="532">
                  <c:v>3.4799161391948057</c:v>
                </c:pt>
                <c:pt idx="533">
                  <c:v>3.4374103745679792</c:v>
                </c:pt>
                <c:pt idx="534">
                  <c:v>3.3953589936529047</c:v>
                </c:pt>
                <c:pt idx="535">
                  <c:v>3.3537580331839449</c:v>
                </c:pt>
                <c:pt idx="536">
                  <c:v>3.3126035527842901</c:v>
                </c:pt>
                <c:pt idx="537">
                  <c:v>3.2718916349845317</c:v>
                </c:pt>
                <c:pt idx="538">
                  <c:v>3.2316183852387876</c:v>
                </c:pt>
                <c:pt idx="539">
                  <c:v>3.1917799319384859</c:v>
                </c:pt>
                <c:pt idx="540">
                  <c:v>3.1523724264237818</c:v>
                </c:pt>
                <c:pt idx="541">
                  <c:v>3.1133920429926811</c:v>
                </c:pt>
                <c:pt idx="542">
                  <c:v>3.0748349789078575</c:v>
                </c:pt>
                <c:pt idx="543">
                  <c:v>3.0366974544012058</c:v>
                </c:pt>
                <c:pt idx="544">
                  <c:v>2.9989757126761711</c:v>
                </c:pt>
                <c:pt idx="545">
                  <c:v>2.9616660199078684</c:v>
                </c:pt>
                <c:pt idx="546">
                  <c:v>2.9247646652410109</c:v>
                </c:pt>
                <c:pt idx="547">
                  <c:v>2.8882679607856985</c:v>
                </c:pt>
                <c:pt idx="548">
                  <c:v>2.8521722416110791</c:v>
                </c:pt>
                <c:pt idx="549">
                  <c:v>2.8164738657369059</c:v>
                </c:pt>
                <c:pt idx="550">
                  <c:v>2.7811692141230222</c:v>
                </c:pt>
                <c:pt idx="551">
                  <c:v>2.7462546906568122</c:v>
                </c:pt>
                <c:pt idx="552">
                  <c:v>2.7117267221386325</c:v>
                </c:pt>
                <c:pt idx="553">
                  <c:v>2.6775817582652333</c:v>
                </c:pt>
                <c:pt idx="554">
                  <c:v>2.6438162716112514</c:v>
                </c:pt>
                <c:pt idx="555">
                  <c:v>2.6104267576087441</c:v>
                </c:pt>
                <c:pt idx="556">
                  <c:v>2.5774097345248079</c:v>
                </c:pt>
                <c:pt idx="557">
                  <c:v>2.5447617434373346</c:v>
                </c:pt>
                <c:pt idx="558">
                  <c:v>2.5124793482088972</c:v>
                </c:pt>
                <c:pt idx="559">
                  <c:v>2.4805591354588068</c:v>
                </c:pt>
                <c:pt idx="560">
                  <c:v>2.4489977145333639</c:v>
                </c:pt>
                <c:pt idx="561">
                  <c:v>2.4177917174743468</c:v>
                </c:pt>
                <c:pt idx="562">
                  <c:v>2.3869377989857332</c:v>
                </c:pt>
                <c:pt idx="563">
                  <c:v>2.3564326363986905</c:v>
                </c:pt>
                <c:pt idx="564">
                  <c:v>2.3262729296348961</c:v>
                </c:pt>
                <c:pt idx="565">
                  <c:v>2.2964554011681493</c:v>
                </c:pt>
                <c:pt idx="566">
                  <c:v>2.2669767959843625</c:v>
                </c:pt>
                <c:pt idx="567">
                  <c:v>2.2378338815399177</c:v>
                </c:pt>
                <c:pt idx="568">
                  <c:v>2.2090234477184221</c:v>
                </c:pt>
                <c:pt idx="569">
                  <c:v>2.1805423067859109</c:v>
                </c:pt>
                <c:pt idx="570">
                  <c:v>2.1523872933444763</c:v>
                </c:pt>
                <c:pt idx="571">
                  <c:v>2.1245552642844139</c:v>
                </c:pt>
                <c:pt idx="572">
                  <c:v>2.097043098734833</c:v>
                </c:pt>
                <c:pt idx="573">
                  <c:v>2.0698476980128189</c:v>
                </c:pt>
                <c:pt idx="574">
                  <c:v>2.0429659855711573</c:v>
                </c:pt>
                <c:pt idx="575">
                  <c:v>2.0163949069446128</c:v>
                </c:pt>
                <c:pt idx="576">
                  <c:v>1.9901314296948265</c:v>
                </c:pt>
                <c:pt idx="577">
                  <c:v>1.9641725433538408</c:v>
                </c:pt>
                <c:pt idx="578">
                  <c:v>1.9385152593662798</c:v>
                </c:pt>
                <c:pt idx="579">
                  <c:v>1.9131566110301923</c:v>
                </c:pt>
                <c:pt idx="580">
                  <c:v>1.8880936534365964</c:v>
                </c:pt>
                <c:pt idx="581">
                  <c:v>1.8633234634077773</c:v>
                </c:pt>
                <c:pt idx="582">
                  <c:v>1.8388431394342915</c:v>
                </c:pt>
                <c:pt idx="583">
                  <c:v>1.8146498016107591</c:v>
                </c:pt>
                <c:pt idx="584">
                  <c:v>1.7907405915704722</c:v>
                </c:pt>
                <c:pt idx="585">
                  <c:v>1.7671126724187858</c:v>
                </c:pt>
                <c:pt idx="586">
                  <c:v>1.7437632286653646</c:v>
                </c:pt>
                <c:pt idx="587">
                  <c:v>1.7206894661553112</c:v>
                </c:pt>
                <c:pt idx="588">
                  <c:v>1.6978886119991514</c:v>
                </c:pt>
                <c:pt idx="589">
                  <c:v>1.6753579145017465</c:v>
                </c:pt>
                <c:pt idx="590">
                  <c:v>1.6530946430901383</c:v>
                </c:pt>
                <c:pt idx="591">
                  <c:v>1.6310960882403425</c:v>
                </c:pt>
                <c:pt idx="592">
                  <c:v>1.6093595614031193</c:v>
                </c:pt>
                <c:pt idx="593">
                  <c:v>1.5878823949287484</c:v>
                </c:pt>
                <c:pt idx="594">
                  <c:v>1.5666619419908174</c:v>
                </c:pt>
                <c:pt idx="595">
                  <c:v>1.5456955765090619</c:v>
                </c:pt>
                <c:pt idx="596">
                  <c:v>1.5249806930712524</c:v>
                </c:pt>
                <c:pt idx="597">
                  <c:v>1.5045147068541889</c:v>
                </c:pt>
                <c:pt idx="598">
                  <c:v>1.4842950535437884</c:v>
                </c:pt>
                <c:pt idx="599">
                  <c:v>1.464319189254297</c:v>
                </c:pt>
                <c:pt idx="600">
                  <c:v>1.4445845904466625</c:v>
                </c:pt>
                <c:pt idx="601">
                  <c:v>1.4250887538460635</c:v>
                </c:pt>
                <c:pt idx="602">
                  <c:v>1.4058291963586438</c:v>
                </c:pt>
                <c:pt idx="603">
                  <c:v>1.3868034549874342</c:v>
                </c:pt>
                <c:pt idx="604">
                  <c:v>1.3680090867475323</c:v>
                </c:pt>
                <c:pt idx="605">
                  <c:v>1.3494436685805089</c:v>
                </c:pt>
                <c:pt idx="606">
                  <c:v>1.3311047972680954</c:v>
                </c:pt>
                <c:pt idx="607">
                  <c:v>1.3129900893451674</c:v>
                </c:pt>
                <c:pt idx="608">
                  <c:v>1.2950971810120218</c:v>
                </c:pt>
                <c:pt idx="609">
                  <c:v>1.2774237280459966</c:v>
                </c:pt>
                <c:pt idx="610">
                  <c:v>1.2599674057124342</c:v>
                </c:pt>
                <c:pt idx="611">
                  <c:v>1.242725908675008</c:v>
                </c:pt>
                <c:pt idx="612">
                  <c:v>1.2256969509054434</c:v>
                </c:pt>
                <c:pt idx="613">
                  <c:v>1.2088782655926329</c:v>
                </c:pt>
                <c:pt idx="614">
                  <c:v>1.1922676050511849</c:v>
                </c:pt>
                <c:pt idx="615">
                  <c:v>1.1758627406294062</c:v>
                </c:pt>
                <c:pt idx="616">
                  <c:v>1.1596614626167492</c:v>
                </c:pt>
                <c:pt idx="617">
                  <c:v>1.1436615801507302</c:v>
                </c:pt>
                <c:pt idx="618">
                  <c:v>1.1278609211233497</c:v>
                </c:pt>
                <c:pt idx="619">
                  <c:v>1.1122573320870239</c:v>
                </c:pt>
                <c:pt idx="620">
                  <c:v>1.0968486781600426</c:v>
                </c:pt>
                <c:pt idx="621">
                  <c:v>1.0816328429315751</c:v>
                </c:pt>
                <c:pt idx="622">
                  <c:v>1.0666077283662534</c:v>
                </c:pt>
                <c:pt idx="623">
                  <c:v>1.0517712547083131</c:v>
                </c:pt>
                <c:pt idx="624">
                  <c:v>1.0371213603853553</c:v>
                </c:pt>
                <c:pt idx="625">
                  <c:v>1.0226560019117079</c:v>
                </c:pt>
                <c:pt idx="626">
                  <c:v>1.0083731537914269</c:v>
                </c:pt>
                <c:pt idx="627">
                  <c:v>0.9942708084209434</c:v>
                </c:pt>
                <c:pt idx="628">
                  <c:v>0.98034697599136633</c:v>
                </c:pt>
                <c:pt idx="629">
                  <c:v>0.9665996843904735</c:v>
                </c:pt>
                <c:pt idx="630">
                  <c:v>0.95302697910439793</c:v>
                </c:pt>
                <c:pt idx="631">
                  <c:v>0.93962692311901053</c:v>
                </c:pt>
                <c:pt idx="632">
                  <c:v>0.92639759682104528</c:v>
                </c:pt>
                <c:pt idx="633">
                  <c:v>0.91333709789895756</c:v>
                </c:pt>
                <c:pt idx="634">
                  <c:v>0.90044354124353243</c:v>
                </c:pt>
                <c:pt idx="635">
                  <c:v>0.88771505884827173</c:v>
                </c:pt>
                <c:pt idx="636">
                  <c:v>0.87514979970956575</c:v>
                </c:pt>
                <c:pt idx="637">
                  <c:v>0.86274592972665354</c:v>
                </c:pt>
                <c:pt idx="638">
                  <c:v>0.85050163160140879</c:v>
                </c:pt>
                <c:pt idx="639">
                  <c:v>0.83841510473794989</c:v>
                </c:pt>
                <c:pt idx="640">
                  <c:v>0.82648456514208291</c:v>
                </c:pt>
                <c:pt idx="641">
                  <c:v>0.81470824532061081</c:v>
                </c:pt>
                <c:pt idx="642">
                  <c:v>0.80308439418050825</c:v>
                </c:pt>
                <c:pt idx="643">
                  <c:v>0.79161127692796884</c:v>
                </c:pt>
                <c:pt idx="644">
                  <c:v>0.78028717496736288</c:v>
                </c:pt>
                <c:pt idx="645">
                  <c:v>0.76911038580008984</c:v>
                </c:pt>
                <c:pt idx="646">
                  <c:v>0.75807922292335539</c:v>
                </c:pt>
                <c:pt idx="647">
                  <c:v>0.74719201572889116</c:v>
                </c:pt>
                <c:pt idx="648">
                  <c:v>0.73644710940160041</c:v>
                </c:pt>
                <c:pt idx="649">
                  <c:v>0.72584286481818305</c:v>
                </c:pt>
                <c:pt idx="650">
                  <c:v>0.71537765844571832</c:v>
                </c:pt>
                <c:pt idx="651">
                  <c:v>0.70504988224022958</c:v>
                </c:pt>
                <c:pt idx="652">
                  <c:v>0.69485794354525177</c:v>
                </c:pt>
                <c:pt idx="653">
                  <c:v>0.68480026499039648</c:v>
                </c:pt>
                <c:pt idx="654">
                  <c:v>0.6748752843899366</c:v>
                </c:pt>
                <c:pt idx="655">
                  <c:v>0.66508145464141855</c:v>
                </c:pt>
                <c:pt idx="656">
                  <c:v>0.6554172436243183</c:v>
                </c:pt>
                <c:pt idx="657">
                  <c:v>0.64588113409874048</c:v>
                </c:pt>
                <c:pt idx="658">
                  <c:v>0.63647162360418497</c:v>
                </c:pt>
                <c:pt idx="659">
                  <c:v>0.62718722435838337</c:v>
                </c:pt>
                <c:pt idx="660">
                  <c:v>0.61802646315621534</c:v>
                </c:pt>
                <c:pt idx="661">
                  <c:v>0.60898788126872017</c:v>
                </c:pt>
                <c:pt idx="662">
                  <c:v>0.60007003434221273</c:v>
                </c:pt>
                <c:pt idx="663">
                  <c:v>0.59127149229750708</c:v>
                </c:pt>
                <c:pt idx="664">
                  <c:v>0.58259083922926502</c:v>
                </c:pt>
                <c:pt idx="665">
                  <c:v>0.57402667330548185</c:v>
                </c:pt>
                <c:pt idx="666">
                  <c:v>0.56557760666710266</c:v>
                </c:pt>
                <c:pt idx="667">
                  <c:v>0.55724226532780008</c:v>
                </c:pt>
                <c:pt idx="668">
                  <c:v>0.54901928907390574</c:v>
                </c:pt>
                <c:pt idx="669">
                  <c:v>0.54090733136451441</c:v>
                </c:pt>
                <c:pt idx="670">
                  <c:v>0.53290505923176612</c:v>
                </c:pt>
                <c:pt idx="671">
                  <c:v>0.52501115318131009</c:v>
                </c:pt>
                <c:pt idx="672">
                  <c:v>0.51722430709297029</c:v>
                </c:pt>
                <c:pt idx="673">
                  <c:v>0.50954322812161168</c:v>
                </c:pt>
                <c:pt idx="674">
                  <c:v>0.50196663659821927</c:v>
                </c:pt>
                <c:pt idx="675">
                  <c:v>0.49449326593119297</c:v>
                </c:pt>
              </c:numCache>
            </c:numRef>
          </c:yVal>
          <c:smooth val="1"/>
        </c:ser>
        <c:ser>
          <c:idx val="5"/>
          <c:order val="3"/>
          <c:tx>
            <c:strRef>
              <c:f>Data!$G$1</c:f>
              <c:strCache>
                <c:ptCount val="1"/>
                <c:pt idx="0">
                  <c:v>Peak 2</c:v>
                </c:pt>
              </c:strCache>
            </c:strRef>
          </c:tx>
          <c:spPr>
            <a:ln w="12700">
              <a:solidFill>
                <a:srgbClr val="FF0000"/>
              </a:solidFill>
              <a:prstDash val="solid"/>
            </a:ln>
          </c:spPr>
          <c:marker>
            <c:symbol val="none"/>
          </c:marker>
          <c:xVal>
            <c:numRef>
              <c:f>Data!$A$2:$A$1001</c:f>
              <c:numCache>
                <c:formatCode>0.000</c:formatCode>
                <c:ptCount val="1000"/>
                <c:pt idx="0">
                  <c:v>1</c:v>
                </c:pt>
                <c:pt idx="1">
                  <c:v>3</c:v>
                </c:pt>
                <c:pt idx="2">
                  <c:v>5</c:v>
                </c:pt>
                <c:pt idx="3">
                  <c:v>7</c:v>
                </c:pt>
                <c:pt idx="4">
                  <c:v>9</c:v>
                </c:pt>
                <c:pt idx="5">
                  <c:v>11</c:v>
                </c:pt>
                <c:pt idx="6">
                  <c:v>13</c:v>
                </c:pt>
                <c:pt idx="7">
                  <c:v>15</c:v>
                </c:pt>
                <c:pt idx="8">
                  <c:v>17</c:v>
                </c:pt>
                <c:pt idx="9">
                  <c:v>19</c:v>
                </c:pt>
                <c:pt idx="10">
                  <c:v>21</c:v>
                </c:pt>
                <c:pt idx="11">
                  <c:v>23</c:v>
                </c:pt>
                <c:pt idx="12">
                  <c:v>25</c:v>
                </c:pt>
                <c:pt idx="13">
                  <c:v>27</c:v>
                </c:pt>
                <c:pt idx="14">
                  <c:v>29</c:v>
                </c:pt>
                <c:pt idx="15">
                  <c:v>31</c:v>
                </c:pt>
                <c:pt idx="16">
                  <c:v>33</c:v>
                </c:pt>
                <c:pt idx="17">
                  <c:v>35</c:v>
                </c:pt>
                <c:pt idx="18">
                  <c:v>37</c:v>
                </c:pt>
                <c:pt idx="19">
                  <c:v>39</c:v>
                </c:pt>
                <c:pt idx="20">
                  <c:v>41</c:v>
                </c:pt>
                <c:pt idx="21">
                  <c:v>43</c:v>
                </c:pt>
                <c:pt idx="22">
                  <c:v>45</c:v>
                </c:pt>
                <c:pt idx="23">
                  <c:v>47</c:v>
                </c:pt>
                <c:pt idx="24">
                  <c:v>49</c:v>
                </c:pt>
                <c:pt idx="25">
                  <c:v>51</c:v>
                </c:pt>
                <c:pt idx="26">
                  <c:v>53</c:v>
                </c:pt>
                <c:pt idx="27">
                  <c:v>55</c:v>
                </c:pt>
                <c:pt idx="28">
                  <c:v>57</c:v>
                </c:pt>
                <c:pt idx="29">
                  <c:v>59</c:v>
                </c:pt>
                <c:pt idx="30">
                  <c:v>61</c:v>
                </c:pt>
                <c:pt idx="31">
                  <c:v>63</c:v>
                </c:pt>
                <c:pt idx="32">
                  <c:v>65</c:v>
                </c:pt>
                <c:pt idx="33">
                  <c:v>67</c:v>
                </c:pt>
                <c:pt idx="34">
                  <c:v>69</c:v>
                </c:pt>
                <c:pt idx="35">
                  <c:v>71</c:v>
                </c:pt>
                <c:pt idx="36">
                  <c:v>73</c:v>
                </c:pt>
                <c:pt idx="37">
                  <c:v>75</c:v>
                </c:pt>
                <c:pt idx="38">
                  <c:v>77</c:v>
                </c:pt>
                <c:pt idx="39">
                  <c:v>79</c:v>
                </c:pt>
                <c:pt idx="40">
                  <c:v>81</c:v>
                </c:pt>
                <c:pt idx="41">
                  <c:v>83</c:v>
                </c:pt>
                <c:pt idx="42">
                  <c:v>85</c:v>
                </c:pt>
                <c:pt idx="43">
                  <c:v>87</c:v>
                </c:pt>
                <c:pt idx="44">
                  <c:v>89</c:v>
                </c:pt>
                <c:pt idx="45">
                  <c:v>91</c:v>
                </c:pt>
                <c:pt idx="46">
                  <c:v>93</c:v>
                </c:pt>
                <c:pt idx="47">
                  <c:v>95</c:v>
                </c:pt>
                <c:pt idx="48">
                  <c:v>97</c:v>
                </c:pt>
                <c:pt idx="49">
                  <c:v>99</c:v>
                </c:pt>
                <c:pt idx="50">
                  <c:v>101</c:v>
                </c:pt>
                <c:pt idx="51">
                  <c:v>103</c:v>
                </c:pt>
                <c:pt idx="52">
                  <c:v>105</c:v>
                </c:pt>
                <c:pt idx="53">
                  <c:v>107</c:v>
                </c:pt>
                <c:pt idx="54">
                  <c:v>109</c:v>
                </c:pt>
                <c:pt idx="55">
                  <c:v>111</c:v>
                </c:pt>
                <c:pt idx="56">
                  <c:v>113</c:v>
                </c:pt>
                <c:pt idx="57">
                  <c:v>115</c:v>
                </c:pt>
                <c:pt idx="58">
                  <c:v>117</c:v>
                </c:pt>
                <c:pt idx="59">
                  <c:v>119</c:v>
                </c:pt>
                <c:pt idx="60">
                  <c:v>121</c:v>
                </c:pt>
                <c:pt idx="61">
                  <c:v>123</c:v>
                </c:pt>
                <c:pt idx="62">
                  <c:v>125</c:v>
                </c:pt>
                <c:pt idx="63">
                  <c:v>127</c:v>
                </c:pt>
                <c:pt idx="64">
                  <c:v>129</c:v>
                </c:pt>
                <c:pt idx="65">
                  <c:v>131</c:v>
                </c:pt>
                <c:pt idx="66">
                  <c:v>133</c:v>
                </c:pt>
                <c:pt idx="67">
                  <c:v>135</c:v>
                </c:pt>
                <c:pt idx="68">
                  <c:v>137</c:v>
                </c:pt>
                <c:pt idx="69">
                  <c:v>139</c:v>
                </c:pt>
                <c:pt idx="70">
                  <c:v>141</c:v>
                </c:pt>
                <c:pt idx="71">
                  <c:v>143</c:v>
                </c:pt>
                <c:pt idx="72">
                  <c:v>145</c:v>
                </c:pt>
                <c:pt idx="73">
                  <c:v>147</c:v>
                </c:pt>
                <c:pt idx="74">
                  <c:v>149</c:v>
                </c:pt>
                <c:pt idx="75">
                  <c:v>151</c:v>
                </c:pt>
                <c:pt idx="76">
                  <c:v>153</c:v>
                </c:pt>
                <c:pt idx="77">
                  <c:v>155</c:v>
                </c:pt>
                <c:pt idx="78">
                  <c:v>157</c:v>
                </c:pt>
                <c:pt idx="79">
                  <c:v>159</c:v>
                </c:pt>
                <c:pt idx="80">
                  <c:v>161</c:v>
                </c:pt>
                <c:pt idx="81">
                  <c:v>163</c:v>
                </c:pt>
                <c:pt idx="82">
                  <c:v>165</c:v>
                </c:pt>
                <c:pt idx="83">
                  <c:v>167</c:v>
                </c:pt>
                <c:pt idx="84">
                  <c:v>169</c:v>
                </c:pt>
                <c:pt idx="85">
                  <c:v>171</c:v>
                </c:pt>
                <c:pt idx="86">
                  <c:v>173</c:v>
                </c:pt>
                <c:pt idx="87">
                  <c:v>175</c:v>
                </c:pt>
                <c:pt idx="88">
                  <c:v>177</c:v>
                </c:pt>
                <c:pt idx="89">
                  <c:v>179</c:v>
                </c:pt>
                <c:pt idx="90">
                  <c:v>181</c:v>
                </c:pt>
                <c:pt idx="91">
                  <c:v>183</c:v>
                </c:pt>
                <c:pt idx="92">
                  <c:v>185</c:v>
                </c:pt>
                <c:pt idx="93">
                  <c:v>187</c:v>
                </c:pt>
                <c:pt idx="94">
                  <c:v>189</c:v>
                </c:pt>
                <c:pt idx="95">
                  <c:v>191</c:v>
                </c:pt>
                <c:pt idx="96">
                  <c:v>193</c:v>
                </c:pt>
                <c:pt idx="97">
                  <c:v>195</c:v>
                </c:pt>
                <c:pt idx="98">
                  <c:v>197</c:v>
                </c:pt>
                <c:pt idx="99">
                  <c:v>199</c:v>
                </c:pt>
                <c:pt idx="100">
                  <c:v>201</c:v>
                </c:pt>
                <c:pt idx="101">
                  <c:v>203</c:v>
                </c:pt>
                <c:pt idx="102">
                  <c:v>205</c:v>
                </c:pt>
                <c:pt idx="103">
                  <c:v>207</c:v>
                </c:pt>
                <c:pt idx="104">
                  <c:v>209</c:v>
                </c:pt>
                <c:pt idx="105">
                  <c:v>211</c:v>
                </c:pt>
                <c:pt idx="106">
                  <c:v>213</c:v>
                </c:pt>
                <c:pt idx="107">
                  <c:v>215</c:v>
                </c:pt>
                <c:pt idx="108">
                  <c:v>217</c:v>
                </c:pt>
                <c:pt idx="109">
                  <c:v>219</c:v>
                </c:pt>
                <c:pt idx="110">
                  <c:v>221</c:v>
                </c:pt>
                <c:pt idx="111">
                  <c:v>223</c:v>
                </c:pt>
                <c:pt idx="112">
                  <c:v>225</c:v>
                </c:pt>
                <c:pt idx="113">
                  <c:v>227</c:v>
                </c:pt>
                <c:pt idx="114">
                  <c:v>229</c:v>
                </c:pt>
                <c:pt idx="115">
                  <c:v>231</c:v>
                </c:pt>
                <c:pt idx="116">
                  <c:v>233</c:v>
                </c:pt>
                <c:pt idx="117">
                  <c:v>235</c:v>
                </c:pt>
                <c:pt idx="118">
                  <c:v>237</c:v>
                </c:pt>
                <c:pt idx="119">
                  <c:v>239</c:v>
                </c:pt>
                <c:pt idx="120">
                  <c:v>241</c:v>
                </c:pt>
                <c:pt idx="121">
                  <c:v>243</c:v>
                </c:pt>
                <c:pt idx="122">
                  <c:v>245</c:v>
                </c:pt>
                <c:pt idx="123">
                  <c:v>247</c:v>
                </c:pt>
                <c:pt idx="124">
                  <c:v>249</c:v>
                </c:pt>
                <c:pt idx="125">
                  <c:v>251</c:v>
                </c:pt>
                <c:pt idx="126">
                  <c:v>253</c:v>
                </c:pt>
                <c:pt idx="127">
                  <c:v>255</c:v>
                </c:pt>
                <c:pt idx="128">
                  <c:v>257</c:v>
                </c:pt>
                <c:pt idx="129">
                  <c:v>259</c:v>
                </c:pt>
                <c:pt idx="130">
                  <c:v>261</c:v>
                </c:pt>
                <c:pt idx="131">
                  <c:v>263</c:v>
                </c:pt>
                <c:pt idx="132">
                  <c:v>265</c:v>
                </c:pt>
                <c:pt idx="133">
                  <c:v>267</c:v>
                </c:pt>
                <c:pt idx="134">
                  <c:v>269</c:v>
                </c:pt>
                <c:pt idx="135">
                  <c:v>271</c:v>
                </c:pt>
                <c:pt idx="136">
                  <c:v>273</c:v>
                </c:pt>
                <c:pt idx="137">
                  <c:v>275</c:v>
                </c:pt>
                <c:pt idx="138">
                  <c:v>277</c:v>
                </c:pt>
                <c:pt idx="139">
                  <c:v>279</c:v>
                </c:pt>
                <c:pt idx="140">
                  <c:v>281</c:v>
                </c:pt>
                <c:pt idx="141">
                  <c:v>283</c:v>
                </c:pt>
                <c:pt idx="142">
                  <c:v>285</c:v>
                </c:pt>
                <c:pt idx="143">
                  <c:v>287</c:v>
                </c:pt>
                <c:pt idx="144">
                  <c:v>289</c:v>
                </c:pt>
                <c:pt idx="145">
                  <c:v>291</c:v>
                </c:pt>
                <c:pt idx="146">
                  <c:v>293</c:v>
                </c:pt>
                <c:pt idx="147">
                  <c:v>295</c:v>
                </c:pt>
                <c:pt idx="148">
                  <c:v>297</c:v>
                </c:pt>
                <c:pt idx="149">
                  <c:v>299</c:v>
                </c:pt>
                <c:pt idx="150">
                  <c:v>301</c:v>
                </c:pt>
                <c:pt idx="151">
                  <c:v>303</c:v>
                </c:pt>
                <c:pt idx="152">
                  <c:v>305</c:v>
                </c:pt>
                <c:pt idx="153">
                  <c:v>307</c:v>
                </c:pt>
                <c:pt idx="154">
                  <c:v>309</c:v>
                </c:pt>
                <c:pt idx="155">
                  <c:v>311</c:v>
                </c:pt>
                <c:pt idx="156">
                  <c:v>313</c:v>
                </c:pt>
                <c:pt idx="157">
                  <c:v>315</c:v>
                </c:pt>
                <c:pt idx="158">
                  <c:v>317</c:v>
                </c:pt>
                <c:pt idx="159">
                  <c:v>319</c:v>
                </c:pt>
                <c:pt idx="160">
                  <c:v>321</c:v>
                </c:pt>
                <c:pt idx="161">
                  <c:v>323</c:v>
                </c:pt>
                <c:pt idx="162">
                  <c:v>325</c:v>
                </c:pt>
                <c:pt idx="163">
                  <c:v>327</c:v>
                </c:pt>
                <c:pt idx="164">
                  <c:v>329</c:v>
                </c:pt>
                <c:pt idx="165">
                  <c:v>331</c:v>
                </c:pt>
                <c:pt idx="166">
                  <c:v>333</c:v>
                </c:pt>
                <c:pt idx="167">
                  <c:v>335</c:v>
                </c:pt>
                <c:pt idx="168">
                  <c:v>337</c:v>
                </c:pt>
                <c:pt idx="169">
                  <c:v>339</c:v>
                </c:pt>
                <c:pt idx="170">
                  <c:v>341</c:v>
                </c:pt>
                <c:pt idx="171">
                  <c:v>343</c:v>
                </c:pt>
                <c:pt idx="172">
                  <c:v>345</c:v>
                </c:pt>
                <c:pt idx="173">
                  <c:v>347</c:v>
                </c:pt>
                <c:pt idx="174">
                  <c:v>349</c:v>
                </c:pt>
                <c:pt idx="175">
                  <c:v>351</c:v>
                </c:pt>
                <c:pt idx="176">
                  <c:v>353</c:v>
                </c:pt>
                <c:pt idx="177">
                  <c:v>355</c:v>
                </c:pt>
                <c:pt idx="178">
                  <c:v>357</c:v>
                </c:pt>
                <c:pt idx="179">
                  <c:v>359</c:v>
                </c:pt>
                <c:pt idx="180">
                  <c:v>361</c:v>
                </c:pt>
                <c:pt idx="181">
                  <c:v>363</c:v>
                </c:pt>
                <c:pt idx="182">
                  <c:v>365</c:v>
                </c:pt>
                <c:pt idx="183">
                  <c:v>367</c:v>
                </c:pt>
                <c:pt idx="184">
                  <c:v>369</c:v>
                </c:pt>
                <c:pt idx="185">
                  <c:v>371</c:v>
                </c:pt>
                <c:pt idx="186">
                  <c:v>373</c:v>
                </c:pt>
                <c:pt idx="187">
                  <c:v>375</c:v>
                </c:pt>
                <c:pt idx="188">
                  <c:v>377</c:v>
                </c:pt>
                <c:pt idx="189">
                  <c:v>379</c:v>
                </c:pt>
                <c:pt idx="190">
                  <c:v>381</c:v>
                </c:pt>
                <c:pt idx="191">
                  <c:v>383</c:v>
                </c:pt>
                <c:pt idx="192">
                  <c:v>385</c:v>
                </c:pt>
                <c:pt idx="193">
                  <c:v>387</c:v>
                </c:pt>
                <c:pt idx="194">
                  <c:v>389</c:v>
                </c:pt>
                <c:pt idx="195">
                  <c:v>391</c:v>
                </c:pt>
                <c:pt idx="196">
                  <c:v>393</c:v>
                </c:pt>
                <c:pt idx="197">
                  <c:v>395</c:v>
                </c:pt>
                <c:pt idx="198">
                  <c:v>397</c:v>
                </c:pt>
                <c:pt idx="199">
                  <c:v>399</c:v>
                </c:pt>
                <c:pt idx="200">
                  <c:v>401</c:v>
                </c:pt>
                <c:pt idx="201">
                  <c:v>403</c:v>
                </c:pt>
                <c:pt idx="202">
                  <c:v>405</c:v>
                </c:pt>
                <c:pt idx="203">
                  <c:v>407</c:v>
                </c:pt>
                <c:pt idx="204">
                  <c:v>409</c:v>
                </c:pt>
                <c:pt idx="205">
                  <c:v>411</c:v>
                </c:pt>
                <c:pt idx="206">
                  <c:v>413</c:v>
                </c:pt>
                <c:pt idx="207">
                  <c:v>415</c:v>
                </c:pt>
                <c:pt idx="208">
                  <c:v>417</c:v>
                </c:pt>
                <c:pt idx="209">
                  <c:v>419</c:v>
                </c:pt>
                <c:pt idx="210">
                  <c:v>421</c:v>
                </c:pt>
                <c:pt idx="211">
                  <c:v>423</c:v>
                </c:pt>
                <c:pt idx="212">
                  <c:v>425</c:v>
                </c:pt>
                <c:pt idx="213">
                  <c:v>427</c:v>
                </c:pt>
                <c:pt idx="214">
                  <c:v>429</c:v>
                </c:pt>
                <c:pt idx="215">
                  <c:v>431</c:v>
                </c:pt>
                <c:pt idx="216">
                  <c:v>433</c:v>
                </c:pt>
                <c:pt idx="217">
                  <c:v>435</c:v>
                </c:pt>
                <c:pt idx="218">
                  <c:v>437</c:v>
                </c:pt>
                <c:pt idx="219">
                  <c:v>439</c:v>
                </c:pt>
                <c:pt idx="220">
                  <c:v>441</c:v>
                </c:pt>
                <c:pt idx="221">
                  <c:v>443</c:v>
                </c:pt>
                <c:pt idx="222">
                  <c:v>445</c:v>
                </c:pt>
                <c:pt idx="223">
                  <c:v>447</c:v>
                </c:pt>
                <c:pt idx="224">
                  <c:v>449</c:v>
                </c:pt>
                <c:pt idx="225">
                  <c:v>451</c:v>
                </c:pt>
                <c:pt idx="226">
                  <c:v>453</c:v>
                </c:pt>
                <c:pt idx="227">
                  <c:v>455</c:v>
                </c:pt>
                <c:pt idx="228">
                  <c:v>457</c:v>
                </c:pt>
                <c:pt idx="229">
                  <c:v>459</c:v>
                </c:pt>
                <c:pt idx="230">
                  <c:v>461</c:v>
                </c:pt>
                <c:pt idx="231">
                  <c:v>463</c:v>
                </c:pt>
                <c:pt idx="232">
                  <c:v>465</c:v>
                </c:pt>
                <c:pt idx="233">
                  <c:v>467</c:v>
                </c:pt>
                <c:pt idx="234">
                  <c:v>469</c:v>
                </c:pt>
                <c:pt idx="235">
                  <c:v>471</c:v>
                </c:pt>
                <c:pt idx="236">
                  <c:v>473</c:v>
                </c:pt>
                <c:pt idx="237">
                  <c:v>475</c:v>
                </c:pt>
                <c:pt idx="238">
                  <c:v>477</c:v>
                </c:pt>
                <c:pt idx="239">
                  <c:v>479</c:v>
                </c:pt>
                <c:pt idx="240">
                  <c:v>481</c:v>
                </c:pt>
                <c:pt idx="241">
                  <c:v>483</c:v>
                </c:pt>
                <c:pt idx="242">
                  <c:v>485</c:v>
                </c:pt>
                <c:pt idx="243">
                  <c:v>487</c:v>
                </c:pt>
                <c:pt idx="244">
                  <c:v>489</c:v>
                </c:pt>
                <c:pt idx="245">
                  <c:v>491</c:v>
                </c:pt>
                <c:pt idx="246">
                  <c:v>493</c:v>
                </c:pt>
                <c:pt idx="247">
                  <c:v>495</c:v>
                </c:pt>
                <c:pt idx="248">
                  <c:v>497</c:v>
                </c:pt>
                <c:pt idx="249">
                  <c:v>499</c:v>
                </c:pt>
                <c:pt idx="250">
                  <c:v>501</c:v>
                </c:pt>
                <c:pt idx="251">
                  <c:v>503</c:v>
                </c:pt>
                <c:pt idx="252">
                  <c:v>505</c:v>
                </c:pt>
                <c:pt idx="253">
                  <c:v>507</c:v>
                </c:pt>
                <c:pt idx="254">
                  <c:v>509</c:v>
                </c:pt>
                <c:pt idx="255">
                  <c:v>511</c:v>
                </c:pt>
                <c:pt idx="256">
                  <c:v>513</c:v>
                </c:pt>
                <c:pt idx="257">
                  <c:v>515</c:v>
                </c:pt>
                <c:pt idx="258">
                  <c:v>517</c:v>
                </c:pt>
                <c:pt idx="259">
                  <c:v>519</c:v>
                </c:pt>
                <c:pt idx="260">
                  <c:v>521</c:v>
                </c:pt>
                <c:pt idx="261">
                  <c:v>523</c:v>
                </c:pt>
                <c:pt idx="262">
                  <c:v>525</c:v>
                </c:pt>
                <c:pt idx="263">
                  <c:v>527</c:v>
                </c:pt>
                <c:pt idx="264">
                  <c:v>529</c:v>
                </c:pt>
                <c:pt idx="265">
                  <c:v>531</c:v>
                </c:pt>
                <c:pt idx="266">
                  <c:v>533</c:v>
                </c:pt>
                <c:pt idx="267">
                  <c:v>535</c:v>
                </c:pt>
                <c:pt idx="268">
                  <c:v>537</c:v>
                </c:pt>
                <c:pt idx="269">
                  <c:v>539</c:v>
                </c:pt>
                <c:pt idx="270">
                  <c:v>541</c:v>
                </c:pt>
                <c:pt idx="271">
                  <c:v>543</c:v>
                </c:pt>
                <c:pt idx="272">
                  <c:v>545</c:v>
                </c:pt>
                <c:pt idx="273">
                  <c:v>547</c:v>
                </c:pt>
                <c:pt idx="274">
                  <c:v>549</c:v>
                </c:pt>
                <c:pt idx="275">
                  <c:v>551</c:v>
                </c:pt>
                <c:pt idx="276">
                  <c:v>553</c:v>
                </c:pt>
                <c:pt idx="277">
                  <c:v>555</c:v>
                </c:pt>
                <c:pt idx="278">
                  <c:v>557</c:v>
                </c:pt>
                <c:pt idx="279">
                  <c:v>559</c:v>
                </c:pt>
                <c:pt idx="280">
                  <c:v>561</c:v>
                </c:pt>
                <c:pt idx="281">
                  <c:v>563</c:v>
                </c:pt>
                <c:pt idx="282">
                  <c:v>565</c:v>
                </c:pt>
                <c:pt idx="283">
                  <c:v>567</c:v>
                </c:pt>
                <c:pt idx="284">
                  <c:v>569</c:v>
                </c:pt>
                <c:pt idx="285">
                  <c:v>571</c:v>
                </c:pt>
                <c:pt idx="286">
                  <c:v>573</c:v>
                </c:pt>
                <c:pt idx="287">
                  <c:v>575</c:v>
                </c:pt>
                <c:pt idx="288">
                  <c:v>577</c:v>
                </c:pt>
                <c:pt idx="289">
                  <c:v>579</c:v>
                </c:pt>
                <c:pt idx="290">
                  <c:v>581</c:v>
                </c:pt>
                <c:pt idx="291">
                  <c:v>583</c:v>
                </c:pt>
                <c:pt idx="292">
                  <c:v>585</c:v>
                </c:pt>
                <c:pt idx="293">
                  <c:v>587</c:v>
                </c:pt>
                <c:pt idx="294">
                  <c:v>589</c:v>
                </c:pt>
                <c:pt idx="295">
                  <c:v>591</c:v>
                </c:pt>
                <c:pt idx="296">
                  <c:v>593</c:v>
                </c:pt>
                <c:pt idx="297">
                  <c:v>595</c:v>
                </c:pt>
                <c:pt idx="298">
                  <c:v>597</c:v>
                </c:pt>
                <c:pt idx="299">
                  <c:v>599</c:v>
                </c:pt>
                <c:pt idx="300">
                  <c:v>601</c:v>
                </c:pt>
                <c:pt idx="301">
                  <c:v>603</c:v>
                </c:pt>
                <c:pt idx="302">
                  <c:v>605</c:v>
                </c:pt>
                <c:pt idx="303">
                  <c:v>607</c:v>
                </c:pt>
                <c:pt idx="304">
                  <c:v>609</c:v>
                </c:pt>
                <c:pt idx="305">
                  <c:v>611</c:v>
                </c:pt>
                <c:pt idx="306">
                  <c:v>613</c:v>
                </c:pt>
                <c:pt idx="307">
                  <c:v>615</c:v>
                </c:pt>
                <c:pt idx="308">
                  <c:v>617</c:v>
                </c:pt>
                <c:pt idx="309">
                  <c:v>619</c:v>
                </c:pt>
                <c:pt idx="310">
                  <c:v>621</c:v>
                </c:pt>
                <c:pt idx="311">
                  <c:v>623</c:v>
                </c:pt>
                <c:pt idx="312">
                  <c:v>625</c:v>
                </c:pt>
                <c:pt idx="313">
                  <c:v>627</c:v>
                </c:pt>
                <c:pt idx="314">
                  <c:v>629</c:v>
                </c:pt>
                <c:pt idx="315">
                  <c:v>631</c:v>
                </c:pt>
                <c:pt idx="316">
                  <c:v>633</c:v>
                </c:pt>
                <c:pt idx="317">
                  <c:v>635</c:v>
                </c:pt>
                <c:pt idx="318">
                  <c:v>637</c:v>
                </c:pt>
                <c:pt idx="319">
                  <c:v>639</c:v>
                </c:pt>
                <c:pt idx="320">
                  <c:v>641</c:v>
                </c:pt>
                <c:pt idx="321">
                  <c:v>643</c:v>
                </c:pt>
                <c:pt idx="322">
                  <c:v>645</c:v>
                </c:pt>
                <c:pt idx="323">
                  <c:v>647</c:v>
                </c:pt>
                <c:pt idx="324">
                  <c:v>649</c:v>
                </c:pt>
                <c:pt idx="325">
                  <c:v>651</c:v>
                </c:pt>
                <c:pt idx="326">
                  <c:v>653</c:v>
                </c:pt>
                <c:pt idx="327">
                  <c:v>655</c:v>
                </c:pt>
                <c:pt idx="328">
                  <c:v>657</c:v>
                </c:pt>
                <c:pt idx="329">
                  <c:v>659</c:v>
                </c:pt>
                <c:pt idx="330">
                  <c:v>661</c:v>
                </c:pt>
                <c:pt idx="331">
                  <c:v>663</c:v>
                </c:pt>
                <c:pt idx="332">
                  <c:v>665</c:v>
                </c:pt>
                <c:pt idx="333">
                  <c:v>667</c:v>
                </c:pt>
                <c:pt idx="334">
                  <c:v>669</c:v>
                </c:pt>
                <c:pt idx="335">
                  <c:v>671</c:v>
                </c:pt>
                <c:pt idx="336">
                  <c:v>673</c:v>
                </c:pt>
                <c:pt idx="337">
                  <c:v>675</c:v>
                </c:pt>
                <c:pt idx="338">
                  <c:v>677</c:v>
                </c:pt>
                <c:pt idx="339">
                  <c:v>679</c:v>
                </c:pt>
                <c:pt idx="340">
                  <c:v>681</c:v>
                </c:pt>
                <c:pt idx="341">
                  <c:v>683</c:v>
                </c:pt>
                <c:pt idx="342">
                  <c:v>685</c:v>
                </c:pt>
                <c:pt idx="343">
                  <c:v>687</c:v>
                </c:pt>
                <c:pt idx="344">
                  <c:v>689</c:v>
                </c:pt>
                <c:pt idx="345">
                  <c:v>691</c:v>
                </c:pt>
                <c:pt idx="346">
                  <c:v>693</c:v>
                </c:pt>
                <c:pt idx="347">
                  <c:v>695</c:v>
                </c:pt>
                <c:pt idx="348">
                  <c:v>697</c:v>
                </c:pt>
                <c:pt idx="349">
                  <c:v>699</c:v>
                </c:pt>
                <c:pt idx="350">
                  <c:v>701</c:v>
                </c:pt>
                <c:pt idx="351">
                  <c:v>703</c:v>
                </c:pt>
                <c:pt idx="352">
                  <c:v>705</c:v>
                </c:pt>
                <c:pt idx="353">
                  <c:v>707</c:v>
                </c:pt>
                <c:pt idx="354">
                  <c:v>709</c:v>
                </c:pt>
                <c:pt idx="355">
                  <c:v>711</c:v>
                </c:pt>
                <c:pt idx="356">
                  <c:v>713</c:v>
                </c:pt>
                <c:pt idx="357">
                  <c:v>715</c:v>
                </c:pt>
                <c:pt idx="358">
                  <c:v>717</c:v>
                </c:pt>
                <c:pt idx="359">
                  <c:v>719</c:v>
                </c:pt>
                <c:pt idx="360">
                  <c:v>721</c:v>
                </c:pt>
                <c:pt idx="361">
                  <c:v>723</c:v>
                </c:pt>
                <c:pt idx="362">
                  <c:v>725</c:v>
                </c:pt>
                <c:pt idx="363">
                  <c:v>727</c:v>
                </c:pt>
                <c:pt idx="364">
                  <c:v>729</c:v>
                </c:pt>
                <c:pt idx="365">
                  <c:v>731</c:v>
                </c:pt>
                <c:pt idx="366">
                  <c:v>733</c:v>
                </c:pt>
                <c:pt idx="367">
                  <c:v>735</c:v>
                </c:pt>
                <c:pt idx="368">
                  <c:v>737</c:v>
                </c:pt>
                <c:pt idx="369">
                  <c:v>739</c:v>
                </c:pt>
                <c:pt idx="370">
                  <c:v>741</c:v>
                </c:pt>
                <c:pt idx="371">
                  <c:v>743</c:v>
                </c:pt>
                <c:pt idx="372">
                  <c:v>745</c:v>
                </c:pt>
                <c:pt idx="373">
                  <c:v>747</c:v>
                </c:pt>
                <c:pt idx="374">
                  <c:v>749</c:v>
                </c:pt>
                <c:pt idx="375">
                  <c:v>751</c:v>
                </c:pt>
                <c:pt idx="376">
                  <c:v>753</c:v>
                </c:pt>
                <c:pt idx="377">
                  <c:v>755</c:v>
                </c:pt>
                <c:pt idx="378">
                  <c:v>757</c:v>
                </c:pt>
                <c:pt idx="379">
                  <c:v>759</c:v>
                </c:pt>
                <c:pt idx="380">
                  <c:v>761</c:v>
                </c:pt>
                <c:pt idx="381">
                  <c:v>763</c:v>
                </c:pt>
                <c:pt idx="382">
                  <c:v>765</c:v>
                </c:pt>
                <c:pt idx="383">
                  <c:v>767</c:v>
                </c:pt>
                <c:pt idx="384">
                  <c:v>769</c:v>
                </c:pt>
                <c:pt idx="385">
                  <c:v>771</c:v>
                </c:pt>
                <c:pt idx="386">
                  <c:v>773</c:v>
                </c:pt>
                <c:pt idx="387">
                  <c:v>775</c:v>
                </c:pt>
                <c:pt idx="388">
                  <c:v>777</c:v>
                </c:pt>
                <c:pt idx="389">
                  <c:v>779</c:v>
                </c:pt>
                <c:pt idx="390">
                  <c:v>781</c:v>
                </c:pt>
                <c:pt idx="391">
                  <c:v>783</c:v>
                </c:pt>
                <c:pt idx="392">
                  <c:v>785</c:v>
                </c:pt>
                <c:pt idx="393">
                  <c:v>787</c:v>
                </c:pt>
                <c:pt idx="394">
                  <c:v>789</c:v>
                </c:pt>
                <c:pt idx="395">
                  <c:v>791</c:v>
                </c:pt>
                <c:pt idx="396">
                  <c:v>793</c:v>
                </c:pt>
                <c:pt idx="397">
                  <c:v>795</c:v>
                </c:pt>
                <c:pt idx="398">
                  <c:v>797</c:v>
                </c:pt>
                <c:pt idx="399">
                  <c:v>799</c:v>
                </c:pt>
                <c:pt idx="400">
                  <c:v>801</c:v>
                </c:pt>
                <c:pt idx="401">
                  <c:v>803</c:v>
                </c:pt>
                <c:pt idx="402">
                  <c:v>805</c:v>
                </c:pt>
                <c:pt idx="403">
                  <c:v>807</c:v>
                </c:pt>
                <c:pt idx="404">
                  <c:v>809</c:v>
                </c:pt>
                <c:pt idx="405">
                  <c:v>811</c:v>
                </c:pt>
                <c:pt idx="406">
                  <c:v>813</c:v>
                </c:pt>
                <c:pt idx="407">
                  <c:v>815</c:v>
                </c:pt>
                <c:pt idx="408">
                  <c:v>817</c:v>
                </c:pt>
                <c:pt idx="409">
                  <c:v>819</c:v>
                </c:pt>
                <c:pt idx="410">
                  <c:v>821</c:v>
                </c:pt>
                <c:pt idx="411">
                  <c:v>823</c:v>
                </c:pt>
                <c:pt idx="412">
                  <c:v>825</c:v>
                </c:pt>
                <c:pt idx="413">
                  <c:v>827</c:v>
                </c:pt>
                <c:pt idx="414">
                  <c:v>829</c:v>
                </c:pt>
                <c:pt idx="415">
                  <c:v>831</c:v>
                </c:pt>
                <c:pt idx="416">
                  <c:v>833</c:v>
                </c:pt>
                <c:pt idx="417">
                  <c:v>835</c:v>
                </c:pt>
                <c:pt idx="418">
                  <c:v>837</c:v>
                </c:pt>
                <c:pt idx="419">
                  <c:v>839</c:v>
                </c:pt>
                <c:pt idx="420">
                  <c:v>841</c:v>
                </c:pt>
                <c:pt idx="421">
                  <c:v>843</c:v>
                </c:pt>
                <c:pt idx="422">
                  <c:v>845</c:v>
                </c:pt>
                <c:pt idx="423">
                  <c:v>847</c:v>
                </c:pt>
                <c:pt idx="424">
                  <c:v>849</c:v>
                </c:pt>
                <c:pt idx="425">
                  <c:v>851</c:v>
                </c:pt>
                <c:pt idx="426">
                  <c:v>853</c:v>
                </c:pt>
                <c:pt idx="427">
                  <c:v>855</c:v>
                </c:pt>
                <c:pt idx="428">
                  <c:v>857</c:v>
                </c:pt>
                <c:pt idx="429">
                  <c:v>859</c:v>
                </c:pt>
                <c:pt idx="430">
                  <c:v>861</c:v>
                </c:pt>
                <c:pt idx="431">
                  <c:v>863</c:v>
                </c:pt>
                <c:pt idx="432">
                  <c:v>865</c:v>
                </c:pt>
                <c:pt idx="433">
                  <c:v>867</c:v>
                </c:pt>
                <c:pt idx="434">
                  <c:v>869</c:v>
                </c:pt>
                <c:pt idx="435">
                  <c:v>871</c:v>
                </c:pt>
                <c:pt idx="436">
                  <c:v>873</c:v>
                </c:pt>
                <c:pt idx="437">
                  <c:v>875</c:v>
                </c:pt>
                <c:pt idx="438">
                  <c:v>877</c:v>
                </c:pt>
                <c:pt idx="439">
                  <c:v>879</c:v>
                </c:pt>
                <c:pt idx="440">
                  <c:v>881</c:v>
                </c:pt>
                <c:pt idx="441">
                  <c:v>883</c:v>
                </c:pt>
                <c:pt idx="442">
                  <c:v>885</c:v>
                </c:pt>
                <c:pt idx="443">
                  <c:v>887</c:v>
                </c:pt>
                <c:pt idx="444">
                  <c:v>889</c:v>
                </c:pt>
                <c:pt idx="445">
                  <c:v>891</c:v>
                </c:pt>
                <c:pt idx="446">
                  <c:v>893</c:v>
                </c:pt>
                <c:pt idx="447">
                  <c:v>895</c:v>
                </c:pt>
                <c:pt idx="448">
                  <c:v>897</c:v>
                </c:pt>
                <c:pt idx="449">
                  <c:v>899</c:v>
                </c:pt>
                <c:pt idx="450">
                  <c:v>901</c:v>
                </c:pt>
                <c:pt idx="451">
                  <c:v>903</c:v>
                </c:pt>
                <c:pt idx="452">
                  <c:v>905</c:v>
                </c:pt>
                <c:pt idx="453">
                  <c:v>907</c:v>
                </c:pt>
                <c:pt idx="454">
                  <c:v>909</c:v>
                </c:pt>
                <c:pt idx="455">
                  <c:v>911</c:v>
                </c:pt>
                <c:pt idx="456">
                  <c:v>913</c:v>
                </c:pt>
                <c:pt idx="457">
                  <c:v>915</c:v>
                </c:pt>
                <c:pt idx="458">
                  <c:v>917</c:v>
                </c:pt>
                <c:pt idx="459">
                  <c:v>919</c:v>
                </c:pt>
                <c:pt idx="460">
                  <c:v>921</c:v>
                </c:pt>
                <c:pt idx="461">
                  <c:v>923</c:v>
                </c:pt>
                <c:pt idx="462">
                  <c:v>925</c:v>
                </c:pt>
                <c:pt idx="463">
                  <c:v>927</c:v>
                </c:pt>
                <c:pt idx="464">
                  <c:v>929</c:v>
                </c:pt>
                <c:pt idx="465">
                  <c:v>931</c:v>
                </c:pt>
                <c:pt idx="466">
                  <c:v>933</c:v>
                </c:pt>
                <c:pt idx="467">
                  <c:v>935</c:v>
                </c:pt>
                <c:pt idx="468">
                  <c:v>937</c:v>
                </c:pt>
                <c:pt idx="469">
                  <c:v>939</c:v>
                </c:pt>
                <c:pt idx="470">
                  <c:v>941</c:v>
                </c:pt>
                <c:pt idx="471">
                  <c:v>943</c:v>
                </c:pt>
                <c:pt idx="472">
                  <c:v>945</c:v>
                </c:pt>
                <c:pt idx="473">
                  <c:v>947</c:v>
                </c:pt>
                <c:pt idx="474">
                  <c:v>949</c:v>
                </c:pt>
                <c:pt idx="475">
                  <c:v>951</c:v>
                </c:pt>
                <c:pt idx="476">
                  <c:v>953</c:v>
                </c:pt>
                <c:pt idx="477">
                  <c:v>955</c:v>
                </c:pt>
                <c:pt idx="478">
                  <c:v>957</c:v>
                </c:pt>
                <c:pt idx="479">
                  <c:v>959</c:v>
                </c:pt>
                <c:pt idx="480">
                  <c:v>961</c:v>
                </c:pt>
                <c:pt idx="481">
                  <c:v>963</c:v>
                </c:pt>
                <c:pt idx="482">
                  <c:v>965</c:v>
                </c:pt>
                <c:pt idx="483">
                  <c:v>967</c:v>
                </c:pt>
                <c:pt idx="484">
                  <c:v>969</c:v>
                </c:pt>
                <c:pt idx="485">
                  <c:v>971</c:v>
                </c:pt>
                <c:pt idx="486">
                  <c:v>973</c:v>
                </c:pt>
                <c:pt idx="487">
                  <c:v>975</c:v>
                </c:pt>
                <c:pt idx="488">
                  <c:v>977</c:v>
                </c:pt>
                <c:pt idx="489">
                  <c:v>979</c:v>
                </c:pt>
                <c:pt idx="490">
                  <c:v>981</c:v>
                </c:pt>
                <c:pt idx="491">
                  <c:v>983</c:v>
                </c:pt>
                <c:pt idx="492">
                  <c:v>985</c:v>
                </c:pt>
                <c:pt idx="493">
                  <c:v>987</c:v>
                </c:pt>
                <c:pt idx="494">
                  <c:v>989</c:v>
                </c:pt>
                <c:pt idx="495">
                  <c:v>991</c:v>
                </c:pt>
                <c:pt idx="496">
                  <c:v>993</c:v>
                </c:pt>
                <c:pt idx="497">
                  <c:v>995</c:v>
                </c:pt>
                <c:pt idx="498">
                  <c:v>997</c:v>
                </c:pt>
                <c:pt idx="499">
                  <c:v>999</c:v>
                </c:pt>
                <c:pt idx="500">
                  <c:v>1001</c:v>
                </c:pt>
                <c:pt idx="501">
                  <c:v>1003</c:v>
                </c:pt>
                <c:pt idx="502">
                  <c:v>1005</c:v>
                </c:pt>
                <c:pt idx="503">
                  <c:v>1007</c:v>
                </c:pt>
                <c:pt idx="504">
                  <c:v>1009</c:v>
                </c:pt>
                <c:pt idx="505">
                  <c:v>1011</c:v>
                </c:pt>
                <c:pt idx="506">
                  <c:v>1013</c:v>
                </c:pt>
                <c:pt idx="507">
                  <c:v>1015</c:v>
                </c:pt>
                <c:pt idx="508">
                  <c:v>1017</c:v>
                </c:pt>
                <c:pt idx="509">
                  <c:v>1019</c:v>
                </c:pt>
                <c:pt idx="510">
                  <c:v>1021</c:v>
                </c:pt>
                <c:pt idx="511">
                  <c:v>1023</c:v>
                </c:pt>
                <c:pt idx="512">
                  <c:v>1025</c:v>
                </c:pt>
                <c:pt idx="513">
                  <c:v>1027</c:v>
                </c:pt>
                <c:pt idx="514">
                  <c:v>1029</c:v>
                </c:pt>
                <c:pt idx="515">
                  <c:v>1031</c:v>
                </c:pt>
                <c:pt idx="516">
                  <c:v>1033</c:v>
                </c:pt>
                <c:pt idx="517">
                  <c:v>1035</c:v>
                </c:pt>
                <c:pt idx="518">
                  <c:v>1037</c:v>
                </c:pt>
                <c:pt idx="519">
                  <c:v>1039</c:v>
                </c:pt>
                <c:pt idx="520">
                  <c:v>1041</c:v>
                </c:pt>
                <c:pt idx="521">
                  <c:v>1043</c:v>
                </c:pt>
                <c:pt idx="522">
                  <c:v>1045</c:v>
                </c:pt>
                <c:pt idx="523">
                  <c:v>1047</c:v>
                </c:pt>
                <c:pt idx="524">
                  <c:v>1049</c:v>
                </c:pt>
                <c:pt idx="525">
                  <c:v>1051</c:v>
                </c:pt>
                <c:pt idx="526">
                  <c:v>1053</c:v>
                </c:pt>
                <c:pt idx="527">
                  <c:v>1055</c:v>
                </c:pt>
                <c:pt idx="528">
                  <c:v>1057</c:v>
                </c:pt>
                <c:pt idx="529">
                  <c:v>1059</c:v>
                </c:pt>
                <c:pt idx="530">
                  <c:v>1061</c:v>
                </c:pt>
                <c:pt idx="531">
                  <c:v>1063</c:v>
                </c:pt>
                <c:pt idx="532">
                  <c:v>1065</c:v>
                </c:pt>
                <c:pt idx="533">
                  <c:v>1067</c:v>
                </c:pt>
                <c:pt idx="534">
                  <c:v>1069</c:v>
                </c:pt>
                <c:pt idx="535">
                  <c:v>1071</c:v>
                </c:pt>
                <c:pt idx="536">
                  <c:v>1073</c:v>
                </c:pt>
                <c:pt idx="537">
                  <c:v>1075</c:v>
                </c:pt>
                <c:pt idx="538">
                  <c:v>1077</c:v>
                </c:pt>
                <c:pt idx="539">
                  <c:v>1079</c:v>
                </c:pt>
                <c:pt idx="540">
                  <c:v>1081</c:v>
                </c:pt>
                <c:pt idx="541">
                  <c:v>1083</c:v>
                </c:pt>
                <c:pt idx="542">
                  <c:v>1085</c:v>
                </c:pt>
                <c:pt idx="543">
                  <c:v>1087</c:v>
                </c:pt>
                <c:pt idx="544">
                  <c:v>1089</c:v>
                </c:pt>
                <c:pt idx="545">
                  <c:v>1091</c:v>
                </c:pt>
                <c:pt idx="546">
                  <c:v>1093</c:v>
                </c:pt>
                <c:pt idx="547">
                  <c:v>1095</c:v>
                </c:pt>
                <c:pt idx="548">
                  <c:v>1097</c:v>
                </c:pt>
                <c:pt idx="549">
                  <c:v>1099</c:v>
                </c:pt>
                <c:pt idx="550">
                  <c:v>1101</c:v>
                </c:pt>
                <c:pt idx="551">
                  <c:v>1103</c:v>
                </c:pt>
                <c:pt idx="552">
                  <c:v>1105</c:v>
                </c:pt>
                <c:pt idx="553">
                  <c:v>1107</c:v>
                </c:pt>
                <c:pt idx="554">
                  <c:v>1109</c:v>
                </c:pt>
                <c:pt idx="555">
                  <c:v>1111</c:v>
                </c:pt>
                <c:pt idx="556">
                  <c:v>1113</c:v>
                </c:pt>
                <c:pt idx="557">
                  <c:v>1115</c:v>
                </c:pt>
                <c:pt idx="558">
                  <c:v>1117</c:v>
                </c:pt>
                <c:pt idx="559">
                  <c:v>1119</c:v>
                </c:pt>
                <c:pt idx="560">
                  <c:v>1121</c:v>
                </c:pt>
                <c:pt idx="561">
                  <c:v>1123</c:v>
                </c:pt>
                <c:pt idx="562">
                  <c:v>1125</c:v>
                </c:pt>
                <c:pt idx="563">
                  <c:v>1127</c:v>
                </c:pt>
                <c:pt idx="564">
                  <c:v>1129</c:v>
                </c:pt>
                <c:pt idx="565">
                  <c:v>1131</c:v>
                </c:pt>
                <c:pt idx="566">
                  <c:v>1133</c:v>
                </c:pt>
                <c:pt idx="567">
                  <c:v>1135</c:v>
                </c:pt>
                <c:pt idx="568">
                  <c:v>1137</c:v>
                </c:pt>
                <c:pt idx="569">
                  <c:v>1139</c:v>
                </c:pt>
                <c:pt idx="570">
                  <c:v>1141</c:v>
                </c:pt>
                <c:pt idx="571">
                  <c:v>1143</c:v>
                </c:pt>
                <c:pt idx="572">
                  <c:v>1145</c:v>
                </c:pt>
                <c:pt idx="573">
                  <c:v>1147</c:v>
                </c:pt>
                <c:pt idx="574">
                  <c:v>1149</c:v>
                </c:pt>
                <c:pt idx="575">
                  <c:v>1151</c:v>
                </c:pt>
                <c:pt idx="576">
                  <c:v>1153</c:v>
                </c:pt>
                <c:pt idx="577">
                  <c:v>1155</c:v>
                </c:pt>
                <c:pt idx="578">
                  <c:v>1157</c:v>
                </c:pt>
                <c:pt idx="579">
                  <c:v>1159</c:v>
                </c:pt>
                <c:pt idx="580">
                  <c:v>1161</c:v>
                </c:pt>
                <c:pt idx="581">
                  <c:v>1163</c:v>
                </c:pt>
                <c:pt idx="582">
                  <c:v>1165</c:v>
                </c:pt>
                <c:pt idx="583">
                  <c:v>1167</c:v>
                </c:pt>
                <c:pt idx="584">
                  <c:v>1169</c:v>
                </c:pt>
                <c:pt idx="585">
                  <c:v>1171</c:v>
                </c:pt>
                <c:pt idx="586">
                  <c:v>1173</c:v>
                </c:pt>
                <c:pt idx="587">
                  <c:v>1175</c:v>
                </c:pt>
                <c:pt idx="588">
                  <c:v>1177</c:v>
                </c:pt>
                <c:pt idx="589">
                  <c:v>1179</c:v>
                </c:pt>
                <c:pt idx="590">
                  <c:v>1181</c:v>
                </c:pt>
                <c:pt idx="591">
                  <c:v>1183</c:v>
                </c:pt>
                <c:pt idx="592">
                  <c:v>1185</c:v>
                </c:pt>
                <c:pt idx="593">
                  <c:v>1187</c:v>
                </c:pt>
                <c:pt idx="594">
                  <c:v>1189</c:v>
                </c:pt>
                <c:pt idx="595">
                  <c:v>1191</c:v>
                </c:pt>
                <c:pt idx="596">
                  <c:v>1193</c:v>
                </c:pt>
                <c:pt idx="597">
                  <c:v>1195</c:v>
                </c:pt>
                <c:pt idx="598">
                  <c:v>1197</c:v>
                </c:pt>
                <c:pt idx="599">
                  <c:v>1199</c:v>
                </c:pt>
                <c:pt idx="600">
                  <c:v>1201</c:v>
                </c:pt>
                <c:pt idx="601">
                  <c:v>1203</c:v>
                </c:pt>
                <c:pt idx="602">
                  <c:v>1205</c:v>
                </c:pt>
                <c:pt idx="603">
                  <c:v>1207</c:v>
                </c:pt>
                <c:pt idx="604">
                  <c:v>1209</c:v>
                </c:pt>
                <c:pt idx="605">
                  <c:v>1211</c:v>
                </c:pt>
                <c:pt idx="606">
                  <c:v>1213</c:v>
                </c:pt>
                <c:pt idx="607">
                  <c:v>1215</c:v>
                </c:pt>
                <c:pt idx="608">
                  <c:v>1217</c:v>
                </c:pt>
                <c:pt idx="609">
                  <c:v>1219</c:v>
                </c:pt>
                <c:pt idx="610">
                  <c:v>1221</c:v>
                </c:pt>
                <c:pt idx="611">
                  <c:v>1223</c:v>
                </c:pt>
                <c:pt idx="612">
                  <c:v>1225</c:v>
                </c:pt>
                <c:pt idx="613">
                  <c:v>1227</c:v>
                </c:pt>
                <c:pt idx="614">
                  <c:v>1229</c:v>
                </c:pt>
                <c:pt idx="615">
                  <c:v>1231</c:v>
                </c:pt>
                <c:pt idx="616">
                  <c:v>1233</c:v>
                </c:pt>
                <c:pt idx="617">
                  <c:v>1235</c:v>
                </c:pt>
                <c:pt idx="618">
                  <c:v>1237</c:v>
                </c:pt>
                <c:pt idx="619">
                  <c:v>1239</c:v>
                </c:pt>
                <c:pt idx="620">
                  <c:v>1241</c:v>
                </c:pt>
                <c:pt idx="621">
                  <c:v>1243</c:v>
                </c:pt>
                <c:pt idx="622">
                  <c:v>1245</c:v>
                </c:pt>
                <c:pt idx="623">
                  <c:v>1247</c:v>
                </c:pt>
                <c:pt idx="624">
                  <c:v>1249</c:v>
                </c:pt>
                <c:pt idx="625">
                  <c:v>1251</c:v>
                </c:pt>
                <c:pt idx="626">
                  <c:v>1253</c:v>
                </c:pt>
                <c:pt idx="627">
                  <c:v>1255</c:v>
                </c:pt>
                <c:pt idx="628">
                  <c:v>1257</c:v>
                </c:pt>
                <c:pt idx="629">
                  <c:v>1259</c:v>
                </c:pt>
                <c:pt idx="630">
                  <c:v>1261</c:v>
                </c:pt>
                <c:pt idx="631">
                  <c:v>1263</c:v>
                </c:pt>
                <c:pt idx="632">
                  <c:v>1265</c:v>
                </c:pt>
                <c:pt idx="633">
                  <c:v>1267</c:v>
                </c:pt>
                <c:pt idx="634">
                  <c:v>1269</c:v>
                </c:pt>
                <c:pt idx="635">
                  <c:v>1271</c:v>
                </c:pt>
                <c:pt idx="636">
                  <c:v>1273</c:v>
                </c:pt>
                <c:pt idx="637">
                  <c:v>1275</c:v>
                </c:pt>
                <c:pt idx="638">
                  <c:v>1277</c:v>
                </c:pt>
                <c:pt idx="639">
                  <c:v>1279</c:v>
                </c:pt>
                <c:pt idx="640">
                  <c:v>1281</c:v>
                </c:pt>
                <c:pt idx="641">
                  <c:v>1283</c:v>
                </c:pt>
                <c:pt idx="642">
                  <c:v>1285</c:v>
                </c:pt>
                <c:pt idx="643">
                  <c:v>1287</c:v>
                </c:pt>
                <c:pt idx="644">
                  <c:v>1289</c:v>
                </c:pt>
                <c:pt idx="645">
                  <c:v>1291</c:v>
                </c:pt>
                <c:pt idx="646">
                  <c:v>1293</c:v>
                </c:pt>
                <c:pt idx="647">
                  <c:v>1295</c:v>
                </c:pt>
                <c:pt idx="648">
                  <c:v>1297</c:v>
                </c:pt>
                <c:pt idx="649">
                  <c:v>1299</c:v>
                </c:pt>
                <c:pt idx="650">
                  <c:v>1301</c:v>
                </c:pt>
                <c:pt idx="651">
                  <c:v>1303</c:v>
                </c:pt>
                <c:pt idx="652">
                  <c:v>1305</c:v>
                </c:pt>
                <c:pt idx="653">
                  <c:v>1307</c:v>
                </c:pt>
                <c:pt idx="654">
                  <c:v>1309</c:v>
                </c:pt>
                <c:pt idx="655">
                  <c:v>1311</c:v>
                </c:pt>
                <c:pt idx="656">
                  <c:v>1313</c:v>
                </c:pt>
                <c:pt idx="657">
                  <c:v>1315</c:v>
                </c:pt>
                <c:pt idx="658">
                  <c:v>1317</c:v>
                </c:pt>
                <c:pt idx="659">
                  <c:v>1319</c:v>
                </c:pt>
                <c:pt idx="660">
                  <c:v>1321</c:v>
                </c:pt>
                <c:pt idx="661">
                  <c:v>1323</c:v>
                </c:pt>
                <c:pt idx="662">
                  <c:v>1325</c:v>
                </c:pt>
                <c:pt idx="663">
                  <c:v>1327</c:v>
                </c:pt>
                <c:pt idx="664">
                  <c:v>1329</c:v>
                </c:pt>
                <c:pt idx="665">
                  <c:v>1331</c:v>
                </c:pt>
                <c:pt idx="666">
                  <c:v>1333</c:v>
                </c:pt>
                <c:pt idx="667">
                  <c:v>1335</c:v>
                </c:pt>
                <c:pt idx="668">
                  <c:v>1337</c:v>
                </c:pt>
                <c:pt idx="669">
                  <c:v>1339</c:v>
                </c:pt>
                <c:pt idx="670">
                  <c:v>1341</c:v>
                </c:pt>
                <c:pt idx="671">
                  <c:v>1343</c:v>
                </c:pt>
                <c:pt idx="672">
                  <c:v>1345</c:v>
                </c:pt>
                <c:pt idx="673">
                  <c:v>1347</c:v>
                </c:pt>
                <c:pt idx="674">
                  <c:v>1349</c:v>
                </c:pt>
                <c:pt idx="675">
                  <c:v>1351</c:v>
                </c:pt>
                <c:pt idx="676">
                  <c:v>1353</c:v>
                </c:pt>
                <c:pt idx="677">
                  <c:v>1355</c:v>
                </c:pt>
                <c:pt idx="678">
                  <c:v>1357</c:v>
                </c:pt>
              </c:numCache>
            </c:numRef>
          </c:xVal>
          <c:yVal>
            <c:numRef>
              <c:f>Data!$G$2:$G$1001</c:f>
              <c:numCache>
                <c:formatCode>0</c:formatCode>
                <c:ptCount val="1000"/>
                <c:pt idx="0">
                  <c:v>22.945819848509711</c:v>
                </c:pt>
                <c:pt idx="1">
                  <c:v>23.037252465961132</c:v>
                </c:pt>
                <c:pt idx="2">
                  <c:v>23.128845054456271</c:v>
                </c:pt>
                <c:pt idx="3">
                  <c:v>23.220596628222321</c:v>
                </c:pt>
                <c:pt idx="4">
                  <c:v>23.312506193348991</c:v>
                </c:pt>
                <c:pt idx="5">
                  <c:v>23.404572747791359</c:v>
                </c:pt>
                <c:pt idx="6">
                  <c:v>23.496795281373206</c:v>
                </c:pt>
                <c:pt idx="7">
                  <c:v>23.589172775790662</c:v>
                </c:pt>
                <c:pt idx="8">
                  <c:v>23.681704204616238</c:v>
                </c:pt>
                <c:pt idx="9">
                  <c:v>23.774388533303245</c:v>
                </c:pt>
                <c:pt idx="10">
                  <c:v>23.86722471919056</c:v>
                </c:pt>
                <c:pt idx="11">
                  <c:v>23.960211711507828</c:v>
                </c:pt>
                <c:pt idx="12">
                  <c:v>24.053348451380963</c:v>
                </c:pt>
                <c:pt idx="13">
                  <c:v>24.146633871838112</c:v>
                </c:pt>
                <c:pt idx="14">
                  <c:v>24.240066897815932</c:v>
                </c:pt>
                <c:pt idx="15">
                  <c:v>24.333646446166291</c:v>
                </c:pt>
                <c:pt idx="16">
                  <c:v>24.427371425663342</c:v>
                </c:pt>
                <c:pt idx="17">
                  <c:v>24.52124073701097</c:v>
                </c:pt>
                <c:pt idx="18">
                  <c:v>24.615253272850648</c:v>
                </c:pt>
                <c:pt idx="19">
                  <c:v>24.709407917769667</c:v>
                </c:pt>
                <c:pt idx="20">
                  <c:v>24.803703548309727</c:v>
                </c:pt>
                <c:pt idx="21">
                  <c:v>24.898139032975994</c:v>
                </c:pt>
                <c:pt idx="22">
                  <c:v>24.992713232246448</c:v>
                </c:pt>
                <c:pt idx="23">
                  <c:v>25.087424998581707</c:v>
                </c:pt>
                <c:pt idx="24">
                  <c:v>25.182273176435189</c:v>
                </c:pt>
                <c:pt idx="25">
                  <c:v>25.277256602263687</c:v>
                </c:pt>
                <c:pt idx="26">
                  <c:v>25.372374104538352</c:v>
                </c:pt>
                <c:pt idx="27">
                  <c:v>25.467624503756038</c:v>
                </c:pt>
                <c:pt idx="28">
                  <c:v>25.563006612451058</c:v>
                </c:pt>
                <c:pt idx="29">
                  <c:v>25.658519235207372</c:v>
                </c:pt>
                <c:pt idx="30">
                  <c:v>25.7541611686711</c:v>
                </c:pt>
                <c:pt idx="31">
                  <c:v>25.849931201563479</c:v>
                </c:pt>
                <c:pt idx="32">
                  <c:v>25.945828114694255</c:v>
                </c:pt>
                <c:pt idx="33">
                  <c:v>26.041850680975358</c:v>
                </c:pt>
                <c:pt idx="34">
                  <c:v>26.13799766543514</c:v>
                </c:pt>
                <c:pt idx="35">
                  <c:v>26.234267825232848</c:v>
                </c:pt>
                <c:pt idx="36">
                  <c:v>26.330659909673624</c:v>
                </c:pt>
                <c:pt idx="37">
                  <c:v>26.427172660223857</c:v>
                </c:pt>
                <c:pt idx="38">
                  <c:v>26.523804810526922</c:v>
                </c:pt>
                <c:pt idx="39">
                  <c:v>26.620555086419365</c:v>
                </c:pt>
                <c:pt idx="40">
                  <c:v>26.717422205947472</c:v>
                </c:pt>
                <c:pt idx="41">
                  <c:v>26.814404879384217</c:v>
                </c:pt>
                <c:pt idx="42">
                  <c:v>26.911501809246683</c:v>
                </c:pt>
                <c:pt idx="43">
                  <c:v>27.008711690313806</c:v>
                </c:pt>
                <c:pt idx="44">
                  <c:v>27.106033209644607</c:v>
                </c:pt>
                <c:pt idx="45">
                  <c:v>27.203465046596772</c:v>
                </c:pt>
                <c:pt idx="46">
                  <c:v>27.301005872845643</c:v>
                </c:pt>
                <c:pt idx="47">
                  <c:v>27.398654352403685</c:v>
                </c:pt>
                <c:pt idx="48">
                  <c:v>27.496409141640274</c:v>
                </c:pt>
                <c:pt idx="49">
                  <c:v>27.594268889301929</c:v>
                </c:pt>
                <c:pt idx="50">
                  <c:v>27.692232236532991</c:v>
                </c:pt>
                <c:pt idx="51">
                  <c:v>27.790297816896633</c:v>
                </c:pt>
                <c:pt idx="52">
                  <c:v>27.888464256396372</c:v>
                </c:pt>
                <c:pt idx="53">
                  <c:v>27.986730173497911</c:v>
                </c:pt>
                <c:pt idx="54">
                  <c:v>28.085094179151437</c:v>
                </c:pt>
                <c:pt idx="55">
                  <c:v>28.183554876814327</c:v>
                </c:pt>
                <c:pt idx="56">
                  <c:v>28.282110862474248</c:v>
                </c:pt>
                <c:pt idx="57">
                  <c:v>28.380760724672676</c:v>
                </c:pt>
                <c:pt idx="58">
                  <c:v>28.479503044528837</c:v>
                </c:pt>
                <c:pt idx="59">
                  <c:v>28.578336395764058</c:v>
                </c:pt>
                <c:pt idx="60">
                  <c:v>28.677259344726512</c:v>
                </c:pt>
                <c:pt idx="61">
                  <c:v>28.776270450416391</c:v>
                </c:pt>
                <c:pt idx="62">
                  <c:v>28.87536826451149</c:v>
                </c:pt>
                <c:pt idx="63">
                  <c:v>28.974551331393211</c:v>
                </c:pt>
                <c:pt idx="64">
                  <c:v>29.07381818817295</c:v>
                </c:pt>
                <c:pt idx="65">
                  <c:v>29.173167364718935</c:v>
                </c:pt>
                <c:pt idx="66">
                  <c:v>29.272597383683458</c:v>
                </c:pt>
                <c:pt idx="67">
                  <c:v>29.3721067605305</c:v>
                </c:pt>
                <c:pt idx="68">
                  <c:v>29.471694003563815</c:v>
                </c:pt>
                <c:pt idx="69">
                  <c:v>29.571357613955392</c:v>
                </c:pt>
                <c:pt idx="70">
                  <c:v>29.67109608577432</c:v>
                </c:pt>
                <c:pt idx="71">
                  <c:v>29.770907906016092</c:v>
                </c:pt>
                <c:pt idx="72">
                  <c:v>29.870791554632341</c:v>
                </c:pt>
                <c:pt idx="73">
                  <c:v>29.970745504560895</c:v>
                </c:pt>
                <c:pt idx="74">
                  <c:v>30.070768221756389</c:v>
                </c:pt>
                <c:pt idx="75">
                  <c:v>30.170858165221112</c:v>
                </c:pt>
                <c:pt idx="76">
                  <c:v>30.271013787036434</c:v>
                </c:pt>
                <c:pt idx="77">
                  <c:v>30.371233532394552</c:v>
                </c:pt>
                <c:pt idx="78">
                  <c:v>30.471515839630616</c:v>
                </c:pt>
                <c:pt idx="79">
                  <c:v>30.571859140255381</c:v>
                </c:pt>
                <c:pt idx="80">
                  <c:v>30.672261858988168</c:v>
                </c:pt>
                <c:pt idx="81">
                  <c:v>30.772722413790234</c:v>
                </c:pt>
                <c:pt idx="82">
                  <c:v>30.873239215898664</c:v>
                </c:pt>
                <c:pt idx="83">
                  <c:v>30.973810669860498</c:v>
                </c:pt>
                <c:pt idx="84">
                  <c:v>31.07443517356743</c:v>
                </c:pt>
                <c:pt idx="85">
                  <c:v>31.175111118290811</c:v>
                </c:pt>
                <c:pt idx="86">
                  <c:v>31.27583688871708</c:v>
                </c:pt>
                <c:pt idx="87">
                  <c:v>31.37661086298365</c:v>
                </c:pt>
                <c:pt idx="88">
                  <c:v>31.477431412715134</c:v>
                </c:pt>
                <c:pt idx="89">
                  <c:v>31.57829690306</c:v>
                </c:pt>
                <c:pt idx="90">
                  <c:v>31.679205692727653</c:v>
                </c:pt>
                <c:pt idx="91">
                  <c:v>31.780156134025898</c:v>
                </c:pt>
                <c:pt idx="92">
                  <c:v>31.881146572898803</c:v>
                </c:pt>
                <c:pt idx="93">
                  <c:v>31.982175348964983</c:v>
                </c:pt>
                <c:pt idx="94">
                  <c:v>32.083240795556257</c:v>
                </c:pt>
                <c:pt idx="95">
                  <c:v>32.184341239756755</c:v>
                </c:pt>
                <c:pt idx="96">
                  <c:v>32.285475002442354</c:v>
                </c:pt>
                <c:pt idx="97">
                  <c:v>32.386640398320587</c:v>
                </c:pt>
                <c:pt idx="98">
                  <c:v>32.487835735970897</c:v>
                </c:pt>
                <c:pt idx="99">
                  <c:v>32.589059317885329</c:v>
                </c:pt>
                <c:pt idx="100">
                  <c:v>32.690309440509566</c:v>
                </c:pt>
                <c:pt idx="101">
                  <c:v>32.791584394284413</c:v>
                </c:pt>
                <c:pt idx="102">
                  <c:v>32.89288246368767</c:v>
                </c:pt>
                <c:pt idx="103">
                  <c:v>32.994201927276343</c:v>
                </c:pt>
                <c:pt idx="104">
                  <c:v>33.095541057729321</c:v>
                </c:pt>
                <c:pt idx="105">
                  <c:v>33.196898121890406</c:v>
                </c:pt>
                <c:pt idx="106">
                  <c:v>33.298271380811734</c:v>
                </c:pt>
                <c:pt idx="107">
                  <c:v>33.399659089797595</c:v>
                </c:pt>
                <c:pt idx="108">
                  <c:v>33.50105949844864</c:v>
                </c:pt>
                <c:pt idx="109">
                  <c:v>33.602470850706453</c:v>
                </c:pt>
                <c:pt idx="110">
                  <c:v>33.703891384898569</c:v>
                </c:pt>
                <c:pt idx="111">
                  <c:v>33.805319333783793</c:v>
                </c:pt>
                <c:pt idx="112">
                  <c:v>33.906752924597974</c:v>
                </c:pt>
                <c:pt idx="113">
                  <c:v>34.008190379100114</c:v>
                </c:pt>
                <c:pt idx="114">
                  <c:v>34.10962991361891</c:v>
                </c:pt>
                <c:pt idx="115">
                  <c:v>34.211069739099585</c:v>
                </c:pt>
                <c:pt idx="116">
                  <c:v>34.31250806115122</c:v>
                </c:pt>
                <c:pt idx="117">
                  <c:v>34.413943080094356</c:v>
                </c:pt>
                <c:pt idx="118">
                  <c:v>34.515372991009023</c:v>
                </c:pt>
                <c:pt idx="119">
                  <c:v>34.616795983783135</c:v>
                </c:pt>
                <c:pt idx="120">
                  <c:v>34.718210243161266</c:v>
                </c:pt>
                <c:pt idx="121">
                  <c:v>34.819613948793744</c:v>
                </c:pt>
                <c:pt idx="122">
                  <c:v>34.921005275286248</c:v>
                </c:pt>
                <c:pt idx="123">
                  <c:v>35.022382392249568</c:v>
                </c:pt>
                <c:pt idx="124">
                  <c:v>35.123743464349943</c:v>
                </c:pt>
                <c:pt idx="125">
                  <c:v>35.225086651359582</c:v>
                </c:pt>
                <c:pt idx="126">
                  <c:v>35.326410108207725</c:v>
                </c:pt>
                <c:pt idx="127">
                  <c:v>35.427711985031898</c:v>
                </c:pt>
                <c:pt idx="128">
                  <c:v>35.528990427229644</c:v>
                </c:pt>
                <c:pt idx="129">
                  <c:v>35.630243575510548</c:v>
                </c:pt>
                <c:pt idx="130">
                  <c:v>35.731469565948657</c:v>
                </c:pt>
                <c:pt idx="131">
                  <c:v>35.832666530035219</c:v>
                </c:pt>
                <c:pt idx="132">
                  <c:v>35.933832594731861</c:v>
                </c:pt>
                <c:pt idx="133">
                  <c:v>36.034965882523942</c:v>
                </c:pt>
                <c:pt idx="134">
                  <c:v>36.136064511474466</c:v>
                </c:pt>
                <c:pt idx="135">
                  <c:v>36.237126595278184</c:v>
                </c:pt>
                <c:pt idx="136">
                  <c:v>36.338150243316143</c:v>
                </c:pt>
                <c:pt idx="137">
                  <c:v>36.439133560710474</c:v>
                </c:pt>
                <c:pt idx="138">
                  <c:v>36.540074648379658</c:v>
                </c:pt>
                <c:pt idx="139">
                  <c:v>36.64097160309398</c:v>
                </c:pt>
                <c:pt idx="140">
                  <c:v>36.741822517531482</c:v>
                </c:pt>
                <c:pt idx="141">
                  <c:v>36.842625480334057</c:v>
                </c:pt>
                <c:pt idx="142">
                  <c:v>36.943378576164108</c:v>
                </c:pt>
                <c:pt idx="143">
                  <c:v>37.044079885761313</c:v>
                </c:pt>
                <c:pt idx="144">
                  <c:v>37.144727485999887</c:v>
                </c:pt>
                <c:pt idx="145">
                  <c:v>37.245319449946081</c:v>
                </c:pt>
                <c:pt idx="146">
                  <c:v>37.345853846916029</c:v>
                </c:pt>
                <c:pt idx="147">
                  <c:v>37.446328742533943</c:v>
                </c:pt>
                <c:pt idx="148">
                  <c:v>37.546742198790575</c:v>
                </c:pt>
                <c:pt idx="149">
                  <c:v>37.647092274102036</c:v>
                </c:pt>
                <c:pt idx="150">
                  <c:v>37.747377023368962</c:v>
                </c:pt>
                <c:pt idx="151">
                  <c:v>37.84759449803591</c:v>
                </c:pt>
                <c:pt idx="152">
                  <c:v>37.947742746151114</c:v>
                </c:pt>
                <c:pt idx="153">
                  <c:v>38.047819812426582</c:v>
                </c:pt>
                <c:pt idx="154">
                  <c:v>38.147823738298428</c:v>
                </c:pt>
                <c:pt idx="155">
                  <c:v>38.247752561987546</c:v>
                </c:pt>
                <c:pt idx="156">
                  <c:v>38.347604318560634</c:v>
                </c:pt>
                <c:pt idx="157">
                  <c:v>38.447377039991402</c:v>
                </c:pt>
                <c:pt idx="158">
                  <c:v>38.547068755222199</c:v>
                </c:pt>
                <c:pt idx="159">
                  <c:v>38.646677490225834</c:v>
                </c:pt>
                <c:pt idx="160">
                  <c:v>38.746201268067765</c:v>
                </c:pt>
                <c:pt idx="161">
                  <c:v>38.845638108968537</c:v>
                </c:pt>
                <c:pt idx="162">
                  <c:v>38.944986030366522</c:v>
                </c:pt>
                <c:pt idx="163">
                  <c:v>39.044243046980938</c:v>
                </c:pt>
                <c:pt idx="164">
                  <c:v>39.143407170875129</c:v>
                </c:pt>
                <c:pt idx="165">
                  <c:v>39.242476411520173</c:v>
                </c:pt>
                <c:pt idx="166">
                  <c:v>39.341448775858737</c:v>
                </c:pt>
                <c:pt idx="167">
                  <c:v>39.440322268369165</c:v>
                </c:pt>
                <c:pt idx="168">
                  <c:v>39.539094891129956</c:v>
                </c:pt>
                <c:pt idx="169">
                  <c:v>39.637764643884353</c:v>
                </c:pt>
                <c:pt idx="170">
                  <c:v>39.736329524105329</c:v>
                </c:pt>
                <c:pt idx="171">
                  <c:v>39.834787527060783</c:v>
                </c:pt>
                <c:pt idx="172">
                  <c:v>39.933136645878953</c:v>
                </c:pt>
                <c:pt idx="173">
                  <c:v>40.031374871614197</c:v>
                </c:pt>
                <c:pt idx="174">
                  <c:v>40.129500193312907</c:v>
                </c:pt>
                <c:pt idx="175">
                  <c:v>40.227510598079753</c:v>
                </c:pt>
                <c:pt idx="176">
                  <c:v>40.325404071144156</c:v>
                </c:pt>
                <c:pt idx="177">
                  <c:v>40.423178595926991</c:v>
                </c:pt>
                <c:pt idx="178">
                  <c:v>40.520832154107566</c:v>
                </c:pt>
                <c:pt idx="179">
                  <c:v>40.618362725690773</c:v>
                </c:pt>
                <c:pt idx="180">
                  <c:v>40.715768289074582</c:v>
                </c:pt>
                <c:pt idx="181">
                  <c:v>40.813046821117645</c:v>
                </c:pt>
                <c:pt idx="182">
                  <c:v>40.910196297207257</c:v>
                </c:pt>
                <c:pt idx="183">
                  <c:v>41.007214691327448</c:v>
                </c:pt>
                <c:pt idx="184">
                  <c:v>41.104099976127316</c:v>
                </c:pt>
                <c:pt idx="185">
                  <c:v>41.200850122989614</c:v>
                </c:pt>
                <c:pt idx="186">
                  <c:v>41.297463102099599</c:v>
                </c:pt>
                <c:pt idx="187">
                  <c:v>41.39393688251392</c:v>
                </c:pt>
                <c:pt idx="188">
                  <c:v>41.49026943222993</c:v>
                </c:pt>
                <c:pt idx="189">
                  <c:v>41.586458718255074</c:v>
                </c:pt>
                <c:pt idx="190">
                  <c:v>41.68250270667653</c:v>
                </c:pt>
                <c:pt idx="191">
                  <c:v>41.778399362731037</c:v>
                </c:pt>
                <c:pt idx="192">
                  <c:v>41.874146650874927</c:v>
                </c:pt>
                <c:pt idx="193">
                  <c:v>41.969742534854362</c:v>
                </c:pt>
                <c:pt idx="194">
                  <c:v>42.065184977775758</c:v>
                </c:pt>
                <c:pt idx="195">
                  <c:v>42.160471942176372</c:v>
                </c:pt>
                <c:pt idx="196">
                  <c:v>42.255601390095151</c:v>
                </c:pt>
                <c:pt idx="197">
                  <c:v>42.350571283143637</c:v>
                </c:pt>
                <c:pt idx="198">
                  <c:v>42.44537958257721</c:v>
                </c:pt>
                <c:pt idx="199">
                  <c:v>42.540024249366347</c:v>
                </c:pt>
                <c:pt idx="200">
                  <c:v>42.634503244268188</c:v>
                </c:pt>
                <c:pt idx="201">
                  <c:v>42.728814527898173</c:v>
                </c:pt>
                <c:pt idx="202">
                  <c:v>42.822956060801921</c:v>
                </c:pt>
                <c:pt idx="203">
                  <c:v>42.916925803527207</c:v>
                </c:pt>
                <c:pt idx="204">
                  <c:v>43.010721716696132</c:v>
                </c:pt>
                <c:pt idx="205">
                  <c:v>43.10434176107745</c:v>
                </c:pt>
                <c:pt idx="206">
                  <c:v>43.197783897659029</c:v>
                </c:pt>
                <c:pt idx="207">
                  <c:v>43.291046087720495</c:v>
                </c:pt>
                <c:pt idx="208">
                  <c:v>43.384126292905954</c:v>
                </c:pt>
                <c:pt idx="209">
                  <c:v>43.477022475296963</c:v>
                </c:pt>
                <c:pt idx="210">
                  <c:v>43.569732597485491</c:v>
                </c:pt>
                <c:pt idx="211">
                  <c:v>43.662254622647154</c:v>
                </c:pt>
                <c:pt idx="212">
                  <c:v>43.754586514614523</c:v>
                </c:pt>
                <c:pt idx="213">
                  <c:v>43.846726237950541</c:v>
                </c:pt>
                <c:pt idx="214">
                  <c:v>43.938671758022075</c:v>
                </c:pt>
                <c:pt idx="215">
                  <c:v>44.030421041073616</c:v>
                </c:pt>
                <c:pt idx="216">
                  <c:v>44.121972054301047</c:v>
                </c:pt>
                <c:pt idx="217">
                  <c:v>44.213322765925604</c:v>
                </c:pt>
                <c:pt idx="218">
                  <c:v>44.304471145267819</c:v>
                </c:pt>
                <c:pt idx="219">
                  <c:v>44.395415162821685</c:v>
                </c:pt>
                <c:pt idx="220">
                  <c:v>44.486152790328866</c:v>
                </c:pt>
                <c:pt idx="221">
                  <c:v>44.576682000853019</c:v>
                </c:pt>
                <c:pt idx="222">
                  <c:v>44.667000768854216</c:v>
                </c:pt>
                <c:pt idx="223">
                  <c:v>44.757107070263409</c:v>
                </c:pt>
                <c:pt idx="224">
                  <c:v>44.846998882557081</c:v>
                </c:pt>
                <c:pt idx="225">
                  <c:v>44.936674184831858</c:v>
                </c:pt>
                <c:pt idx="226">
                  <c:v>45.026130957879289</c:v>
                </c:pt>
                <c:pt idx="227">
                  <c:v>45.115367184260677</c:v>
                </c:pt>
                <c:pt idx="228">
                  <c:v>45.204380848381945</c:v>
                </c:pt>
                <c:pt idx="229">
                  <c:v>45.293169936568646</c:v>
                </c:pt>
                <c:pt idx="230">
                  <c:v>45.38173243714094</c:v>
                </c:pt>
                <c:pt idx="231">
                  <c:v>45.4700663404887</c:v>
                </c:pt>
                <c:pt idx="232">
                  <c:v>45.558169639146662</c:v>
                </c:pt>
                <c:pt idx="233">
                  <c:v>45.646040327869635</c:v>
                </c:pt>
                <c:pt idx="234">
                  <c:v>45.733676403707683</c:v>
                </c:pt>
                <c:pt idx="235">
                  <c:v>45.821075866081472</c:v>
                </c:pt>
                <c:pt idx="236">
                  <c:v>45.908236716857552</c:v>
                </c:pt>
                <c:pt idx="237">
                  <c:v>45.995156960423756</c:v>
                </c:pt>
                <c:pt idx="238">
                  <c:v>46.081834603764563</c:v>
                </c:pt>
                <c:pt idx="239">
                  <c:v>46.168267656536528</c:v>
                </c:pt>
                <c:pt idx="240">
                  <c:v>46.254454131143738</c:v>
                </c:pt>
                <c:pt idx="241">
                  <c:v>46.340392042813292</c:v>
                </c:pt>
                <c:pt idx="242">
                  <c:v>46.426079409670706</c:v>
                </c:pt>
                <c:pt idx="243">
                  <c:v>46.51151425281553</c:v>
                </c:pt>
                <c:pt idx="244">
                  <c:v>46.596694596396752</c:v>
                </c:pt>
                <c:pt idx="245">
                  <c:v>46.681618467688352</c:v>
                </c:pt>
                <c:pt idx="246">
                  <c:v>46.766283897164804</c:v>
                </c:pt>
                <c:pt idx="247">
                  <c:v>46.850688918576573</c:v>
                </c:pt>
                <c:pt idx="248">
                  <c:v>46.934831569025619</c:v>
                </c:pt>
                <c:pt idx="249">
                  <c:v>47.018709889040878</c:v>
                </c:pt>
                <c:pt idx="250">
                  <c:v>47.102321922653736</c:v>
                </c:pt>
                <c:pt idx="251">
                  <c:v>47.185665717473483</c:v>
                </c:pt>
                <c:pt idx="252">
                  <c:v>47.268739324762741</c:v>
                </c:pt>
                <c:pt idx="253">
                  <c:v>47.351540799512847</c:v>
                </c:pt>
                <c:pt idx="254">
                  <c:v>47.434068200519242</c:v>
                </c:pt>
                <c:pt idx="255">
                  <c:v>47.516319590456767</c:v>
                </c:pt>
                <c:pt idx="256">
                  <c:v>47.598293035955017</c:v>
                </c:pt>
                <c:pt idx="257">
                  <c:v>47.679986607673527</c:v>
                </c:pt>
                <c:pt idx="258">
                  <c:v>47.761398380376988</c:v>
                </c:pt>
                <c:pt idx="259">
                  <c:v>47.842526433010434</c:v>
                </c:pt>
                <c:pt idx="260">
                  <c:v>47.923368848774267</c:v>
                </c:pt>
                <c:pt idx="261">
                  <c:v>48.003923715199342</c:v>
                </c:pt>
                <c:pt idx="262">
                  <c:v>48.084189124221908</c:v>
                </c:pt>
                <c:pt idx="263">
                  <c:v>48.164163172258512</c:v>
                </c:pt>
                <c:pt idx="264">
                  <c:v>48.243843960280827</c:v>
                </c:pt>
                <c:pt idx="265">
                  <c:v>48.323229593890389</c:v>
                </c:pt>
                <c:pt idx="266">
                  <c:v>48.402318183393277</c:v>
                </c:pt>
                <c:pt idx="267">
                  <c:v>48.481107843874717</c:v>
                </c:pt>
                <c:pt idx="268">
                  <c:v>48.55959669527352</c:v>
                </c:pt>
                <c:pt idx="269">
                  <c:v>48.63778286245654</c:v>
                </c:pt>
                <c:pt idx="270">
                  <c:v>48.715664475292947</c:v>
                </c:pt>
                <c:pt idx="271">
                  <c:v>48.79323966872844</c:v>
                </c:pt>
                <c:pt idx="272">
                  <c:v>48.870506582859335</c:v>
                </c:pt>
                <c:pt idx="273">
                  <c:v>48.947463363006591</c:v>
                </c:pt>
                <c:pt idx="274">
                  <c:v>49.024108159789613</c:v>
                </c:pt>
                <c:pt idx="275">
                  <c:v>49.100439129200097</c:v>
                </c:pt>
                <c:pt idx="276">
                  <c:v>49.176454432675591</c:v>
                </c:pt>
                <c:pt idx="277">
                  <c:v>49.252152237173036</c:v>
                </c:pt>
                <c:pt idx="278">
                  <c:v>49.327530715242176</c:v>
                </c:pt>
                <c:pt idx="279">
                  <c:v>49.402588045098739</c:v>
                </c:pt>
                <c:pt idx="280">
                  <c:v>49.477322410697589</c:v>
                </c:pt>
                <c:pt idx="281">
                  <c:v>49.551732001805696</c:v>
                </c:pt>
                <c:pt idx="282">
                  <c:v>49.625815014074917</c:v>
                </c:pt>
                <c:pt idx="283">
                  <c:v>49.699569649114721</c:v>
                </c:pt>
                <c:pt idx="284">
                  <c:v>49.772994114564632</c:v>
                </c:pt>
                <c:pt idx="285">
                  <c:v>49.846086624166659</c:v>
                </c:pt>
                <c:pt idx="286">
                  <c:v>49.918845397837451</c:v>
                </c:pt>
                <c:pt idx="287">
                  <c:v>49.991268661740307</c:v>
                </c:pt>
                <c:pt idx="288">
                  <c:v>50.063354648357091</c:v>
                </c:pt>
                <c:pt idx="289">
                  <c:v>50.135101596559835</c:v>
                </c:pt>
                <c:pt idx="290">
                  <c:v>50.20650775168231</c:v>
                </c:pt>
                <c:pt idx="291">
                  <c:v>50.277571365591321</c:v>
                </c:pt>
                <c:pt idx="292">
                  <c:v>50.348290696757829</c:v>
                </c:pt>
                <c:pt idx="293">
                  <c:v>50.418664010327902</c:v>
                </c:pt>
                <c:pt idx="294">
                  <c:v>50.488689578193451</c:v>
                </c:pt>
                <c:pt idx="295">
                  <c:v>50.558365679062817</c:v>
                </c:pt>
                <c:pt idx="296">
                  <c:v>50.627690598531061</c:v>
                </c:pt>
                <c:pt idx="297">
                  <c:v>50.696662629150147</c:v>
                </c:pt>
                <c:pt idx="298">
                  <c:v>50.765280070498832</c:v>
                </c:pt>
                <c:pt idx="299">
                  <c:v>50.833541229252404</c:v>
                </c:pt>
                <c:pt idx="300">
                  <c:v>50.901444419252165</c:v>
                </c:pt>
                <c:pt idx="301">
                  <c:v>50.968987961574697</c:v>
                </c:pt>
                <c:pt idx="302">
                  <c:v>51.03617018460092</c:v>
                </c:pt>
                <c:pt idx="303">
                  <c:v>51.102989424084875</c:v>
                </c:pt>
                <c:pt idx="304">
                  <c:v>51.16944402322234</c:v>
                </c:pt>
                <c:pt idx="305">
                  <c:v>51.235532332719117</c:v>
                </c:pt>
                <c:pt idx="306">
                  <c:v>51.301252710859174</c:v>
                </c:pt>
                <c:pt idx="307">
                  <c:v>51.366603523572472</c:v>
                </c:pt>
                <c:pt idx="308">
                  <c:v>51.431583144502547</c:v>
                </c:pt>
                <c:pt idx="309">
                  <c:v>51.496189955073902</c:v>
                </c:pt>
                <c:pt idx="310">
                  <c:v>51.560422344559022</c:v>
                </c:pt>
                <c:pt idx="311">
                  <c:v>51.624278710145255</c:v>
                </c:pt>
                <c:pt idx="312">
                  <c:v>51.687757457001346</c:v>
                </c:pt>
                <c:pt idx="313">
                  <c:v>51.750856998343714</c:v>
                </c:pt>
                <c:pt idx="314">
                  <c:v>51.81357575550247</c:v>
                </c:pt>
                <c:pt idx="315">
                  <c:v>51.875912157987166</c:v>
                </c:pt>
                <c:pt idx="316">
                  <c:v>51.93786464355221</c:v>
                </c:pt>
                <c:pt idx="317">
                  <c:v>51.999431658262083</c:v>
                </c:pt>
                <c:pt idx="318">
                  <c:v>52.060611656556169</c:v>
                </c:pt>
                <c:pt idx="319">
                  <c:v>52.121403101313369</c:v>
                </c:pt>
                <c:pt idx="320">
                  <c:v>52.181804463916379</c:v>
                </c:pt>
                <c:pt idx="321">
                  <c:v>52.241814224315675</c:v>
                </c:pt>
                <c:pt idx="322">
                  <c:v>52.30143087109321</c:v>
                </c:pt>
                <c:pt idx="323">
                  <c:v>52.360652901525775</c:v>
                </c:pt>
                <c:pt idx="324">
                  <c:v>52.419478821648028</c:v>
                </c:pt>
                <c:pt idx="325">
                  <c:v>52.477907146315346</c:v>
                </c:pt>
                <c:pt idx="326">
                  <c:v>52.53593639926612</c:v>
                </c:pt>
                <c:pt idx="327">
                  <c:v>52.593565113183985</c:v>
                </c:pt>
                <c:pt idx="328">
                  <c:v>52.650791829759484</c:v>
                </c:pt>
                <c:pt idx="329">
                  <c:v>52.707615099751621</c:v>
                </c:pt>
                <c:pt idx="330">
                  <c:v>52.764033483048898</c:v>
                </c:pt>
                <c:pt idx="331">
                  <c:v>52.820045548730135</c:v>
                </c:pt>
                <c:pt idx="332">
                  <c:v>52.875649875124914</c:v>
                </c:pt>
                <c:pt idx="333">
                  <c:v>52.930845049873625</c:v>
                </c:pt>
                <c:pt idx="334">
                  <c:v>52.985629669987262</c:v>
                </c:pt>
                <c:pt idx="335">
                  <c:v>53.040002341906778</c:v>
                </c:pt>
                <c:pt idx="336">
                  <c:v>53.093961681562156</c:v>
                </c:pt>
                <c:pt idx="337">
                  <c:v>53.147506314431055</c:v>
                </c:pt>
                <c:pt idx="338">
                  <c:v>53.20063487559716</c:v>
                </c:pt>
                <c:pt idx="339">
                  <c:v>53.253346009808105</c:v>
                </c:pt>
                <c:pt idx="340">
                  <c:v>53.305638371533085</c:v>
                </c:pt>
                <c:pt idx="341">
                  <c:v>53.357510625020026</c:v>
                </c:pt>
                <c:pt idx="342">
                  <c:v>53.408961444352471</c:v>
                </c:pt>
                <c:pt idx="343">
                  <c:v>53.459989513505988</c:v>
                </c:pt>
                <c:pt idx="344">
                  <c:v>53.510593526404271</c:v>
                </c:pt>
                <c:pt idx="345">
                  <c:v>53.560772186974837</c:v>
                </c:pt>
                <c:pt idx="346">
                  <c:v>53.610524209204272</c:v>
                </c:pt>
                <c:pt idx="347">
                  <c:v>53.659848317193202</c:v>
                </c:pt>
                <c:pt idx="348">
                  <c:v>53.708743245210755</c:v>
                </c:pt>
                <c:pt idx="349">
                  <c:v>53.757207737748701</c:v>
                </c:pt>
                <c:pt idx="350">
                  <c:v>53.805240549575139</c:v>
                </c:pt>
                <c:pt idx="351">
                  <c:v>53.852840445787798</c:v>
                </c:pt>
                <c:pt idx="352">
                  <c:v>53.900006201866987</c:v>
                </c:pt>
                <c:pt idx="353">
                  <c:v>53.946736603727963</c:v>
                </c:pt>
                <c:pt idx="354">
                  <c:v>53.993030447773137</c:v>
                </c:pt>
                <c:pt idx="355">
                  <c:v>54.038886540943594</c:v>
                </c:pt>
                <c:pt idx="356">
                  <c:v>54.08430370077042</c:v>
                </c:pt>
                <c:pt idx="357">
                  <c:v>54.129280755425455</c:v>
                </c:pt>
                <c:pt idx="358">
                  <c:v>54.173816543771672</c:v>
                </c:pt>
                <c:pt idx="359">
                  <c:v>54.217909915413145</c:v>
                </c:pt>
                <c:pt idx="360">
                  <c:v>54.26155973074453</c:v>
                </c:pt>
                <c:pt idx="361">
                  <c:v>54.30476486100018</c:v>
                </c:pt>
                <c:pt idx="362">
                  <c:v>54.347524188302735</c:v>
                </c:pt>
                <c:pt idx="363">
                  <c:v>54.389836605711366</c:v>
                </c:pt>
                <c:pt idx="364">
                  <c:v>54.431701017269482</c:v>
                </c:pt>
                <c:pt idx="365">
                  <c:v>54.473116338052058</c:v>
                </c:pt>
                <c:pt idx="366">
                  <c:v>54.514081494212469</c:v>
                </c:pt>
                <c:pt idx="367">
                  <c:v>54.554595423028893</c:v>
                </c:pt>
                <c:pt idx="368">
                  <c:v>54.594657072950262</c:v>
                </c:pt>
                <c:pt idx="369">
                  <c:v>54.634265403641727</c:v>
                </c:pt>
                <c:pt idx="370">
                  <c:v>54.673419386029678</c:v>
                </c:pt>
                <c:pt idx="371">
                  <c:v>54.712118002346287</c:v>
                </c:pt>
                <c:pt idx="372">
                  <c:v>54.750360246173635</c:v>
                </c:pt>
                <c:pt idx="373">
                  <c:v>54.788145122487286</c:v>
                </c:pt>
                <c:pt idx="374">
                  <c:v>54.825471647699437</c:v>
                </c:pt>
                <c:pt idx="375">
                  <c:v>54.862338849701622</c:v>
                </c:pt>
                <c:pt idx="376">
                  <c:v>54.898745767906838</c:v>
                </c:pt>
                <c:pt idx="377">
                  <c:v>54.9346914532913</c:v>
                </c:pt>
                <c:pt idx="378">
                  <c:v>54.970174968435671</c:v>
                </c:pt>
                <c:pt idx="379">
                  <c:v>55.005195387565763</c:v>
                </c:pt>
                <c:pt idx="380">
                  <c:v>55.039751796592832</c:v>
                </c:pt>
                <c:pt idx="381">
                  <c:v>55.073843293153296</c:v>
                </c:pt>
                <c:pt idx="382">
                  <c:v>55.107468986648058</c:v>
                </c:pt>
                <c:pt idx="383">
                  <c:v>55.140627998281218</c:v>
                </c:pt>
                <c:pt idx="384">
                  <c:v>55.173319461098401</c:v>
                </c:pt>
                <c:pt idx="385">
                  <c:v>55.205542520024487</c:v>
                </c:pt>
                <c:pt idx="386">
                  <c:v>55.237296331900929</c:v>
                </c:pt>
                <c:pt idx="387">
                  <c:v>55.268580065522485</c:v>
                </c:pt>
                <c:pt idx="388">
                  <c:v>55.299392901673485</c:v>
                </c:pt>
                <c:pt idx="389">
                  <c:v>55.329734033163597</c:v>
                </c:pt>
                <c:pt idx="390">
                  <c:v>55.359602664863068</c:v>
                </c:pt>
                <c:pt idx="391">
                  <c:v>55.388998013737428</c:v>
                </c:pt>
                <c:pt idx="392">
                  <c:v>55.417919308881743</c:v>
                </c:pt>
                <c:pt idx="393">
                  <c:v>55.446365791554236</c:v>
                </c:pt>
                <c:pt idx="394">
                  <c:v>55.474336715209553</c:v>
                </c:pt>
                <c:pt idx="395">
                  <c:v>55.50183134553135</c:v>
                </c:pt>
                <c:pt idx="396">
                  <c:v>55.528848960464444</c:v>
                </c:pt>
                <c:pt idx="397">
                  <c:v>55.555388850246423</c:v>
                </c:pt>
                <c:pt idx="398">
                  <c:v>55.58145031743868</c:v>
                </c:pt>
                <c:pt idx="399">
                  <c:v>55.60703267695704</c:v>
                </c:pt>
                <c:pt idx="400">
                  <c:v>55.63213525610167</c:v>
                </c:pt>
                <c:pt idx="401">
                  <c:v>55.656757394586656</c:v>
                </c:pt>
                <c:pt idx="402">
                  <c:v>55.680898444568889</c:v>
                </c:pt>
                <c:pt idx="403">
                  <c:v>55.704557770676487</c:v>
                </c:pt>
                <c:pt idx="404">
                  <c:v>55.727734750036682</c:v>
                </c:pt>
                <c:pt idx="405">
                  <c:v>55.750428772303117</c:v>
                </c:pt>
                <c:pt idx="406">
                  <c:v>55.772639239682675</c:v>
                </c:pt>
                <c:pt idx="407">
                  <c:v>55.794365566961702</c:v>
                </c:pt>
                <c:pt idx="408">
                  <c:v>55.815607181531668</c:v>
                </c:pt>
                <c:pt idx="409">
                  <c:v>55.836363523414406</c:v>
                </c:pt>
                <c:pt idx="410">
                  <c:v>55.856634045286647</c:v>
                </c:pt>
                <c:pt idx="411">
                  <c:v>55.87641821250407</c:v>
                </c:pt>
                <c:pt idx="412">
                  <c:v>55.895715503124869</c:v>
                </c:pt>
                <c:pt idx="413">
                  <c:v>55.914525407932622</c:v>
                </c:pt>
                <c:pt idx="414">
                  <c:v>55.932847430458743</c:v>
                </c:pt>
                <c:pt idx="415">
                  <c:v>55.950681087004298</c:v>
                </c:pt>
                <c:pt idx="416">
                  <c:v>55.968025906661296</c:v>
                </c:pt>
                <c:pt idx="417">
                  <c:v>55.984881431333406</c:v>
                </c:pt>
                <c:pt idx="418">
                  <c:v>56.001247215756109</c:v>
                </c:pt>
                <c:pt idx="419">
                  <c:v>56.01712282751636</c:v>
                </c:pt>
                <c:pt idx="420">
                  <c:v>56.032507847071535</c:v>
                </c:pt>
                <c:pt idx="421">
                  <c:v>56.047401867767988</c:v>
                </c:pt>
                <c:pt idx="422">
                  <c:v>56.061804495858958</c:v>
                </c:pt>
                <c:pt idx="423">
                  <c:v>56.075715350521854</c:v>
                </c:pt>
                <c:pt idx="424">
                  <c:v>56.089134063875115</c:v>
                </c:pt>
                <c:pt idx="425">
                  <c:v>56.102060280994387</c:v>
                </c:pt>
                <c:pt idx="426">
                  <c:v>56.114493659928158</c:v>
                </c:pt>
                <c:pt idx="427">
                  <c:v>56.126433871712869</c:v>
                </c:pt>
                <c:pt idx="428">
                  <c:v>56.137880600387383</c:v>
                </c:pt>
                <c:pt idx="429">
                  <c:v>56.148833543006958</c:v>
                </c:pt>
                <c:pt idx="430">
                  <c:v>56.15929240965658</c:v>
                </c:pt>
                <c:pt idx="431">
                  <c:v>56.169256923463763</c:v>
                </c:pt>
                <c:pt idx="432">
                  <c:v>56.178726820610748</c:v>
                </c:pt>
                <c:pt idx="433">
                  <c:v>56.187701850346208</c:v>
                </c:pt>
                <c:pt idx="434">
                  <c:v>56.196181774996205</c:v>
                </c:pt>
                <c:pt idx="435">
                  <c:v>56.2041663699748</c:v>
                </c:pt>
                <c:pt idx="436">
                  <c:v>56.211655423793857</c:v>
                </c:pt>
                <c:pt idx="437">
                  <c:v>56.21864873807246</c:v>
                </c:pt>
                <c:pt idx="438">
                  <c:v>56.225146127545635</c:v>
                </c:pt>
                <c:pt idx="439">
                  <c:v>56.231147420072546</c:v>
                </c:pt>
                <c:pt idx="440">
                  <c:v>56.236652456644059</c:v>
                </c:pt>
                <c:pt idx="441">
                  <c:v>56.241661091389815</c:v>
                </c:pt>
                <c:pt idx="442">
                  <c:v>56.246173191584653</c:v>
                </c:pt>
                <c:pt idx="443">
                  <c:v>56.250188637654432</c:v>
                </c:pt>
                <c:pt idx="444">
                  <c:v>56.253707323181395</c:v>
                </c:pt>
                <c:pt idx="445">
                  <c:v>56.256729154908783</c:v>
                </c:pt>
                <c:pt idx="446">
                  <c:v>56.259254052745007</c:v>
                </c:pt>
                <c:pt idx="447">
                  <c:v>56.261281949767188</c:v>
                </c:pt>
                <c:pt idx="448">
                  <c:v>56.262812792224061</c:v>
                </c:pt>
                <c:pt idx="449">
                  <c:v>56.263846539538427</c:v>
                </c:pt>
                <c:pt idx="450">
                  <c:v>56.264383164308875</c:v>
                </c:pt>
                <c:pt idx="451">
                  <c:v>56.264422652311026</c:v>
                </c:pt>
                <c:pt idx="452">
                  <c:v>56.263965002498182</c:v>
                </c:pt>
                <c:pt idx="453">
                  <c:v>56.263010227001303</c:v>
                </c:pt>
                <c:pt idx="454">
                  <c:v>56.261558351128571</c:v>
                </c:pt>
                <c:pt idx="455">
                  <c:v>56.259609413364167</c:v>
                </c:pt>
                <c:pt idx="456">
                  <c:v>56.257163465366652</c:v>
                </c:pt>
                <c:pt idx="457">
                  <c:v>56.254220571966634</c:v>
                </c:pt>
                <c:pt idx="458">
                  <c:v>56.250780811163942</c:v>
                </c:pt>
                <c:pt idx="459">
                  <c:v>56.24684427412415</c:v>
                </c:pt>
                <c:pt idx="460">
                  <c:v>56.242411065174558</c:v>
                </c:pt>
                <c:pt idx="461">
                  <c:v>56.237481301799612</c:v>
                </c:pt>
                <c:pt idx="462">
                  <c:v>56.232055114635649</c:v>
                </c:pt>
                <c:pt idx="463">
                  <c:v>56.226132647465214</c:v>
                </c:pt>
                <c:pt idx="464">
                  <c:v>56.219714057210631</c:v>
                </c:pt>
                <c:pt idx="465">
                  <c:v>56.212799513927131</c:v>
                </c:pt>
                <c:pt idx="466">
                  <c:v>56.20538920079531</c:v>
                </c:pt>
                <c:pt idx="467">
                  <c:v>56.197483314113043</c:v>
                </c:pt>
                <c:pt idx="468">
                  <c:v>56.18908206328684</c:v>
                </c:pt>
                <c:pt idx="469">
                  <c:v>56.180185670822574</c:v>
                </c:pt>
                <c:pt idx="470">
                  <c:v>56.170794372315683</c:v>
                </c:pt>
                <c:pt idx="471">
                  <c:v>56.160908416440748</c:v>
                </c:pt>
                <c:pt idx="472">
                  <c:v>56.150528064940538</c:v>
                </c:pt>
                <c:pt idx="473">
                  <c:v>56.139653592614458</c:v>
                </c:pt>
                <c:pt idx="474">
                  <c:v>56.128285287306404</c:v>
                </c:pt>
                <c:pt idx="475">
                  <c:v>56.11642344989211</c:v>
                </c:pt>
                <c:pt idx="476">
                  <c:v>56.104068394265802</c:v>
                </c:pt>
                <c:pt idx="477">
                  <c:v>56.091220447326442</c:v>
                </c:pt>
                <c:pt idx="478">
                  <c:v>56.077879948963243</c:v>
                </c:pt>
                <c:pt idx="479">
                  <c:v>56.064047252040716</c:v>
                </c:pt>
                <c:pt idx="480">
                  <c:v>56.049722722383109</c:v>
                </c:pt>
                <c:pt idx="481">
                  <c:v>56.034906738758274</c:v>
                </c:pt>
                <c:pt idx="482">
                  <c:v>56.019599692860986</c:v>
                </c:pt>
                <c:pt idx="483">
                  <c:v>56.003801989295688</c:v>
                </c:pt>
                <c:pt idx="484">
                  <c:v>55.987514045558633</c:v>
                </c:pt>
                <c:pt idx="485">
                  <c:v>55.970736292019559</c:v>
                </c:pt>
                <c:pt idx="486">
                  <c:v>55.953469171902661</c:v>
                </c:pt>
                <c:pt idx="487">
                  <c:v>55.935713141267122</c:v>
                </c:pt>
                <c:pt idx="488">
                  <c:v>55.917468668987055</c:v>
                </c:pt>
                <c:pt idx="489">
                  <c:v>55.898736236730812</c:v>
                </c:pt>
                <c:pt idx="490">
                  <c:v>55.87951633893983</c:v>
                </c:pt>
                <c:pt idx="491">
                  <c:v>55.859809482806867</c:v>
                </c:pt>
                <c:pt idx="492">
                  <c:v>55.839616188253693</c:v>
                </c:pt>
                <c:pt idx="493">
                  <c:v>55.818936987908259</c:v>
                </c:pt>
                <c:pt idx="494">
                  <c:v>55.797772427081213</c:v>
                </c:pt>
                <c:pt idx="495">
                  <c:v>55.776123063742027</c:v>
                </c:pt>
                <c:pt idx="496">
                  <c:v>55.753989468494389</c:v>
                </c:pt>
                <c:pt idx="497">
                  <c:v>55.731372224551208</c:v>
                </c:pt>
                <c:pt idx="498">
                  <c:v>55.708271927708957</c:v>
                </c:pt>
                <c:pt idx="499">
                  <c:v>55.684689186321549</c:v>
                </c:pt>
                <c:pt idx="500">
                  <c:v>55.660624621273605</c:v>
                </c:pt>
                <c:pt idx="501">
                  <c:v>55.636078865953252</c:v>
                </c:pt>
                <c:pt idx="502">
                  <c:v>55.611052566224259</c:v>
                </c:pt>
                <c:pt idx="503">
                  <c:v>55.585546380397822</c:v>
                </c:pt>
                <c:pt idx="504">
                  <c:v>55.559560979203631</c:v>
                </c:pt>
                <c:pt idx="505">
                  <c:v>55.533097045760464</c:v>
                </c:pt>
                <c:pt idx="506">
                  <c:v>55.506155275546313</c:v>
                </c:pt>
                <c:pt idx="507">
                  <c:v>55.478736376367891</c:v>
                </c:pt>
                <c:pt idx="508">
                  <c:v>55.45084106832963</c:v>
                </c:pt>
                <c:pt idx="509">
                  <c:v>55.422470083802196</c:v>
                </c:pt>
                <c:pt idx="510">
                  <c:v>55.393624167390414</c:v>
                </c:pt>
                <c:pt idx="511">
                  <c:v>55.364304075900705</c:v>
                </c:pt>
                <c:pt idx="512">
                  <c:v>55.334510578307999</c:v>
                </c:pt>
                <c:pt idx="513">
                  <c:v>55.304244455722134</c:v>
                </c:pt>
                <c:pt idx="514">
                  <c:v>55.273506501353701</c:v>
                </c:pt>
                <c:pt idx="515">
                  <c:v>55.242297520479426</c:v>
                </c:pt>
                <c:pt idx="516">
                  <c:v>55.210618330406987</c:v>
                </c:pt>
                <c:pt idx="517">
                  <c:v>55.17846976043937</c:v>
                </c:pt>
                <c:pt idx="518">
                  <c:v>55.145852651838652</c:v>
                </c:pt>
                <c:pt idx="519">
                  <c:v>55.112767857789358</c:v>
                </c:pt>
                <c:pt idx="520">
                  <c:v>55.079216243361216</c:v>
                </c:pt>
                <c:pt idx="521">
                  <c:v>55.045198685471512</c:v>
                </c:pt>
                <c:pt idx="522">
                  <c:v>55.010716072846876</c:v>
                </c:pt>
                <c:pt idx="523">
                  <c:v>54.975769305984564</c:v>
                </c:pt>
                <c:pt idx="524">
                  <c:v>54.940359297113304</c:v>
                </c:pt>
                <c:pt idx="525">
                  <c:v>54.904486970153599</c:v>
                </c:pt>
                <c:pt idx="526">
                  <c:v>54.868153260677538</c:v>
                </c:pt>
                <c:pt idx="527">
                  <c:v>54.83135911586816</c:v>
                </c:pt>
                <c:pt idx="528">
                  <c:v>54.794105494478281</c:v>
                </c:pt>
                <c:pt idx="529">
                  <c:v>54.756393366788892</c:v>
                </c:pt>
                <c:pt idx="530">
                  <c:v>54.718223714566989</c:v>
                </c:pt>
                <c:pt idx="531">
                  <c:v>54.679597531023063</c:v>
                </c:pt>
                <c:pt idx="532">
                  <c:v>54.640515820767966</c:v>
                </c:pt>
                <c:pt idx="533">
                  <c:v>54.600979599769381</c:v>
                </c:pt>
                <c:pt idx="534">
                  <c:v>54.560989895307841</c:v>
                </c:pt>
                <c:pt idx="535">
                  <c:v>54.520547745932227</c:v>
                </c:pt>
                <c:pt idx="536">
                  <c:v>54.479654201414817</c:v>
                </c:pt>
                <c:pt idx="537">
                  <c:v>54.438310322705888</c:v>
                </c:pt>
                <c:pt idx="538">
                  <c:v>54.396517181887866</c:v>
                </c:pt>
                <c:pt idx="539">
                  <c:v>54.354275862128965</c:v>
                </c:pt>
                <c:pt idx="540">
                  <c:v>54.311587457636435</c:v>
                </c:pt>
                <c:pt idx="541">
                  <c:v>54.268453073609329</c:v>
                </c:pt>
                <c:pt idx="542">
                  <c:v>54.224873826190823</c:v>
                </c:pt>
                <c:pt idx="543">
                  <c:v>54.180850842420078</c:v>
                </c:pt>
                <c:pt idx="544">
                  <c:v>54.136385260183715</c:v>
                </c:pt>
                <c:pt idx="545">
                  <c:v>54.091478228166743</c:v>
                </c:pt>
                <c:pt idx="546">
                  <c:v>54.046130905803182</c:v>
                </c:pt>
                <c:pt idx="547">
                  <c:v>54.000344463226128</c:v>
                </c:pt>
                <c:pt idx="548">
                  <c:v>53.954120081217503</c:v>
                </c:pt>
                <c:pt idx="549">
                  <c:v>53.907458951157274</c:v>
                </c:pt>
                <c:pt idx="550">
                  <c:v>53.860362274972317</c:v>
                </c:pt>
                <c:pt idx="551">
                  <c:v>53.81283126508481</c:v>
                </c:pt>
                <c:pt idx="552">
                  <c:v>53.764867144360252</c:v>
                </c:pt>
                <c:pt idx="553">
                  <c:v>53.716471146055056</c:v>
                </c:pt>
                <c:pt idx="554">
                  <c:v>53.667644513763697</c:v>
                </c:pt>
                <c:pt idx="555">
                  <c:v>53.618388501365473</c:v>
                </c:pt>
                <c:pt idx="556">
                  <c:v>53.568704372970885</c:v>
                </c:pt>
                <c:pt idx="557">
                  <c:v>53.518593402867566</c:v>
                </c:pt>
                <c:pt idx="558">
                  <c:v>53.468056875465855</c:v>
                </c:pt>
                <c:pt idx="559">
                  <c:v>53.417096085243934</c:v>
                </c:pt>
                <c:pt idx="560">
                  <c:v>53.365712336692603</c:v>
                </c:pt>
                <c:pt idx="561">
                  <c:v>53.313906944259656</c:v>
                </c:pt>
                <c:pt idx="562">
                  <c:v>53.261681232293874</c:v>
                </c:pt>
                <c:pt idx="563">
                  <c:v>53.209036534988599</c:v>
                </c:pt>
                <c:pt idx="564">
                  <c:v>53.155974196325005</c:v>
                </c:pt>
                <c:pt idx="565">
                  <c:v>53.102495570014916</c:v>
                </c:pt>
                <c:pt idx="566">
                  <c:v>53.048602019443294</c:v>
                </c:pt>
                <c:pt idx="567">
                  <c:v>52.994294917610347</c:v>
                </c:pt>
                <c:pt idx="568">
                  <c:v>52.939575647073241</c:v>
                </c:pt>
                <c:pt idx="569">
                  <c:v>52.884445599887528</c:v>
                </c:pt>
                <c:pt idx="570">
                  <c:v>52.82890617754812</c:v>
                </c:pt>
                <c:pt idx="571">
                  <c:v>52.772958790929984</c:v>
                </c:pt>
                <c:pt idx="572">
                  <c:v>52.716604860228429</c:v>
                </c:pt>
                <c:pt idx="573">
                  <c:v>52.659845814899086</c:v>
                </c:pt>
                <c:pt idx="574">
                  <c:v>52.602683093597498</c:v>
                </c:pt>
                <c:pt idx="575">
                  <c:v>52.545118144118454</c:v>
                </c:pt>
                <c:pt idx="576">
                  <c:v>52.487152423334841</c:v>
                </c:pt>
                <c:pt idx="577">
                  <c:v>52.428787397136333</c:v>
                </c:pt>
                <c:pt idx="578">
                  <c:v>52.370024540367609</c:v>
                </c:pt>
                <c:pt idx="579">
                  <c:v>52.310865336766305</c:v>
                </c:pt>
                <c:pt idx="580">
                  <c:v>52.251311278900673</c:v>
                </c:pt>
                <c:pt idx="581">
                  <c:v>52.191363868106848</c:v>
                </c:pt>
                <c:pt idx="582">
                  <c:v>52.13102461442584</c:v>
                </c:pt>
                <c:pt idx="583">
                  <c:v>52.070295036540202</c:v>
                </c:pt>
                <c:pt idx="584">
                  <c:v>52.009176661710427</c:v>
                </c:pt>
                <c:pt idx="585">
                  <c:v>51.947671025710981</c:v>
                </c:pt>
                <c:pt idx="586">
                  <c:v>51.885779672766084</c:v>
                </c:pt>
                <c:pt idx="587">
                  <c:v>51.823504155485139</c:v>
                </c:pt>
                <c:pt idx="588">
                  <c:v>51.760846034797929</c:v>
                </c:pt>
                <c:pt idx="589">
                  <c:v>51.697806879889491</c:v>
                </c:pt>
                <c:pt idx="590">
                  <c:v>51.6343882681347</c:v>
                </c:pt>
                <c:pt idx="591">
                  <c:v>51.570591785032597</c:v>
                </c:pt>
                <c:pt idx="592">
                  <c:v>51.506419024140392</c:v>
                </c:pt>
                <c:pt idx="593">
                  <c:v>51.441871587007256</c:v>
                </c:pt>
                <c:pt idx="594">
                  <c:v>51.376951083107784</c:v>
                </c:pt>
                <c:pt idx="595">
                  <c:v>51.311659129775236</c:v>
                </c:pt>
                <c:pt idx="596">
                  <c:v>51.245997352134445</c:v>
                </c:pt>
                <c:pt idx="597">
                  <c:v>51.179967383034608</c:v>
                </c:pt>
                <c:pt idx="598">
                  <c:v>51.113570862981611</c:v>
                </c:pt>
                <c:pt idx="599">
                  <c:v>51.046809440070327</c:v>
                </c:pt>
                <c:pt idx="600">
                  <c:v>50.979684769916496</c:v>
                </c:pt>
                <c:pt idx="601">
                  <c:v>50.912198515588443</c:v>
                </c:pt>
                <c:pt idx="602">
                  <c:v>50.844352347538539</c:v>
                </c:pt>
                <c:pt idx="603">
                  <c:v>50.776147943534447</c:v>
                </c:pt>
                <c:pt idx="604">
                  <c:v>50.70758698859008</c:v>
                </c:pt>
                <c:pt idx="605">
                  <c:v>50.638671174896388</c:v>
                </c:pt>
                <c:pt idx="606">
                  <c:v>50.569402201751892</c:v>
                </c:pt>
                <c:pt idx="607">
                  <c:v>50.499781775493027</c:v>
                </c:pt>
                <c:pt idx="608">
                  <c:v>50.429811609424227</c:v>
                </c:pt>
                <c:pt idx="609">
                  <c:v>50.359493423747821</c:v>
                </c:pt>
                <c:pt idx="610">
                  <c:v>50.288828945493741</c:v>
                </c:pt>
                <c:pt idx="611">
                  <c:v>50.21781990844898</c:v>
                </c:pt>
                <c:pt idx="612">
                  <c:v>50.146468053086906</c:v>
                </c:pt>
                <c:pt idx="613">
                  <c:v>50.074775126496327</c:v>
                </c:pt>
                <c:pt idx="614">
                  <c:v>50.002742882310386</c:v>
                </c:pt>
                <c:pt idx="615">
                  <c:v>49.930373080635292</c:v>
                </c:pt>
                <c:pt idx="616">
                  <c:v>49.857667487978844</c:v>
                </c:pt>
                <c:pt idx="617">
                  <c:v>49.784627877178735</c:v>
                </c:pt>
                <c:pt idx="618">
                  <c:v>49.711256027330798</c:v>
                </c:pt>
                <c:pt idx="619">
                  <c:v>49.637553723716934</c:v>
                </c:pt>
                <c:pt idx="620">
                  <c:v>49.56352275773299</c:v>
                </c:pt>
                <c:pt idx="621">
                  <c:v>49.489164926816414</c:v>
                </c:pt>
                <c:pt idx="622">
                  <c:v>49.414482034373755</c:v>
                </c:pt>
                <c:pt idx="623">
                  <c:v>49.339475889708034</c:v>
                </c:pt>
                <c:pt idx="624">
                  <c:v>49.264148307945952</c:v>
                </c:pt>
                <c:pt idx="625">
                  <c:v>49.188501109964903</c:v>
                </c:pt>
                <c:pt idx="626">
                  <c:v>49.112536122319966</c:v>
                </c:pt>
                <c:pt idx="627">
                  <c:v>49.036255177170617</c:v>
                </c:pt>
                <c:pt idx="628">
                  <c:v>48.959660112207381</c:v>
                </c:pt>
                <c:pt idx="629">
                  <c:v>48.882752770578378</c:v>
                </c:pt>
                <c:pt idx="630">
                  <c:v>48.805535000815638</c:v>
                </c:pt>
                <c:pt idx="631">
                  <c:v>48.728008656761453</c:v>
                </c:pt>
                <c:pt idx="632">
                  <c:v>48.650175597494446</c:v>
                </c:pt>
                <c:pt idx="633">
                  <c:v>48.572037687255637</c:v>
                </c:pt>
                <c:pt idx="634">
                  <c:v>48.493596795374337</c:v>
                </c:pt>
                <c:pt idx="635">
                  <c:v>48.414854796194007</c:v>
                </c:pt>
                <c:pt idx="636">
                  <c:v>48.335813568997892</c:v>
                </c:pt>
                <c:pt idx="637">
                  <c:v>48.256474997934738</c:v>
                </c:pt>
                <c:pt idx="638">
                  <c:v>48.176840971944202</c:v>
                </c:pt>
                <c:pt idx="639">
                  <c:v>48.096913384682381</c:v>
                </c:pt>
                <c:pt idx="640">
                  <c:v>48.016694134447079</c:v>
                </c:pt>
                <c:pt idx="641">
                  <c:v>47.936185124103112</c:v>
                </c:pt>
                <c:pt idx="642">
                  <c:v>47.855388261007505</c:v>
                </c:pt>
                <c:pt idx="643">
                  <c:v>47.774305456934556</c:v>
                </c:pt>
                <c:pt idx="644">
                  <c:v>47.692938628000924</c:v>
                </c:pt>
                <c:pt idx="645">
                  <c:v>47.61128969459061</c:v>
                </c:pt>
                <c:pt idx="646">
                  <c:v>47.529360581279818</c:v>
                </c:pt>
                <c:pt idx="647">
                  <c:v>47.447153216761905</c:v>
                </c:pt>
                <c:pt idx="648">
                  <c:v>47.364669533772101</c:v>
                </c:pt>
                <c:pt idx="649">
                  <c:v>47.281911469012329</c:v>
                </c:pt>
                <c:pt idx="650">
                  <c:v>47.198880963075901</c:v>
                </c:pt>
                <c:pt idx="651">
                  <c:v>47.115579960372195</c:v>
                </c:pt>
                <c:pt idx="652">
                  <c:v>47.032010409051274</c:v>
                </c:pt>
                <c:pt idx="653">
                  <c:v>46.948174260928518</c:v>
                </c:pt>
                <c:pt idx="654">
                  <c:v>46.864073471409192</c:v>
                </c:pt>
                <c:pt idx="655">
                  <c:v>46.779709999413008</c:v>
                </c:pt>
                <c:pt idx="656">
                  <c:v>46.695085807298611</c:v>
                </c:pt>
                <c:pt idx="657">
                  <c:v>46.610202860788192</c:v>
                </c:pt>
                <c:pt idx="658">
                  <c:v>46.525063128891865</c:v>
                </c:pt>
                <c:pt idx="659">
                  <c:v>46.439668583832287</c:v>
                </c:pt>
                <c:pt idx="660">
                  <c:v>46.354021200969051</c:v>
                </c:pt>
                <c:pt idx="661">
                  <c:v>46.268122958723247</c:v>
                </c:pt>
                <c:pt idx="662">
                  <c:v>46.181975838501913</c:v>
                </c:pt>
                <c:pt idx="663">
                  <c:v>46.09558182462257</c:v>
                </c:pt>
                <c:pt idx="664">
                  <c:v>46.008942904237692</c:v>
                </c:pt>
                <c:pt idx="665">
                  <c:v>45.922061067259307</c:v>
                </c:pt>
                <c:pt idx="666">
                  <c:v>45.834938306283469</c:v>
                </c:pt>
                <c:pt idx="667">
                  <c:v>45.747576616514898</c:v>
                </c:pt>
                <c:pt idx="668">
                  <c:v>45.659977995691534</c:v>
                </c:pt>
                <c:pt idx="669">
                  <c:v>45.57214444400919</c:v>
                </c:pt>
                <c:pt idx="670">
                  <c:v>45.484077964046236</c:v>
                </c:pt>
                <c:pt idx="671">
                  <c:v>45.395780560688273</c:v>
                </c:pt>
                <c:pt idx="672">
                  <c:v>45.307254241052902</c:v>
                </c:pt>
                <c:pt idx="673">
                  <c:v>45.218501014414542</c:v>
                </c:pt>
                <c:pt idx="674">
                  <c:v>45.129522892129245</c:v>
                </c:pt>
                <c:pt idx="675">
                  <c:v>45.040321887559607</c:v>
                </c:pt>
              </c:numCache>
            </c:numRef>
          </c:yVal>
          <c:smooth val="1"/>
        </c:ser>
        <c:ser>
          <c:idx val="0"/>
          <c:order val="4"/>
          <c:tx>
            <c:strRef>
              <c:f>Data!$H$1</c:f>
              <c:strCache>
                <c:ptCount val="1"/>
                <c:pt idx="0">
                  <c:v>Peak 3</c:v>
                </c:pt>
              </c:strCache>
            </c:strRef>
          </c:tx>
          <c:spPr>
            <a:ln w="12700">
              <a:solidFill>
                <a:srgbClr val="000080"/>
              </a:solidFill>
              <a:prstDash val="solid"/>
            </a:ln>
          </c:spPr>
          <c:marker>
            <c:symbol val="none"/>
          </c:marker>
          <c:xVal>
            <c:numRef>
              <c:f>Data!$A$2:$A$1001</c:f>
              <c:numCache>
                <c:formatCode>0.000</c:formatCode>
                <c:ptCount val="1000"/>
                <c:pt idx="0">
                  <c:v>1</c:v>
                </c:pt>
                <c:pt idx="1">
                  <c:v>3</c:v>
                </c:pt>
                <c:pt idx="2">
                  <c:v>5</c:v>
                </c:pt>
                <c:pt idx="3">
                  <c:v>7</c:v>
                </c:pt>
                <c:pt idx="4">
                  <c:v>9</c:v>
                </c:pt>
                <c:pt idx="5">
                  <c:v>11</c:v>
                </c:pt>
                <c:pt idx="6">
                  <c:v>13</c:v>
                </c:pt>
                <c:pt idx="7">
                  <c:v>15</c:v>
                </c:pt>
                <c:pt idx="8">
                  <c:v>17</c:v>
                </c:pt>
                <c:pt idx="9">
                  <c:v>19</c:v>
                </c:pt>
                <c:pt idx="10">
                  <c:v>21</c:v>
                </c:pt>
                <c:pt idx="11">
                  <c:v>23</c:v>
                </c:pt>
                <c:pt idx="12">
                  <c:v>25</c:v>
                </c:pt>
                <c:pt idx="13">
                  <c:v>27</c:v>
                </c:pt>
                <c:pt idx="14">
                  <c:v>29</c:v>
                </c:pt>
                <c:pt idx="15">
                  <c:v>31</c:v>
                </c:pt>
                <c:pt idx="16">
                  <c:v>33</c:v>
                </c:pt>
                <c:pt idx="17">
                  <c:v>35</c:v>
                </c:pt>
                <c:pt idx="18">
                  <c:v>37</c:v>
                </c:pt>
                <c:pt idx="19">
                  <c:v>39</c:v>
                </c:pt>
                <c:pt idx="20">
                  <c:v>41</c:v>
                </c:pt>
                <c:pt idx="21">
                  <c:v>43</c:v>
                </c:pt>
                <c:pt idx="22">
                  <c:v>45</c:v>
                </c:pt>
                <c:pt idx="23">
                  <c:v>47</c:v>
                </c:pt>
                <c:pt idx="24">
                  <c:v>49</c:v>
                </c:pt>
                <c:pt idx="25">
                  <c:v>51</c:v>
                </c:pt>
                <c:pt idx="26">
                  <c:v>53</c:v>
                </c:pt>
                <c:pt idx="27">
                  <c:v>55</c:v>
                </c:pt>
                <c:pt idx="28">
                  <c:v>57</c:v>
                </c:pt>
                <c:pt idx="29">
                  <c:v>59</c:v>
                </c:pt>
                <c:pt idx="30">
                  <c:v>61</c:v>
                </c:pt>
                <c:pt idx="31">
                  <c:v>63</c:v>
                </c:pt>
                <c:pt idx="32">
                  <c:v>65</c:v>
                </c:pt>
                <c:pt idx="33">
                  <c:v>67</c:v>
                </c:pt>
                <c:pt idx="34">
                  <c:v>69</c:v>
                </c:pt>
                <c:pt idx="35">
                  <c:v>71</c:v>
                </c:pt>
                <c:pt idx="36">
                  <c:v>73</c:v>
                </c:pt>
                <c:pt idx="37">
                  <c:v>75</c:v>
                </c:pt>
                <c:pt idx="38">
                  <c:v>77</c:v>
                </c:pt>
                <c:pt idx="39">
                  <c:v>79</c:v>
                </c:pt>
                <c:pt idx="40">
                  <c:v>81</c:v>
                </c:pt>
                <c:pt idx="41">
                  <c:v>83</c:v>
                </c:pt>
                <c:pt idx="42">
                  <c:v>85</c:v>
                </c:pt>
                <c:pt idx="43">
                  <c:v>87</c:v>
                </c:pt>
                <c:pt idx="44">
                  <c:v>89</c:v>
                </c:pt>
                <c:pt idx="45">
                  <c:v>91</c:v>
                </c:pt>
                <c:pt idx="46">
                  <c:v>93</c:v>
                </c:pt>
                <c:pt idx="47">
                  <c:v>95</c:v>
                </c:pt>
                <c:pt idx="48">
                  <c:v>97</c:v>
                </c:pt>
                <c:pt idx="49">
                  <c:v>99</c:v>
                </c:pt>
                <c:pt idx="50">
                  <c:v>101</c:v>
                </c:pt>
                <c:pt idx="51">
                  <c:v>103</c:v>
                </c:pt>
                <c:pt idx="52">
                  <c:v>105</c:v>
                </c:pt>
                <c:pt idx="53">
                  <c:v>107</c:v>
                </c:pt>
                <c:pt idx="54">
                  <c:v>109</c:v>
                </c:pt>
                <c:pt idx="55">
                  <c:v>111</c:v>
                </c:pt>
                <c:pt idx="56">
                  <c:v>113</c:v>
                </c:pt>
                <c:pt idx="57">
                  <c:v>115</c:v>
                </c:pt>
                <c:pt idx="58">
                  <c:v>117</c:v>
                </c:pt>
                <c:pt idx="59">
                  <c:v>119</c:v>
                </c:pt>
                <c:pt idx="60">
                  <c:v>121</c:v>
                </c:pt>
                <c:pt idx="61">
                  <c:v>123</c:v>
                </c:pt>
                <c:pt idx="62">
                  <c:v>125</c:v>
                </c:pt>
                <c:pt idx="63">
                  <c:v>127</c:v>
                </c:pt>
                <c:pt idx="64">
                  <c:v>129</c:v>
                </c:pt>
                <c:pt idx="65">
                  <c:v>131</c:v>
                </c:pt>
                <c:pt idx="66">
                  <c:v>133</c:v>
                </c:pt>
                <c:pt idx="67">
                  <c:v>135</c:v>
                </c:pt>
                <c:pt idx="68">
                  <c:v>137</c:v>
                </c:pt>
                <c:pt idx="69">
                  <c:v>139</c:v>
                </c:pt>
                <c:pt idx="70">
                  <c:v>141</c:v>
                </c:pt>
                <c:pt idx="71">
                  <c:v>143</c:v>
                </c:pt>
                <c:pt idx="72">
                  <c:v>145</c:v>
                </c:pt>
                <c:pt idx="73">
                  <c:v>147</c:v>
                </c:pt>
                <c:pt idx="74">
                  <c:v>149</c:v>
                </c:pt>
                <c:pt idx="75">
                  <c:v>151</c:v>
                </c:pt>
                <c:pt idx="76">
                  <c:v>153</c:v>
                </c:pt>
                <c:pt idx="77">
                  <c:v>155</c:v>
                </c:pt>
                <c:pt idx="78">
                  <c:v>157</c:v>
                </c:pt>
                <c:pt idx="79">
                  <c:v>159</c:v>
                </c:pt>
                <c:pt idx="80">
                  <c:v>161</c:v>
                </c:pt>
                <c:pt idx="81">
                  <c:v>163</c:v>
                </c:pt>
                <c:pt idx="82">
                  <c:v>165</c:v>
                </c:pt>
                <c:pt idx="83">
                  <c:v>167</c:v>
                </c:pt>
                <c:pt idx="84">
                  <c:v>169</c:v>
                </c:pt>
                <c:pt idx="85">
                  <c:v>171</c:v>
                </c:pt>
                <c:pt idx="86">
                  <c:v>173</c:v>
                </c:pt>
                <c:pt idx="87">
                  <c:v>175</c:v>
                </c:pt>
                <c:pt idx="88">
                  <c:v>177</c:v>
                </c:pt>
                <c:pt idx="89">
                  <c:v>179</c:v>
                </c:pt>
                <c:pt idx="90">
                  <c:v>181</c:v>
                </c:pt>
                <c:pt idx="91">
                  <c:v>183</c:v>
                </c:pt>
                <c:pt idx="92">
                  <c:v>185</c:v>
                </c:pt>
                <c:pt idx="93">
                  <c:v>187</c:v>
                </c:pt>
                <c:pt idx="94">
                  <c:v>189</c:v>
                </c:pt>
                <c:pt idx="95">
                  <c:v>191</c:v>
                </c:pt>
                <c:pt idx="96">
                  <c:v>193</c:v>
                </c:pt>
                <c:pt idx="97">
                  <c:v>195</c:v>
                </c:pt>
                <c:pt idx="98">
                  <c:v>197</c:v>
                </c:pt>
                <c:pt idx="99">
                  <c:v>199</c:v>
                </c:pt>
                <c:pt idx="100">
                  <c:v>201</c:v>
                </c:pt>
                <c:pt idx="101">
                  <c:v>203</c:v>
                </c:pt>
                <c:pt idx="102">
                  <c:v>205</c:v>
                </c:pt>
                <c:pt idx="103">
                  <c:v>207</c:v>
                </c:pt>
                <c:pt idx="104">
                  <c:v>209</c:v>
                </c:pt>
                <c:pt idx="105">
                  <c:v>211</c:v>
                </c:pt>
                <c:pt idx="106">
                  <c:v>213</c:v>
                </c:pt>
                <c:pt idx="107">
                  <c:v>215</c:v>
                </c:pt>
                <c:pt idx="108">
                  <c:v>217</c:v>
                </c:pt>
                <c:pt idx="109">
                  <c:v>219</c:v>
                </c:pt>
                <c:pt idx="110">
                  <c:v>221</c:v>
                </c:pt>
                <c:pt idx="111">
                  <c:v>223</c:v>
                </c:pt>
                <c:pt idx="112">
                  <c:v>225</c:v>
                </c:pt>
                <c:pt idx="113">
                  <c:v>227</c:v>
                </c:pt>
                <c:pt idx="114">
                  <c:v>229</c:v>
                </c:pt>
                <c:pt idx="115">
                  <c:v>231</c:v>
                </c:pt>
                <c:pt idx="116">
                  <c:v>233</c:v>
                </c:pt>
                <c:pt idx="117">
                  <c:v>235</c:v>
                </c:pt>
                <c:pt idx="118">
                  <c:v>237</c:v>
                </c:pt>
                <c:pt idx="119">
                  <c:v>239</c:v>
                </c:pt>
                <c:pt idx="120">
                  <c:v>241</c:v>
                </c:pt>
                <c:pt idx="121">
                  <c:v>243</c:v>
                </c:pt>
                <c:pt idx="122">
                  <c:v>245</c:v>
                </c:pt>
                <c:pt idx="123">
                  <c:v>247</c:v>
                </c:pt>
                <c:pt idx="124">
                  <c:v>249</c:v>
                </c:pt>
                <c:pt idx="125">
                  <c:v>251</c:v>
                </c:pt>
                <c:pt idx="126">
                  <c:v>253</c:v>
                </c:pt>
                <c:pt idx="127">
                  <c:v>255</c:v>
                </c:pt>
                <c:pt idx="128">
                  <c:v>257</c:v>
                </c:pt>
                <c:pt idx="129">
                  <c:v>259</c:v>
                </c:pt>
                <c:pt idx="130">
                  <c:v>261</c:v>
                </c:pt>
                <c:pt idx="131">
                  <c:v>263</c:v>
                </c:pt>
                <c:pt idx="132">
                  <c:v>265</c:v>
                </c:pt>
                <c:pt idx="133">
                  <c:v>267</c:v>
                </c:pt>
                <c:pt idx="134">
                  <c:v>269</c:v>
                </c:pt>
                <c:pt idx="135">
                  <c:v>271</c:v>
                </c:pt>
                <c:pt idx="136">
                  <c:v>273</c:v>
                </c:pt>
                <c:pt idx="137">
                  <c:v>275</c:v>
                </c:pt>
                <c:pt idx="138">
                  <c:v>277</c:v>
                </c:pt>
                <c:pt idx="139">
                  <c:v>279</c:v>
                </c:pt>
                <c:pt idx="140">
                  <c:v>281</c:v>
                </c:pt>
                <c:pt idx="141">
                  <c:v>283</c:v>
                </c:pt>
                <c:pt idx="142">
                  <c:v>285</c:v>
                </c:pt>
                <c:pt idx="143">
                  <c:v>287</c:v>
                </c:pt>
                <c:pt idx="144">
                  <c:v>289</c:v>
                </c:pt>
                <c:pt idx="145">
                  <c:v>291</c:v>
                </c:pt>
                <c:pt idx="146">
                  <c:v>293</c:v>
                </c:pt>
                <c:pt idx="147">
                  <c:v>295</c:v>
                </c:pt>
                <c:pt idx="148">
                  <c:v>297</c:v>
                </c:pt>
                <c:pt idx="149">
                  <c:v>299</c:v>
                </c:pt>
                <c:pt idx="150">
                  <c:v>301</c:v>
                </c:pt>
                <c:pt idx="151">
                  <c:v>303</c:v>
                </c:pt>
                <c:pt idx="152">
                  <c:v>305</c:v>
                </c:pt>
                <c:pt idx="153">
                  <c:v>307</c:v>
                </c:pt>
                <c:pt idx="154">
                  <c:v>309</c:v>
                </c:pt>
                <c:pt idx="155">
                  <c:v>311</c:v>
                </c:pt>
                <c:pt idx="156">
                  <c:v>313</c:v>
                </c:pt>
                <c:pt idx="157">
                  <c:v>315</c:v>
                </c:pt>
                <c:pt idx="158">
                  <c:v>317</c:v>
                </c:pt>
                <c:pt idx="159">
                  <c:v>319</c:v>
                </c:pt>
                <c:pt idx="160">
                  <c:v>321</c:v>
                </c:pt>
                <c:pt idx="161">
                  <c:v>323</c:v>
                </c:pt>
                <c:pt idx="162">
                  <c:v>325</c:v>
                </c:pt>
                <c:pt idx="163">
                  <c:v>327</c:v>
                </c:pt>
                <c:pt idx="164">
                  <c:v>329</c:v>
                </c:pt>
                <c:pt idx="165">
                  <c:v>331</c:v>
                </c:pt>
                <c:pt idx="166">
                  <c:v>333</c:v>
                </c:pt>
                <c:pt idx="167">
                  <c:v>335</c:v>
                </c:pt>
                <c:pt idx="168">
                  <c:v>337</c:v>
                </c:pt>
                <c:pt idx="169">
                  <c:v>339</c:v>
                </c:pt>
                <c:pt idx="170">
                  <c:v>341</c:v>
                </c:pt>
                <c:pt idx="171">
                  <c:v>343</c:v>
                </c:pt>
                <c:pt idx="172">
                  <c:v>345</c:v>
                </c:pt>
                <c:pt idx="173">
                  <c:v>347</c:v>
                </c:pt>
                <c:pt idx="174">
                  <c:v>349</c:v>
                </c:pt>
                <c:pt idx="175">
                  <c:v>351</c:v>
                </c:pt>
                <c:pt idx="176">
                  <c:v>353</c:v>
                </c:pt>
                <c:pt idx="177">
                  <c:v>355</c:v>
                </c:pt>
                <c:pt idx="178">
                  <c:v>357</c:v>
                </c:pt>
                <c:pt idx="179">
                  <c:v>359</c:v>
                </c:pt>
                <c:pt idx="180">
                  <c:v>361</c:v>
                </c:pt>
                <c:pt idx="181">
                  <c:v>363</c:v>
                </c:pt>
                <c:pt idx="182">
                  <c:v>365</c:v>
                </c:pt>
                <c:pt idx="183">
                  <c:v>367</c:v>
                </c:pt>
                <c:pt idx="184">
                  <c:v>369</c:v>
                </c:pt>
                <c:pt idx="185">
                  <c:v>371</c:v>
                </c:pt>
                <c:pt idx="186">
                  <c:v>373</c:v>
                </c:pt>
                <c:pt idx="187">
                  <c:v>375</c:v>
                </c:pt>
                <c:pt idx="188">
                  <c:v>377</c:v>
                </c:pt>
                <c:pt idx="189">
                  <c:v>379</c:v>
                </c:pt>
                <c:pt idx="190">
                  <c:v>381</c:v>
                </c:pt>
                <c:pt idx="191">
                  <c:v>383</c:v>
                </c:pt>
                <c:pt idx="192">
                  <c:v>385</c:v>
                </c:pt>
                <c:pt idx="193">
                  <c:v>387</c:v>
                </c:pt>
                <c:pt idx="194">
                  <c:v>389</c:v>
                </c:pt>
                <c:pt idx="195">
                  <c:v>391</c:v>
                </c:pt>
                <c:pt idx="196">
                  <c:v>393</c:v>
                </c:pt>
                <c:pt idx="197">
                  <c:v>395</c:v>
                </c:pt>
                <c:pt idx="198">
                  <c:v>397</c:v>
                </c:pt>
                <c:pt idx="199">
                  <c:v>399</c:v>
                </c:pt>
                <c:pt idx="200">
                  <c:v>401</c:v>
                </c:pt>
                <c:pt idx="201">
                  <c:v>403</c:v>
                </c:pt>
                <c:pt idx="202">
                  <c:v>405</c:v>
                </c:pt>
                <c:pt idx="203">
                  <c:v>407</c:v>
                </c:pt>
                <c:pt idx="204">
                  <c:v>409</c:v>
                </c:pt>
                <c:pt idx="205">
                  <c:v>411</c:v>
                </c:pt>
                <c:pt idx="206">
                  <c:v>413</c:v>
                </c:pt>
                <c:pt idx="207">
                  <c:v>415</c:v>
                </c:pt>
                <c:pt idx="208">
                  <c:v>417</c:v>
                </c:pt>
                <c:pt idx="209">
                  <c:v>419</c:v>
                </c:pt>
                <c:pt idx="210">
                  <c:v>421</c:v>
                </c:pt>
                <c:pt idx="211">
                  <c:v>423</c:v>
                </c:pt>
                <c:pt idx="212">
                  <c:v>425</c:v>
                </c:pt>
                <c:pt idx="213">
                  <c:v>427</c:v>
                </c:pt>
                <c:pt idx="214">
                  <c:v>429</c:v>
                </c:pt>
                <c:pt idx="215">
                  <c:v>431</c:v>
                </c:pt>
                <c:pt idx="216">
                  <c:v>433</c:v>
                </c:pt>
                <c:pt idx="217">
                  <c:v>435</c:v>
                </c:pt>
                <c:pt idx="218">
                  <c:v>437</c:v>
                </c:pt>
                <c:pt idx="219">
                  <c:v>439</c:v>
                </c:pt>
                <c:pt idx="220">
                  <c:v>441</c:v>
                </c:pt>
                <c:pt idx="221">
                  <c:v>443</c:v>
                </c:pt>
                <c:pt idx="222">
                  <c:v>445</c:v>
                </c:pt>
                <c:pt idx="223">
                  <c:v>447</c:v>
                </c:pt>
                <c:pt idx="224">
                  <c:v>449</c:v>
                </c:pt>
                <c:pt idx="225">
                  <c:v>451</c:v>
                </c:pt>
                <c:pt idx="226">
                  <c:v>453</c:v>
                </c:pt>
                <c:pt idx="227">
                  <c:v>455</c:v>
                </c:pt>
                <c:pt idx="228">
                  <c:v>457</c:v>
                </c:pt>
                <c:pt idx="229">
                  <c:v>459</c:v>
                </c:pt>
                <c:pt idx="230">
                  <c:v>461</c:v>
                </c:pt>
                <c:pt idx="231">
                  <c:v>463</c:v>
                </c:pt>
                <c:pt idx="232">
                  <c:v>465</c:v>
                </c:pt>
                <c:pt idx="233">
                  <c:v>467</c:v>
                </c:pt>
                <c:pt idx="234">
                  <c:v>469</c:v>
                </c:pt>
                <c:pt idx="235">
                  <c:v>471</c:v>
                </c:pt>
                <c:pt idx="236">
                  <c:v>473</c:v>
                </c:pt>
                <c:pt idx="237">
                  <c:v>475</c:v>
                </c:pt>
                <c:pt idx="238">
                  <c:v>477</c:v>
                </c:pt>
                <c:pt idx="239">
                  <c:v>479</c:v>
                </c:pt>
                <c:pt idx="240">
                  <c:v>481</c:v>
                </c:pt>
                <c:pt idx="241">
                  <c:v>483</c:v>
                </c:pt>
                <c:pt idx="242">
                  <c:v>485</c:v>
                </c:pt>
                <c:pt idx="243">
                  <c:v>487</c:v>
                </c:pt>
                <c:pt idx="244">
                  <c:v>489</c:v>
                </c:pt>
                <c:pt idx="245">
                  <c:v>491</c:v>
                </c:pt>
                <c:pt idx="246">
                  <c:v>493</c:v>
                </c:pt>
                <c:pt idx="247">
                  <c:v>495</c:v>
                </c:pt>
                <c:pt idx="248">
                  <c:v>497</c:v>
                </c:pt>
                <c:pt idx="249">
                  <c:v>499</c:v>
                </c:pt>
                <c:pt idx="250">
                  <c:v>501</c:v>
                </c:pt>
                <c:pt idx="251">
                  <c:v>503</c:v>
                </c:pt>
                <c:pt idx="252">
                  <c:v>505</c:v>
                </c:pt>
                <c:pt idx="253">
                  <c:v>507</c:v>
                </c:pt>
                <c:pt idx="254">
                  <c:v>509</c:v>
                </c:pt>
                <c:pt idx="255">
                  <c:v>511</c:v>
                </c:pt>
                <c:pt idx="256">
                  <c:v>513</c:v>
                </c:pt>
                <c:pt idx="257">
                  <c:v>515</c:v>
                </c:pt>
                <c:pt idx="258">
                  <c:v>517</c:v>
                </c:pt>
                <c:pt idx="259">
                  <c:v>519</c:v>
                </c:pt>
                <c:pt idx="260">
                  <c:v>521</c:v>
                </c:pt>
                <c:pt idx="261">
                  <c:v>523</c:v>
                </c:pt>
                <c:pt idx="262">
                  <c:v>525</c:v>
                </c:pt>
                <c:pt idx="263">
                  <c:v>527</c:v>
                </c:pt>
                <c:pt idx="264">
                  <c:v>529</c:v>
                </c:pt>
                <c:pt idx="265">
                  <c:v>531</c:v>
                </c:pt>
                <c:pt idx="266">
                  <c:v>533</c:v>
                </c:pt>
                <c:pt idx="267">
                  <c:v>535</c:v>
                </c:pt>
                <c:pt idx="268">
                  <c:v>537</c:v>
                </c:pt>
                <c:pt idx="269">
                  <c:v>539</c:v>
                </c:pt>
                <c:pt idx="270">
                  <c:v>541</c:v>
                </c:pt>
                <c:pt idx="271">
                  <c:v>543</c:v>
                </c:pt>
                <c:pt idx="272">
                  <c:v>545</c:v>
                </c:pt>
                <c:pt idx="273">
                  <c:v>547</c:v>
                </c:pt>
                <c:pt idx="274">
                  <c:v>549</c:v>
                </c:pt>
                <c:pt idx="275">
                  <c:v>551</c:v>
                </c:pt>
                <c:pt idx="276">
                  <c:v>553</c:v>
                </c:pt>
                <c:pt idx="277">
                  <c:v>555</c:v>
                </c:pt>
                <c:pt idx="278">
                  <c:v>557</c:v>
                </c:pt>
                <c:pt idx="279">
                  <c:v>559</c:v>
                </c:pt>
                <c:pt idx="280">
                  <c:v>561</c:v>
                </c:pt>
                <c:pt idx="281">
                  <c:v>563</c:v>
                </c:pt>
                <c:pt idx="282">
                  <c:v>565</c:v>
                </c:pt>
                <c:pt idx="283">
                  <c:v>567</c:v>
                </c:pt>
                <c:pt idx="284">
                  <c:v>569</c:v>
                </c:pt>
                <c:pt idx="285">
                  <c:v>571</c:v>
                </c:pt>
                <c:pt idx="286">
                  <c:v>573</c:v>
                </c:pt>
                <c:pt idx="287">
                  <c:v>575</c:v>
                </c:pt>
                <c:pt idx="288">
                  <c:v>577</c:v>
                </c:pt>
                <c:pt idx="289">
                  <c:v>579</c:v>
                </c:pt>
                <c:pt idx="290">
                  <c:v>581</c:v>
                </c:pt>
                <c:pt idx="291">
                  <c:v>583</c:v>
                </c:pt>
                <c:pt idx="292">
                  <c:v>585</c:v>
                </c:pt>
                <c:pt idx="293">
                  <c:v>587</c:v>
                </c:pt>
                <c:pt idx="294">
                  <c:v>589</c:v>
                </c:pt>
                <c:pt idx="295">
                  <c:v>591</c:v>
                </c:pt>
                <c:pt idx="296">
                  <c:v>593</c:v>
                </c:pt>
                <c:pt idx="297">
                  <c:v>595</c:v>
                </c:pt>
                <c:pt idx="298">
                  <c:v>597</c:v>
                </c:pt>
                <c:pt idx="299">
                  <c:v>599</c:v>
                </c:pt>
                <c:pt idx="300">
                  <c:v>601</c:v>
                </c:pt>
                <c:pt idx="301">
                  <c:v>603</c:v>
                </c:pt>
                <c:pt idx="302">
                  <c:v>605</c:v>
                </c:pt>
                <c:pt idx="303">
                  <c:v>607</c:v>
                </c:pt>
                <c:pt idx="304">
                  <c:v>609</c:v>
                </c:pt>
                <c:pt idx="305">
                  <c:v>611</c:v>
                </c:pt>
                <c:pt idx="306">
                  <c:v>613</c:v>
                </c:pt>
                <c:pt idx="307">
                  <c:v>615</c:v>
                </c:pt>
                <c:pt idx="308">
                  <c:v>617</c:v>
                </c:pt>
                <c:pt idx="309">
                  <c:v>619</c:v>
                </c:pt>
                <c:pt idx="310">
                  <c:v>621</c:v>
                </c:pt>
                <c:pt idx="311">
                  <c:v>623</c:v>
                </c:pt>
                <c:pt idx="312">
                  <c:v>625</c:v>
                </c:pt>
                <c:pt idx="313">
                  <c:v>627</c:v>
                </c:pt>
                <c:pt idx="314">
                  <c:v>629</c:v>
                </c:pt>
                <c:pt idx="315">
                  <c:v>631</c:v>
                </c:pt>
                <c:pt idx="316">
                  <c:v>633</c:v>
                </c:pt>
                <c:pt idx="317">
                  <c:v>635</c:v>
                </c:pt>
                <c:pt idx="318">
                  <c:v>637</c:v>
                </c:pt>
                <c:pt idx="319">
                  <c:v>639</c:v>
                </c:pt>
                <c:pt idx="320">
                  <c:v>641</c:v>
                </c:pt>
                <c:pt idx="321">
                  <c:v>643</c:v>
                </c:pt>
                <c:pt idx="322">
                  <c:v>645</c:v>
                </c:pt>
                <c:pt idx="323">
                  <c:v>647</c:v>
                </c:pt>
                <c:pt idx="324">
                  <c:v>649</c:v>
                </c:pt>
                <c:pt idx="325">
                  <c:v>651</c:v>
                </c:pt>
                <c:pt idx="326">
                  <c:v>653</c:v>
                </c:pt>
                <c:pt idx="327">
                  <c:v>655</c:v>
                </c:pt>
                <c:pt idx="328">
                  <c:v>657</c:v>
                </c:pt>
                <c:pt idx="329">
                  <c:v>659</c:v>
                </c:pt>
                <c:pt idx="330">
                  <c:v>661</c:v>
                </c:pt>
                <c:pt idx="331">
                  <c:v>663</c:v>
                </c:pt>
                <c:pt idx="332">
                  <c:v>665</c:v>
                </c:pt>
                <c:pt idx="333">
                  <c:v>667</c:v>
                </c:pt>
                <c:pt idx="334">
                  <c:v>669</c:v>
                </c:pt>
                <c:pt idx="335">
                  <c:v>671</c:v>
                </c:pt>
                <c:pt idx="336">
                  <c:v>673</c:v>
                </c:pt>
                <c:pt idx="337">
                  <c:v>675</c:v>
                </c:pt>
                <c:pt idx="338">
                  <c:v>677</c:v>
                </c:pt>
                <c:pt idx="339">
                  <c:v>679</c:v>
                </c:pt>
                <c:pt idx="340">
                  <c:v>681</c:v>
                </c:pt>
                <c:pt idx="341">
                  <c:v>683</c:v>
                </c:pt>
                <c:pt idx="342">
                  <c:v>685</c:v>
                </c:pt>
                <c:pt idx="343">
                  <c:v>687</c:v>
                </c:pt>
                <c:pt idx="344">
                  <c:v>689</c:v>
                </c:pt>
                <c:pt idx="345">
                  <c:v>691</c:v>
                </c:pt>
                <c:pt idx="346">
                  <c:v>693</c:v>
                </c:pt>
                <c:pt idx="347">
                  <c:v>695</c:v>
                </c:pt>
                <c:pt idx="348">
                  <c:v>697</c:v>
                </c:pt>
                <c:pt idx="349">
                  <c:v>699</c:v>
                </c:pt>
                <c:pt idx="350">
                  <c:v>701</c:v>
                </c:pt>
                <c:pt idx="351">
                  <c:v>703</c:v>
                </c:pt>
                <c:pt idx="352">
                  <c:v>705</c:v>
                </c:pt>
                <c:pt idx="353">
                  <c:v>707</c:v>
                </c:pt>
                <c:pt idx="354">
                  <c:v>709</c:v>
                </c:pt>
                <c:pt idx="355">
                  <c:v>711</c:v>
                </c:pt>
                <c:pt idx="356">
                  <c:v>713</c:v>
                </c:pt>
                <c:pt idx="357">
                  <c:v>715</c:v>
                </c:pt>
                <c:pt idx="358">
                  <c:v>717</c:v>
                </c:pt>
                <c:pt idx="359">
                  <c:v>719</c:v>
                </c:pt>
                <c:pt idx="360">
                  <c:v>721</c:v>
                </c:pt>
                <c:pt idx="361">
                  <c:v>723</c:v>
                </c:pt>
                <c:pt idx="362">
                  <c:v>725</c:v>
                </c:pt>
                <c:pt idx="363">
                  <c:v>727</c:v>
                </c:pt>
                <c:pt idx="364">
                  <c:v>729</c:v>
                </c:pt>
                <c:pt idx="365">
                  <c:v>731</c:v>
                </c:pt>
                <c:pt idx="366">
                  <c:v>733</c:v>
                </c:pt>
                <c:pt idx="367">
                  <c:v>735</c:v>
                </c:pt>
                <c:pt idx="368">
                  <c:v>737</c:v>
                </c:pt>
                <c:pt idx="369">
                  <c:v>739</c:v>
                </c:pt>
                <c:pt idx="370">
                  <c:v>741</c:v>
                </c:pt>
                <c:pt idx="371">
                  <c:v>743</c:v>
                </c:pt>
                <c:pt idx="372">
                  <c:v>745</c:v>
                </c:pt>
                <c:pt idx="373">
                  <c:v>747</c:v>
                </c:pt>
                <c:pt idx="374">
                  <c:v>749</c:v>
                </c:pt>
                <c:pt idx="375">
                  <c:v>751</c:v>
                </c:pt>
                <c:pt idx="376">
                  <c:v>753</c:v>
                </c:pt>
                <c:pt idx="377">
                  <c:v>755</c:v>
                </c:pt>
                <c:pt idx="378">
                  <c:v>757</c:v>
                </c:pt>
                <c:pt idx="379">
                  <c:v>759</c:v>
                </c:pt>
                <c:pt idx="380">
                  <c:v>761</c:v>
                </c:pt>
                <c:pt idx="381">
                  <c:v>763</c:v>
                </c:pt>
                <c:pt idx="382">
                  <c:v>765</c:v>
                </c:pt>
                <c:pt idx="383">
                  <c:v>767</c:v>
                </c:pt>
                <c:pt idx="384">
                  <c:v>769</c:v>
                </c:pt>
                <c:pt idx="385">
                  <c:v>771</c:v>
                </c:pt>
                <c:pt idx="386">
                  <c:v>773</c:v>
                </c:pt>
                <c:pt idx="387">
                  <c:v>775</c:v>
                </c:pt>
                <c:pt idx="388">
                  <c:v>777</c:v>
                </c:pt>
                <c:pt idx="389">
                  <c:v>779</c:v>
                </c:pt>
                <c:pt idx="390">
                  <c:v>781</c:v>
                </c:pt>
                <c:pt idx="391">
                  <c:v>783</c:v>
                </c:pt>
                <c:pt idx="392">
                  <c:v>785</c:v>
                </c:pt>
                <c:pt idx="393">
                  <c:v>787</c:v>
                </c:pt>
                <c:pt idx="394">
                  <c:v>789</c:v>
                </c:pt>
                <c:pt idx="395">
                  <c:v>791</c:v>
                </c:pt>
                <c:pt idx="396">
                  <c:v>793</c:v>
                </c:pt>
                <c:pt idx="397">
                  <c:v>795</c:v>
                </c:pt>
                <c:pt idx="398">
                  <c:v>797</c:v>
                </c:pt>
                <c:pt idx="399">
                  <c:v>799</c:v>
                </c:pt>
                <c:pt idx="400">
                  <c:v>801</c:v>
                </c:pt>
                <c:pt idx="401">
                  <c:v>803</c:v>
                </c:pt>
                <c:pt idx="402">
                  <c:v>805</c:v>
                </c:pt>
                <c:pt idx="403">
                  <c:v>807</c:v>
                </c:pt>
                <c:pt idx="404">
                  <c:v>809</c:v>
                </c:pt>
                <c:pt idx="405">
                  <c:v>811</c:v>
                </c:pt>
                <c:pt idx="406">
                  <c:v>813</c:v>
                </c:pt>
                <c:pt idx="407">
                  <c:v>815</c:v>
                </c:pt>
                <c:pt idx="408">
                  <c:v>817</c:v>
                </c:pt>
                <c:pt idx="409">
                  <c:v>819</c:v>
                </c:pt>
                <c:pt idx="410">
                  <c:v>821</c:v>
                </c:pt>
                <c:pt idx="411">
                  <c:v>823</c:v>
                </c:pt>
                <c:pt idx="412">
                  <c:v>825</c:v>
                </c:pt>
                <c:pt idx="413">
                  <c:v>827</c:v>
                </c:pt>
                <c:pt idx="414">
                  <c:v>829</c:v>
                </c:pt>
                <c:pt idx="415">
                  <c:v>831</c:v>
                </c:pt>
                <c:pt idx="416">
                  <c:v>833</c:v>
                </c:pt>
                <c:pt idx="417">
                  <c:v>835</c:v>
                </c:pt>
                <c:pt idx="418">
                  <c:v>837</c:v>
                </c:pt>
                <c:pt idx="419">
                  <c:v>839</c:v>
                </c:pt>
                <c:pt idx="420">
                  <c:v>841</c:v>
                </c:pt>
                <c:pt idx="421">
                  <c:v>843</c:v>
                </c:pt>
                <c:pt idx="422">
                  <c:v>845</c:v>
                </c:pt>
                <c:pt idx="423">
                  <c:v>847</c:v>
                </c:pt>
                <c:pt idx="424">
                  <c:v>849</c:v>
                </c:pt>
                <c:pt idx="425">
                  <c:v>851</c:v>
                </c:pt>
                <c:pt idx="426">
                  <c:v>853</c:v>
                </c:pt>
                <c:pt idx="427">
                  <c:v>855</c:v>
                </c:pt>
                <c:pt idx="428">
                  <c:v>857</c:v>
                </c:pt>
                <c:pt idx="429">
                  <c:v>859</c:v>
                </c:pt>
                <c:pt idx="430">
                  <c:v>861</c:v>
                </c:pt>
                <c:pt idx="431">
                  <c:v>863</c:v>
                </c:pt>
                <c:pt idx="432">
                  <c:v>865</c:v>
                </c:pt>
                <c:pt idx="433">
                  <c:v>867</c:v>
                </c:pt>
                <c:pt idx="434">
                  <c:v>869</c:v>
                </c:pt>
                <c:pt idx="435">
                  <c:v>871</c:v>
                </c:pt>
                <c:pt idx="436">
                  <c:v>873</c:v>
                </c:pt>
                <c:pt idx="437">
                  <c:v>875</c:v>
                </c:pt>
                <c:pt idx="438">
                  <c:v>877</c:v>
                </c:pt>
                <c:pt idx="439">
                  <c:v>879</c:v>
                </c:pt>
                <c:pt idx="440">
                  <c:v>881</c:v>
                </c:pt>
                <c:pt idx="441">
                  <c:v>883</c:v>
                </c:pt>
                <c:pt idx="442">
                  <c:v>885</c:v>
                </c:pt>
                <c:pt idx="443">
                  <c:v>887</c:v>
                </c:pt>
                <c:pt idx="444">
                  <c:v>889</c:v>
                </c:pt>
                <c:pt idx="445">
                  <c:v>891</c:v>
                </c:pt>
                <c:pt idx="446">
                  <c:v>893</c:v>
                </c:pt>
                <c:pt idx="447">
                  <c:v>895</c:v>
                </c:pt>
                <c:pt idx="448">
                  <c:v>897</c:v>
                </c:pt>
                <c:pt idx="449">
                  <c:v>899</c:v>
                </c:pt>
                <c:pt idx="450">
                  <c:v>901</c:v>
                </c:pt>
                <c:pt idx="451">
                  <c:v>903</c:v>
                </c:pt>
                <c:pt idx="452">
                  <c:v>905</c:v>
                </c:pt>
                <c:pt idx="453">
                  <c:v>907</c:v>
                </c:pt>
                <c:pt idx="454">
                  <c:v>909</c:v>
                </c:pt>
                <c:pt idx="455">
                  <c:v>911</c:v>
                </c:pt>
                <c:pt idx="456">
                  <c:v>913</c:v>
                </c:pt>
                <c:pt idx="457">
                  <c:v>915</c:v>
                </c:pt>
                <c:pt idx="458">
                  <c:v>917</c:v>
                </c:pt>
                <c:pt idx="459">
                  <c:v>919</c:v>
                </c:pt>
                <c:pt idx="460">
                  <c:v>921</c:v>
                </c:pt>
                <c:pt idx="461">
                  <c:v>923</c:v>
                </c:pt>
                <c:pt idx="462">
                  <c:v>925</c:v>
                </c:pt>
                <c:pt idx="463">
                  <c:v>927</c:v>
                </c:pt>
                <c:pt idx="464">
                  <c:v>929</c:v>
                </c:pt>
                <c:pt idx="465">
                  <c:v>931</c:v>
                </c:pt>
                <c:pt idx="466">
                  <c:v>933</c:v>
                </c:pt>
                <c:pt idx="467">
                  <c:v>935</c:v>
                </c:pt>
                <c:pt idx="468">
                  <c:v>937</c:v>
                </c:pt>
                <c:pt idx="469">
                  <c:v>939</c:v>
                </c:pt>
                <c:pt idx="470">
                  <c:v>941</c:v>
                </c:pt>
                <c:pt idx="471">
                  <c:v>943</c:v>
                </c:pt>
                <c:pt idx="472">
                  <c:v>945</c:v>
                </c:pt>
                <c:pt idx="473">
                  <c:v>947</c:v>
                </c:pt>
                <c:pt idx="474">
                  <c:v>949</c:v>
                </c:pt>
                <c:pt idx="475">
                  <c:v>951</c:v>
                </c:pt>
                <c:pt idx="476">
                  <c:v>953</c:v>
                </c:pt>
                <c:pt idx="477">
                  <c:v>955</c:v>
                </c:pt>
                <c:pt idx="478">
                  <c:v>957</c:v>
                </c:pt>
                <c:pt idx="479">
                  <c:v>959</c:v>
                </c:pt>
                <c:pt idx="480">
                  <c:v>961</c:v>
                </c:pt>
                <c:pt idx="481">
                  <c:v>963</c:v>
                </c:pt>
                <c:pt idx="482">
                  <c:v>965</c:v>
                </c:pt>
                <c:pt idx="483">
                  <c:v>967</c:v>
                </c:pt>
                <c:pt idx="484">
                  <c:v>969</c:v>
                </c:pt>
                <c:pt idx="485">
                  <c:v>971</c:v>
                </c:pt>
                <c:pt idx="486">
                  <c:v>973</c:v>
                </c:pt>
                <c:pt idx="487">
                  <c:v>975</c:v>
                </c:pt>
                <c:pt idx="488">
                  <c:v>977</c:v>
                </c:pt>
                <c:pt idx="489">
                  <c:v>979</c:v>
                </c:pt>
                <c:pt idx="490">
                  <c:v>981</c:v>
                </c:pt>
                <c:pt idx="491">
                  <c:v>983</c:v>
                </c:pt>
                <c:pt idx="492">
                  <c:v>985</c:v>
                </c:pt>
                <c:pt idx="493">
                  <c:v>987</c:v>
                </c:pt>
                <c:pt idx="494">
                  <c:v>989</c:v>
                </c:pt>
                <c:pt idx="495">
                  <c:v>991</c:v>
                </c:pt>
                <c:pt idx="496">
                  <c:v>993</c:v>
                </c:pt>
                <c:pt idx="497">
                  <c:v>995</c:v>
                </c:pt>
                <c:pt idx="498">
                  <c:v>997</c:v>
                </c:pt>
                <c:pt idx="499">
                  <c:v>999</c:v>
                </c:pt>
                <c:pt idx="500">
                  <c:v>1001</c:v>
                </c:pt>
                <c:pt idx="501">
                  <c:v>1003</c:v>
                </c:pt>
                <c:pt idx="502">
                  <c:v>1005</c:v>
                </c:pt>
                <c:pt idx="503">
                  <c:v>1007</c:v>
                </c:pt>
                <c:pt idx="504">
                  <c:v>1009</c:v>
                </c:pt>
                <c:pt idx="505">
                  <c:v>1011</c:v>
                </c:pt>
                <c:pt idx="506">
                  <c:v>1013</c:v>
                </c:pt>
                <c:pt idx="507">
                  <c:v>1015</c:v>
                </c:pt>
                <c:pt idx="508">
                  <c:v>1017</c:v>
                </c:pt>
                <c:pt idx="509">
                  <c:v>1019</c:v>
                </c:pt>
                <c:pt idx="510">
                  <c:v>1021</c:v>
                </c:pt>
                <c:pt idx="511">
                  <c:v>1023</c:v>
                </c:pt>
                <c:pt idx="512">
                  <c:v>1025</c:v>
                </c:pt>
                <c:pt idx="513">
                  <c:v>1027</c:v>
                </c:pt>
                <c:pt idx="514">
                  <c:v>1029</c:v>
                </c:pt>
                <c:pt idx="515">
                  <c:v>1031</c:v>
                </c:pt>
                <c:pt idx="516">
                  <c:v>1033</c:v>
                </c:pt>
                <c:pt idx="517">
                  <c:v>1035</c:v>
                </c:pt>
                <c:pt idx="518">
                  <c:v>1037</c:v>
                </c:pt>
                <c:pt idx="519">
                  <c:v>1039</c:v>
                </c:pt>
                <c:pt idx="520">
                  <c:v>1041</c:v>
                </c:pt>
                <c:pt idx="521">
                  <c:v>1043</c:v>
                </c:pt>
                <c:pt idx="522">
                  <c:v>1045</c:v>
                </c:pt>
                <c:pt idx="523">
                  <c:v>1047</c:v>
                </c:pt>
                <c:pt idx="524">
                  <c:v>1049</c:v>
                </c:pt>
                <c:pt idx="525">
                  <c:v>1051</c:v>
                </c:pt>
                <c:pt idx="526">
                  <c:v>1053</c:v>
                </c:pt>
                <c:pt idx="527">
                  <c:v>1055</c:v>
                </c:pt>
                <c:pt idx="528">
                  <c:v>1057</c:v>
                </c:pt>
                <c:pt idx="529">
                  <c:v>1059</c:v>
                </c:pt>
                <c:pt idx="530">
                  <c:v>1061</c:v>
                </c:pt>
                <c:pt idx="531">
                  <c:v>1063</c:v>
                </c:pt>
                <c:pt idx="532">
                  <c:v>1065</c:v>
                </c:pt>
                <c:pt idx="533">
                  <c:v>1067</c:v>
                </c:pt>
                <c:pt idx="534">
                  <c:v>1069</c:v>
                </c:pt>
                <c:pt idx="535">
                  <c:v>1071</c:v>
                </c:pt>
                <c:pt idx="536">
                  <c:v>1073</c:v>
                </c:pt>
                <c:pt idx="537">
                  <c:v>1075</c:v>
                </c:pt>
                <c:pt idx="538">
                  <c:v>1077</c:v>
                </c:pt>
                <c:pt idx="539">
                  <c:v>1079</c:v>
                </c:pt>
                <c:pt idx="540">
                  <c:v>1081</c:v>
                </c:pt>
                <c:pt idx="541">
                  <c:v>1083</c:v>
                </c:pt>
                <c:pt idx="542">
                  <c:v>1085</c:v>
                </c:pt>
                <c:pt idx="543">
                  <c:v>1087</c:v>
                </c:pt>
                <c:pt idx="544">
                  <c:v>1089</c:v>
                </c:pt>
                <c:pt idx="545">
                  <c:v>1091</c:v>
                </c:pt>
                <c:pt idx="546">
                  <c:v>1093</c:v>
                </c:pt>
                <c:pt idx="547">
                  <c:v>1095</c:v>
                </c:pt>
                <c:pt idx="548">
                  <c:v>1097</c:v>
                </c:pt>
                <c:pt idx="549">
                  <c:v>1099</c:v>
                </c:pt>
                <c:pt idx="550">
                  <c:v>1101</c:v>
                </c:pt>
                <c:pt idx="551">
                  <c:v>1103</c:v>
                </c:pt>
                <c:pt idx="552">
                  <c:v>1105</c:v>
                </c:pt>
                <c:pt idx="553">
                  <c:v>1107</c:v>
                </c:pt>
                <c:pt idx="554">
                  <c:v>1109</c:v>
                </c:pt>
                <c:pt idx="555">
                  <c:v>1111</c:v>
                </c:pt>
                <c:pt idx="556">
                  <c:v>1113</c:v>
                </c:pt>
                <c:pt idx="557">
                  <c:v>1115</c:v>
                </c:pt>
                <c:pt idx="558">
                  <c:v>1117</c:v>
                </c:pt>
                <c:pt idx="559">
                  <c:v>1119</c:v>
                </c:pt>
                <c:pt idx="560">
                  <c:v>1121</c:v>
                </c:pt>
                <c:pt idx="561">
                  <c:v>1123</c:v>
                </c:pt>
                <c:pt idx="562">
                  <c:v>1125</c:v>
                </c:pt>
                <c:pt idx="563">
                  <c:v>1127</c:v>
                </c:pt>
                <c:pt idx="564">
                  <c:v>1129</c:v>
                </c:pt>
                <c:pt idx="565">
                  <c:v>1131</c:v>
                </c:pt>
                <c:pt idx="566">
                  <c:v>1133</c:v>
                </c:pt>
                <c:pt idx="567">
                  <c:v>1135</c:v>
                </c:pt>
                <c:pt idx="568">
                  <c:v>1137</c:v>
                </c:pt>
                <c:pt idx="569">
                  <c:v>1139</c:v>
                </c:pt>
                <c:pt idx="570">
                  <c:v>1141</c:v>
                </c:pt>
                <c:pt idx="571">
                  <c:v>1143</c:v>
                </c:pt>
                <c:pt idx="572">
                  <c:v>1145</c:v>
                </c:pt>
                <c:pt idx="573">
                  <c:v>1147</c:v>
                </c:pt>
                <c:pt idx="574">
                  <c:v>1149</c:v>
                </c:pt>
                <c:pt idx="575">
                  <c:v>1151</c:v>
                </c:pt>
                <c:pt idx="576">
                  <c:v>1153</c:v>
                </c:pt>
                <c:pt idx="577">
                  <c:v>1155</c:v>
                </c:pt>
                <c:pt idx="578">
                  <c:v>1157</c:v>
                </c:pt>
                <c:pt idx="579">
                  <c:v>1159</c:v>
                </c:pt>
                <c:pt idx="580">
                  <c:v>1161</c:v>
                </c:pt>
                <c:pt idx="581">
                  <c:v>1163</c:v>
                </c:pt>
                <c:pt idx="582">
                  <c:v>1165</c:v>
                </c:pt>
                <c:pt idx="583">
                  <c:v>1167</c:v>
                </c:pt>
                <c:pt idx="584">
                  <c:v>1169</c:v>
                </c:pt>
                <c:pt idx="585">
                  <c:v>1171</c:v>
                </c:pt>
                <c:pt idx="586">
                  <c:v>1173</c:v>
                </c:pt>
                <c:pt idx="587">
                  <c:v>1175</c:v>
                </c:pt>
                <c:pt idx="588">
                  <c:v>1177</c:v>
                </c:pt>
                <c:pt idx="589">
                  <c:v>1179</c:v>
                </c:pt>
                <c:pt idx="590">
                  <c:v>1181</c:v>
                </c:pt>
                <c:pt idx="591">
                  <c:v>1183</c:v>
                </c:pt>
                <c:pt idx="592">
                  <c:v>1185</c:v>
                </c:pt>
                <c:pt idx="593">
                  <c:v>1187</c:v>
                </c:pt>
                <c:pt idx="594">
                  <c:v>1189</c:v>
                </c:pt>
                <c:pt idx="595">
                  <c:v>1191</c:v>
                </c:pt>
                <c:pt idx="596">
                  <c:v>1193</c:v>
                </c:pt>
                <c:pt idx="597">
                  <c:v>1195</c:v>
                </c:pt>
                <c:pt idx="598">
                  <c:v>1197</c:v>
                </c:pt>
                <c:pt idx="599">
                  <c:v>1199</c:v>
                </c:pt>
                <c:pt idx="600">
                  <c:v>1201</c:v>
                </c:pt>
                <c:pt idx="601">
                  <c:v>1203</c:v>
                </c:pt>
                <c:pt idx="602">
                  <c:v>1205</c:v>
                </c:pt>
                <c:pt idx="603">
                  <c:v>1207</c:v>
                </c:pt>
                <c:pt idx="604">
                  <c:v>1209</c:v>
                </c:pt>
                <c:pt idx="605">
                  <c:v>1211</c:v>
                </c:pt>
                <c:pt idx="606">
                  <c:v>1213</c:v>
                </c:pt>
                <c:pt idx="607">
                  <c:v>1215</c:v>
                </c:pt>
                <c:pt idx="608">
                  <c:v>1217</c:v>
                </c:pt>
                <c:pt idx="609">
                  <c:v>1219</c:v>
                </c:pt>
                <c:pt idx="610">
                  <c:v>1221</c:v>
                </c:pt>
                <c:pt idx="611">
                  <c:v>1223</c:v>
                </c:pt>
                <c:pt idx="612">
                  <c:v>1225</c:v>
                </c:pt>
                <c:pt idx="613">
                  <c:v>1227</c:v>
                </c:pt>
                <c:pt idx="614">
                  <c:v>1229</c:v>
                </c:pt>
                <c:pt idx="615">
                  <c:v>1231</c:v>
                </c:pt>
                <c:pt idx="616">
                  <c:v>1233</c:v>
                </c:pt>
                <c:pt idx="617">
                  <c:v>1235</c:v>
                </c:pt>
                <c:pt idx="618">
                  <c:v>1237</c:v>
                </c:pt>
                <c:pt idx="619">
                  <c:v>1239</c:v>
                </c:pt>
                <c:pt idx="620">
                  <c:v>1241</c:v>
                </c:pt>
                <c:pt idx="621">
                  <c:v>1243</c:v>
                </c:pt>
                <c:pt idx="622">
                  <c:v>1245</c:v>
                </c:pt>
                <c:pt idx="623">
                  <c:v>1247</c:v>
                </c:pt>
                <c:pt idx="624">
                  <c:v>1249</c:v>
                </c:pt>
                <c:pt idx="625">
                  <c:v>1251</c:v>
                </c:pt>
                <c:pt idx="626">
                  <c:v>1253</c:v>
                </c:pt>
                <c:pt idx="627">
                  <c:v>1255</c:v>
                </c:pt>
                <c:pt idx="628">
                  <c:v>1257</c:v>
                </c:pt>
                <c:pt idx="629">
                  <c:v>1259</c:v>
                </c:pt>
                <c:pt idx="630">
                  <c:v>1261</c:v>
                </c:pt>
                <c:pt idx="631">
                  <c:v>1263</c:v>
                </c:pt>
                <c:pt idx="632">
                  <c:v>1265</c:v>
                </c:pt>
                <c:pt idx="633">
                  <c:v>1267</c:v>
                </c:pt>
                <c:pt idx="634">
                  <c:v>1269</c:v>
                </c:pt>
                <c:pt idx="635">
                  <c:v>1271</c:v>
                </c:pt>
                <c:pt idx="636">
                  <c:v>1273</c:v>
                </c:pt>
                <c:pt idx="637">
                  <c:v>1275</c:v>
                </c:pt>
                <c:pt idx="638">
                  <c:v>1277</c:v>
                </c:pt>
                <c:pt idx="639">
                  <c:v>1279</c:v>
                </c:pt>
                <c:pt idx="640">
                  <c:v>1281</c:v>
                </c:pt>
                <c:pt idx="641">
                  <c:v>1283</c:v>
                </c:pt>
                <c:pt idx="642">
                  <c:v>1285</c:v>
                </c:pt>
                <c:pt idx="643">
                  <c:v>1287</c:v>
                </c:pt>
                <c:pt idx="644">
                  <c:v>1289</c:v>
                </c:pt>
                <c:pt idx="645">
                  <c:v>1291</c:v>
                </c:pt>
                <c:pt idx="646">
                  <c:v>1293</c:v>
                </c:pt>
                <c:pt idx="647">
                  <c:v>1295</c:v>
                </c:pt>
                <c:pt idx="648">
                  <c:v>1297</c:v>
                </c:pt>
                <c:pt idx="649">
                  <c:v>1299</c:v>
                </c:pt>
                <c:pt idx="650">
                  <c:v>1301</c:v>
                </c:pt>
                <c:pt idx="651">
                  <c:v>1303</c:v>
                </c:pt>
                <c:pt idx="652">
                  <c:v>1305</c:v>
                </c:pt>
                <c:pt idx="653">
                  <c:v>1307</c:v>
                </c:pt>
                <c:pt idx="654">
                  <c:v>1309</c:v>
                </c:pt>
                <c:pt idx="655">
                  <c:v>1311</c:v>
                </c:pt>
                <c:pt idx="656">
                  <c:v>1313</c:v>
                </c:pt>
                <c:pt idx="657">
                  <c:v>1315</c:v>
                </c:pt>
                <c:pt idx="658">
                  <c:v>1317</c:v>
                </c:pt>
                <c:pt idx="659">
                  <c:v>1319</c:v>
                </c:pt>
                <c:pt idx="660">
                  <c:v>1321</c:v>
                </c:pt>
                <c:pt idx="661">
                  <c:v>1323</c:v>
                </c:pt>
                <c:pt idx="662">
                  <c:v>1325</c:v>
                </c:pt>
                <c:pt idx="663">
                  <c:v>1327</c:v>
                </c:pt>
                <c:pt idx="664">
                  <c:v>1329</c:v>
                </c:pt>
                <c:pt idx="665">
                  <c:v>1331</c:v>
                </c:pt>
                <c:pt idx="666">
                  <c:v>1333</c:v>
                </c:pt>
                <c:pt idx="667">
                  <c:v>1335</c:v>
                </c:pt>
                <c:pt idx="668">
                  <c:v>1337</c:v>
                </c:pt>
                <c:pt idx="669">
                  <c:v>1339</c:v>
                </c:pt>
                <c:pt idx="670">
                  <c:v>1341</c:v>
                </c:pt>
                <c:pt idx="671">
                  <c:v>1343</c:v>
                </c:pt>
                <c:pt idx="672">
                  <c:v>1345</c:v>
                </c:pt>
                <c:pt idx="673">
                  <c:v>1347</c:v>
                </c:pt>
                <c:pt idx="674">
                  <c:v>1349</c:v>
                </c:pt>
                <c:pt idx="675">
                  <c:v>1351</c:v>
                </c:pt>
                <c:pt idx="676">
                  <c:v>1353</c:v>
                </c:pt>
                <c:pt idx="677">
                  <c:v>1355</c:v>
                </c:pt>
                <c:pt idx="678">
                  <c:v>1357</c:v>
                </c:pt>
              </c:numCache>
            </c:numRef>
          </c:xVal>
          <c:yVal>
            <c:numRef>
              <c:f>Data!$H$2:$H$1001</c:f>
              <c:numCache>
                <c:formatCode>0</c:formatCode>
                <c:ptCount val="1000"/>
                <c:pt idx="0">
                  <c:v>8.8727898814655004E-57</c:v>
                </c:pt>
                <c:pt idx="1">
                  <c:v>2.926378830850411E-56</c:v>
                </c:pt>
                <c:pt idx="2">
                  <c:v>9.5985356680921544E-56</c:v>
                </c:pt>
                <c:pt idx="3">
                  <c:v>3.1310031655954268E-55</c:v>
                </c:pt>
                <c:pt idx="4">
                  <c:v>1.0157015552289994E-54</c:v>
                </c:pt>
                <c:pt idx="5">
                  <c:v>3.2768217321757468E-54</c:v>
                </c:pt>
                <c:pt idx="6">
                  <c:v>1.0513409972468482E-53</c:v>
                </c:pt>
                <c:pt idx="7">
                  <c:v>3.3545824619317733E-53</c:v>
                </c:pt>
                <c:pt idx="8">
                  <c:v>1.0644798163447291E-52</c:v>
                </c:pt>
                <c:pt idx="9">
                  <c:v>3.3592357017652748E-52</c:v>
                </c:pt>
                <c:pt idx="10">
                  <c:v>1.054259712097004E-51</c:v>
                </c:pt>
                <c:pt idx="11">
                  <c:v>3.2904767829197826E-51</c:v>
                </c:pt>
                <c:pt idx="12">
                  <c:v>1.0213489299197046E-50</c:v>
                </c:pt>
                <c:pt idx="13">
                  <c:v>3.1527790258581776E-50</c:v>
                </c:pt>
                <c:pt idx="14">
                  <c:v>9.6786996771502044E-50</c:v>
                </c:pt>
                <c:pt idx="15">
                  <c:v>2.9549122118923848E-49</c:v>
                </c:pt>
                <c:pt idx="16">
                  <c:v>8.971730895652429E-49</c:v>
                </c:pt>
                <c:pt idx="17">
                  <c:v>2.7090185655627166E-48</c:v>
                </c:pt>
                <c:pt idx="18">
                  <c:v>8.134892368819524E-48</c:v>
                </c:pt>
                <c:pt idx="19">
                  <c:v>2.429381546077539E-47</c:v>
                </c:pt>
                <c:pt idx="20">
                  <c:v>7.2151228854245317E-47</c:v>
                </c:pt>
                <c:pt idx="21">
                  <c:v>2.1310607160016279E-46</c:v>
                </c:pt>
                <c:pt idx="22">
                  <c:v>6.2596781159059082E-46</c:v>
                </c:pt>
                <c:pt idx="23">
                  <c:v>1.8285728484184126E-45</c:v>
                </c:pt>
                <c:pt idx="24">
                  <c:v>5.3122269310573264E-45</c:v>
                </c:pt>
                <c:pt idx="25">
                  <c:v>1.5347762097571584E-44</c:v>
                </c:pt>
                <c:pt idx="26">
                  <c:v>4.4097867194418297E-44</c:v>
                </c:pt>
                <c:pt idx="27">
                  <c:v>1.2600686273325401E-43</c:v>
                </c:pt>
                <c:pt idx="28">
                  <c:v>3.5807574115525467E-43</c:v>
                </c:pt>
                <c:pt idx="29">
                  <c:v>1.0119514739121503E-42</c:v>
                </c:pt>
                <c:pt idx="30">
                  <c:v>2.8441242293370556E-42</c:v>
                </c:pt>
                <c:pt idx="31">
                  <c:v>7.9495313080961504E-42</c:v>
                </c:pt>
                <c:pt idx="32">
                  <c:v>2.2097267500897226E-41</c:v>
                </c:pt>
                <c:pt idx="33">
                  <c:v>6.1085721697570655E-41</c:v>
                </c:pt>
                <c:pt idx="34">
                  <c:v>1.6793643607411699E-40</c:v>
                </c:pt>
                <c:pt idx="35">
                  <c:v>4.591496342199277E-40</c:v>
                </c:pt>
                <c:pt idx="36">
                  <c:v>1.2484398994437971E-39</c:v>
                </c:pt>
                <c:pt idx="37">
                  <c:v>3.3758654157503015E-39</c:v>
                </c:pt>
                <c:pt idx="38">
                  <c:v>9.0783452710541774E-39</c:v>
                </c:pt>
                <c:pt idx="39">
                  <c:v>2.4279087180774533E-38</c:v>
                </c:pt>
                <c:pt idx="40">
                  <c:v>6.4574655844773461E-38</c:v>
                </c:pt>
                <c:pt idx="41">
                  <c:v>1.7080317249625719E-37</c:v>
                </c:pt>
                <c:pt idx="42">
                  <c:v>4.4929734561613878E-37</c:v>
                </c:pt>
                <c:pt idx="43">
                  <c:v>1.1753734050093806E-36</c:v>
                </c:pt>
                <c:pt idx="44">
                  <c:v>3.0578906695404294E-36</c:v>
                </c:pt>
                <c:pt idx="45">
                  <c:v>7.9117423331873388E-36</c:v>
                </c:pt>
                <c:pt idx="46">
                  <c:v>2.0357591855118973E-35</c:v>
                </c:pt>
                <c:pt idx="47">
                  <c:v>5.209364645730433E-35</c:v>
                </c:pt>
                <c:pt idx="48">
                  <c:v>1.3257059352021857E-34</c:v>
                </c:pt>
                <c:pt idx="49">
                  <c:v>3.355163820459784E-34</c:v>
                </c:pt>
                <c:pt idx="50">
                  <c:v>8.4447023484766345E-34</c:v>
                </c:pt>
                <c:pt idx="51">
                  <c:v>2.1137764261088954E-33</c:v>
                </c:pt>
                <c:pt idx="52">
                  <c:v>5.2618424558003399E-33</c:v>
                </c:pt>
                <c:pt idx="53">
                  <c:v>1.3026289280990663E-32</c:v>
                </c:pt>
                <c:pt idx="54">
                  <c:v>3.2070644178334491E-32</c:v>
                </c:pt>
                <c:pt idx="55">
                  <c:v>7.8523334787768944E-32</c:v>
                </c:pt>
                <c:pt idx="56">
                  <c:v>1.9120263551785235E-31</c:v>
                </c:pt>
                <c:pt idx="57">
                  <c:v>4.6301290987413589E-31</c:v>
                </c:pt>
                <c:pt idx="58">
                  <c:v>1.1150553184344974E-30</c:v>
                </c:pt>
                <c:pt idx="59">
                  <c:v>2.6705690634266402E-30</c:v>
                </c:pt>
                <c:pt idx="60">
                  <c:v>6.3608521495055769E-30</c:v>
                </c:pt>
                <c:pt idx="61">
                  <c:v>1.5067141796739297E-29</c:v>
                </c:pt>
                <c:pt idx="62">
                  <c:v>3.5493639740556267E-29</c:v>
                </c:pt>
                <c:pt idx="63">
                  <c:v>8.3152303662855527E-29</c:v>
                </c:pt>
                <c:pt idx="64">
                  <c:v>1.9373233865686559E-28</c:v>
                </c:pt>
                <c:pt idx="65">
                  <c:v>4.4888391539359069E-28</c:v>
                </c:pt>
                <c:pt idx="66">
                  <c:v>1.0343560372706327E-27</c:v>
                </c:pt>
                <c:pt idx="67">
                  <c:v>2.3703372992011018E-27</c:v>
                </c:pt>
                <c:pt idx="68">
                  <c:v>5.4019969484656103E-27</c:v>
                </c:pt>
                <c:pt idx="69">
                  <c:v>1.2243415989210984E-26</c:v>
                </c:pt>
                <c:pt idx="70">
                  <c:v>2.7596560920149226E-26</c:v>
                </c:pt>
                <c:pt idx="71">
                  <c:v>6.1860212698203404E-26</c:v>
                </c:pt>
                <c:pt idx="72">
                  <c:v>1.3790243705613592E-25</c:v>
                </c:pt>
                <c:pt idx="73">
                  <c:v>3.0572894708103075E-25</c:v>
                </c:pt>
                <c:pt idx="74">
                  <c:v>6.7407041615259109E-25</c:v>
                </c:pt>
                <c:pt idx="75">
                  <c:v>1.4780123420732896E-24</c:v>
                </c:pt>
                <c:pt idx="76">
                  <c:v>3.2229601908755922E-24</c:v>
                </c:pt>
                <c:pt idx="77">
                  <c:v>6.9893358399086225E-24</c:v>
                </c:pt>
                <c:pt idx="78">
                  <c:v>1.5073738046154915E-23</c:v>
                </c:pt>
                <c:pt idx="79">
                  <c:v>3.2330327625299736E-23</c:v>
                </c:pt>
                <c:pt idx="80">
                  <c:v>6.8960965709350917E-23</c:v>
                </c:pt>
                <c:pt idx="81">
                  <c:v>1.4628528785488594E-22</c:v>
                </c:pt>
                <c:pt idx="82">
                  <c:v>3.0860435731130571E-22</c:v>
                </c:pt>
                <c:pt idx="83">
                  <c:v>6.4745195109810803E-22</c:v>
                </c:pt>
                <c:pt idx="84">
                  <c:v>1.3508810865337385E-21</c:v>
                </c:pt>
                <c:pt idx="85">
                  <c:v>2.8030496189119835E-21</c:v>
                </c:pt>
                <c:pt idx="86">
                  <c:v>5.7842697357199213E-21</c:v>
                </c:pt>
                <c:pt idx="87">
                  <c:v>1.1870537260947975E-20</c:v>
                </c:pt>
                <c:pt idx="88">
                  <c:v>2.4226813784997209E-20</c:v>
                </c:pt>
                <c:pt idx="89">
                  <c:v>4.9172955715441589E-20</c:v>
                </c:pt>
                <c:pt idx="90">
                  <c:v>9.9256832924765928E-20</c:v>
                </c:pt>
                <c:pt idx="91">
                  <c:v>1.9925012408231261E-19</c:v>
                </c:pt>
                <c:pt idx="92">
                  <c:v>3.9777810499750928E-19</c:v>
                </c:pt>
                <c:pt idx="93">
                  <c:v>7.8974563734368454E-19</c:v>
                </c:pt>
                <c:pt idx="94">
                  <c:v>1.5593287405034177E-18</c:v>
                </c:pt>
                <c:pt idx="95">
                  <c:v>3.0619085731882714E-18</c:v>
                </c:pt>
                <c:pt idx="96">
                  <c:v>5.9793068450534254E-18</c:v>
                </c:pt>
                <c:pt idx="97">
                  <c:v>1.1612174417009221E-17</c:v>
                </c:pt>
                <c:pt idx="98">
                  <c:v>2.2427473222798227E-17</c:v>
                </c:pt>
                <c:pt idx="99">
                  <c:v>4.3077573324279288E-17</c:v>
                </c:pt>
                <c:pt idx="100">
                  <c:v>8.2286047284157326E-17</c:v>
                </c:pt>
                <c:pt idx="101">
                  <c:v>1.5631665699680018E-16</c:v>
                </c:pt>
                <c:pt idx="102">
                  <c:v>2.9531696967899814E-16</c:v>
                </c:pt>
                <c:pt idx="103">
                  <c:v>5.5485005728663198E-16</c:v>
                </c:pt>
                <c:pt idx="104">
                  <c:v>1.0367330750876914E-15</c:v>
                </c:pt>
                <c:pt idx="105">
                  <c:v>1.9264704870514468E-15</c:v>
                </c:pt>
                <c:pt idx="106">
                  <c:v>3.560097181244059E-15</c:v>
                </c:pt>
                <c:pt idx="107">
                  <c:v>6.5428269427408195E-15</c:v>
                </c:pt>
                <c:pt idx="108">
                  <c:v>1.1958400673974003E-14</c:v>
                </c:pt>
                <c:pt idx="109">
                  <c:v>2.1736261736243083E-14</c:v>
                </c:pt>
                <c:pt idx="110">
                  <c:v>3.9291688865749166E-14</c:v>
                </c:pt>
                <c:pt idx="111">
                  <c:v>7.0635109848037268E-14</c:v>
                </c:pt>
                <c:pt idx="112">
                  <c:v>1.2628292729259836E-13</c:v>
                </c:pt>
                <c:pt idx="113">
                  <c:v>2.245291556232005E-13</c:v>
                </c:pt>
                <c:pt idx="114">
                  <c:v>3.9701318750546555E-13</c:v>
                </c:pt>
                <c:pt idx="115">
                  <c:v>6.9813789098204353E-13</c:v>
                </c:pt>
                <c:pt idx="116">
                  <c:v>1.220904160255907E-12</c:v>
                </c:pt>
                <c:pt idx="117">
                  <c:v>2.1233716987736299E-12</c:v>
                </c:pt>
                <c:pt idx="118">
                  <c:v>3.6726078880436714E-12</c:v>
                </c:pt>
                <c:pt idx="119">
                  <c:v>6.3172372538228946E-12</c:v>
                </c:pt>
                <c:pt idx="120">
                  <c:v>1.0806471191873816E-11</c:v>
                </c:pt>
                <c:pt idx="121">
                  <c:v>1.8384198448451971E-11</c:v>
                </c:pt>
                <c:pt idx="122">
                  <c:v>3.1103523197455126E-11</c:v>
                </c:pt>
                <c:pt idx="123">
                  <c:v>5.2333352801078784E-11</c:v>
                </c:pt>
                <c:pt idx="124">
                  <c:v>8.7569247915865062E-11</c:v>
                </c:pt>
                <c:pt idx="125">
                  <c:v>1.4572322278739684E-10</c:v>
                </c:pt>
                <c:pt idx="126">
                  <c:v>2.4116262486789593E-10</c:v>
                </c:pt>
                <c:pt idx="127">
                  <c:v>3.9691300045515644E-10</c:v>
                </c:pt>
                <c:pt idx="128">
                  <c:v>6.4965791335781542E-10</c:v>
                </c:pt>
                <c:pt idx="129">
                  <c:v>1.0574947716155948E-9</c:v>
                </c:pt>
                <c:pt idx="130">
                  <c:v>1.7118898300754011E-9</c:v>
                </c:pt>
                <c:pt idx="131">
                  <c:v>2.7559890139633925E-9</c:v>
                </c:pt>
                <c:pt idx="132">
                  <c:v>4.4124849717146565E-9</c:v>
                </c:pt>
                <c:pt idx="133">
                  <c:v>7.0257563333320514E-9</c:v>
                </c:pt>
                <c:pt idx="134">
                  <c:v>1.1125179194412476E-8</c:v>
                </c:pt>
                <c:pt idx="135">
                  <c:v>1.7519634171523814E-8</c:v>
                </c:pt>
                <c:pt idx="136">
                  <c:v>2.7437664346968524E-8</c:v>
                </c:pt>
                <c:pt idx="137">
                  <c:v>4.2733978932523265E-8</c:v>
                </c:pt>
                <c:pt idx="138">
                  <c:v>6.6191711594598996E-8</c:v>
                </c:pt>
                <c:pt idx="139">
                  <c:v>1.0196191370572035E-7</c:v>
                </c:pt>
                <c:pt idx="140">
                  <c:v>1.5619834642014429E-7</c:v>
                </c:pt>
                <c:pt idx="141">
                  <c:v>2.3796822591960162E-7</c:v>
                </c:pt>
                <c:pt idx="142">
                  <c:v>3.6055008388415757E-7</c:v>
                </c:pt>
                <c:pt idx="143">
                  <c:v>5.432707413074358E-7</c:v>
                </c:pt>
                <c:pt idx="144">
                  <c:v>8.1408755977596026E-7</c:v>
                </c:pt>
                <c:pt idx="145">
                  <c:v>1.2131933121165934E-6</c:v>
                </c:pt>
                <c:pt idx="146">
                  <c:v>1.7980136477573942E-6</c:v>
                </c:pt>
                <c:pt idx="147">
                  <c:v>2.6500864854785531E-6</c:v>
                </c:pt>
                <c:pt idx="148">
                  <c:v>3.8844648674625668E-6</c:v>
                </c:pt>
                <c:pt idx="149">
                  <c:v>5.6624767978683443E-6</c:v>
                </c:pt>
                <c:pt idx="150">
                  <c:v>8.2089150272215498E-6</c:v>
                </c:pt>
                <c:pt idx="151">
                  <c:v>1.1835024790209278E-5</c:v>
                </c:pt>
                <c:pt idx="152">
                  <c:v>1.6969016455397666E-5</c:v>
                </c:pt>
                <c:pt idx="153">
                  <c:v>2.4196260791128483E-5</c:v>
                </c:pt>
                <c:pt idx="154">
                  <c:v>3.431183381418073E-5</c:v>
                </c:pt>
                <c:pt idx="155">
                  <c:v>4.8388670504172175E-5</c:v>
                </c:pt>
                <c:pt idx="156">
                  <c:v>6.7865263093397547E-5</c:v>
                </c:pt>
                <c:pt idx="157">
                  <c:v>9.4657596162757871E-5</c:v>
                </c:pt>
                <c:pt idx="158">
                  <c:v>1.3130083642350326E-4</c:v>
                </c:pt>
                <c:pt idx="159">
                  <c:v>1.8112716979882512E-4</c:v>
                </c:pt>
                <c:pt idx="160">
                  <c:v>2.4848707081957236E-4</c:v>
                </c:pt>
                <c:pt idx="161">
                  <c:v>3.3902215426936716E-4</c:v>
                </c:pt>
                <c:pt idx="162">
                  <c:v>4.5999853536412237E-4</c:v>
                </c:pt>
                <c:pt idx="163">
                  <c:v>6.2071023363544965E-4</c:v>
                </c:pt>
                <c:pt idx="164">
                  <c:v>8.3296249921935978E-4</c:v>
                </c:pt>
                <c:pt idx="165">
                  <c:v>1.1116449013743174E-3</c:v>
                </c:pt>
                <c:pt idx="166">
                  <c:v>1.4754034627739001E-3</c:v>
                </c:pt>
                <c:pt idx="167">
                  <c:v>1.9474198995664866E-3</c:v>
                </c:pt>
                <c:pt idx="168">
                  <c:v>2.5563039768915405E-3</c:v>
                </c:pt>
                <c:pt idx="169">
                  <c:v>3.3371019512504706E-3</c:v>
                </c:pt>
                <c:pt idx="170">
                  <c:v>4.3324198924871568E-3</c:v>
                </c:pt>
                <c:pt idx="171">
                  <c:v>5.5936552291557078E-3</c:v>
                </c:pt>
                <c:pt idx="172">
                  <c:v>7.1823230503388069E-3</c:v>
                </c:pt>
                <c:pt idx="173">
                  <c:v>9.1714554901528942E-3</c:v>
                </c:pt>
                <c:pt idx="174">
                  <c:v>1.1647042960776642E-2</c:v>
                </c:pt>
                <c:pt idx="175">
                  <c:v>1.4709475225484159E-2</c:v>
                </c:pt>
                <c:pt idx="176">
                  <c:v>1.8474928570435572E-2</c:v>
                </c:pt>
                <c:pt idx="177">
                  <c:v>2.3076633030123975E-2</c:v>
                </c:pt>
                <c:pt idx="178">
                  <c:v>2.8665941275675202E-2</c:v>
                </c:pt>
                <c:pt idx="179">
                  <c:v>3.5413109061628818E-2</c:v>
                </c:pt>
                <c:pt idx="180">
                  <c:v>4.3507686856804305E-2</c:v>
                </c:pt>
                <c:pt idx="181">
                  <c:v>5.315841438788723E-2</c:v>
                </c:pt>
                <c:pt idx="182">
                  <c:v>6.4592505315178114E-2</c:v>
                </c:pt>
                <c:pt idx="183">
                  <c:v>7.8054209191155077E-2</c:v>
                </c:pt>
                <c:pt idx="184">
                  <c:v>9.3802543253207679E-2</c:v>
                </c:pt>
                <c:pt idx="185">
                  <c:v>0.11210809840355558</c:v>
                </c:pt>
                <c:pt idx="186">
                  <c:v>0.13324884268193538</c:v>
                </c:pt>
                <c:pt idx="187">
                  <c:v>0.1575048721194022</c:v>
                </c:pt>
                <c:pt idx="188">
                  <c:v>0.18515209319443773</c:v>
                </c:pt>
                <c:pt idx="189">
                  <c:v>0.2164548628747657</c:v>
                </c:pt>
                <c:pt idx="190">
                  <c:v>0.25165766059266487</c:v>
                </c:pt>
                <c:pt idx="191">
                  <c:v>0.29097592009216078</c:v>
                </c:pt>
                <c:pt idx="192">
                  <c:v>0.33458620596731509</c:v>
                </c:pt>
                <c:pt idx="193">
                  <c:v>0.38261597741281755</c:v>
                </c:pt>
                <c:pt idx="194">
                  <c:v>0.43513323729816439</c:v>
                </c:pt>
                <c:pt idx="195">
                  <c:v>0.4921364148716964</c:v>
                </c:pt>
                <c:pt idx="196">
                  <c:v>0.55354487172417222</c:v>
                </c:pt>
                <c:pt idx="197">
                  <c:v>0.6191904496184768</c:v>
                </c:pt>
                <c:pt idx="198">
                  <c:v>0.68881049217290946</c:v>
                </c:pt>
                <c:pt idx="199">
                  <c:v>0.76204276738596799</c:v>
                </c:pt>
                <c:pt idx="200">
                  <c:v>0.83842269253176738</c:v>
                </c:pt>
                <c:pt idx="201">
                  <c:v>0.91738321588612382</c:v>
                </c:pt>
                <c:pt idx="202">
                  <c:v>0.99825764102614534</c:v>
                </c:pt>
                <c:pt idx="203">
                  <c:v>1.0802855902867483</c:v>
                </c:pt>
                <c:pt idx="204">
                  <c:v>1.1626221968643473</c:v>
                </c:pt>
                <c:pt idx="205">
                  <c:v>1.2443504938177488</c:v>
                </c:pt>
                <c:pt idx="206">
                  <c:v>1.3244968377792785</c:v>
                </c:pt>
                <c:pt idx="207">
                  <c:v>1.4020490714642428</c:v>
                </c:pt>
                <c:pt idx="208">
                  <c:v>1.4759769986328781</c:v>
                </c:pt>
                <c:pt idx="209">
                  <c:v>1.5452546249074839</c:v>
                </c:pt>
                <c:pt idx="210">
                  <c:v>1.6088835145763833</c:v>
                </c:pt>
                <c:pt idx="211">
                  <c:v>1.6659165335023007</c:v>
                </c:pt>
                <c:pt idx="212">
                  <c:v>1.7154811968305215</c:v>
                </c:pt>
                <c:pt idx="213">
                  <c:v>1.7568018213738099</c:v>
                </c:pt>
                <c:pt idx="214">
                  <c:v>1.7892196987131459</c:v>
                </c:pt>
                <c:pt idx="215">
                  <c:v>1.8122105567197386</c:v>
                </c:pt>
                <c:pt idx="216">
                  <c:v>1.8253986629428749</c:v>
                </c:pt>
                <c:pt idx="217">
                  <c:v>1.8285670397567844</c:v>
                </c:pt>
                <c:pt idx="218">
                  <c:v>1.8216634031760697</c:v>
                </c:pt>
                <c:pt idx="219">
                  <c:v>1.8048015981873566</c:v>
                </c:pt>
                <c:pt idx="220">
                  <c:v>1.7782584755331687</c:v>
                </c:pt>
                <c:pt idx="221">
                  <c:v>1.7424663296833991</c:v>
                </c:pt>
                <c:pt idx="222">
                  <c:v>1.6980011866380715</c:v>
                </c:pt>
                <c:pt idx="223">
                  <c:v>1.6455673849738979</c:v>
                </c:pt>
                <c:pt idx="224">
                  <c:v>1.5859790267729932</c:v>
                </c:pt>
                <c:pt idx="225">
                  <c:v>1.520138980628396</c:v>
                </c:pt>
                <c:pt idx="226">
                  <c:v>1.4490161923005629</c:v>
                </c:pt>
                <c:pt idx="227">
                  <c:v>1.3736220971447128</c:v>
                </c:pt>
                <c:pt idx="228">
                  <c:v>1.2949869314393769</c:v>
                </c:pt>
                <c:pt idx="229">
                  <c:v>1.2141367084519694</c:v>
                </c:pt>
                <c:pt idx="230">
                  <c:v>1.1320715624924436</c:v>
                </c:pt>
                <c:pt idx="231">
                  <c:v>1.049746074875064</c:v>
                </c:pt>
                <c:pt idx="232">
                  <c:v>0.968052085362749</c:v>
                </c:pt>
                <c:pt idx="233">
                  <c:v>0.88780436782863126</c:v>
                </c:pt>
                <c:pt idx="234">
                  <c:v>0.8097294164174853</c:v>
                </c:pt>
                <c:pt idx="235">
                  <c:v>0.7344574552462827</c:v>
                </c:pt>
                <c:pt idx="236">
                  <c:v>0.66251765701688425</c:v>
                </c:pt>
                <c:pt idx="237">
                  <c:v>0.59433643940717207</c:v>
                </c:pt>
                <c:pt idx="238">
                  <c:v>0.53023860729716765</c:v>
                </c:pt>
                <c:pt idx="239">
                  <c:v>0.47045102709448033</c:v>
                </c:pt>
                <c:pt idx="240">
                  <c:v>0.41510845867178453</c:v>
                </c:pt>
                <c:pt idx="241">
                  <c:v>0.3642611314510516</c:v>
                </c:pt>
                <c:pt idx="242">
                  <c:v>0.31788363349526971</c:v>
                </c:pt>
                <c:pt idx="243">
                  <c:v>0.27588468457881848</c:v>
                </c:pt>
                <c:pt idx="244">
                  <c:v>0.23811738373436453</c:v>
                </c:pt>
                <c:pt idx="245">
                  <c:v>0.20438955573170223</c:v>
                </c:pt>
                <c:pt idx="246">
                  <c:v>0.17447386597162895</c:v>
                </c:pt>
                <c:pt idx="247">
                  <c:v>0.14811742587544785</c:v>
                </c:pt>
                <c:pt idx="248">
                  <c:v>0.12505066759241432</c:v>
                </c:pt>
                <c:pt idx="249">
                  <c:v>0.10499532456413908</c:v>
                </c:pt>
                <c:pt idx="250">
                  <c:v>8.7671410404935035E-2</c:v>
                </c:pt>
                <c:pt idx="251">
                  <c:v>7.2803140403462988E-2</c:v>
                </c:pt>
                <c:pt idx="252">
                  <c:v>6.0123785994780403E-2</c:v>
                </c:pt>
                <c:pt idx="253">
                  <c:v>4.9379491623933985E-2</c:v>
                </c:pt>
                <c:pt idx="254">
                  <c:v>4.0332114889804642E-2</c:v>
                </c:pt>
                <c:pt idx="255">
                  <c:v>3.2761174572566346E-2</c:v>
                </c:pt>
                <c:pt idx="256">
                  <c:v>2.6465007373238505E-2</c:v>
                </c:pt>
                <c:pt idx="257">
                  <c:v>2.1261243519691508E-2</c:v>
                </c:pt>
                <c:pt idx="258">
                  <c:v>1.6986714647702093E-2</c:v>
                </c:pt>
                <c:pt idx="259">
                  <c:v>1.349690552529809E-2</c:v>
                </c:pt>
                <c:pt idx="260">
                  <c:v>1.0665055299539867E-2</c:v>
                </c:pt>
                <c:pt idx="261">
                  <c:v>8.3810050520409622E-3</c:v>
                </c:pt>
                <c:pt idx="262">
                  <c:v>6.5498775407643178E-3</c:v>
                </c:pt>
                <c:pt idx="263">
                  <c:v>5.0906629696918651E-3</c:v>
                </c:pt>
                <c:pt idx="264">
                  <c:v>3.9347722268098231E-3</c:v>
                </c:pt>
                <c:pt idx="265">
                  <c:v>3.0246068850049825E-3</c:v>
                </c:pt>
                <c:pt idx="266">
                  <c:v>2.312183845695411E-3</c:v>
                </c:pt>
                <c:pt idx="267">
                  <c:v>1.7578421581409633E-3</c:v>
                </c:pt>
                <c:pt idx="268">
                  <c:v>1.3290504788708234E-3</c:v>
                </c:pt>
                <c:pt idx="269">
                  <c:v>9.9932594679013644E-4</c:v>
                </c:pt>
                <c:pt idx="270">
                  <c:v>7.4726895189827509E-4</c:v>
                </c:pt>
                <c:pt idx="271">
                  <c:v>5.5571331135182962E-4</c:v>
                </c:pt>
                <c:pt idx="272">
                  <c:v>4.1098762806202662E-4</c:v>
                </c:pt>
                <c:pt idx="273">
                  <c:v>3.0228095408262978E-4</c:v>
                </c:pt>
                <c:pt idx="274">
                  <c:v>2.2110415663802754E-4</c:v>
                </c:pt>
                <c:pt idx="275">
                  <c:v>1.6083742708886866E-4</c:v>
                </c:pt>
                <c:pt idx="276">
                  <c:v>1.1635402575221002E-4</c:v>
                </c:pt>
                <c:pt idx="277">
                  <c:v>8.37104734478991E-5</c:v>
                </c:pt>
                <c:pt idx="278">
                  <c:v>5.9893855349684721E-5</c:v>
                </c:pt>
                <c:pt idx="279">
                  <c:v>4.2617584179185889E-5</c:v>
                </c:pt>
                <c:pt idx="280">
                  <c:v>3.0157787241172651E-5</c:v>
                </c:pt>
                <c:pt idx="281">
                  <c:v>2.1223363157005867E-5</c:v>
                </c:pt>
                <c:pt idx="282">
                  <c:v>1.4853644480463242E-5</c:v>
                </c:pt>
                <c:pt idx="283">
                  <c:v>1.0338461898335089E-5</c:v>
                </c:pt>
                <c:pt idx="284">
                  <c:v>7.1562075066829983E-6</c:v>
                </c:pt>
                <c:pt idx="285">
                  <c:v>4.9262223011497095E-6</c:v>
                </c:pt>
                <c:pt idx="286">
                  <c:v>3.3724783767375571E-6</c:v>
                </c:pt>
                <c:pt idx="287">
                  <c:v>2.296087470637078E-6</c:v>
                </c:pt>
                <c:pt idx="288">
                  <c:v>1.5546469197448111E-6</c:v>
                </c:pt>
                <c:pt idx="289">
                  <c:v>1.0468373268746902E-6</c:v>
                </c:pt>
                <c:pt idx="290">
                  <c:v>7.010204962893533E-7</c:v>
                </c:pt>
                <c:pt idx="291">
                  <c:v>4.6685962752942059E-7</c:v>
                </c:pt>
                <c:pt idx="292">
                  <c:v>3.0920464506554357E-7</c:v>
                </c:pt>
                <c:pt idx="293">
                  <c:v>2.0366189807001383E-7</c:v>
                </c:pt>
                <c:pt idx="294">
                  <c:v>1.3340670307731514E-7</c:v>
                </c:pt>
                <c:pt idx="295">
                  <c:v>8.6905968341534432E-8</c:v>
                </c:pt>
                <c:pt idx="296">
                  <c:v>5.6302235845535395E-8</c:v>
                </c:pt>
                <c:pt idx="297">
                  <c:v>3.6274861873076521E-8</c:v>
                </c:pt>
                <c:pt idx="298">
                  <c:v>2.3242882152690358E-8</c:v>
                </c:pt>
                <c:pt idx="299">
                  <c:v>1.4810791908061569E-8</c:v>
                </c:pt>
                <c:pt idx="300">
                  <c:v>9.3857864156658365E-9</c:v>
                </c:pt>
                <c:pt idx="301">
                  <c:v>5.9151687818846383E-9</c:v>
                </c:pt>
                <c:pt idx="302">
                  <c:v>3.7073851184794565E-9</c:v>
                </c:pt>
                <c:pt idx="303">
                  <c:v>2.3108531645618421E-9</c:v>
                </c:pt>
                <c:pt idx="304">
                  <c:v>1.4324553239332633E-9</c:v>
                </c:pt>
                <c:pt idx="305">
                  <c:v>8.8306751378796867E-10</c:v>
                </c:pt>
                <c:pt idx="306">
                  <c:v>5.4139073309974858E-10</c:v>
                </c:pt>
                <c:pt idx="307">
                  <c:v>3.3008957940317754E-10</c:v>
                </c:pt>
                <c:pt idx="308">
                  <c:v>2.0015060073716158E-10</c:v>
                </c:pt>
                <c:pt idx="309">
                  <c:v>1.2069410779964989E-10</c:v>
                </c:pt>
                <c:pt idx="310">
                  <c:v>7.2380124612523489E-11</c:v>
                </c:pt>
                <c:pt idx="311">
                  <c:v>4.3167477504258092E-11</c:v>
                </c:pt>
                <c:pt idx="312">
                  <c:v>2.5603427243104513E-11</c:v>
                </c:pt>
                <c:pt idx="313">
                  <c:v>1.5102318406211359E-11</c:v>
                </c:pt>
                <c:pt idx="314">
                  <c:v>8.8591739369504184E-12</c:v>
                </c:pt>
                <c:pt idx="315">
                  <c:v>5.1682905614291354E-12</c:v>
                </c:pt>
                <c:pt idx="316">
                  <c:v>2.9985044798054403E-12</c:v>
                </c:pt>
                <c:pt idx="317">
                  <c:v>1.7300815287178662E-12</c:v>
                </c:pt>
                <c:pt idx="318">
                  <c:v>9.9273314881965219E-13</c:v>
                </c:pt>
                <c:pt idx="319">
                  <c:v>5.6650345826767833E-13</c:v>
                </c:pt>
                <c:pt idx="320">
                  <c:v>3.2149682921219389E-13</c:v>
                </c:pt>
                <c:pt idx="321">
                  <c:v>1.8144913815020814E-13</c:v>
                </c:pt>
                <c:pt idx="322">
                  <c:v>1.0184441373383424E-13</c:v>
                </c:pt>
                <c:pt idx="323">
                  <c:v>5.6849101149911854E-14</c:v>
                </c:pt>
                <c:pt idx="324">
                  <c:v>3.1558334805364535E-14</c:v>
                </c:pt>
                <c:pt idx="325">
                  <c:v>1.7422426593328501E-14</c:v>
                </c:pt>
                <c:pt idx="326">
                  <c:v>9.5654915959119615E-15</c:v>
                </c:pt>
                <c:pt idx="327">
                  <c:v>5.2228798196107368E-15</c:v>
                </c:pt>
                <c:pt idx="328">
                  <c:v>2.8360694255739768E-15</c:v>
                </c:pt>
                <c:pt idx="329">
                  <c:v>1.5315379769806319E-15</c:v>
                </c:pt>
                <c:pt idx="330">
                  <c:v>8.2251299803390321E-16</c:v>
                </c:pt>
                <c:pt idx="331">
                  <c:v>4.3930066054492977E-16</c:v>
                </c:pt>
                <c:pt idx="332">
                  <c:v>2.3333776294797179E-16</c:v>
                </c:pt>
                <c:pt idx="333">
                  <c:v>1.2325719796240713E-16</c:v>
                </c:pt>
                <c:pt idx="334">
                  <c:v>6.4750576333491238E-17</c:v>
                </c:pt>
                <c:pt idx="335">
                  <c:v>3.382821430316743E-17</c:v>
                </c:pt>
                <c:pt idx="336">
                  <c:v>1.7575941367787038E-17</c:v>
                </c:pt>
                <c:pt idx="337">
                  <c:v>9.0815965436251363E-18</c:v>
                </c:pt>
                <c:pt idx="338">
                  <c:v>4.6667001848245603E-18</c:v>
                </c:pt>
                <c:pt idx="339">
                  <c:v>2.3848533773437306E-18</c:v>
                </c:pt>
                <c:pt idx="340">
                  <c:v>1.2120416771442355E-18</c:v>
                </c:pt>
                <c:pt idx="341">
                  <c:v>6.1260073147279943E-19</c:v>
                </c:pt>
                <c:pt idx="342">
                  <c:v>3.0792259313554641E-19</c:v>
                </c:pt>
                <c:pt idx="343">
                  <c:v>1.5392518597022574E-19</c:v>
                </c:pt>
                <c:pt idx="344">
                  <c:v>7.6521223536090689E-20</c:v>
                </c:pt>
                <c:pt idx="345">
                  <c:v>3.7831905068464226E-20</c:v>
                </c:pt>
                <c:pt idx="346">
                  <c:v>1.8601098991233511E-20</c:v>
                </c:pt>
                <c:pt idx="347">
                  <c:v>9.0954268171005976E-21</c:v>
                </c:pt>
                <c:pt idx="348">
                  <c:v>4.422946139178688E-21</c:v>
                </c:pt>
                <c:pt idx="349">
                  <c:v>2.1389680855893556E-21</c:v>
                </c:pt>
                <c:pt idx="350">
                  <c:v>1.0287291492309054E-21</c:v>
                </c:pt>
                <c:pt idx="351">
                  <c:v>4.9204165884397559E-22</c:v>
                </c:pt>
                <c:pt idx="352">
                  <c:v>2.3404899964222991E-22</c:v>
                </c:pt>
                <c:pt idx="353">
                  <c:v>1.1071737780949177E-22</c:v>
                </c:pt>
                <c:pt idx="354">
                  <c:v>5.2086944400444634E-23</c:v>
                </c:pt>
                <c:pt idx="355">
                  <c:v>2.4369468509520388E-23</c:v>
                </c:pt>
                <c:pt idx="356">
                  <c:v>1.1338805900472016E-23</c:v>
                </c:pt>
                <c:pt idx="357">
                  <c:v>5.2467777926003937E-24</c:v>
                </c:pt>
                <c:pt idx="358">
                  <c:v>2.4144716445307397E-24</c:v>
                </c:pt>
                <c:pt idx="359">
                  <c:v>1.1049830959981403E-24</c:v>
                </c:pt>
                <c:pt idx="360">
                  <c:v>5.0291344482196389E-25</c:v>
                </c:pt>
                <c:pt idx="361">
                  <c:v>2.2763285485859634E-25</c:v>
                </c:pt>
                <c:pt idx="362">
                  <c:v>1.0246622375304445E-25</c:v>
                </c:pt>
                <c:pt idx="363">
                  <c:v>4.5870196897598961E-26</c:v>
                </c:pt>
                <c:pt idx="364">
                  <c:v>2.0421355447158763E-26</c:v>
                </c:pt>
                <c:pt idx="365">
                  <c:v>9.0415442452685793E-27</c:v>
                </c:pt>
                <c:pt idx="366">
                  <c:v>3.981115213725335E-27</c:v>
                </c:pt>
                <c:pt idx="367">
                  <c:v>1.7432953339883321E-27</c:v>
                </c:pt>
                <c:pt idx="368">
                  <c:v>7.5917391301872884E-28</c:v>
                </c:pt>
                <c:pt idx="369">
                  <c:v>3.2878778312493415E-28</c:v>
                </c:pt>
                <c:pt idx="370">
                  <c:v>1.416100756093878E-28</c:v>
                </c:pt>
                <c:pt idx="371">
                  <c:v>6.065641304660128E-29</c:v>
                </c:pt>
                <c:pt idx="372">
                  <c:v>2.5838266978923249E-29</c:v>
                </c:pt>
                <c:pt idx="373">
                  <c:v>1.094596676879129E-29</c:v>
                </c:pt>
                <c:pt idx="374">
                  <c:v>4.6115716044233943E-30</c:v>
                </c:pt>
                <c:pt idx="375">
                  <c:v>1.9321812994905565E-30</c:v>
                </c:pt>
                <c:pt idx="376">
                  <c:v>8.0510195219316499E-31</c:v>
                </c:pt>
                <c:pt idx="377">
                  <c:v>3.3362452771852969E-31</c:v>
                </c:pt>
                <c:pt idx="378">
                  <c:v>1.3748937931531457E-31</c:v>
                </c:pt>
                <c:pt idx="379">
                  <c:v>5.6348767052240528E-32</c:v>
                </c:pt>
                <c:pt idx="380">
                  <c:v>2.2966973610076703E-32</c:v>
                </c:pt>
                <c:pt idx="381">
                  <c:v>9.3095183434347267E-33</c:v>
                </c:pt>
                <c:pt idx="382">
                  <c:v>3.7527941220121428E-33</c:v>
                </c:pt>
                <c:pt idx="383">
                  <c:v>1.5044797773466823E-33</c:v>
                </c:pt>
                <c:pt idx="384">
                  <c:v>5.9982153840529802E-34</c:v>
                </c:pt>
                <c:pt idx="385">
                  <c:v>2.3782737658931663E-34</c:v>
                </c:pt>
                <c:pt idx="386">
                  <c:v>9.3779026766226378E-35</c:v>
                </c:pt>
                <c:pt idx="387">
                  <c:v>3.6775084936373097E-35</c:v>
                </c:pt>
                <c:pt idx="388">
                  <c:v>1.4341868450287867E-35</c:v>
                </c:pt>
                <c:pt idx="389">
                  <c:v>5.5623955883264929E-36</c:v>
                </c:pt>
                <c:pt idx="390">
                  <c:v>2.1454682714228234E-36</c:v>
                </c:pt>
                <c:pt idx="391">
                  <c:v>8.2297455494289433E-37</c:v>
                </c:pt>
                <c:pt idx="392">
                  <c:v>3.1394589314872636E-37</c:v>
                </c:pt>
                <c:pt idx="393">
                  <c:v>1.1910425909334507E-37</c:v>
                </c:pt>
                <c:pt idx="394">
                  <c:v>4.4936978172811086E-38</c:v>
                </c:pt>
                <c:pt idx="395">
                  <c:v>1.6861046430460933E-38</c:v>
                </c:pt>
                <c:pt idx="396">
                  <c:v>6.2917183218431182E-39</c:v>
                </c:pt>
                <c:pt idx="397">
                  <c:v>2.3348452694722058E-39</c:v>
                </c:pt>
                <c:pt idx="398">
                  <c:v>8.6168994676733498E-40</c:v>
                </c:pt>
                <c:pt idx="399">
                  <c:v>3.1626274364575993E-40</c:v>
                </c:pt>
                <c:pt idx="400">
                  <c:v>1.1543808918558862E-40</c:v>
                </c:pt>
                <c:pt idx="401">
                  <c:v>4.1903887164703985E-41</c:v>
                </c:pt>
                <c:pt idx="402">
                  <c:v>1.5127375279402319E-41</c:v>
                </c:pt>
                <c:pt idx="403">
                  <c:v>5.4309641676406448E-42</c:v>
                </c:pt>
                <c:pt idx="404">
                  <c:v>1.9390739899417012E-42</c:v>
                </c:pt>
                <c:pt idx="405">
                  <c:v>6.8851897177821971E-43</c:v>
                </c:pt>
                <c:pt idx="406">
                  <c:v>2.4313166778817209E-43</c:v>
                </c:pt>
                <c:pt idx="407">
                  <c:v>8.5382965381830531E-44</c:v>
                </c:pt>
                <c:pt idx="408">
                  <c:v>2.9819820560183546E-44</c:v>
                </c:pt>
                <c:pt idx="409">
                  <c:v>1.0357212926533976E-44</c:v>
                </c:pt>
                <c:pt idx="410">
                  <c:v>3.5775430679985128E-45</c:v>
                </c:pt>
                <c:pt idx="411">
                  <c:v>1.228940689699356E-45</c:v>
                </c:pt>
                <c:pt idx="412">
                  <c:v>4.1983734208655921E-46</c:v>
                </c:pt>
                <c:pt idx="413">
                  <c:v>1.426380165622344E-46</c:v>
                </c:pt>
                <c:pt idx="414">
                  <c:v>4.8194070153540222E-47</c:v>
                </c:pt>
                <c:pt idx="415">
                  <c:v>1.6194069802202972E-47</c:v>
                </c:pt>
                <c:pt idx="416">
                  <c:v>5.4115602168426782E-48</c:v>
                </c:pt>
                <c:pt idx="417">
                  <c:v>1.798428063901992E-48</c:v>
                </c:pt>
                <c:pt idx="418">
                  <c:v>5.9438485309484682E-49</c:v>
                </c:pt>
                <c:pt idx="419">
                  <c:v>1.9536487479298082E-49</c:v>
                </c:pt>
                <c:pt idx="420">
                  <c:v>6.3860059695767051E-50</c:v>
                </c:pt>
                <c:pt idx="421">
                  <c:v>2.0759469164562273E-50</c:v>
                </c:pt>
                <c:pt idx="422">
                  <c:v>6.711309311099533E-51</c:v>
                </c:pt>
                <c:pt idx="423">
                  <c:v>2.1577561004184654E-51</c:v>
                </c:pt>
                <c:pt idx="424">
                  <c:v>6.8992445354867266E-52</c:v>
                </c:pt>
                <c:pt idx="425">
                  <c:v>2.1938392919942938E-52</c:v>
                </c:pt>
                <c:pt idx="426">
                  <c:v>6.9376465435258047E-53</c:v>
                </c:pt>
                <c:pt idx="427">
                  <c:v>2.1818436007179659E-53</c:v>
                </c:pt>
                <c:pt idx="428">
                  <c:v>6.8240020664198613E-54</c:v>
                </c:pt>
                <c:pt idx="429">
                  <c:v>2.1225541088058622E-54</c:v>
                </c:pt>
                <c:pt idx="430">
                  <c:v>6.5657218124495962E-55</c:v>
                </c:pt>
                <c:pt idx="431">
                  <c:v>2.0198088584122195E-55</c:v>
                </c:pt>
                <c:pt idx="432">
                  <c:v>6.179340892640798E-56</c:v>
                </c:pt>
                <c:pt idx="433">
                  <c:v>1.8800877653716906E-56</c:v>
                </c:pt>
                <c:pt idx="434">
                  <c:v>5.6887674308772933E-57</c:v>
                </c:pt>
                <c:pt idx="435">
                  <c:v>1.7118366578898683E-57</c:v>
                </c:pt>
                <c:pt idx="436">
                  <c:v>5.122837174901752E-58</c:v>
                </c:pt>
                <c:pt idx="437">
                  <c:v>1.5246244130112531E-58</c:v>
                </c:pt>
                <c:pt idx="438">
                  <c:v>4.5125213939019657E-59</c:v>
                </c:pt>
                <c:pt idx="439">
                  <c:v>1.3282498186530895E-59</c:v>
                </c:pt>
                <c:pt idx="440">
                  <c:v>3.8881619307351072E-60</c:v>
                </c:pt>
                <c:pt idx="441">
                  <c:v>1.1319128995764559E-60</c:v>
                </c:pt>
                <c:pt idx="442">
                  <c:v>3.2770703294112085E-61</c:v>
                </c:pt>
                <c:pt idx="443">
                  <c:v>9.4354496530531631E-62</c:v>
                </c:pt>
                <c:pt idx="444">
                  <c:v>2.7017398488916011E-62</c:v>
                </c:pt>
                <c:pt idx="445">
                  <c:v>7.693581208109844E-63</c:v>
                </c:pt>
                <c:pt idx="446">
                  <c:v>2.1788013876898314E-63</c:v>
                </c:pt>
                <c:pt idx="447">
                  <c:v>6.1363600130406608E-64</c:v>
                </c:pt>
                <c:pt idx="448">
                  <c:v>1.7187317761838838E-64</c:v>
                </c:pt>
                <c:pt idx="449">
                  <c:v>4.7875075133338541E-65</c:v>
                </c:pt>
                <c:pt idx="450">
                  <c:v>1.3262179993028535E-65</c:v>
                </c:pt>
                <c:pt idx="451">
                  <c:v>3.6536290709432814E-66</c:v>
                </c:pt>
                <c:pt idx="452">
                  <c:v>1.0010092199108427E-66</c:v>
                </c:pt>
                <c:pt idx="453">
                  <c:v>2.7274436592420759E-67</c:v>
                </c:pt>
                <c:pt idx="454">
                  <c:v>7.3905640602479664E-68</c:v>
                </c:pt>
                <c:pt idx="455">
                  <c:v>1.9916062038365775E-68</c:v>
                </c:pt>
                <c:pt idx="456">
                  <c:v>5.3374453607422378E-69</c:v>
                </c:pt>
                <c:pt idx="457">
                  <c:v>1.4225498724641948E-69</c:v>
                </c:pt>
                <c:pt idx="458">
                  <c:v>3.7705581852600665E-70</c:v>
                </c:pt>
                <c:pt idx="459">
                  <c:v>9.9391187619602336E-71</c:v>
                </c:pt>
                <c:pt idx="460">
                  <c:v>2.6055187336607538E-71</c:v>
                </c:pt>
                <c:pt idx="461">
                  <c:v>6.7927339858070403E-72</c:v>
                </c:pt>
                <c:pt idx="462">
                  <c:v>1.7611611697444214E-72</c:v>
                </c:pt>
                <c:pt idx="463">
                  <c:v>4.5410646288801172E-73</c:v>
                </c:pt>
                <c:pt idx="464">
                  <c:v>1.1644486756566815E-73</c:v>
                </c:pt>
                <c:pt idx="465">
                  <c:v>2.9695258266991285E-74</c:v>
                </c:pt>
                <c:pt idx="466">
                  <c:v>7.5310919375309573E-75</c:v>
                </c:pt>
                <c:pt idx="467">
                  <c:v>1.8994719257467724E-75</c:v>
                </c:pt>
                <c:pt idx="468">
                  <c:v>4.7644403695305059E-76</c:v>
                </c:pt>
                <c:pt idx="469">
                  <c:v>1.188488543384481E-76</c:v>
                </c:pt>
                <c:pt idx="470">
                  <c:v>2.9483714052803905E-77</c:v>
                </c:pt>
                <c:pt idx="471">
                  <c:v>7.2740028779884905E-78</c:v>
                </c:pt>
                <c:pt idx="472">
                  <c:v>1.7847148350130882E-78</c:v>
                </c:pt>
                <c:pt idx="473">
                  <c:v>4.354800717361723E-79</c:v>
                </c:pt>
                <c:pt idx="474">
                  <c:v>1.0567489501254776E-79</c:v>
                </c:pt>
                <c:pt idx="475">
                  <c:v>2.5502305932616965E-80</c:v>
                </c:pt>
                <c:pt idx="476">
                  <c:v>6.1205600714771757E-81</c:v>
                </c:pt>
                <c:pt idx="477">
                  <c:v>1.4608545086283245E-81</c:v>
                </c:pt>
                <c:pt idx="478">
                  <c:v>3.4675829017040489E-82</c:v>
                </c:pt>
                <c:pt idx="479">
                  <c:v>8.1856058242955958E-83</c:v>
                </c:pt>
                <c:pt idx="480">
                  <c:v>1.9216703494288676E-83</c:v>
                </c:pt>
                <c:pt idx="481">
                  <c:v>4.4865347721382616E-84</c:v>
                </c:pt>
                <c:pt idx="482">
                  <c:v>1.0417110570515942E-84</c:v>
                </c:pt>
                <c:pt idx="483">
                  <c:v>2.4054016077099099E-85</c:v>
                </c:pt>
                <c:pt idx="484">
                  <c:v>5.5237244655583764E-86</c:v>
                </c:pt>
                <c:pt idx="485">
                  <c:v>1.2614803911997082E-86</c:v>
                </c:pt>
                <c:pt idx="486">
                  <c:v>2.8650558237976978E-87</c:v>
                </c:pt>
                <c:pt idx="487">
                  <c:v>6.4712735676870897E-88</c:v>
                </c:pt>
                <c:pt idx="488">
                  <c:v>1.4536187560402602E-88</c:v>
                </c:pt>
                <c:pt idx="489">
                  <c:v>3.2472472935751647E-89</c:v>
                </c:pt>
                <c:pt idx="490">
                  <c:v>7.2141355139207895E-90</c:v>
                </c:pt>
                <c:pt idx="491">
                  <c:v>1.5938862191263061E-90</c:v>
                </c:pt>
                <c:pt idx="492">
                  <c:v>3.5021474120793544E-91</c:v>
                </c:pt>
                <c:pt idx="493">
                  <c:v>7.6527163470320748E-92</c:v>
                </c:pt>
                <c:pt idx="494">
                  <c:v>1.6630331147804839E-92</c:v>
                </c:pt>
                <c:pt idx="495">
                  <c:v>3.5941008985971361E-93</c:v>
                </c:pt>
                <c:pt idx="496">
                  <c:v>7.7247373193140965E-94</c:v>
                </c:pt>
                <c:pt idx="497">
                  <c:v>1.6511299768218553E-94</c:v>
                </c:pt>
                <c:pt idx="498">
                  <c:v>3.5098042170616628E-95</c:v>
                </c:pt>
                <c:pt idx="499">
                  <c:v>7.4197386433236884E-96</c:v>
                </c:pt>
                <c:pt idx="500">
                  <c:v>1.5599059373983203E-96</c:v>
                </c:pt>
                <c:pt idx="501">
                  <c:v>3.261461840319717E-97</c:v>
                </c:pt>
                <c:pt idx="502">
                  <c:v>6.7815704709836519E-98</c:v>
                </c:pt>
                <c:pt idx="503">
                  <c:v>1.402336841396344E-98</c:v>
                </c:pt>
                <c:pt idx="504">
                  <c:v>2.8838887006231463E-99</c:v>
                </c:pt>
                <c:pt idx="505">
                  <c:v>5.8980538609745358E-100</c:v>
                </c:pt>
                <c:pt idx="506">
                  <c:v>1.1996182387784513E-100</c:v>
                </c:pt>
                <c:pt idx="507">
                  <c:v>2.4265065782269729E-101</c:v>
                </c:pt>
                <c:pt idx="508">
                  <c:v>4.8811704455704396E-102</c:v>
                </c:pt>
                <c:pt idx="509">
                  <c:v>9.7649620578698626E-103</c:v>
                </c:pt>
                <c:pt idx="510">
                  <c:v>1.9427693102842456E-103</c:v>
                </c:pt>
                <c:pt idx="511">
                  <c:v>3.8439346493426274E-104</c:v>
                </c:pt>
                <c:pt idx="512">
                  <c:v>7.5637095605030803E-105</c:v>
                </c:pt>
                <c:pt idx="513">
                  <c:v>1.4801229050328892E-105</c:v>
                </c:pt>
                <c:pt idx="514">
                  <c:v>2.8804795874684466E-106</c:v>
                </c:pt>
                <c:pt idx="515">
                  <c:v>5.5748849802236445E-107</c:v>
                </c:pt>
                <c:pt idx="516">
                  <c:v>1.0730281321153728E-107</c:v>
                </c:pt>
                <c:pt idx="517">
                  <c:v>2.0539524819173067E-108</c:v>
                </c:pt>
                <c:pt idx="518">
                  <c:v>3.9099730398376745E-109</c:v>
                </c:pt>
                <c:pt idx="519">
                  <c:v>7.4022069141283489E-110</c:v>
                </c:pt>
                <c:pt idx="520">
                  <c:v>1.3936469407268339E-110</c:v>
                </c:pt>
                <c:pt idx="521">
                  <c:v>2.6094465041672285E-111</c:v>
                </c:pt>
                <c:pt idx="522">
                  <c:v>4.8590136272809178E-112</c:v>
                </c:pt>
                <c:pt idx="523">
                  <c:v>8.9981229554853079E-113</c:v>
                </c:pt>
                <c:pt idx="524">
                  <c:v>1.657142351351873E-113</c:v>
                </c:pt>
                <c:pt idx="525">
                  <c:v>3.0350915603716639E-114</c:v>
                </c:pt>
                <c:pt idx="526">
                  <c:v>5.5282524184662744E-115</c:v>
                </c:pt>
                <c:pt idx="527">
                  <c:v>1.0014009963568935E-115</c:v>
                </c:pt>
                <c:pt idx="528">
                  <c:v>1.8039822532538863E-116</c:v>
                </c:pt>
                <c:pt idx="529">
                  <c:v>3.2319199068421146E-117</c:v>
                </c:pt>
                <c:pt idx="530">
                  <c:v>5.7582830034249775E-118</c:v>
                </c:pt>
                <c:pt idx="531">
                  <c:v>1.0203038098672125E-118</c:v>
                </c:pt>
                <c:pt idx="532">
                  <c:v>1.7979189021472463E-119</c:v>
                </c:pt>
                <c:pt idx="533">
                  <c:v>3.1507560250100025E-120</c:v>
                </c:pt>
                <c:pt idx="534">
                  <c:v>5.4911529360358435E-121</c:v>
                </c:pt>
                <c:pt idx="535">
                  <c:v>9.5173576711393386E-122</c:v>
                </c:pt>
                <c:pt idx="536">
                  <c:v>1.6404890244859411E-122</c:v>
                </c:pt>
                <c:pt idx="537">
                  <c:v>2.8121232724887572E-123</c:v>
                </c:pt>
                <c:pt idx="538">
                  <c:v>4.7940158660919014E-124</c:v>
                </c:pt>
                <c:pt idx="539">
                  <c:v>8.1277187431839379E-125</c:v>
                </c:pt>
                <c:pt idx="540">
                  <c:v>1.3703829709817321E-125</c:v>
                </c:pt>
                <c:pt idx="541">
                  <c:v>2.2978375754811515E-126</c:v>
                </c:pt>
                <c:pt idx="542">
                  <c:v>3.8317819543129235E-127</c:v>
                </c:pt>
                <c:pt idx="543">
                  <c:v>6.3545724519343457E-128</c:v>
                </c:pt>
                <c:pt idx="544">
                  <c:v>1.0480354444000996E-128</c:v>
                </c:pt>
                <c:pt idx="545">
                  <c:v>1.7189755231861096E-129</c:v>
                </c:pt>
                <c:pt idx="546">
                  <c:v>2.8039321601976512E-130</c:v>
                </c:pt>
                <c:pt idx="547">
                  <c:v>4.5485125580565995E-131</c:v>
                </c:pt>
                <c:pt idx="548">
                  <c:v>7.3379606989054634E-132</c:v>
                </c:pt>
                <c:pt idx="549">
                  <c:v>1.1772954126707831E-132</c:v>
                </c:pt>
                <c:pt idx="550">
                  <c:v>1.8784498686309496E-133</c:v>
                </c:pt>
                <c:pt idx="551">
                  <c:v>2.9806971602286061E-134</c:v>
                </c:pt>
                <c:pt idx="552">
                  <c:v>4.7037061801970222E-135</c:v>
                </c:pt>
                <c:pt idx="553">
                  <c:v>7.3818735945692881E-136</c:v>
                </c:pt>
                <c:pt idx="554">
                  <c:v>1.1521183929755384E-136</c:v>
                </c:pt>
                <c:pt idx="555">
                  <c:v>1.7882642845449722E-137</c:v>
                </c:pt>
                <c:pt idx="556">
                  <c:v>2.7603896019974736E-138</c:v>
                </c:pt>
                <c:pt idx="557">
                  <c:v>4.2375335516802646E-139</c:v>
                </c:pt>
                <c:pt idx="558">
                  <c:v>6.4693404116811796E-140</c:v>
                </c:pt>
                <c:pt idx="559">
                  <c:v>9.8222491272003829E-141</c:v>
                </c:pt>
                <c:pt idx="560">
                  <c:v>1.4830847644822779E-141</c:v>
                </c:pt>
                <c:pt idx="561">
                  <c:v>2.2270249821237581E-142</c:v>
                </c:pt>
                <c:pt idx="562">
                  <c:v>3.3257399801511549E-143</c:v>
                </c:pt>
                <c:pt idx="563">
                  <c:v>4.9391882711545037E-144</c:v>
                </c:pt>
                <c:pt idx="564">
                  <c:v>7.2950279043318864E-145</c:v>
                </c:pt>
                <c:pt idx="565">
                  <c:v>1.0715252788950454E-145</c:v>
                </c:pt>
                <c:pt idx="566">
                  <c:v>1.5652437269827376E-146</c:v>
                </c:pt>
                <c:pt idx="567">
                  <c:v>2.2738698843105513E-147</c:v>
                </c:pt>
                <c:pt idx="568">
                  <c:v>3.2851358585749473E-148</c:v>
                </c:pt>
                <c:pt idx="569">
                  <c:v>4.7200342147943488E-149</c:v>
                </c:pt>
                <c:pt idx="570">
                  <c:v>6.7443646885163186E-150</c:v>
                </c:pt>
                <c:pt idx="571">
                  <c:v>9.5838726031899073E-151</c:v>
                </c:pt>
                <c:pt idx="572">
                  <c:v>1.3543942625368434E-151</c:v>
                </c:pt>
                <c:pt idx="573">
                  <c:v>1.9035016855096835E-152</c:v>
                </c:pt>
                <c:pt idx="574">
                  <c:v>2.660513782897353E-153</c:v>
                </c:pt>
                <c:pt idx="575">
                  <c:v>3.6981272228607232E-154</c:v>
                </c:pt>
                <c:pt idx="576">
                  <c:v>5.1121344729330866E-155</c:v>
                </c:pt>
                <c:pt idx="577">
                  <c:v>7.0279194942412233E-156</c:v>
                </c:pt>
                <c:pt idx="578">
                  <c:v>9.6084951157847441E-157</c:v>
                </c:pt>
                <c:pt idx="579">
                  <c:v>1.3064357512248085E-157</c:v>
                </c:pt>
                <c:pt idx="580">
                  <c:v>1.7665454946235136E-158</c:v>
                </c:pt>
                <c:pt idx="581">
                  <c:v>2.3755582471366894E-159</c:v>
                </c:pt>
                <c:pt idx="582">
                  <c:v>3.1769518127073576E-160</c:v>
                </c:pt>
                <c:pt idx="583">
                  <c:v>4.2253205197392952E-161</c:v>
                </c:pt>
                <c:pt idx="584">
                  <c:v>5.5887254745048215E-162</c:v>
                </c:pt>
                <c:pt idx="585">
                  <c:v>7.3513987880301436E-163</c:v>
                </c:pt>
                <c:pt idx="586">
                  <c:v>9.6168152932635901E-164</c:v>
                </c:pt>
                <c:pt idx="587">
                  <c:v>1.2511133385798315E-164</c:v>
                </c:pt>
                <c:pt idx="588">
                  <c:v>1.6186990836984848E-165</c:v>
                </c:pt>
                <c:pt idx="589">
                  <c:v>2.0827621398897424E-166</c:v>
                </c:pt>
                <c:pt idx="590">
                  <c:v>2.6651233561048868E-167</c:v>
                </c:pt>
                <c:pt idx="591">
                  <c:v>3.3915563964434714E-168</c:v>
                </c:pt>
                <c:pt idx="592">
                  <c:v>4.2922485049832795E-169</c:v>
                </c:pt>
                <c:pt idx="593">
                  <c:v>5.4022510182512086E-170</c:v>
                </c:pt>
                <c:pt idx="594">
                  <c:v>6.7619000824501571E-171</c:v>
                </c:pt>
                <c:pt idx="595">
                  <c:v>8.4171840830707389E-172</c:v>
                </c:pt>
                <c:pt idx="596">
                  <c:v>1.0420030459997342E-172</c:v>
                </c:pt>
                <c:pt idx="597">
                  <c:v>1.2828481104051981E-173</c:v>
                </c:pt>
                <c:pt idx="598">
                  <c:v>1.5706722693905428E-174</c:v>
                </c:pt>
                <c:pt idx="599">
                  <c:v>1.9124936449892255E-175</c:v>
                </c:pt>
                <c:pt idx="600">
                  <c:v>2.3158931186241426E-176</c:v>
                </c:pt>
                <c:pt idx="601">
                  <c:v>2.7889524568623656E-177</c:v>
                </c:pt>
                <c:pt idx="602">
                  <c:v>3.340164044121256E-178</c:v>
                </c:pt>
                <c:pt idx="603">
                  <c:v>3.978309524061492E-179</c:v>
                </c:pt>
                <c:pt idx="604">
                  <c:v>4.7123054051325318E-180</c:v>
                </c:pt>
                <c:pt idx="605">
                  <c:v>5.5510146863840214E-181</c:v>
                </c:pt>
                <c:pt idx="606">
                  <c:v>6.5030248025483258E-182</c:v>
                </c:pt>
                <c:pt idx="607">
                  <c:v>7.5763936524904097E-183</c:v>
                </c:pt>
                <c:pt idx="608">
                  <c:v>8.7783671253040826E-184</c:v>
                </c:pt>
                <c:pt idx="609">
                  <c:v>1.0115073318640462E-184</c:v>
                </c:pt>
                <c:pt idx="610">
                  <c:v>1.1591200481862423E-185</c:v>
                </c:pt>
                <c:pt idx="611">
                  <c:v>1.3209667524182431E-186</c:v>
                </c:pt>
                <c:pt idx="612">
                  <c:v>1.4971297604169647E-187</c:v>
                </c:pt>
                <c:pt idx="613">
                  <c:v>1.6874506752816047E-188</c:v>
                </c:pt>
                <c:pt idx="614">
                  <c:v>1.8915020566343951E-189</c:v>
                </c:pt>
                <c:pt idx="615">
                  <c:v>2.1085632629899072E-190</c:v>
                </c:pt>
                <c:pt idx="616">
                  <c:v>2.3376018404169605E-191</c:v>
                </c:pt>
                <c:pt idx="617">
                  <c:v>2.5772617748160063E-192</c:v>
                </c:pt>
                <c:pt idx="618">
                  <c:v>2.8258598014235982E-193</c:v>
                </c:pt>
                <c:pt idx="619">
                  <c:v>3.081390772101171E-194</c:v>
                </c:pt>
                <c:pt idx="620">
                  <c:v>3.341542820881984E-195</c:v>
                </c:pt>
                <c:pt idx="621">
                  <c:v>3.60372274753366E-196</c:v>
                </c:pt>
                <c:pt idx="622">
                  <c:v>3.8650916681255892E-197</c:v>
                </c:pt>
                <c:pt idx="623">
                  <c:v>4.1226105751761318E-198</c:v>
                </c:pt>
                <c:pt idx="624">
                  <c:v>4.3730950256549838E-199</c:v>
                </c:pt>
                <c:pt idx="625">
                  <c:v>4.6132777532170913E-200</c:v>
                </c:pt>
                <c:pt idx="626">
                  <c:v>4.8398776032508476E-201</c:v>
                </c:pt>
                <c:pt idx="627">
                  <c:v>5.0496728375421666E-202</c:v>
                </c:pt>
                <c:pt idx="628">
                  <c:v>5.2395765704065343E-203</c:v>
                </c:pt>
                <c:pt idx="629">
                  <c:v>5.4067118982462097E-204</c:v>
                </c:pt>
                <c:pt idx="630">
                  <c:v>5.5484841841757449E-205</c:v>
                </c:pt>
                <c:pt idx="631">
                  <c:v>5.6626479682625976E-206</c:v>
                </c:pt>
                <c:pt idx="632">
                  <c:v>5.7473660959953794E-207</c:v>
                </c:pt>
                <c:pt idx="633">
                  <c:v>5.8012588906083781E-208</c:v>
                </c:pt>
                <c:pt idx="634">
                  <c:v>5.8234415304864878E-209</c:v>
                </c:pt>
                <c:pt idx="635">
                  <c:v>5.813548216664487E-210</c:v>
                </c:pt>
                <c:pt idx="636">
                  <c:v>5.7717422079772517E-211</c:v>
                </c:pt>
                <c:pt idx="637">
                  <c:v>5.6987113391449443E-212</c:v>
                </c:pt>
                <c:pt idx="638">
                  <c:v>5.5956491937444174E-213</c:v>
                </c:pt>
                <c:pt idx="639">
                  <c:v>5.4642226521898377E-214</c:v>
                </c:pt>
                <c:pt idx="640">
                  <c:v>5.3065270476947531E-215</c:v>
                </c:pt>
                <c:pt idx="641">
                  <c:v>5.1250306159182205E-216</c:v>
                </c:pt>
                <c:pt idx="642">
                  <c:v>4.9225102953905293E-217</c:v>
                </c:pt>
                <c:pt idx="643">
                  <c:v>4.7019812095241132E-218</c:v>
                </c:pt>
                <c:pt idx="644">
                  <c:v>4.4666223262445901E-219</c:v>
                </c:pt>
                <c:pt idx="645">
                  <c:v>4.219700843429506E-220</c:v>
                </c:pt>
                <c:pt idx="646">
                  <c:v>3.9644977891024682E-221</c:v>
                </c:pt>
                <c:pt idx="647">
                  <c:v>3.7042371621456744E-222</c:v>
                </c:pt>
                <c:pt idx="648">
                  <c:v>3.442020684992942E-223</c:v>
                </c:pt>
                <c:pt idx="649">
                  <c:v>3.1807699112784073E-224</c:v>
                </c:pt>
                <c:pt idx="650">
                  <c:v>2.9231770486976988E-225</c:v>
                </c:pt>
                <c:pt idx="651">
                  <c:v>2.671665442093824E-226</c:v>
                </c:pt>
                <c:pt idx="652">
                  <c:v>2.4283602358884487E-227</c:v>
                </c:pt>
                <c:pt idx="653">
                  <c:v>2.1950693194552888E-228</c:v>
                </c:pt>
                <c:pt idx="654">
                  <c:v>1.9732742726825992E-229</c:v>
                </c:pt>
                <c:pt idx="655">
                  <c:v>1.764130687592285E-230</c:v>
                </c:pt>
                <c:pt idx="656">
                  <c:v>1.5684769575556124E-231</c:v>
                </c:pt>
                <c:pt idx="657">
                  <c:v>1.3868504063844368E-232</c:v>
                </c:pt>
                <c:pt idx="658">
                  <c:v>1.2195094792477797E-233</c:v>
                </c:pt>
                <c:pt idx="659">
                  <c:v>1.0664606358694695E-234</c:v>
                </c:pt>
                <c:pt idx="660">
                  <c:v>9.27488570157699E-236</c:v>
                </c:pt>
                <c:pt idx="661">
                  <c:v>8.0218842269711012E-237</c:v>
                </c:pt>
                <c:pt idx="662">
                  <c:v>6.8999874454353405E-238</c:v>
                </c:pt>
                <c:pt idx="663">
                  <c:v>5.9023410215442986E-239</c:v>
                </c:pt>
                <c:pt idx="664">
                  <c:v>5.0211637301077986E-240</c:v>
                </c:pt>
                <c:pt idx="665">
                  <c:v>4.2480395844654584E-241</c:v>
                </c:pt>
                <c:pt idx="666">
                  <c:v>3.5741832395861882E-242</c:v>
                </c:pt>
                <c:pt idx="667">
                  <c:v>2.990674584625585E-243</c:v>
                </c:pt>
                <c:pt idx="668">
                  <c:v>2.4886601471140812E-244</c:v>
                </c:pt>
                <c:pt idx="669">
                  <c:v>2.0595204724413555E-245</c:v>
                </c:pt>
                <c:pt idx="670">
                  <c:v>1.6950039736708324E-246</c:v>
                </c:pt>
                <c:pt idx="671">
                  <c:v>1.3873288416384246E-247</c:v>
                </c:pt>
                <c:pt idx="672">
                  <c:v>1.1292554533908208E-248</c:v>
                </c:pt>
                <c:pt idx="673">
                  <c:v>9.1413232206228333E-250</c:v>
                </c:pt>
                <c:pt idx="674">
                  <c:v>7.3591900847323822E-251</c:v>
                </c:pt>
                <c:pt idx="675">
                  <c:v>5.8918958789472732E-252</c:v>
                </c:pt>
              </c:numCache>
            </c:numRef>
          </c:yVal>
          <c:smooth val="1"/>
        </c:ser>
        <c:ser>
          <c:idx val="4"/>
          <c:order val="5"/>
          <c:tx>
            <c:strRef>
              <c:f>Data!$I$1</c:f>
              <c:strCache>
                <c:ptCount val="1"/>
                <c:pt idx="0">
                  <c:v>Peak 4</c:v>
                </c:pt>
              </c:strCache>
            </c:strRef>
          </c:tx>
          <c:spPr>
            <a:ln w="12700">
              <a:solidFill>
                <a:srgbClr val="800080"/>
              </a:solidFill>
              <a:prstDash val="solid"/>
            </a:ln>
          </c:spPr>
          <c:marker>
            <c:symbol val="none"/>
          </c:marker>
          <c:xVal>
            <c:numRef>
              <c:f>Data!$A$2:$A$1001</c:f>
              <c:numCache>
                <c:formatCode>0.000</c:formatCode>
                <c:ptCount val="1000"/>
                <c:pt idx="0">
                  <c:v>1</c:v>
                </c:pt>
                <c:pt idx="1">
                  <c:v>3</c:v>
                </c:pt>
                <c:pt idx="2">
                  <c:v>5</c:v>
                </c:pt>
                <c:pt idx="3">
                  <c:v>7</c:v>
                </c:pt>
                <c:pt idx="4">
                  <c:v>9</c:v>
                </c:pt>
                <c:pt idx="5">
                  <c:v>11</c:v>
                </c:pt>
                <c:pt idx="6">
                  <c:v>13</c:v>
                </c:pt>
                <c:pt idx="7">
                  <c:v>15</c:v>
                </c:pt>
                <c:pt idx="8">
                  <c:v>17</c:v>
                </c:pt>
                <c:pt idx="9">
                  <c:v>19</c:v>
                </c:pt>
                <c:pt idx="10">
                  <c:v>21</c:v>
                </c:pt>
                <c:pt idx="11">
                  <c:v>23</c:v>
                </c:pt>
                <c:pt idx="12">
                  <c:v>25</c:v>
                </c:pt>
                <c:pt idx="13">
                  <c:v>27</c:v>
                </c:pt>
                <c:pt idx="14">
                  <c:v>29</c:v>
                </c:pt>
                <c:pt idx="15">
                  <c:v>31</c:v>
                </c:pt>
                <c:pt idx="16">
                  <c:v>33</c:v>
                </c:pt>
                <c:pt idx="17">
                  <c:v>35</c:v>
                </c:pt>
                <c:pt idx="18">
                  <c:v>37</c:v>
                </c:pt>
                <c:pt idx="19">
                  <c:v>39</c:v>
                </c:pt>
                <c:pt idx="20">
                  <c:v>41</c:v>
                </c:pt>
                <c:pt idx="21">
                  <c:v>43</c:v>
                </c:pt>
                <c:pt idx="22">
                  <c:v>45</c:v>
                </c:pt>
                <c:pt idx="23">
                  <c:v>47</c:v>
                </c:pt>
                <c:pt idx="24">
                  <c:v>49</c:v>
                </c:pt>
                <c:pt idx="25">
                  <c:v>51</c:v>
                </c:pt>
                <c:pt idx="26">
                  <c:v>53</c:v>
                </c:pt>
                <c:pt idx="27">
                  <c:v>55</c:v>
                </c:pt>
                <c:pt idx="28">
                  <c:v>57</c:v>
                </c:pt>
                <c:pt idx="29">
                  <c:v>59</c:v>
                </c:pt>
                <c:pt idx="30">
                  <c:v>61</c:v>
                </c:pt>
                <c:pt idx="31">
                  <c:v>63</c:v>
                </c:pt>
                <c:pt idx="32">
                  <c:v>65</c:v>
                </c:pt>
                <c:pt idx="33">
                  <c:v>67</c:v>
                </c:pt>
                <c:pt idx="34">
                  <c:v>69</c:v>
                </c:pt>
                <c:pt idx="35">
                  <c:v>71</c:v>
                </c:pt>
                <c:pt idx="36">
                  <c:v>73</c:v>
                </c:pt>
                <c:pt idx="37">
                  <c:v>75</c:v>
                </c:pt>
                <c:pt idx="38">
                  <c:v>77</c:v>
                </c:pt>
                <c:pt idx="39">
                  <c:v>79</c:v>
                </c:pt>
                <c:pt idx="40">
                  <c:v>81</c:v>
                </c:pt>
                <c:pt idx="41">
                  <c:v>83</c:v>
                </c:pt>
                <c:pt idx="42">
                  <c:v>85</c:v>
                </c:pt>
                <c:pt idx="43">
                  <c:v>87</c:v>
                </c:pt>
                <c:pt idx="44">
                  <c:v>89</c:v>
                </c:pt>
                <c:pt idx="45">
                  <c:v>91</c:v>
                </c:pt>
                <c:pt idx="46">
                  <c:v>93</c:v>
                </c:pt>
                <c:pt idx="47">
                  <c:v>95</c:v>
                </c:pt>
                <c:pt idx="48">
                  <c:v>97</c:v>
                </c:pt>
                <c:pt idx="49">
                  <c:v>99</c:v>
                </c:pt>
                <c:pt idx="50">
                  <c:v>101</c:v>
                </c:pt>
                <c:pt idx="51">
                  <c:v>103</c:v>
                </c:pt>
                <c:pt idx="52">
                  <c:v>105</c:v>
                </c:pt>
                <c:pt idx="53">
                  <c:v>107</c:v>
                </c:pt>
                <c:pt idx="54">
                  <c:v>109</c:v>
                </c:pt>
                <c:pt idx="55">
                  <c:v>111</c:v>
                </c:pt>
                <c:pt idx="56">
                  <c:v>113</c:v>
                </c:pt>
                <c:pt idx="57">
                  <c:v>115</c:v>
                </c:pt>
                <c:pt idx="58">
                  <c:v>117</c:v>
                </c:pt>
                <c:pt idx="59">
                  <c:v>119</c:v>
                </c:pt>
                <c:pt idx="60">
                  <c:v>121</c:v>
                </c:pt>
                <c:pt idx="61">
                  <c:v>123</c:v>
                </c:pt>
                <c:pt idx="62">
                  <c:v>125</c:v>
                </c:pt>
                <c:pt idx="63">
                  <c:v>127</c:v>
                </c:pt>
                <c:pt idx="64">
                  <c:v>129</c:v>
                </c:pt>
                <c:pt idx="65">
                  <c:v>131</c:v>
                </c:pt>
                <c:pt idx="66">
                  <c:v>133</c:v>
                </c:pt>
                <c:pt idx="67">
                  <c:v>135</c:v>
                </c:pt>
                <c:pt idx="68">
                  <c:v>137</c:v>
                </c:pt>
                <c:pt idx="69">
                  <c:v>139</c:v>
                </c:pt>
                <c:pt idx="70">
                  <c:v>141</c:v>
                </c:pt>
                <c:pt idx="71">
                  <c:v>143</c:v>
                </c:pt>
                <c:pt idx="72">
                  <c:v>145</c:v>
                </c:pt>
                <c:pt idx="73">
                  <c:v>147</c:v>
                </c:pt>
                <c:pt idx="74">
                  <c:v>149</c:v>
                </c:pt>
                <c:pt idx="75">
                  <c:v>151</c:v>
                </c:pt>
                <c:pt idx="76">
                  <c:v>153</c:v>
                </c:pt>
                <c:pt idx="77">
                  <c:v>155</c:v>
                </c:pt>
                <c:pt idx="78">
                  <c:v>157</c:v>
                </c:pt>
                <c:pt idx="79">
                  <c:v>159</c:v>
                </c:pt>
                <c:pt idx="80">
                  <c:v>161</c:v>
                </c:pt>
                <c:pt idx="81">
                  <c:v>163</c:v>
                </c:pt>
                <c:pt idx="82">
                  <c:v>165</c:v>
                </c:pt>
                <c:pt idx="83">
                  <c:v>167</c:v>
                </c:pt>
                <c:pt idx="84">
                  <c:v>169</c:v>
                </c:pt>
                <c:pt idx="85">
                  <c:v>171</c:v>
                </c:pt>
                <c:pt idx="86">
                  <c:v>173</c:v>
                </c:pt>
                <c:pt idx="87">
                  <c:v>175</c:v>
                </c:pt>
                <c:pt idx="88">
                  <c:v>177</c:v>
                </c:pt>
                <c:pt idx="89">
                  <c:v>179</c:v>
                </c:pt>
                <c:pt idx="90">
                  <c:v>181</c:v>
                </c:pt>
                <c:pt idx="91">
                  <c:v>183</c:v>
                </c:pt>
                <c:pt idx="92">
                  <c:v>185</c:v>
                </c:pt>
                <c:pt idx="93">
                  <c:v>187</c:v>
                </c:pt>
                <c:pt idx="94">
                  <c:v>189</c:v>
                </c:pt>
                <c:pt idx="95">
                  <c:v>191</c:v>
                </c:pt>
                <c:pt idx="96">
                  <c:v>193</c:v>
                </c:pt>
                <c:pt idx="97">
                  <c:v>195</c:v>
                </c:pt>
                <c:pt idx="98">
                  <c:v>197</c:v>
                </c:pt>
                <c:pt idx="99">
                  <c:v>199</c:v>
                </c:pt>
                <c:pt idx="100">
                  <c:v>201</c:v>
                </c:pt>
                <c:pt idx="101">
                  <c:v>203</c:v>
                </c:pt>
                <c:pt idx="102">
                  <c:v>205</c:v>
                </c:pt>
                <c:pt idx="103">
                  <c:v>207</c:v>
                </c:pt>
                <c:pt idx="104">
                  <c:v>209</c:v>
                </c:pt>
                <c:pt idx="105">
                  <c:v>211</c:v>
                </c:pt>
                <c:pt idx="106">
                  <c:v>213</c:v>
                </c:pt>
                <c:pt idx="107">
                  <c:v>215</c:v>
                </c:pt>
                <c:pt idx="108">
                  <c:v>217</c:v>
                </c:pt>
                <c:pt idx="109">
                  <c:v>219</c:v>
                </c:pt>
                <c:pt idx="110">
                  <c:v>221</c:v>
                </c:pt>
                <c:pt idx="111">
                  <c:v>223</c:v>
                </c:pt>
                <c:pt idx="112">
                  <c:v>225</c:v>
                </c:pt>
                <c:pt idx="113">
                  <c:v>227</c:v>
                </c:pt>
                <c:pt idx="114">
                  <c:v>229</c:v>
                </c:pt>
                <c:pt idx="115">
                  <c:v>231</c:v>
                </c:pt>
                <c:pt idx="116">
                  <c:v>233</c:v>
                </c:pt>
                <c:pt idx="117">
                  <c:v>235</c:v>
                </c:pt>
                <c:pt idx="118">
                  <c:v>237</c:v>
                </c:pt>
                <c:pt idx="119">
                  <c:v>239</c:v>
                </c:pt>
                <c:pt idx="120">
                  <c:v>241</c:v>
                </c:pt>
                <c:pt idx="121">
                  <c:v>243</c:v>
                </c:pt>
                <c:pt idx="122">
                  <c:v>245</c:v>
                </c:pt>
                <c:pt idx="123">
                  <c:v>247</c:v>
                </c:pt>
                <c:pt idx="124">
                  <c:v>249</c:v>
                </c:pt>
                <c:pt idx="125">
                  <c:v>251</c:v>
                </c:pt>
                <c:pt idx="126">
                  <c:v>253</c:v>
                </c:pt>
                <c:pt idx="127">
                  <c:v>255</c:v>
                </c:pt>
                <c:pt idx="128">
                  <c:v>257</c:v>
                </c:pt>
                <c:pt idx="129">
                  <c:v>259</c:v>
                </c:pt>
                <c:pt idx="130">
                  <c:v>261</c:v>
                </c:pt>
                <c:pt idx="131">
                  <c:v>263</c:v>
                </c:pt>
                <c:pt idx="132">
                  <c:v>265</c:v>
                </c:pt>
                <c:pt idx="133">
                  <c:v>267</c:v>
                </c:pt>
                <c:pt idx="134">
                  <c:v>269</c:v>
                </c:pt>
                <c:pt idx="135">
                  <c:v>271</c:v>
                </c:pt>
                <c:pt idx="136">
                  <c:v>273</c:v>
                </c:pt>
                <c:pt idx="137">
                  <c:v>275</c:v>
                </c:pt>
                <c:pt idx="138">
                  <c:v>277</c:v>
                </c:pt>
                <c:pt idx="139">
                  <c:v>279</c:v>
                </c:pt>
                <c:pt idx="140">
                  <c:v>281</c:v>
                </c:pt>
                <c:pt idx="141">
                  <c:v>283</c:v>
                </c:pt>
                <c:pt idx="142">
                  <c:v>285</c:v>
                </c:pt>
                <c:pt idx="143">
                  <c:v>287</c:v>
                </c:pt>
                <c:pt idx="144">
                  <c:v>289</c:v>
                </c:pt>
                <c:pt idx="145">
                  <c:v>291</c:v>
                </c:pt>
                <c:pt idx="146">
                  <c:v>293</c:v>
                </c:pt>
                <c:pt idx="147">
                  <c:v>295</c:v>
                </c:pt>
                <c:pt idx="148">
                  <c:v>297</c:v>
                </c:pt>
                <c:pt idx="149">
                  <c:v>299</c:v>
                </c:pt>
                <c:pt idx="150">
                  <c:v>301</c:v>
                </c:pt>
                <c:pt idx="151">
                  <c:v>303</c:v>
                </c:pt>
                <c:pt idx="152">
                  <c:v>305</c:v>
                </c:pt>
                <c:pt idx="153">
                  <c:v>307</c:v>
                </c:pt>
                <c:pt idx="154">
                  <c:v>309</c:v>
                </c:pt>
                <c:pt idx="155">
                  <c:v>311</c:v>
                </c:pt>
                <c:pt idx="156">
                  <c:v>313</c:v>
                </c:pt>
                <c:pt idx="157">
                  <c:v>315</c:v>
                </c:pt>
                <c:pt idx="158">
                  <c:v>317</c:v>
                </c:pt>
                <c:pt idx="159">
                  <c:v>319</c:v>
                </c:pt>
                <c:pt idx="160">
                  <c:v>321</c:v>
                </c:pt>
                <c:pt idx="161">
                  <c:v>323</c:v>
                </c:pt>
                <c:pt idx="162">
                  <c:v>325</c:v>
                </c:pt>
                <c:pt idx="163">
                  <c:v>327</c:v>
                </c:pt>
                <c:pt idx="164">
                  <c:v>329</c:v>
                </c:pt>
                <c:pt idx="165">
                  <c:v>331</c:v>
                </c:pt>
                <c:pt idx="166">
                  <c:v>333</c:v>
                </c:pt>
                <c:pt idx="167">
                  <c:v>335</c:v>
                </c:pt>
                <c:pt idx="168">
                  <c:v>337</c:v>
                </c:pt>
                <c:pt idx="169">
                  <c:v>339</c:v>
                </c:pt>
                <c:pt idx="170">
                  <c:v>341</c:v>
                </c:pt>
                <c:pt idx="171">
                  <c:v>343</c:v>
                </c:pt>
                <c:pt idx="172">
                  <c:v>345</c:v>
                </c:pt>
                <c:pt idx="173">
                  <c:v>347</c:v>
                </c:pt>
                <c:pt idx="174">
                  <c:v>349</c:v>
                </c:pt>
                <c:pt idx="175">
                  <c:v>351</c:v>
                </c:pt>
                <c:pt idx="176">
                  <c:v>353</c:v>
                </c:pt>
                <c:pt idx="177">
                  <c:v>355</c:v>
                </c:pt>
                <c:pt idx="178">
                  <c:v>357</c:v>
                </c:pt>
                <c:pt idx="179">
                  <c:v>359</c:v>
                </c:pt>
                <c:pt idx="180">
                  <c:v>361</c:v>
                </c:pt>
                <c:pt idx="181">
                  <c:v>363</c:v>
                </c:pt>
                <c:pt idx="182">
                  <c:v>365</c:v>
                </c:pt>
                <c:pt idx="183">
                  <c:v>367</c:v>
                </c:pt>
                <c:pt idx="184">
                  <c:v>369</c:v>
                </c:pt>
                <c:pt idx="185">
                  <c:v>371</c:v>
                </c:pt>
                <c:pt idx="186">
                  <c:v>373</c:v>
                </c:pt>
                <c:pt idx="187">
                  <c:v>375</c:v>
                </c:pt>
                <c:pt idx="188">
                  <c:v>377</c:v>
                </c:pt>
                <c:pt idx="189">
                  <c:v>379</c:v>
                </c:pt>
                <c:pt idx="190">
                  <c:v>381</c:v>
                </c:pt>
                <c:pt idx="191">
                  <c:v>383</c:v>
                </c:pt>
                <c:pt idx="192">
                  <c:v>385</c:v>
                </c:pt>
                <c:pt idx="193">
                  <c:v>387</c:v>
                </c:pt>
                <c:pt idx="194">
                  <c:v>389</c:v>
                </c:pt>
                <c:pt idx="195">
                  <c:v>391</c:v>
                </c:pt>
                <c:pt idx="196">
                  <c:v>393</c:v>
                </c:pt>
                <c:pt idx="197">
                  <c:v>395</c:v>
                </c:pt>
                <c:pt idx="198">
                  <c:v>397</c:v>
                </c:pt>
                <c:pt idx="199">
                  <c:v>399</c:v>
                </c:pt>
                <c:pt idx="200">
                  <c:v>401</c:v>
                </c:pt>
                <c:pt idx="201">
                  <c:v>403</c:v>
                </c:pt>
                <c:pt idx="202">
                  <c:v>405</c:v>
                </c:pt>
                <c:pt idx="203">
                  <c:v>407</c:v>
                </c:pt>
                <c:pt idx="204">
                  <c:v>409</c:v>
                </c:pt>
                <c:pt idx="205">
                  <c:v>411</c:v>
                </c:pt>
                <c:pt idx="206">
                  <c:v>413</c:v>
                </c:pt>
                <c:pt idx="207">
                  <c:v>415</c:v>
                </c:pt>
                <c:pt idx="208">
                  <c:v>417</c:v>
                </c:pt>
                <c:pt idx="209">
                  <c:v>419</c:v>
                </c:pt>
                <c:pt idx="210">
                  <c:v>421</c:v>
                </c:pt>
                <c:pt idx="211">
                  <c:v>423</c:v>
                </c:pt>
                <c:pt idx="212">
                  <c:v>425</c:v>
                </c:pt>
                <c:pt idx="213">
                  <c:v>427</c:v>
                </c:pt>
                <c:pt idx="214">
                  <c:v>429</c:v>
                </c:pt>
                <c:pt idx="215">
                  <c:v>431</c:v>
                </c:pt>
                <c:pt idx="216">
                  <c:v>433</c:v>
                </c:pt>
                <c:pt idx="217">
                  <c:v>435</c:v>
                </c:pt>
                <c:pt idx="218">
                  <c:v>437</c:v>
                </c:pt>
                <c:pt idx="219">
                  <c:v>439</c:v>
                </c:pt>
                <c:pt idx="220">
                  <c:v>441</c:v>
                </c:pt>
                <c:pt idx="221">
                  <c:v>443</c:v>
                </c:pt>
                <c:pt idx="222">
                  <c:v>445</c:v>
                </c:pt>
                <c:pt idx="223">
                  <c:v>447</c:v>
                </c:pt>
                <c:pt idx="224">
                  <c:v>449</c:v>
                </c:pt>
                <c:pt idx="225">
                  <c:v>451</c:v>
                </c:pt>
                <c:pt idx="226">
                  <c:v>453</c:v>
                </c:pt>
                <c:pt idx="227">
                  <c:v>455</c:v>
                </c:pt>
                <c:pt idx="228">
                  <c:v>457</c:v>
                </c:pt>
                <c:pt idx="229">
                  <c:v>459</c:v>
                </c:pt>
                <c:pt idx="230">
                  <c:v>461</c:v>
                </c:pt>
                <c:pt idx="231">
                  <c:v>463</c:v>
                </c:pt>
                <c:pt idx="232">
                  <c:v>465</c:v>
                </c:pt>
                <c:pt idx="233">
                  <c:v>467</c:v>
                </c:pt>
                <c:pt idx="234">
                  <c:v>469</c:v>
                </c:pt>
                <c:pt idx="235">
                  <c:v>471</c:v>
                </c:pt>
                <c:pt idx="236">
                  <c:v>473</c:v>
                </c:pt>
                <c:pt idx="237">
                  <c:v>475</c:v>
                </c:pt>
                <c:pt idx="238">
                  <c:v>477</c:v>
                </c:pt>
                <c:pt idx="239">
                  <c:v>479</c:v>
                </c:pt>
                <c:pt idx="240">
                  <c:v>481</c:v>
                </c:pt>
                <c:pt idx="241">
                  <c:v>483</c:v>
                </c:pt>
                <c:pt idx="242">
                  <c:v>485</c:v>
                </c:pt>
                <c:pt idx="243">
                  <c:v>487</c:v>
                </c:pt>
                <c:pt idx="244">
                  <c:v>489</c:v>
                </c:pt>
                <c:pt idx="245">
                  <c:v>491</c:v>
                </c:pt>
                <c:pt idx="246">
                  <c:v>493</c:v>
                </c:pt>
                <c:pt idx="247">
                  <c:v>495</c:v>
                </c:pt>
                <c:pt idx="248">
                  <c:v>497</c:v>
                </c:pt>
                <c:pt idx="249">
                  <c:v>499</c:v>
                </c:pt>
                <c:pt idx="250">
                  <c:v>501</c:v>
                </c:pt>
                <c:pt idx="251">
                  <c:v>503</c:v>
                </c:pt>
                <c:pt idx="252">
                  <c:v>505</c:v>
                </c:pt>
                <c:pt idx="253">
                  <c:v>507</c:v>
                </c:pt>
                <c:pt idx="254">
                  <c:v>509</c:v>
                </c:pt>
                <c:pt idx="255">
                  <c:v>511</c:v>
                </c:pt>
                <c:pt idx="256">
                  <c:v>513</c:v>
                </c:pt>
                <c:pt idx="257">
                  <c:v>515</c:v>
                </c:pt>
                <c:pt idx="258">
                  <c:v>517</c:v>
                </c:pt>
                <c:pt idx="259">
                  <c:v>519</c:v>
                </c:pt>
                <c:pt idx="260">
                  <c:v>521</c:v>
                </c:pt>
                <c:pt idx="261">
                  <c:v>523</c:v>
                </c:pt>
                <c:pt idx="262">
                  <c:v>525</c:v>
                </c:pt>
                <c:pt idx="263">
                  <c:v>527</c:v>
                </c:pt>
                <c:pt idx="264">
                  <c:v>529</c:v>
                </c:pt>
                <c:pt idx="265">
                  <c:v>531</c:v>
                </c:pt>
                <c:pt idx="266">
                  <c:v>533</c:v>
                </c:pt>
                <c:pt idx="267">
                  <c:v>535</c:v>
                </c:pt>
                <c:pt idx="268">
                  <c:v>537</c:v>
                </c:pt>
                <c:pt idx="269">
                  <c:v>539</c:v>
                </c:pt>
                <c:pt idx="270">
                  <c:v>541</c:v>
                </c:pt>
                <c:pt idx="271">
                  <c:v>543</c:v>
                </c:pt>
                <c:pt idx="272">
                  <c:v>545</c:v>
                </c:pt>
                <c:pt idx="273">
                  <c:v>547</c:v>
                </c:pt>
                <c:pt idx="274">
                  <c:v>549</c:v>
                </c:pt>
                <c:pt idx="275">
                  <c:v>551</c:v>
                </c:pt>
                <c:pt idx="276">
                  <c:v>553</c:v>
                </c:pt>
                <c:pt idx="277">
                  <c:v>555</c:v>
                </c:pt>
                <c:pt idx="278">
                  <c:v>557</c:v>
                </c:pt>
                <c:pt idx="279">
                  <c:v>559</c:v>
                </c:pt>
                <c:pt idx="280">
                  <c:v>561</c:v>
                </c:pt>
                <c:pt idx="281">
                  <c:v>563</c:v>
                </c:pt>
                <c:pt idx="282">
                  <c:v>565</c:v>
                </c:pt>
                <c:pt idx="283">
                  <c:v>567</c:v>
                </c:pt>
                <c:pt idx="284">
                  <c:v>569</c:v>
                </c:pt>
                <c:pt idx="285">
                  <c:v>571</c:v>
                </c:pt>
                <c:pt idx="286">
                  <c:v>573</c:v>
                </c:pt>
                <c:pt idx="287">
                  <c:v>575</c:v>
                </c:pt>
                <c:pt idx="288">
                  <c:v>577</c:v>
                </c:pt>
                <c:pt idx="289">
                  <c:v>579</c:v>
                </c:pt>
                <c:pt idx="290">
                  <c:v>581</c:v>
                </c:pt>
                <c:pt idx="291">
                  <c:v>583</c:v>
                </c:pt>
                <c:pt idx="292">
                  <c:v>585</c:v>
                </c:pt>
                <c:pt idx="293">
                  <c:v>587</c:v>
                </c:pt>
                <c:pt idx="294">
                  <c:v>589</c:v>
                </c:pt>
                <c:pt idx="295">
                  <c:v>591</c:v>
                </c:pt>
                <c:pt idx="296">
                  <c:v>593</c:v>
                </c:pt>
                <c:pt idx="297">
                  <c:v>595</c:v>
                </c:pt>
                <c:pt idx="298">
                  <c:v>597</c:v>
                </c:pt>
                <c:pt idx="299">
                  <c:v>599</c:v>
                </c:pt>
                <c:pt idx="300">
                  <c:v>601</c:v>
                </c:pt>
                <c:pt idx="301">
                  <c:v>603</c:v>
                </c:pt>
                <c:pt idx="302">
                  <c:v>605</c:v>
                </c:pt>
                <c:pt idx="303">
                  <c:v>607</c:v>
                </c:pt>
                <c:pt idx="304">
                  <c:v>609</c:v>
                </c:pt>
                <c:pt idx="305">
                  <c:v>611</c:v>
                </c:pt>
                <c:pt idx="306">
                  <c:v>613</c:v>
                </c:pt>
                <c:pt idx="307">
                  <c:v>615</c:v>
                </c:pt>
                <c:pt idx="308">
                  <c:v>617</c:v>
                </c:pt>
                <c:pt idx="309">
                  <c:v>619</c:v>
                </c:pt>
                <c:pt idx="310">
                  <c:v>621</c:v>
                </c:pt>
                <c:pt idx="311">
                  <c:v>623</c:v>
                </c:pt>
                <c:pt idx="312">
                  <c:v>625</c:v>
                </c:pt>
                <c:pt idx="313">
                  <c:v>627</c:v>
                </c:pt>
                <c:pt idx="314">
                  <c:v>629</c:v>
                </c:pt>
                <c:pt idx="315">
                  <c:v>631</c:v>
                </c:pt>
                <c:pt idx="316">
                  <c:v>633</c:v>
                </c:pt>
                <c:pt idx="317">
                  <c:v>635</c:v>
                </c:pt>
                <c:pt idx="318">
                  <c:v>637</c:v>
                </c:pt>
                <c:pt idx="319">
                  <c:v>639</c:v>
                </c:pt>
                <c:pt idx="320">
                  <c:v>641</c:v>
                </c:pt>
                <c:pt idx="321">
                  <c:v>643</c:v>
                </c:pt>
                <c:pt idx="322">
                  <c:v>645</c:v>
                </c:pt>
                <c:pt idx="323">
                  <c:v>647</c:v>
                </c:pt>
                <c:pt idx="324">
                  <c:v>649</c:v>
                </c:pt>
                <c:pt idx="325">
                  <c:v>651</c:v>
                </c:pt>
                <c:pt idx="326">
                  <c:v>653</c:v>
                </c:pt>
                <c:pt idx="327">
                  <c:v>655</c:v>
                </c:pt>
                <c:pt idx="328">
                  <c:v>657</c:v>
                </c:pt>
                <c:pt idx="329">
                  <c:v>659</c:v>
                </c:pt>
                <c:pt idx="330">
                  <c:v>661</c:v>
                </c:pt>
                <c:pt idx="331">
                  <c:v>663</c:v>
                </c:pt>
                <c:pt idx="332">
                  <c:v>665</c:v>
                </c:pt>
                <c:pt idx="333">
                  <c:v>667</c:v>
                </c:pt>
                <c:pt idx="334">
                  <c:v>669</c:v>
                </c:pt>
                <c:pt idx="335">
                  <c:v>671</c:v>
                </c:pt>
                <c:pt idx="336">
                  <c:v>673</c:v>
                </c:pt>
                <c:pt idx="337">
                  <c:v>675</c:v>
                </c:pt>
                <c:pt idx="338">
                  <c:v>677</c:v>
                </c:pt>
                <c:pt idx="339">
                  <c:v>679</c:v>
                </c:pt>
                <c:pt idx="340">
                  <c:v>681</c:v>
                </c:pt>
                <c:pt idx="341">
                  <c:v>683</c:v>
                </c:pt>
                <c:pt idx="342">
                  <c:v>685</c:v>
                </c:pt>
                <c:pt idx="343">
                  <c:v>687</c:v>
                </c:pt>
                <c:pt idx="344">
                  <c:v>689</c:v>
                </c:pt>
                <c:pt idx="345">
                  <c:v>691</c:v>
                </c:pt>
                <c:pt idx="346">
                  <c:v>693</c:v>
                </c:pt>
                <c:pt idx="347">
                  <c:v>695</c:v>
                </c:pt>
                <c:pt idx="348">
                  <c:v>697</c:v>
                </c:pt>
                <c:pt idx="349">
                  <c:v>699</c:v>
                </c:pt>
                <c:pt idx="350">
                  <c:v>701</c:v>
                </c:pt>
                <c:pt idx="351">
                  <c:v>703</c:v>
                </c:pt>
                <c:pt idx="352">
                  <c:v>705</c:v>
                </c:pt>
                <c:pt idx="353">
                  <c:v>707</c:v>
                </c:pt>
                <c:pt idx="354">
                  <c:v>709</c:v>
                </c:pt>
                <c:pt idx="355">
                  <c:v>711</c:v>
                </c:pt>
                <c:pt idx="356">
                  <c:v>713</c:v>
                </c:pt>
                <c:pt idx="357">
                  <c:v>715</c:v>
                </c:pt>
                <c:pt idx="358">
                  <c:v>717</c:v>
                </c:pt>
                <c:pt idx="359">
                  <c:v>719</c:v>
                </c:pt>
                <c:pt idx="360">
                  <c:v>721</c:v>
                </c:pt>
                <c:pt idx="361">
                  <c:v>723</c:v>
                </c:pt>
                <c:pt idx="362">
                  <c:v>725</c:v>
                </c:pt>
                <c:pt idx="363">
                  <c:v>727</c:v>
                </c:pt>
                <c:pt idx="364">
                  <c:v>729</c:v>
                </c:pt>
                <c:pt idx="365">
                  <c:v>731</c:v>
                </c:pt>
                <c:pt idx="366">
                  <c:v>733</c:v>
                </c:pt>
                <c:pt idx="367">
                  <c:v>735</c:v>
                </c:pt>
                <c:pt idx="368">
                  <c:v>737</c:v>
                </c:pt>
                <c:pt idx="369">
                  <c:v>739</c:v>
                </c:pt>
                <c:pt idx="370">
                  <c:v>741</c:v>
                </c:pt>
                <c:pt idx="371">
                  <c:v>743</c:v>
                </c:pt>
                <c:pt idx="372">
                  <c:v>745</c:v>
                </c:pt>
                <c:pt idx="373">
                  <c:v>747</c:v>
                </c:pt>
                <c:pt idx="374">
                  <c:v>749</c:v>
                </c:pt>
                <c:pt idx="375">
                  <c:v>751</c:v>
                </c:pt>
                <c:pt idx="376">
                  <c:v>753</c:v>
                </c:pt>
                <c:pt idx="377">
                  <c:v>755</c:v>
                </c:pt>
                <c:pt idx="378">
                  <c:v>757</c:v>
                </c:pt>
                <c:pt idx="379">
                  <c:v>759</c:v>
                </c:pt>
                <c:pt idx="380">
                  <c:v>761</c:v>
                </c:pt>
                <c:pt idx="381">
                  <c:v>763</c:v>
                </c:pt>
                <c:pt idx="382">
                  <c:v>765</c:v>
                </c:pt>
                <c:pt idx="383">
                  <c:v>767</c:v>
                </c:pt>
                <c:pt idx="384">
                  <c:v>769</c:v>
                </c:pt>
                <c:pt idx="385">
                  <c:v>771</c:v>
                </c:pt>
                <c:pt idx="386">
                  <c:v>773</c:v>
                </c:pt>
                <c:pt idx="387">
                  <c:v>775</c:v>
                </c:pt>
                <c:pt idx="388">
                  <c:v>777</c:v>
                </c:pt>
                <c:pt idx="389">
                  <c:v>779</c:v>
                </c:pt>
                <c:pt idx="390">
                  <c:v>781</c:v>
                </c:pt>
                <c:pt idx="391">
                  <c:v>783</c:v>
                </c:pt>
                <c:pt idx="392">
                  <c:v>785</c:v>
                </c:pt>
                <c:pt idx="393">
                  <c:v>787</c:v>
                </c:pt>
                <c:pt idx="394">
                  <c:v>789</c:v>
                </c:pt>
                <c:pt idx="395">
                  <c:v>791</c:v>
                </c:pt>
                <c:pt idx="396">
                  <c:v>793</c:v>
                </c:pt>
                <c:pt idx="397">
                  <c:v>795</c:v>
                </c:pt>
                <c:pt idx="398">
                  <c:v>797</c:v>
                </c:pt>
                <c:pt idx="399">
                  <c:v>799</c:v>
                </c:pt>
                <c:pt idx="400">
                  <c:v>801</c:v>
                </c:pt>
                <c:pt idx="401">
                  <c:v>803</c:v>
                </c:pt>
                <c:pt idx="402">
                  <c:v>805</c:v>
                </c:pt>
                <c:pt idx="403">
                  <c:v>807</c:v>
                </c:pt>
                <c:pt idx="404">
                  <c:v>809</c:v>
                </c:pt>
                <c:pt idx="405">
                  <c:v>811</c:v>
                </c:pt>
                <c:pt idx="406">
                  <c:v>813</c:v>
                </c:pt>
                <c:pt idx="407">
                  <c:v>815</c:v>
                </c:pt>
                <c:pt idx="408">
                  <c:v>817</c:v>
                </c:pt>
                <c:pt idx="409">
                  <c:v>819</c:v>
                </c:pt>
                <c:pt idx="410">
                  <c:v>821</c:v>
                </c:pt>
                <c:pt idx="411">
                  <c:v>823</c:v>
                </c:pt>
                <c:pt idx="412">
                  <c:v>825</c:v>
                </c:pt>
                <c:pt idx="413">
                  <c:v>827</c:v>
                </c:pt>
                <c:pt idx="414">
                  <c:v>829</c:v>
                </c:pt>
                <c:pt idx="415">
                  <c:v>831</c:v>
                </c:pt>
                <c:pt idx="416">
                  <c:v>833</c:v>
                </c:pt>
                <c:pt idx="417">
                  <c:v>835</c:v>
                </c:pt>
                <c:pt idx="418">
                  <c:v>837</c:v>
                </c:pt>
                <c:pt idx="419">
                  <c:v>839</c:v>
                </c:pt>
                <c:pt idx="420">
                  <c:v>841</c:v>
                </c:pt>
                <c:pt idx="421">
                  <c:v>843</c:v>
                </c:pt>
                <c:pt idx="422">
                  <c:v>845</c:v>
                </c:pt>
                <c:pt idx="423">
                  <c:v>847</c:v>
                </c:pt>
                <c:pt idx="424">
                  <c:v>849</c:v>
                </c:pt>
                <c:pt idx="425">
                  <c:v>851</c:v>
                </c:pt>
                <c:pt idx="426">
                  <c:v>853</c:v>
                </c:pt>
                <c:pt idx="427">
                  <c:v>855</c:v>
                </c:pt>
                <c:pt idx="428">
                  <c:v>857</c:v>
                </c:pt>
                <c:pt idx="429">
                  <c:v>859</c:v>
                </c:pt>
                <c:pt idx="430">
                  <c:v>861</c:v>
                </c:pt>
                <c:pt idx="431">
                  <c:v>863</c:v>
                </c:pt>
                <c:pt idx="432">
                  <c:v>865</c:v>
                </c:pt>
                <c:pt idx="433">
                  <c:v>867</c:v>
                </c:pt>
                <c:pt idx="434">
                  <c:v>869</c:v>
                </c:pt>
                <c:pt idx="435">
                  <c:v>871</c:v>
                </c:pt>
                <c:pt idx="436">
                  <c:v>873</c:v>
                </c:pt>
                <c:pt idx="437">
                  <c:v>875</c:v>
                </c:pt>
                <c:pt idx="438">
                  <c:v>877</c:v>
                </c:pt>
                <c:pt idx="439">
                  <c:v>879</c:v>
                </c:pt>
                <c:pt idx="440">
                  <c:v>881</c:v>
                </c:pt>
                <c:pt idx="441">
                  <c:v>883</c:v>
                </c:pt>
                <c:pt idx="442">
                  <c:v>885</c:v>
                </c:pt>
                <c:pt idx="443">
                  <c:v>887</c:v>
                </c:pt>
                <c:pt idx="444">
                  <c:v>889</c:v>
                </c:pt>
                <c:pt idx="445">
                  <c:v>891</c:v>
                </c:pt>
                <c:pt idx="446">
                  <c:v>893</c:v>
                </c:pt>
                <c:pt idx="447">
                  <c:v>895</c:v>
                </c:pt>
                <c:pt idx="448">
                  <c:v>897</c:v>
                </c:pt>
                <c:pt idx="449">
                  <c:v>899</c:v>
                </c:pt>
                <c:pt idx="450">
                  <c:v>901</c:v>
                </c:pt>
                <c:pt idx="451">
                  <c:v>903</c:v>
                </c:pt>
                <c:pt idx="452">
                  <c:v>905</c:v>
                </c:pt>
                <c:pt idx="453">
                  <c:v>907</c:v>
                </c:pt>
                <c:pt idx="454">
                  <c:v>909</c:v>
                </c:pt>
                <c:pt idx="455">
                  <c:v>911</c:v>
                </c:pt>
                <c:pt idx="456">
                  <c:v>913</c:v>
                </c:pt>
                <c:pt idx="457">
                  <c:v>915</c:v>
                </c:pt>
                <c:pt idx="458">
                  <c:v>917</c:v>
                </c:pt>
                <c:pt idx="459">
                  <c:v>919</c:v>
                </c:pt>
                <c:pt idx="460">
                  <c:v>921</c:v>
                </c:pt>
                <c:pt idx="461">
                  <c:v>923</c:v>
                </c:pt>
                <c:pt idx="462">
                  <c:v>925</c:v>
                </c:pt>
                <c:pt idx="463">
                  <c:v>927</c:v>
                </c:pt>
                <c:pt idx="464">
                  <c:v>929</c:v>
                </c:pt>
                <c:pt idx="465">
                  <c:v>931</c:v>
                </c:pt>
                <c:pt idx="466">
                  <c:v>933</c:v>
                </c:pt>
                <c:pt idx="467">
                  <c:v>935</c:v>
                </c:pt>
                <c:pt idx="468">
                  <c:v>937</c:v>
                </c:pt>
                <c:pt idx="469">
                  <c:v>939</c:v>
                </c:pt>
                <c:pt idx="470">
                  <c:v>941</c:v>
                </c:pt>
                <c:pt idx="471">
                  <c:v>943</c:v>
                </c:pt>
                <c:pt idx="472">
                  <c:v>945</c:v>
                </c:pt>
                <c:pt idx="473">
                  <c:v>947</c:v>
                </c:pt>
                <c:pt idx="474">
                  <c:v>949</c:v>
                </c:pt>
                <c:pt idx="475">
                  <c:v>951</c:v>
                </c:pt>
                <c:pt idx="476">
                  <c:v>953</c:v>
                </c:pt>
                <c:pt idx="477">
                  <c:v>955</c:v>
                </c:pt>
                <c:pt idx="478">
                  <c:v>957</c:v>
                </c:pt>
                <c:pt idx="479">
                  <c:v>959</c:v>
                </c:pt>
                <c:pt idx="480">
                  <c:v>961</c:v>
                </c:pt>
                <c:pt idx="481">
                  <c:v>963</c:v>
                </c:pt>
                <c:pt idx="482">
                  <c:v>965</c:v>
                </c:pt>
                <c:pt idx="483">
                  <c:v>967</c:v>
                </c:pt>
                <c:pt idx="484">
                  <c:v>969</c:v>
                </c:pt>
                <c:pt idx="485">
                  <c:v>971</c:v>
                </c:pt>
                <c:pt idx="486">
                  <c:v>973</c:v>
                </c:pt>
                <c:pt idx="487">
                  <c:v>975</c:v>
                </c:pt>
                <c:pt idx="488">
                  <c:v>977</c:v>
                </c:pt>
                <c:pt idx="489">
                  <c:v>979</c:v>
                </c:pt>
                <c:pt idx="490">
                  <c:v>981</c:v>
                </c:pt>
                <c:pt idx="491">
                  <c:v>983</c:v>
                </c:pt>
                <c:pt idx="492">
                  <c:v>985</c:v>
                </c:pt>
                <c:pt idx="493">
                  <c:v>987</c:v>
                </c:pt>
                <c:pt idx="494">
                  <c:v>989</c:v>
                </c:pt>
                <c:pt idx="495">
                  <c:v>991</c:v>
                </c:pt>
                <c:pt idx="496">
                  <c:v>993</c:v>
                </c:pt>
                <c:pt idx="497">
                  <c:v>995</c:v>
                </c:pt>
                <c:pt idx="498">
                  <c:v>997</c:v>
                </c:pt>
                <c:pt idx="499">
                  <c:v>999</c:v>
                </c:pt>
                <c:pt idx="500">
                  <c:v>1001</c:v>
                </c:pt>
                <c:pt idx="501">
                  <c:v>1003</c:v>
                </c:pt>
                <c:pt idx="502">
                  <c:v>1005</c:v>
                </c:pt>
                <c:pt idx="503">
                  <c:v>1007</c:v>
                </c:pt>
                <c:pt idx="504">
                  <c:v>1009</c:v>
                </c:pt>
                <c:pt idx="505">
                  <c:v>1011</c:v>
                </c:pt>
                <c:pt idx="506">
                  <c:v>1013</c:v>
                </c:pt>
                <c:pt idx="507">
                  <c:v>1015</c:v>
                </c:pt>
                <c:pt idx="508">
                  <c:v>1017</c:v>
                </c:pt>
                <c:pt idx="509">
                  <c:v>1019</c:v>
                </c:pt>
                <c:pt idx="510">
                  <c:v>1021</c:v>
                </c:pt>
                <c:pt idx="511">
                  <c:v>1023</c:v>
                </c:pt>
                <c:pt idx="512">
                  <c:v>1025</c:v>
                </c:pt>
                <c:pt idx="513">
                  <c:v>1027</c:v>
                </c:pt>
                <c:pt idx="514">
                  <c:v>1029</c:v>
                </c:pt>
                <c:pt idx="515">
                  <c:v>1031</c:v>
                </c:pt>
                <c:pt idx="516">
                  <c:v>1033</c:v>
                </c:pt>
                <c:pt idx="517">
                  <c:v>1035</c:v>
                </c:pt>
                <c:pt idx="518">
                  <c:v>1037</c:v>
                </c:pt>
                <c:pt idx="519">
                  <c:v>1039</c:v>
                </c:pt>
                <c:pt idx="520">
                  <c:v>1041</c:v>
                </c:pt>
                <c:pt idx="521">
                  <c:v>1043</c:v>
                </c:pt>
                <c:pt idx="522">
                  <c:v>1045</c:v>
                </c:pt>
                <c:pt idx="523">
                  <c:v>1047</c:v>
                </c:pt>
                <c:pt idx="524">
                  <c:v>1049</c:v>
                </c:pt>
                <c:pt idx="525">
                  <c:v>1051</c:v>
                </c:pt>
                <c:pt idx="526">
                  <c:v>1053</c:v>
                </c:pt>
                <c:pt idx="527">
                  <c:v>1055</c:v>
                </c:pt>
                <c:pt idx="528">
                  <c:v>1057</c:v>
                </c:pt>
                <c:pt idx="529">
                  <c:v>1059</c:v>
                </c:pt>
                <c:pt idx="530">
                  <c:v>1061</c:v>
                </c:pt>
                <c:pt idx="531">
                  <c:v>1063</c:v>
                </c:pt>
                <c:pt idx="532">
                  <c:v>1065</c:v>
                </c:pt>
                <c:pt idx="533">
                  <c:v>1067</c:v>
                </c:pt>
                <c:pt idx="534">
                  <c:v>1069</c:v>
                </c:pt>
                <c:pt idx="535">
                  <c:v>1071</c:v>
                </c:pt>
                <c:pt idx="536">
                  <c:v>1073</c:v>
                </c:pt>
                <c:pt idx="537">
                  <c:v>1075</c:v>
                </c:pt>
                <c:pt idx="538">
                  <c:v>1077</c:v>
                </c:pt>
                <c:pt idx="539">
                  <c:v>1079</c:v>
                </c:pt>
                <c:pt idx="540">
                  <c:v>1081</c:v>
                </c:pt>
                <c:pt idx="541">
                  <c:v>1083</c:v>
                </c:pt>
                <c:pt idx="542">
                  <c:v>1085</c:v>
                </c:pt>
                <c:pt idx="543">
                  <c:v>1087</c:v>
                </c:pt>
                <c:pt idx="544">
                  <c:v>1089</c:v>
                </c:pt>
                <c:pt idx="545">
                  <c:v>1091</c:v>
                </c:pt>
                <c:pt idx="546">
                  <c:v>1093</c:v>
                </c:pt>
                <c:pt idx="547">
                  <c:v>1095</c:v>
                </c:pt>
                <c:pt idx="548">
                  <c:v>1097</c:v>
                </c:pt>
                <c:pt idx="549">
                  <c:v>1099</c:v>
                </c:pt>
                <c:pt idx="550">
                  <c:v>1101</c:v>
                </c:pt>
                <c:pt idx="551">
                  <c:v>1103</c:v>
                </c:pt>
                <c:pt idx="552">
                  <c:v>1105</c:v>
                </c:pt>
                <c:pt idx="553">
                  <c:v>1107</c:v>
                </c:pt>
                <c:pt idx="554">
                  <c:v>1109</c:v>
                </c:pt>
                <c:pt idx="555">
                  <c:v>1111</c:v>
                </c:pt>
                <c:pt idx="556">
                  <c:v>1113</c:v>
                </c:pt>
                <c:pt idx="557">
                  <c:v>1115</c:v>
                </c:pt>
                <c:pt idx="558">
                  <c:v>1117</c:v>
                </c:pt>
                <c:pt idx="559">
                  <c:v>1119</c:v>
                </c:pt>
                <c:pt idx="560">
                  <c:v>1121</c:v>
                </c:pt>
                <c:pt idx="561">
                  <c:v>1123</c:v>
                </c:pt>
                <c:pt idx="562">
                  <c:v>1125</c:v>
                </c:pt>
                <c:pt idx="563">
                  <c:v>1127</c:v>
                </c:pt>
                <c:pt idx="564">
                  <c:v>1129</c:v>
                </c:pt>
                <c:pt idx="565">
                  <c:v>1131</c:v>
                </c:pt>
                <c:pt idx="566">
                  <c:v>1133</c:v>
                </c:pt>
                <c:pt idx="567">
                  <c:v>1135</c:v>
                </c:pt>
                <c:pt idx="568">
                  <c:v>1137</c:v>
                </c:pt>
                <c:pt idx="569">
                  <c:v>1139</c:v>
                </c:pt>
                <c:pt idx="570">
                  <c:v>1141</c:v>
                </c:pt>
                <c:pt idx="571">
                  <c:v>1143</c:v>
                </c:pt>
                <c:pt idx="572">
                  <c:v>1145</c:v>
                </c:pt>
                <c:pt idx="573">
                  <c:v>1147</c:v>
                </c:pt>
                <c:pt idx="574">
                  <c:v>1149</c:v>
                </c:pt>
                <c:pt idx="575">
                  <c:v>1151</c:v>
                </c:pt>
                <c:pt idx="576">
                  <c:v>1153</c:v>
                </c:pt>
                <c:pt idx="577">
                  <c:v>1155</c:v>
                </c:pt>
                <c:pt idx="578">
                  <c:v>1157</c:v>
                </c:pt>
                <c:pt idx="579">
                  <c:v>1159</c:v>
                </c:pt>
                <c:pt idx="580">
                  <c:v>1161</c:v>
                </c:pt>
                <c:pt idx="581">
                  <c:v>1163</c:v>
                </c:pt>
                <c:pt idx="582">
                  <c:v>1165</c:v>
                </c:pt>
                <c:pt idx="583">
                  <c:v>1167</c:v>
                </c:pt>
                <c:pt idx="584">
                  <c:v>1169</c:v>
                </c:pt>
                <c:pt idx="585">
                  <c:v>1171</c:v>
                </c:pt>
                <c:pt idx="586">
                  <c:v>1173</c:v>
                </c:pt>
                <c:pt idx="587">
                  <c:v>1175</c:v>
                </c:pt>
                <c:pt idx="588">
                  <c:v>1177</c:v>
                </c:pt>
                <c:pt idx="589">
                  <c:v>1179</c:v>
                </c:pt>
                <c:pt idx="590">
                  <c:v>1181</c:v>
                </c:pt>
                <c:pt idx="591">
                  <c:v>1183</c:v>
                </c:pt>
                <c:pt idx="592">
                  <c:v>1185</c:v>
                </c:pt>
                <c:pt idx="593">
                  <c:v>1187</c:v>
                </c:pt>
                <c:pt idx="594">
                  <c:v>1189</c:v>
                </c:pt>
                <c:pt idx="595">
                  <c:v>1191</c:v>
                </c:pt>
                <c:pt idx="596">
                  <c:v>1193</c:v>
                </c:pt>
                <c:pt idx="597">
                  <c:v>1195</c:v>
                </c:pt>
                <c:pt idx="598">
                  <c:v>1197</c:v>
                </c:pt>
                <c:pt idx="599">
                  <c:v>1199</c:v>
                </c:pt>
                <c:pt idx="600">
                  <c:v>1201</c:v>
                </c:pt>
                <c:pt idx="601">
                  <c:v>1203</c:v>
                </c:pt>
                <c:pt idx="602">
                  <c:v>1205</c:v>
                </c:pt>
                <c:pt idx="603">
                  <c:v>1207</c:v>
                </c:pt>
                <c:pt idx="604">
                  <c:v>1209</c:v>
                </c:pt>
                <c:pt idx="605">
                  <c:v>1211</c:v>
                </c:pt>
                <c:pt idx="606">
                  <c:v>1213</c:v>
                </c:pt>
                <c:pt idx="607">
                  <c:v>1215</c:v>
                </c:pt>
                <c:pt idx="608">
                  <c:v>1217</c:v>
                </c:pt>
                <c:pt idx="609">
                  <c:v>1219</c:v>
                </c:pt>
                <c:pt idx="610">
                  <c:v>1221</c:v>
                </c:pt>
                <c:pt idx="611">
                  <c:v>1223</c:v>
                </c:pt>
                <c:pt idx="612">
                  <c:v>1225</c:v>
                </c:pt>
                <c:pt idx="613">
                  <c:v>1227</c:v>
                </c:pt>
                <c:pt idx="614">
                  <c:v>1229</c:v>
                </c:pt>
                <c:pt idx="615">
                  <c:v>1231</c:v>
                </c:pt>
                <c:pt idx="616">
                  <c:v>1233</c:v>
                </c:pt>
                <c:pt idx="617">
                  <c:v>1235</c:v>
                </c:pt>
                <c:pt idx="618">
                  <c:v>1237</c:v>
                </c:pt>
                <c:pt idx="619">
                  <c:v>1239</c:v>
                </c:pt>
                <c:pt idx="620">
                  <c:v>1241</c:v>
                </c:pt>
                <c:pt idx="621">
                  <c:v>1243</c:v>
                </c:pt>
                <c:pt idx="622">
                  <c:v>1245</c:v>
                </c:pt>
                <c:pt idx="623">
                  <c:v>1247</c:v>
                </c:pt>
                <c:pt idx="624">
                  <c:v>1249</c:v>
                </c:pt>
                <c:pt idx="625">
                  <c:v>1251</c:v>
                </c:pt>
                <c:pt idx="626">
                  <c:v>1253</c:v>
                </c:pt>
                <c:pt idx="627">
                  <c:v>1255</c:v>
                </c:pt>
                <c:pt idx="628">
                  <c:v>1257</c:v>
                </c:pt>
                <c:pt idx="629">
                  <c:v>1259</c:v>
                </c:pt>
                <c:pt idx="630">
                  <c:v>1261</c:v>
                </c:pt>
                <c:pt idx="631">
                  <c:v>1263</c:v>
                </c:pt>
                <c:pt idx="632">
                  <c:v>1265</c:v>
                </c:pt>
                <c:pt idx="633">
                  <c:v>1267</c:v>
                </c:pt>
                <c:pt idx="634">
                  <c:v>1269</c:v>
                </c:pt>
                <c:pt idx="635">
                  <c:v>1271</c:v>
                </c:pt>
                <c:pt idx="636">
                  <c:v>1273</c:v>
                </c:pt>
                <c:pt idx="637">
                  <c:v>1275</c:v>
                </c:pt>
                <c:pt idx="638">
                  <c:v>1277</c:v>
                </c:pt>
                <c:pt idx="639">
                  <c:v>1279</c:v>
                </c:pt>
                <c:pt idx="640">
                  <c:v>1281</c:v>
                </c:pt>
                <c:pt idx="641">
                  <c:v>1283</c:v>
                </c:pt>
                <c:pt idx="642">
                  <c:v>1285</c:v>
                </c:pt>
                <c:pt idx="643">
                  <c:v>1287</c:v>
                </c:pt>
                <c:pt idx="644">
                  <c:v>1289</c:v>
                </c:pt>
                <c:pt idx="645">
                  <c:v>1291</c:v>
                </c:pt>
                <c:pt idx="646">
                  <c:v>1293</c:v>
                </c:pt>
                <c:pt idx="647">
                  <c:v>1295</c:v>
                </c:pt>
                <c:pt idx="648">
                  <c:v>1297</c:v>
                </c:pt>
                <c:pt idx="649">
                  <c:v>1299</c:v>
                </c:pt>
                <c:pt idx="650">
                  <c:v>1301</c:v>
                </c:pt>
                <c:pt idx="651">
                  <c:v>1303</c:v>
                </c:pt>
                <c:pt idx="652">
                  <c:v>1305</c:v>
                </c:pt>
                <c:pt idx="653">
                  <c:v>1307</c:v>
                </c:pt>
                <c:pt idx="654">
                  <c:v>1309</c:v>
                </c:pt>
                <c:pt idx="655">
                  <c:v>1311</c:v>
                </c:pt>
                <c:pt idx="656">
                  <c:v>1313</c:v>
                </c:pt>
                <c:pt idx="657">
                  <c:v>1315</c:v>
                </c:pt>
                <c:pt idx="658">
                  <c:v>1317</c:v>
                </c:pt>
                <c:pt idx="659">
                  <c:v>1319</c:v>
                </c:pt>
                <c:pt idx="660">
                  <c:v>1321</c:v>
                </c:pt>
                <c:pt idx="661">
                  <c:v>1323</c:v>
                </c:pt>
                <c:pt idx="662">
                  <c:v>1325</c:v>
                </c:pt>
                <c:pt idx="663">
                  <c:v>1327</c:v>
                </c:pt>
                <c:pt idx="664">
                  <c:v>1329</c:v>
                </c:pt>
                <c:pt idx="665">
                  <c:v>1331</c:v>
                </c:pt>
                <c:pt idx="666">
                  <c:v>1333</c:v>
                </c:pt>
                <c:pt idx="667">
                  <c:v>1335</c:v>
                </c:pt>
                <c:pt idx="668">
                  <c:v>1337</c:v>
                </c:pt>
                <c:pt idx="669">
                  <c:v>1339</c:v>
                </c:pt>
                <c:pt idx="670">
                  <c:v>1341</c:v>
                </c:pt>
                <c:pt idx="671">
                  <c:v>1343</c:v>
                </c:pt>
                <c:pt idx="672">
                  <c:v>1345</c:v>
                </c:pt>
                <c:pt idx="673">
                  <c:v>1347</c:v>
                </c:pt>
                <c:pt idx="674">
                  <c:v>1349</c:v>
                </c:pt>
                <c:pt idx="675">
                  <c:v>1351</c:v>
                </c:pt>
                <c:pt idx="676">
                  <c:v>1353</c:v>
                </c:pt>
                <c:pt idx="677">
                  <c:v>1355</c:v>
                </c:pt>
                <c:pt idx="678">
                  <c:v>1357</c:v>
                </c:pt>
              </c:numCache>
            </c:numRef>
          </c:xVal>
          <c:yVal>
            <c:numRef>
              <c:f>Data!$I$2:$I$1001</c:f>
              <c:numCache>
                <c:formatCode>0</c:formatCode>
                <c:ptCount val="1000"/>
                <c:pt idx="0">
                  <c:v>2.6398597707563702</c:v>
                </c:pt>
                <c:pt idx="1">
                  <c:v>2.695373851322596</c:v>
                </c:pt>
                <c:pt idx="2">
                  <c:v>2.7518957839650677</c:v>
                </c:pt>
                <c:pt idx="3">
                  <c:v>2.8094400803476893</c:v>
                </c:pt>
                <c:pt idx="4">
                  <c:v>2.8680213763260105</c:v>
                </c:pt>
                <c:pt idx="5">
                  <c:v>2.9276544311144783</c:v>
                </c:pt>
                <c:pt idx="6">
                  <c:v>2.9883541264001585</c:v>
                </c:pt>
                <c:pt idx="7">
                  <c:v>3.0501354654021462</c:v>
                </c:pt>
                <c:pt idx="8">
                  <c:v>3.1130135718758236</c:v>
                </c:pt>
                <c:pt idx="9">
                  <c:v>3.1770036890612308</c:v>
                </c:pt>
                <c:pt idx="10">
                  <c:v>3.2421211785747106</c:v>
                </c:pt>
                <c:pt idx="11">
                  <c:v>3.3083815192430901</c:v>
                </c:pt>
                <c:pt idx="12">
                  <c:v>3.3758003058795802</c:v>
                </c:pt>
                <c:pt idx="13">
                  <c:v>3.444393248000686</c:v>
                </c:pt>
                <c:pt idx="14">
                  <c:v>3.5141761684833166</c:v>
                </c:pt>
                <c:pt idx="15">
                  <c:v>3.5851650021613977</c:v>
                </c:pt>
                <c:pt idx="16">
                  <c:v>3.6573757943612022</c:v>
                </c:pt>
                <c:pt idx="17">
                  <c:v>3.7308246993747254</c:v>
                </c:pt>
                <c:pt idx="18">
                  <c:v>3.8055279788703325</c:v>
                </c:pt>
                <c:pt idx="19">
                  <c:v>3.8815020002400291</c:v>
                </c:pt>
                <c:pt idx="20">
                  <c:v>3.9587632348826181</c:v>
                </c:pt>
                <c:pt idx="21">
                  <c:v>4.0373282564220823</c:v>
                </c:pt>
                <c:pt idx="22">
                  <c:v>4.1172137388605261</c:v>
                </c:pt>
                <c:pt idx="23">
                  <c:v>4.1984364546650399</c:v>
                </c:pt>
                <c:pt idx="24">
                  <c:v>4.2810132727877814</c:v>
                </c:pt>
                <c:pt idx="25">
                  <c:v>4.3649611566187314</c:v>
                </c:pt>
                <c:pt idx="26">
                  <c:v>4.4502971618704921</c:v>
                </c:pt>
                <c:pt idx="27">
                  <c:v>4.5370384343944608</c:v>
                </c:pt>
                <c:pt idx="28">
                  <c:v>4.6252022079279209</c:v>
                </c:pt>
                <c:pt idx="29">
                  <c:v>4.714805801771405</c:v>
                </c:pt>
                <c:pt idx="30">
                  <c:v>4.8058666183958074</c:v>
                </c:pt>
                <c:pt idx="31">
                  <c:v>4.8984021409787433</c:v>
                </c:pt>
                <c:pt idx="32">
                  <c:v>4.9924299308696032</c:v>
                </c:pt>
                <c:pt idx="33">
                  <c:v>5.0879676249828893</c:v>
                </c:pt>
                <c:pt idx="34">
                  <c:v>5.1850329331192784</c:v>
                </c:pt>
                <c:pt idx="35">
                  <c:v>5.2836436352140446</c:v>
                </c:pt>
                <c:pt idx="36">
                  <c:v>5.3838175785123532</c:v>
                </c:pt>
                <c:pt idx="37">
                  <c:v>5.48557267467109</c:v>
                </c:pt>
                <c:pt idx="38">
                  <c:v>5.5889268967867762</c:v>
                </c:pt>
                <c:pt idx="39">
                  <c:v>5.6938982763492652</c:v>
                </c:pt>
                <c:pt idx="40">
                  <c:v>5.8005049001208642</c:v>
                </c:pt>
                <c:pt idx="41">
                  <c:v>5.9087649069405561</c:v>
                </c:pt>
                <c:pt idx="42">
                  <c:v>6.018696484453109</c:v>
                </c:pt>
                <c:pt idx="43">
                  <c:v>6.1303178657626853</c:v>
                </c:pt>
                <c:pt idx="44">
                  <c:v>6.2436473260108656</c:v>
                </c:pt>
                <c:pt idx="45">
                  <c:v>6.3587031788787725</c:v>
                </c:pt>
                <c:pt idx="46">
                  <c:v>6.4755037730131573</c:v>
                </c:pt>
                <c:pt idx="47">
                  <c:v>6.594067488376302</c:v>
                </c:pt>
                <c:pt idx="48">
                  <c:v>6.714412732519607</c:v>
                </c:pt>
                <c:pt idx="49">
                  <c:v>6.8365579367807525</c:v>
                </c:pt>
                <c:pt idx="50">
                  <c:v>6.9605215524044262</c:v>
                </c:pt>
                <c:pt idx="51">
                  <c:v>7.0863220465864973</c:v>
                </c:pt>
                <c:pt idx="52">
                  <c:v>7.2139778984417138</c:v>
                </c:pt>
                <c:pt idx="53">
                  <c:v>7.3435075948949011</c:v>
                </c:pt>
                <c:pt idx="54">
                  <c:v>7.4749296264957659</c:v>
                </c:pt>
                <c:pt idx="55">
                  <c:v>7.6082624831573256</c:v>
                </c:pt>
                <c:pt idx="56">
                  <c:v>7.7435246498181813</c:v>
                </c:pt>
                <c:pt idx="57">
                  <c:v>7.8807346020287135</c:v>
                </c:pt>
                <c:pt idx="58">
                  <c:v>8.0199108014614389</c:v>
                </c:pt>
                <c:pt idx="59">
                  <c:v>8.1610716913457413</c:v>
                </c:pt>
                <c:pt idx="60">
                  <c:v>8.3042356918272286</c:v>
                </c:pt>
                <c:pt idx="61">
                  <c:v>8.4494211952520555</c:v>
                </c:pt>
                <c:pt idx="62">
                  <c:v>8.5966465613764651</c:v>
                </c:pt>
                <c:pt idx="63">
                  <c:v>8.745930112502009</c:v>
                </c:pt>
                <c:pt idx="64">
                  <c:v>8.8972901285368007</c:v>
                </c:pt>
                <c:pt idx="65">
                  <c:v>9.050744841983251</c:v>
                </c:pt>
                <c:pt idx="66">
                  <c:v>9.2063124328527817</c:v>
                </c:pt>
                <c:pt idx="67">
                  <c:v>9.3640110235080378</c:v>
                </c:pt>
                <c:pt idx="68">
                  <c:v>9.5238586734331321</c:v>
                </c:pt>
                <c:pt idx="69">
                  <c:v>9.6858733739325693</c:v>
                </c:pt>
                <c:pt idx="70">
                  <c:v>9.8500730427594192</c:v>
                </c:pt>
                <c:pt idx="71">
                  <c:v>10.016475518673486</c:v>
                </c:pt>
                <c:pt idx="72">
                  <c:v>10.185098555930141</c:v>
                </c:pt>
                <c:pt idx="73">
                  <c:v>10.355959818700622</c:v>
                </c:pt>
                <c:pt idx="74">
                  <c:v>10.529076875424531</c:v>
                </c:pt>
                <c:pt idx="75">
                  <c:v>10.704467193095446</c:v>
                </c:pt>
                <c:pt idx="76">
                  <c:v>10.882148131480477</c:v>
                </c:pt>
                <c:pt idx="77">
                  <c:v>11.062136937274746</c:v>
                </c:pt>
                <c:pt idx="78">
                  <c:v>11.244450738191643</c:v>
                </c:pt>
                <c:pt idx="79">
                  <c:v>11.429106536990007</c:v>
                </c:pt>
                <c:pt idx="80">
                  <c:v>11.6161212054392</c:v>
                </c:pt>
                <c:pt idx="81">
                  <c:v>11.805511478223183</c:v>
                </c:pt>
                <c:pt idx="82">
                  <c:v>11.997293946784717</c:v>
                </c:pt>
                <c:pt idx="83">
                  <c:v>12.191485053110902</c:v>
                </c:pt>
                <c:pt idx="84">
                  <c:v>12.388101083461256</c:v>
                </c:pt>
                <c:pt idx="85">
                  <c:v>12.587158162039602</c:v>
                </c:pt>
                <c:pt idx="86">
                  <c:v>12.788672244611046</c:v>
                </c:pt>
                <c:pt idx="87">
                  <c:v>12.992659112065468</c:v>
                </c:pt>
                <c:pt idx="88">
                  <c:v>13.199134363928863</c:v>
                </c:pt>
                <c:pt idx="89">
                  <c:v>13.408113411823978</c:v>
                </c:pt>
                <c:pt idx="90">
                  <c:v>13.619611472881751</c:v>
                </c:pt>
                <c:pt idx="91">
                  <c:v>13.833643563105069</c:v>
                </c:pt>
                <c:pt idx="92">
                  <c:v>14.050224490686443</c:v>
                </c:pt>
                <c:pt idx="93">
                  <c:v>14.269368849281145</c:v>
                </c:pt>
                <c:pt idx="94">
                  <c:v>14.491091011237543</c:v>
                </c:pt>
                <c:pt idx="95">
                  <c:v>14.715405120786292</c:v>
                </c:pt>
                <c:pt idx="96">
                  <c:v>14.9423250871902</c:v>
                </c:pt>
                <c:pt idx="97">
                  <c:v>15.171864577856363</c:v>
                </c:pt>
                <c:pt idx="98">
                  <c:v>15.404037011412688</c:v>
                </c:pt>
                <c:pt idx="99">
                  <c:v>15.638855550750455</c:v>
                </c:pt>
                <c:pt idx="100">
                  <c:v>15.876333096034914</c:v>
                </c:pt>
                <c:pt idx="101">
                  <c:v>16.116482277685883</c:v>
                </c:pt>
                <c:pt idx="102">
                  <c:v>16.359315449330357</c:v>
                </c:pt>
                <c:pt idx="103">
                  <c:v>16.604844680729112</c:v>
                </c:pt>
                <c:pt idx="104">
                  <c:v>16.853081750679532</c:v>
                </c:pt>
                <c:pt idx="105">
                  <c:v>17.104038139896556</c:v>
                </c:pt>
                <c:pt idx="106">
                  <c:v>17.357725023874149</c:v>
                </c:pt>
                <c:pt idx="107">
                  <c:v>17.614153265729403</c:v>
                </c:pt>
                <c:pt idx="108">
                  <c:v>17.873333409031439</c:v>
                </c:pt>
                <c:pt idx="109">
                  <c:v>18.135275670617606</c:v>
                </c:pt>
                <c:pt idx="110">
                  <c:v>18.399989933399031</c:v>
                </c:pt>
                <c:pt idx="111">
                  <c:v>18.667485739158181</c:v>
                </c:pt>
                <c:pt idx="112">
                  <c:v>18.937772281340571</c:v>
                </c:pt>
                <c:pt idx="113">
                  <c:v>19.210858397843285</c:v>
                </c:pt>
                <c:pt idx="114">
                  <c:v>19.486752563802586</c:v>
                </c:pt>
                <c:pt idx="115">
                  <c:v>19.765462884383361</c:v>
                </c:pt>
                <c:pt idx="116">
                  <c:v>20.046997087572681</c:v>
                </c:pt>
                <c:pt idx="117">
                  <c:v>20.331362516980327</c:v>
                </c:pt>
                <c:pt idx="118">
                  <c:v>20.61856612464868</c:v>
                </c:pt>
                <c:pt idx="119">
                  <c:v>20.908614463874812</c:v>
                </c:pt>
                <c:pt idx="120">
                  <c:v>21.201513682047349</c:v>
                </c:pt>
                <c:pt idx="121">
                  <c:v>21.497269513500793</c:v>
                </c:pt>
                <c:pt idx="122">
                  <c:v>21.795887272390264</c:v>
                </c:pt>
                <c:pt idx="123">
                  <c:v>22.097371845589119</c:v>
                </c:pt>
                <c:pt idx="124">
                  <c:v>22.40172768561257</c:v>
                </c:pt>
                <c:pt idx="125">
                  <c:v>22.708958803569935</c:v>
                </c:pt>
                <c:pt idx="126">
                  <c:v>23.019068762148471</c:v>
                </c:pt>
                <c:pt idx="127">
                  <c:v>23.332060668631655</c:v>
                </c:pt>
                <c:pt idx="128">
                  <c:v>23.647937167954854</c:v>
                </c:pt>
                <c:pt idx="129">
                  <c:v>23.96670043580129</c:v>
                </c:pt>
                <c:pt idx="130">
                  <c:v>24.288352171741344</c:v>
                </c:pt>
                <c:pt idx="131">
                  <c:v>24.612893592418022</c:v>
                </c:pt>
                <c:pt idx="132">
                  <c:v>24.940325424781847</c:v>
                </c:pt>
                <c:pt idx="133">
                  <c:v>25.270647899377952</c:v>
                </c:pt>
                <c:pt idx="134">
                  <c:v>25.603860743688571</c:v>
                </c:pt>
                <c:pt idx="135">
                  <c:v>25.939963175533979</c:v>
                </c:pt>
                <c:pt idx="136">
                  <c:v>26.278953896534933</c:v>
                </c:pt>
                <c:pt idx="137">
                  <c:v>26.620831085639722</c:v>
                </c:pt>
                <c:pt idx="138">
                  <c:v>26.96559239271895</c:v>
                </c:pt>
                <c:pt idx="139">
                  <c:v>27.313234932231172</c:v>
                </c:pt>
                <c:pt idx="140">
                  <c:v>27.663755276962572</c:v>
                </c:pt>
                <c:pt idx="141">
                  <c:v>28.017149451843704</c:v>
                </c:pt>
                <c:pt idx="142">
                  <c:v>28.373412927846633</c:v>
                </c:pt>
                <c:pt idx="143">
                  <c:v>28.732540615965462</c:v>
                </c:pt>
                <c:pt idx="144">
                  <c:v>29.094526861283594</c:v>
                </c:pt>
                <c:pt idx="145">
                  <c:v>29.459365437130721</c:v>
                </c:pt>
                <c:pt idx="146">
                  <c:v>29.827049539332954</c:v>
                </c:pt>
                <c:pt idx="147">
                  <c:v>30.197571780558988</c:v>
                </c:pt>
                <c:pt idx="148">
                  <c:v>30.570924184765801</c:v>
                </c:pt>
                <c:pt idx="149">
                  <c:v>30.947098181746767</c:v>
                </c:pt>
                <c:pt idx="150">
                  <c:v>31.326084601785674</c:v>
                </c:pt>
                <c:pt idx="151">
                  <c:v>31.707873670419492</c:v>
                </c:pt>
                <c:pt idx="152">
                  <c:v>32.092455003313425</c:v>
                </c:pt>
                <c:pt idx="153">
                  <c:v>32.47981760125105</c:v>
                </c:pt>
                <c:pt idx="154">
                  <c:v>32.869949845242964</c:v>
                </c:pt>
                <c:pt idx="155">
                  <c:v>33.262839491757077</c:v>
                </c:pt>
                <c:pt idx="156">
                  <c:v>33.65847366807342</c:v>
                </c:pt>
                <c:pt idx="157">
                  <c:v>34.056838867766963</c:v>
                </c:pt>
                <c:pt idx="158">
                  <c:v>34.457920946321266</c:v>
                </c:pt>
                <c:pt idx="159">
                  <c:v>34.861705116876223</c:v>
                </c:pt>
                <c:pt idx="160">
                  <c:v>35.268175946112855</c:v>
                </c:pt>
                <c:pt idx="161">
                  <c:v>35.677317350278329</c:v>
                </c:pt>
                <c:pt idx="162">
                  <c:v>36.089112591354059</c:v>
                </c:pt>
                <c:pt idx="163">
                  <c:v>36.503544273370196</c:v>
                </c:pt>
                <c:pt idx="164">
                  <c:v>36.920594338869059</c:v>
                </c:pt>
                <c:pt idx="165">
                  <c:v>37.340244065520992</c:v>
                </c:pt>
                <c:pt idx="166">
                  <c:v>37.762474062895009</c:v>
                </c:pt>
                <c:pt idx="167">
                  <c:v>38.187264269387711</c:v>
                </c:pt>
                <c:pt idx="168">
                  <c:v>38.614593949312784</c:v>
                </c:pt>
                <c:pt idx="169">
                  <c:v>39.0444416901544</c:v>
                </c:pt>
                <c:pt idx="170">
                  <c:v>39.476785399986966</c:v>
                </c:pt>
                <c:pt idx="171">
                  <c:v>39.911602305064228</c:v>
                </c:pt>
                <c:pt idx="172">
                  <c:v>40.348868947580222</c:v>
                </c:pt>
                <c:pt idx="173">
                  <c:v>40.788561183605111</c:v>
                </c:pt>
                <c:pt idx="174">
                  <c:v>41.230654181198069</c:v>
                </c:pt>
                <c:pt idx="175">
                  <c:v>41.675122418700354</c:v>
                </c:pt>
                <c:pt idx="176">
                  <c:v>42.121939683210606</c:v>
                </c:pt>
                <c:pt idx="177">
                  <c:v>42.571079069245371</c:v>
                </c:pt>
                <c:pt idx="178">
                  <c:v>43.022512977586857</c:v>
                </c:pt>
                <c:pt idx="179">
                  <c:v>43.476213114320721</c:v>
                </c:pt>
                <c:pt idx="180">
                  <c:v>43.932150490065986</c:v>
                </c:pt>
                <c:pt idx="181">
                  <c:v>44.390295419399479</c:v>
                </c:pt>
                <c:pt idx="182">
                  <c:v>44.850617520477151</c:v>
                </c:pt>
                <c:pt idx="183">
                  <c:v>45.313085714854282</c:v>
                </c:pt>
                <c:pt idx="184">
                  <c:v>45.777668227506808</c:v>
                </c:pt>
                <c:pt idx="185">
                  <c:v>46.244332587055951</c:v>
                </c:pt>
                <c:pt idx="186">
                  <c:v>46.713045626197861</c:v>
                </c:pt>
                <c:pt idx="187">
                  <c:v>47.183773482340641</c:v>
                </c:pt>
                <c:pt idx="188">
                  <c:v>47.656481598450306</c:v>
                </c:pt>
                <c:pt idx="189">
                  <c:v>48.131134724107611</c:v>
                </c:pt>
                <c:pt idx="190">
                  <c:v>48.607696916777556</c:v>
                </c:pt>
                <c:pt idx="191">
                  <c:v>49.086131543293249</c:v>
                </c:pt>
                <c:pt idx="192">
                  <c:v>49.566401281555571</c:v>
                </c:pt>
                <c:pt idx="193">
                  <c:v>50.048468122450473</c:v>
                </c:pt>
                <c:pt idx="194">
                  <c:v>50.532293371985126</c:v>
                </c:pt>
                <c:pt idx="195">
                  <c:v>51.01783765364442</c:v>
                </c:pt>
                <c:pt idx="196">
                  <c:v>51.505060910969206</c:v>
                </c:pt>
                <c:pt idx="197">
                  <c:v>51.993922410357364</c:v>
                </c:pt>
                <c:pt idx="198">
                  <c:v>52.484380744088924</c:v>
                </c:pt>
                <c:pt idx="199">
                  <c:v>52.976393833576466</c:v>
                </c:pt>
                <c:pt idx="200">
                  <c:v>53.469918932841502</c:v>
                </c:pt>
                <c:pt idx="201">
                  <c:v>53.964912632218052</c:v>
                </c:pt>
                <c:pt idx="202">
                  <c:v>54.461330862284093</c:v>
                </c:pt>
                <c:pt idx="203">
                  <c:v>54.959128898021618</c:v>
                </c:pt>
                <c:pt idx="204">
                  <c:v>55.45826136320607</c:v>
                </c:pt>
                <c:pt idx="205">
                  <c:v>55.958682235025648</c:v>
                </c:pt>
                <c:pt idx="206">
                  <c:v>56.460344848930973</c:v>
                </c:pt>
                <c:pt idx="207">
                  <c:v>56.963201903715522</c:v>
                </c:pt>
                <c:pt idx="208">
                  <c:v>57.467205466827266</c:v>
                </c:pt>
                <c:pt idx="209">
                  <c:v>57.972306979911373</c:v>
                </c:pt>
                <c:pt idx="210">
                  <c:v>58.47845726458457</c:v>
                </c:pt>
                <c:pt idx="211">
                  <c:v>58.985606528440798</c:v>
                </c:pt>
                <c:pt idx="212">
                  <c:v>59.493704371288388</c:v>
                </c:pt>
                <c:pt idx="213">
                  <c:v>60.002699791618298</c:v>
                </c:pt>
                <c:pt idx="214">
                  <c:v>60.512541193303491</c:v>
                </c:pt>
                <c:pt idx="215">
                  <c:v>61.023176392528818</c:v>
                </c:pt>
                <c:pt idx="216">
                  <c:v>61.534552624951175</c:v>
                </c:pt>
                <c:pt idx="217">
                  <c:v>62.046616553089187</c:v>
                </c:pt>
                <c:pt idx="218">
                  <c:v>62.559314273941951</c:v>
                </c:pt>
                <c:pt idx="219">
                  <c:v>63.072591326836012</c:v>
                </c:pt>
                <c:pt idx="220">
                  <c:v>63.586392701499705</c:v>
                </c:pt>
                <c:pt idx="221">
                  <c:v>64.100662846364017</c:v>
                </c:pt>
                <c:pt idx="222">
                  <c:v>64.615345677088797</c:v>
                </c:pt>
                <c:pt idx="223">
                  <c:v>65.130384585313323</c:v>
                </c:pt>
                <c:pt idx="224">
                  <c:v>65.645722447629808</c:v>
                </c:pt>
                <c:pt idx="225">
                  <c:v>66.161301634778695</c:v>
                </c:pt>
                <c:pt idx="226">
                  <c:v>66.677064021064155</c:v>
                </c:pt>
                <c:pt idx="227">
                  <c:v>67.192950993988248</c:v>
                </c:pt>
                <c:pt idx="228">
                  <c:v>67.708903464102235</c:v>
                </c:pt>
                <c:pt idx="229">
                  <c:v>68.224861875073088</c:v>
                </c:pt>
                <c:pt idx="230">
                  <c:v>68.740766213963511</c:v>
                </c:pt>
                <c:pt idx="231">
                  <c:v>69.256556021723483</c:v>
                </c:pt>
                <c:pt idx="232">
                  <c:v>69.772170403891309</c:v>
                </c:pt>
                <c:pt idx="233">
                  <c:v>70.287548041501694</c:v>
                </c:pt>
                <c:pt idx="234">
                  <c:v>70.802627202199261</c:v>
                </c:pt>
                <c:pt idx="235">
                  <c:v>71.317345751554555</c:v>
                </c:pt>
                <c:pt idx="236">
                  <c:v>71.831641164580205</c:v>
                </c:pt>
                <c:pt idx="237">
                  <c:v>72.34545053744489</c:v>
                </c:pt>
                <c:pt idx="238">
                  <c:v>72.858710599382434</c:v>
                </c:pt>
                <c:pt idx="239">
                  <c:v>73.371357724792944</c:v>
                </c:pt>
                <c:pt idx="240">
                  <c:v>73.883327945533594</c:v>
                </c:pt>
                <c:pt idx="241">
                  <c:v>74.394556963395772</c:v>
                </c:pt>
                <c:pt idx="242">
                  <c:v>74.904980162765682</c:v>
                </c:pt>
                <c:pt idx="243">
                  <c:v>75.414532623465334</c:v>
                </c:pt>
                <c:pt idx="244">
                  <c:v>75.923149133770565</c:v>
                </c:pt>
                <c:pt idx="245">
                  <c:v>76.430764203602678</c:v>
                </c:pt>
                <c:pt idx="246">
                  <c:v>76.937312077890581</c:v>
                </c:pt>
                <c:pt idx="247">
                  <c:v>77.442726750099681</c:v>
                </c:pt>
                <c:pt idx="248">
                  <c:v>77.946941975923849</c:v>
                </c:pt>
                <c:pt idx="249">
                  <c:v>78.449891287137035</c:v>
                </c:pt>
                <c:pt idx="250">
                  <c:v>78.95150800560053</c:v>
                </c:pt>
                <c:pt idx="251">
                  <c:v>79.451725257422041</c:v>
                </c:pt>
                <c:pt idx="252">
                  <c:v>79.95047598726272</c:v>
                </c:pt>
                <c:pt idx="253">
                  <c:v>80.44769297278792</c:v>
                </c:pt>
                <c:pt idx="254">
                  <c:v>80.94330883925771</c:v>
                </c:pt>
                <c:pt idx="255">
                  <c:v>81.437256074252886</c:v>
                </c:pt>
                <c:pt idx="256">
                  <c:v>81.92946704253211</c:v>
                </c:pt>
                <c:pt idx="257">
                  <c:v>82.419874001015927</c:v>
                </c:pt>
                <c:pt idx="258">
                  <c:v>82.908409113893015</c:v>
                </c:pt>
                <c:pt idx="259">
                  <c:v>83.395004467844458</c:v>
                </c:pt>
                <c:pt idx="260">
                  <c:v>83.879592087381056</c:v>
                </c:pt>
                <c:pt idx="261">
                  <c:v>84.362103950289182</c:v>
                </c:pt>
                <c:pt idx="262">
                  <c:v>84.842472003180589</c:v>
                </c:pt>
                <c:pt idx="263">
                  <c:v>85.32062817714106</c:v>
                </c:pt>
                <c:pt idx="264">
                  <c:v>85.796504403473023</c:v>
                </c:pt>
                <c:pt idx="265">
                  <c:v>86.27003262952752</c:v>
                </c:pt>
                <c:pt idx="266">
                  <c:v>86.741144834620101</c:v>
                </c:pt>
                <c:pt idx="267">
                  <c:v>87.209773046025816</c:v>
                </c:pt>
                <c:pt idx="268">
                  <c:v>87.675849355047973</c:v>
                </c:pt>
                <c:pt idx="269">
                  <c:v>88.139305933155754</c:v>
                </c:pt>
                <c:pt idx="270">
                  <c:v>88.600075048185019</c:v>
                </c:pt>
                <c:pt idx="271">
                  <c:v>89.058089080597327</c:v>
                </c:pt>
                <c:pt idx="272">
                  <c:v>89.513280539791722</c:v>
                </c:pt>
                <c:pt idx="273">
                  <c:v>89.965582080463776</c:v>
                </c:pt>
                <c:pt idx="274">
                  <c:v>90.414926519006485</c:v>
                </c:pt>
                <c:pt idx="275">
                  <c:v>90.861246849947577</c:v>
                </c:pt>
                <c:pt idx="276">
                  <c:v>91.30447626241758</c:v>
                </c:pt>
                <c:pt idx="277">
                  <c:v>91.74454815664312</c:v>
                </c:pt>
                <c:pt idx="278">
                  <c:v>92.181396160459798</c:v>
                </c:pt>
                <c:pt idx="279">
                  <c:v>92.61495414583905</c:v>
                </c:pt>
                <c:pt idx="280">
                  <c:v>93.045156245423129</c:v>
                </c:pt>
                <c:pt idx="281">
                  <c:v>93.471936869062702</c:v>
                </c:pt>
                <c:pt idx="282">
                  <c:v>93.895230720351122</c:v>
                </c:pt>
                <c:pt idx="283">
                  <c:v>94.314972813149708</c:v>
                </c:pt>
                <c:pt idx="284">
                  <c:v>94.731098488098212</c:v>
                </c:pt>
                <c:pt idx="285">
                  <c:v>95.143543429104483</c:v>
                </c:pt>
                <c:pt idx="286">
                  <c:v>95.55224367980793</c:v>
                </c:pt>
                <c:pt idx="287">
                  <c:v>95.957135660010252</c:v>
                </c:pt>
                <c:pt idx="288">
                  <c:v>96.358156182068271</c:v>
                </c:pt>
                <c:pt idx="289">
                  <c:v>96.755242467242482</c:v>
                </c:pt>
                <c:pt idx="290">
                  <c:v>97.148332161995668</c:v>
                </c:pt>
                <c:pt idx="291">
                  <c:v>97.537363354235595</c:v>
                </c:pt>
                <c:pt idx="292">
                  <c:v>97.922274589496027</c:v>
                </c:pt>
                <c:pt idx="293">
                  <c:v>98.303004887049951</c:v>
                </c:pt>
                <c:pt idx="294">
                  <c:v>98.679493755949409</c:v>
                </c:pt>
                <c:pt idx="295">
                  <c:v>99.051681210985663</c:v>
                </c:pt>
                <c:pt idx="296">
                  <c:v>99.419507788564388</c:v>
                </c:pt>
                <c:pt idx="297">
                  <c:v>99.782914562489353</c:v>
                </c:pt>
                <c:pt idx="298">
                  <c:v>100.14184315964937</c:v>
                </c:pt>
                <c:pt idx="299">
                  <c:v>100.49623577560219</c:v>
                </c:pt>
                <c:pt idx="300">
                  <c:v>100.84603519004997</c:v>
                </c:pt>
                <c:pt idx="301">
                  <c:v>101.19118478220017</c:v>
                </c:pt>
                <c:pt idx="302">
                  <c:v>101.53162854600623</c:v>
                </c:pt>
                <c:pt idx="303">
                  <c:v>101.86731110528254</c:v>
                </c:pt>
                <c:pt idx="304">
                  <c:v>102.19817772868754</c:v>
                </c:pt>
                <c:pt idx="305">
                  <c:v>102.52417434456976</c:v>
                </c:pt>
                <c:pt idx="306">
                  <c:v>102.84524755567084</c:v>
                </c:pt>
                <c:pt idx="307">
                  <c:v>103.16134465368005</c:v>
                </c:pt>
                <c:pt idx="308">
                  <c:v>103.47241363363493</c:v>
                </c:pt>
                <c:pt idx="309">
                  <c:v>103.77840320816215</c:v>
                </c:pt>
                <c:pt idx="310">
                  <c:v>104.07926282155363</c:v>
                </c:pt>
                <c:pt idx="311">
                  <c:v>104.3749426636721</c:v>
                </c:pt>
                <c:pt idx="312">
                  <c:v>104.66539368368105</c:v>
                </c:pt>
                <c:pt idx="313">
                  <c:v>104.95056760359351</c:v>
                </c:pt>
                <c:pt idx="314">
                  <c:v>105.23041693163474</c:v>
                </c:pt>
                <c:pt idx="315">
                  <c:v>105.50489497541335</c:v>
                </c:pt>
                <c:pt idx="316">
                  <c:v>105.77395585489592</c:v>
                </c:pt>
                <c:pt idx="317">
                  <c:v>106.03755451518009</c:v>
                </c:pt>
                <c:pt idx="318">
                  <c:v>106.29564673906097</c:v>
                </c:pt>
                <c:pt idx="319">
                  <c:v>106.54818915938617</c:v>
                </c:pt>
                <c:pt idx="320">
                  <c:v>106.79513927119451</c:v>
                </c:pt>
                <c:pt idx="321">
                  <c:v>107.03645544363378</c:v>
                </c:pt>
                <c:pt idx="322">
                  <c:v>107.27209693165244</c:v>
                </c:pt>
                <c:pt idx="323">
                  <c:v>107.50202388746152</c:v>
                </c:pt>
                <c:pt idx="324">
                  <c:v>107.72619737176115</c:v>
                </c:pt>
                <c:pt idx="325">
                  <c:v>107.94457936472824</c:v>
                </c:pt>
                <c:pt idx="326">
                  <c:v>108.15713277676039</c:v>
                </c:pt>
                <c:pt idx="327">
                  <c:v>108.36382145897183</c:v>
                </c:pt>
                <c:pt idx="328">
                  <c:v>108.56461021343763</c:v>
                </c:pt>
                <c:pt idx="329">
                  <c:v>108.75946480318169</c:v>
                </c:pt>
                <c:pt idx="330">
                  <c:v>108.94835196190454</c:v>
                </c:pt>
                <c:pt idx="331">
                  <c:v>109.13123940344761</c:v>
                </c:pt>
                <c:pt idx="332">
                  <c:v>109.30809583098946</c:v>
                </c:pt>
                <c:pt idx="333">
                  <c:v>109.47889094597087</c:v>
                </c:pt>
                <c:pt idx="334">
                  <c:v>109.64359545674499</c:v>
                </c:pt>
                <c:pt idx="335">
                  <c:v>109.8021810869491</c:v>
                </c:pt>
                <c:pt idx="336">
                  <c:v>109.95462058359466</c:v>
                </c:pt>
                <c:pt idx="337">
                  <c:v>110.10088772487242</c:v>
                </c:pt>
                <c:pt idx="338">
                  <c:v>110.24095732766949</c:v>
                </c:pt>
                <c:pt idx="339">
                  <c:v>110.37480525479525</c:v>
                </c:pt>
                <c:pt idx="340">
                  <c:v>110.5024084219133</c:v>
                </c:pt>
                <c:pt idx="341">
                  <c:v>110.62374480417661</c:v>
                </c:pt>
                <c:pt idx="342">
                  <c:v>110.73879344256318</c:v>
                </c:pt>
                <c:pt idx="343">
                  <c:v>110.84753444990983</c:v>
                </c:pt>
                <c:pt idx="344">
                  <c:v>110.9499490166413</c:v>
                </c:pt>
                <c:pt idx="345">
                  <c:v>111.04601941619292</c:v>
                </c:pt>
                <c:pt idx="346">
                  <c:v>111.13572901012401</c:v>
                </c:pt>
                <c:pt idx="347">
                  <c:v>111.21906225292058</c:v>
                </c:pt>
                <c:pt idx="348">
                  <c:v>111.29600469648484</c:v>
                </c:pt>
                <c:pt idx="349">
                  <c:v>111.36654299431014</c:v>
                </c:pt>
                <c:pt idx="350">
                  <c:v>111.4306649053393</c:v>
                </c:pt>
                <c:pt idx="351">
                  <c:v>111.48835929750507</c:v>
                </c:pt>
                <c:pt idx="352">
                  <c:v>111.53961615095108</c:v>
                </c:pt>
                <c:pt idx="353">
                  <c:v>111.584426560932</c:v>
                </c:pt>
                <c:pt idx="354">
                  <c:v>111.62278274039191</c:v>
                </c:pt>
                <c:pt idx="355">
                  <c:v>111.65467802221954</c:v>
                </c:pt>
                <c:pt idx="356">
                  <c:v>111.68010686117975</c:v>
                </c:pt>
                <c:pt idx="357">
                  <c:v>111.69906483552028</c:v>
                </c:pt>
                <c:pt idx="358">
                  <c:v>111.7115486482532</c:v>
                </c:pt>
                <c:pt idx="359">
                  <c:v>111.71755612811056</c:v>
                </c:pt>
                <c:pt idx="360">
                  <c:v>111.71708623017375</c:v>
                </c:pt>
                <c:pt idx="361">
                  <c:v>111.71013903617641</c:v>
                </c:pt>
                <c:pt idx="362">
                  <c:v>111.69671575448076</c:v>
                </c:pt>
                <c:pt idx="363">
                  <c:v>111.67681871972725</c:v>
                </c:pt>
                <c:pt idx="364">
                  <c:v>111.65045139215793</c:v>
                </c:pt>
                <c:pt idx="365">
                  <c:v>111.61761835661339</c:v>
                </c:pt>
                <c:pt idx="366">
                  <c:v>111.57832532120422</c:v>
                </c:pt>
                <c:pt idx="367">
                  <c:v>111.53257911565699</c:v>
                </c:pt>
                <c:pt idx="368">
                  <c:v>111.48038768933579</c:v>
                </c:pt>
                <c:pt idx="369">
                  <c:v>111.42176010894002</c:v>
                </c:pt>
                <c:pt idx="370">
                  <c:v>111.35670655587936</c:v>
                </c:pt>
                <c:pt idx="371">
                  <c:v>111.28523832332681</c:v>
                </c:pt>
                <c:pt idx="372">
                  <c:v>111.2073678129515</c:v>
                </c:pt>
                <c:pt idx="373">
                  <c:v>111.12310853133188</c:v>
                </c:pt>
                <c:pt idx="374">
                  <c:v>111.03247508605145</c:v>
                </c:pt>
                <c:pt idx="375">
                  <c:v>110.93548318147796</c:v>
                </c:pt>
                <c:pt idx="376">
                  <c:v>110.83214961422844</c:v>
                </c:pt>
                <c:pt idx="377">
                  <c:v>110.7224922683213</c:v>
                </c:pt>
                <c:pt idx="378">
                  <c:v>110.60653011001787</c:v>
                </c:pt>
                <c:pt idx="379">
                  <c:v>110.48428318235516</c:v>
                </c:pt>
                <c:pt idx="380">
                  <c:v>110.35577259937239</c:v>
                </c:pt>
                <c:pt idx="381">
                  <c:v>110.22102054003331</c:v>
                </c:pt>
                <c:pt idx="382">
                  <c:v>110.08005024184686</c:v>
                </c:pt>
                <c:pt idx="383">
                  <c:v>109.93288599418884</c:v>
                </c:pt>
                <c:pt idx="384">
                  <c:v>109.77955313132705</c:v>
                </c:pt>
                <c:pt idx="385">
                  <c:v>109.62007802515309</c:v>
                </c:pt>
                <c:pt idx="386">
                  <c:v>109.45448807762317</c:v>
                </c:pt>
                <c:pt idx="387">
                  <c:v>109.28281171291155</c:v>
                </c:pt>
                <c:pt idx="388">
                  <c:v>109.10507836927944</c:v>
                </c:pt>
                <c:pt idx="389">
                  <c:v>108.92131849066251</c:v>
                </c:pt>
                <c:pt idx="390">
                  <c:v>108.73156351798076</c:v>
                </c:pt>
                <c:pt idx="391">
                  <c:v>108.53584588017382</c:v>
                </c:pt>
                <c:pt idx="392">
                  <c:v>108.33419898496558</c:v>
                </c:pt>
                <c:pt idx="393">
                  <c:v>108.12665720936148</c:v>
                </c:pt>
                <c:pt idx="394">
                  <c:v>107.91325588988276</c:v>
                </c:pt>
                <c:pt idx="395">
                  <c:v>107.6940313125409</c:v>
                </c:pt>
                <c:pt idx="396">
                  <c:v>107.46902070255683</c:v>
                </c:pt>
                <c:pt idx="397">
                  <c:v>107.23826221382862</c:v>
                </c:pt>
                <c:pt idx="398">
                  <c:v>107.00179491815192</c:v>
                </c:pt>
                <c:pt idx="399">
                  <c:v>106.75965879419748</c:v>
                </c:pt>
                <c:pt idx="400">
                  <c:v>106.51189471625007</c:v>
                </c:pt>
                <c:pt idx="401">
                  <c:v>106.25854444271307</c:v>
                </c:pt>
                <c:pt idx="402">
                  <c:v>105.99965060438358</c:v>
                </c:pt>
                <c:pt idx="403">
                  <c:v>105.73525669250232</c:v>
                </c:pt>
                <c:pt idx="404">
                  <c:v>105.46540704658335</c:v>
                </c:pt>
                <c:pt idx="405">
                  <c:v>105.19014684202794</c:v>
                </c:pt>
                <c:pt idx="406">
                  <c:v>104.90952207752797</c:v>
                </c:pt>
                <c:pt idx="407">
                  <c:v>104.62357956226317</c:v>
                </c:pt>
                <c:pt idx="408">
                  <c:v>104.33236690289783</c:v>
                </c:pt>
                <c:pt idx="409">
                  <c:v>104.03593249038143</c:v>
                </c:pt>
                <c:pt idx="410">
                  <c:v>103.7343254865587</c:v>
                </c:pt>
                <c:pt idx="411">
                  <c:v>103.42759581059424</c:v>
                </c:pt>
                <c:pt idx="412">
                  <c:v>103.11579412521669</c:v>
                </c:pt>
                <c:pt idx="413">
                  <c:v>102.79897182278818</c:v>
                </c:pt>
                <c:pt idx="414">
                  <c:v>102.47718101120392</c:v>
                </c:pt>
                <c:pt idx="415">
                  <c:v>102.15047449962779</c:v>
                </c:pt>
                <c:pt idx="416">
                  <c:v>101.81890578406913</c:v>
                </c:pt>
                <c:pt idx="417">
                  <c:v>101.48252903280623</c:v>
                </c:pt>
                <c:pt idx="418">
                  <c:v>101.14139907166224</c:v>
                </c:pt>
                <c:pt idx="419">
                  <c:v>100.79557136913897</c:v>
                </c:pt>
                <c:pt idx="420">
                  <c:v>100.44510202141419</c:v>
                </c:pt>
                <c:pt idx="421">
                  <c:v>100.09004773720814</c:v>
                </c:pt>
                <c:pt idx="422">
                  <c:v>99.730465822525048</c:v>
                </c:pt>
                <c:pt idx="423">
                  <c:v>99.366414165275174</c:v>
                </c:pt>
                <c:pt idx="424">
                  <c:v>98.997951219783417</c:v>
                </c:pt>
                <c:pt idx="425">
                  <c:v>98.625135991189936</c:v>
                </c:pt>
                <c:pt idx="426">
                  <c:v>98.248028019748915</c:v>
                </c:pt>
                <c:pt idx="427">
                  <c:v>97.866687365031183</c:v>
                </c:pt>
                <c:pt idx="428">
                  <c:v>97.48117459003636</c:v>
                </c:pt>
                <c:pt idx="429">
                  <c:v>97.091550745220758</c:v>
                </c:pt>
                <c:pt idx="430">
                  <c:v>96.697877352446525</c:v>
                </c:pt>
                <c:pt idx="431">
                  <c:v>96.30021638885826</c:v>
                </c:pt>
                <c:pt idx="432">
                  <c:v>95.898630270692635</c:v>
                </c:pt>
                <c:pt idx="433">
                  <c:v>95.493181837027237</c:v>
                </c:pt>
                <c:pt idx="434">
                  <c:v>95.083934333474346</c:v>
                </c:pt>
                <c:pt idx="435">
                  <c:v>94.670951395825625</c:v>
                </c:pt>
                <c:pt idx="436">
                  <c:v>94.254297033653373</c:v>
                </c:pt>
                <c:pt idx="437">
                  <c:v>93.83403561387469</c:v>
                </c:pt>
                <c:pt idx="438">
                  <c:v>93.410231844283913</c:v>
                </c:pt>
                <c:pt idx="439">
                  <c:v>92.982950757059484</c:v>
                </c:pt>
                <c:pt idx="440">
                  <c:v>92.552257692251018</c:v>
                </c:pt>
                <c:pt idx="441">
                  <c:v>92.118218281252368</c:v>
                </c:pt>
                <c:pt idx="442">
                  <c:v>91.68089843026651</c:v>
                </c:pt>
                <c:pt idx="443">
                  <c:v>91.240364303767905</c:v>
                </c:pt>
                <c:pt idx="444">
                  <c:v>90.796682307968439</c:v>
                </c:pt>
                <c:pt idx="445">
                  <c:v>90.349919074292188</c:v>
                </c:pt>
                <c:pt idx="446">
                  <c:v>89.900141442865035</c:v>
                </c:pt>
                <c:pt idx="447">
                  <c:v>89.44741644602469</c:v>
                </c:pt>
                <c:pt idx="448">
                  <c:v>88.991811291856706</c:v>
                </c:pt>
                <c:pt idx="449">
                  <c:v>88.533393347762185</c:v>
                </c:pt>
                <c:pt idx="450">
                  <c:v>88.072230124062571</c:v>
                </c:pt>
                <c:pt idx="451">
                  <c:v>87.608389257647062</c:v>
                </c:pt>
                <c:pt idx="452">
                  <c:v>87.141938495668256</c:v>
                </c:pt>
                <c:pt idx="453">
                  <c:v>86.672945679291217</c:v>
                </c:pt>
                <c:pt idx="454">
                  <c:v>86.201478727501438</c:v>
                </c:pt>
                <c:pt idx="455">
                  <c:v>85.727605620976973</c:v>
                </c:pt>
                <c:pt idx="456">
                  <c:v>85.251394386030015</c:v>
                </c:pt>
                <c:pt idx="457">
                  <c:v>84.772913078623091</c:v>
                </c:pt>
                <c:pt idx="458">
                  <c:v>84.292229768464992</c:v>
                </c:pt>
                <c:pt idx="459">
                  <c:v>83.809412523191511</c:v>
                </c:pt>
                <c:pt idx="460">
                  <c:v>83.324529392636137</c:v>
                </c:pt>
                <c:pt idx="461">
                  <c:v>82.837648393195366</c:v>
                </c:pt>
                <c:pt idx="462">
                  <c:v>82.348837492293811</c:v>
                </c:pt>
                <c:pt idx="463">
                  <c:v>81.858164592953699</c:v>
                </c:pt>
                <c:pt idx="464">
                  <c:v>81.365697518473752</c:v>
                </c:pt>
                <c:pt idx="465">
                  <c:v>80.871503997221666</c:v>
                </c:pt>
                <c:pt idx="466">
                  <c:v>80.375651647545368</c:v>
                </c:pt>
                <c:pt idx="467">
                  <c:v>79.878207962807181</c:v>
                </c:pt>
                <c:pt idx="468">
                  <c:v>79.379240296545277</c:v>
                </c:pt>
                <c:pt idx="469">
                  <c:v>78.878815847767243</c:v>
                </c:pt>
                <c:pt idx="470">
                  <c:v>78.377001646379526</c:v>
                </c:pt>
                <c:pt idx="471">
                  <c:v>77.873864538757189</c:v>
                </c:pt>
                <c:pt idx="472">
                  <c:v>77.369471173458223</c:v>
                </c:pt>
                <c:pt idx="473">
                  <c:v>76.863887987086159</c:v>
                </c:pt>
                <c:pt idx="474">
                  <c:v>76.357181190305212</c:v>
                </c:pt>
                <c:pt idx="475">
                  <c:v>75.8494167540116</c:v>
                </c:pt>
                <c:pt idx="476">
                  <c:v>75.340660395664926</c:v>
                </c:pt>
                <c:pt idx="477">
                  <c:v>74.830977565783328</c:v>
                </c:pt>
                <c:pt idx="478">
                  <c:v>74.320433434605931</c:v>
                </c:pt>
                <c:pt idx="479">
                  <c:v>73.809092878925966</c:v>
                </c:pt>
                <c:pt idx="480">
                  <c:v>73.29702046909847</c:v>
                </c:pt>
                <c:pt idx="481">
                  <c:v>72.784280456225133</c:v>
                </c:pt>
                <c:pt idx="482">
                  <c:v>72.270936759520183</c:v>
                </c:pt>
                <c:pt idx="483">
                  <c:v>71.757052953860011</c:v>
                </c:pt>
                <c:pt idx="484">
                  <c:v>71.242692257519835</c:v>
                </c:pt>
                <c:pt idx="485">
                  <c:v>70.727917520100107</c:v>
                </c:pt>
                <c:pt idx="486">
                  <c:v>70.21279121064569</c:v>
                </c:pt>
                <c:pt idx="487">
                  <c:v>69.697375405960457</c:v>
                </c:pt>
                <c:pt idx="488">
                  <c:v>69.181731779119787</c:v>
                </c:pt>
                <c:pt idx="489">
                  <c:v>68.66592158818402</c:v>
                </c:pt>
                <c:pt idx="490">
                  <c:v>68.150005665114534</c:v>
                </c:pt>
                <c:pt idx="491">
                  <c:v>67.634044404895533</c:v>
                </c:pt>
                <c:pt idx="492">
                  <c:v>67.118097754863257</c:v>
                </c:pt>
                <c:pt idx="493">
                  <c:v>66.602225204245073</c:v>
                </c:pt>
                <c:pt idx="494">
                  <c:v>66.086485773910269</c:v>
                </c:pt>
                <c:pt idx="495">
                  <c:v>65.570938006334615</c:v>
                </c:pt>
                <c:pt idx="496">
                  <c:v>65.055639955780521</c:v>
                </c:pt>
                <c:pt idx="497">
                  <c:v>64.540649178694508</c:v>
                </c:pt>
                <c:pt idx="498">
                  <c:v>64.026022724323411</c:v>
                </c:pt>
                <c:pt idx="499">
                  <c:v>63.511817125551431</c:v>
                </c:pt>
                <c:pt idx="500">
                  <c:v>62.99808838995866</c:v>
                </c:pt>
                <c:pt idx="501">
                  <c:v>62.484891991103119</c:v>
                </c:pt>
                <c:pt idx="502">
                  <c:v>61.972282860027128</c:v>
                </c:pt>
                <c:pt idx="503">
                  <c:v>61.460315376989278</c:v>
                </c:pt>
                <c:pt idx="504">
                  <c:v>60.949043363423002</c:v>
                </c:pt>
                <c:pt idx="505">
                  <c:v>60.4385200741226</c:v>
                </c:pt>
                <c:pt idx="506">
                  <c:v>59.928798189657833</c:v>
                </c:pt>
                <c:pt idx="507">
                  <c:v>59.419929809017361</c:v>
                </c:pt>
                <c:pt idx="508">
                  <c:v>58.91196644248204</c:v>
                </c:pt>
                <c:pt idx="509">
                  <c:v>58.404959004728418</c:v>
                </c:pt>
                <c:pt idx="510">
                  <c:v>57.898957808162926</c:v>
                </c:pt>
                <c:pt idx="511">
                  <c:v>57.39401255648707</c:v>
                </c:pt>
                <c:pt idx="512">
                  <c:v>56.890172338493919</c:v>
                </c:pt>
                <c:pt idx="513">
                  <c:v>56.387485622095937</c:v>
                </c:pt>
                <c:pt idx="514">
                  <c:v>55.886000248584324</c:v>
                </c:pt>
                <c:pt idx="515">
                  <c:v>55.385763427119713</c:v>
                </c:pt>
                <c:pt idx="516">
                  <c:v>54.886821729454233</c:v>
                </c:pt>
                <c:pt idx="517">
                  <c:v>54.38922108488449</c:v>
                </c:pt>
                <c:pt idx="518">
                  <c:v>53.893006775435367</c:v>
                </c:pt>
                <c:pt idx="519">
                  <c:v>53.398223431274118</c:v>
                </c:pt>
                <c:pt idx="520">
                  <c:v>52.904915026354267</c:v>
                </c:pt>
                <c:pt idx="521">
                  <c:v>52.413124874288684</c:v>
                </c:pt>
                <c:pt idx="522">
                  <c:v>51.922895624451321</c:v>
                </c:pt>
                <c:pt idx="523">
                  <c:v>51.434269258306657</c:v>
                </c:pt>
                <c:pt idx="524">
                  <c:v>50.94728708596606</c:v>
                </c:pt>
                <c:pt idx="525">
                  <c:v>50.461989742970282</c:v>
                </c:pt>
                <c:pt idx="526">
                  <c:v>49.978417187296806</c:v>
                </c:pt>
                <c:pt idx="527">
                  <c:v>49.496608696591203</c:v>
                </c:pt>
                <c:pt idx="528">
                  <c:v>49.016602865621167</c:v>
                </c:pt>
                <c:pt idx="529">
                  <c:v>48.538437603952069</c:v>
                </c:pt>
                <c:pt idx="530">
                  <c:v>48.0621501338426</c:v>
                </c:pt>
                <c:pt idx="531">
                  <c:v>47.587776988359209</c:v>
                </c:pt>
                <c:pt idx="532">
                  <c:v>47.115354009707779</c:v>
                </c:pt>
                <c:pt idx="533">
                  <c:v>46.644916347781013</c:v>
                </c:pt>
                <c:pt idx="534">
                  <c:v>46.176498458919895</c:v>
                </c:pt>
                <c:pt idx="535">
                  <c:v>45.71013410488753</c:v>
                </c:pt>
                <c:pt idx="536">
                  <c:v>45.245856352053615</c:v>
                </c:pt>
                <c:pt idx="537">
                  <c:v>44.783697570787687</c:v>
                </c:pt>
                <c:pt idx="538">
                  <c:v>44.323689435059244</c:v>
                </c:pt>
                <c:pt idx="539">
                  <c:v>43.865862922242826</c:v>
                </c:pt>
                <c:pt idx="540">
                  <c:v>43.410248313125969</c:v>
                </c:pt>
                <c:pt idx="541">
                  <c:v>42.956875192117941</c:v>
                </c:pt>
                <c:pt idx="542">
                  <c:v>42.505772447657208</c:v>
                </c:pt>
                <c:pt idx="543">
                  <c:v>42.056968272815347</c:v>
                </c:pt>
                <c:pt idx="544">
                  <c:v>41.610490166095033</c:v>
                </c:pt>
                <c:pt idx="545">
                  <c:v>41.166364932420151</c:v>
                </c:pt>
                <c:pt idx="546">
                  <c:v>40.724618684315196</c:v>
                </c:pt>
                <c:pt idx="547">
                  <c:v>40.285276843271895</c:v>
                </c:pt>
                <c:pt idx="548">
                  <c:v>39.848364141300401</c:v>
                </c:pt>
                <c:pt idx="549">
                  <c:v>39.413904622662635</c:v>
                </c:pt>
                <c:pt idx="550">
                  <c:v>38.981921645785114</c:v>
                </c:pt>
                <c:pt idx="551">
                  <c:v>38.552437885348823</c:v>
                </c:pt>
                <c:pt idx="552">
                  <c:v>38.125475334553173</c:v>
                </c:pt>
                <c:pt idx="553">
                  <c:v>37.701055307551826</c:v>
                </c:pt>
                <c:pt idx="554">
                  <c:v>37.279198442057087</c:v>
                </c:pt>
                <c:pt idx="555">
                  <c:v>36.859924702110597</c:v>
                </c:pt>
                <c:pt idx="556">
                  <c:v>36.443253381017172</c:v>
                </c:pt>
                <c:pt idx="557">
                  <c:v>36.029203104439176</c:v>
                </c:pt>
                <c:pt idx="558">
                  <c:v>35.617791833648383</c:v>
                </c:pt>
                <c:pt idx="559">
                  <c:v>35.209036868932543</c:v>
                </c:pt>
                <c:pt idx="560">
                  <c:v>34.80295485315358</c:v>
                </c:pt>
                <c:pt idx="561">
                  <c:v>34.3995617754547</c:v>
                </c:pt>
                <c:pt idx="562">
                  <c:v>33.99887297511313</c:v>
                </c:pt>
                <c:pt idx="563">
                  <c:v>33.600903145535675</c:v>
                </c:pt>
                <c:pt idx="564">
                  <c:v>33.205666338393939</c:v>
                </c:pt>
                <c:pt idx="565">
                  <c:v>32.813175967896349</c:v>
                </c:pt>
                <c:pt idx="566">
                  <c:v>32.423444815193527</c:v>
                </c:pt>
                <c:pt idx="567">
                  <c:v>32.036485032914356</c:v>
                </c:pt>
                <c:pt idx="568">
                  <c:v>31.652308149829388</c:v>
                </c:pt>
                <c:pt idx="569">
                  <c:v>31.27092507563836</c:v>
                </c:pt>
                <c:pt idx="570">
                  <c:v>30.892346105879028</c:v>
                </c:pt>
                <c:pt idx="571">
                  <c:v>30.516580926953793</c:v>
                </c:pt>
                <c:pt idx="572">
                  <c:v>30.143638621271283</c:v>
                </c:pt>
                <c:pt idx="573">
                  <c:v>29.773527672499426</c:v>
                </c:pt>
                <c:pt idx="574">
                  <c:v>29.406255970927088</c:v>
                </c:pt>
                <c:pt idx="575">
                  <c:v>29.041830818930951</c:v>
                </c:pt>
                <c:pt idx="576">
                  <c:v>28.68025893654454</c:v>
                </c:pt>
                <c:pt idx="577">
                  <c:v>28.321546467126048</c:v>
                </c:pt>
                <c:pt idx="578">
                  <c:v>27.965698983122071</c:v>
                </c:pt>
                <c:pt idx="579">
                  <c:v>27.612721491923736</c:v>
                </c:pt>
                <c:pt idx="580">
                  <c:v>27.262618441812272</c:v>
                </c:pt>
                <c:pt idx="581">
                  <c:v>26.915393727990701</c:v>
                </c:pt>
                <c:pt idx="582">
                  <c:v>26.571050698698677</c:v>
                </c:pt>
                <c:pt idx="583">
                  <c:v>26.229592161406995</c:v>
                </c:pt>
                <c:pt idx="584">
                  <c:v>25.891020389088965</c:v>
                </c:pt>
                <c:pt idx="585">
                  <c:v>25.555337126565149</c:v>
                </c:pt>
                <c:pt idx="586">
                  <c:v>25.222543596918694</c:v>
                </c:pt>
                <c:pt idx="587">
                  <c:v>24.892640507977756</c:v>
                </c:pt>
                <c:pt idx="588">
                  <c:v>24.565628058862249</c:v>
                </c:pt>
                <c:pt idx="589">
                  <c:v>24.241505946591527</c:v>
                </c:pt>
                <c:pt idx="590">
                  <c:v>23.920273372750167</c:v>
                </c:pt>
                <c:pt idx="591">
                  <c:v>23.601929050208557</c:v>
                </c:pt>
                <c:pt idx="592">
                  <c:v>23.286471209895488</c:v>
                </c:pt>
                <c:pt idx="593">
                  <c:v>22.973897607619424</c:v>
                </c:pt>
                <c:pt idx="594">
                  <c:v>22.664205530935813</c:v>
                </c:pt>
                <c:pt idx="595">
                  <c:v>22.357391806057045</c:v>
                </c:pt>
                <c:pt idx="596">
                  <c:v>22.053452804802443</c:v>
                </c:pt>
                <c:pt idx="597">
                  <c:v>21.752384451585129</c:v>
                </c:pt>
                <c:pt idx="598">
                  <c:v>21.454182230432998</c:v>
                </c:pt>
                <c:pt idx="599">
                  <c:v>21.158841192040729</c:v>
                </c:pt>
                <c:pt idx="600">
                  <c:v>20.866355960850196</c:v>
                </c:pt>
                <c:pt idx="601">
                  <c:v>20.576720742156272</c:v>
                </c:pt>
                <c:pt idx="602">
                  <c:v>20.289929329235264</c:v>
                </c:pt>
                <c:pt idx="603">
                  <c:v>20.005975110493271</c:v>
                </c:pt>
                <c:pt idx="604">
                  <c:v>19.724851076631637</c:v>
                </c:pt>
                <c:pt idx="605">
                  <c:v>19.446549827826804</c:v>
                </c:pt>
                <c:pt idx="606">
                  <c:v>19.171063580921942</c:v>
                </c:pt>
                <c:pt idx="607">
                  <c:v>18.898384176627602</c:v>
                </c:pt>
                <c:pt idx="608">
                  <c:v>18.628503086728877</c:v>
                </c:pt>
                <c:pt idx="609">
                  <c:v>18.361411421296424</c:v>
                </c:pt>
                <c:pt idx="610">
                  <c:v>18.097099935898857</c:v>
                </c:pt>
                <c:pt idx="611">
                  <c:v>17.835559038813933</c:v>
                </c:pt>
                <c:pt idx="612">
                  <c:v>17.576778798236099</c:v>
                </c:pt>
                <c:pt idx="613">
                  <c:v>17.320748949477995</c:v>
                </c:pt>
                <c:pt idx="614">
                  <c:v>17.067458902163416</c:v>
                </c:pt>
                <c:pt idx="615">
                  <c:v>16.816897747409513</c:v>
                </c:pt>
                <c:pt idx="616">
                  <c:v>16.56905426499571</c:v>
                </c:pt>
                <c:pt idx="617">
                  <c:v>16.323916930517331</c:v>
                </c:pt>
                <c:pt idx="618">
                  <c:v>16.08147392252139</c:v>
                </c:pt>
                <c:pt idx="619">
                  <c:v>15.841713129622573</c:v>
                </c:pt>
                <c:pt idx="620">
                  <c:v>15.60462215759717</c:v>
                </c:pt>
                <c:pt idx="621">
                  <c:v>15.370188336452751</c:v>
                </c:pt>
                <c:pt idx="622">
                  <c:v>15.138398727471658</c:v>
                </c:pt>
                <c:pt idx="623">
                  <c:v>14.909240130226182</c:v>
                </c:pt>
                <c:pt idx="624">
                  <c:v>14.682699089563426</c:v>
                </c:pt>
                <c:pt idx="625">
                  <c:v>14.458761902557956</c:v>
                </c:pt>
                <c:pt idx="626">
                  <c:v>14.237414625430223</c:v>
                </c:pt>
                <c:pt idx="627">
                  <c:v>14.018643080429051</c:v>
                </c:pt>
                <c:pt idx="628">
                  <c:v>13.802432862676184</c:v>
                </c:pt>
                <c:pt idx="629">
                  <c:v>13.588769346971253</c:v>
                </c:pt>
                <c:pt idx="630">
                  <c:v>13.377637694555293</c:v>
                </c:pt>
                <c:pt idx="631">
                  <c:v>13.169022859831276</c:v>
                </c:pt>
                <c:pt idx="632">
                  <c:v>12.962909597039866</c:v>
                </c:pt>
                <c:pt idx="633">
                  <c:v>12.759282466888784</c:v>
                </c:pt>
                <c:pt idx="634">
                  <c:v>12.558125843134375</c:v>
                </c:pt>
                <c:pt idx="635">
                  <c:v>12.359423919113702</c:v>
                </c:pt>
                <c:pt idx="636">
                  <c:v>12.163160714225677</c:v>
                </c:pt>
                <c:pt idx="637">
                  <c:v>11.969320080359964</c:v>
                </c:pt>
                <c:pt idx="638">
                  <c:v>11.777885708272075</c:v>
                </c:pt>
                <c:pt idx="639">
                  <c:v>11.588841133903417</c:v>
                </c:pt>
                <c:pt idx="640">
                  <c:v>11.40216974464496</c:v>
                </c:pt>
                <c:pt idx="641">
                  <c:v>11.217854785543269</c:v>
                </c:pt>
                <c:pt idx="642">
                  <c:v>11.035879365447654</c:v>
                </c:pt>
                <c:pt idx="643">
                  <c:v>10.856226463097363</c:v>
                </c:pt>
                <c:pt idx="644">
                  <c:v>10.678878933147525</c:v>
                </c:pt>
                <c:pt idx="645">
                  <c:v>10.503819512132912</c:v>
                </c:pt>
                <c:pt idx="646">
                  <c:v>10.331030824368392</c:v>
                </c:pt>
                <c:pt idx="647">
                  <c:v>10.160495387785092</c:v>
                </c:pt>
                <c:pt idx="648">
                  <c:v>9.992195619701306</c:v>
                </c:pt>
                <c:pt idx="649">
                  <c:v>9.8261138425272403</c:v>
                </c:pt>
                <c:pt idx="650">
                  <c:v>9.6622322894027093</c:v>
                </c:pt>
                <c:pt idx="651">
                  <c:v>9.5005331097669767</c:v>
                </c:pt>
                <c:pt idx="652">
                  <c:v>9.3409983748598755</c:v>
                </c:pt>
                <c:pt idx="653">
                  <c:v>9.1836100831535354</c:v>
                </c:pt>
                <c:pt idx="654">
                  <c:v>9.0283501657139915</c:v>
                </c:pt>
                <c:pt idx="655">
                  <c:v>8.8752004914919578</c:v>
                </c:pt>
                <c:pt idx="656">
                  <c:v>8.7241428725421564</c:v>
                </c:pt>
                <c:pt idx="657">
                  <c:v>8.5751590691706348</c:v>
                </c:pt>
                <c:pt idx="658">
                  <c:v>8.428230795009485</c:v>
                </c:pt>
                <c:pt idx="659">
                  <c:v>8.2833397220184803</c:v>
                </c:pt>
                <c:pt idx="660">
                  <c:v>8.1404674854130956</c:v>
                </c:pt>
                <c:pt idx="661">
                  <c:v>7.9995956885185597</c:v>
                </c:pt>
                <c:pt idx="662">
                  <c:v>7.8607059075494439</c:v>
                </c:pt>
                <c:pt idx="663">
                  <c:v>7.7237796963145176</c:v>
                </c:pt>
                <c:pt idx="664">
                  <c:v>7.5887985908464426</c:v>
                </c:pt>
                <c:pt idx="665">
                  <c:v>7.4557441139560945</c:v>
                </c:pt>
                <c:pt idx="666">
                  <c:v>7.3245977797112287</c:v>
                </c:pt>
                <c:pt idx="667">
                  <c:v>7.19534109783923</c:v>
                </c:pt>
                <c:pt idx="668">
                  <c:v>7.0679555780538283</c:v>
                </c:pt>
                <c:pt idx="669">
                  <c:v>6.942422734305568</c:v>
                </c:pt>
                <c:pt idx="670">
                  <c:v>6.8187240889559639</c:v>
                </c:pt>
                <c:pt idx="671">
                  <c:v>6.6968411768751608</c:v>
                </c:pt>
                <c:pt idx="672">
                  <c:v>6.5767555494631766</c:v>
                </c:pt>
                <c:pt idx="673">
                  <c:v>6.4584487785945965</c:v>
                </c:pt>
                <c:pt idx="674">
                  <c:v>6.3419024604867769</c:v>
                </c:pt>
                <c:pt idx="675">
                  <c:v>6.2270982194915661</c:v>
                </c:pt>
              </c:numCache>
            </c:numRef>
          </c:yVal>
          <c:smooth val="1"/>
        </c:ser>
        <c:ser>
          <c:idx val="6"/>
          <c:order val="6"/>
          <c:tx>
            <c:strRef>
              <c:f>Data!$J$1</c:f>
              <c:strCache>
                <c:ptCount val="1"/>
                <c:pt idx="0">
                  <c:v>Peak 5</c:v>
                </c:pt>
              </c:strCache>
            </c:strRef>
          </c:tx>
          <c:spPr>
            <a:ln w="12700">
              <a:solidFill>
                <a:srgbClr val="008080"/>
              </a:solidFill>
              <a:prstDash val="solid"/>
            </a:ln>
          </c:spPr>
          <c:marker>
            <c:symbol val="none"/>
          </c:marker>
          <c:xVal>
            <c:numRef>
              <c:f>Data!$A$2:$A$1001</c:f>
              <c:numCache>
                <c:formatCode>0.000</c:formatCode>
                <c:ptCount val="1000"/>
                <c:pt idx="0">
                  <c:v>1</c:v>
                </c:pt>
                <c:pt idx="1">
                  <c:v>3</c:v>
                </c:pt>
                <c:pt idx="2">
                  <c:v>5</c:v>
                </c:pt>
                <c:pt idx="3">
                  <c:v>7</c:v>
                </c:pt>
                <c:pt idx="4">
                  <c:v>9</c:v>
                </c:pt>
                <c:pt idx="5">
                  <c:v>11</c:v>
                </c:pt>
                <c:pt idx="6">
                  <c:v>13</c:v>
                </c:pt>
                <c:pt idx="7">
                  <c:v>15</c:v>
                </c:pt>
                <c:pt idx="8">
                  <c:v>17</c:v>
                </c:pt>
                <c:pt idx="9">
                  <c:v>19</c:v>
                </c:pt>
                <c:pt idx="10">
                  <c:v>21</c:v>
                </c:pt>
                <c:pt idx="11">
                  <c:v>23</c:v>
                </c:pt>
                <c:pt idx="12">
                  <c:v>25</c:v>
                </c:pt>
                <c:pt idx="13">
                  <c:v>27</c:v>
                </c:pt>
                <c:pt idx="14">
                  <c:v>29</c:v>
                </c:pt>
                <c:pt idx="15">
                  <c:v>31</c:v>
                </c:pt>
                <c:pt idx="16">
                  <c:v>33</c:v>
                </c:pt>
                <c:pt idx="17">
                  <c:v>35</c:v>
                </c:pt>
                <c:pt idx="18">
                  <c:v>37</c:v>
                </c:pt>
                <c:pt idx="19">
                  <c:v>39</c:v>
                </c:pt>
                <c:pt idx="20">
                  <c:v>41</c:v>
                </c:pt>
                <c:pt idx="21">
                  <c:v>43</c:v>
                </c:pt>
                <c:pt idx="22">
                  <c:v>45</c:v>
                </c:pt>
                <c:pt idx="23">
                  <c:v>47</c:v>
                </c:pt>
                <c:pt idx="24">
                  <c:v>49</c:v>
                </c:pt>
                <c:pt idx="25">
                  <c:v>51</c:v>
                </c:pt>
                <c:pt idx="26">
                  <c:v>53</c:v>
                </c:pt>
                <c:pt idx="27">
                  <c:v>55</c:v>
                </c:pt>
                <c:pt idx="28">
                  <c:v>57</c:v>
                </c:pt>
                <c:pt idx="29">
                  <c:v>59</c:v>
                </c:pt>
                <c:pt idx="30">
                  <c:v>61</c:v>
                </c:pt>
                <c:pt idx="31">
                  <c:v>63</c:v>
                </c:pt>
                <c:pt idx="32">
                  <c:v>65</c:v>
                </c:pt>
                <c:pt idx="33">
                  <c:v>67</c:v>
                </c:pt>
                <c:pt idx="34">
                  <c:v>69</c:v>
                </c:pt>
                <c:pt idx="35">
                  <c:v>71</c:v>
                </c:pt>
                <c:pt idx="36">
                  <c:v>73</c:v>
                </c:pt>
                <c:pt idx="37">
                  <c:v>75</c:v>
                </c:pt>
                <c:pt idx="38">
                  <c:v>77</c:v>
                </c:pt>
                <c:pt idx="39">
                  <c:v>79</c:v>
                </c:pt>
                <c:pt idx="40">
                  <c:v>81</c:v>
                </c:pt>
                <c:pt idx="41">
                  <c:v>83</c:v>
                </c:pt>
                <c:pt idx="42">
                  <c:v>85</c:v>
                </c:pt>
                <c:pt idx="43">
                  <c:v>87</c:v>
                </c:pt>
                <c:pt idx="44">
                  <c:v>89</c:v>
                </c:pt>
                <c:pt idx="45">
                  <c:v>91</c:v>
                </c:pt>
                <c:pt idx="46">
                  <c:v>93</c:v>
                </c:pt>
                <c:pt idx="47">
                  <c:v>95</c:v>
                </c:pt>
                <c:pt idx="48">
                  <c:v>97</c:v>
                </c:pt>
                <c:pt idx="49">
                  <c:v>99</c:v>
                </c:pt>
                <c:pt idx="50">
                  <c:v>101</c:v>
                </c:pt>
                <c:pt idx="51">
                  <c:v>103</c:v>
                </c:pt>
                <c:pt idx="52">
                  <c:v>105</c:v>
                </c:pt>
                <c:pt idx="53">
                  <c:v>107</c:v>
                </c:pt>
                <c:pt idx="54">
                  <c:v>109</c:v>
                </c:pt>
                <c:pt idx="55">
                  <c:v>111</c:v>
                </c:pt>
                <c:pt idx="56">
                  <c:v>113</c:v>
                </c:pt>
                <c:pt idx="57">
                  <c:v>115</c:v>
                </c:pt>
                <c:pt idx="58">
                  <c:v>117</c:v>
                </c:pt>
                <c:pt idx="59">
                  <c:v>119</c:v>
                </c:pt>
                <c:pt idx="60">
                  <c:v>121</c:v>
                </c:pt>
                <c:pt idx="61">
                  <c:v>123</c:v>
                </c:pt>
                <c:pt idx="62">
                  <c:v>125</c:v>
                </c:pt>
                <c:pt idx="63">
                  <c:v>127</c:v>
                </c:pt>
                <c:pt idx="64">
                  <c:v>129</c:v>
                </c:pt>
                <c:pt idx="65">
                  <c:v>131</c:v>
                </c:pt>
                <c:pt idx="66">
                  <c:v>133</c:v>
                </c:pt>
                <c:pt idx="67">
                  <c:v>135</c:v>
                </c:pt>
                <c:pt idx="68">
                  <c:v>137</c:v>
                </c:pt>
                <c:pt idx="69">
                  <c:v>139</c:v>
                </c:pt>
                <c:pt idx="70">
                  <c:v>141</c:v>
                </c:pt>
                <c:pt idx="71">
                  <c:v>143</c:v>
                </c:pt>
                <c:pt idx="72">
                  <c:v>145</c:v>
                </c:pt>
                <c:pt idx="73">
                  <c:v>147</c:v>
                </c:pt>
                <c:pt idx="74">
                  <c:v>149</c:v>
                </c:pt>
                <c:pt idx="75">
                  <c:v>151</c:v>
                </c:pt>
                <c:pt idx="76">
                  <c:v>153</c:v>
                </c:pt>
                <c:pt idx="77">
                  <c:v>155</c:v>
                </c:pt>
                <c:pt idx="78">
                  <c:v>157</c:v>
                </c:pt>
                <c:pt idx="79">
                  <c:v>159</c:v>
                </c:pt>
                <c:pt idx="80">
                  <c:v>161</c:v>
                </c:pt>
                <c:pt idx="81">
                  <c:v>163</c:v>
                </c:pt>
                <c:pt idx="82">
                  <c:v>165</c:v>
                </c:pt>
                <c:pt idx="83">
                  <c:v>167</c:v>
                </c:pt>
                <c:pt idx="84">
                  <c:v>169</c:v>
                </c:pt>
                <c:pt idx="85">
                  <c:v>171</c:v>
                </c:pt>
                <c:pt idx="86">
                  <c:v>173</c:v>
                </c:pt>
                <c:pt idx="87">
                  <c:v>175</c:v>
                </c:pt>
                <c:pt idx="88">
                  <c:v>177</c:v>
                </c:pt>
                <c:pt idx="89">
                  <c:v>179</c:v>
                </c:pt>
                <c:pt idx="90">
                  <c:v>181</c:v>
                </c:pt>
                <c:pt idx="91">
                  <c:v>183</c:v>
                </c:pt>
                <c:pt idx="92">
                  <c:v>185</c:v>
                </c:pt>
                <c:pt idx="93">
                  <c:v>187</c:v>
                </c:pt>
                <c:pt idx="94">
                  <c:v>189</c:v>
                </c:pt>
                <c:pt idx="95">
                  <c:v>191</c:v>
                </c:pt>
                <c:pt idx="96">
                  <c:v>193</c:v>
                </c:pt>
                <c:pt idx="97">
                  <c:v>195</c:v>
                </c:pt>
                <c:pt idx="98">
                  <c:v>197</c:v>
                </c:pt>
                <c:pt idx="99">
                  <c:v>199</c:v>
                </c:pt>
                <c:pt idx="100">
                  <c:v>201</c:v>
                </c:pt>
                <c:pt idx="101">
                  <c:v>203</c:v>
                </c:pt>
                <c:pt idx="102">
                  <c:v>205</c:v>
                </c:pt>
                <c:pt idx="103">
                  <c:v>207</c:v>
                </c:pt>
                <c:pt idx="104">
                  <c:v>209</c:v>
                </c:pt>
                <c:pt idx="105">
                  <c:v>211</c:v>
                </c:pt>
                <c:pt idx="106">
                  <c:v>213</c:v>
                </c:pt>
                <c:pt idx="107">
                  <c:v>215</c:v>
                </c:pt>
                <c:pt idx="108">
                  <c:v>217</c:v>
                </c:pt>
                <c:pt idx="109">
                  <c:v>219</c:v>
                </c:pt>
                <c:pt idx="110">
                  <c:v>221</c:v>
                </c:pt>
                <c:pt idx="111">
                  <c:v>223</c:v>
                </c:pt>
                <c:pt idx="112">
                  <c:v>225</c:v>
                </c:pt>
                <c:pt idx="113">
                  <c:v>227</c:v>
                </c:pt>
                <c:pt idx="114">
                  <c:v>229</c:v>
                </c:pt>
                <c:pt idx="115">
                  <c:v>231</c:v>
                </c:pt>
                <c:pt idx="116">
                  <c:v>233</c:v>
                </c:pt>
                <c:pt idx="117">
                  <c:v>235</c:v>
                </c:pt>
                <c:pt idx="118">
                  <c:v>237</c:v>
                </c:pt>
                <c:pt idx="119">
                  <c:v>239</c:v>
                </c:pt>
                <c:pt idx="120">
                  <c:v>241</c:v>
                </c:pt>
                <c:pt idx="121">
                  <c:v>243</c:v>
                </c:pt>
                <c:pt idx="122">
                  <c:v>245</c:v>
                </c:pt>
                <c:pt idx="123">
                  <c:v>247</c:v>
                </c:pt>
                <c:pt idx="124">
                  <c:v>249</c:v>
                </c:pt>
                <c:pt idx="125">
                  <c:v>251</c:v>
                </c:pt>
                <c:pt idx="126">
                  <c:v>253</c:v>
                </c:pt>
                <c:pt idx="127">
                  <c:v>255</c:v>
                </c:pt>
                <c:pt idx="128">
                  <c:v>257</c:v>
                </c:pt>
                <c:pt idx="129">
                  <c:v>259</c:v>
                </c:pt>
                <c:pt idx="130">
                  <c:v>261</c:v>
                </c:pt>
                <c:pt idx="131">
                  <c:v>263</c:v>
                </c:pt>
                <c:pt idx="132">
                  <c:v>265</c:v>
                </c:pt>
                <c:pt idx="133">
                  <c:v>267</c:v>
                </c:pt>
                <c:pt idx="134">
                  <c:v>269</c:v>
                </c:pt>
                <c:pt idx="135">
                  <c:v>271</c:v>
                </c:pt>
                <c:pt idx="136">
                  <c:v>273</c:v>
                </c:pt>
                <c:pt idx="137">
                  <c:v>275</c:v>
                </c:pt>
                <c:pt idx="138">
                  <c:v>277</c:v>
                </c:pt>
                <c:pt idx="139">
                  <c:v>279</c:v>
                </c:pt>
                <c:pt idx="140">
                  <c:v>281</c:v>
                </c:pt>
                <c:pt idx="141">
                  <c:v>283</c:v>
                </c:pt>
                <c:pt idx="142">
                  <c:v>285</c:v>
                </c:pt>
                <c:pt idx="143">
                  <c:v>287</c:v>
                </c:pt>
                <c:pt idx="144">
                  <c:v>289</c:v>
                </c:pt>
                <c:pt idx="145">
                  <c:v>291</c:v>
                </c:pt>
                <c:pt idx="146">
                  <c:v>293</c:v>
                </c:pt>
                <c:pt idx="147">
                  <c:v>295</c:v>
                </c:pt>
                <c:pt idx="148">
                  <c:v>297</c:v>
                </c:pt>
                <c:pt idx="149">
                  <c:v>299</c:v>
                </c:pt>
                <c:pt idx="150">
                  <c:v>301</c:v>
                </c:pt>
                <c:pt idx="151">
                  <c:v>303</c:v>
                </c:pt>
                <c:pt idx="152">
                  <c:v>305</c:v>
                </c:pt>
                <c:pt idx="153">
                  <c:v>307</c:v>
                </c:pt>
                <c:pt idx="154">
                  <c:v>309</c:v>
                </c:pt>
                <c:pt idx="155">
                  <c:v>311</c:v>
                </c:pt>
                <c:pt idx="156">
                  <c:v>313</c:v>
                </c:pt>
                <c:pt idx="157">
                  <c:v>315</c:v>
                </c:pt>
                <c:pt idx="158">
                  <c:v>317</c:v>
                </c:pt>
                <c:pt idx="159">
                  <c:v>319</c:v>
                </c:pt>
                <c:pt idx="160">
                  <c:v>321</c:v>
                </c:pt>
                <c:pt idx="161">
                  <c:v>323</c:v>
                </c:pt>
                <c:pt idx="162">
                  <c:v>325</c:v>
                </c:pt>
                <c:pt idx="163">
                  <c:v>327</c:v>
                </c:pt>
                <c:pt idx="164">
                  <c:v>329</c:v>
                </c:pt>
                <c:pt idx="165">
                  <c:v>331</c:v>
                </c:pt>
                <c:pt idx="166">
                  <c:v>333</c:v>
                </c:pt>
                <c:pt idx="167">
                  <c:v>335</c:v>
                </c:pt>
                <c:pt idx="168">
                  <c:v>337</c:v>
                </c:pt>
                <c:pt idx="169">
                  <c:v>339</c:v>
                </c:pt>
                <c:pt idx="170">
                  <c:v>341</c:v>
                </c:pt>
                <c:pt idx="171">
                  <c:v>343</c:v>
                </c:pt>
                <c:pt idx="172">
                  <c:v>345</c:v>
                </c:pt>
                <c:pt idx="173">
                  <c:v>347</c:v>
                </c:pt>
                <c:pt idx="174">
                  <c:v>349</c:v>
                </c:pt>
                <c:pt idx="175">
                  <c:v>351</c:v>
                </c:pt>
                <c:pt idx="176">
                  <c:v>353</c:v>
                </c:pt>
                <c:pt idx="177">
                  <c:v>355</c:v>
                </c:pt>
                <c:pt idx="178">
                  <c:v>357</c:v>
                </c:pt>
                <c:pt idx="179">
                  <c:v>359</c:v>
                </c:pt>
                <c:pt idx="180">
                  <c:v>361</c:v>
                </c:pt>
                <c:pt idx="181">
                  <c:v>363</c:v>
                </c:pt>
                <c:pt idx="182">
                  <c:v>365</c:v>
                </c:pt>
                <c:pt idx="183">
                  <c:v>367</c:v>
                </c:pt>
                <c:pt idx="184">
                  <c:v>369</c:v>
                </c:pt>
                <c:pt idx="185">
                  <c:v>371</c:v>
                </c:pt>
                <c:pt idx="186">
                  <c:v>373</c:v>
                </c:pt>
                <c:pt idx="187">
                  <c:v>375</c:v>
                </c:pt>
                <c:pt idx="188">
                  <c:v>377</c:v>
                </c:pt>
                <c:pt idx="189">
                  <c:v>379</c:v>
                </c:pt>
                <c:pt idx="190">
                  <c:v>381</c:v>
                </c:pt>
                <c:pt idx="191">
                  <c:v>383</c:v>
                </c:pt>
                <c:pt idx="192">
                  <c:v>385</c:v>
                </c:pt>
                <c:pt idx="193">
                  <c:v>387</c:v>
                </c:pt>
                <c:pt idx="194">
                  <c:v>389</c:v>
                </c:pt>
                <c:pt idx="195">
                  <c:v>391</c:v>
                </c:pt>
                <c:pt idx="196">
                  <c:v>393</c:v>
                </c:pt>
                <c:pt idx="197">
                  <c:v>395</c:v>
                </c:pt>
                <c:pt idx="198">
                  <c:v>397</c:v>
                </c:pt>
                <c:pt idx="199">
                  <c:v>399</c:v>
                </c:pt>
                <c:pt idx="200">
                  <c:v>401</c:v>
                </c:pt>
                <c:pt idx="201">
                  <c:v>403</c:v>
                </c:pt>
                <c:pt idx="202">
                  <c:v>405</c:v>
                </c:pt>
                <c:pt idx="203">
                  <c:v>407</c:v>
                </c:pt>
                <c:pt idx="204">
                  <c:v>409</c:v>
                </c:pt>
                <c:pt idx="205">
                  <c:v>411</c:v>
                </c:pt>
                <c:pt idx="206">
                  <c:v>413</c:v>
                </c:pt>
                <c:pt idx="207">
                  <c:v>415</c:v>
                </c:pt>
                <c:pt idx="208">
                  <c:v>417</c:v>
                </c:pt>
                <c:pt idx="209">
                  <c:v>419</c:v>
                </c:pt>
                <c:pt idx="210">
                  <c:v>421</c:v>
                </c:pt>
                <c:pt idx="211">
                  <c:v>423</c:v>
                </c:pt>
                <c:pt idx="212">
                  <c:v>425</c:v>
                </c:pt>
                <c:pt idx="213">
                  <c:v>427</c:v>
                </c:pt>
                <c:pt idx="214">
                  <c:v>429</c:v>
                </c:pt>
                <c:pt idx="215">
                  <c:v>431</c:v>
                </c:pt>
                <c:pt idx="216">
                  <c:v>433</c:v>
                </c:pt>
                <c:pt idx="217">
                  <c:v>435</c:v>
                </c:pt>
                <c:pt idx="218">
                  <c:v>437</c:v>
                </c:pt>
                <c:pt idx="219">
                  <c:v>439</c:v>
                </c:pt>
                <c:pt idx="220">
                  <c:v>441</c:v>
                </c:pt>
                <c:pt idx="221">
                  <c:v>443</c:v>
                </c:pt>
                <c:pt idx="222">
                  <c:v>445</c:v>
                </c:pt>
                <c:pt idx="223">
                  <c:v>447</c:v>
                </c:pt>
                <c:pt idx="224">
                  <c:v>449</c:v>
                </c:pt>
                <c:pt idx="225">
                  <c:v>451</c:v>
                </c:pt>
                <c:pt idx="226">
                  <c:v>453</c:v>
                </c:pt>
                <c:pt idx="227">
                  <c:v>455</c:v>
                </c:pt>
                <c:pt idx="228">
                  <c:v>457</c:v>
                </c:pt>
                <c:pt idx="229">
                  <c:v>459</c:v>
                </c:pt>
                <c:pt idx="230">
                  <c:v>461</c:v>
                </c:pt>
                <c:pt idx="231">
                  <c:v>463</c:v>
                </c:pt>
                <c:pt idx="232">
                  <c:v>465</c:v>
                </c:pt>
                <c:pt idx="233">
                  <c:v>467</c:v>
                </c:pt>
                <c:pt idx="234">
                  <c:v>469</c:v>
                </c:pt>
                <c:pt idx="235">
                  <c:v>471</c:v>
                </c:pt>
                <c:pt idx="236">
                  <c:v>473</c:v>
                </c:pt>
                <c:pt idx="237">
                  <c:v>475</c:v>
                </c:pt>
                <c:pt idx="238">
                  <c:v>477</c:v>
                </c:pt>
                <c:pt idx="239">
                  <c:v>479</c:v>
                </c:pt>
                <c:pt idx="240">
                  <c:v>481</c:v>
                </c:pt>
                <c:pt idx="241">
                  <c:v>483</c:v>
                </c:pt>
                <c:pt idx="242">
                  <c:v>485</c:v>
                </c:pt>
                <c:pt idx="243">
                  <c:v>487</c:v>
                </c:pt>
                <c:pt idx="244">
                  <c:v>489</c:v>
                </c:pt>
                <c:pt idx="245">
                  <c:v>491</c:v>
                </c:pt>
                <c:pt idx="246">
                  <c:v>493</c:v>
                </c:pt>
                <c:pt idx="247">
                  <c:v>495</c:v>
                </c:pt>
                <c:pt idx="248">
                  <c:v>497</c:v>
                </c:pt>
                <c:pt idx="249">
                  <c:v>499</c:v>
                </c:pt>
                <c:pt idx="250">
                  <c:v>501</c:v>
                </c:pt>
                <c:pt idx="251">
                  <c:v>503</c:v>
                </c:pt>
                <c:pt idx="252">
                  <c:v>505</c:v>
                </c:pt>
                <c:pt idx="253">
                  <c:v>507</c:v>
                </c:pt>
                <c:pt idx="254">
                  <c:v>509</c:v>
                </c:pt>
                <c:pt idx="255">
                  <c:v>511</c:v>
                </c:pt>
                <c:pt idx="256">
                  <c:v>513</c:v>
                </c:pt>
                <c:pt idx="257">
                  <c:v>515</c:v>
                </c:pt>
                <c:pt idx="258">
                  <c:v>517</c:v>
                </c:pt>
                <c:pt idx="259">
                  <c:v>519</c:v>
                </c:pt>
                <c:pt idx="260">
                  <c:v>521</c:v>
                </c:pt>
                <c:pt idx="261">
                  <c:v>523</c:v>
                </c:pt>
                <c:pt idx="262">
                  <c:v>525</c:v>
                </c:pt>
                <c:pt idx="263">
                  <c:v>527</c:v>
                </c:pt>
                <c:pt idx="264">
                  <c:v>529</c:v>
                </c:pt>
                <c:pt idx="265">
                  <c:v>531</c:v>
                </c:pt>
                <c:pt idx="266">
                  <c:v>533</c:v>
                </c:pt>
                <c:pt idx="267">
                  <c:v>535</c:v>
                </c:pt>
                <c:pt idx="268">
                  <c:v>537</c:v>
                </c:pt>
                <c:pt idx="269">
                  <c:v>539</c:v>
                </c:pt>
                <c:pt idx="270">
                  <c:v>541</c:v>
                </c:pt>
                <c:pt idx="271">
                  <c:v>543</c:v>
                </c:pt>
                <c:pt idx="272">
                  <c:v>545</c:v>
                </c:pt>
                <c:pt idx="273">
                  <c:v>547</c:v>
                </c:pt>
                <c:pt idx="274">
                  <c:v>549</c:v>
                </c:pt>
                <c:pt idx="275">
                  <c:v>551</c:v>
                </c:pt>
                <c:pt idx="276">
                  <c:v>553</c:v>
                </c:pt>
                <c:pt idx="277">
                  <c:v>555</c:v>
                </c:pt>
                <c:pt idx="278">
                  <c:v>557</c:v>
                </c:pt>
                <c:pt idx="279">
                  <c:v>559</c:v>
                </c:pt>
                <c:pt idx="280">
                  <c:v>561</c:v>
                </c:pt>
                <c:pt idx="281">
                  <c:v>563</c:v>
                </c:pt>
                <c:pt idx="282">
                  <c:v>565</c:v>
                </c:pt>
                <c:pt idx="283">
                  <c:v>567</c:v>
                </c:pt>
                <c:pt idx="284">
                  <c:v>569</c:v>
                </c:pt>
                <c:pt idx="285">
                  <c:v>571</c:v>
                </c:pt>
                <c:pt idx="286">
                  <c:v>573</c:v>
                </c:pt>
                <c:pt idx="287">
                  <c:v>575</c:v>
                </c:pt>
                <c:pt idx="288">
                  <c:v>577</c:v>
                </c:pt>
                <c:pt idx="289">
                  <c:v>579</c:v>
                </c:pt>
                <c:pt idx="290">
                  <c:v>581</c:v>
                </c:pt>
                <c:pt idx="291">
                  <c:v>583</c:v>
                </c:pt>
                <c:pt idx="292">
                  <c:v>585</c:v>
                </c:pt>
                <c:pt idx="293">
                  <c:v>587</c:v>
                </c:pt>
                <c:pt idx="294">
                  <c:v>589</c:v>
                </c:pt>
                <c:pt idx="295">
                  <c:v>591</c:v>
                </c:pt>
                <c:pt idx="296">
                  <c:v>593</c:v>
                </c:pt>
                <c:pt idx="297">
                  <c:v>595</c:v>
                </c:pt>
                <c:pt idx="298">
                  <c:v>597</c:v>
                </c:pt>
                <c:pt idx="299">
                  <c:v>599</c:v>
                </c:pt>
                <c:pt idx="300">
                  <c:v>601</c:v>
                </c:pt>
                <c:pt idx="301">
                  <c:v>603</c:v>
                </c:pt>
                <c:pt idx="302">
                  <c:v>605</c:v>
                </c:pt>
                <c:pt idx="303">
                  <c:v>607</c:v>
                </c:pt>
                <c:pt idx="304">
                  <c:v>609</c:v>
                </c:pt>
                <c:pt idx="305">
                  <c:v>611</c:v>
                </c:pt>
                <c:pt idx="306">
                  <c:v>613</c:v>
                </c:pt>
                <c:pt idx="307">
                  <c:v>615</c:v>
                </c:pt>
                <c:pt idx="308">
                  <c:v>617</c:v>
                </c:pt>
                <c:pt idx="309">
                  <c:v>619</c:v>
                </c:pt>
                <c:pt idx="310">
                  <c:v>621</c:v>
                </c:pt>
                <c:pt idx="311">
                  <c:v>623</c:v>
                </c:pt>
                <c:pt idx="312">
                  <c:v>625</c:v>
                </c:pt>
                <c:pt idx="313">
                  <c:v>627</c:v>
                </c:pt>
                <c:pt idx="314">
                  <c:v>629</c:v>
                </c:pt>
                <c:pt idx="315">
                  <c:v>631</c:v>
                </c:pt>
                <c:pt idx="316">
                  <c:v>633</c:v>
                </c:pt>
                <c:pt idx="317">
                  <c:v>635</c:v>
                </c:pt>
                <c:pt idx="318">
                  <c:v>637</c:v>
                </c:pt>
                <c:pt idx="319">
                  <c:v>639</c:v>
                </c:pt>
                <c:pt idx="320">
                  <c:v>641</c:v>
                </c:pt>
                <c:pt idx="321">
                  <c:v>643</c:v>
                </c:pt>
                <c:pt idx="322">
                  <c:v>645</c:v>
                </c:pt>
                <c:pt idx="323">
                  <c:v>647</c:v>
                </c:pt>
                <c:pt idx="324">
                  <c:v>649</c:v>
                </c:pt>
                <c:pt idx="325">
                  <c:v>651</c:v>
                </c:pt>
                <c:pt idx="326">
                  <c:v>653</c:v>
                </c:pt>
                <c:pt idx="327">
                  <c:v>655</c:v>
                </c:pt>
                <c:pt idx="328">
                  <c:v>657</c:v>
                </c:pt>
                <c:pt idx="329">
                  <c:v>659</c:v>
                </c:pt>
                <c:pt idx="330">
                  <c:v>661</c:v>
                </c:pt>
                <c:pt idx="331">
                  <c:v>663</c:v>
                </c:pt>
                <c:pt idx="332">
                  <c:v>665</c:v>
                </c:pt>
                <c:pt idx="333">
                  <c:v>667</c:v>
                </c:pt>
                <c:pt idx="334">
                  <c:v>669</c:v>
                </c:pt>
                <c:pt idx="335">
                  <c:v>671</c:v>
                </c:pt>
                <c:pt idx="336">
                  <c:v>673</c:v>
                </c:pt>
                <c:pt idx="337">
                  <c:v>675</c:v>
                </c:pt>
                <c:pt idx="338">
                  <c:v>677</c:v>
                </c:pt>
                <c:pt idx="339">
                  <c:v>679</c:v>
                </c:pt>
                <c:pt idx="340">
                  <c:v>681</c:v>
                </c:pt>
                <c:pt idx="341">
                  <c:v>683</c:v>
                </c:pt>
                <c:pt idx="342">
                  <c:v>685</c:v>
                </c:pt>
                <c:pt idx="343">
                  <c:v>687</c:v>
                </c:pt>
                <c:pt idx="344">
                  <c:v>689</c:v>
                </c:pt>
                <c:pt idx="345">
                  <c:v>691</c:v>
                </c:pt>
                <c:pt idx="346">
                  <c:v>693</c:v>
                </c:pt>
                <c:pt idx="347">
                  <c:v>695</c:v>
                </c:pt>
                <c:pt idx="348">
                  <c:v>697</c:v>
                </c:pt>
                <c:pt idx="349">
                  <c:v>699</c:v>
                </c:pt>
                <c:pt idx="350">
                  <c:v>701</c:v>
                </c:pt>
                <c:pt idx="351">
                  <c:v>703</c:v>
                </c:pt>
                <c:pt idx="352">
                  <c:v>705</c:v>
                </c:pt>
                <c:pt idx="353">
                  <c:v>707</c:v>
                </c:pt>
                <c:pt idx="354">
                  <c:v>709</c:v>
                </c:pt>
                <c:pt idx="355">
                  <c:v>711</c:v>
                </c:pt>
                <c:pt idx="356">
                  <c:v>713</c:v>
                </c:pt>
                <c:pt idx="357">
                  <c:v>715</c:v>
                </c:pt>
                <c:pt idx="358">
                  <c:v>717</c:v>
                </c:pt>
                <c:pt idx="359">
                  <c:v>719</c:v>
                </c:pt>
                <c:pt idx="360">
                  <c:v>721</c:v>
                </c:pt>
                <c:pt idx="361">
                  <c:v>723</c:v>
                </c:pt>
                <c:pt idx="362">
                  <c:v>725</c:v>
                </c:pt>
                <c:pt idx="363">
                  <c:v>727</c:v>
                </c:pt>
                <c:pt idx="364">
                  <c:v>729</c:v>
                </c:pt>
                <c:pt idx="365">
                  <c:v>731</c:v>
                </c:pt>
                <c:pt idx="366">
                  <c:v>733</c:v>
                </c:pt>
                <c:pt idx="367">
                  <c:v>735</c:v>
                </c:pt>
                <c:pt idx="368">
                  <c:v>737</c:v>
                </c:pt>
                <c:pt idx="369">
                  <c:v>739</c:v>
                </c:pt>
                <c:pt idx="370">
                  <c:v>741</c:v>
                </c:pt>
                <c:pt idx="371">
                  <c:v>743</c:v>
                </c:pt>
                <c:pt idx="372">
                  <c:v>745</c:v>
                </c:pt>
                <c:pt idx="373">
                  <c:v>747</c:v>
                </c:pt>
                <c:pt idx="374">
                  <c:v>749</c:v>
                </c:pt>
                <c:pt idx="375">
                  <c:v>751</c:v>
                </c:pt>
                <c:pt idx="376">
                  <c:v>753</c:v>
                </c:pt>
                <c:pt idx="377">
                  <c:v>755</c:v>
                </c:pt>
                <c:pt idx="378">
                  <c:v>757</c:v>
                </c:pt>
                <c:pt idx="379">
                  <c:v>759</c:v>
                </c:pt>
                <c:pt idx="380">
                  <c:v>761</c:v>
                </c:pt>
                <c:pt idx="381">
                  <c:v>763</c:v>
                </c:pt>
                <c:pt idx="382">
                  <c:v>765</c:v>
                </c:pt>
                <c:pt idx="383">
                  <c:v>767</c:v>
                </c:pt>
                <c:pt idx="384">
                  <c:v>769</c:v>
                </c:pt>
                <c:pt idx="385">
                  <c:v>771</c:v>
                </c:pt>
                <c:pt idx="386">
                  <c:v>773</c:v>
                </c:pt>
                <c:pt idx="387">
                  <c:v>775</c:v>
                </c:pt>
                <c:pt idx="388">
                  <c:v>777</c:v>
                </c:pt>
                <c:pt idx="389">
                  <c:v>779</c:v>
                </c:pt>
                <c:pt idx="390">
                  <c:v>781</c:v>
                </c:pt>
                <c:pt idx="391">
                  <c:v>783</c:v>
                </c:pt>
                <c:pt idx="392">
                  <c:v>785</c:v>
                </c:pt>
                <c:pt idx="393">
                  <c:v>787</c:v>
                </c:pt>
                <c:pt idx="394">
                  <c:v>789</c:v>
                </c:pt>
                <c:pt idx="395">
                  <c:v>791</c:v>
                </c:pt>
                <c:pt idx="396">
                  <c:v>793</c:v>
                </c:pt>
                <c:pt idx="397">
                  <c:v>795</c:v>
                </c:pt>
                <c:pt idx="398">
                  <c:v>797</c:v>
                </c:pt>
                <c:pt idx="399">
                  <c:v>799</c:v>
                </c:pt>
                <c:pt idx="400">
                  <c:v>801</c:v>
                </c:pt>
                <c:pt idx="401">
                  <c:v>803</c:v>
                </c:pt>
                <c:pt idx="402">
                  <c:v>805</c:v>
                </c:pt>
                <c:pt idx="403">
                  <c:v>807</c:v>
                </c:pt>
                <c:pt idx="404">
                  <c:v>809</c:v>
                </c:pt>
                <c:pt idx="405">
                  <c:v>811</c:v>
                </c:pt>
                <c:pt idx="406">
                  <c:v>813</c:v>
                </c:pt>
                <c:pt idx="407">
                  <c:v>815</c:v>
                </c:pt>
                <c:pt idx="408">
                  <c:v>817</c:v>
                </c:pt>
                <c:pt idx="409">
                  <c:v>819</c:v>
                </c:pt>
                <c:pt idx="410">
                  <c:v>821</c:v>
                </c:pt>
                <c:pt idx="411">
                  <c:v>823</c:v>
                </c:pt>
                <c:pt idx="412">
                  <c:v>825</c:v>
                </c:pt>
                <c:pt idx="413">
                  <c:v>827</c:v>
                </c:pt>
                <c:pt idx="414">
                  <c:v>829</c:v>
                </c:pt>
                <c:pt idx="415">
                  <c:v>831</c:v>
                </c:pt>
                <c:pt idx="416">
                  <c:v>833</c:v>
                </c:pt>
                <c:pt idx="417">
                  <c:v>835</c:v>
                </c:pt>
                <c:pt idx="418">
                  <c:v>837</c:v>
                </c:pt>
                <c:pt idx="419">
                  <c:v>839</c:v>
                </c:pt>
                <c:pt idx="420">
                  <c:v>841</c:v>
                </c:pt>
                <c:pt idx="421">
                  <c:v>843</c:v>
                </c:pt>
                <c:pt idx="422">
                  <c:v>845</c:v>
                </c:pt>
                <c:pt idx="423">
                  <c:v>847</c:v>
                </c:pt>
                <c:pt idx="424">
                  <c:v>849</c:v>
                </c:pt>
                <c:pt idx="425">
                  <c:v>851</c:v>
                </c:pt>
                <c:pt idx="426">
                  <c:v>853</c:v>
                </c:pt>
                <c:pt idx="427">
                  <c:v>855</c:v>
                </c:pt>
                <c:pt idx="428">
                  <c:v>857</c:v>
                </c:pt>
                <c:pt idx="429">
                  <c:v>859</c:v>
                </c:pt>
                <c:pt idx="430">
                  <c:v>861</c:v>
                </c:pt>
                <c:pt idx="431">
                  <c:v>863</c:v>
                </c:pt>
                <c:pt idx="432">
                  <c:v>865</c:v>
                </c:pt>
                <c:pt idx="433">
                  <c:v>867</c:v>
                </c:pt>
                <c:pt idx="434">
                  <c:v>869</c:v>
                </c:pt>
                <c:pt idx="435">
                  <c:v>871</c:v>
                </c:pt>
                <c:pt idx="436">
                  <c:v>873</c:v>
                </c:pt>
                <c:pt idx="437">
                  <c:v>875</c:v>
                </c:pt>
                <c:pt idx="438">
                  <c:v>877</c:v>
                </c:pt>
                <c:pt idx="439">
                  <c:v>879</c:v>
                </c:pt>
                <c:pt idx="440">
                  <c:v>881</c:v>
                </c:pt>
                <c:pt idx="441">
                  <c:v>883</c:v>
                </c:pt>
                <c:pt idx="442">
                  <c:v>885</c:v>
                </c:pt>
                <c:pt idx="443">
                  <c:v>887</c:v>
                </c:pt>
                <c:pt idx="444">
                  <c:v>889</c:v>
                </c:pt>
                <c:pt idx="445">
                  <c:v>891</c:v>
                </c:pt>
                <c:pt idx="446">
                  <c:v>893</c:v>
                </c:pt>
                <c:pt idx="447">
                  <c:v>895</c:v>
                </c:pt>
                <c:pt idx="448">
                  <c:v>897</c:v>
                </c:pt>
                <c:pt idx="449">
                  <c:v>899</c:v>
                </c:pt>
                <c:pt idx="450">
                  <c:v>901</c:v>
                </c:pt>
                <c:pt idx="451">
                  <c:v>903</c:v>
                </c:pt>
                <c:pt idx="452">
                  <c:v>905</c:v>
                </c:pt>
                <c:pt idx="453">
                  <c:v>907</c:v>
                </c:pt>
                <c:pt idx="454">
                  <c:v>909</c:v>
                </c:pt>
                <c:pt idx="455">
                  <c:v>911</c:v>
                </c:pt>
                <c:pt idx="456">
                  <c:v>913</c:v>
                </c:pt>
                <c:pt idx="457">
                  <c:v>915</c:v>
                </c:pt>
                <c:pt idx="458">
                  <c:v>917</c:v>
                </c:pt>
                <c:pt idx="459">
                  <c:v>919</c:v>
                </c:pt>
                <c:pt idx="460">
                  <c:v>921</c:v>
                </c:pt>
                <c:pt idx="461">
                  <c:v>923</c:v>
                </c:pt>
                <c:pt idx="462">
                  <c:v>925</c:v>
                </c:pt>
                <c:pt idx="463">
                  <c:v>927</c:v>
                </c:pt>
                <c:pt idx="464">
                  <c:v>929</c:v>
                </c:pt>
                <c:pt idx="465">
                  <c:v>931</c:v>
                </c:pt>
                <c:pt idx="466">
                  <c:v>933</c:v>
                </c:pt>
                <c:pt idx="467">
                  <c:v>935</c:v>
                </c:pt>
                <c:pt idx="468">
                  <c:v>937</c:v>
                </c:pt>
                <c:pt idx="469">
                  <c:v>939</c:v>
                </c:pt>
                <c:pt idx="470">
                  <c:v>941</c:v>
                </c:pt>
                <c:pt idx="471">
                  <c:v>943</c:v>
                </c:pt>
                <c:pt idx="472">
                  <c:v>945</c:v>
                </c:pt>
                <c:pt idx="473">
                  <c:v>947</c:v>
                </c:pt>
                <c:pt idx="474">
                  <c:v>949</c:v>
                </c:pt>
                <c:pt idx="475">
                  <c:v>951</c:v>
                </c:pt>
                <c:pt idx="476">
                  <c:v>953</c:v>
                </c:pt>
                <c:pt idx="477">
                  <c:v>955</c:v>
                </c:pt>
                <c:pt idx="478">
                  <c:v>957</c:v>
                </c:pt>
                <c:pt idx="479">
                  <c:v>959</c:v>
                </c:pt>
                <c:pt idx="480">
                  <c:v>961</c:v>
                </c:pt>
                <c:pt idx="481">
                  <c:v>963</c:v>
                </c:pt>
                <c:pt idx="482">
                  <c:v>965</c:v>
                </c:pt>
                <c:pt idx="483">
                  <c:v>967</c:v>
                </c:pt>
                <c:pt idx="484">
                  <c:v>969</c:v>
                </c:pt>
                <c:pt idx="485">
                  <c:v>971</c:v>
                </c:pt>
                <c:pt idx="486">
                  <c:v>973</c:v>
                </c:pt>
                <c:pt idx="487">
                  <c:v>975</c:v>
                </c:pt>
                <c:pt idx="488">
                  <c:v>977</c:v>
                </c:pt>
                <c:pt idx="489">
                  <c:v>979</c:v>
                </c:pt>
                <c:pt idx="490">
                  <c:v>981</c:v>
                </c:pt>
                <c:pt idx="491">
                  <c:v>983</c:v>
                </c:pt>
                <c:pt idx="492">
                  <c:v>985</c:v>
                </c:pt>
                <c:pt idx="493">
                  <c:v>987</c:v>
                </c:pt>
                <c:pt idx="494">
                  <c:v>989</c:v>
                </c:pt>
                <c:pt idx="495">
                  <c:v>991</c:v>
                </c:pt>
                <c:pt idx="496">
                  <c:v>993</c:v>
                </c:pt>
                <c:pt idx="497">
                  <c:v>995</c:v>
                </c:pt>
                <c:pt idx="498">
                  <c:v>997</c:v>
                </c:pt>
                <c:pt idx="499">
                  <c:v>999</c:v>
                </c:pt>
                <c:pt idx="500">
                  <c:v>1001</c:v>
                </c:pt>
                <c:pt idx="501">
                  <c:v>1003</c:v>
                </c:pt>
                <c:pt idx="502">
                  <c:v>1005</c:v>
                </c:pt>
                <c:pt idx="503">
                  <c:v>1007</c:v>
                </c:pt>
                <c:pt idx="504">
                  <c:v>1009</c:v>
                </c:pt>
                <c:pt idx="505">
                  <c:v>1011</c:v>
                </c:pt>
                <c:pt idx="506">
                  <c:v>1013</c:v>
                </c:pt>
                <c:pt idx="507">
                  <c:v>1015</c:v>
                </c:pt>
                <c:pt idx="508">
                  <c:v>1017</c:v>
                </c:pt>
                <c:pt idx="509">
                  <c:v>1019</c:v>
                </c:pt>
                <c:pt idx="510">
                  <c:v>1021</c:v>
                </c:pt>
                <c:pt idx="511">
                  <c:v>1023</c:v>
                </c:pt>
                <c:pt idx="512">
                  <c:v>1025</c:v>
                </c:pt>
                <c:pt idx="513">
                  <c:v>1027</c:v>
                </c:pt>
                <c:pt idx="514">
                  <c:v>1029</c:v>
                </c:pt>
                <c:pt idx="515">
                  <c:v>1031</c:v>
                </c:pt>
                <c:pt idx="516">
                  <c:v>1033</c:v>
                </c:pt>
                <c:pt idx="517">
                  <c:v>1035</c:v>
                </c:pt>
                <c:pt idx="518">
                  <c:v>1037</c:v>
                </c:pt>
                <c:pt idx="519">
                  <c:v>1039</c:v>
                </c:pt>
                <c:pt idx="520">
                  <c:v>1041</c:v>
                </c:pt>
                <c:pt idx="521">
                  <c:v>1043</c:v>
                </c:pt>
                <c:pt idx="522">
                  <c:v>1045</c:v>
                </c:pt>
                <c:pt idx="523">
                  <c:v>1047</c:v>
                </c:pt>
                <c:pt idx="524">
                  <c:v>1049</c:v>
                </c:pt>
                <c:pt idx="525">
                  <c:v>1051</c:v>
                </c:pt>
                <c:pt idx="526">
                  <c:v>1053</c:v>
                </c:pt>
                <c:pt idx="527">
                  <c:v>1055</c:v>
                </c:pt>
                <c:pt idx="528">
                  <c:v>1057</c:v>
                </c:pt>
                <c:pt idx="529">
                  <c:v>1059</c:v>
                </c:pt>
                <c:pt idx="530">
                  <c:v>1061</c:v>
                </c:pt>
                <c:pt idx="531">
                  <c:v>1063</c:v>
                </c:pt>
                <c:pt idx="532">
                  <c:v>1065</c:v>
                </c:pt>
                <c:pt idx="533">
                  <c:v>1067</c:v>
                </c:pt>
                <c:pt idx="534">
                  <c:v>1069</c:v>
                </c:pt>
                <c:pt idx="535">
                  <c:v>1071</c:v>
                </c:pt>
                <c:pt idx="536">
                  <c:v>1073</c:v>
                </c:pt>
                <c:pt idx="537">
                  <c:v>1075</c:v>
                </c:pt>
                <c:pt idx="538">
                  <c:v>1077</c:v>
                </c:pt>
                <c:pt idx="539">
                  <c:v>1079</c:v>
                </c:pt>
                <c:pt idx="540">
                  <c:v>1081</c:v>
                </c:pt>
                <c:pt idx="541">
                  <c:v>1083</c:v>
                </c:pt>
                <c:pt idx="542">
                  <c:v>1085</c:v>
                </c:pt>
                <c:pt idx="543">
                  <c:v>1087</c:v>
                </c:pt>
                <c:pt idx="544">
                  <c:v>1089</c:v>
                </c:pt>
                <c:pt idx="545">
                  <c:v>1091</c:v>
                </c:pt>
                <c:pt idx="546">
                  <c:v>1093</c:v>
                </c:pt>
                <c:pt idx="547">
                  <c:v>1095</c:v>
                </c:pt>
                <c:pt idx="548">
                  <c:v>1097</c:v>
                </c:pt>
                <c:pt idx="549">
                  <c:v>1099</c:v>
                </c:pt>
                <c:pt idx="550">
                  <c:v>1101</c:v>
                </c:pt>
                <c:pt idx="551">
                  <c:v>1103</c:v>
                </c:pt>
                <c:pt idx="552">
                  <c:v>1105</c:v>
                </c:pt>
                <c:pt idx="553">
                  <c:v>1107</c:v>
                </c:pt>
                <c:pt idx="554">
                  <c:v>1109</c:v>
                </c:pt>
                <c:pt idx="555">
                  <c:v>1111</c:v>
                </c:pt>
                <c:pt idx="556">
                  <c:v>1113</c:v>
                </c:pt>
                <c:pt idx="557">
                  <c:v>1115</c:v>
                </c:pt>
                <c:pt idx="558">
                  <c:v>1117</c:v>
                </c:pt>
                <c:pt idx="559">
                  <c:v>1119</c:v>
                </c:pt>
                <c:pt idx="560">
                  <c:v>1121</c:v>
                </c:pt>
                <c:pt idx="561">
                  <c:v>1123</c:v>
                </c:pt>
                <c:pt idx="562">
                  <c:v>1125</c:v>
                </c:pt>
                <c:pt idx="563">
                  <c:v>1127</c:v>
                </c:pt>
                <c:pt idx="564">
                  <c:v>1129</c:v>
                </c:pt>
                <c:pt idx="565">
                  <c:v>1131</c:v>
                </c:pt>
                <c:pt idx="566">
                  <c:v>1133</c:v>
                </c:pt>
                <c:pt idx="567">
                  <c:v>1135</c:v>
                </c:pt>
                <c:pt idx="568">
                  <c:v>1137</c:v>
                </c:pt>
                <c:pt idx="569">
                  <c:v>1139</c:v>
                </c:pt>
                <c:pt idx="570">
                  <c:v>1141</c:v>
                </c:pt>
                <c:pt idx="571">
                  <c:v>1143</c:v>
                </c:pt>
                <c:pt idx="572">
                  <c:v>1145</c:v>
                </c:pt>
                <c:pt idx="573">
                  <c:v>1147</c:v>
                </c:pt>
                <c:pt idx="574">
                  <c:v>1149</c:v>
                </c:pt>
                <c:pt idx="575">
                  <c:v>1151</c:v>
                </c:pt>
                <c:pt idx="576">
                  <c:v>1153</c:v>
                </c:pt>
                <c:pt idx="577">
                  <c:v>1155</c:v>
                </c:pt>
                <c:pt idx="578">
                  <c:v>1157</c:v>
                </c:pt>
                <c:pt idx="579">
                  <c:v>1159</c:v>
                </c:pt>
                <c:pt idx="580">
                  <c:v>1161</c:v>
                </c:pt>
                <c:pt idx="581">
                  <c:v>1163</c:v>
                </c:pt>
                <c:pt idx="582">
                  <c:v>1165</c:v>
                </c:pt>
                <c:pt idx="583">
                  <c:v>1167</c:v>
                </c:pt>
                <c:pt idx="584">
                  <c:v>1169</c:v>
                </c:pt>
                <c:pt idx="585">
                  <c:v>1171</c:v>
                </c:pt>
                <c:pt idx="586">
                  <c:v>1173</c:v>
                </c:pt>
                <c:pt idx="587">
                  <c:v>1175</c:v>
                </c:pt>
                <c:pt idx="588">
                  <c:v>1177</c:v>
                </c:pt>
                <c:pt idx="589">
                  <c:v>1179</c:v>
                </c:pt>
                <c:pt idx="590">
                  <c:v>1181</c:v>
                </c:pt>
                <c:pt idx="591">
                  <c:v>1183</c:v>
                </c:pt>
                <c:pt idx="592">
                  <c:v>1185</c:v>
                </c:pt>
                <c:pt idx="593">
                  <c:v>1187</c:v>
                </c:pt>
                <c:pt idx="594">
                  <c:v>1189</c:v>
                </c:pt>
                <c:pt idx="595">
                  <c:v>1191</c:v>
                </c:pt>
                <c:pt idx="596">
                  <c:v>1193</c:v>
                </c:pt>
                <c:pt idx="597">
                  <c:v>1195</c:v>
                </c:pt>
                <c:pt idx="598">
                  <c:v>1197</c:v>
                </c:pt>
                <c:pt idx="599">
                  <c:v>1199</c:v>
                </c:pt>
                <c:pt idx="600">
                  <c:v>1201</c:v>
                </c:pt>
                <c:pt idx="601">
                  <c:v>1203</c:v>
                </c:pt>
                <c:pt idx="602">
                  <c:v>1205</c:v>
                </c:pt>
                <c:pt idx="603">
                  <c:v>1207</c:v>
                </c:pt>
                <c:pt idx="604">
                  <c:v>1209</c:v>
                </c:pt>
                <c:pt idx="605">
                  <c:v>1211</c:v>
                </c:pt>
                <c:pt idx="606">
                  <c:v>1213</c:v>
                </c:pt>
                <c:pt idx="607">
                  <c:v>1215</c:v>
                </c:pt>
                <c:pt idx="608">
                  <c:v>1217</c:v>
                </c:pt>
                <c:pt idx="609">
                  <c:v>1219</c:v>
                </c:pt>
                <c:pt idx="610">
                  <c:v>1221</c:v>
                </c:pt>
                <c:pt idx="611">
                  <c:v>1223</c:v>
                </c:pt>
                <c:pt idx="612">
                  <c:v>1225</c:v>
                </c:pt>
                <c:pt idx="613">
                  <c:v>1227</c:v>
                </c:pt>
                <c:pt idx="614">
                  <c:v>1229</c:v>
                </c:pt>
                <c:pt idx="615">
                  <c:v>1231</c:v>
                </c:pt>
                <c:pt idx="616">
                  <c:v>1233</c:v>
                </c:pt>
                <c:pt idx="617">
                  <c:v>1235</c:v>
                </c:pt>
                <c:pt idx="618">
                  <c:v>1237</c:v>
                </c:pt>
                <c:pt idx="619">
                  <c:v>1239</c:v>
                </c:pt>
                <c:pt idx="620">
                  <c:v>1241</c:v>
                </c:pt>
                <c:pt idx="621">
                  <c:v>1243</c:v>
                </c:pt>
                <c:pt idx="622">
                  <c:v>1245</c:v>
                </c:pt>
                <c:pt idx="623">
                  <c:v>1247</c:v>
                </c:pt>
                <c:pt idx="624">
                  <c:v>1249</c:v>
                </c:pt>
                <c:pt idx="625">
                  <c:v>1251</c:v>
                </c:pt>
                <c:pt idx="626">
                  <c:v>1253</c:v>
                </c:pt>
                <c:pt idx="627">
                  <c:v>1255</c:v>
                </c:pt>
                <c:pt idx="628">
                  <c:v>1257</c:v>
                </c:pt>
                <c:pt idx="629">
                  <c:v>1259</c:v>
                </c:pt>
                <c:pt idx="630">
                  <c:v>1261</c:v>
                </c:pt>
                <c:pt idx="631">
                  <c:v>1263</c:v>
                </c:pt>
                <c:pt idx="632">
                  <c:v>1265</c:v>
                </c:pt>
                <c:pt idx="633">
                  <c:v>1267</c:v>
                </c:pt>
                <c:pt idx="634">
                  <c:v>1269</c:v>
                </c:pt>
                <c:pt idx="635">
                  <c:v>1271</c:v>
                </c:pt>
                <c:pt idx="636">
                  <c:v>1273</c:v>
                </c:pt>
                <c:pt idx="637">
                  <c:v>1275</c:v>
                </c:pt>
                <c:pt idx="638">
                  <c:v>1277</c:v>
                </c:pt>
                <c:pt idx="639">
                  <c:v>1279</c:v>
                </c:pt>
                <c:pt idx="640">
                  <c:v>1281</c:v>
                </c:pt>
                <c:pt idx="641">
                  <c:v>1283</c:v>
                </c:pt>
                <c:pt idx="642">
                  <c:v>1285</c:v>
                </c:pt>
                <c:pt idx="643">
                  <c:v>1287</c:v>
                </c:pt>
                <c:pt idx="644">
                  <c:v>1289</c:v>
                </c:pt>
                <c:pt idx="645">
                  <c:v>1291</c:v>
                </c:pt>
                <c:pt idx="646">
                  <c:v>1293</c:v>
                </c:pt>
                <c:pt idx="647">
                  <c:v>1295</c:v>
                </c:pt>
                <c:pt idx="648">
                  <c:v>1297</c:v>
                </c:pt>
                <c:pt idx="649">
                  <c:v>1299</c:v>
                </c:pt>
                <c:pt idx="650">
                  <c:v>1301</c:v>
                </c:pt>
                <c:pt idx="651">
                  <c:v>1303</c:v>
                </c:pt>
                <c:pt idx="652">
                  <c:v>1305</c:v>
                </c:pt>
                <c:pt idx="653">
                  <c:v>1307</c:v>
                </c:pt>
                <c:pt idx="654">
                  <c:v>1309</c:v>
                </c:pt>
                <c:pt idx="655">
                  <c:v>1311</c:v>
                </c:pt>
                <c:pt idx="656">
                  <c:v>1313</c:v>
                </c:pt>
                <c:pt idx="657">
                  <c:v>1315</c:v>
                </c:pt>
                <c:pt idx="658">
                  <c:v>1317</c:v>
                </c:pt>
                <c:pt idx="659">
                  <c:v>1319</c:v>
                </c:pt>
                <c:pt idx="660">
                  <c:v>1321</c:v>
                </c:pt>
                <c:pt idx="661">
                  <c:v>1323</c:v>
                </c:pt>
                <c:pt idx="662">
                  <c:v>1325</c:v>
                </c:pt>
                <c:pt idx="663">
                  <c:v>1327</c:v>
                </c:pt>
                <c:pt idx="664">
                  <c:v>1329</c:v>
                </c:pt>
                <c:pt idx="665">
                  <c:v>1331</c:v>
                </c:pt>
                <c:pt idx="666">
                  <c:v>1333</c:v>
                </c:pt>
                <c:pt idx="667">
                  <c:v>1335</c:v>
                </c:pt>
                <c:pt idx="668">
                  <c:v>1337</c:v>
                </c:pt>
                <c:pt idx="669">
                  <c:v>1339</c:v>
                </c:pt>
                <c:pt idx="670">
                  <c:v>1341</c:v>
                </c:pt>
                <c:pt idx="671">
                  <c:v>1343</c:v>
                </c:pt>
                <c:pt idx="672">
                  <c:v>1345</c:v>
                </c:pt>
                <c:pt idx="673">
                  <c:v>1347</c:v>
                </c:pt>
                <c:pt idx="674">
                  <c:v>1349</c:v>
                </c:pt>
                <c:pt idx="675">
                  <c:v>1351</c:v>
                </c:pt>
                <c:pt idx="676">
                  <c:v>1353</c:v>
                </c:pt>
                <c:pt idx="677">
                  <c:v>1355</c:v>
                </c:pt>
                <c:pt idx="678">
                  <c:v>1357</c:v>
                </c:pt>
              </c:numCache>
            </c:numRef>
          </c:xVal>
          <c:yVal>
            <c:numRef>
              <c:f>Data!$J$2:$J$1001</c:f>
              <c:numCache>
                <c:formatCode>0</c:formatCode>
                <c:ptCount val="1000"/>
                <c:pt idx="0">
                  <c:v>4.3813599219295716</c:v>
                </c:pt>
                <c:pt idx="1">
                  <c:v>4.4238618766826017</c:v>
                </c:pt>
                <c:pt idx="2">
                  <c:v>4.4667172982339007</c:v>
                </c:pt>
                <c:pt idx="3">
                  <c:v>4.5099284764250607</c:v>
                </c:pt>
                <c:pt idx="4">
                  <c:v>4.553497709140589</c:v>
                </c:pt>
                <c:pt idx="5">
                  <c:v>4.5974273022641032</c:v>
                </c:pt>
                <c:pt idx="6">
                  <c:v>4.6417195696335449</c:v>
                </c:pt>
                <c:pt idx="7">
                  <c:v>4.686376832995415</c:v>
                </c:pt>
                <c:pt idx="8">
                  <c:v>4.731401421958096</c:v>
                </c:pt>
                <c:pt idx="9">
                  <c:v>4.7767956739441448</c:v>
                </c:pt>
                <c:pt idx="10">
                  <c:v>4.8225619341416559</c:v>
                </c:pt>
                <c:pt idx="11">
                  <c:v>4.8687025554546155</c:v>
                </c:pt>
                <c:pt idx="12">
                  <c:v>4.9152198984522961</c:v>
                </c:pt>
                <c:pt idx="13">
                  <c:v>4.9621163313176222</c:v>
                </c:pt>
                <c:pt idx="14">
                  <c:v>5.0093942297945802</c:v>
                </c:pt>
                <c:pt idx="15">
                  <c:v>5.0570559771345858</c:v>
                </c:pt>
                <c:pt idx="16">
                  <c:v>5.1051039640418807</c:v>
                </c:pt>
                <c:pt idx="17">
                  <c:v>5.1535405886178953</c:v>
                </c:pt>
                <c:pt idx="18">
                  <c:v>5.202368256304581</c:v>
                </c:pt>
                <c:pt idx="19">
                  <c:v>5.2515893798267541</c:v>
                </c:pt>
                <c:pt idx="20">
                  <c:v>5.3012063791333768</c:v>
                </c:pt>
                <c:pt idx="21">
                  <c:v>5.3512216813378313</c:v>
                </c:pt>
                <c:pt idx="22">
                  <c:v>5.4016377206571304</c:v>
                </c:pt>
                <c:pt idx="23">
                  <c:v>5.4524569383500996</c:v>
                </c:pt>
                <c:pt idx="24">
                  <c:v>5.5036817826545175</c:v>
                </c:pt>
                <c:pt idx="25">
                  <c:v>5.5553147087231798</c:v>
                </c:pt>
                <c:pt idx="26">
                  <c:v>5.6073581785589175</c:v>
                </c:pt>
                <c:pt idx="27">
                  <c:v>5.659814660948566</c:v>
                </c:pt>
                <c:pt idx="28">
                  <c:v>5.7126866313958358</c:v>
                </c:pt>
                <c:pt idx="29">
                  <c:v>5.7659765720531304</c:v>
                </c:pt>
                <c:pt idx="30">
                  <c:v>5.8196869716522919</c:v>
                </c:pt>
                <c:pt idx="31">
                  <c:v>5.8738203254342469</c:v>
                </c:pt>
                <c:pt idx="32">
                  <c:v>5.9283791350775799</c:v>
                </c:pt>
                <c:pt idx="33">
                  <c:v>5.9833659086260038</c:v>
                </c:pt>
                <c:pt idx="34">
                  <c:v>6.0387831604147566</c:v>
                </c:pt>
                <c:pt idx="35">
                  <c:v>6.0946334109958684</c:v>
                </c:pt>
                <c:pt idx="36">
                  <c:v>6.1509191870623585</c:v>
                </c:pt>
                <c:pt idx="37">
                  <c:v>6.2076430213712825</c:v>
                </c:pt>
                <c:pt idx="38">
                  <c:v>6.2648074526657211</c:v>
                </c:pt>
                <c:pt idx="39">
                  <c:v>6.3224150255955962</c:v>
                </c:pt>
                <c:pt idx="40">
                  <c:v>6.3804682906374133</c:v>
                </c:pt>
                <c:pt idx="41">
                  <c:v>6.4389698040128467</c:v>
                </c:pt>
                <c:pt idx="42">
                  <c:v>6.4979221276062171</c:v>
                </c:pt>
                <c:pt idx="43">
                  <c:v>6.5573278288808341</c:v>
                </c:pt>
                <c:pt idx="44">
                  <c:v>6.617189480794182</c:v>
                </c:pt>
                <c:pt idx="45">
                  <c:v>6.6775096617120111</c:v>
                </c:pt>
                <c:pt idx="46">
                  <c:v>6.7382909553212311</c:v>
                </c:pt>
                <c:pt idx="47">
                  <c:v>6.7995359505417081</c:v>
                </c:pt>
                <c:pt idx="48">
                  <c:v>6.8612472414368728</c:v>
                </c:pt>
                <c:pt idx="49">
                  <c:v>6.9234274271231993</c:v>
                </c:pt>
                <c:pt idx="50">
                  <c:v>6.9860791116785261</c:v>
                </c:pt>
                <c:pt idx="51">
                  <c:v>7.0492049040492013</c:v>
                </c:pt>
                <c:pt idx="52">
                  <c:v>7.1128074179560805</c:v>
                </c:pt>
                <c:pt idx="53">
                  <c:v>7.1768892717993538</c:v>
                </c:pt>
                <c:pt idx="54">
                  <c:v>7.2414530885622055</c:v>
                </c:pt>
                <c:pt idx="55">
                  <c:v>7.3065014957132917</c:v>
                </c:pt>
                <c:pt idx="56">
                  <c:v>7.3720371251080632</c:v>
                </c:pt>
                <c:pt idx="57">
                  <c:v>7.4380626128888929</c:v>
                </c:pt>
                <c:pt idx="58">
                  <c:v>7.5045805993840355</c:v>
                </c:pt>
                <c:pt idx="59">
                  <c:v>7.5715937290053912</c:v>
                </c:pt>
                <c:pt idx="60">
                  <c:v>7.6391046501450983</c:v>
                </c:pt>
                <c:pt idx="61">
                  <c:v>7.7071160150709321</c:v>
                </c:pt>
                <c:pt idx="62">
                  <c:v>7.7756304798205207</c:v>
                </c:pt>
                <c:pt idx="63">
                  <c:v>7.8446507040943398</c:v>
                </c:pt>
                <c:pt idx="64">
                  <c:v>7.9141793511475669</c:v>
                </c:pt>
                <c:pt idx="65">
                  <c:v>7.9842190876806898</c:v>
                </c:pt>
                <c:pt idx="66">
                  <c:v>8.0547725837289512</c:v>
                </c:pt>
                <c:pt idx="67">
                  <c:v>8.1258425125505465</c:v>
                </c:pt>
                <c:pt idx="68">
                  <c:v>8.1974315505136932</c:v>
                </c:pt>
                <c:pt idx="69">
                  <c:v>8.2695423769824359</c:v>
                </c:pt>
                <c:pt idx="70">
                  <c:v>8.3421776742012597</c:v>
                </c:pt>
                <c:pt idx="71">
                  <c:v>8.4153401271785206</c:v>
                </c:pt>
                <c:pt idx="72">
                  <c:v>8.4890324235686396</c:v>
                </c:pt>
                <c:pt idx="73">
                  <c:v>8.563257253553104</c:v>
                </c:pt>
                <c:pt idx="74">
                  <c:v>8.6380173097202544</c:v>
                </c:pt>
                <c:pt idx="75">
                  <c:v>8.7133152869438728</c:v>
                </c:pt>
                <c:pt idx="76">
                  <c:v>8.7891538822605195</c:v>
                </c:pt>
                <c:pt idx="77">
                  <c:v>8.8655357947457212</c:v>
                </c:pt>
                <c:pt idx="78">
                  <c:v>8.942463725388869</c:v>
                </c:pt>
                <c:pt idx="79">
                  <c:v>9.0199403769669768</c:v>
                </c:pt>
                <c:pt idx="80">
                  <c:v>9.0979684539171828</c:v>
                </c:pt>
                <c:pt idx="81">
                  <c:v>9.1765506622080135</c:v>
                </c:pt>
                <c:pt idx="82">
                  <c:v>9.2556897092095038</c:v>
                </c:pt>
                <c:pt idx="83">
                  <c:v>9.3353883035620324</c:v>
                </c:pt>
                <c:pt idx="84">
                  <c:v>9.4156491550439938</c:v>
                </c:pt>
                <c:pt idx="85">
                  <c:v>9.4964749744381809</c:v>
                </c:pt>
                <c:pt idx="86">
                  <c:v>9.5778684733970572</c:v>
                </c:pt>
                <c:pt idx="87">
                  <c:v>9.6598323643067285</c:v>
                </c:pt>
                <c:pt idx="88">
                  <c:v>9.7423693601497252</c:v>
                </c:pt>
                <c:pt idx="89">
                  <c:v>9.8254821743665683</c:v>
                </c:pt>
                <c:pt idx="90">
                  <c:v>9.9091735207161538</c:v>
                </c:pt>
                <c:pt idx="91">
                  <c:v>9.9934461131348638</c:v>
                </c:pt>
                <c:pt idx="92">
                  <c:v>10.078302665594512</c:v>
                </c:pt>
                <c:pt idx="93">
                  <c:v>10.163745891959067</c:v>
                </c:pt>
                <c:pt idx="94">
                  <c:v>10.249778505840142</c:v>
                </c:pt>
                <c:pt idx="95">
                  <c:v>10.336403220451324</c:v>
                </c:pt>
                <c:pt idx="96">
                  <c:v>10.423622748461224</c:v>
                </c:pt>
                <c:pt idx="97">
                  <c:v>10.511439801845407</c:v>
                </c:pt>
                <c:pt idx="98">
                  <c:v>10.599857091737034</c:v>
                </c:pt>
                <c:pt idx="99">
                  <c:v>10.688877328276369</c:v>
                </c:pt>
                <c:pt idx="100">
                  <c:v>10.778503220459031</c:v>
                </c:pt>
                <c:pt idx="101">
                  <c:v>10.868737475983064</c:v>
                </c:pt>
                <c:pt idx="102">
                  <c:v>10.959582801094859</c:v>
                </c:pt>
                <c:pt idx="103">
                  <c:v>11.051041900433789</c:v>
                </c:pt>
                <c:pt idx="104">
                  <c:v>11.143117476875711</c:v>
                </c:pt>
                <c:pt idx="105">
                  <c:v>11.23581223137529</c:v>
                </c:pt>
                <c:pt idx="106">
                  <c:v>11.329128862807078</c:v>
                </c:pt>
                <c:pt idx="107">
                  <c:v>11.423070067805446</c:v>
                </c:pt>
                <c:pt idx="108">
                  <c:v>11.517638540603357</c:v>
                </c:pt>
                <c:pt idx="109">
                  <c:v>11.612836972869893</c:v>
                </c:pt>
                <c:pt idx="110">
                  <c:v>11.708668053546665</c:v>
                </c:pt>
                <c:pt idx="111">
                  <c:v>11.805134468683013</c:v>
                </c:pt>
                <c:pt idx="112">
                  <c:v>11.902238901270072</c:v>
                </c:pt>
                <c:pt idx="113">
                  <c:v>11.999984031073632</c:v>
                </c:pt>
                <c:pt idx="114">
                  <c:v>12.098372534465868</c:v>
                </c:pt>
                <c:pt idx="115">
                  <c:v>12.197407084255875</c:v>
                </c:pt>
                <c:pt idx="116">
                  <c:v>12.297090349519113</c:v>
                </c:pt>
                <c:pt idx="117">
                  <c:v>12.397424995425618</c:v>
                </c:pt>
                <c:pt idx="118">
                  <c:v>12.498413683067128</c:v>
                </c:pt>
                <c:pt idx="119">
                  <c:v>12.600059069283033</c:v>
                </c:pt>
                <c:pt idx="120">
                  <c:v>12.702363806485231</c:v>
                </c:pt>
                <c:pt idx="121">
                  <c:v>12.805330542481794</c:v>
                </c:pt>
                <c:pt idx="122">
                  <c:v>12.908961920299534</c:v>
                </c:pt>
                <c:pt idx="123">
                  <c:v>13.013260578005447</c:v>
                </c:pt>
                <c:pt idx="124">
                  <c:v>13.11822914852705</c:v>
                </c:pt>
                <c:pt idx="125">
                  <c:v>13.22387025947158</c:v>
                </c:pt>
                <c:pt idx="126">
                  <c:v>13.330186532944088</c:v>
                </c:pt>
                <c:pt idx="127">
                  <c:v>13.437180585364448</c:v>
                </c:pt>
                <c:pt idx="128">
                  <c:v>13.544855027283283</c:v>
                </c:pt>
                <c:pt idx="129">
                  <c:v>13.653212463196725</c:v>
                </c:pt>
                <c:pt idx="130">
                  <c:v>13.762255491360186</c:v>
                </c:pt>
                <c:pt idx="131">
                  <c:v>13.871986703600992</c:v>
                </c:pt>
                <c:pt idx="132">
                  <c:v>13.982408685129972</c:v>
                </c:pt>
                <c:pt idx="133">
                  <c:v>14.093524014351935</c:v>
                </c:pt>
                <c:pt idx="134">
                  <c:v>14.205335262675163</c:v>
                </c:pt>
                <c:pt idx="135">
                  <c:v>14.317844994319781</c:v>
                </c:pt>
                <c:pt idx="136">
                  <c:v>14.431055766125121</c:v>
                </c:pt>
                <c:pt idx="137">
                  <c:v>14.544970127356027</c:v>
                </c:pt>
                <c:pt idx="138">
                  <c:v>14.659590619508133</c:v>
                </c:pt>
                <c:pt idx="139">
                  <c:v>14.774919776112133</c:v>
                </c:pt>
                <c:pt idx="140">
                  <c:v>14.89096012253702</c:v>
                </c:pt>
                <c:pt idx="141">
                  <c:v>15.007714175792277</c:v>
                </c:pt>
                <c:pt idx="142">
                  <c:v>15.12518444432915</c:v>
                </c:pt>
                <c:pt idx="143">
                  <c:v>15.243373427840872</c:v>
                </c:pt>
                <c:pt idx="144">
                  <c:v>15.362283617061886</c:v>
                </c:pt>
                <c:pt idx="145">
                  <c:v>15.481917493566135</c:v>
                </c:pt>
                <c:pt idx="146">
                  <c:v>15.602277529564354</c:v>
                </c:pt>
                <c:pt idx="147">
                  <c:v>15.723366187700423</c:v>
                </c:pt>
                <c:pt idx="148">
                  <c:v>15.845185920846719</c:v>
                </c:pt>
                <c:pt idx="149">
                  <c:v>15.9677391718986</c:v>
                </c:pt>
                <c:pt idx="150">
                  <c:v>16.091028373567898</c:v>
                </c:pt>
                <c:pt idx="151">
                  <c:v>16.215055948175479</c:v>
                </c:pt>
                <c:pt idx="152">
                  <c:v>16.339824307442946</c:v>
                </c:pt>
                <c:pt idx="153">
                  <c:v>16.465335852283395</c:v>
                </c:pt>
                <c:pt idx="154">
                  <c:v>16.591592972591243</c:v>
                </c:pt>
                <c:pt idx="155">
                  <c:v>16.718598047031271</c:v>
                </c:pt>
                <c:pt idx="156">
                  <c:v>16.846353442826643</c:v>
                </c:pt>
                <c:pt idx="157">
                  <c:v>16.974861515546198</c:v>
                </c:pt>
                <c:pt idx="158">
                  <c:v>17.104124608890839</c:v>
                </c:pt>
                <c:pt idx="159">
                  <c:v>17.234145054478972</c:v>
                </c:pt>
                <c:pt idx="160">
                  <c:v>17.364925171631299</c:v>
                </c:pt>
                <c:pt idx="161">
                  <c:v>17.49646726715465</c:v>
                </c:pt>
                <c:pt idx="162">
                  <c:v>17.628773635125011</c:v>
                </c:pt>
                <c:pt idx="163">
                  <c:v>17.761846556669823</c:v>
                </c:pt>
                <c:pt idx="164">
                  <c:v>17.895688299749374</c:v>
                </c:pt>
                <c:pt idx="165">
                  <c:v>18.030301118937565</c:v>
                </c:pt>
                <c:pt idx="166">
                  <c:v>18.165687255201739</c:v>
                </c:pt>
                <c:pt idx="167">
                  <c:v>18.301848935681882</c:v>
                </c:pt>
                <c:pt idx="168">
                  <c:v>18.438788373468981</c:v>
                </c:pt>
                <c:pt idx="169">
                  <c:v>18.576507767382765</c:v>
                </c:pt>
                <c:pt idx="170">
                  <c:v>18.715009301748577</c:v>
                </c:pt>
                <c:pt idx="171">
                  <c:v>18.854295146173659</c:v>
                </c:pt>
                <c:pt idx="172">
                  <c:v>18.994367455322703</c:v>
                </c:pt>
                <c:pt idx="173">
                  <c:v>19.13522836869268</c:v>
                </c:pt>
                <c:pt idx="174">
                  <c:v>19.276880010387021</c:v>
                </c:pt>
                <c:pt idx="175">
                  <c:v>19.419324488889192</c:v>
                </c:pt>
                <c:pt idx="176">
                  <c:v>19.562563896835549</c:v>
                </c:pt>
                <c:pt idx="177">
                  <c:v>19.706600310787586</c:v>
                </c:pt>
                <c:pt idx="178">
                  <c:v>19.851435791003535</c:v>
                </c:pt>
                <c:pt idx="179">
                  <c:v>19.997072381209474</c:v>
                </c:pt>
                <c:pt idx="180">
                  <c:v>20.143512108369695</c:v>
                </c:pt>
                <c:pt idx="181">
                  <c:v>20.290756982456582</c:v>
                </c:pt>
                <c:pt idx="182">
                  <c:v>20.438808996219883</c:v>
                </c:pt>
                <c:pt idx="183">
                  <c:v>20.587670124955508</c:v>
                </c:pt>
                <c:pt idx="184">
                  <c:v>20.737342326273676</c:v>
                </c:pt>
                <c:pt idx="185">
                  <c:v>20.887827539866613</c:v>
                </c:pt>
                <c:pt idx="186">
                  <c:v>21.039127687275791</c:v>
                </c:pt>
                <c:pt idx="187">
                  <c:v>21.19124467165852</c:v>
                </c:pt>
                <c:pt idx="188">
                  <c:v>21.34418037755427</c:v>
                </c:pt>
                <c:pt idx="189">
                  <c:v>21.497936670650304</c:v>
                </c:pt>
                <c:pt idx="190">
                  <c:v>21.652515397547091</c:v>
                </c:pt>
                <c:pt idx="191">
                  <c:v>21.807918385523109</c:v>
                </c:pt>
                <c:pt idx="192">
                  <c:v>21.96414744229935</c:v>
                </c:pt>
                <c:pt idx="193">
                  <c:v>22.121204355803332</c:v>
                </c:pt>
                <c:pt idx="194">
                  <c:v>22.279090893932825</c:v>
                </c:pt>
                <c:pt idx="195">
                  <c:v>22.437808804319136</c:v>
                </c:pt>
                <c:pt idx="196">
                  <c:v>22.597359814090026</c:v>
                </c:pt>
                <c:pt idx="197">
                  <c:v>22.757745629632428</c:v>
                </c:pt>
                <c:pt idx="198">
                  <c:v>22.918967936354647</c:v>
                </c:pt>
                <c:pt idx="199">
                  <c:v>23.081028398448439</c:v>
                </c:pt>
                <c:pt idx="200">
                  <c:v>23.243928658650649</c:v>
                </c:pt>
                <c:pt idx="201">
                  <c:v>23.407670338004742</c:v>
                </c:pt>
                <c:pt idx="202">
                  <c:v>23.572255035621929</c:v>
                </c:pt>
                <c:pt idx="203">
                  <c:v>23.737684328442175</c:v>
                </c:pt>
                <c:pt idx="204">
                  <c:v>23.903959770994884</c:v>
                </c:pt>
                <c:pt idx="205">
                  <c:v>24.071082895159506</c:v>
                </c:pt>
                <c:pt idx="206">
                  <c:v>24.239055209925869</c:v>
                </c:pt>
                <c:pt idx="207">
                  <c:v>24.40787820115435</c:v>
                </c:pt>
                <c:pt idx="208">
                  <c:v>24.57755333133597</c:v>
                </c:pt>
                <c:pt idx="209">
                  <c:v>24.748082039352294</c:v>
                </c:pt>
                <c:pt idx="210">
                  <c:v>24.919465740235246</c:v>
                </c:pt>
                <c:pt idx="211">
                  <c:v>25.091705824926805</c:v>
                </c:pt>
                <c:pt idx="212">
                  <c:v>25.264803660038687</c:v>
                </c:pt>
                <c:pt idx="213">
                  <c:v>25.438760587611917</c:v>
                </c:pt>
                <c:pt idx="214">
                  <c:v>25.613577924876378</c:v>
                </c:pt>
                <c:pt idx="215">
                  <c:v>25.789256964010338</c:v>
                </c:pt>
                <c:pt idx="216">
                  <c:v>25.965798971900018</c:v>
                </c:pt>
                <c:pt idx="217">
                  <c:v>26.143205189899131</c:v>
                </c:pt>
                <c:pt idx="218">
                  <c:v>26.321476833588477</c:v>
                </c:pt>
                <c:pt idx="219">
                  <c:v>26.500615092535579</c:v>
                </c:pt>
                <c:pt idx="220">
                  <c:v>26.680621130054465</c:v>
                </c:pt>
                <c:pt idx="221">
                  <c:v>26.861496082965481</c:v>
                </c:pt>
                <c:pt idx="222">
                  <c:v>27.043241061355182</c:v>
                </c:pt>
                <c:pt idx="223">
                  <c:v>27.225857148336527</c:v>
                </c:pt>
                <c:pt idx="224">
                  <c:v>27.409345399809048</c:v>
                </c:pt>
                <c:pt idx="225">
                  <c:v>27.59370684421927</c:v>
                </c:pt>
                <c:pt idx="226">
                  <c:v>27.77894248232138</c:v>
                </c:pt>
                <c:pt idx="227">
                  <c:v>27.965053286938016</c:v>
                </c:pt>
                <c:pt idx="228">
                  <c:v>28.152040202721384</c:v>
                </c:pt>
                <c:pt idx="229">
                  <c:v>28.339904145914538</c:v>
                </c:pt>
                <c:pt idx="230">
                  <c:v>28.528646004113064</c:v>
                </c:pt>
                <c:pt idx="231">
                  <c:v>28.718266636026936</c:v>
                </c:pt>
                <c:pt idx="232">
                  <c:v>28.908766871242793</c:v>
                </c:pt>
                <c:pt idx="233">
                  <c:v>29.100147509986495</c:v>
                </c:pt>
                <c:pt idx="234">
                  <c:v>29.292409322886058</c:v>
                </c:pt>
                <c:pt idx="235">
                  <c:v>29.485553050735021</c:v>
                </c:pt>
                <c:pt idx="236">
                  <c:v>29.679579404256113</c:v>
                </c:pt>
                <c:pt idx="237">
                  <c:v>29.8744890638655</c:v>
                </c:pt>
                <c:pt idx="238">
                  <c:v>30.070282679437305</c:v>
                </c:pt>
                <c:pt idx="239">
                  <c:v>30.26696087006874</c:v>
                </c:pt>
                <c:pt idx="240">
                  <c:v>30.464524223845658</c:v>
                </c:pt>
                <c:pt idx="241">
                  <c:v>30.662973297608684</c:v>
                </c:pt>
                <c:pt idx="242">
                  <c:v>30.862308616719719</c:v>
                </c:pt>
                <c:pt idx="243">
                  <c:v>31.062530674829286</c:v>
                </c:pt>
                <c:pt idx="244">
                  <c:v>31.263639933644114</c:v>
                </c:pt>
                <c:pt idx="245">
                  <c:v>31.465636822695668</c:v>
                </c:pt>
                <c:pt idx="246">
                  <c:v>31.668521739108986</c:v>
                </c:pt>
                <c:pt idx="247">
                  <c:v>31.872295047372397</c:v>
                </c:pt>
                <c:pt idx="248">
                  <c:v>32.076957079107821</c:v>
                </c:pt>
                <c:pt idx="249">
                  <c:v>32.282508132841713</c:v>
                </c:pt>
                <c:pt idx="250">
                  <c:v>32.48894847377683</c:v>
                </c:pt>
                <c:pt idx="251">
                  <c:v>32.696278333564621</c:v>
                </c:pt>
                <c:pt idx="252">
                  <c:v>32.904497910078483</c:v>
                </c:pt>
                <c:pt idx="253">
                  <c:v>33.11360736718769</c:v>
                </c:pt>
                <c:pt idx="254">
                  <c:v>33.323606834532235</c:v>
                </c:pt>
                <c:pt idx="255">
                  <c:v>33.534496407298441</c:v>
                </c:pt>
                <c:pt idx="256">
                  <c:v>33.746276145995424</c:v>
                </c:pt>
                <c:pt idx="257">
                  <c:v>33.958946076232415</c:v>
                </c:pt>
                <c:pt idx="258">
                  <c:v>34.172506188497081</c:v>
                </c:pt>
                <c:pt idx="259">
                  <c:v>34.386956437934593</c:v>
                </c:pt>
                <c:pt idx="260">
                  <c:v>34.602296744127813</c:v>
                </c:pt>
                <c:pt idx="261">
                  <c:v>34.818526990878354</c:v>
                </c:pt>
                <c:pt idx="262">
                  <c:v>35.035647025988624</c:v>
                </c:pt>
                <c:pt idx="263">
                  <c:v>35.253656661044943</c:v>
                </c:pt>
                <c:pt idx="264">
                  <c:v>35.472555671201626</c:v>
                </c:pt>
                <c:pt idx="265">
                  <c:v>35.692343794966234</c:v>
                </c:pt>
                <c:pt idx="266">
                  <c:v>35.913020733985753</c:v>
                </c:pt>
                <c:pt idx="267">
                  <c:v>36.134586152834089</c:v>
                </c:pt>
                <c:pt idx="268">
                  <c:v>36.35703967880044</c:v>
                </c:pt>
                <c:pt idx="269">
                  <c:v>36.580380901679099</c:v>
                </c:pt>
                <c:pt idx="270">
                  <c:v>36.804609373560226</c:v>
                </c:pt>
                <c:pt idx="271">
                  <c:v>37.029724608621876</c:v>
                </c:pt>
                <c:pt idx="272">
                  <c:v>37.255726082923395</c:v>
                </c:pt>
                <c:pt idx="273">
                  <c:v>37.482613234199853</c:v>
                </c:pt>
                <c:pt idx="274">
                  <c:v>37.710385461657857</c:v>
                </c:pt>
                <c:pt idx="275">
                  <c:v>37.939042125772723</c:v>
                </c:pt>
                <c:pt idx="276">
                  <c:v>38.168582548086867</c:v>
                </c:pt>
                <c:pt idx="277">
                  <c:v>38.399006011009568</c:v>
                </c:pt>
                <c:pt idx="278">
                  <c:v>38.630311757618195</c:v>
                </c:pt>
                <c:pt idx="279">
                  <c:v>38.862498991460662</c:v>
                </c:pt>
                <c:pt idx="280">
                  <c:v>39.095566876359499</c:v>
                </c:pt>
                <c:pt idx="281">
                  <c:v>39.329514536217147</c:v>
                </c:pt>
                <c:pt idx="282">
                  <c:v>39.564341054822975</c:v>
                </c:pt>
                <c:pt idx="283">
                  <c:v>39.800045475661548</c:v>
                </c:pt>
                <c:pt idx="284">
                  <c:v>40.036626801722576</c:v>
                </c:pt>
                <c:pt idx="285">
                  <c:v>40.274083995312324</c:v>
                </c:pt>
                <c:pt idx="286">
                  <c:v>40.512415977866617</c:v>
                </c:pt>
                <c:pt idx="287">
                  <c:v>40.751621629765445</c:v>
                </c:pt>
                <c:pt idx="288">
                  <c:v>40.991699790149127</c:v>
                </c:pt>
                <c:pt idx="289">
                  <c:v>41.23264925673616</c:v>
                </c:pt>
                <c:pt idx="290">
                  <c:v>41.474468785642742</c:v>
                </c:pt>
                <c:pt idx="291">
                  <c:v>41.717157091203937</c:v>
                </c:pt>
                <c:pt idx="292">
                  <c:v>41.96071284579655</c:v>
                </c:pt>
                <c:pt idx="293">
                  <c:v>42.2051346796638</c:v>
                </c:pt>
                <c:pt idx="294">
                  <c:v>42.450421180741664</c:v>
                </c:pt>
                <c:pt idx="295">
                  <c:v>42.696570894487067</c:v>
                </c:pt>
                <c:pt idx="296">
                  <c:v>42.943582323707822</c:v>
                </c:pt>
                <c:pt idx="297">
                  <c:v>43.191453928394473</c:v>
                </c:pt>
                <c:pt idx="298">
                  <c:v>43.440184125553955</c:v>
                </c:pt>
                <c:pt idx="299">
                  <c:v>43.689771289045062</c:v>
                </c:pt>
                <c:pt idx="300">
                  <c:v>43.940213749415939</c:v>
                </c:pt>
                <c:pt idx="301">
                  <c:v>44.191509793743435</c:v>
                </c:pt>
                <c:pt idx="302">
                  <c:v>44.443657665474412</c:v>
                </c:pt>
                <c:pt idx="303">
                  <c:v>44.696655564268973</c:v>
                </c:pt>
                <c:pt idx="304">
                  <c:v>44.950501645845826</c:v>
                </c:pt>
                <c:pt idx="305">
                  <c:v>45.205194021829492</c:v>
                </c:pt>
                <c:pt idx="306">
                  <c:v>45.460730759599748</c:v>
                </c:pt>
                <c:pt idx="307">
                  <c:v>45.717109882142935</c:v>
                </c:pt>
                <c:pt idx="308">
                  <c:v>45.974329367905504</c:v>
                </c:pt>
                <c:pt idx="309">
                  <c:v>46.232387150649657</c:v>
                </c:pt>
                <c:pt idx="310">
                  <c:v>46.491281119311012</c:v>
                </c:pt>
                <c:pt idx="311">
                  <c:v>46.751009117858636</c:v>
                </c:pt>
                <c:pt idx="312">
                  <c:v>47.011568945156995</c:v>
                </c:pt>
                <c:pt idx="313">
                  <c:v>47.272958354830401</c:v>
                </c:pt>
                <c:pt idx="314">
                  <c:v>47.535175055129422</c:v>
                </c:pt>
                <c:pt idx="315">
                  <c:v>47.798216708799792</c:v>
                </c:pt>
                <c:pt idx="316">
                  <c:v>48.062080932953315</c:v>
                </c:pt>
                <c:pt idx="317">
                  <c:v>48.32676529894141</c:v>
                </c:pt>
                <c:pt idx="318">
                  <c:v>48.592267332230591</c:v>
                </c:pt>
                <c:pt idx="319">
                  <c:v>48.858584512280736</c:v>
                </c:pt>
                <c:pt idx="320">
                  <c:v>49.125714272425206</c:v>
                </c:pt>
                <c:pt idx="321">
                  <c:v>49.393653999753916</c:v>
                </c:pt>
                <c:pt idx="322">
                  <c:v>49.66240103499824</c:v>
                </c:pt>
                <c:pt idx="323">
                  <c:v>49.931952672418873</c:v>
                </c:pt>
                <c:pt idx="324">
                  <c:v>50.202306159695837</c:v>
                </c:pt>
                <c:pt idx="325">
                  <c:v>50.473458697821002</c:v>
                </c:pt>
                <c:pt idx="326">
                  <c:v>50.745407440993205</c:v>
                </c:pt>
                <c:pt idx="327">
                  <c:v>51.018149496515818</c:v>
                </c:pt>
                <c:pt idx="328">
                  <c:v>51.291681924696881</c:v>
                </c:pt>
                <c:pt idx="329">
                  <c:v>51.566001738751808</c:v>
                </c:pt>
                <c:pt idx="330">
                  <c:v>51.841105904708655</c:v>
                </c:pt>
                <c:pt idx="331">
                  <c:v>52.11699134131603</c:v>
                </c:pt>
                <c:pt idx="332">
                  <c:v>52.393654919953605</c:v>
                </c:pt>
                <c:pt idx="333">
                  <c:v>52.671093464545258</c:v>
                </c:pt>
                <c:pt idx="334">
                  <c:v>52.949303751475</c:v>
                </c:pt>
                <c:pt idx="335">
                  <c:v>53.228282509505462</c:v>
                </c:pt>
                <c:pt idx="336">
                  <c:v>53.508026419699085</c:v>
                </c:pt>
                <c:pt idx="337">
                  <c:v>53.788532115342214</c:v>
                </c:pt>
                <c:pt idx="338">
                  <c:v>54.069796181871787</c:v>
                </c:pt>
                <c:pt idx="339">
                  <c:v>54.351815156804854</c:v>
                </c:pt>
                <c:pt idx="340">
                  <c:v>54.634585529670879</c:v>
                </c:pt>
                <c:pt idx="341">
                  <c:v>54.918103741946872</c:v>
                </c:pt>
                <c:pt idx="342">
                  <c:v>55.202366186995313</c:v>
                </c:pt>
                <c:pt idx="343">
                  <c:v>55.487369210005049</c:v>
                </c:pt>
                <c:pt idx="344">
                  <c:v>55.773109107934872</c:v>
                </c:pt>
                <c:pt idx="345">
                  <c:v>56.059582129460196</c:v>
                </c:pt>
                <c:pt idx="346">
                  <c:v>56.346784474922487</c:v>
                </c:pt>
                <c:pt idx="347">
                  <c:v>56.634712296281705</c:v>
                </c:pt>
                <c:pt idx="348">
                  <c:v>56.923361697071677</c:v>
                </c:pt>
                <c:pt idx="349">
                  <c:v>57.212728732358435</c:v>
                </c:pt>
                <c:pt idx="350">
                  <c:v>57.502809408701545</c:v>
                </c:pt>
                <c:pt idx="351">
                  <c:v>57.793599684118448</c:v>
                </c:pt>
                <c:pt idx="352">
                  <c:v>58.085095468051826</c:v>
                </c:pt>
                <c:pt idx="353">
                  <c:v>58.377292621339969</c:v>
                </c:pt>
                <c:pt idx="354">
                  <c:v>58.670186956190271</c:v>
                </c:pt>
                <c:pt idx="355">
                  <c:v>58.963774236155736</c:v>
                </c:pt>
                <c:pt idx="356">
                  <c:v>59.258050176114629</c:v>
                </c:pt>
                <c:pt idx="357">
                  <c:v>59.553010442253203</c:v>
                </c:pt>
                <c:pt idx="358">
                  <c:v>59.848650652051596</c:v>
                </c:pt>
                <c:pt idx="359">
                  <c:v>60.144966374272784</c:v>
                </c:pt>
                <c:pt idx="360">
                  <c:v>60.441953128954822</c:v>
                </c:pt>
                <c:pt idx="361">
                  <c:v>60.73960638740617</c:v>
                </c:pt>
                <c:pt idx="362">
                  <c:v>61.037921572204219</c:v>
                </c:pt>
                <c:pt idx="363">
                  <c:v>61.336894057197107</c:v>
                </c:pt>
                <c:pt idx="364">
                  <c:v>61.636519167508631</c:v>
                </c:pt>
                <c:pt idx="365">
                  <c:v>61.936792179546515</c:v>
                </c:pt>
                <c:pt idx="366">
                  <c:v>62.237708321013869</c:v>
                </c:pt>
                <c:pt idx="367">
                  <c:v>62.539262770923983</c:v>
                </c:pt>
                <c:pt idx="368">
                  <c:v>62.841450659618253</c:v>
                </c:pt>
                <c:pt idx="369">
                  <c:v>63.144267068787691</c:v>
                </c:pt>
                <c:pt idx="370">
                  <c:v>63.44770703149738</c:v>
                </c:pt>
                <c:pt idx="371">
                  <c:v>63.751765532214641</c:v>
                </c:pt>
                <c:pt idx="372">
                  <c:v>64.056437506840183</c:v>
                </c:pt>
                <c:pt idx="373">
                  <c:v>64.36171784274292</c:v>
                </c:pt>
                <c:pt idx="374">
                  <c:v>64.667601378797954</c:v>
                </c:pt>
                <c:pt idx="375">
                  <c:v>64.974082905427991</c:v>
                </c:pt>
                <c:pt idx="376">
                  <c:v>65.281157164648221</c:v>
                </c:pt>
                <c:pt idx="377">
                  <c:v>65.588818850114492</c:v>
                </c:pt>
                <c:pt idx="378">
                  <c:v>65.897062607175044</c:v>
                </c:pt>
                <c:pt idx="379">
                  <c:v>66.205883032925513</c:v>
                </c:pt>
                <c:pt idx="380">
                  <c:v>66.515274676267467</c:v>
                </c:pt>
                <c:pt idx="381">
                  <c:v>66.825232037970494</c:v>
                </c:pt>
                <c:pt idx="382">
                  <c:v>67.135749570737516</c:v>
                </c:pt>
                <c:pt idx="383">
                  <c:v>67.446821679273839</c:v>
                </c:pt>
                <c:pt idx="384">
                  <c:v>67.758442720359497</c:v>
                </c:pt>
                <c:pt idx="385">
                  <c:v>68.070607002925215</c:v>
                </c:pt>
                <c:pt idx="386">
                  <c:v>68.383308788131785</c:v>
                </c:pt>
                <c:pt idx="387">
                  <c:v>68.69654228945312</c:v>
                </c:pt>
                <c:pt idx="388">
                  <c:v>69.010301672762594</c:v>
                </c:pt>
                <c:pt idx="389">
                  <c:v>69.32458105642317</c:v>
                </c:pt>
                <c:pt idx="390">
                  <c:v>69.639374511380922</c:v>
                </c:pt>
                <c:pt idx="391">
                  <c:v>69.954676061262148</c:v>
                </c:pt>
                <c:pt idx="392">
                  <c:v>70.270479682474075</c:v>
                </c:pt>
                <c:pt idx="393">
                  <c:v>70.586779304309076</c:v>
                </c:pt>
                <c:pt idx="394">
                  <c:v>70.903568809052558</c:v>
                </c:pt>
                <c:pt idx="395">
                  <c:v>71.220842032094396</c:v>
                </c:pt>
                <c:pt idx="396">
                  <c:v>71.538592762043891</c:v>
                </c:pt>
                <c:pt idx="397">
                  <c:v>71.856814740848478</c:v>
                </c:pt>
                <c:pt idx="398">
                  <c:v>72.175501663915853</c:v>
                </c:pt>
                <c:pt idx="399">
                  <c:v>72.49464718023998</c:v>
                </c:pt>
                <c:pt idx="400">
                  <c:v>72.814244892530411</c:v>
                </c:pt>
                <c:pt idx="401">
                  <c:v>73.134288357345497</c:v>
                </c:pt>
                <c:pt idx="402">
                  <c:v>73.454771085229055</c:v>
                </c:pt>
                <c:pt idx="403">
                  <c:v>73.775686540850771</c:v>
                </c:pt>
                <c:pt idx="404">
                  <c:v>74.097028143150254</c:v>
                </c:pt>
                <c:pt idx="405">
                  <c:v>74.418789265484619</c:v>
                </c:pt>
                <c:pt idx="406">
                  <c:v>74.740963235779873</c:v>
                </c:pt>
                <c:pt idx="407">
                  <c:v>75.063543336685868</c:v>
                </c:pt>
                <c:pt idx="408">
                  <c:v>75.386522805734927</c:v>
                </c:pt>
                <c:pt idx="409">
                  <c:v>75.709894835504187</c:v>
                </c:pt>
                <c:pt idx="410">
                  <c:v>76.033652573781481</c:v>
                </c:pt>
                <c:pt idx="411">
                  <c:v>76.357789123735017</c:v>
                </c:pt>
                <c:pt idx="412">
                  <c:v>76.682297544086737</c:v>
                </c:pt>
                <c:pt idx="413">
                  <c:v>77.007170849289167</c:v>
                </c:pt>
                <c:pt idx="414">
                  <c:v>77.332402009706243</c:v>
                </c:pt>
                <c:pt idx="415">
                  <c:v>77.657983951797405</c:v>
                </c:pt>
                <c:pt idx="416">
                  <c:v>77.983909558305811</c:v>
                </c:pt>
                <c:pt idx="417">
                  <c:v>78.310171668449911</c:v>
                </c:pt>
                <c:pt idx="418">
                  <c:v>78.636763078118918</c:v>
                </c:pt>
                <c:pt idx="419">
                  <c:v>78.96367654007166</c:v>
                </c:pt>
                <c:pt idx="420">
                  <c:v>79.290904764139427</c:v>
                </c:pt>
                <c:pt idx="421">
                  <c:v>79.618440417432353</c:v>
                </c:pt>
                <c:pt idx="422">
                  <c:v>79.946276124549513</c:v>
                </c:pt>
                <c:pt idx="423">
                  <c:v>80.274404467792522</c:v>
                </c:pt>
                <c:pt idx="424">
                  <c:v>80.602817987383105</c:v>
                </c:pt>
                <c:pt idx="425">
                  <c:v>80.931509181684149</c:v>
                </c:pt>
                <c:pt idx="426">
                  <c:v>81.260470507424401</c:v>
                </c:pt>
                <c:pt idx="427">
                  <c:v>81.589694379926897</c:v>
                </c:pt>
                <c:pt idx="428">
                  <c:v>81.919173173341107</c:v>
                </c:pt>
                <c:pt idx="429">
                  <c:v>82.248899220878599</c:v>
                </c:pt>
                <c:pt idx="430">
                  <c:v>82.578864815052526</c:v>
                </c:pt>
                <c:pt idx="431">
                  <c:v>82.909062207920513</c:v>
                </c:pt>
                <c:pt idx="432">
                  <c:v>83.239483611331536</c:v>
                </c:pt>
                <c:pt idx="433">
                  <c:v>83.570121197176121</c:v>
                </c:pt>
                <c:pt idx="434">
                  <c:v>83.900967097640375</c:v>
                </c:pt>
                <c:pt idx="435">
                  <c:v>84.232013405463576</c:v>
                </c:pt>
                <c:pt idx="436">
                  <c:v>84.56325217419932</c:v>
                </c:pt>
                <c:pt idx="437">
                  <c:v>84.894675418480489</c:v>
                </c:pt>
                <c:pt idx="438">
                  <c:v>85.226275114287603</c:v>
                </c:pt>
                <c:pt idx="439">
                  <c:v>85.558043199220961</c:v>
                </c:pt>
                <c:pt idx="440">
                  <c:v>85.889971572776219</c:v>
                </c:pt>
                <c:pt idx="441">
                  <c:v>86.222052096623614</c:v>
                </c:pt>
                <c:pt idx="442">
                  <c:v>86.554276594890879</c:v>
                </c:pt>
                <c:pt idx="443">
                  <c:v>86.88663685444962</c:v>
                </c:pt>
                <c:pt idx="444">
                  <c:v>87.21912462520514</c:v>
                </c:pt>
                <c:pt idx="445">
                  <c:v>87.551731620390157</c:v>
                </c:pt>
                <c:pt idx="446">
                  <c:v>87.884449516861721</c:v>
                </c:pt>
                <c:pt idx="447">
                  <c:v>88.217269955401832</c:v>
                </c:pt>
                <c:pt idx="448">
                  <c:v>88.550184541021565</c:v>
                </c:pt>
                <c:pt idx="449">
                  <c:v>88.883184843268737</c:v>
                </c:pt>
                <c:pt idx="450">
                  <c:v>89.216262396539008</c:v>
                </c:pt>
                <c:pt idx="451">
                  <c:v>89.549408700390458</c:v>
                </c:pt>
                <c:pt idx="452">
                  <c:v>89.88261521986179</c:v>
                </c:pt>
                <c:pt idx="453">
                  <c:v>90.215873385793813</c:v>
                </c:pt>
                <c:pt idx="454">
                  <c:v>90.549174595154483</c:v>
                </c:pt>
                <c:pt idx="455">
                  <c:v>90.882510211367475</c:v>
                </c:pt>
                <c:pt idx="456">
                  <c:v>91.215871564643933</c:v>
                </c:pt>
                <c:pt idx="457">
                  <c:v>91.549249952317837</c:v>
                </c:pt>
                <c:pt idx="458">
                  <c:v>91.88263663918471</c:v>
                </c:pt>
                <c:pt idx="459">
                  <c:v>92.216022857843811</c:v>
                </c:pt>
                <c:pt idx="460">
                  <c:v>92.549399809043464</c:v>
                </c:pt>
                <c:pt idx="461">
                  <c:v>92.882758662029929</c:v>
                </c:pt>
                <c:pt idx="462">
                  <c:v>93.216090554899651</c:v>
                </c:pt>
                <c:pt idx="463">
                  <c:v>93.54938659495464</c:v>
                </c:pt>
                <c:pt idx="464">
                  <c:v>93.88263785906139</c:v>
                </c:pt>
                <c:pt idx="465">
                  <c:v>94.215835394012856</c:v>
                </c:pt>
                <c:pt idx="466">
                  <c:v>94.548970216893977</c:v>
                </c:pt>
                <c:pt idx="467">
                  <c:v>94.88203331545013</c:v>
                </c:pt>
                <c:pt idx="468">
                  <c:v>95.215015648459172</c:v>
                </c:pt>
                <c:pt idx="469">
                  <c:v>95.547908146106451</c:v>
                </c:pt>
                <c:pt idx="470">
                  <c:v>95.880701710363084</c:v>
                </c:pt>
                <c:pt idx="471">
                  <c:v>96.213387215367575</c:v>
                </c:pt>
                <c:pt idx="472">
                  <c:v>96.545955507810319</c:v>
                </c:pt>
                <c:pt idx="473">
                  <c:v>96.878397407321501</c:v>
                </c:pt>
                <c:pt idx="474">
                  <c:v>97.210703706862006</c:v>
                </c:pt>
                <c:pt idx="475">
                  <c:v>97.54286517311742</c:v>
                </c:pt>
                <c:pt idx="476">
                  <c:v>97.874872546895247</c:v>
                </c:pt>
                <c:pt idx="477">
                  <c:v>98.206716543525019</c:v>
                </c:pt>
                <c:pt idx="478">
                  <c:v>98.538387853261582</c:v>
                </c:pt>
                <c:pt idx="479">
                  <c:v>98.869877141691376</c:v>
                </c:pt>
                <c:pt idx="480">
                  <c:v>99.201175050141586</c:v>
                </c:pt>
                <c:pt idx="481">
                  <c:v>99.532272196092563</c:v>
                </c:pt>
                <c:pt idx="482">
                  <c:v>99.863159173592933</c:v>
                </c:pt>
                <c:pt idx="483">
                  <c:v>100.19382655367768</c:v>
                </c:pt>
                <c:pt idx="484">
                  <c:v>100.5242648847893</c:v>
                </c:pt>
                <c:pt idx="485">
                  <c:v>100.85446469320171</c:v>
                </c:pt>
                <c:pt idx="486">
                  <c:v>101.18441648344694</c:v>
                </c:pt>
                <c:pt idx="487">
                  <c:v>101.51411073874493</c:v>
                </c:pt>
                <c:pt idx="488">
                  <c:v>101.84353792143592</c:v>
                </c:pt>
                <c:pt idx="489">
                  <c:v>102.17268847341563</c:v>
                </c:pt>
                <c:pt idx="490">
                  <c:v>102.50155281657337</c:v>
                </c:pt>
                <c:pt idx="491">
                  <c:v>102.83012135323263</c:v>
                </c:pt>
                <c:pt idx="492">
                  <c:v>103.1583844665947</c:v>
                </c:pt>
                <c:pt idx="493">
                  <c:v>103.48633252118472</c:v>
                </c:pt>
                <c:pt idx="494">
                  <c:v>103.81395586330051</c:v>
                </c:pt>
                <c:pt idx="495">
                  <c:v>104.14124482146401</c:v>
                </c:pt>
                <c:pt idx="496">
                  <c:v>104.46818970687521</c:v>
                </c:pt>
                <c:pt idx="497">
                  <c:v>104.79478081386891</c:v>
                </c:pt>
                <c:pt idx="498">
                  <c:v>105.12100842037381</c:v>
                </c:pt>
                <c:pt idx="499">
                  <c:v>105.4468627883742</c:v>
                </c:pt>
                <c:pt idx="500">
                  <c:v>105.77233416437413</c:v>
                </c:pt>
                <c:pt idx="501">
                  <c:v>106.09741277986402</c:v>
                </c:pt>
                <c:pt idx="502">
                  <c:v>106.42208885178978</c:v>
                </c:pt>
                <c:pt idx="503">
                  <c:v>106.7463525830243</c:v>
                </c:pt>
                <c:pt idx="504">
                  <c:v>107.07019416284119</c:v>
                </c:pt>
                <c:pt idx="505">
                  <c:v>107.39360376739107</c:v>
                </c:pt>
                <c:pt idx="506">
                  <c:v>107.71657156018006</c:v>
                </c:pt>
                <c:pt idx="507">
                  <c:v>108.03908769255052</c:v>
                </c:pt>
                <c:pt idx="508">
                  <c:v>108.36114230416419</c:v>
                </c:pt>
                <c:pt idx="509">
                  <c:v>108.68272552348731</c:v>
                </c:pt>
                <c:pt idx="510">
                  <c:v>109.00382746827817</c:v>
                </c:pt>
                <c:pt idx="511">
                  <c:v>109.32443824607667</c:v>
                </c:pt>
                <c:pt idx="512">
                  <c:v>109.64454795469608</c:v>
                </c:pt>
                <c:pt idx="513">
                  <c:v>109.96414668271679</c:v>
                </c:pt>
                <c:pt idx="514">
                  <c:v>110.28322450998225</c:v>
                </c:pt>
                <c:pt idx="515">
                  <c:v>110.60177150809687</c:v>
                </c:pt>
                <c:pt idx="516">
                  <c:v>110.91977774092588</c:v>
                </c:pt>
                <c:pt idx="517">
                  <c:v>111.23723326509715</c:v>
                </c:pt>
                <c:pt idx="518">
                  <c:v>111.55412813050505</c:v>
                </c:pt>
                <c:pt idx="519">
                  <c:v>111.87045238081606</c:v>
                </c:pt>
                <c:pt idx="520">
                  <c:v>112.18619605397626</c:v>
                </c:pt>
                <c:pt idx="521">
                  <c:v>112.50134918272069</c:v>
                </c:pt>
                <c:pt idx="522">
                  <c:v>112.81590179508451</c:v>
                </c:pt>
                <c:pt idx="523">
                  <c:v>113.12984391491588</c:v>
                </c:pt>
                <c:pt idx="524">
                  <c:v>113.44316556239033</c:v>
                </c:pt>
                <c:pt idx="525">
                  <c:v>113.75585675452741</c:v>
                </c:pt>
                <c:pt idx="526">
                  <c:v>114.06790750570819</c:v>
                </c:pt>
                <c:pt idx="527">
                  <c:v>114.37930782819504</c:v>
                </c:pt>
                <c:pt idx="528">
                  <c:v>114.69004773265262</c:v>
                </c:pt>
                <c:pt idx="529">
                  <c:v>115.00011722867042</c:v>
                </c:pt>
                <c:pt idx="530">
                  <c:v>115.30950632528696</c:v>
                </c:pt>
                <c:pt idx="531">
                  <c:v>115.6182050315153</c:v>
                </c:pt>
                <c:pt idx="532">
                  <c:v>115.92620335687005</c:v>
                </c:pt>
                <c:pt idx="533">
                  <c:v>116.23349131189565</c:v>
                </c:pt>
                <c:pt idx="534">
                  <c:v>116.5400589086962</c:v>
                </c:pt>
                <c:pt idx="535">
                  <c:v>116.84589616146626</c:v>
                </c:pt>
                <c:pt idx="536">
                  <c:v>117.15099308702338</c:v>
                </c:pt>
                <c:pt idx="537">
                  <c:v>117.4553397053414</c:v>
                </c:pt>
                <c:pt idx="538">
                  <c:v>117.75892604008523</c:v>
                </c:pt>
                <c:pt idx="539">
                  <c:v>118.06174211914664</c:v>
                </c:pt>
                <c:pt idx="540">
                  <c:v>118.36377797518124</c:v>
                </c:pt>
                <c:pt idx="541">
                  <c:v>118.66502364614651</c:v>
                </c:pt>
                <c:pt idx="542">
                  <c:v>118.96546917584078</c:v>
                </c:pt>
                <c:pt idx="543">
                  <c:v>119.26510461444333</c:v>
                </c:pt>
                <c:pt idx="544">
                  <c:v>119.56392001905536</c:v>
                </c:pt>
                <c:pt idx="545">
                  <c:v>119.86190545424186</c:v>
                </c:pt>
                <c:pt idx="546">
                  <c:v>120.15905099257445</c:v>
                </c:pt>
                <c:pt idx="547">
                  <c:v>120.45534671517485</c:v>
                </c:pt>
                <c:pt idx="548">
                  <c:v>120.75078271225941</c:v>
                </c:pt>
                <c:pt idx="549">
                  <c:v>121.04534908368414</c:v>
                </c:pt>
                <c:pt idx="550">
                  <c:v>121.33903593949054</c:v>
                </c:pt>
                <c:pt idx="551">
                  <c:v>121.63183340045217</c:v>
                </c:pt>
                <c:pt idx="552">
                  <c:v>121.92373159862169</c:v>
                </c:pt>
                <c:pt idx="553">
                  <c:v>122.21472067787863</c:v>
                </c:pt>
                <c:pt idx="554">
                  <c:v>122.50479079447754</c:v>
                </c:pt>
                <c:pt idx="555">
                  <c:v>122.79393211759685</c:v>
                </c:pt>
                <c:pt idx="556">
                  <c:v>123.08213482988791</c:v>
                </c:pt>
                <c:pt idx="557">
                  <c:v>123.36938912802471</c:v>
                </c:pt>
                <c:pt idx="558">
                  <c:v>123.65568522325376</c:v>
                </c:pt>
                <c:pt idx="559">
                  <c:v>123.94101334194445</c:v>
                </c:pt>
                <c:pt idx="560">
                  <c:v>124.22536372613962</c:v>
                </c:pt>
                <c:pt idx="561">
                  <c:v>124.50872663410635</c:v>
                </c:pt>
                <c:pt idx="562">
                  <c:v>124.79109234088696</c:v>
                </c:pt>
                <c:pt idx="563">
                  <c:v>125.07245113885027</c:v>
                </c:pt>
                <c:pt idx="564">
                  <c:v>125.35279333824275</c:v>
                </c:pt>
                <c:pt idx="565">
                  <c:v>125.63210926774001</c:v>
                </c:pt>
                <c:pt idx="566">
                  <c:v>125.91038927499807</c:v>
                </c:pt>
                <c:pt idx="567">
                  <c:v>126.18762372720475</c:v>
                </c:pt>
                <c:pt idx="568">
                  <c:v>126.46380301163103</c:v>
                </c:pt>
                <c:pt idx="569">
                  <c:v>126.7389175361821</c:v>
                </c:pt>
                <c:pt idx="570">
                  <c:v>127.01295772994851</c:v>
                </c:pt>
                <c:pt idx="571">
                  <c:v>127.28591404375697</c:v>
                </c:pt>
                <c:pt idx="572">
                  <c:v>127.55777695072098</c:v>
                </c:pt>
                <c:pt idx="573">
                  <c:v>127.82853694679109</c:v>
                </c:pt>
                <c:pt idx="574">
                  <c:v>128.09818455130494</c:v>
                </c:pt>
                <c:pt idx="575">
                  <c:v>128.36671030753695</c:v>
                </c:pt>
                <c:pt idx="576">
                  <c:v>128.63410478324735</c:v>
                </c:pt>
                <c:pt idx="577">
                  <c:v>128.90035857123112</c:v>
                </c:pt>
                <c:pt idx="578">
                  <c:v>129.16546228986613</c:v>
                </c:pt>
                <c:pt idx="579">
                  <c:v>129.42940658366092</c:v>
                </c:pt>
                <c:pt idx="580">
                  <c:v>129.69218212380167</c:v>
                </c:pt>
                <c:pt idx="581">
                  <c:v>129.95377960869882</c:v>
                </c:pt>
                <c:pt idx="582">
                  <c:v>130.21418976453273</c:v>
                </c:pt>
                <c:pt idx="583">
                  <c:v>130.47340334579889</c:v>
                </c:pt>
                <c:pt idx="584">
                  <c:v>130.73141113585203</c:v>
                </c:pt>
                <c:pt idx="585">
                  <c:v>130.98820394744976</c:v>
                </c:pt>
                <c:pt idx="586">
                  <c:v>131.24377262329511</c:v>
                </c:pt>
                <c:pt idx="587">
                  <c:v>131.49810803657826</c:v>
                </c:pt>
                <c:pt idx="588">
                  <c:v>131.75120109151717</c:v>
                </c:pt>
                <c:pt idx="589">
                  <c:v>132.00304272389769</c:v>
                </c:pt>
                <c:pt idx="590">
                  <c:v>132.25362390161192</c:v>
                </c:pt>
                <c:pt idx="591">
                  <c:v>132.50293562519599</c:v>
                </c:pt>
                <c:pt idx="592">
                  <c:v>132.75096892836672</c:v>
                </c:pt>
                <c:pt idx="593">
                  <c:v>132.99771487855676</c:v>
                </c:pt>
                <c:pt idx="594">
                  <c:v>133.24316457744882</c:v>
                </c:pt>
                <c:pt idx="595">
                  <c:v>133.48730916150859</c:v>
                </c:pt>
                <c:pt idx="596">
                  <c:v>133.73013980251616</c:v>
                </c:pt>
                <c:pt idx="597">
                  <c:v>133.97164770809638</c:v>
                </c:pt>
                <c:pt idx="598">
                  <c:v>134.21182412224761</c:v>
                </c:pt>
                <c:pt idx="599">
                  <c:v>134.45066032586908</c:v>
                </c:pt>
                <c:pt idx="600">
                  <c:v>134.68814763728682</c:v>
                </c:pt>
                <c:pt idx="601">
                  <c:v>134.92427741277808</c:v>
                </c:pt>
                <c:pt idx="602">
                  <c:v>135.15904104709406</c:v>
                </c:pt>
                <c:pt idx="603">
                  <c:v>135.39242997398105</c:v>
                </c:pt>
                <c:pt idx="604">
                  <c:v>135.62443566670007</c:v>
                </c:pt>
                <c:pt idx="605">
                  <c:v>135.85504963854464</c:v>
                </c:pt>
                <c:pt idx="606">
                  <c:v>136.0842634433568</c:v>
                </c:pt>
                <c:pt idx="607">
                  <c:v>136.31206867604143</c:v>
                </c:pt>
                <c:pt idx="608">
                  <c:v>136.53845697307875</c:v>
                </c:pt>
                <c:pt idx="609">
                  <c:v>136.76342001303482</c:v>
                </c:pt>
                <c:pt idx="610">
                  <c:v>136.98694951707014</c:v>
                </c:pt>
                <c:pt idx="611">
                  <c:v>137.20903724944642</c:v>
                </c:pt>
                <c:pt idx="612">
                  <c:v>137.42967501803128</c:v>
                </c:pt>
                <c:pt idx="613">
                  <c:v>137.64885467480065</c:v>
                </c:pt>
                <c:pt idx="614">
                  <c:v>137.86656811633958</c:v>
                </c:pt>
                <c:pt idx="615">
                  <c:v>138.08280728434039</c:v>
                </c:pt>
                <c:pt idx="616">
                  <c:v>138.29756416609902</c:v>
                </c:pt>
                <c:pt idx="617">
                  <c:v>138.5108307950089</c:v>
                </c:pt>
                <c:pt idx="618">
                  <c:v>138.72259925105274</c:v>
                </c:pt>
                <c:pt idx="619">
                  <c:v>138.93286166129189</c:v>
                </c:pt>
                <c:pt idx="620">
                  <c:v>139.14161020035343</c:v>
                </c:pt>
                <c:pt idx="621">
                  <c:v>139.34883709091477</c:v>
                </c:pt>
                <c:pt idx="622">
                  <c:v>139.55453460418587</c:v>
                </c:pt>
                <c:pt idx="623">
                  <c:v>139.75869506038913</c:v>
                </c:pt>
                <c:pt idx="624">
                  <c:v>139.96131082923637</c:v>
                </c:pt>
                <c:pt idx="625">
                  <c:v>140.16237433040368</c:v>
                </c:pt>
                <c:pt idx="626">
                  <c:v>140.36187803400352</c:v>
                </c:pt>
                <c:pt idx="627">
                  <c:v>140.55981446105395</c:v>
                </c:pt>
                <c:pt idx="628">
                  <c:v>140.75617618394551</c:v>
                </c:pt>
                <c:pt idx="629">
                  <c:v>140.95095582690521</c:v>
                </c:pt>
                <c:pt idx="630">
                  <c:v>141.14414606645784</c:v>
                </c:pt>
                <c:pt idx="631">
                  <c:v>141.33573963188422</c:v>
                </c:pt>
                <c:pt idx="632">
                  <c:v>141.52572930567703</c:v>
                </c:pt>
                <c:pt idx="633">
                  <c:v>141.71410792399342</c:v>
                </c:pt>
                <c:pt idx="634">
                  <c:v>141.90086837710479</c:v>
                </c:pt>
                <c:pt idx="635">
                  <c:v>142.08600360984363</c:v>
                </c:pt>
                <c:pt idx="636">
                  <c:v>142.26950662204737</c:v>
                </c:pt>
                <c:pt idx="637">
                  <c:v>142.45137046899916</c:v>
                </c:pt>
                <c:pt idx="638">
                  <c:v>142.63158826186546</c:v>
                </c:pt>
                <c:pt idx="639">
                  <c:v>142.81015316813085</c:v>
                </c:pt>
                <c:pt idx="640">
                  <c:v>142.9870584120292</c:v>
                </c:pt>
                <c:pt idx="641">
                  <c:v>143.16229727497205</c:v>
                </c:pt>
                <c:pt idx="642">
                  <c:v>143.33586309597356</c:v>
                </c:pt>
                <c:pt idx="643">
                  <c:v>143.5077492720722</c:v>
                </c:pt>
                <c:pt idx="644">
                  <c:v>143.67794925874927</c:v>
                </c:pt>
                <c:pt idx="645">
                  <c:v>143.84645657034375</c:v>
                </c:pt>
                <c:pt idx="646">
                  <c:v>144.0132647804642</c:v>
                </c:pt>
                <c:pt idx="647">
                  <c:v>144.17836752239688</c:v>
                </c:pt>
                <c:pt idx="648">
                  <c:v>144.34175848951071</c:v>
                </c:pt>
                <c:pt idx="649">
                  <c:v>144.50343143565829</c:v>
                </c:pt>
                <c:pt idx="650">
                  <c:v>144.66338017557399</c:v>
                </c:pt>
                <c:pt idx="651">
                  <c:v>144.82159858526808</c:v>
                </c:pt>
                <c:pt idx="652">
                  <c:v>144.97808060241726</c:v>
                </c:pt>
                <c:pt idx="653">
                  <c:v>145.1328202267517</c:v>
                </c:pt>
                <c:pt idx="654">
                  <c:v>145.28581152043844</c:v>
                </c:pt>
                <c:pt idx="655">
                  <c:v>145.43704860846086</c:v>
                </c:pt>
                <c:pt idx="656">
                  <c:v>145.58652567899475</c:v>
                </c:pt>
                <c:pt idx="657">
                  <c:v>145.73423698378022</c:v>
                </c:pt>
                <c:pt idx="658">
                  <c:v>145.8801768384902</c:v>
                </c:pt>
                <c:pt idx="659">
                  <c:v>146.02433962309476</c:v>
                </c:pt>
                <c:pt idx="660">
                  <c:v>146.1667197822218</c:v>
                </c:pt>
                <c:pt idx="661">
                  <c:v>146.30731182551372</c:v>
                </c:pt>
                <c:pt idx="662">
                  <c:v>146.44611032798031</c:v>
                </c:pt>
                <c:pt idx="663">
                  <c:v>146.58310993034729</c:v>
                </c:pt>
                <c:pt idx="664">
                  <c:v>146.71830533940141</c:v>
                </c:pt>
                <c:pt idx="665">
                  <c:v>146.85169132833104</c:v>
                </c:pt>
                <c:pt idx="666">
                  <c:v>146.98326273706303</c:v>
                </c:pt>
                <c:pt idx="667">
                  <c:v>147.11301447259518</c:v>
                </c:pt>
                <c:pt idx="668">
                  <c:v>147.24094150932495</c:v>
                </c:pt>
                <c:pt idx="669">
                  <c:v>147.3670388893737</c:v>
                </c:pt>
                <c:pt idx="670">
                  <c:v>147.49130172290685</c:v>
                </c:pt>
                <c:pt idx="671">
                  <c:v>147.61372518845008</c:v>
                </c:pt>
                <c:pt idx="672">
                  <c:v>147.73430453320077</c:v>
                </c:pt>
                <c:pt idx="673">
                  <c:v>147.85303507333575</c:v>
                </c:pt>
                <c:pt idx="674">
                  <c:v>147.96991219431433</c:v>
                </c:pt>
                <c:pt idx="675">
                  <c:v>148.08493135117735</c:v>
                </c:pt>
              </c:numCache>
            </c:numRef>
          </c:yVal>
          <c:smooth val="1"/>
        </c:ser>
        <c:ser>
          <c:idx val="7"/>
          <c:order val="7"/>
          <c:tx>
            <c:strRef>
              <c:f>Data!$K$1</c:f>
              <c:strCache>
                <c:ptCount val="1"/>
                <c:pt idx="0">
                  <c:v>Peak 6</c:v>
                </c:pt>
              </c:strCache>
            </c:strRef>
          </c:tx>
          <c:spPr>
            <a:ln w="12700">
              <a:solidFill>
                <a:srgbClr val="0000FF"/>
              </a:solidFill>
              <a:prstDash val="solid"/>
            </a:ln>
          </c:spPr>
          <c:marker>
            <c:symbol val="none"/>
          </c:marker>
          <c:xVal>
            <c:numRef>
              <c:f>Data!$A$2:$A$1001</c:f>
              <c:numCache>
                <c:formatCode>0.000</c:formatCode>
                <c:ptCount val="1000"/>
                <c:pt idx="0">
                  <c:v>1</c:v>
                </c:pt>
                <c:pt idx="1">
                  <c:v>3</c:v>
                </c:pt>
                <c:pt idx="2">
                  <c:v>5</c:v>
                </c:pt>
                <c:pt idx="3">
                  <c:v>7</c:v>
                </c:pt>
                <c:pt idx="4">
                  <c:v>9</c:v>
                </c:pt>
                <c:pt idx="5">
                  <c:v>11</c:v>
                </c:pt>
                <c:pt idx="6">
                  <c:v>13</c:v>
                </c:pt>
                <c:pt idx="7">
                  <c:v>15</c:v>
                </c:pt>
                <c:pt idx="8">
                  <c:v>17</c:v>
                </c:pt>
                <c:pt idx="9">
                  <c:v>19</c:v>
                </c:pt>
                <c:pt idx="10">
                  <c:v>21</c:v>
                </c:pt>
                <c:pt idx="11">
                  <c:v>23</c:v>
                </c:pt>
                <c:pt idx="12">
                  <c:v>25</c:v>
                </c:pt>
                <c:pt idx="13">
                  <c:v>27</c:v>
                </c:pt>
                <c:pt idx="14">
                  <c:v>29</c:v>
                </c:pt>
                <c:pt idx="15">
                  <c:v>31</c:v>
                </c:pt>
                <c:pt idx="16">
                  <c:v>33</c:v>
                </c:pt>
                <c:pt idx="17">
                  <c:v>35</c:v>
                </c:pt>
                <c:pt idx="18">
                  <c:v>37</c:v>
                </c:pt>
                <c:pt idx="19">
                  <c:v>39</c:v>
                </c:pt>
                <c:pt idx="20">
                  <c:v>41</c:v>
                </c:pt>
                <c:pt idx="21">
                  <c:v>43</c:v>
                </c:pt>
                <c:pt idx="22">
                  <c:v>45</c:v>
                </c:pt>
                <c:pt idx="23">
                  <c:v>47</c:v>
                </c:pt>
                <c:pt idx="24">
                  <c:v>49</c:v>
                </c:pt>
                <c:pt idx="25">
                  <c:v>51</c:v>
                </c:pt>
                <c:pt idx="26">
                  <c:v>53</c:v>
                </c:pt>
                <c:pt idx="27">
                  <c:v>55</c:v>
                </c:pt>
                <c:pt idx="28">
                  <c:v>57</c:v>
                </c:pt>
                <c:pt idx="29">
                  <c:v>59</c:v>
                </c:pt>
                <c:pt idx="30">
                  <c:v>61</c:v>
                </c:pt>
                <c:pt idx="31">
                  <c:v>63</c:v>
                </c:pt>
                <c:pt idx="32">
                  <c:v>65</c:v>
                </c:pt>
                <c:pt idx="33">
                  <c:v>67</c:v>
                </c:pt>
                <c:pt idx="34">
                  <c:v>69</c:v>
                </c:pt>
                <c:pt idx="35">
                  <c:v>71</c:v>
                </c:pt>
                <c:pt idx="36">
                  <c:v>73</c:v>
                </c:pt>
                <c:pt idx="37">
                  <c:v>75</c:v>
                </c:pt>
                <c:pt idx="38">
                  <c:v>77</c:v>
                </c:pt>
                <c:pt idx="39">
                  <c:v>79</c:v>
                </c:pt>
                <c:pt idx="40">
                  <c:v>81</c:v>
                </c:pt>
                <c:pt idx="41">
                  <c:v>83</c:v>
                </c:pt>
                <c:pt idx="42">
                  <c:v>85</c:v>
                </c:pt>
                <c:pt idx="43">
                  <c:v>87</c:v>
                </c:pt>
                <c:pt idx="44">
                  <c:v>89</c:v>
                </c:pt>
                <c:pt idx="45">
                  <c:v>91</c:v>
                </c:pt>
                <c:pt idx="46">
                  <c:v>93</c:v>
                </c:pt>
                <c:pt idx="47">
                  <c:v>95</c:v>
                </c:pt>
                <c:pt idx="48">
                  <c:v>97</c:v>
                </c:pt>
                <c:pt idx="49">
                  <c:v>99</c:v>
                </c:pt>
                <c:pt idx="50">
                  <c:v>101</c:v>
                </c:pt>
                <c:pt idx="51">
                  <c:v>103</c:v>
                </c:pt>
                <c:pt idx="52">
                  <c:v>105</c:v>
                </c:pt>
                <c:pt idx="53">
                  <c:v>107</c:v>
                </c:pt>
                <c:pt idx="54">
                  <c:v>109</c:v>
                </c:pt>
                <c:pt idx="55">
                  <c:v>111</c:v>
                </c:pt>
                <c:pt idx="56">
                  <c:v>113</c:v>
                </c:pt>
                <c:pt idx="57">
                  <c:v>115</c:v>
                </c:pt>
                <c:pt idx="58">
                  <c:v>117</c:v>
                </c:pt>
                <c:pt idx="59">
                  <c:v>119</c:v>
                </c:pt>
                <c:pt idx="60">
                  <c:v>121</c:v>
                </c:pt>
                <c:pt idx="61">
                  <c:v>123</c:v>
                </c:pt>
                <c:pt idx="62">
                  <c:v>125</c:v>
                </c:pt>
                <c:pt idx="63">
                  <c:v>127</c:v>
                </c:pt>
                <c:pt idx="64">
                  <c:v>129</c:v>
                </c:pt>
                <c:pt idx="65">
                  <c:v>131</c:v>
                </c:pt>
                <c:pt idx="66">
                  <c:v>133</c:v>
                </c:pt>
                <c:pt idx="67">
                  <c:v>135</c:v>
                </c:pt>
                <c:pt idx="68">
                  <c:v>137</c:v>
                </c:pt>
                <c:pt idx="69">
                  <c:v>139</c:v>
                </c:pt>
                <c:pt idx="70">
                  <c:v>141</c:v>
                </c:pt>
                <c:pt idx="71">
                  <c:v>143</c:v>
                </c:pt>
                <c:pt idx="72">
                  <c:v>145</c:v>
                </c:pt>
                <c:pt idx="73">
                  <c:v>147</c:v>
                </c:pt>
                <c:pt idx="74">
                  <c:v>149</c:v>
                </c:pt>
                <c:pt idx="75">
                  <c:v>151</c:v>
                </c:pt>
                <c:pt idx="76">
                  <c:v>153</c:v>
                </c:pt>
                <c:pt idx="77">
                  <c:v>155</c:v>
                </c:pt>
                <c:pt idx="78">
                  <c:v>157</c:v>
                </c:pt>
                <c:pt idx="79">
                  <c:v>159</c:v>
                </c:pt>
                <c:pt idx="80">
                  <c:v>161</c:v>
                </c:pt>
                <c:pt idx="81">
                  <c:v>163</c:v>
                </c:pt>
                <c:pt idx="82">
                  <c:v>165</c:v>
                </c:pt>
                <c:pt idx="83">
                  <c:v>167</c:v>
                </c:pt>
                <c:pt idx="84">
                  <c:v>169</c:v>
                </c:pt>
                <c:pt idx="85">
                  <c:v>171</c:v>
                </c:pt>
                <c:pt idx="86">
                  <c:v>173</c:v>
                </c:pt>
                <c:pt idx="87">
                  <c:v>175</c:v>
                </c:pt>
                <c:pt idx="88">
                  <c:v>177</c:v>
                </c:pt>
                <c:pt idx="89">
                  <c:v>179</c:v>
                </c:pt>
                <c:pt idx="90">
                  <c:v>181</c:v>
                </c:pt>
                <c:pt idx="91">
                  <c:v>183</c:v>
                </c:pt>
                <c:pt idx="92">
                  <c:v>185</c:v>
                </c:pt>
                <c:pt idx="93">
                  <c:v>187</c:v>
                </c:pt>
                <c:pt idx="94">
                  <c:v>189</c:v>
                </c:pt>
                <c:pt idx="95">
                  <c:v>191</c:v>
                </c:pt>
                <c:pt idx="96">
                  <c:v>193</c:v>
                </c:pt>
                <c:pt idx="97">
                  <c:v>195</c:v>
                </c:pt>
                <c:pt idx="98">
                  <c:v>197</c:v>
                </c:pt>
                <c:pt idx="99">
                  <c:v>199</c:v>
                </c:pt>
                <c:pt idx="100">
                  <c:v>201</c:v>
                </c:pt>
                <c:pt idx="101">
                  <c:v>203</c:v>
                </c:pt>
                <c:pt idx="102">
                  <c:v>205</c:v>
                </c:pt>
                <c:pt idx="103">
                  <c:v>207</c:v>
                </c:pt>
                <c:pt idx="104">
                  <c:v>209</c:v>
                </c:pt>
                <c:pt idx="105">
                  <c:v>211</c:v>
                </c:pt>
                <c:pt idx="106">
                  <c:v>213</c:v>
                </c:pt>
                <c:pt idx="107">
                  <c:v>215</c:v>
                </c:pt>
                <c:pt idx="108">
                  <c:v>217</c:v>
                </c:pt>
                <c:pt idx="109">
                  <c:v>219</c:v>
                </c:pt>
                <c:pt idx="110">
                  <c:v>221</c:v>
                </c:pt>
                <c:pt idx="111">
                  <c:v>223</c:v>
                </c:pt>
                <c:pt idx="112">
                  <c:v>225</c:v>
                </c:pt>
                <c:pt idx="113">
                  <c:v>227</c:v>
                </c:pt>
                <c:pt idx="114">
                  <c:v>229</c:v>
                </c:pt>
                <c:pt idx="115">
                  <c:v>231</c:v>
                </c:pt>
                <c:pt idx="116">
                  <c:v>233</c:v>
                </c:pt>
                <c:pt idx="117">
                  <c:v>235</c:v>
                </c:pt>
                <c:pt idx="118">
                  <c:v>237</c:v>
                </c:pt>
                <c:pt idx="119">
                  <c:v>239</c:v>
                </c:pt>
                <c:pt idx="120">
                  <c:v>241</c:v>
                </c:pt>
                <c:pt idx="121">
                  <c:v>243</c:v>
                </c:pt>
                <c:pt idx="122">
                  <c:v>245</c:v>
                </c:pt>
                <c:pt idx="123">
                  <c:v>247</c:v>
                </c:pt>
                <c:pt idx="124">
                  <c:v>249</c:v>
                </c:pt>
                <c:pt idx="125">
                  <c:v>251</c:v>
                </c:pt>
                <c:pt idx="126">
                  <c:v>253</c:v>
                </c:pt>
                <c:pt idx="127">
                  <c:v>255</c:v>
                </c:pt>
                <c:pt idx="128">
                  <c:v>257</c:v>
                </c:pt>
                <c:pt idx="129">
                  <c:v>259</c:v>
                </c:pt>
                <c:pt idx="130">
                  <c:v>261</c:v>
                </c:pt>
                <c:pt idx="131">
                  <c:v>263</c:v>
                </c:pt>
                <c:pt idx="132">
                  <c:v>265</c:v>
                </c:pt>
                <c:pt idx="133">
                  <c:v>267</c:v>
                </c:pt>
                <c:pt idx="134">
                  <c:v>269</c:v>
                </c:pt>
                <c:pt idx="135">
                  <c:v>271</c:v>
                </c:pt>
                <c:pt idx="136">
                  <c:v>273</c:v>
                </c:pt>
                <c:pt idx="137">
                  <c:v>275</c:v>
                </c:pt>
                <c:pt idx="138">
                  <c:v>277</c:v>
                </c:pt>
                <c:pt idx="139">
                  <c:v>279</c:v>
                </c:pt>
                <c:pt idx="140">
                  <c:v>281</c:v>
                </c:pt>
                <c:pt idx="141">
                  <c:v>283</c:v>
                </c:pt>
                <c:pt idx="142">
                  <c:v>285</c:v>
                </c:pt>
                <c:pt idx="143">
                  <c:v>287</c:v>
                </c:pt>
                <c:pt idx="144">
                  <c:v>289</c:v>
                </c:pt>
                <c:pt idx="145">
                  <c:v>291</c:v>
                </c:pt>
                <c:pt idx="146">
                  <c:v>293</c:v>
                </c:pt>
                <c:pt idx="147">
                  <c:v>295</c:v>
                </c:pt>
                <c:pt idx="148">
                  <c:v>297</c:v>
                </c:pt>
                <c:pt idx="149">
                  <c:v>299</c:v>
                </c:pt>
                <c:pt idx="150">
                  <c:v>301</c:v>
                </c:pt>
                <c:pt idx="151">
                  <c:v>303</c:v>
                </c:pt>
                <c:pt idx="152">
                  <c:v>305</c:v>
                </c:pt>
                <c:pt idx="153">
                  <c:v>307</c:v>
                </c:pt>
                <c:pt idx="154">
                  <c:v>309</c:v>
                </c:pt>
                <c:pt idx="155">
                  <c:v>311</c:v>
                </c:pt>
                <c:pt idx="156">
                  <c:v>313</c:v>
                </c:pt>
                <c:pt idx="157">
                  <c:v>315</c:v>
                </c:pt>
                <c:pt idx="158">
                  <c:v>317</c:v>
                </c:pt>
                <c:pt idx="159">
                  <c:v>319</c:v>
                </c:pt>
                <c:pt idx="160">
                  <c:v>321</c:v>
                </c:pt>
                <c:pt idx="161">
                  <c:v>323</c:v>
                </c:pt>
                <c:pt idx="162">
                  <c:v>325</c:v>
                </c:pt>
                <c:pt idx="163">
                  <c:v>327</c:v>
                </c:pt>
                <c:pt idx="164">
                  <c:v>329</c:v>
                </c:pt>
                <c:pt idx="165">
                  <c:v>331</c:v>
                </c:pt>
                <c:pt idx="166">
                  <c:v>333</c:v>
                </c:pt>
                <c:pt idx="167">
                  <c:v>335</c:v>
                </c:pt>
                <c:pt idx="168">
                  <c:v>337</c:v>
                </c:pt>
                <c:pt idx="169">
                  <c:v>339</c:v>
                </c:pt>
                <c:pt idx="170">
                  <c:v>341</c:v>
                </c:pt>
                <c:pt idx="171">
                  <c:v>343</c:v>
                </c:pt>
                <c:pt idx="172">
                  <c:v>345</c:v>
                </c:pt>
                <c:pt idx="173">
                  <c:v>347</c:v>
                </c:pt>
                <c:pt idx="174">
                  <c:v>349</c:v>
                </c:pt>
                <c:pt idx="175">
                  <c:v>351</c:v>
                </c:pt>
                <c:pt idx="176">
                  <c:v>353</c:v>
                </c:pt>
                <c:pt idx="177">
                  <c:v>355</c:v>
                </c:pt>
                <c:pt idx="178">
                  <c:v>357</c:v>
                </c:pt>
                <c:pt idx="179">
                  <c:v>359</c:v>
                </c:pt>
                <c:pt idx="180">
                  <c:v>361</c:v>
                </c:pt>
                <c:pt idx="181">
                  <c:v>363</c:v>
                </c:pt>
                <c:pt idx="182">
                  <c:v>365</c:v>
                </c:pt>
                <c:pt idx="183">
                  <c:v>367</c:v>
                </c:pt>
                <c:pt idx="184">
                  <c:v>369</c:v>
                </c:pt>
                <c:pt idx="185">
                  <c:v>371</c:v>
                </c:pt>
                <c:pt idx="186">
                  <c:v>373</c:v>
                </c:pt>
                <c:pt idx="187">
                  <c:v>375</c:v>
                </c:pt>
                <c:pt idx="188">
                  <c:v>377</c:v>
                </c:pt>
                <c:pt idx="189">
                  <c:v>379</c:v>
                </c:pt>
                <c:pt idx="190">
                  <c:v>381</c:v>
                </c:pt>
                <c:pt idx="191">
                  <c:v>383</c:v>
                </c:pt>
                <c:pt idx="192">
                  <c:v>385</c:v>
                </c:pt>
                <c:pt idx="193">
                  <c:v>387</c:v>
                </c:pt>
                <c:pt idx="194">
                  <c:v>389</c:v>
                </c:pt>
                <c:pt idx="195">
                  <c:v>391</c:v>
                </c:pt>
                <c:pt idx="196">
                  <c:v>393</c:v>
                </c:pt>
                <c:pt idx="197">
                  <c:v>395</c:v>
                </c:pt>
                <c:pt idx="198">
                  <c:v>397</c:v>
                </c:pt>
                <c:pt idx="199">
                  <c:v>399</c:v>
                </c:pt>
                <c:pt idx="200">
                  <c:v>401</c:v>
                </c:pt>
                <c:pt idx="201">
                  <c:v>403</c:v>
                </c:pt>
                <c:pt idx="202">
                  <c:v>405</c:v>
                </c:pt>
                <c:pt idx="203">
                  <c:v>407</c:v>
                </c:pt>
                <c:pt idx="204">
                  <c:v>409</c:v>
                </c:pt>
                <c:pt idx="205">
                  <c:v>411</c:v>
                </c:pt>
                <c:pt idx="206">
                  <c:v>413</c:v>
                </c:pt>
                <c:pt idx="207">
                  <c:v>415</c:v>
                </c:pt>
                <c:pt idx="208">
                  <c:v>417</c:v>
                </c:pt>
                <c:pt idx="209">
                  <c:v>419</c:v>
                </c:pt>
                <c:pt idx="210">
                  <c:v>421</c:v>
                </c:pt>
                <c:pt idx="211">
                  <c:v>423</c:v>
                </c:pt>
                <c:pt idx="212">
                  <c:v>425</c:v>
                </c:pt>
                <c:pt idx="213">
                  <c:v>427</c:v>
                </c:pt>
                <c:pt idx="214">
                  <c:v>429</c:v>
                </c:pt>
                <c:pt idx="215">
                  <c:v>431</c:v>
                </c:pt>
                <c:pt idx="216">
                  <c:v>433</c:v>
                </c:pt>
                <c:pt idx="217">
                  <c:v>435</c:v>
                </c:pt>
                <c:pt idx="218">
                  <c:v>437</c:v>
                </c:pt>
                <c:pt idx="219">
                  <c:v>439</c:v>
                </c:pt>
                <c:pt idx="220">
                  <c:v>441</c:v>
                </c:pt>
                <c:pt idx="221">
                  <c:v>443</c:v>
                </c:pt>
                <c:pt idx="222">
                  <c:v>445</c:v>
                </c:pt>
                <c:pt idx="223">
                  <c:v>447</c:v>
                </c:pt>
                <c:pt idx="224">
                  <c:v>449</c:v>
                </c:pt>
                <c:pt idx="225">
                  <c:v>451</c:v>
                </c:pt>
                <c:pt idx="226">
                  <c:v>453</c:v>
                </c:pt>
                <c:pt idx="227">
                  <c:v>455</c:v>
                </c:pt>
                <c:pt idx="228">
                  <c:v>457</c:v>
                </c:pt>
                <c:pt idx="229">
                  <c:v>459</c:v>
                </c:pt>
                <c:pt idx="230">
                  <c:v>461</c:v>
                </c:pt>
                <c:pt idx="231">
                  <c:v>463</c:v>
                </c:pt>
                <c:pt idx="232">
                  <c:v>465</c:v>
                </c:pt>
                <c:pt idx="233">
                  <c:v>467</c:v>
                </c:pt>
                <c:pt idx="234">
                  <c:v>469</c:v>
                </c:pt>
                <c:pt idx="235">
                  <c:v>471</c:v>
                </c:pt>
                <c:pt idx="236">
                  <c:v>473</c:v>
                </c:pt>
                <c:pt idx="237">
                  <c:v>475</c:v>
                </c:pt>
                <c:pt idx="238">
                  <c:v>477</c:v>
                </c:pt>
                <c:pt idx="239">
                  <c:v>479</c:v>
                </c:pt>
                <c:pt idx="240">
                  <c:v>481</c:v>
                </c:pt>
                <c:pt idx="241">
                  <c:v>483</c:v>
                </c:pt>
                <c:pt idx="242">
                  <c:v>485</c:v>
                </c:pt>
                <c:pt idx="243">
                  <c:v>487</c:v>
                </c:pt>
                <c:pt idx="244">
                  <c:v>489</c:v>
                </c:pt>
                <c:pt idx="245">
                  <c:v>491</c:v>
                </c:pt>
                <c:pt idx="246">
                  <c:v>493</c:v>
                </c:pt>
                <c:pt idx="247">
                  <c:v>495</c:v>
                </c:pt>
                <c:pt idx="248">
                  <c:v>497</c:v>
                </c:pt>
                <c:pt idx="249">
                  <c:v>499</c:v>
                </c:pt>
                <c:pt idx="250">
                  <c:v>501</c:v>
                </c:pt>
                <c:pt idx="251">
                  <c:v>503</c:v>
                </c:pt>
                <c:pt idx="252">
                  <c:v>505</c:v>
                </c:pt>
                <c:pt idx="253">
                  <c:v>507</c:v>
                </c:pt>
                <c:pt idx="254">
                  <c:v>509</c:v>
                </c:pt>
                <c:pt idx="255">
                  <c:v>511</c:v>
                </c:pt>
                <c:pt idx="256">
                  <c:v>513</c:v>
                </c:pt>
                <c:pt idx="257">
                  <c:v>515</c:v>
                </c:pt>
                <c:pt idx="258">
                  <c:v>517</c:v>
                </c:pt>
                <c:pt idx="259">
                  <c:v>519</c:v>
                </c:pt>
                <c:pt idx="260">
                  <c:v>521</c:v>
                </c:pt>
                <c:pt idx="261">
                  <c:v>523</c:v>
                </c:pt>
                <c:pt idx="262">
                  <c:v>525</c:v>
                </c:pt>
                <c:pt idx="263">
                  <c:v>527</c:v>
                </c:pt>
                <c:pt idx="264">
                  <c:v>529</c:v>
                </c:pt>
                <c:pt idx="265">
                  <c:v>531</c:v>
                </c:pt>
                <c:pt idx="266">
                  <c:v>533</c:v>
                </c:pt>
                <c:pt idx="267">
                  <c:v>535</c:v>
                </c:pt>
                <c:pt idx="268">
                  <c:v>537</c:v>
                </c:pt>
                <c:pt idx="269">
                  <c:v>539</c:v>
                </c:pt>
                <c:pt idx="270">
                  <c:v>541</c:v>
                </c:pt>
                <c:pt idx="271">
                  <c:v>543</c:v>
                </c:pt>
                <c:pt idx="272">
                  <c:v>545</c:v>
                </c:pt>
                <c:pt idx="273">
                  <c:v>547</c:v>
                </c:pt>
                <c:pt idx="274">
                  <c:v>549</c:v>
                </c:pt>
                <c:pt idx="275">
                  <c:v>551</c:v>
                </c:pt>
                <c:pt idx="276">
                  <c:v>553</c:v>
                </c:pt>
                <c:pt idx="277">
                  <c:v>555</c:v>
                </c:pt>
                <c:pt idx="278">
                  <c:v>557</c:v>
                </c:pt>
                <c:pt idx="279">
                  <c:v>559</c:v>
                </c:pt>
                <c:pt idx="280">
                  <c:v>561</c:v>
                </c:pt>
                <c:pt idx="281">
                  <c:v>563</c:v>
                </c:pt>
                <c:pt idx="282">
                  <c:v>565</c:v>
                </c:pt>
                <c:pt idx="283">
                  <c:v>567</c:v>
                </c:pt>
                <c:pt idx="284">
                  <c:v>569</c:v>
                </c:pt>
                <c:pt idx="285">
                  <c:v>571</c:v>
                </c:pt>
                <c:pt idx="286">
                  <c:v>573</c:v>
                </c:pt>
                <c:pt idx="287">
                  <c:v>575</c:v>
                </c:pt>
                <c:pt idx="288">
                  <c:v>577</c:v>
                </c:pt>
                <c:pt idx="289">
                  <c:v>579</c:v>
                </c:pt>
                <c:pt idx="290">
                  <c:v>581</c:v>
                </c:pt>
                <c:pt idx="291">
                  <c:v>583</c:v>
                </c:pt>
                <c:pt idx="292">
                  <c:v>585</c:v>
                </c:pt>
                <c:pt idx="293">
                  <c:v>587</c:v>
                </c:pt>
                <c:pt idx="294">
                  <c:v>589</c:v>
                </c:pt>
                <c:pt idx="295">
                  <c:v>591</c:v>
                </c:pt>
                <c:pt idx="296">
                  <c:v>593</c:v>
                </c:pt>
                <c:pt idx="297">
                  <c:v>595</c:v>
                </c:pt>
                <c:pt idx="298">
                  <c:v>597</c:v>
                </c:pt>
                <c:pt idx="299">
                  <c:v>599</c:v>
                </c:pt>
                <c:pt idx="300">
                  <c:v>601</c:v>
                </c:pt>
                <c:pt idx="301">
                  <c:v>603</c:v>
                </c:pt>
                <c:pt idx="302">
                  <c:v>605</c:v>
                </c:pt>
                <c:pt idx="303">
                  <c:v>607</c:v>
                </c:pt>
                <c:pt idx="304">
                  <c:v>609</c:v>
                </c:pt>
                <c:pt idx="305">
                  <c:v>611</c:v>
                </c:pt>
                <c:pt idx="306">
                  <c:v>613</c:v>
                </c:pt>
                <c:pt idx="307">
                  <c:v>615</c:v>
                </c:pt>
                <c:pt idx="308">
                  <c:v>617</c:v>
                </c:pt>
                <c:pt idx="309">
                  <c:v>619</c:v>
                </c:pt>
                <c:pt idx="310">
                  <c:v>621</c:v>
                </c:pt>
                <c:pt idx="311">
                  <c:v>623</c:v>
                </c:pt>
                <c:pt idx="312">
                  <c:v>625</c:v>
                </c:pt>
                <c:pt idx="313">
                  <c:v>627</c:v>
                </c:pt>
                <c:pt idx="314">
                  <c:v>629</c:v>
                </c:pt>
                <c:pt idx="315">
                  <c:v>631</c:v>
                </c:pt>
                <c:pt idx="316">
                  <c:v>633</c:v>
                </c:pt>
                <c:pt idx="317">
                  <c:v>635</c:v>
                </c:pt>
                <c:pt idx="318">
                  <c:v>637</c:v>
                </c:pt>
                <c:pt idx="319">
                  <c:v>639</c:v>
                </c:pt>
                <c:pt idx="320">
                  <c:v>641</c:v>
                </c:pt>
                <c:pt idx="321">
                  <c:v>643</c:v>
                </c:pt>
                <c:pt idx="322">
                  <c:v>645</c:v>
                </c:pt>
                <c:pt idx="323">
                  <c:v>647</c:v>
                </c:pt>
                <c:pt idx="324">
                  <c:v>649</c:v>
                </c:pt>
                <c:pt idx="325">
                  <c:v>651</c:v>
                </c:pt>
                <c:pt idx="326">
                  <c:v>653</c:v>
                </c:pt>
                <c:pt idx="327">
                  <c:v>655</c:v>
                </c:pt>
                <c:pt idx="328">
                  <c:v>657</c:v>
                </c:pt>
                <c:pt idx="329">
                  <c:v>659</c:v>
                </c:pt>
                <c:pt idx="330">
                  <c:v>661</c:v>
                </c:pt>
                <c:pt idx="331">
                  <c:v>663</c:v>
                </c:pt>
                <c:pt idx="332">
                  <c:v>665</c:v>
                </c:pt>
                <c:pt idx="333">
                  <c:v>667</c:v>
                </c:pt>
                <c:pt idx="334">
                  <c:v>669</c:v>
                </c:pt>
                <c:pt idx="335">
                  <c:v>671</c:v>
                </c:pt>
                <c:pt idx="336">
                  <c:v>673</c:v>
                </c:pt>
                <c:pt idx="337">
                  <c:v>675</c:v>
                </c:pt>
                <c:pt idx="338">
                  <c:v>677</c:v>
                </c:pt>
                <c:pt idx="339">
                  <c:v>679</c:v>
                </c:pt>
                <c:pt idx="340">
                  <c:v>681</c:v>
                </c:pt>
                <c:pt idx="341">
                  <c:v>683</c:v>
                </c:pt>
                <c:pt idx="342">
                  <c:v>685</c:v>
                </c:pt>
                <c:pt idx="343">
                  <c:v>687</c:v>
                </c:pt>
                <c:pt idx="344">
                  <c:v>689</c:v>
                </c:pt>
                <c:pt idx="345">
                  <c:v>691</c:v>
                </c:pt>
                <c:pt idx="346">
                  <c:v>693</c:v>
                </c:pt>
                <c:pt idx="347">
                  <c:v>695</c:v>
                </c:pt>
                <c:pt idx="348">
                  <c:v>697</c:v>
                </c:pt>
                <c:pt idx="349">
                  <c:v>699</c:v>
                </c:pt>
                <c:pt idx="350">
                  <c:v>701</c:v>
                </c:pt>
                <c:pt idx="351">
                  <c:v>703</c:v>
                </c:pt>
                <c:pt idx="352">
                  <c:v>705</c:v>
                </c:pt>
                <c:pt idx="353">
                  <c:v>707</c:v>
                </c:pt>
                <c:pt idx="354">
                  <c:v>709</c:v>
                </c:pt>
                <c:pt idx="355">
                  <c:v>711</c:v>
                </c:pt>
                <c:pt idx="356">
                  <c:v>713</c:v>
                </c:pt>
                <c:pt idx="357">
                  <c:v>715</c:v>
                </c:pt>
                <c:pt idx="358">
                  <c:v>717</c:v>
                </c:pt>
                <c:pt idx="359">
                  <c:v>719</c:v>
                </c:pt>
                <c:pt idx="360">
                  <c:v>721</c:v>
                </c:pt>
                <c:pt idx="361">
                  <c:v>723</c:v>
                </c:pt>
                <c:pt idx="362">
                  <c:v>725</c:v>
                </c:pt>
                <c:pt idx="363">
                  <c:v>727</c:v>
                </c:pt>
                <c:pt idx="364">
                  <c:v>729</c:v>
                </c:pt>
                <c:pt idx="365">
                  <c:v>731</c:v>
                </c:pt>
                <c:pt idx="366">
                  <c:v>733</c:v>
                </c:pt>
                <c:pt idx="367">
                  <c:v>735</c:v>
                </c:pt>
                <c:pt idx="368">
                  <c:v>737</c:v>
                </c:pt>
                <c:pt idx="369">
                  <c:v>739</c:v>
                </c:pt>
                <c:pt idx="370">
                  <c:v>741</c:v>
                </c:pt>
                <c:pt idx="371">
                  <c:v>743</c:v>
                </c:pt>
                <c:pt idx="372">
                  <c:v>745</c:v>
                </c:pt>
                <c:pt idx="373">
                  <c:v>747</c:v>
                </c:pt>
                <c:pt idx="374">
                  <c:v>749</c:v>
                </c:pt>
                <c:pt idx="375">
                  <c:v>751</c:v>
                </c:pt>
                <c:pt idx="376">
                  <c:v>753</c:v>
                </c:pt>
                <c:pt idx="377">
                  <c:v>755</c:v>
                </c:pt>
                <c:pt idx="378">
                  <c:v>757</c:v>
                </c:pt>
                <c:pt idx="379">
                  <c:v>759</c:v>
                </c:pt>
                <c:pt idx="380">
                  <c:v>761</c:v>
                </c:pt>
                <c:pt idx="381">
                  <c:v>763</c:v>
                </c:pt>
                <c:pt idx="382">
                  <c:v>765</c:v>
                </c:pt>
                <c:pt idx="383">
                  <c:v>767</c:v>
                </c:pt>
                <c:pt idx="384">
                  <c:v>769</c:v>
                </c:pt>
                <c:pt idx="385">
                  <c:v>771</c:v>
                </c:pt>
                <c:pt idx="386">
                  <c:v>773</c:v>
                </c:pt>
                <c:pt idx="387">
                  <c:v>775</c:v>
                </c:pt>
                <c:pt idx="388">
                  <c:v>777</c:v>
                </c:pt>
                <c:pt idx="389">
                  <c:v>779</c:v>
                </c:pt>
                <c:pt idx="390">
                  <c:v>781</c:v>
                </c:pt>
                <c:pt idx="391">
                  <c:v>783</c:v>
                </c:pt>
                <c:pt idx="392">
                  <c:v>785</c:v>
                </c:pt>
                <c:pt idx="393">
                  <c:v>787</c:v>
                </c:pt>
                <c:pt idx="394">
                  <c:v>789</c:v>
                </c:pt>
                <c:pt idx="395">
                  <c:v>791</c:v>
                </c:pt>
                <c:pt idx="396">
                  <c:v>793</c:v>
                </c:pt>
                <c:pt idx="397">
                  <c:v>795</c:v>
                </c:pt>
                <c:pt idx="398">
                  <c:v>797</c:v>
                </c:pt>
                <c:pt idx="399">
                  <c:v>799</c:v>
                </c:pt>
                <c:pt idx="400">
                  <c:v>801</c:v>
                </c:pt>
                <c:pt idx="401">
                  <c:v>803</c:v>
                </c:pt>
                <c:pt idx="402">
                  <c:v>805</c:v>
                </c:pt>
                <c:pt idx="403">
                  <c:v>807</c:v>
                </c:pt>
                <c:pt idx="404">
                  <c:v>809</c:v>
                </c:pt>
                <c:pt idx="405">
                  <c:v>811</c:v>
                </c:pt>
                <c:pt idx="406">
                  <c:v>813</c:v>
                </c:pt>
                <c:pt idx="407">
                  <c:v>815</c:v>
                </c:pt>
                <c:pt idx="408">
                  <c:v>817</c:v>
                </c:pt>
                <c:pt idx="409">
                  <c:v>819</c:v>
                </c:pt>
                <c:pt idx="410">
                  <c:v>821</c:v>
                </c:pt>
                <c:pt idx="411">
                  <c:v>823</c:v>
                </c:pt>
                <c:pt idx="412">
                  <c:v>825</c:v>
                </c:pt>
                <c:pt idx="413">
                  <c:v>827</c:v>
                </c:pt>
                <c:pt idx="414">
                  <c:v>829</c:v>
                </c:pt>
                <c:pt idx="415">
                  <c:v>831</c:v>
                </c:pt>
                <c:pt idx="416">
                  <c:v>833</c:v>
                </c:pt>
                <c:pt idx="417">
                  <c:v>835</c:v>
                </c:pt>
                <c:pt idx="418">
                  <c:v>837</c:v>
                </c:pt>
                <c:pt idx="419">
                  <c:v>839</c:v>
                </c:pt>
                <c:pt idx="420">
                  <c:v>841</c:v>
                </c:pt>
                <c:pt idx="421">
                  <c:v>843</c:v>
                </c:pt>
                <c:pt idx="422">
                  <c:v>845</c:v>
                </c:pt>
                <c:pt idx="423">
                  <c:v>847</c:v>
                </c:pt>
                <c:pt idx="424">
                  <c:v>849</c:v>
                </c:pt>
                <c:pt idx="425">
                  <c:v>851</c:v>
                </c:pt>
                <c:pt idx="426">
                  <c:v>853</c:v>
                </c:pt>
                <c:pt idx="427">
                  <c:v>855</c:v>
                </c:pt>
                <c:pt idx="428">
                  <c:v>857</c:v>
                </c:pt>
                <c:pt idx="429">
                  <c:v>859</c:v>
                </c:pt>
                <c:pt idx="430">
                  <c:v>861</c:v>
                </c:pt>
                <c:pt idx="431">
                  <c:v>863</c:v>
                </c:pt>
                <c:pt idx="432">
                  <c:v>865</c:v>
                </c:pt>
                <c:pt idx="433">
                  <c:v>867</c:v>
                </c:pt>
                <c:pt idx="434">
                  <c:v>869</c:v>
                </c:pt>
                <c:pt idx="435">
                  <c:v>871</c:v>
                </c:pt>
                <c:pt idx="436">
                  <c:v>873</c:v>
                </c:pt>
                <c:pt idx="437">
                  <c:v>875</c:v>
                </c:pt>
                <c:pt idx="438">
                  <c:v>877</c:v>
                </c:pt>
                <c:pt idx="439">
                  <c:v>879</c:v>
                </c:pt>
                <c:pt idx="440">
                  <c:v>881</c:v>
                </c:pt>
                <c:pt idx="441">
                  <c:v>883</c:v>
                </c:pt>
                <c:pt idx="442">
                  <c:v>885</c:v>
                </c:pt>
                <c:pt idx="443">
                  <c:v>887</c:v>
                </c:pt>
                <c:pt idx="444">
                  <c:v>889</c:v>
                </c:pt>
                <c:pt idx="445">
                  <c:v>891</c:v>
                </c:pt>
                <c:pt idx="446">
                  <c:v>893</c:v>
                </c:pt>
                <c:pt idx="447">
                  <c:v>895</c:v>
                </c:pt>
                <c:pt idx="448">
                  <c:v>897</c:v>
                </c:pt>
                <c:pt idx="449">
                  <c:v>899</c:v>
                </c:pt>
                <c:pt idx="450">
                  <c:v>901</c:v>
                </c:pt>
                <c:pt idx="451">
                  <c:v>903</c:v>
                </c:pt>
                <c:pt idx="452">
                  <c:v>905</c:v>
                </c:pt>
                <c:pt idx="453">
                  <c:v>907</c:v>
                </c:pt>
                <c:pt idx="454">
                  <c:v>909</c:v>
                </c:pt>
                <c:pt idx="455">
                  <c:v>911</c:v>
                </c:pt>
                <c:pt idx="456">
                  <c:v>913</c:v>
                </c:pt>
                <c:pt idx="457">
                  <c:v>915</c:v>
                </c:pt>
                <c:pt idx="458">
                  <c:v>917</c:v>
                </c:pt>
                <c:pt idx="459">
                  <c:v>919</c:v>
                </c:pt>
                <c:pt idx="460">
                  <c:v>921</c:v>
                </c:pt>
                <c:pt idx="461">
                  <c:v>923</c:v>
                </c:pt>
                <c:pt idx="462">
                  <c:v>925</c:v>
                </c:pt>
                <c:pt idx="463">
                  <c:v>927</c:v>
                </c:pt>
                <c:pt idx="464">
                  <c:v>929</c:v>
                </c:pt>
                <c:pt idx="465">
                  <c:v>931</c:v>
                </c:pt>
                <c:pt idx="466">
                  <c:v>933</c:v>
                </c:pt>
                <c:pt idx="467">
                  <c:v>935</c:v>
                </c:pt>
                <c:pt idx="468">
                  <c:v>937</c:v>
                </c:pt>
                <c:pt idx="469">
                  <c:v>939</c:v>
                </c:pt>
                <c:pt idx="470">
                  <c:v>941</c:v>
                </c:pt>
                <c:pt idx="471">
                  <c:v>943</c:v>
                </c:pt>
                <c:pt idx="472">
                  <c:v>945</c:v>
                </c:pt>
                <c:pt idx="473">
                  <c:v>947</c:v>
                </c:pt>
                <c:pt idx="474">
                  <c:v>949</c:v>
                </c:pt>
                <c:pt idx="475">
                  <c:v>951</c:v>
                </c:pt>
                <c:pt idx="476">
                  <c:v>953</c:v>
                </c:pt>
                <c:pt idx="477">
                  <c:v>955</c:v>
                </c:pt>
                <c:pt idx="478">
                  <c:v>957</c:v>
                </c:pt>
                <c:pt idx="479">
                  <c:v>959</c:v>
                </c:pt>
                <c:pt idx="480">
                  <c:v>961</c:v>
                </c:pt>
                <c:pt idx="481">
                  <c:v>963</c:v>
                </c:pt>
                <c:pt idx="482">
                  <c:v>965</c:v>
                </c:pt>
                <c:pt idx="483">
                  <c:v>967</c:v>
                </c:pt>
                <c:pt idx="484">
                  <c:v>969</c:v>
                </c:pt>
                <c:pt idx="485">
                  <c:v>971</c:v>
                </c:pt>
                <c:pt idx="486">
                  <c:v>973</c:v>
                </c:pt>
                <c:pt idx="487">
                  <c:v>975</c:v>
                </c:pt>
                <c:pt idx="488">
                  <c:v>977</c:v>
                </c:pt>
                <c:pt idx="489">
                  <c:v>979</c:v>
                </c:pt>
                <c:pt idx="490">
                  <c:v>981</c:v>
                </c:pt>
                <c:pt idx="491">
                  <c:v>983</c:v>
                </c:pt>
                <c:pt idx="492">
                  <c:v>985</c:v>
                </c:pt>
                <c:pt idx="493">
                  <c:v>987</c:v>
                </c:pt>
                <c:pt idx="494">
                  <c:v>989</c:v>
                </c:pt>
                <c:pt idx="495">
                  <c:v>991</c:v>
                </c:pt>
                <c:pt idx="496">
                  <c:v>993</c:v>
                </c:pt>
                <c:pt idx="497">
                  <c:v>995</c:v>
                </c:pt>
                <c:pt idx="498">
                  <c:v>997</c:v>
                </c:pt>
                <c:pt idx="499">
                  <c:v>999</c:v>
                </c:pt>
                <c:pt idx="500">
                  <c:v>1001</c:v>
                </c:pt>
                <c:pt idx="501">
                  <c:v>1003</c:v>
                </c:pt>
                <c:pt idx="502">
                  <c:v>1005</c:v>
                </c:pt>
                <c:pt idx="503">
                  <c:v>1007</c:v>
                </c:pt>
                <c:pt idx="504">
                  <c:v>1009</c:v>
                </c:pt>
                <c:pt idx="505">
                  <c:v>1011</c:v>
                </c:pt>
                <c:pt idx="506">
                  <c:v>1013</c:v>
                </c:pt>
                <c:pt idx="507">
                  <c:v>1015</c:v>
                </c:pt>
                <c:pt idx="508">
                  <c:v>1017</c:v>
                </c:pt>
                <c:pt idx="509">
                  <c:v>1019</c:v>
                </c:pt>
                <c:pt idx="510">
                  <c:v>1021</c:v>
                </c:pt>
                <c:pt idx="511">
                  <c:v>1023</c:v>
                </c:pt>
                <c:pt idx="512">
                  <c:v>1025</c:v>
                </c:pt>
                <c:pt idx="513">
                  <c:v>1027</c:v>
                </c:pt>
                <c:pt idx="514">
                  <c:v>1029</c:v>
                </c:pt>
                <c:pt idx="515">
                  <c:v>1031</c:v>
                </c:pt>
                <c:pt idx="516">
                  <c:v>1033</c:v>
                </c:pt>
                <c:pt idx="517">
                  <c:v>1035</c:v>
                </c:pt>
                <c:pt idx="518">
                  <c:v>1037</c:v>
                </c:pt>
                <c:pt idx="519">
                  <c:v>1039</c:v>
                </c:pt>
                <c:pt idx="520">
                  <c:v>1041</c:v>
                </c:pt>
                <c:pt idx="521">
                  <c:v>1043</c:v>
                </c:pt>
                <c:pt idx="522">
                  <c:v>1045</c:v>
                </c:pt>
                <c:pt idx="523">
                  <c:v>1047</c:v>
                </c:pt>
                <c:pt idx="524">
                  <c:v>1049</c:v>
                </c:pt>
                <c:pt idx="525">
                  <c:v>1051</c:v>
                </c:pt>
                <c:pt idx="526">
                  <c:v>1053</c:v>
                </c:pt>
                <c:pt idx="527">
                  <c:v>1055</c:v>
                </c:pt>
                <c:pt idx="528">
                  <c:v>1057</c:v>
                </c:pt>
                <c:pt idx="529">
                  <c:v>1059</c:v>
                </c:pt>
                <c:pt idx="530">
                  <c:v>1061</c:v>
                </c:pt>
                <c:pt idx="531">
                  <c:v>1063</c:v>
                </c:pt>
                <c:pt idx="532">
                  <c:v>1065</c:v>
                </c:pt>
                <c:pt idx="533">
                  <c:v>1067</c:v>
                </c:pt>
                <c:pt idx="534">
                  <c:v>1069</c:v>
                </c:pt>
                <c:pt idx="535">
                  <c:v>1071</c:v>
                </c:pt>
                <c:pt idx="536">
                  <c:v>1073</c:v>
                </c:pt>
                <c:pt idx="537">
                  <c:v>1075</c:v>
                </c:pt>
                <c:pt idx="538">
                  <c:v>1077</c:v>
                </c:pt>
                <c:pt idx="539">
                  <c:v>1079</c:v>
                </c:pt>
                <c:pt idx="540">
                  <c:v>1081</c:v>
                </c:pt>
                <c:pt idx="541">
                  <c:v>1083</c:v>
                </c:pt>
                <c:pt idx="542">
                  <c:v>1085</c:v>
                </c:pt>
                <c:pt idx="543">
                  <c:v>1087</c:v>
                </c:pt>
                <c:pt idx="544">
                  <c:v>1089</c:v>
                </c:pt>
                <c:pt idx="545">
                  <c:v>1091</c:v>
                </c:pt>
                <c:pt idx="546">
                  <c:v>1093</c:v>
                </c:pt>
                <c:pt idx="547">
                  <c:v>1095</c:v>
                </c:pt>
                <c:pt idx="548">
                  <c:v>1097</c:v>
                </c:pt>
                <c:pt idx="549">
                  <c:v>1099</c:v>
                </c:pt>
                <c:pt idx="550">
                  <c:v>1101</c:v>
                </c:pt>
                <c:pt idx="551">
                  <c:v>1103</c:v>
                </c:pt>
                <c:pt idx="552">
                  <c:v>1105</c:v>
                </c:pt>
                <c:pt idx="553">
                  <c:v>1107</c:v>
                </c:pt>
                <c:pt idx="554">
                  <c:v>1109</c:v>
                </c:pt>
                <c:pt idx="555">
                  <c:v>1111</c:v>
                </c:pt>
                <c:pt idx="556">
                  <c:v>1113</c:v>
                </c:pt>
                <c:pt idx="557">
                  <c:v>1115</c:v>
                </c:pt>
                <c:pt idx="558">
                  <c:v>1117</c:v>
                </c:pt>
                <c:pt idx="559">
                  <c:v>1119</c:v>
                </c:pt>
                <c:pt idx="560">
                  <c:v>1121</c:v>
                </c:pt>
                <c:pt idx="561">
                  <c:v>1123</c:v>
                </c:pt>
                <c:pt idx="562">
                  <c:v>1125</c:v>
                </c:pt>
                <c:pt idx="563">
                  <c:v>1127</c:v>
                </c:pt>
                <c:pt idx="564">
                  <c:v>1129</c:v>
                </c:pt>
                <c:pt idx="565">
                  <c:v>1131</c:v>
                </c:pt>
                <c:pt idx="566">
                  <c:v>1133</c:v>
                </c:pt>
                <c:pt idx="567">
                  <c:v>1135</c:v>
                </c:pt>
                <c:pt idx="568">
                  <c:v>1137</c:v>
                </c:pt>
                <c:pt idx="569">
                  <c:v>1139</c:v>
                </c:pt>
                <c:pt idx="570">
                  <c:v>1141</c:v>
                </c:pt>
                <c:pt idx="571">
                  <c:v>1143</c:v>
                </c:pt>
                <c:pt idx="572">
                  <c:v>1145</c:v>
                </c:pt>
                <c:pt idx="573">
                  <c:v>1147</c:v>
                </c:pt>
                <c:pt idx="574">
                  <c:v>1149</c:v>
                </c:pt>
                <c:pt idx="575">
                  <c:v>1151</c:v>
                </c:pt>
                <c:pt idx="576">
                  <c:v>1153</c:v>
                </c:pt>
                <c:pt idx="577">
                  <c:v>1155</c:v>
                </c:pt>
                <c:pt idx="578">
                  <c:v>1157</c:v>
                </c:pt>
                <c:pt idx="579">
                  <c:v>1159</c:v>
                </c:pt>
                <c:pt idx="580">
                  <c:v>1161</c:v>
                </c:pt>
                <c:pt idx="581">
                  <c:v>1163</c:v>
                </c:pt>
                <c:pt idx="582">
                  <c:v>1165</c:v>
                </c:pt>
                <c:pt idx="583">
                  <c:v>1167</c:v>
                </c:pt>
                <c:pt idx="584">
                  <c:v>1169</c:v>
                </c:pt>
                <c:pt idx="585">
                  <c:v>1171</c:v>
                </c:pt>
                <c:pt idx="586">
                  <c:v>1173</c:v>
                </c:pt>
                <c:pt idx="587">
                  <c:v>1175</c:v>
                </c:pt>
                <c:pt idx="588">
                  <c:v>1177</c:v>
                </c:pt>
                <c:pt idx="589">
                  <c:v>1179</c:v>
                </c:pt>
                <c:pt idx="590">
                  <c:v>1181</c:v>
                </c:pt>
                <c:pt idx="591">
                  <c:v>1183</c:v>
                </c:pt>
                <c:pt idx="592">
                  <c:v>1185</c:v>
                </c:pt>
                <c:pt idx="593">
                  <c:v>1187</c:v>
                </c:pt>
                <c:pt idx="594">
                  <c:v>1189</c:v>
                </c:pt>
                <c:pt idx="595">
                  <c:v>1191</c:v>
                </c:pt>
                <c:pt idx="596">
                  <c:v>1193</c:v>
                </c:pt>
                <c:pt idx="597">
                  <c:v>1195</c:v>
                </c:pt>
                <c:pt idx="598">
                  <c:v>1197</c:v>
                </c:pt>
                <c:pt idx="599">
                  <c:v>1199</c:v>
                </c:pt>
                <c:pt idx="600">
                  <c:v>1201</c:v>
                </c:pt>
                <c:pt idx="601">
                  <c:v>1203</c:v>
                </c:pt>
                <c:pt idx="602">
                  <c:v>1205</c:v>
                </c:pt>
                <c:pt idx="603">
                  <c:v>1207</c:v>
                </c:pt>
                <c:pt idx="604">
                  <c:v>1209</c:v>
                </c:pt>
                <c:pt idx="605">
                  <c:v>1211</c:v>
                </c:pt>
                <c:pt idx="606">
                  <c:v>1213</c:v>
                </c:pt>
                <c:pt idx="607">
                  <c:v>1215</c:v>
                </c:pt>
                <c:pt idx="608">
                  <c:v>1217</c:v>
                </c:pt>
                <c:pt idx="609">
                  <c:v>1219</c:v>
                </c:pt>
                <c:pt idx="610">
                  <c:v>1221</c:v>
                </c:pt>
                <c:pt idx="611">
                  <c:v>1223</c:v>
                </c:pt>
                <c:pt idx="612">
                  <c:v>1225</c:v>
                </c:pt>
                <c:pt idx="613">
                  <c:v>1227</c:v>
                </c:pt>
                <c:pt idx="614">
                  <c:v>1229</c:v>
                </c:pt>
                <c:pt idx="615">
                  <c:v>1231</c:v>
                </c:pt>
                <c:pt idx="616">
                  <c:v>1233</c:v>
                </c:pt>
                <c:pt idx="617">
                  <c:v>1235</c:v>
                </c:pt>
                <c:pt idx="618">
                  <c:v>1237</c:v>
                </c:pt>
                <c:pt idx="619">
                  <c:v>1239</c:v>
                </c:pt>
                <c:pt idx="620">
                  <c:v>1241</c:v>
                </c:pt>
                <c:pt idx="621">
                  <c:v>1243</c:v>
                </c:pt>
                <c:pt idx="622">
                  <c:v>1245</c:v>
                </c:pt>
                <c:pt idx="623">
                  <c:v>1247</c:v>
                </c:pt>
                <c:pt idx="624">
                  <c:v>1249</c:v>
                </c:pt>
                <c:pt idx="625">
                  <c:v>1251</c:v>
                </c:pt>
                <c:pt idx="626">
                  <c:v>1253</c:v>
                </c:pt>
                <c:pt idx="627">
                  <c:v>1255</c:v>
                </c:pt>
                <c:pt idx="628">
                  <c:v>1257</c:v>
                </c:pt>
                <c:pt idx="629">
                  <c:v>1259</c:v>
                </c:pt>
                <c:pt idx="630">
                  <c:v>1261</c:v>
                </c:pt>
                <c:pt idx="631">
                  <c:v>1263</c:v>
                </c:pt>
                <c:pt idx="632">
                  <c:v>1265</c:v>
                </c:pt>
                <c:pt idx="633">
                  <c:v>1267</c:v>
                </c:pt>
                <c:pt idx="634">
                  <c:v>1269</c:v>
                </c:pt>
                <c:pt idx="635">
                  <c:v>1271</c:v>
                </c:pt>
                <c:pt idx="636">
                  <c:v>1273</c:v>
                </c:pt>
                <c:pt idx="637">
                  <c:v>1275</c:v>
                </c:pt>
                <c:pt idx="638">
                  <c:v>1277</c:v>
                </c:pt>
                <c:pt idx="639">
                  <c:v>1279</c:v>
                </c:pt>
                <c:pt idx="640">
                  <c:v>1281</c:v>
                </c:pt>
                <c:pt idx="641">
                  <c:v>1283</c:v>
                </c:pt>
                <c:pt idx="642">
                  <c:v>1285</c:v>
                </c:pt>
                <c:pt idx="643">
                  <c:v>1287</c:v>
                </c:pt>
                <c:pt idx="644">
                  <c:v>1289</c:v>
                </c:pt>
                <c:pt idx="645">
                  <c:v>1291</c:v>
                </c:pt>
                <c:pt idx="646">
                  <c:v>1293</c:v>
                </c:pt>
                <c:pt idx="647">
                  <c:v>1295</c:v>
                </c:pt>
                <c:pt idx="648">
                  <c:v>1297</c:v>
                </c:pt>
                <c:pt idx="649">
                  <c:v>1299</c:v>
                </c:pt>
                <c:pt idx="650">
                  <c:v>1301</c:v>
                </c:pt>
                <c:pt idx="651">
                  <c:v>1303</c:v>
                </c:pt>
                <c:pt idx="652">
                  <c:v>1305</c:v>
                </c:pt>
                <c:pt idx="653">
                  <c:v>1307</c:v>
                </c:pt>
                <c:pt idx="654">
                  <c:v>1309</c:v>
                </c:pt>
                <c:pt idx="655">
                  <c:v>1311</c:v>
                </c:pt>
                <c:pt idx="656">
                  <c:v>1313</c:v>
                </c:pt>
                <c:pt idx="657">
                  <c:v>1315</c:v>
                </c:pt>
                <c:pt idx="658">
                  <c:v>1317</c:v>
                </c:pt>
                <c:pt idx="659">
                  <c:v>1319</c:v>
                </c:pt>
                <c:pt idx="660">
                  <c:v>1321</c:v>
                </c:pt>
                <c:pt idx="661">
                  <c:v>1323</c:v>
                </c:pt>
                <c:pt idx="662">
                  <c:v>1325</c:v>
                </c:pt>
                <c:pt idx="663">
                  <c:v>1327</c:v>
                </c:pt>
                <c:pt idx="664">
                  <c:v>1329</c:v>
                </c:pt>
                <c:pt idx="665">
                  <c:v>1331</c:v>
                </c:pt>
                <c:pt idx="666">
                  <c:v>1333</c:v>
                </c:pt>
                <c:pt idx="667">
                  <c:v>1335</c:v>
                </c:pt>
                <c:pt idx="668">
                  <c:v>1337</c:v>
                </c:pt>
                <c:pt idx="669">
                  <c:v>1339</c:v>
                </c:pt>
                <c:pt idx="670">
                  <c:v>1341</c:v>
                </c:pt>
                <c:pt idx="671">
                  <c:v>1343</c:v>
                </c:pt>
                <c:pt idx="672">
                  <c:v>1345</c:v>
                </c:pt>
                <c:pt idx="673">
                  <c:v>1347</c:v>
                </c:pt>
                <c:pt idx="674">
                  <c:v>1349</c:v>
                </c:pt>
                <c:pt idx="675">
                  <c:v>1351</c:v>
                </c:pt>
                <c:pt idx="676">
                  <c:v>1353</c:v>
                </c:pt>
                <c:pt idx="677">
                  <c:v>1355</c:v>
                </c:pt>
                <c:pt idx="678">
                  <c:v>1357</c:v>
                </c:pt>
              </c:numCache>
            </c:numRef>
          </c:xVal>
          <c:yVal>
            <c:numRef>
              <c:f>Data!$K$2:$K$1001</c:f>
              <c:numCache>
                <c:formatCode>0</c:formatCode>
                <c:ptCount val="1000"/>
                <c:pt idx="0">
                  <c:v>9.6027055414704847</c:v>
                </c:pt>
                <c:pt idx="1">
                  <c:v>9.7805802340832244</c:v>
                </c:pt>
                <c:pt idx="2">
                  <c:v>9.9607158070206214</c:v>
                </c:pt>
                <c:pt idx="3">
                  <c:v>10.143116162374325</c:v>
                </c:pt>
                <c:pt idx="4">
                  <c:v>10.327784562238271</c:v>
                </c:pt>
                <c:pt idx="5">
                  <c:v>10.514723615622819</c:v>
                </c:pt>
                <c:pt idx="6">
                  <c:v>10.703935265471927</c:v>
                </c:pt>
                <c:pt idx="7">
                  <c:v>10.895420775793497</c:v>
                </c:pt>
                <c:pt idx="8">
                  <c:v>11.089180718912885</c:v>
                </c:pt>
                <c:pt idx="9">
                  <c:v>11.285214962859939</c:v>
                </c:pt>
                <c:pt idx="10">
                  <c:v>11.483522658899787</c:v>
                </c:pt>
                <c:pt idx="11">
                  <c:v>11.684102229217794</c:v>
                </c:pt>
                <c:pt idx="12">
                  <c:v>11.88695135476916</c:v>
                </c:pt>
                <c:pt idx="13">
                  <c:v>12.092066963303671</c:v>
                </c:pt>
                <c:pt idx="14">
                  <c:v>12.299445217576185</c:v>
                </c:pt>
                <c:pt idx="15">
                  <c:v>12.509081503753475</c:v>
                </c:pt>
                <c:pt idx="16">
                  <c:v>12.720970420028154</c:v>
                </c:pt>
                <c:pt idx="17">
                  <c:v>12.93510576545026</c:v>
                </c:pt>
                <c:pt idx="18">
                  <c:v>13.151480528987381</c:v>
                </c:pt>
                <c:pt idx="19">
                  <c:v>13.370086878823948</c:v>
                </c:pt>
                <c:pt idx="20">
                  <c:v>13.590916151910466</c:v>
                </c:pt>
                <c:pt idx="21">
                  <c:v>13.813958843773472</c:v>
                </c:pt>
                <c:pt idx="22">
                  <c:v>14.039204598596868</c:v>
                </c:pt>
                <c:pt idx="23">
                  <c:v>14.266642199585444</c:v>
                </c:pt>
                <c:pt idx="24">
                  <c:v>14.496259559621175</c:v>
                </c:pt>
                <c:pt idx="25">
                  <c:v>14.728043712222965</c:v>
                </c:pt>
                <c:pt idx="26">
                  <c:v>14.961980802820479</c:v>
                </c:pt>
                <c:pt idx="27">
                  <c:v>15.19805608035251</c:v>
                </c:pt>
                <c:pt idx="28">
                  <c:v>15.43625388920039</c:v>
                </c:pt>
                <c:pt idx="29">
                  <c:v>15.676557661466861</c:v>
                </c:pt>
                <c:pt idx="30">
                  <c:v>15.918949909610598</c:v>
                </c:pt>
                <c:pt idx="31">
                  <c:v>16.163412219446716</c:v>
                </c:pt>
                <c:pt idx="32">
                  <c:v>16.409925243523261</c:v>
                </c:pt>
                <c:pt idx="33">
                  <c:v>16.658468694883641</c:v>
                </c:pt>
                <c:pt idx="34">
                  <c:v>16.909021341224911</c:v>
                </c:pt>
                <c:pt idx="35">
                  <c:v>17.161560999461589</c:v>
                </c:pt>
                <c:pt idx="36">
                  <c:v>17.416064530704496</c:v>
                </c:pt>
                <c:pt idx="37">
                  <c:v>17.672507835664081</c:v>
                </c:pt>
                <c:pt idx="38">
                  <c:v>17.930865850487461</c:v>
                </c:pt>
                <c:pt idx="39">
                  <c:v>18.191112543038138</c:v>
                </c:pt>
                <c:pt idx="40">
                  <c:v>18.453220909627333</c:v>
                </c:pt>
                <c:pt idx="41">
                  <c:v>18.717162972205539</c:v>
                </c:pt>
                <c:pt idx="42">
                  <c:v>18.982909776022762</c:v>
                </c:pt>
                <c:pt idx="43">
                  <c:v>19.25043138776563</c:v>
                </c:pt>
                <c:pt idx="44">
                  <c:v>19.519696894179411</c:v>
                </c:pt>
                <c:pt idx="45">
                  <c:v>19.790674401182656</c:v>
                </c:pt>
                <c:pt idx="46">
                  <c:v>20.063331033481955</c:v>
                </c:pt>
                <c:pt idx="47">
                  <c:v>20.337632934694074</c:v>
                </c:pt>
                <c:pt idx="48">
                  <c:v>20.613545267982431</c:v>
                </c:pt>
                <c:pt idx="49">
                  <c:v>20.891032217214565</c:v>
                </c:pt>
                <c:pt idx="50">
                  <c:v>21.170056988647044</c:v>
                </c:pt>
                <c:pt idx="51">
                  <c:v>21.450581813143874</c:v>
                </c:pt>
                <c:pt idx="52">
                  <c:v>21.732567948934228</c:v>
                </c:pt>
                <c:pt idx="53">
                  <c:v>22.015975684914924</c:v>
                </c:pt>
                <c:pt idx="54">
                  <c:v>22.300764344502863</c:v>
                </c:pt>
                <c:pt idx="55">
                  <c:v>22.586892290042204</c:v>
                </c:pt>
                <c:pt idx="56">
                  <c:v>22.874316927770714</c:v>
                </c:pt>
                <c:pt idx="57">
                  <c:v>23.162994713349505</c:v>
                </c:pt>
                <c:pt idx="58">
                  <c:v>23.452881157959833</c:v>
                </c:pt>
                <c:pt idx="59">
                  <c:v>23.743930834970403</c:v>
                </c:pt>
                <c:pt idx="60">
                  <c:v>24.03609738717817</c:v>
                </c:pt>
                <c:pt idx="61">
                  <c:v>24.329333534625302</c:v>
                </c:pt>
                <c:pt idx="62">
                  <c:v>24.623591082994562</c:v>
                </c:pt>
                <c:pt idx="63">
                  <c:v>24.918820932584929</c:v>
                </c:pt>
                <c:pt idx="64">
                  <c:v>25.214973087868916</c:v>
                </c:pt>
                <c:pt idx="65">
                  <c:v>25.511996667632719</c:v>
                </c:pt>
                <c:pt idx="66">
                  <c:v>25.809839915699708</c:v>
                </c:pt>
                <c:pt idx="67">
                  <c:v>26.108450212237525</c:v>
                </c:pt>
                <c:pt idx="68">
                  <c:v>26.40777408564864</c:v>
                </c:pt>
                <c:pt idx="69">
                  <c:v>26.707757225043647</c:v>
                </c:pt>
                <c:pt idx="70">
                  <c:v>27.008344493296214</c:v>
                </c:pt>
                <c:pt idx="71">
                  <c:v>27.309479940678344</c:v>
                </c:pt>
                <c:pt idx="72">
                  <c:v>27.611106819073722</c:v>
                </c:pt>
                <c:pt idx="73">
                  <c:v>27.913167596767057</c:v>
                </c:pt>
                <c:pt idx="74">
                  <c:v>28.215603973806342</c:v>
                </c:pt>
                <c:pt idx="75">
                  <c:v>28.518356897934851</c:v>
                </c:pt>
                <c:pt idx="76">
                  <c:v>28.821366581089151</c:v>
                </c:pt>
                <c:pt idx="77">
                  <c:v>29.124572516458823</c:v>
                </c:pt>
                <c:pt idx="78">
                  <c:v>29.427913496103383</c:v>
                </c:pt>
                <c:pt idx="79">
                  <c:v>29.73132762912115</c:v>
                </c:pt>
                <c:pt idx="80">
                  <c:v>30.034752360364624</c:v>
                </c:pt>
                <c:pt idx="81">
                  <c:v>30.338124489696234</c:v>
                </c:pt>
                <c:pt idx="82">
                  <c:v>30.641380191778072</c:v>
                </c:pt>
                <c:pt idx="83">
                  <c:v>30.944455036388614</c:v>
                </c:pt>
                <c:pt idx="84">
                  <c:v>31.247284009259069</c:v>
                </c:pt>
                <c:pt idx="85">
                  <c:v>31.549801533421476</c:v>
                </c:pt>
                <c:pt idx="86">
                  <c:v>31.85194149106028</c:v>
                </c:pt>
                <c:pt idx="87">
                  <c:v>32.153637245858654</c:v>
                </c:pt>
                <c:pt idx="88">
                  <c:v>32.454821665830288</c:v>
                </c:pt>
                <c:pt idx="89">
                  <c:v>32.75542714662717</c:v>
                </c:pt>
                <c:pt idx="90">
                  <c:v>33.055385635313087</c:v>
                </c:pt>
                <c:pt idx="91">
                  <c:v>33.354628654592481</c:v>
                </c:pt>
                <c:pt idx="92">
                  <c:v>33.653087327483675</c:v>
                </c:pt>
                <c:pt idx="93">
                  <c:v>33.950692402425098</c:v>
                </c:pt>
                <c:pt idx="94">
                  <c:v>34.247374278802674</c:v>
                </c:pt>
                <c:pt idx="95">
                  <c:v>34.54306303288633</c:v>
                </c:pt>
                <c:pt idx="96">
                  <c:v>34.837688444162815</c:v>
                </c:pt>
                <c:pt idx="97">
                  <c:v>35.131180022051993</c:v>
                </c:pt>
                <c:pt idx="98">
                  <c:v>35.423467032993095</c:v>
                </c:pt>
                <c:pt idx="99">
                  <c:v>35.714478527887245</c:v>
                </c:pt>
                <c:pt idx="100">
                  <c:v>36.004143369882001</c:v>
                </c:pt>
                <c:pt idx="101">
                  <c:v>36.292390262483458</c:v>
                </c:pt>
                <c:pt idx="102">
                  <c:v>36.579147777981007</c:v>
                </c:pt>
                <c:pt idx="103">
                  <c:v>36.864344386169478</c:v>
                </c:pt>
                <c:pt idx="104">
                  <c:v>37.147908483353135</c:v>
                </c:pt>
                <c:pt idx="105">
                  <c:v>37.429768421615627</c:v>
                </c:pt>
                <c:pt idx="106">
                  <c:v>37.70985253833959</c:v>
                </c:pt>
                <c:pt idx="107">
                  <c:v>37.98808918595946</c:v>
                </c:pt>
                <c:pt idx="108">
                  <c:v>38.264406761930616</c:v>
                </c:pt>
                <c:pt idx="109">
                  <c:v>38.538733738897747</c:v>
                </c:pt>
                <c:pt idx="110">
                  <c:v>38.810998695045093</c:v>
                </c:pt>
                <c:pt idx="111">
                  <c:v>39.081130344610841</c:v>
                </c:pt>
                <c:pt idx="112">
                  <c:v>39.349057568547856</c:v>
                </c:pt>
                <c:pt idx="113">
                  <c:v>39.614709445312599</c:v>
                </c:pt>
                <c:pt idx="114">
                  <c:v>39.878015281763837</c:v>
                </c:pt>
                <c:pt idx="115">
                  <c:v>40.138904644152667</c:v>
                </c:pt>
                <c:pt idx="116">
                  <c:v>40.397307389185073</c:v>
                </c:pt>
                <c:pt idx="117">
                  <c:v>40.653153695138009</c:v>
                </c:pt>
                <c:pt idx="118">
                  <c:v>40.906374093010157</c:v>
                </c:pt>
                <c:pt idx="119">
                  <c:v>41.156899497687782</c:v>
                </c:pt>
                <c:pt idx="120">
                  <c:v>41.404661239106609</c:v>
                </c:pt>
                <c:pt idx="121">
                  <c:v>41.649591093390086</c:v>
                </c:pt>
                <c:pt idx="122">
                  <c:v>41.891621313944427</c:v>
                </c:pt>
                <c:pt idx="123">
                  <c:v>42.13068466249085</c:v>
                </c:pt>
                <c:pt idx="124">
                  <c:v>42.36671444001518</c:v>
                </c:pt>
                <c:pt idx="125">
                  <c:v>42.59964451761499</c:v>
                </c:pt>
                <c:pt idx="126">
                  <c:v>42.829409367224514</c:v>
                </c:pt>
                <c:pt idx="127">
                  <c:v>43.055944092197414</c:v>
                </c:pt>
                <c:pt idx="128">
                  <c:v>43.279184457727489</c:v>
                </c:pt>
                <c:pt idx="129">
                  <c:v>43.499066921087518</c:v>
                </c:pt>
                <c:pt idx="130">
                  <c:v>43.715528661666369</c:v>
                </c:pt>
                <c:pt idx="131">
                  <c:v>43.928507610784557</c:v>
                </c:pt>
                <c:pt idx="132">
                  <c:v>44.137942481268567</c:v>
                </c:pt>
                <c:pt idx="133">
                  <c:v>44.343772796764164</c:v>
                </c:pt>
                <c:pt idx="134">
                  <c:v>44.545938920769338</c:v>
                </c:pt>
                <c:pt idx="135">
                  <c:v>44.744382085367107</c:v>
                </c:pt>
                <c:pt idx="136">
                  <c:v>44.93904441963916</c:v>
                </c:pt>
                <c:pt idx="137">
                  <c:v>45.129868977740941</c:v>
                </c:pt>
                <c:pt idx="138">
                  <c:v>45.316799766619283</c:v>
                </c:pt>
                <c:pt idx="139">
                  <c:v>45.499781773353554</c:v>
                </c:pt>
                <c:pt idx="140">
                  <c:v>45.678760992101921</c:v>
                </c:pt>
                <c:pt idx="141">
                  <c:v>45.853684450633992</c:v>
                </c:pt>
                <c:pt idx="142">
                  <c:v>46.024500236431884</c:v>
                </c:pt>
                <c:pt idx="143">
                  <c:v>46.191157522341449</c:v>
                </c:pt>
                <c:pt idx="144">
                  <c:v>46.353606591756254</c:v>
                </c:pt>
                <c:pt idx="145">
                  <c:v>46.511798863316528</c:v>
                </c:pt>
                <c:pt idx="146">
                  <c:v>46.665686915106228</c:v>
                </c:pt>
                <c:pt idx="147">
                  <c:v>46.815224508331049</c:v>
                </c:pt>
                <c:pt idx="148">
                  <c:v>46.960366610461158</c:v>
                </c:pt>
                <c:pt idx="149">
                  <c:v>47.101069417822167</c:v>
                </c:pt>
                <c:pt idx="150">
                  <c:v>47.237290377618692</c:v>
                </c:pt>
                <c:pt idx="151">
                  <c:v>47.368988209374848</c:v>
                </c:pt>
                <c:pt idx="152">
                  <c:v>47.496122925776668</c:v>
                </c:pt>
                <c:pt idx="153">
                  <c:v>47.618655852901696</c:v>
                </c:pt>
                <c:pt idx="154">
                  <c:v>47.736549649821377</c:v>
                </c:pt>
                <c:pt idx="155">
                  <c:v>47.849768327562423</c:v>
                </c:pt>
                <c:pt idx="156">
                  <c:v>47.958277267413564</c:v>
                </c:pt>
                <c:pt idx="157">
                  <c:v>48.062043238564797</c:v>
                </c:pt>
                <c:pt idx="158">
                  <c:v>48.161034415066439</c:v>
                </c:pt>
                <c:pt idx="159">
                  <c:v>48.255220392095879</c:v>
                </c:pt>
                <c:pt idx="160">
                  <c:v>48.344572201520442</c:v>
                </c:pt>
                <c:pt idx="161">
                  <c:v>48.42906232674521</c:v>
                </c:pt>
                <c:pt idx="162">
                  <c:v>48.508664716835042</c:v>
                </c:pt>
                <c:pt idx="163">
                  <c:v>48.58335479990086</c:v>
                </c:pt>
                <c:pt idx="164">
                  <c:v>48.653109495740267</c:v>
                </c:pt>
                <c:pt idx="165">
                  <c:v>48.717907227723757</c:v>
                </c:pt>
                <c:pt idx="166">
                  <c:v>48.777727933917568</c:v>
                </c:pt>
                <c:pt idx="167">
                  <c:v>48.832553077435527</c:v>
                </c:pt>
                <c:pt idx="168">
                  <c:v>48.882365656012077</c:v>
                </c:pt>
                <c:pt idx="169">
                  <c:v>48.927150210789755</c:v>
                </c:pt>
                <c:pt idx="170">
                  <c:v>48.966892834314784</c:v>
                </c:pt>
                <c:pt idx="171">
                  <c:v>49.001581177734799</c:v>
                </c:pt>
                <c:pt idx="172">
                  <c:v>49.031204457193738</c:v>
                </c:pt>
                <c:pt idx="173">
                  <c:v>49.055753459419073</c:v>
                </c:pt>
                <c:pt idx="174">
                  <c:v>49.075220546497398</c:v>
                </c:pt>
                <c:pt idx="175">
                  <c:v>49.089599659834953</c:v>
                </c:pt>
                <c:pt idx="176">
                  <c:v>49.098886323300107</c:v>
                </c:pt>
                <c:pt idx="177">
                  <c:v>49.103077645545604</c:v>
                </c:pt>
                <c:pt idx="178">
                  <c:v>49.102172321508846</c:v>
                </c:pt>
                <c:pt idx="179">
                  <c:v>49.096170633089159</c:v>
                </c:pt>
                <c:pt idx="180">
                  <c:v>49.085074449001475</c:v>
                </c:pt>
                <c:pt idx="181">
                  <c:v>49.068887223806634</c:v>
                </c:pt>
                <c:pt idx="182">
                  <c:v>49.047613996118926</c:v>
                </c:pt>
                <c:pt idx="183">
                  <c:v>49.021261385992226</c:v>
                </c:pt>
                <c:pt idx="184">
                  <c:v>48.989837591486605</c:v>
                </c:pt>
                <c:pt idx="185">
                  <c:v>48.953352384417904</c:v>
                </c:pt>
                <c:pt idx="186">
                  <c:v>48.911817105293373</c:v>
                </c:pt>
                <c:pt idx="187">
                  <c:v>48.865244657437003</c:v>
                </c:pt>
                <c:pt idx="188">
                  <c:v>48.813649500308927</c:v>
                </c:pt>
                <c:pt idx="189">
                  <c:v>48.757047642023544</c:v>
                </c:pt>
                <c:pt idx="190">
                  <c:v>48.695456631071963</c:v>
                </c:pt>
                <c:pt idx="191">
                  <c:v>48.628895547254686</c:v>
                </c:pt>
                <c:pt idx="192">
                  <c:v>48.557384991831078</c:v>
                </c:pt>
                <c:pt idx="193">
                  <c:v>48.480947076892754</c:v>
                </c:pt>
                <c:pt idx="194">
                  <c:v>48.399605413968558</c:v>
                </c:pt>
                <c:pt idx="195">
                  <c:v>48.313385101869386</c:v>
                </c:pt>
                <c:pt idx="196">
                  <c:v>48.222312713781534</c:v>
                </c:pt>
                <c:pt idx="197">
                  <c:v>48.126416283617992</c:v>
                </c:pt>
                <c:pt idx="198">
                  <c:v>48.025725291637308</c:v>
                </c:pt>
                <c:pt idx="199">
                  <c:v>47.920270649340551</c:v>
                </c:pt>
                <c:pt idx="200">
                  <c:v>47.810084683657095</c:v>
                </c:pt>
                <c:pt idx="201">
                  <c:v>47.695201120430518</c:v>
                </c:pt>
                <c:pt idx="202">
                  <c:v>47.575655067216552</c:v>
                </c:pt>
                <c:pt idx="203">
                  <c:v>47.451482995405179</c:v>
                </c:pt>
                <c:pt idx="204">
                  <c:v>47.322722721679881</c:v>
                </c:pt>
                <c:pt idx="205">
                  <c:v>47.189413388826914</c:v>
                </c:pt>
                <c:pt idx="206">
                  <c:v>47.051595445908511</c:v>
                </c:pt>
                <c:pt idx="207">
                  <c:v>46.909310627813952</c:v>
                </c:pt>
                <c:pt idx="208">
                  <c:v>46.762601934202927</c:v>
                </c:pt>
                <c:pt idx="209">
                  <c:v>46.611513607856175</c:v>
                </c:pt>
                <c:pt idx="210">
                  <c:v>46.456091112448554</c:v>
                </c:pt>
                <c:pt idx="211">
                  <c:v>46.296381109760198</c:v>
                </c:pt>
                <c:pt idx="212">
                  <c:v>46.132431436341797</c:v>
                </c:pt>
                <c:pt idx="213">
                  <c:v>45.964291079650231</c:v>
                </c:pt>
                <c:pt idx="214">
                  <c:v>45.792010153671285</c:v>
                </c:pt>
                <c:pt idx="215">
                  <c:v>45.615639874046423</c:v>
                </c:pt>
                <c:pt idx="216">
                  <c:v>45.435232532720782</c:v>
                </c:pt>
                <c:pt idx="217">
                  <c:v>45.250841472130112</c:v>
                </c:pt>
                <c:pt idx="218">
                  <c:v>45.062521058944291</c:v>
                </c:pt>
                <c:pt idx="219">
                  <c:v>44.870326657385682</c:v>
                </c:pt>
                <c:pt idx="220">
                  <c:v>44.674314602140427</c:v>
                </c:pt>
                <c:pt idx="221">
                  <c:v>44.474542170881442</c:v>
                </c:pt>
                <c:pt idx="222">
                  <c:v>44.271067556421563</c:v>
                </c:pt>
                <c:pt idx="223">
                  <c:v>44.063949838516095</c:v>
                </c:pt>
                <c:pt idx="224">
                  <c:v>43.853248955333513</c:v>
                </c:pt>
                <c:pt idx="225">
                  <c:v>43.639025674613798</c:v>
                </c:pt>
                <c:pt idx="226">
                  <c:v>43.421341564533734</c:v>
                </c:pt>
                <c:pt idx="227">
                  <c:v>43.200258964298548</c:v>
                </c:pt>
                <c:pt idx="228">
                  <c:v>42.975840954479679</c:v>
                </c:pt>
                <c:pt idx="229">
                  <c:v>42.748151327118229</c:v>
                </c:pt>
                <c:pt idx="230">
                  <c:v>42.517254555613917</c:v>
                </c:pt>
                <c:pt idx="231">
                  <c:v>42.28321576441936</c:v>
                </c:pt>
                <c:pt idx="232">
                  <c:v>42.04610069855952</c:v>
                </c:pt>
                <c:pt idx="233">
                  <c:v>41.805975692996149</c:v>
                </c:pt>
                <c:pt idx="234">
                  <c:v>41.562907641857201</c:v>
                </c:pt>
                <c:pt idx="235">
                  <c:v>41.316963967550983</c:v>
                </c:pt>
                <c:pt idx="236">
                  <c:v>41.06821258978497</c:v>
                </c:pt>
                <c:pt idx="237">
                  <c:v>40.81672189450898</c:v>
                </c:pt>
                <c:pt idx="238">
                  <c:v>40.562560702802507</c:v>
                </c:pt>
                <c:pt idx="239">
                  <c:v>40.305798239725874</c:v>
                </c:pt>
                <c:pt idx="240">
                  <c:v>40.046504103154682</c:v>
                </c:pt>
                <c:pt idx="241">
                  <c:v>39.784748232617105</c:v>
                </c:pt>
                <c:pt idx="242">
                  <c:v>39.520600878153274</c:v>
                </c:pt>
                <c:pt idx="243">
                  <c:v>39.254132569216026</c:v>
                </c:pt>
                <c:pt idx="244">
                  <c:v>38.985414083631944</c:v>
                </c:pt>
                <c:pt idx="245">
                  <c:v>38.714516416641658</c:v>
                </c:pt>
                <c:pt idx="246">
                  <c:v>38.441510750037999</c:v>
                </c:pt>
                <c:pt idx="247">
                  <c:v>38.166468421420532</c:v>
                </c:pt>
                <c:pt idx="248">
                  <c:v>37.889460893584783</c:v>
                </c:pt>
                <c:pt idx="249">
                  <c:v>37.610559724064061</c:v>
                </c:pt>
                <c:pt idx="250">
                  <c:v>37.329836534841881</c:v>
                </c:pt>
                <c:pt idx="251">
                  <c:v>37.047362982252366</c:v>
                </c:pt>
                <c:pt idx="252">
                  <c:v>36.763210727086005</c:v>
                </c:pt>
                <c:pt idx="253">
                  <c:v>36.477451404917794</c:v>
                </c:pt>
                <c:pt idx="254">
                  <c:v>36.19015659667442</c:v>
                </c:pt>
                <c:pt idx="255">
                  <c:v>35.90139779945698</c:v>
                </c:pt>
                <c:pt idx="256">
                  <c:v>35.611246397635291</c:v>
                </c:pt>
                <c:pt idx="257">
                  <c:v>35.319773634229641</c:v>
                </c:pt>
                <c:pt idx="258">
                  <c:v>35.027050582595351</c:v>
                </c:pt>
                <c:pt idx="259">
                  <c:v>34.73314811842539</c:v>
                </c:pt>
                <c:pt idx="260">
                  <c:v>34.438136892085637</c:v>
                </c:pt>
                <c:pt idx="261">
                  <c:v>34.14208730129738</c:v>
                </c:pt>
                <c:pt idx="262">
                  <c:v>33.845069464180895</c:v>
                </c:pt>
                <c:pt idx="263">
                  <c:v>33.547153192673875</c:v>
                </c:pt>
                <c:pt idx="264">
                  <c:v>33.248407966337943</c:v>
                </c:pt>
                <c:pt idx="265">
                  <c:v>32.948902906566062</c:v>
                </c:pt>
                <c:pt idx="266">
                  <c:v>32.64870675120337</c:v>
                </c:pt>
                <c:pt idx="267">
                  <c:v>32.347887829593475</c:v>
                </c:pt>
                <c:pt idx="268">
                  <c:v>32.046514038061808</c:v>
                </c:pt>
                <c:pt idx="269">
                  <c:v>31.744652815847285</c:v>
                </c:pt>
                <c:pt idx="270">
                  <c:v>31.442371121493096</c:v>
                </c:pt>
                <c:pt idx="271">
                  <c:v>31.13973540970688</c:v>
                </c:pt>
                <c:pt idx="272">
                  <c:v>30.836811608700309</c:v>
                </c:pt>
                <c:pt idx="273">
                  <c:v>30.533665098017515</c:v>
                </c:pt>
                <c:pt idx="274">
                  <c:v>30.230360686861388</c:v>
                </c:pt>
                <c:pt idx="275">
                  <c:v>29.926962592926348</c:v>
                </c:pt>
                <c:pt idx="276">
                  <c:v>29.623534421745735</c:v>
                </c:pt>
                <c:pt idx="277">
                  <c:v>29.320139146561445</c:v>
                </c:pt>
                <c:pt idx="278">
                  <c:v>29.016839088723181</c:v>
                </c:pt>
                <c:pt idx="279">
                  <c:v>28.713695898623904</c:v>
                </c:pt>
                <c:pt idx="280">
                  <c:v>28.410770537177957</c:v>
                </c:pt>
                <c:pt idx="281">
                  <c:v>28.108123257847662</c:v>
                </c:pt>
                <c:pt idx="282">
                  <c:v>27.805813589223792</c:v>
                </c:pt>
                <c:pt idx="283">
                  <c:v>27.503900318164867</c:v>
                </c:pt>
                <c:pt idx="284">
                  <c:v>27.2024414734998</c:v>
                </c:pt>
                <c:pt idx="285">
                  <c:v>26.901494310297867</c:v>
                </c:pt>
                <c:pt idx="286">
                  <c:v>26.601115294709619</c:v>
                </c:pt>
                <c:pt idx="287">
                  <c:v>26.301360089381898</c:v>
                </c:pt>
                <c:pt idx="288">
                  <c:v>26.002283539449557</c:v>
                </c:pt>
                <c:pt idx="289">
                  <c:v>25.703939659106208</c:v>
                </c:pt>
                <c:pt idx="290">
                  <c:v>25.406381618755709</c:v>
                </c:pt>
                <c:pt idx="291">
                  <c:v>25.109661732745806</c:v>
                </c:pt>
                <c:pt idx="292">
                  <c:v>24.813831447684834</c:v>
                </c:pt>
                <c:pt idx="293">
                  <c:v>24.518941331341878</c:v>
                </c:pt>
                <c:pt idx="294">
                  <c:v>24.225041062130618</c:v>
                </c:pt>
                <c:pt idx="295">
                  <c:v>23.932179419176304</c:v>
                </c:pt>
                <c:pt idx="296">
                  <c:v>23.640404272965245</c:v>
                </c:pt>
                <c:pt idx="297">
                  <c:v>23.349762576575479</c:v>
                </c:pt>
                <c:pt idx="298">
                  <c:v>23.060300357487129</c:v>
                </c:pt>
                <c:pt idx="299">
                  <c:v>22.772062709970406</c:v>
                </c:pt>
                <c:pt idx="300">
                  <c:v>22.485093788048854</c:v>
                </c:pt>
                <c:pt idx="301">
                  <c:v>22.199436799035077</c:v>
                </c:pt>
                <c:pt idx="302">
                  <c:v>21.915133997635824</c:v>
                </c:pt>
                <c:pt idx="303">
                  <c:v>21.632226680622836</c:v>
                </c:pt>
                <c:pt idx="304">
                  <c:v>21.350755182065612</c:v>
                </c:pt>
                <c:pt idx="305">
                  <c:v>21.070758869121871</c:v>
                </c:pt>
                <c:pt idx="306">
                  <c:v>20.792276138381034</c:v>
                </c:pt>
                <c:pt idx="307">
                  <c:v>20.515344412755891</c:v>
                </c:pt>
                <c:pt idx="308">
                  <c:v>20.240000138917097</c:v>
                </c:pt>
                <c:pt idx="309">
                  <c:v>19.966278785264972</c:v>
                </c:pt>
                <c:pt idx="310">
                  <c:v>19.694214840432696</c:v>
                </c:pt>
                <c:pt idx="311">
                  <c:v>19.423841812314659</c:v>
                </c:pt>
                <c:pt idx="312">
                  <c:v>19.155192227613487</c:v>
                </c:pt>
                <c:pt idx="313">
                  <c:v>18.888297631898961</c:v>
                </c:pt>
                <c:pt idx="314">
                  <c:v>18.62318859017179</c:v>
                </c:pt>
                <c:pt idx="315">
                  <c:v>18.359894687924822</c:v>
                </c:pt>
                <c:pt idx="316">
                  <c:v>18.098444532694202</c:v>
                </c:pt>
                <c:pt idx="317">
                  <c:v>17.838865756092606</c:v>
                </c:pt>
                <c:pt idx="318">
                  <c:v>17.581185016316446</c:v>
                </c:pt>
                <c:pt idx="319">
                  <c:v>17.325428001118784</c:v>
                </c:pt>
                <c:pt idx="320">
                  <c:v>17.071619431239455</c:v>
                </c:pt>
                <c:pt idx="321">
                  <c:v>16.819783064283616</c:v>
                </c:pt>
                <c:pt idx="322">
                  <c:v>16.569941699039848</c:v>
                </c:pt>
                <c:pt idx="323">
                  <c:v>16.322117180228695</c:v>
                </c:pt>
                <c:pt idx="324">
                  <c:v>16.076330403672316</c:v>
                </c:pt>
                <c:pt idx="325">
                  <c:v>15.832601321875879</c:v>
                </c:pt>
                <c:pt idx="326">
                  <c:v>15.590948950011002</c:v>
                </c:pt>
                <c:pt idx="327">
                  <c:v>15.351391372291561</c:v>
                </c:pt>
                <c:pt idx="328">
                  <c:v>15.113945748731915</c:v>
                </c:pt>
                <c:pt idx="329">
                  <c:v>14.878628322277594</c:v>
                </c:pt>
                <c:pt idx="330">
                  <c:v>14.645454426298274</c:v>
                </c:pt>
                <c:pt idx="331">
                  <c:v>14.414438492432829</c:v>
                </c:pt>
                <c:pt idx="332">
                  <c:v>14.185594058776134</c:v>
                </c:pt>
                <c:pt idx="333">
                  <c:v>13.95893377839719</c:v>
                </c:pt>
                <c:pt idx="334">
                  <c:v>13.734469428178089</c:v>
                </c:pt>
                <c:pt idx="335">
                  <c:v>13.512211917963286</c:v>
                </c:pt>
                <c:pt idx="336">
                  <c:v>13.292171300008519</c:v>
                </c:pt>
                <c:pt idx="337">
                  <c:v>13.074356778718769</c:v>
                </c:pt>
                <c:pt idx="338">
                  <c:v>12.858776720664569</c:v>
                </c:pt>
                <c:pt idx="339">
                  <c:v>12.645438664865891</c:v>
                </c:pt>
                <c:pt idx="340">
                  <c:v>12.434349333332927</c:v>
                </c:pt>
                <c:pt idx="341">
                  <c:v>12.22551464185301</c:v>
                </c:pt>
                <c:pt idx="342">
                  <c:v>12.018939711012907</c:v>
                </c:pt>
                <c:pt idx="343">
                  <c:v>11.81462887744576</c:v>
                </c:pt>
                <c:pt idx="344">
                  <c:v>11.612585705291993</c:v>
                </c:pt>
                <c:pt idx="345">
                  <c:v>11.412812997863403</c:v>
                </c:pt>
                <c:pt idx="346">
                  <c:v>11.215312809499908</c:v>
                </c:pt>
                <c:pt idx="347">
                  <c:v>11.020086457608199</c:v>
                </c:pt>
                <c:pt idx="348">
                  <c:v>10.827134534871856</c:v>
                </c:pt>
                <c:pt idx="349">
                  <c:v>10.636456921622342</c:v>
                </c:pt>
                <c:pt idx="350">
                  <c:v>10.448052798360473</c:v>
                </c:pt>
                <c:pt idx="351">
                  <c:v>10.261920658417989</c:v>
                </c:pt>
                <c:pt idx="352">
                  <c:v>10.078058320748974</c:v>
                </c:pt>
                <c:pt idx="353">
                  <c:v>9.8964629428408575</c:v>
                </c:pt>
                <c:pt idx="354">
                  <c:v>9.7171310337350008</c:v>
                </c:pt>
                <c:pt idx="355">
                  <c:v>9.540058467146773</c:v>
                </c:pt>
                <c:pt idx="356">
                  <c:v>9.3652404946752945</c:v>
                </c:pt>
                <c:pt idx="357">
                  <c:v>9.1926717590930327</c:v>
                </c:pt>
                <c:pt idx="358">
                  <c:v>9.0223463077056323</c:v>
                </c:pt>
                <c:pt idx="359">
                  <c:v>8.8542576057723945</c:v>
                </c:pt>
                <c:pt idx="360">
                  <c:v>8.6883985499780678</c:v>
                </c:pt>
                <c:pt idx="361">
                  <c:v>8.5247614819466531</c:v>
                </c:pt>
                <c:pt idx="362">
                  <c:v>8.3633382017881051</c:v>
                </c:pt>
                <c:pt idx="363">
                  <c:v>8.2041199816689847</c:v>
                </c:pt>
                <c:pt idx="364">
                  <c:v>8.0470975793981907</c:v>
                </c:pt>
                <c:pt idx="365">
                  <c:v>7.8922612520191517</c:v>
                </c:pt>
                <c:pt idx="366">
                  <c:v>7.7396007693999644</c:v>
                </c:pt>
                <c:pt idx="367">
                  <c:v>7.5891054278131049</c:v>
                </c:pt>
                <c:pt idx="368">
                  <c:v>7.4407640634965739</c:v>
                </c:pt>
                <c:pt idx="369">
                  <c:v>7.2945650661884534</c:v>
                </c:pt>
                <c:pt idx="370">
                  <c:v>7.150496392627069</c:v>
                </c:pt>
                <c:pt idx="371">
                  <c:v>7.0085455800090424</c:v>
                </c:pt>
                <c:pt idx="372">
                  <c:v>6.8686997593978614</c:v>
                </c:pt>
                <c:pt idx="373">
                  <c:v>6.7309456690755951</c:v>
                </c:pt>
                <c:pt idx="374">
                  <c:v>6.5952696678306859</c:v>
                </c:pt>
                <c:pt idx="375">
                  <c:v>6.4616577481748987</c:v>
                </c:pt>
                <c:pt idx="376">
                  <c:v>6.3300955494827056</c:v>
                </c:pt>
                <c:pt idx="377">
                  <c:v>6.2005683710465433</c:v>
                </c:pt>
                <c:pt idx="378">
                  <c:v>6.0730611850416452</c:v>
                </c:pt>
                <c:pt idx="379">
                  <c:v>5.9475586493942547</c:v>
                </c:pt>
                <c:pt idx="380">
                  <c:v>5.8240451205472912</c:v>
                </c:pt>
                <c:pt idx="381">
                  <c:v>5.7025046661177061</c:v>
                </c:pt>
                <c:pt idx="382">
                  <c:v>5.5829210774399503</c:v>
                </c:pt>
                <c:pt idx="383">
                  <c:v>5.4652778819902226</c:v>
                </c:pt>
                <c:pt idx="384">
                  <c:v>5.3495583556862876</c:v>
                </c:pt>
                <c:pt idx="385">
                  <c:v>5.2357455350579327</c:v>
                </c:pt>
                <c:pt idx="386">
                  <c:v>5.1238222292832623</c:v>
                </c:pt>
                <c:pt idx="387">
                  <c:v>5.0137710320862734</c:v>
                </c:pt>
                <c:pt idx="388">
                  <c:v>4.9055743334913302</c:v>
                </c:pt>
                <c:pt idx="389">
                  <c:v>4.7992143314303455</c:v>
                </c:pt>
                <c:pt idx="390">
                  <c:v>4.6946730431986827</c:v>
                </c:pt>
                <c:pt idx="391">
                  <c:v>4.5919323167560071</c:v>
                </c:pt>
                <c:pt idx="392">
                  <c:v>4.4909738418684668</c:v>
                </c:pt>
                <c:pt idx="393">
                  <c:v>4.39177916108879</c:v>
                </c:pt>
                <c:pt idx="394">
                  <c:v>4.2943296805711153</c:v>
                </c:pt>
                <c:pt idx="395">
                  <c:v>4.1986066807175035</c:v>
                </c:pt>
                <c:pt idx="396">
                  <c:v>4.1045913266532752</c:v>
                </c:pt>
                <c:pt idx="397">
                  <c:v>4.0122646785285738</c:v>
                </c:pt>
                <c:pt idx="398">
                  <c:v>3.9216077016436377</c:v>
                </c:pt>
                <c:pt idx="399">
                  <c:v>3.8326012763955122</c:v>
                </c:pt>
                <c:pt idx="400">
                  <c:v>3.7452262080440879</c:v>
                </c:pt>
                <c:pt idx="401">
                  <c:v>3.6594632362955513</c:v>
                </c:pt>
                <c:pt idx="402">
                  <c:v>3.5752930447014633</c:v>
                </c:pt>
                <c:pt idx="403">
                  <c:v>3.4926962698719093</c:v>
                </c:pt>
                <c:pt idx="404">
                  <c:v>3.4116535105012886</c:v>
                </c:pt>
                <c:pt idx="405">
                  <c:v>3.3321453362055116</c:v>
                </c:pt>
                <c:pt idx="406">
                  <c:v>3.2541522961695111</c:v>
                </c:pt>
                <c:pt idx="407">
                  <c:v>3.1776549276041455</c:v>
                </c:pt>
                <c:pt idx="408">
                  <c:v>3.1026337640117458</c:v>
                </c:pt>
                <c:pt idx="409">
                  <c:v>3.0290693432596782</c:v>
                </c:pt>
                <c:pt idx="410">
                  <c:v>2.9569422154614844</c:v>
                </c:pt>
                <c:pt idx="411">
                  <c:v>2.8862329506652791</c:v>
                </c:pt>
                <c:pt idx="412">
                  <c:v>2.8169221463492553</c:v>
                </c:pt>
                <c:pt idx="413">
                  <c:v>2.7489904347242731</c:v>
                </c:pt>
                <c:pt idx="414">
                  <c:v>2.6824184898436423</c:v>
                </c:pt>
                <c:pt idx="415">
                  <c:v>2.617187034520382</c:v>
                </c:pt>
                <c:pt idx="416">
                  <c:v>2.5532768470523091</c:v>
                </c:pt>
                <c:pt idx="417">
                  <c:v>2.4906687677554986</c:v>
                </c:pt>
                <c:pt idx="418">
                  <c:v>2.4293437053067479</c:v>
                </c:pt>
                <c:pt idx="419">
                  <c:v>2.369282642895806</c:v>
                </c:pt>
                <c:pt idx="420">
                  <c:v>2.3104666441882498</c:v>
                </c:pt>
                <c:pt idx="421">
                  <c:v>2.2528768591000055</c:v>
                </c:pt>
                <c:pt idx="422">
                  <c:v>2.1964945293846085</c:v>
                </c:pt>
                <c:pt idx="423">
                  <c:v>2.1413009940344345</c:v>
                </c:pt>
                <c:pt idx="424">
                  <c:v>2.087277694497196</c:v>
                </c:pt>
                <c:pt idx="425">
                  <c:v>2.034406179709134</c:v>
                </c:pt>
                <c:pt idx="426">
                  <c:v>1.9826681109464062</c:v>
                </c:pt>
                <c:pt idx="427">
                  <c:v>1.9320452664962917</c:v>
                </c:pt>
                <c:pt idx="428">
                  <c:v>1.8825195461498725</c:v>
                </c:pt>
                <c:pt idx="429">
                  <c:v>1.8340729755180147</c:v>
                </c:pt>
                <c:pt idx="430">
                  <c:v>1.7866877101724592</c:v>
                </c:pt>
                <c:pt idx="431">
                  <c:v>1.7403460396140027</c:v>
                </c:pt>
                <c:pt idx="432">
                  <c:v>1.6950303910697475</c:v>
                </c:pt>
                <c:pt idx="433">
                  <c:v>1.6507233331215176</c:v>
                </c:pt>
                <c:pt idx="434">
                  <c:v>1.6074075791675873</c:v>
                </c:pt>
                <c:pt idx="435">
                  <c:v>1.5650659907199354</c:v>
                </c:pt>
                <c:pt idx="436">
                  <c:v>1.5236815805392896</c:v>
                </c:pt>
                <c:pt idx="437">
                  <c:v>1.4832375156103108</c:v>
                </c:pt>
                <c:pt idx="438">
                  <c:v>1.4437171199592751</c:v>
                </c:pt>
                <c:pt idx="439">
                  <c:v>1.4051038773166966</c:v>
                </c:pt>
                <c:pt idx="440">
                  <c:v>1.3673814336273875</c:v>
                </c:pt>
                <c:pt idx="441">
                  <c:v>1.3305335994104441</c:v>
                </c:pt>
                <c:pt idx="442">
                  <c:v>1.2945443519717592</c:v>
                </c:pt>
                <c:pt idx="443">
                  <c:v>1.2593978374716277</c:v>
                </c:pt>
                <c:pt idx="444">
                  <c:v>1.2250783728501025</c:v>
                </c:pt>
                <c:pt idx="445">
                  <c:v>1.19157044761276</c:v>
                </c:pt>
                <c:pt idx="446">
                  <c:v>1.1588587254795606</c:v>
                </c:pt>
                <c:pt idx="447">
                  <c:v>1.1269280458995334</c:v>
                </c:pt>
                <c:pt idx="448">
                  <c:v>1.0957634254340103</c:v>
                </c:pt>
                <c:pt idx="449">
                  <c:v>1.0653500590111886</c:v>
                </c:pt>
                <c:pt idx="450">
                  <c:v>1.0356733210547757</c:v>
                </c:pt>
                <c:pt idx="451">
                  <c:v>1.0067187664895139</c:v>
                </c:pt>
                <c:pt idx="452">
                  <c:v>0.97847213162639701</c:v>
                </c:pt>
                <c:pt idx="453">
                  <c:v>0.95091933493035752</c:v>
                </c:pt>
                <c:pt idx="454">
                  <c:v>0.92404647767327286</c:v>
                </c:pt>
                <c:pt idx="455">
                  <c:v>0.89783984447507537</c:v>
                </c:pt>
                <c:pt idx="456">
                  <c:v>0.87228590373581283</c:v>
                </c:pt>
                <c:pt idx="457">
                  <c:v>0.84737130796145266</c:v>
                </c:pt>
                <c:pt idx="458">
                  <c:v>0.82308289398625534</c:v>
                </c:pt>
                <c:pt idx="459">
                  <c:v>0.79940768309452837</c:v>
                </c:pt>
                <c:pt idx="460">
                  <c:v>0.77633288104454323</c:v>
                </c:pt>
                <c:pt idx="461">
                  <c:v>0.75384587799742298</c:v>
                </c:pt>
                <c:pt idx="462">
                  <c:v>0.7319342483537653</c:v>
                </c:pt>
                <c:pt idx="463">
                  <c:v>0.710585750500771</c:v>
                </c:pt>
                <c:pt idx="464">
                  <c:v>0.68978832647262045</c:v>
                </c:pt>
                <c:pt idx="465">
                  <c:v>0.66953010152683001</c:v>
                </c:pt>
                <c:pt idx="466">
                  <c:v>0.64979938363930412</c:v>
                </c:pt>
                <c:pt idx="467">
                  <c:v>0.63058466292075777</c:v>
                </c:pt>
                <c:pt idx="468">
                  <c:v>0.61187461095719708</c:v>
                </c:pt>
                <c:pt idx="469">
                  <c:v>0.5936580800770801</c:v>
                </c:pt>
                <c:pt idx="470">
                  <c:v>0.57592410254778748</c:v>
                </c:pt>
                <c:pt idx="471">
                  <c:v>0.55866188970399722</c:v>
                </c:pt>
                <c:pt idx="472">
                  <c:v>0.54186083101050531</c:v>
                </c:pt>
                <c:pt idx="473">
                  <c:v>0.525510493062052</c:v>
                </c:pt>
                <c:pt idx="474">
                  <c:v>0.50960061852263039</c:v>
                </c:pt>
                <c:pt idx="475">
                  <c:v>0.49412112500677013</c:v>
                </c:pt>
                <c:pt idx="476">
                  <c:v>0.47906210390521214</c:v>
                </c:pt>
                <c:pt idx="477">
                  <c:v>0.46441381915739377</c:v>
                </c:pt>
                <c:pt idx="478">
                  <c:v>0.45016670597310599</c:v>
                </c:pt>
                <c:pt idx="479">
                  <c:v>0.43631136950565363</c:v>
                </c:pt>
                <c:pt idx="480">
                  <c:v>0.42283858347882275</c:v>
                </c:pt>
                <c:pt idx="481">
                  <c:v>0.40973928876990318</c:v>
                </c:pt>
                <c:pt idx="482">
                  <c:v>0.39700459195099863</c:v>
                </c:pt>
                <c:pt idx="483">
                  <c:v>0.3846257637907971</c:v>
                </c:pt>
                <c:pt idx="484">
                  <c:v>0.37259423771895017</c:v>
                </c:pt>
                <c:pt idx="485">
                  <c:v>0.36090160825516687</c:v>
                </c:pt>
                <c:pt idx="486">
                  <c:v>0.34953962940507477</c:v>
                </c:pt>
                <c:pt idx="487">
                  <c:v>0.33850021302488525</c:v>
                </c:pt>
                <c:pt idx="488">
                  <c:v>0.32777542715683139</c:v>
                </c:pt>
                <c:pt idx="489">
                  <c:v>0.31735749433732752</c:v>
                </c:pt>
                <c:pt idx="490">
                  <c:v>0.30723878987974507</c:v>
                </c:pt>
                <c:pt idx="491">
                  <c:v>0.29741184013365862</c:v>
                </c:pt>
                <c:pt idx="492">
                  <c:v>0.2878693207223848</c:v>
                </c:pt>
                <c:pt idx="493">
                  <c:v>0.27860405476057593</c:v>
                </c:pt>
                <c:pt idx="494">
                  <c:v>0.26960901105360718</c:v>
                </c:pt>
                <c:pt idx="495">
                  <c:v>0.26087730228043854</c:v>
                </c:pt>
                <c:pt idx="496">
                  <c:v>0.25240218316159946</c:v>
                </c:pt>
                <c:pt idx="497">
                  <c:v>0.2441770486138988</c:v>
                </c:pt>
                <c:pt idx="498">
                  <c:v>0.23619543189341971</c:v>
                </c:pt>
                <c:pt idx="499">
                  <c:v>0.22845100272831761</c:v>
                </c:pt>
                <c:pt idx="500">
                  <c:v>0.22093756544289642</c:v>
                </c:pt>
                <c:pt idx="501">
                  <c:v>0.2136490570744001</c:v>
                </c:pt>
                <c:pt idx="502">
                  <c:v>0.20657954548390789</c:v>
                </c:pt>
                <c:pt idx="503">
                  <c:v>0.19972322746268587</c:v>
                </c:pt>
                <c:pt idx="504">
                  <c:v>0.19307442683530521</c:v>
                </c:pt>
                <c:pt idx="505">
                  <c:v>0.18662759256079461</c:v>
                </c:pt>
                <c:pt idx="506">
                  <c:v>0.18037729683305451</c:v>
                </c:pt>
                <c:pt idx="507">
                  <c:v>0.17431823318172207</c:v>
                </c:pt>
                <c:pt idx="508">
                  <c:v>0.16844521457463282</c:v>
                </c:pt>
                <c:pt idx="509">
                  <c:v>0.16275317152299026</c:v>
                </c:pt>
                <c:pt idx="510">
                  <c:v>0.15723715019030821</c:v>
                </c:pt>
                <c:pt idx="511">
                  <c:v>0.15189231050616067</c:v>
                </c:pt>
                <c:pt idx="512">
                  <c:v>0.14671392428572869</c:v>
                </c:pt>
                <c:pt idx="513">
                  <c:v>0.14169737335609969</c:v>
                </c:pt>
                <c:pt idx="514">
                  <c:v>0.13683814769023706</c:v>
                </c:pt>
                <c:pt idx="515">
                  <c:v>0.13213184354949903</c:v>
                </c:pt>
                <c:pt idx="516">
                  <c:v>0.12757416163555418</c:v>
                </c:pt>
                <c:pt idx="517">
                  <c:v>0.12316090525249861</c:v>
                </c:pt>
                <c:pt idx="518">
                  <c:v>0.11888797847995208</c:v>
                </c:pt>
                <c:pt idx="519">
                  <c:v>0.1147513843578703</c:v>
                </c:pt>
                <c:pt idx="520">
                  <c:v>0.11074722308377932</c:v>
                </c:pt>
                <c:pt idx="521">
                  <c:v>0.10687169022310444</c:v>
                </c:pt>
                <c:pt idx="522">
                  <c:v>0.103121074933232</c:v>
                </c:pt>
                <c:pt idx="523">
                  <c:v>9.9491758201913472E-2</c:v>
                </c:pt>
                <c:pt idx="524">
                  <c:v>9.5980211100584578E-2</c:v>
                </c:pt>
                <c:pt idx="525">
                  <c:v>9.2582993053147863E-2</c:v>
                </c:pt>
                <c:pt idx="526">
                  <c:v>8.9296750120730309E-2</c:v>
                </c:pt>
                <c:pt idx="527">
                  <c:v>8.6118213302904312E-2</c:v>
                </c:pt>
                <c:pt idx="528">
                  <c:v>8.3044196855826397E-2</c:v>
                </c:pt>
                <c:pt idx="529">
                  <c:v>8.0071596627721717E-2</c:v>
                </c:pt>
                <c:pt idx="530">
                  <c:v>7.7197388412116735E-2</c:v>
                </c:pt>
                <c:pt idx="531">
                  <c:v>7.44186263191918E-2</c:v>
                </c:pt>
                <c:pt idx="532">
                  <c:v>7.1732441165602095E-2</c:v>
                </c:pt>
                <c:pt idx="533">
                  <c:v>6.9136038883087753E-2</c:v>
                </c:pt>
                <c:pt idx="534">
                  <c:v>6.6626698946170848E-2</c:v>
                </c:pt>
                <c:pt idx="535">
                  <c:v>6.4201772819211064E-2</c:v>
                </c:pt>
                <c:pt idx="536">
                  <c:v>6.1858682423068745E-2</c:v>
                </c:pt>
                <c:pt idx="537">
                  <c:v>5.959491862160194E-2</c:v>
                </c:pt>
                <c:pt idx="538">
                  <c:v>5.7408039728199439E-2</c:v>
                </c:pt>
                <c:pt idx="539">
                  <c:v>5.5295670032532954E-2</c:v>
                </c:pt>
                <c:pt idx="540">
                  <c:v>5.325549834768846E-2</c:v>
                </c:pt>
                <c:pt idx="541">
                  <c:v>5.1285276577816272E-2</c:v>
                </c:pt>
                <c:pt idx="542">
                  <c:v>4.9382818306422042E-2</c:v>
                </c:pt>
                <c:pt idx="543">
                  <c:v>4.754599740539818E-2</c:v>
                </c:pt>
                <c:pt idx="544">
                  <c:v>4.5772746664879335E-2</c:v>
                </c:pt>
                <c:pt idx="545">
                  <c:v>4.4061056443986973E-2</c:v>
                </c:pt>
                <c:pt idx="546">
                  <c:v>4.2408973342510162E-2</c:v>
                </c:pt>
                <c:pt idx="547">
                  <c:v>4.0814598893553329E-2</c:v>
                </c:pt>
                <c:pt idx="548">
                  <c:v>3.9276088277166631E-2</c:v>
                </c:pt>
                <c:pt idx="549">
                  <c:v>3.779164905495655E-2</c:v>
                </c:pt>
                <c:pt idx="550">
                  <c:v>3.6359539925663285E-2</c:v>
                </c:pt>
                <c:pt idx="551">
                  <c:v>3.4978069501672725E-2</c:v>
                </c:pt>
                <c:pt idx="552">
                  <c:v>3.3645595106420532E-2</c:v>
                </c:pt>
                <c:pt idx="553">
                  <c:v>3.2360521592630809E-2</c:v>
                </c:pt>
                <c:pt idx="554">
                  <c:v>3.1121300181319683E-2</c:v>
                </c:pt>
                <c:pt idx="555">
                  <c:v>2.9926427321482152E-2</c:v>
                </c:pt>
                <c:pt idx="556">
                  <c:v>2.8774443570368347E-2</c:v>
                </c:pt>
                <c:pt idx="557">
                  <c:v>2.7663932494244751E-2</c:v>
                </c:pt>
                <c:pt idx="558">
                  <c:v>2.6593519589525234E-2</c:v>
                </c:pt>
                <c:pt idx="559">
                  <c:v>2.5561871224147055E-2</c:v>
                </c:pt>
                <c:pt idx="560">
                  <c:v>2.4567693599055997E-2</c:v>
                </c:pt>
                <c:pt idx="561">
                  <c:v>2.3609731729657812E-2</c:v>
                </c:pt>
                <c:pt idx="562">
                  <c:v>2.2686768447082426E-2</c:v>
                </c:pt>
                <c:pt idx="563">
                  <c:v>2.1797623419100704E-2</c:v>
                </c:pt>
                <c:pt idx="564">
                  <c:v>2.0941152190525128E-2</c:v>
                </c:pt>
                <c:pt idx="565">
                  <c:v>2.0116245242918319E-2</c:v>
                </c:pt>
                <c:pt idx="566">
                  <c:v>1.9321827073426896E-2</c:v>
                </c:pt>
                <c:pt idx="567">
                  <c:v>1.8556855292551709E-2</c:v>
                </c:pt>
                <c:pt idx="568">
                  <c:v>1.7820319740658685E-2</c:v>
                </c:pt>
                <c:pt idx="569">
                  <c:v>1.7111241623030227E-2</c:v>
                </c:pt>
                <c:pt idx="570">
                  <c:v>1.6428672663250359E-2</c:v>
                </c:pt>
                <c:pt idx="571">
                  <c:v>1.5771694274713057E-2</c:v>
                </c:pt>
                <c:pt idx="572">
                  <c:v>1.5139416750038156E-2</c:v>
                </c:pt>
                <c:pt idx="573">
                  <c:v>1.4530978468174994E-2</c:v>
                </c:pt>
                <c:pt idx="574">
                  <c:v>1.3945545118970771E-2</c:v>
                </c:pt>
                <c:pt idx="575">
                  <c:v>1.3382308944976058E-2</c:v>
                </c:pt>
                <c:pt idx="576">
                  <c:v>1.2840488000257815E-2</c:v>
                </c:pt>
                <c:pt idx="577">
                  <c:v>1.2319325425986495E-2</c:v>
                </c:pt>
                <c:pt idx="578">
                  <c:v>1.1818088742562448E-2</c:v>
                </c:pt>
                <c:pt idx="579">
                  <c:v>1.133606915804283E-2</c:v>
                </c:pt>
                <c:pt idx="580">
                  <c:v>1.0872580892630292E-2</c:v>
                </c:pt>
                <c:pt idx="581">
                  <c:v>1.042696051898131E-2</c:v>
                </c:pt>
                <c:pt idx="582">
                  <c:v>9.9985663180916524E-3</c:v>
                </c:pt>
                <c:pt idx="583">
                  <c:v>9.5867776505151516E-3</c:v>
                </c:pt>
                <c:pt idx="584">
                  <c:v>9.190994342670249E-3</c:v>
                </c:pt>
                <c:pt idx="585">
                  <c:v>8.8106360879893417E-3</c:v>
                </c:pt>
                <c:pt idx="586">
                  <c:v>8.4451418626645108E-3</c:v>
                </c:pt>
                <c:pt idx="587">
                  <c:v>8.0939693557433474E-3</c:v>
                </c:pt>
                <c:pt idx="588">
                  <c:v>7.7565944133287257E-3</c:v>
                </c:pt>
                <c:pt idx="589">
                  <c:v>7.4325104966361201E-3</c:v>
                </c:pt>
                <c:pt idx="590">
                  <c:v>7.1212281536627686E-3</c:v>
                </c:pt>
                <c:pt idx="591">
                  <c:v>6.8222745042235793E-3</c:v>
                </c:pt>
                <c:pt idx="592">
                  <c:v>6.5351927381089563E-3</c:v>
                </c:pt>
                <c:pt idx="593">
                  <c:v>6.2595416261212291E-3</c:v>
                </c:pt>
                <c:pt idx="594">
                  <c:v>5.9948950437469003E-3</c:v>
                </c:pt>
                <c:pt idx="595">
                  <c:v>5.7408415072235323E-3</c:v>
                </c:pt>
                <c:pt idx="596">
                  <c:v>5.4969837217610012E-3</c:v>
                </c:pt>
                <c:pt idx="597">
                  <c:v>5.2629381416789836E-3</c:v>
                </c:pt>
                <c:pt idx="598">
                  <c:v>5.0383345422234669E-3</c:v>
                </c:pt>
                <c:pt idx="599">
                  <c:v>4.8228156028272363E-3</c:v>
                </c:pt>
                <c:pt idx="600">
                  <c:v>4.6160365015811573E-3</c:v>
                </c:pt>
                <c:pt idx="601">
                  <c:v>4.4176645206847947E-3</c:v>
                </c:pt>
                <c:pt idx="602">
                  <c:v>4.227378662647302E-3</c:v>
                </c:pt>
                <c:pt idx="603">
                  <c:v>4.0448692770113318E-3</c:v>
                </c:pt>
                <c:pt idx="604">
                  <c:v>3.8698376973754036E-3</c:v>
                </c:pt>
                <c:pt idx="605">
                  <c:v>3.7019958884920968E-3</c:v>
                </c:pt>
                <c:pt idx="606">
                  <c:v>3.5410661032221629E-3</c:v>
                </c:pt>
                <c:pt idx="607">
                  <c:v>3.3867805491270666E-3</c:v>
                </c:pt>
                <c:pt idx="608">
                  <c:v>3.238881064484962E-3</c:v>
                </c:pt>
                <c:pt idx="609">
                  <c:v>3.097118803517894E-3</c:v>
                </c:pt>
                <c:pt idx="610">
                  <c:v>2.9612539306205091E-3</c:v>
                </c:pt>
                <c:pt idx="611">
                  <c:v>2.8310553233835312E-3</c:v>
                </c:pt>
                <c:pt idx="612">
                  <c:v>2.7063002842079445E-3</c:v>
                </c:pt>
                <c:pt idx="613">
                  <c:v>2.5867742603085213E-3</c:v>
                </c:pt>
                <c:pt idx="614">
                  <c:v>2.4722705719085365E-3</c:v>
                </c:pt>
                <c:pt idx="615">
                  <c:v>2.362590148430088E-3</c:v>
                </c:pt>
                <c:pt idx="616">
                  <c:v>2.2575412724876441E-3</c:v>
                </c:pt>
                <c:pt idx="617">
                  <c:v>2.1569393314951934E-3</c:v>
                </c:pt>
                <c:pt idx="618">
                  <c:v>2.0606065767005202E-3</c:v>
                </c:pt>
                <c:pt idx="619">
                  <c:v>1.9683718894630991E-3</c:v>
                </c:pt>
                <c:pt idx="620">
                  <c:v>1.8800705545950318E-3</c:v>
                </c:pt>
                <c:pt idx="621">
                  <c:v>1.7955440405876444E-3</c:v>
                </c:pt>
                <c:pt idx="622">
                  <c:v>1.7146397865492899E-3</c:v>
                </c:pt>
                <c:pt idx="623">
                  <c:v>1.637210995682953E-3</c:v>
                </c:pt>
                <c:pt idx="624">
                  <c:v>1.5631164351354093E-3</c:v>
                </c:pt>
                <c:pt idx="625">
                  <c:v>1.4922202420526163E-3</c:v>
                </c:pt>
                <c:pt idx="626">
                  <c:v>1.4243917356791397E-3</c:v>
                </c:pt>
                <c:pt idx="627">
                  <c:v>1.3595052353424354E-3</c:v>
                </c:pt>
                <c:pt idx="628">
                  <c:v>1.2974398841658454E-3</c:v>
                </c:pt>
                <c:pt idx="629">
                  <c:v>1.2380794783571848E-3</c:v>
                </c:pt>
                <c:pt idx="630">
                  <c:v>1.1813123019228018E-3</c:v>
                </c:pt>
                <c:pt idx="631">
                  <c:v>1.1270309666600222E-3</c:v>
                </c:pt>
                <c:pt idx="632">
                  <c:v>1.0751322572838007E-3</c:v>
                </c:pt>
                <c:pt idx="633">
                  <c:v>1.0255169815464114E-3</c:v>
                </c:pt>
                <c:pt idx="634">
                  <c:v>9.780898252119486E-4</c:v>
                </c:pt>
                <c:pt idx="635">
                  <c:v>9.3275921175028692E-4</c:v>
                </c:pt>
                <c:pt idx="636">
                  <c:v>8.8943716661804703E-4</c:v>
                </c:pt>
                <c:pt idx="637">
                  <c:v>8.4803918599701865E-4</c:v>
                </c:pt>
                <c:pt idx="638">
                  <c:v>8.0848410986327835E-4</c:v>
                </c:pt>
                <c:pt idx="639">
                  <c:v>7.7069399926304723E-4</c:v>
                </c:pt>
                <c:pt idx="640">
                  <c:v>7.3459401767417688E-4</c:v>
                </c:pt>
                <c:pt idx="641">
                  <c:v>7.001123163348082E-4</c:v>
                </c:pt>
                <c:pt idx="642">
                  <c:v>6.671799234235149E-4</c:v>
                </c:pt>
                <c:pt idx="643">
                  <c:v>6.3573063697793138E-4</c:v>
                </c:pt>
                <c:pt idx="644">
                  <c:v>6.0570092144147307E-4</c:v>
                </c:pt>
                <c:pt idx="645">
                  <c:v>5.7702980773040877E-4</c:v>
                </c:pt>
                <c:pt idx="646">
                  <c:v>5.4965879671609627E-4</c:v>
                </c:pt>
                <c:pt idx="647">
                  <c:v>5.2353176601973922E-4</c:v>
                </c:pt>
                <c:pt idx="648">
                  <c:v>4.9859488001953868E-4</c:v>
                </c:pt>
                <c:pt idx="649">
                  <c:v>4.7479650297255584E-4</c:v>
                </c:pt>
                <c:pt idx="650">
                  <c:v>4.5208711515607245E-4</c:v>
                </c:pt>
                <c:pt idx="651">
                  <c:v>4.3041923193556188E-4</c:v>
                </c:pt>
                <c:pt idx="652">
                  <c:v>4.0974732566880531E-4</c:v>
                </c:pt>
                <c:pt idx="653">
                  <c:v>3.9002775035795013E-4</c:v>
                </c:pt>
                <c:pt idx="654">
                  <c:v>3.7121866896360606E-4</c:v>
                </c:pt>
                <c:pt idx="655">
                  <c:v>3.532799832972995E-4</c:v>
                </c:pt>
                <c:pt idx="656">
                  <c:v>3.3617326641080601E-4</c:v>
                </c:pt>
                <c:pt idx="657">
                  <c:v>3.1986169740303371E-4</c:v>
                </c:pt>
                <c:pt idx="658">
                  <c:v>3.0430999856724333E-4</c:v>
                </c:pt>
                <c:pt idx="659">
                  <c:v>2.8948437480347901E-4</c:v>
                </c:pt>
                <c:pt idx="660">
                  <c:v>2.7535245522309888E-4</c:v>
                </c:pt>
                <c:pt idx="661">
                  <c:v>2.6188323687431262E-4</c:v>
                </c:pt>
                <c:pt idx="662">
                  <c:v>2.4904703051957527E-4</c:v>
                </c:pt>
                <c:pt idx="663">
                  <c:v>2.3681540839761545E-4</c:v>
                </c:pt>
                <c:pt idx="664">
                  <c:v>2.2516115390474662E-4</c:v>
                </c:pt>
                <c:pt idx="665">
                  <c:v>2.1405821313194966E-4</c:v>
                </c:pt>
                <c:pt idx="666">
                  <c:v>2.0348164819602578E-4</c:v>
                </c:pt>
                <c:pt idx="667">
                  <c:v>1.9340759230487153E-4</c:v>
                </c:pt>
                <c:pt idx="668">
                  <c:v>1.838132064986493E-4</c:v>
                </c:pt>
                <c:pt idx="669">
                  <c:v>1.7467663801033127E-4</c:v>
                </c:pt>
                <c:pt idx="670">
                  <c:v>1.6597698019071863E-4</c:v>
                </c:pt>
                <c:pt idx="671">
                  <c:v>1.5769423394466943E-4</c:v>
                </c:pt>
                <c:pt idx="672">
                  <c:v>1.4980927062683232E-4</c:v>
                </c:pt>
                <c:pt idx="673">
                  <c:v>1.4230379634672929E-4</c:v>
                </c:pt>
                <c:pt idx="674">
                  <c:v>1.3516031763452426E-4</c:v>
                </c:pt>
                <c:pt idx="675">
                  <c:v>1.2836210842028946E-4</c:v>
                </c:pt>
              </c:numCache>
            </c:numRef>
          </c:yVal>
          <c:smooth val="1"/>
        </c:ser>
        <c:ser>
          <c:idx val="8"/>
          <c:order val="8"/>
          <c:tx>
            <c:strRef>
              <c:f>Data!$L$1</c:f>
              <c:strCache>
                <c:ptCount val="1"/>
                <c:pt idx="0">
                  <c:v>Peak 7</c:v>
                </c:pt>
              </c:strCache>
            </c:strRef>
          </c:tx>
          <c:spPr>
            <a:ln w="12700">
              <a:solidFill>
                <a:srgbClr val="00CCFF"/>
              </a:solidFill>
              <a:prstDash val="solid"/>
            </a:ln>
          </c:spPr>
          <c:marker>
            <c:symbol val="none"/>
          </c:marker>
          <c:xVal>
            <c:numRef>
              <c:f>Data!$A$2:$A$1001</c:f>
              <c:numCache>
                <c:formatCode>0.000</c:formatCode>
                <c:ptCount val="1000"/>
                <c:pt idx="0">
                  <c:v>1</c:v>
                </c:pt>
                <c:pt idx="1">
                  <c:v>3</c:v>
                </c:pt>
                <c:pt idx="2">
                  <c:v>5</c:v>
                </c:pt>
                <c:pt idx="3">
                  <c:v>7</c:v>
                </c:pt>
                <c:pt idx="4">
                  <c:v>9</c:v>
                </c:pt>
                <c:pt idx="5">
                  <c:v>11</c:v>
                </c:pt>
                <c:pt idx="6">
                  <c:v>13</c:v>
                </c:pt>
                <c:pt idx="7">
                  <c:v>15</c:v>
                </c:pt>
                <c:pt idx="8">
                  <c:v>17</c:v>
                </c:pt>
                <c:pt idx="9">
                  <c:v>19</c:v>
                </c:pt>
                <c:pt idx="10">
                  <c:v>21</c:v>
                </c:pt>
                <c:pt idx="11">
                  <c:v>23</c:v>
                </c:pt>
                <c:pt idx="12">
                  <c:v>25</c:v>
                </c:pt>
                <c:pt idx="13">
                  <c:v>27</c:v>
                </c:pt>
                <c:pt idx="14">
                  <c:v>29</c:v>
                </c:pt>
                <c:pt idx="15">
                  <c:v>31</c:v>
                </c:pt>
                <c:pt idx="16">
                  <c:v>33</c:v>
                </c:pt>
                <c:pt idx="17">
                  <c:v>35</c:v>
                </c:pt>
                <c:pt idx="18">
                  <c:v>37</c:v>
                </c:pt>
                <c:pt idx="19">
                  <c:v>39</c:v>
                </c:pt>
                <c:pt idx="20">
                  <c:v>41</c:v>
                </c:pt>
                <c:pt idx="21">
                  <c:v>43</c:v>
                </c:pt>
                <c:pt idx="22">
                  <c:v>45</c:v>
                </c:pt>
                <c:pt idx="23">
                  <c:v>47</c:v>
                </c:pt>
                <c:pt idx="24">
                  <c:v>49</c:v>
                </c:pt>
                <c:pt idx="25">
                  <c:v>51</c:v>
                </c:pt>
                <c:pt idx="26">
                  <c:v>53</c:v>
                </c:pt>
                <c:pt idx="27">
                  <c:v>55</c:v>
                </c:pt>
                <c:pt idx="28">
                  <c:v>57</c:v>
                </c:pt>
                <c:pt idx="29">
                  <c:v>59</c:v>
                </c:pt>
                <c:pt idx="30">
                  <c:v>61</c:v>
                </c:pt>
                <c:pt idx="31">
                  <c:v>63</c:v>
                </c:pt>
                <c:pt idx="32">
                  <c:v>65</c:v>
                </c:pt>
                <c:pt idx="33">
                  <c:v>67</c:v>
                </c:pt>
                <c:pt idx="34">
                  <c:v>69</c:v>
                </c:pt>
                <c:pt idx="35">
                  <c:v>71</c:v>
                </c:pt>
                <c:pt idx="36">
                  <c:v>73</c:v>
                </c:pt>
                <c:pt idx="37">
                  <c:v>75</c:v>
                </c:pt>
                <c:pt idx="38">
                  <c:v>77</c:v>
                </c:pt>
                <c:pt idx="39">
                  <c:v>79</c:v>
                </c:pt>
                <c:pt idx="40">
                  <c:v>81</c:v>
                </c:pt>
                <c:pt idx="41">
                  <c:v>83</c:v>
                </c:pt>
                <c:pt idx="42">
                  <c:v>85</c:v>
                </c:pt>
                <c:pt idx="43">
                  <c:v>87</c:v>
                </c:pt>
                <c:pt idx="44">
                  <c:v>89</c:v>
                </c:pt>
                <c:pt idx="45">
                  <c:v>91</c:v>
                </c:pt>
                <c:pt idx="46">
                  <c:v>93</c:v>
                </c:pt>
                <c:pt idx="47">
                  <c:v>95</c:v>
                </c:pt>
                <c:pt idx="48">
                  <c:v>97</c:v>
                </c:pt>
                <c:pt idx="49">
                  <c:v>99</c:v>
                </c:pt>
                <c:pt idx="50">
                  <c:v>101</c:v>
                </c:pt>
                <c:pt idx="51">
                  <c:v>103</c:v>
                </c:pt>
                <c:pt idx="52">
                  <c:v>105</c:v>
                </c:pt>
                <c:pt idx="53">
                  <c:v>107</c:v>
                </c:pt>
                <c:pt idx="54">
                  <c:v>109</c:v>
                </c:pt>
                <c:pt idx="55">
                  <c:v>111</c:v>
                </c:pt>
                <c:pt idx="56">
                  <c:v>113</c:v>
                </c:pt>
                <c:pt idx="57">
                  <c:v>115</c:v>
                </c:pt>
                <c:pt idx="58">
                  <c:v>117</c:v>
                </c:pt>
                <c:pt idx="59">
                  <c:v>119</c:v>
                </c:pt>
                <c:pt idx="60">
                  <c:v>121</c:v>
                </c:pt>
                <c:pt idx="61">
                  <c:v>123</c:v>
                </c:pt>
                <c:pt idx="62">
                  <c:v>125</c:v>
                </c:pt>
                <c:pt idx="63">
                  <c:v>127</c:v>
                </c:pt>
                <c:pt idx="64">
                  <c:v>129</c:v>
                </c:pt>
                <c:pt idx="65">
                  <c:v>131</c:v>
                </c:pt>
                <c:pt idx="66">
                  <c:v>133</c:v>
                </c:pt>
                <c:pt idx="67">
                  <c:v>135</c:v>
                </c:pt>
                <c:pt idx="68">
                  <c:v>137</c:v>
                </c:pt>
                <c:pt idx="69">
                  <c:v>139</c:v>
                </c:pt>
                <c:pt idx="70">
                  <c:v>141</c:v>
                </c:pt>
                <c:pt idx="71">
                  <c:v>143</c:v>
                </c:pt>
                <c:pt idx="72">
                  <c:v>145</c:v>
                </c:pt>
                <c:pt idx="73">
                  <c:v>147</c:v>
                </c:pt>
                <c:pt idx="74">
                  <c:v>149</c:v>
                </c:pt>
                <c:pt idx="75">
                  <c:v>151</c:v>
                </c:pt>
                <c:pt idx="76">
                  <c:v>153</c:v>
                </c:pt>
                <c:pt idx="77">
                  <c:v>155</c:v>
                </c:pt>
                <c:pt idx="78">
                  <c:v>157</c:v>
                </c:pt>
                <c:pt idx="79">
                  <c:v>159</c:v>
                </c:pt>
                <c:pt idx="80">
                  <c:v>161</c:v>
                </c:pt>
                <c:pt idx="81">
                  <c:v>163</c:v>
                </c:pt>
                <c:pt idx="82">
                  <c:v>165</c:v>
                </c:pt>
                <c:pt idx="83">
                  <c:v>167</c:v>
                </c:pt>
                <c:pt idx="84">
                  <c:v>169</c:v>
                </c:pt>
                <c:pt idx="85">
                  <c:v>171</c:v>
                </c:pt>
                <c:pt idx="86">
                  <c:v>173</c:v>
                </c:pt>
                <c:pt idx="87">
                  <c:v>175</c:v>
                </c:pt>
                <c:pt idx="88">
                  <c:v>177</c:v>
                </c:pt>
                <c:pt idx="89">
                  <c:v>179</c:v>
                </c:pt>
                <c:pt idx="90">
                  <c:v>181</c:v>
                </c:pt>
                <c:pt idx="91">
                  <c:v>183</c:v>
                </c:pt>
                <c:pt idx="92">
                  <c:v>185</c:v>
                </c:pt>
                <c:pt idx="93">
                  <c:v>187</c:v>
                </c:pt>
                <c:pt idx="94">
                  <c:v>189</c:v>
                </c:pt>
                <c:pt idx="95">
                  <c:v>191</c:v>
                </c:pt>
                <c:pt idx="96">
                  <c:v>193</c:v>
                </c:pt>
                <c:pt idx="97">
                  <c:v>195</c:v>
                </c:pt>
                <c:pt idx="98">
                  <c:v>197</c:v>
                </c:pt>
                <c:pt idx="99">
                  <c:v>199</c:v>
                </c:pt>
                <c:pt idx="100">
                  <c:v>201</c:v>
                </c:pt>
                <c:pt idx="101">
                  <c:v>203</c:v>
                </c:pt>
                <c:pt idx="102">
                  <c:v>205</c:v>
                </c:pt>
                <c:pt idx="103">
                  <c:v>207</c:v>
                </c:pt>
                <c:pt idx="104">
                  <c:v>209</c:v>
                </c:pt>
                <c:pt idx="105">
                  <c:v>211</c:v>
                </c:pt>
                <c:pt idx="106">
                  <c:v>213</c:v>
                </c:pt>
                <c:pt idx="107">
                  <c:v>215</c:v>
                </c:pt>
                <c:pt idx="108">
                  <c:v>217</c:v>
                </c:pt>
                <c:pt idx="109">
                  <c:v>219</c:v>
                </c:pt>
                <c:pt idx="110">
                  <c:v>221</c:v>
                </c:pt>
                <c:pt idx="111">
                  <c:v>223</c:v>
                </c:pt>
                <c:pt idx="112">
                  <c:v>225</c:v>
                </c:pt>
                <c:pt idx="113">
                  <c:v>227</c:v>
                </c:pt>
                <c:pt idx="114">
                  <c:v>229</c:v>
                </c:pt>
                <c:pt idx="115">
                  <c:v>231</c:v>
                </c:pt>
                <c:pt idx="116">
                  <c:v>233</c:v>
                </c:pt>
                <c:pt idx="117">
                  <c:v>235</c:v>
                </c:pt>
                <c:pt idx="118">
                  <c:v>237</c:v>
                </c:pt>
                <c:pt idx="119">
                  <c:v>239</c:v>
                </c:pt>
                <c:pt idx="120">
                  <c:v>241</c:v>
                </c:pt>
                <c:pt idx="121">
                  <c:v>243</c:v>
                </c:pt>
                <c:pt idx="122">
                  <c:v>245</c:v>
                </c:pt>
                <c:pt idx="123">
                  <c:v>247</c:v>
                </c:pt>
                <c:pt idx="124">
                  <c:v>249</c:v>
                </c:pt>
                <c:pt idx="125">
                  <c:v>251</c:v>
                </c:pt>
                <c:pt idx="126">
                  <c:v>253</c:v>
                </c:pt>
                <c:pt idx="127">
                  <c:v>255</c:v>
                </c:pt>
                <c:pt idx="128">
                  <c:v>257</c:v>
                </c:pt>
                <c:pt idx="129">
                  <c:v>259</c:v>
                </c:pt>
                <c:pt idx="130">
                  <c:v>261</c:v>
                </c:pt>
                <c:pt idx="131">
                  <c:v>263</c:v>
                </c:pt>
                <c:pt idx="132">
                  <c:v>265</c:v>
                </c:pt>
                <c:pt idx="133">
                  <c:v>267</c:v>
                </c:pt>
                <c:pt idx="134">
                  <c:v>269</c:v>
                </c:pt>
                <c:pt idx="135">
                  <c:v>271</c:v>
                </c:pt>
                <c:pt idx="136">
                  <c:v>273</c:v>
                </c:pt>
                <c:pt idx="137">
                  <c:v>275</c:v>
                </c:pt>
                <c:pt idx="138">
                  <c:v>277</c:v>
                </c:pt>
                <c:pt idx="139">
                  <c:v>279</c:v>
                </c:pt>
                <c:pt idx="140">
                  <c:v>281</c:v>
                </c:pt>
                <c:pt idx="141">
                  <c:v>283</c:v>
                </c:pt>
                <c:pt idx="142">
                  <c:v>285</c:v>
                </c:pt>
                <c:pt idx="143">
                  <c:v>287</c:v>
                </c:pt>
                <c:pt idx="144">
                  <c:v>289</c:v>
                </c:pt>
                <c:pt idx="145">
                  <c:v>291</c:v>
                </c:pt>
                <c:pt idx="146">
                  <c:v>293</c:v>
                </c:pt>
                <c:pt idx="147">
                  <c:v>295</c:v>
                </c:pt>
                <c:pt idx="148">
                  <c:v>297</c:v>
                </c:pt>
                <c:pt idx="149">
                  <c:v>299</c:v>
                </c:pt>
                <c:pt idx="150">
                  <c:v>301</c:v>
                </c:pt>
                <c:pt idx="151">
                  <c:v>303</c:v>
                </c:pt>
                <c:pt idx="152">
                  <c:v>305</c:v>
                </c:pt>
                <c:pt idx="153">
                  <c:v>307</c:v>
                </c:pt>
                <c:pt idx="154">
                  <c:v>309</c:v>
                </c:pt>
                <c:pt idx="155">
                  <c:v>311</c:v>
                </c:pt>
                <c:pt idx="156">
                  <c:v>313</c:v>
                </c:pt>
                <c:pt idx="157">
                  <c:v>315</c:v>
                </c:pt>
                <c:pt idx="158">
                  <c:v>317</c:v>
                </c:pt>
                <c:pt idx="159">
                  <c:v>319</c:v>
                </c:pt>
                <c:pt idx="160">
                  <c:v>321</c:v>
                </c:pt>
                <c:pt idx="161">
                  <c:v>323</c:v>
                </c:pt>
                <c:pt idx="162">
                  <c:v>325</c:v>
                </c:pt>
                <c:pt idx="163">
                  <c:v>327</c:v>
                </c:pt>
                <c:pt idx="164">
                  <c:v>329</c:v>
                </c:pt>
                <c:pt idx="165">
                  <c:v>331</c:v>
                </c:pt>
                <c:pt idx="166">
                  <c:v>333</c:v>
                </c:pt>
                <c:pt idx="167">
                  <c:v>335</c:v>
                </c:pt>
                <c:pt idx="168">
                  <c:v>337</c:v>
                </c:pt>
                <c:pt idx="169">
                  <c:v>339</c:v>
                </c:pt>
                <c:pt idx="170">
                  <c:v>341</c:v>
                </c:pt>
                <c:pt idx="171">
                  <c:v>343</c:v>
                </c:pt>
                <c:pt idx="172">
                  <c:v>345</c:v>
                </c:pt>
                <c:pt idx="173">
                  <c:v>347</c:v>
                </c:pt>
                <c:pt idx="174">
                  <c:v>349</c:v>
                </c:pt>
                <c:pt idx="175">
                  <c:v>351</c:v>
                </c:pt>
                <c:pt idx="176">
                  <c:v>353</c:v>
                </c:pt>
                <c:pt idx="177">
                  <c:v>355</c:v>
                </c:pt>
                <c:pt idx="178">
                  <c:v>357</c:v>
                </c:pt>
                <c:pt idx="179">
                  <c:v>359</c:v>
                </c:pt>
                <c:pt idx="180">
                  <c:v>361</c:v>
                </c:pt>
                <c:pt idx="181">
                  <c:v>363</c:v>
                </c:pt>
                <c:pt idx="182">
                  <c:v>365</c:v>
                </c:pt>
                <c:pt idx="183">
                  <c:v>367</c:v>
                </c:pt>
                <c:pt idx="184">
                  <c:v>369</c:v>
                </c:pt>
                <c:pt idx="185">
                  <c:v>371</c:v>
                </c:pt>
                <c:pt idx="186">
                  <c:v>373</c:v>
                </c:pt>
                <c:pt idx="187">
                  <c:v>375</c:v>
                </c:pt>
                <c:pt idx="188">
                  <c:v>377</c:v>
                </c:pt>
                <c:pt idx="189">
                  <c:v>379</c:v>
                </c:pt>
                <c:pt idx="190">
                  <c:v>381</c:v>
                </c:pt>
                <c:pt idx="191">
                  <c:v>383</c:v>
                </c:pt>
                <c:pt idx="192">
                  <c:v>385</c:v>
                </c:pt>
                <c:pt idx="193">
                  <c:v>387</c:v>
                </c:pt>
                <c:pt idx="194">
                  <c:v>389</c:v>
                </c:pt>
                <c:pt idx="195">
                  <c:v>391</c:v>
                </c:pt>
                <c:pt idx="196">
                  <c:v>393</c:v>
                </c:pt>
                <c:pt idx="197">
                  <c:v>395</c:v>
                </c:pt>
                <c:pt idx="198">
                  <c:v>397</c:v>
                </c:pt>
                <c:pt idx="199">
                  <c:v>399</c:v>
                </c:pt>
                <c:pt idx="200">
                  <c:v>401</c:v>
                </c:pt>
                <c:pt idx="201">
                  <c:v>403</c:v>
                </c:pt>
                <c:pt idx="202">
                  <c:v>405</c:v>
                </c:pt>
                <c:pt idx="203">
                  <c:v>407</c:v>
                </c:pt>
                <c:pt idx="204">
                  <c:v>409</c:v>
                </c:pt>
                <c:pt idx="205">
                  <c:v>411</c:v>
                </c:pt>
                <c:pt idx="206">
                  <c:v>413</c:v>
                </c:pt>
                <c:pt idx="207">
                  <c:v>415</c:v>
                </c:pt>
                <c:pt idx="208">
                  <c:v>417</c:v>
                </c:pt>
                <c:pt idx="209">
                  <c:v>419</c:v>
                </c:pt>
                <c:pt idx="210">
                  <c:v>421</c:v>
                </c:pt>
                <c:pt idx="211">
                  <c:v>423</c:v>
                </c:pt>
                <c:pt idx="212">
                  <c:v>425</c:v>
                </c:pt>
                <c:pt idx="213">
                  <c:v>427</c:v>
                </c:pt>
                <c:pt idx="214">
                  <c:v>429</c:v>
                </c:pt>
                <c:pt idx="215">
                  <c:v>431</c:v>
                </c:pt>
                <c:pt idx="216">
                  <c:v>433</c:v>
                </c:pt>
                <c:pt idx="217">
                  <c:v>435</c:v>
                </c:pt>
                <c:pt idx="218">
                  <c:v>437</c:v>
                </c:pt>
                <c:pt idx="219">
                  <c:v>439</c:v>
                </c:pt>
                <c:pt idx="220">
                  <c:v>441</c:v>
                </c:pt>
                <c:pt idx="221">
                  <c:v>443</c:v>
                </c:pt>
                <c:pt idx="222">
                  <c:v>445</c:v>
                </c:pt>
                <c:pt idx="223">
                  <c:v>447</c:v>
                </c:pt>
                <c:pt idx="224">
                  <c:v>449</c:v>
                </c:pt>
                <c:pt idx="225">
                  <c:v>451</c:v>
                </c:pt>
                <c:pt idx="226">
                  <c:v>453</c:v>
                </c:pt>
                <c:pt idx="227">
                  <c:v>455</c:v>
                </c:pt>
                <c:pt idx="228">
                  <c:v>457</c:v>
                </c:pt>
                <c:pt idx="229">
                  <c:v>459</c:v>
                </c:pt>
                <c:pt idx="230">
                  <c:v>461</c:v>
                </c:pt>
                <c:pt idx="231">
                  <c:v>463</c:v>
                </c:pt>
                <c:pt idx="232">
                  <c:v>465</c:v>
                </c:pt>
                <c:pt idx="233">
                  <c:v>467</c:v>
                </c:pt>
                <c:pt idx="234">
                  <c:v>469</c:v>
                </c:pt>
                <c:pt idx="235">
                  <c:v>471</c:v>
                </c:pt>
                <c:pt idx="236">
                  <c:v>473</c:v>
                </c:pt>
                <c:pt idx="237">
                  <c:v>475</c:v>
                </c:pt>
                <c:pt idx="238">
                  <c:v>477</c:v>
                </c:pt>
                <c:pt idx="239">
                  <c:v>479</c:v>
                </c:pt>
                <c:pt idx="240">
                  <c:v>481</c:v>
                </c:pt>
                <c:pt idx="241">
                  <c:v>483</c:v>
                </c:pt>
                <c:pt idx="242">
                  <c:v>485</c:v>
                </c:pt>
                <c:pt idx="243">
                  <c:v>487</c:v>
                </c:pt>
                <c:pt idx="244">
                  <c:v>489</c:v>
                </c:pt>
                <c:pt idx="245">
                  <c:v>491</c:v>
                </c:pt>
                <c:pt idx="246">
                  <c:v>493</c:v>
                </c:pt>
                <c:pt idx="247">
                  <c:v>495</c:v>
                </c:pt>
                <c:pt idx="248">
                  <c:v>497</c:v>
                </c:pt>
                <c:pt idx="249">
                  <c:v>499</c:v>
                </c:pt>
                <c:pt idx="250">
                  <c:v>501</c:v>
                </c:pt>
                <c:pt idx="251">
                  <c:v>503</c:v>
                </c:pt>
                <c:pt idx="252">
                  <c:v>505</c:v>
                </c:pt>
                <c:pt idx="253">
                  <c:v>507</c:v>
                </c:pt>
                <c:pt idx="254">
                  <c:v>509</c:v>
                </c:pt>
                <c:pt idx="255">
                  <c:v>511</c:v>
                </c:pt>
                <c:pt idx="256">
                  <c:v>513</c:v>
                </c:pt>
                <c:pt idx="257">
                  <c:v>515</c:v>
                </c:pt>
                <c:pt idx="258">
                  <c:v>517</c:v>
                </c:pt>
                <c:pt idx="259">
                  <c:v>519</c:v>
                </c:pt>
                <c:pt idx="260">
                  <c:v>521</c:v>
                </c:pt>
                <c:pt idx="261">
                  <c:v>523</c:v>
                </c:pt>
                <c:pt idx="262">
                  <c:v>525</c:v>
                </c:pt>
                <c:pt idx="263">
                  <c:v>527</c:v>
                </c:pt>
                <c:pt idx="264">
                  <c:v>529</c:v>
                </c:pt>
                <c:pt idx="265">
                  <c:v>531</c:v>
                </c:pt>
                <c:pt idx="266">
                  <c:v>533</c:v>
                </c:pt>
                <c:pt idx="267">
                  <c:v>535</c:v>
                </c:pt>
                <c:pt idx="268">
                  <c:v>537</c:v>
                </c:pt>
                <c:pt idx="269">
                  <c:v>539</c:v>
                </c:pt>
                <c:pt idx="270">
                  <c:v>541</c:v>
                </c:pt>
                <c:pt idx="271">
                  <c:v>543</c:v>
                </c:pt>
                <c:pt idx="272">
                  <c:v>545</c:v>
                </c:pt>
                <c:pt idx="273">
                  <c:v>547</c:v>
                </c:pt>
                <c:pt idx="274">
                  <c:v>549</c:v>
                </c:pt>
                <c:pt idx="275">
                  <c:v>551</c:v>
                </c:pt>
                <c:pt idx="276">
                  <c:v>553</c:v>
                </c:pt>
                <c:pt idx="277">
                  <c:v>555</c:v>
                </c:pt>
                <c:pt idx="278">
                  <c:v>557</c:v>
                </c:pt>
                <c:pt idx="279">
                  <c:v>559</c:v>
                </c:pt>
                <c:pt idx="280">
                  <c:v>561</c:v>
                </c:pt>
                <c:pt idx="281">
                  <c:v>563</c:v>
                </c:pt>
                <c:pt idx="282">
                  <c:v>565</c:v>
                </c:pt>
                <c:pt idx="283">
                  <c:v>567</c:v>
                </c:pt>
                <c:pt idx="284">
                  <c:v>569</c:v>
                </c:pt>
                <c:pt idx="285">
                  <c:v>571</c:v>
                </c:pt>
                <c:pt idx="286">
                  <c:v>573</c:v>
                </c:pt>
                <c:pt idx="287">
                  <c:v>575</c:v>
                </c:pt>
                <c:pt idx="288">
                  <c:v>577</c:v>
                </c:pt>
                <c:pt idx="289">
                  <c:v>579</c:v>
                </c:pt>
                <c:pt idx="290">
                  <c:v>581</c:v>
                </c:pt>
                <c:pt idx="291">
                  <c:v>583</c:v>
                </c:pt>
                <c:pt idx="292">
                  <c:v>585</c:v>
                </c:pt>
                <c:pt idx="293">
                  <c:v>587</c:v>
                </c:pt>
                <c:pt idx="294">
                  <c:v>589</c:v>
                </c:pt>
                <c:pt idx="295">
                  <c:v>591</c:v>
                </c:pt>
                <c:pt idx="296">
                  <c:v>593</c:v>
                </c:pt>
                <c:pt idx="297">
                  <c:v>595</c:v>
                </c:pt>
                <c:pt idx="298">
                  <c:v>597</c:v>
                </c:pt>
                <c:pt idx="299">
                  <c:v>599</c:v>
                </c:pt>
                <c:pt idx="300">
                  <c:v>601</c:v>
                </c:pt>
                <c:pt idx="301">
                  <c:v>603</c:v>
                </c:pt>
                <c:pt idx="302">
                  <c:v>605</c:v>
                </c:pt>
                <c:pt idx="303">
                  <c:v>607</c:v>
                </c:pt>
                <c:pt idx="304">
                  <c:v>609</c:v>
                </c:pt>
                <c:pt idx="305">
                  <c:v>611</c:v>
                </c:pt>
                <c:pt idx="306">
                  <c:v>613</c:v>
                </c:pt>
                <c:pt idx="307">
                  <c:v>615</c:v>
                </c:pt>
                <c:pt idx="308">
                  <c:v>617</c:v>
                </c:pt>
                <c:pt idx="309">
                  <c:v>619</c:v>
                </c:pt>
                <c:pt idx="310">
                  <c:v>621</c:v>
                </c:pt>
                <c:pt idx="311">
                  <c:v>623</c:v>
                </c:pt>
                <c:pt idx="312">
                  <c:v>625</c:v>
                </c:pt>
                <c:pt idx="313">
                  <c:v>627</c:v>
                </c:pt>
                <c:pt idx="314">
                  <c:v>629</c:v>
                </c:pt>
                <c:pt idx="315">
                  <c:v>631</c:v>
                </c:pt>
                <c:pt idx="316">
                  <c:v>633</c:v>
                </c:pt>
                <c:pt idx="317">
                  <c:v>635</c:v>
                </c:pt>
                <c:pt idx="318">
                  <c:v>637</c:v>
                </c:pt>
                <c:pt idx="319">
                  <c:v>639</c:v>
                </c:pt>
                <c:pt idx="320">
                  <c:v>641</c:v>
                </c:pt>
                <c:pt idx="321">
                  <c:v>643</c:v>
                </c:pt>
                <c:pt idx="322">
                  <c:v>645</c:v>
                </c:pt>
                <c:pt idx="323">
                  <c:v>647</c:v>
                </c:pt>
                <c:pt idx="324">
                  <c:v>649</c:v>
                </c:pt>
                <c:pt idx="325">
                  <c:v>651</c:v>
                </c:pt>
                <c:pt idx="326">
                  <c:v>653</c:v>
                </c:pt>
                <c:pt idx="327">
                  <c:v>655</c:v>
                </c:pt>
                <c:pt idx="328">
                  <c:v>657</c:v>
                </c:pt>
                <c:pt idx="329">
                  <c:v>659</c:v>
                </c:pt>
                <c:pt idx="330">
                  <c:v>661</c:v>
                </c:pt>
                <c:pt idx="331">
                  <c:v>663</c:v>
                </c:pt>
                <c:pt idx="332">
                  <c:v>665</c:v>
                </c:pt>
                <c:pt idx="333">
                  <c:v>667</c:v>
                </c:pt>
                <c:pt idx="334">
                  <c:v>669</c:v>
                </c:pt>
                <c:pt idx="335">
                  <c:v>671</c:v>
                </c:pt>
                <c:pt idx="336">
                  <c:v>673</c:v>
                </c:pt>
                <c:pt idx="337">
                  <c:v>675</c:v>
                </c:pt>
                <c:pt idx="338">
                  <c:v>677</c:v>
                </c:pt>
                <c:pt idx="339">
                  <c:v>679</c:v>
                </c:pt>
                <c:pt idx="340">
                  <c:v>681</c:v>
                </c:pt>
                <c:pt idx="341">
                  <c:v>683</c:v>
                </c:pt>
                <c:pt idx="342">
                  <c:v>685</c:v>
                </c:pt>
                <c:pt idx="343">
                  <c:v>687</c:v>
                </c:pt>
                <c:pt idx="344">
                  <c:v>689</c:v>
                </c:pt>
                <c:pt idx="345">
                  <c:v>691</c:v>
                </c:pt>
                <c:pt idx="346">
                  <c:v>693</c:v>
                </c:pt>
                <c:pt idx="347">
                  <c:v>695</c:v>
                </c:pt>
                <c:pt idx="348">
                  <c:v>697</c:v>
                </c:pt>
                <c:pt idx="349">
                  <c:v>699</c:v>
                </c:pt>
                <c:pt idx="350">
                  <c:v>701</c:v>
                </c:pt>
                <c:pt idx="351">
                  <c:v>703</c:v>
                </c:pt>
                <c:pt idx="352">
                  <c:v>705</c:v>
                </c:pt>
                <c:pt idx="353">
                  <c:v>707</c:v>
                </c:pt>
                <c:pt idx="354">
                  <c:v>709</c:v>
                </c:pt>
                <c:pt idx="355">
                  <c:v>711</c:v>
                </c:pt>
                <c:pt idx="356">
                  <c:v>713</c:v>
                </c:pt>
                <c:pt idx="357">
                  <c:v>715</c:v>
                </c:pt>
                <c:pt idx="358">
                  <c:v>717</c:v>
                </c:pt>
                <c:pt idx="359">
                  <c:v>719</c:v>
                </c:pt>
                <c:pt idx="360">
                  <c:v>721</c:v>
                </c:pt>
                <c:pt idx="361">
                  <c:v>723</c:v>
                </c:pt>
                <c:pt idx="362">
                  <c:v>725</c:v>
                </c:pt>
                <c:pt idx="363">
                  <c:v>727</c:v>
                </c:pt>
                <c:pt idx="364">
                  <c:v>729</c:v>
                </c:pt>
                <c:pt idx="365">
                  <c:v>731</c:v>
                </c:pt>
                <c:pt idx="366">
                  <c:v>733</c:v>
                </c:pt>
                <c:pt idx="367">
                  <c:v>735</c:v>
                </c:pt>
                <c:pt idx="368">
                  <c:v>737</c:v>
                </c:pt>
                <c:pt idx="369">
                  <c:v>739</c:v>
                </c:pt>
                <c:pt idx="370">
                  <c:v>741</c:v>
                </c:pt>
                <c:pt idx="371">
                  <c:v>743</c:v>
                </c:pt>
                <c:pt idx="372">
                  <c:v>745</c:v>
                </c:pt>
                <c:pt idx="373">
                  <c:v>747</c:v>
                </c:pt>
                <c:pt idx="374">
                  <c:v>749</c:v>
                </c:pt>
                <c:pt idx="375">
                  <c:v>751</c:v>
                </c:pt>
                <c:pt idx="376">
                  <c:v>753</c:v>
                </c:pt>
                <c:pt idx="377">
                  <c:v>755</c:v>
                </c:pt>
                <c:pt idx="378">
                  <c:v>757</c:v>
                </c:pt>
                <c:pt idx="379">
                  <c:v>759</c:v>
                </c:pt>
                <c:pt idx="380">
                  <c:v>761</c:v>
                </c:pt>
                <c:pt idx="381">
                  <c:v>763</c:v>
                </c:pt>
                <c:pt idx="382">
                  <c:v>765</c:v>
                </c:pt>
                <c:pt idx="383">
                  <c:v>767</c:v>
                </c:pt>
                <c:pt idx="384">
                  <c:v>769</c:v>
                </c:pt>
                <c:pt idx="385">
                  <c:v>771</c:v>
                </c:pt>
                <c:pt idx="386">
                  <c:v>773</c:v>
                </c:pt>
                <c:pt idx="387">
                  <c:v>775</c:v>
                </c:pt>
                <c:pt idx="388">
                  <c:v>777</c:v>
                </c:pt>
                <c:pt idx="389">
                  <c:v>779</c:v>
                </c:pt>
                <c:pt idx="390">
                  <c:v>781</c:v>
                </c:pt>
                <c:pt idx="391">
                  <c:v>783</c:v>
                </c:pt>
                <c:pt idx="392">
                  <c:v>785</c:v>
                </c:pt>
                <c:pt idx="393">
                  <c:v>787</c:v>
                </c:pt>
                <c:pt idx="394">
                  <c:v>789</c:v>
                </c:pt>
                <c:pt idx="395">
                  <c:v>791</c:v>
                </c:pt>
                <c:pt idx="396">
                  <c:v>793</c:v>
                </c:pt>
                <c:pt idx="397">
                  <c:v>795</c:v>
                </c:pt>
                <c:pt idx="398">
                  <c:v>797</c:v>
                </c:pt>
                <c:pt idx="399">
                  <c:v>799</c:v>
                </c:pt>
                <c:pt idx="400">
                  <c:v>801</c:v>
                </c:pt>
                <c:pt idx="401">
                  <c:v>803</c:v>
                </c:pt>
                <c:pt idx="402">
                  <c:v>805</c:v>
                </c:pt>
                <c:pt idx="403">
                  <c:v>807</c:v>
                </c:pt>
                <c:pt idx="404">
                  <c:v>809</c:v>
                </c:pt>
                <c:pt idx="405">
                  <c:v>811</c:v>
                </c:pt>
                <c:pt idx="406">
                  <c:v>813</c:v>
                </c:pt>
                <c:pt idx="407">
                  <c:v>815</c:v>
                </c:pt>
                <c:pt idx="408">
                  <c:v>817</c:v>
                </c:pt>
                <c:pt idx="409">
                  <c:v>819</c:v>
                </c:pt>
                <c:pt idx="410">
                  <c:v>821</c:v>
                </c:pt>
                <c:pt idx="411">
                  <c:v>823</c:v>
                </c:pt>
                <c:pt idx="412">
                  <c:v>825</c:v>
                </c:pt>
                <c:pt idx="413">
                  <c:v>827</c:v>
                </c:pt>
                <c:pt idx="414">
                  <c:v>829</c:v>
                </c:pt>
                <c:pt idx="415">
                  <c:v>831</c:v>
                </c:pt>
                <c:pt idx="416">
                  <c:v>833</c:v>
                </c:pt>
                <c:pt idx="417">
                  <c:v>835</c:v>
                </c:pt>
                <c:pt idx="418">
                  <c:v>837</c:v>
                </c:pt>
                <c:pt idx="419">
                  <c:v>839</c:v>
                </c:pt>
                <c:pt idx="420">
                  <c:v>841</c:v>
                </c:pt>
                <c:pt idx="421">
                  <c:v>843</c:v>
                </c:pt>
                <c:pt idx="422">
                  <c:v>845</c:v>
                </c:pt>
                <c:pt idx="423">
                  <c:v>847</c:v>
                </c:pt>
                <c:pt idx="424">
                  <c:v>849</c:v>
                </c:pt>
                <c:pt idx="425">
                  <c:v>851</c:v>
                </c:pt>
                <c:pt idx="426">
                  <c:v>853</c:v>
                </c:pt>
                <c:pt idx="427">
                  <c:v>855</c:v>
                </c:pt>
                <c:pt idx="428">
                  <c:v>857</c:v>
                </c:pt>
                <c:pt idx="429">
                  <c:v>859</c:v>
                </c:pt>
                <c:pt idx="430">
                  <c:v>861</c:v>
                </c:pt>
                <c:pt idx="431">
                  <c:v>863</c:v>
                </c:pt>
                <c:pt idx="432">
                  <c:v>865</c:v>
                </c:pt>
                <c:pt idx="433">
                  <c:v>867</c:v>
                </c:pt>
                <c:pt idx="434">
                  <c:v>869</c:v>
                </c:pt>
                <c:pt idx="435">
                  <c:v>871</c:v>
                </c:pt>
                <c:pt idx="436">
                  <c:v>873</c:v>
                </c:pt>
                <c:pt idx="437">
                  <c:v>875</c:v>
                </c:pt>
                <c:pt idx="438">
                  <c:v>877</c:v>
                </c:pt>
                <c:pt idx="439">
                  <c:v>879</c:v>
                </c:pt>
                <c:pt idx="440">
                  <c:v>881</c:v>
                </c:pt>
                <c:pt idx="441">
                  <c:v>883</c:v>
                </c:pt>
                <c:pt idx="442">
                  <c:v>885</c:v>
                </c:pt>
                <c:pt idx="443">
                  <c:v>887</c:v>
                </c:pt>
                <c:pt idx="444">
                  <c:v>889</c:v>
                </c:pt>
                <c:pt idx="445">
                  <c:v>891</c:v>
                </c:pt>
                <c:pt idx="446">
                  <c:v>893</c:v>
                </c:pt>
                <c:pt idx="447">
                  <c:v>895</c:v>
                </c:pt>
                <c:pt idx="448">
                  <c:v>897</c:v>
                </c:pt>
                <c:pt idx="449">
                  <c:v>899</c:v>
                </c:pt>
                <c:pt idx="450">
                  <c:v>901</c:v>
                </c:pt>
                <c:pt idx="451">
                  <c:v>903</c:v>
                </c:pt>
                <c:pt idx="452">
                  <c:v>905</c:v>
                </c:pt>
                <c:pt idx="453">
                  <c:v>907</c:v>
                </c:pt>
                <c:pt idx="454">
                  <c:v>909</c:v>
                </c:pt>
                <c:pt idx="455">
                  <c:v>911</c:v>
                </c:pt>
                <c:pt idx="456">
                  <c:v>913</c:v>
                </c:pt>
                <c:pt idx="457">
                  <c:v>915</c:v>
                </c:pt>
                <c:pt idx="458">
                  <c:v>917</c:v>
                </c:pt>
                <c:pt idx="459">
                  <c:v>919</c:v>
                </c:pt>
                <c:pt idx="460">
                  <c:v>921</c:v>
                </c:pt>
                <c:pt idx="461">
                  <c:v>923</c:v>
                </c:pt>
                <c:pt idx="462">
                  <c:v>925</c:v>
                </c:pt>
                <c:pt idx="463">
                  <c:v>927</c:v>
                </c:pt>
                <c:pt idx="464">
                  <c:v>929</c:v>
                </c:pt>
                <c:pt idx="465">
                  <c:v>931</c:v>
                </c:pt>
                <c:pt idx="466">
                  <c:v>933</c:v>
                </c:pt>
                <c:pt idx="467">
                  <c:v>935</c:v>
                </c:pt>
                <c:pt idx="468">
                  <c:v>937</c:v>
                </c:pt>
                <c:pt idx="469">
                  <c:v>939</c:v>
                </c:pt>
                <c:pt idx="470">
                  <c:v>941</c:v>
                </c:pt>
                <c:pt idx="471">
                  <c:v>943</c:v>
                </c:pt>
                <c:pt idx="472">
                  <c:v>945</c:v>
                </c:pt>
                <c:pt idx="473">
                  <c:v>947</c:v>
                </c:pt>
                <c:pt idx="474">
                  <c:v>949</c:v>
                </c:pt>
                <c:pt idx="475">
                  <c:v>951</c:v>
                </c:pt>
                <c:pt idx="476">
                  <c:v>953</c:v>
                </c:pt>
                <c:pt idx="477">
                  <c:v>955</c:v>
                </c:pt>
                <c:pt idx="478">
                  <c:v>957</c:v>
                </c:pt>
                <c:pt idx="479">
                  <c:v>959</c:v>
                </c:pt>
                <c:pt idx="480">
                  <c:v>961</c:v>
                </c:pt>
                <c:pt idx="481">
                  <c:v>963</c:v>
                </c:pt>
                <c:pt idx="482">
                  <c:v>965</c:v>
                </c:pt>
                <c:pt idx="483">
                  <c:v>967</c:v>
                </c:pt>
                <c:pt idx="484">
                  <c:v>969</c:v>
                </c:pt>
                <c:pt idx="485">
                  <c:v>971</c:v>
                </c:pt>
                <c:pt idx="486">
                  <c:v>973</c:v>
                </c:pt>
                <c:pt idx="487">
                  <c:v>975</c:v>
                </c:pt>
                <c:pt idx="488">
                  <c:v>977</c:v>
                </c:pt>
                <c:pt idx="489">
                  <c:v>979</c:v>
                </c:pt>
                <c:pt idx="490">
                  <c:v>981</c:v>
                </c:pt>
                <c:pt idx="491">
                  <c:v>983</c:v>
                </c:pt>
                <c:pt idx="492">
                  <c:v>985</c:v>
                </c:pt>
                <c:pt idx="493">
                  <c:v>987</c:v>
                </c:pt>
                <c:pt idx="494">
                  <c:v>989</c:v>
                </c:pt>
                <c:pt idx="495">
                  <c:v>991</c:v>
                </c:pt>
                <c:pt idx="496">
                  <c:v>993</c:v>
                </c:pt>
                <c:pt idx="497">
                  <c:v>995</c:v>
                </c:pt>
                <c:pt idx="498">
                  <c:v>997</c:v>
                </c:pt>
                <c:pt idx="499">
                  <c:v>999</c:v>
                </c:pt>
                <c:pt idx="500">
                  <c:v>1001</c:v>
                </c:pt>
                <c:pt idx="501">
                  <c:v>1003</c:v>
                </c:pt>
                <c:pt idx="502">
                  <c:v>1005</c:v>
                </c:pt>
                <c:pt idx="503">
                  <c:v>1007</c:v>
                </c:pt>
                <c:pt idx="504">
                  <c:v>1009</c:v>
                </c:pt>
                <c:pt idx="505">
                  <c:v>1011</c:v>
                </c:pt>
                <c:pt idx="506">
                  <c:v>1013</c:v>
                </c:pt>
                <c:pt idx="507">
                  <c:v>1015</c:v>
                </c:pt>
                <c:pt idx="508">
                  <c:v>1017</c:v>
                </c:pt>
                <c:pt idx="509">
                  <c:v>1019</c:v>
                </c:pt>
                <c:pt idx="510">
                  <c:v>1021</c:v>
                </c:pt>
                <c:pt idx="511">
                  <c:v>1023</c:v>
                </c:pt>
                <c:pt idx="512">
                  <c:v>1025</c:v>
                </c:pt>
                <c:pt idx="513">
                  <c:v>1027</c:v>
                </c:pt>
                <c:pt idx="514">
                  <c:v>1029</c:v>
                </c:pt>
                <c:pt idx="515">
                  <c:v>1031</c:v>
                </c:pt>
                <c:pt idx="516">
                  <c:v>1033</c:v>
                </c:pt>
                <c:pt idx="517">
                  <c:v>1035</c:v>
                </c:pt>
                <c:pt idx="518">
                  <c:v>1037</c:v>
                </c:pt>
                <c:pt idx="519">
                  <c:v>1039</c:v>
                </c:pt>
                <c:pt idx="520">
                  <c:v>1041</c:v>
                </c:pt>
                <c:pt idx="521">
                  <c:v>1043</c:v>
                </c:pt>
                <c:pt idx="522">
                  <c:v>1045</c:v>
                </c:pt>
                <c:pt idx="523">
                  <c:v>1047</c:v>
                </c:pt>
                <c:pt idx="524">
                  <c:v>1049</c:v>
                </c:pt>
                <c:pt idx="525">
                  <c:v>1051</c:v>
                </c:pt>
                <c:pt idx="526">
                  <c:v>1053</c:v>
                </c:pt>
                <c:pt idx="527">
                  <c:v>1055</c:v>
                </c:pt>
                <c:pt idx="528">
                  <c:v>1057</c:v>
                </c:pt>
                <c:pt idx="529">
                  <c:v>1059</c:v>
                </c:pt>
                <c:pt idx="530">
                  <c:v>1061</c:v>
                </c:pt>
                <c:pt idx="531">
                  <c:v>1063</c:v>
                </c:pt>
                <c:pt idx="532">
                  <c:v>1065</c:v>
                </c:pt>
                <c:pt idx="533">
                  <c:v>1067</c:v>
                </c:pt>
                <c:pt idx="534">
                  <c:v>1069</c:v>
                </c:pt>
                <c:pt idx="535">
                  <c:v>1071</c:v>
                </c:pt>
                <c:pt idx="536">
                  <c:v>1073</c:v>
                </c:pt>
                <c:pt idx="537">
                  <c:v>1075</c:v>
                </c:pt>
                <c:pt idx="538">
                  <c:v>1077</c:v>
                </c:pt>
                <c:pt idx="539">
                  <c:v>1079</c:v>
                </c:pt>
                <c:pt idx="540">
                  <c:v>1081</c:v>
                </c:pt>
                <c:pt idx="541">
                  <c:v>1083</c:v>
                </c:pt>
                <c:pt idx="542">
                  <c:v>1085</c:v>
                </c:pt>
                <c:pt idx="543">
                  <c:v>1087</c:v>
                </c:pt>
                <c:pt idx="544">
                  <c:v>1089</c:v>
                </c:pt>
                <c:pt idx="545">
                  <c:v>1091</c:v>
                </c:pt>
                <c:pt idx="546">
                  <c:v>1093</c:v>
                </c:pt>
                <c:pt idx="547">
                  <c:v>1095</c:v>
                </c:pt>
                <c:pt idx="548">
                  <c:v>1097</c:v>
                </c:pt>
                <c:pt idx="549">
                  <c:v>1099</c:v>
                </c:pt>
                <c:pt idx="550">
                  <c:v>1101</c:v>
                </c:pt>
                <c:pt idx="551">
                  <c:v>1103</c:v>
                </c:pt>
                <c:pt idx="552">
                  <c:v>1105</c:v>
                </c:pt>
                <c:pt idx="553">
                  <c:v>1107</c:v>
                </c:pt>
                <c:pt idx="554">
                  <c:v>1109</c:v>
                </c:pt>
                <c:pt idx="555">
                  <c:v>1111</c:v>
                </c:pt>
                <c:pt idx="556">
                  <c:v>1113</c:v>
                </c:pt>
                <c:pt idx="557">
                  <c:v>1115</c:v>
                </c:pt>
                <c:pt idx="558">
                  <c:v>1117</c:v>
                </c:pt>
                <c:pt idx="559">
                  <c:v>1119</c:v>
                </c:pt>
                <c:pt idx="560">
                  <c:v>1121</c:v>
                </c:pt>
                <c:pt idx="561">
                  <c:v>1123</c:v>
                </c:pt>
                <c:pt idx="562">
                  <c:v>1125</c:v>
                </c:pt>
                <c:pt idx="563">
                  <c:v>1127</c:v>
                </c:pt>
                <c:pt idx="564">
                  <c:v>1129</c:v>
                </c:pt>
                <c:pt idx="565">
                  <c:v>1131</c:v>
                </c:pt>
                <c:pt idx="566">
                  <c:v>1133</c:v>
                </c:pt>
                <c:pt idx="567">
                  <c:v>1135</c:v>
                </c:pt>
                <c:pt idx="568">
                  <c:v>1137</c:v>
                </c:pt>
                <c:pt idx="569">
                  <c:v>1139</c:v>
                </c:pt>
                <c:pt idx="570">
                  <c:v>1141</c:v>
                </c:pt>
                <c:pt idx="571">
                  <c:v>1143</c:v>
                </c:pt>
                <c:pt idx="572">
                  <c:v>1145</c:v>
                </c:pt>
                <c:pt idx="573">
                  <c:v>1147</c:v>
                </c:pt>
                <c:pt idx="574">
                  <c:v>1149</c:v>
                </c:pt>
                <c:pt idx="575">
                  <c:v>1151</c:v>
                </c:pt>
                <c:pt idx="576">
                  <c:v>1153</c:v>
                </c:pt>
                <c:pt idx="577">
                  <c:v>1155</c:v>
                </c:pt>
                <c:pt idx="578">
                  <c:v>1157</c:v>
                </c:pt>
                <c:pt idx="579">
                  <c:v>1159</c:v>
                </c:pt>
                <c:pt idx="580">
                  <c:v>1161</c:v>
                </c:pt>
                <c:pt idx="581">
                  <c:v>1163</c:v>
                </c:pt>
                <c:pt idx="582">
                  <c:v>1165</c:v>
                </c:pt>
                <c:pt idx="583">
                  <c:v>1167</c:v>
                </c:pt>
                <c:pt idx="584">
                  <c:v>1169</c:v>
                </c:pt>
                <c:pt idx="585">
                  <c:v>1171</c:v>
                </c:pt>
                <c:pt idx="586">
                  <c:v>1173</c:v>
                </c:pt>
                <c:pt idx="587">
                  <c:v>1175</c:v>
                </c:pt>
                <c:pt idx="588">
                  <c:v>1177</c:v>
                </c:pt>
                <c:pt idx="589">
                  <c:v>1179</c:v>
                </c:pt>
                <c:pt idx="590">
                  <c:v>1181</c:v>
                </c:pt>
                <c:pt idx="591">
                  <c:v>1183</c:v>
                </c:pt>
                <c:pt idx="592">
                  <c:v>1185</c:v>
                </c:pt>
                <c:pt idx="593">
                  <c:v>1187</c:v>
                </c:pt>
                <c:pt idx="594">
                  <c:v>1189</c:v>
                </c:pt>
                <c:pt idx="595">
                  <c:v>1191</c:v>
                </c:pt>
                <c:pt idx="596">
                  <c:v>1193</c:v>
                </c:pt>
                <c:pt idx="597">
                  <c:v>1195</c:v>
                </c:pt>
                <c:pt idx="598">
                  <c:v>1197</c:v>
                </c:pt>
                <c:pt idx="599">
                  <c:v>1199</c:v>
                </c:pt>
                <c:pt idx="600">
                  <c:v>1201</c:v>
                </c:pt>
                <c:pt idx="601">
                  <c:v>1203</c:v>
                </c:pt>
                <c:pt idx="602">
                  <c:v>1205</c:v>
                </c:pt>
                <c:pt idx="603">
                  <c:v>1207</c:v>
                </c:pt>
                <c:pt idx="604">
                  <c:v>1209</c:v>
                </c:pt>
                <c:pt idx="605">
                  <c:v>1211</c:v>
                </c:pt>
                <c:pt idx="606">
                  <c:v>1213</c:v>
                </c:pt>
                <c:pt idx="607">
                  <c:v>1215</c:v>
                </c:pt>
                <c:pt idx="608">
                  <c:v>1217</c:v>
                </c:pt>
                <c:pt idx="609">
                  <c:v>1219</c:v>
                </c:pt>
                <c:pt idx="610">
                  <c:v>1221</c:v>
                </c:pt>
                <c:pt idx="611">
                  <c:v>1223</c:v>
                </c:pt>
                <c:pt idx="612">
                  <c:v>1225</c:v>
                </c:pt>
                <c:pt idx="613">
                  <c:v>1227</c:v>
                </c:pt>
                <c:pt idx="614">
                  <c:v>1229</c:v>
                </c:pt>
                <c:pt idx="615">
                  <c:v>1231</c:v>
                </c:pt>
                <c:pt idx="616">
                  <c:v>1233</c:v>
                </c:pt>
                <c:pt idx="617">
                  <c:v>1235</c:v>
                </c:pt>
                <c:pt idx="618">
                  <c:v>1237</c:v>
                </c:pt>
                <c:pt idx="619">
                  <c:v>1239</c:v>
                </c:pt>
                <c:pt idx="620">
                  <c:v>1241</c:v>
                </c:pt>
                <c:pt idx="621">
                  <c:v>1243</c:v>
                </c:pt>
                <c:pt idx="622">
                  <c:v>1245</c:v>
                </c:pt>
                <c:pt idx="623">
                  <c:v>1247</c:v>
                </c:pt>
                <c:pt idx="624">
                  <c:v>1249</c:v>
                </c:pt>
                <c:pt idx="625">
                  <c:v>1251</c:v>
                </c:pt>
                <c:pt idx="626">
                  <c:v>1253</c:v>
                </c:pt>
                <c:pt idx="627">
                  <c:v>1255</c:v>
                </c:pt>
                <c:pt idx="628">
                  <c:v>1257</c:v>
                </c:pt>
                <c:pt idx="629">
                  <c:v>1259</c:v>
                </c:pt>
                <c:pt idx="630">
                  <c:v>1261</c:v>
                </c:pt>
                <c:pt idx="631">
                  <c:v>1263</c:v>
                </c:pt>
                <c:pt idx="632">
                  <c:v>1265</c:v>
                </c:pt>
                <c:pt idx="633">
                  <c:v>1267</c:v>
                </c:pt>
                <c:pt idx="634">
                  <c:v>1269</c:v>
                </c:pt>
                <c:pt idx="635">
                  <c:v>1271</c:v>
                </c:pt>
                <c:pt idx="636">
                  <c:v>1273</c:v>
                </c:pt>
                <c:pt idx="637">
                  <c:v>1275</c:v>
                </c:pt>
                <c:pt idx="638">
                  <c:v>1277</c:v>
                </c:pt>
                <c:pt idx="639">
                  <c:v>1279</c:v>
                </c:pt>
                <c:pt idx="640">
                  <c:v>1281</c:v>
                </c:pt>
                <c:pt idx="641">
                  <c:v>1283</c:v>
                </c:pt>
                <c:pt idx="642">
                  <c:v>1285</c:v>
                </c:pt>
                <c:pt idx="643">
                  <c:v>1287</c:v>
                </c:pt>
                <c:pt idx="644">
                  <c:v>1289</c:v>
                </c:pt>
                <c:pt idx="645">
                  <c:v>1291</c:v>
                </c:pt>
                <c:pt idx="646">
                  <c:v>1293</c:v>
                </c:pt>
                <c:pt idx="647">
                  <c:v>1295</c:v>
                </c:pt>
                <c:pt idx="648">
                  <c:v>1297</c:v>
                </c:pt>
                <c:pt idx="649">
                  <c:v>1299</c:v>
                </c:pt>
                <c:pt idx="650">
                  <c:v>1301</c:v>
                </c:pt>
                <c:pt idx="651">
                  <c:v>1303</c:v>
                </c:pt>
                <c:pt idx="652">
                  <c:v>1305</c:v>
                </c:pt>
                <c:pt idx="653">
                  <c:v>1307</c:v>
                </c:pt>
                <c:pt idx="654">
                  <c:v>1309</c:v>
                </c:pt>
                <c:pt idx="655">
                  <c:v>1311</c:v>
                </c:pt>
                <c:pt idx="656">
                  <c:v>1313</c:v>
                </c:pt>
                <c:pt idx="657">
                  <c:v>1315</c:v>
                </c:pt>
                <c:pt idx="658">
                  <c:v>1317</c:v>
                </c:pt>
                <c:pt idx="659">
                  <c:v>1319</c:v>
                </c:pt>
                <c:pt idx="660">
                  <c:v>1321</c:v>
                </c:pt>
                <c:pt idx="661">
                  <c:v>1323</c:v>
                </c:pt>
                <c:pt idx="662">
                  <c:v>1325</c:v>
                </c:pt>
                <c:pt idx="663">
                  <c:v>1327</c:v>
                </c:pt>
                <c:pt idx="664">
                  <c:v>1329</c:v>
                </c:pt>
                <c:pt idx="665">
                  <c:v>1331</c:v>
                </c:pt>
                <c:pt idx="666">
                  <c:v>1333</c:v>
                </c:pt>
                <c:pt idx="667">
                  <c:v>1335</c:v>
                </c:pt>
                <c:pt idx="668">
                  <c:v>1337</c:v>
                </c:pt>
                <c:pt idx="669">
                  <c:v>1339</c:v>
                </c:pt>
                <c:pt idx="670">
                  <c:v>1341</c:v>
                </c:pt>
                <c:pt idx="671">
                  <c:v>1343</c:v>
                </c:pt>
                <c:pt idx="672">
                  <c:v>1345</c:v>
                </c:pt>
                <c:pt idx="673">
                  <c:v>1347</c:v>
                </c:pt>
                <c:pt idx="674">
                  <c:v>1349</c:v>
                </c:pt>
                <c:pt idx="675">
                  <c:v>1351</c:v>
                </c:pt>
                <c:pt idx="676">
                  <c:v>1353</c:v>
                </c:pt>
                <c:pt idx="677">
                  <c:v>1355</c:v>
                </c:pt>
                <c:pt idx="678">
                  <c:v>1357</c:v>
                </c:pt>
              </c:numCache>
            </c:numRef>
          </c:xVal>
          <c:yVal>
            <c:numRef>
              <c:f>Data!$L$2:$L$1001</c:f>
              <c:numCache>
                <c:formatCode>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numCache>
            </c:numRef>
          </c:yVal>
          <c:smooth val="1"/>
        </c:ser>
        <c:ser>
          <c:idx val="9"/>
          <c:order val="9"/>
          <c:tx>
            <c:strRef>
              <c:f>Data!$M$1</c:f>
              <c:strCache>
                <c:ptCount val="1"/>
                <c:pt idx="0">
                  <c:v>Peak 8</c:v>
                </c:pt>
              </c:strCache>
            </c:strRef>
          </c:tx>
          <c:spPr>
            <a:ln w="12700">
              <a:solidFill>
                <a:srgbClr val="69FFFF"/>
              </a:solidFill>
              <a:prstDash val="solid"/>
            </a:ln>
          </c:spPr>
          <c:marker>
            <c:symbol val="none"/>
          </c:marker>
          <c:xVal>
            <c:numRef>
              <c:f>Data!$A$2:$A$1001</c:f>
              <c:numCache>
                <c:formatCode>0.000</c:formatCode>
                <c:ptCount val="1000"/>
                <c:pt idx="0">
                  <c:v>1</c:v>
                </c:pt>
                <c:pt idx="1">
                  <c:v>3</c:v>
                </c:pt>
                <c:pt idx="2">
                  <c:v>5</c:v>
                </c:pt>
                <c:pt idx="3">
                  <c:v>7</c:v>
                </c:pt>
                <c:pt idx="4">
                  <c:v>9</c:v>
                </c:pt>
                <c:pt idx="5">
                  <c:v>11</c:v>
                </c:pt>
                <c:pt idx="6">
                  <c:v>13</c:v>
                </c:pt>
                <c:pt idx="7">
                  <c:v>15</c:v>
                </c:pt>
                <c:pt idx="8">
                  <c:v>17</c:v>
                </c:pt>
                <c:pt idx="9">
                  <c:v>19</c:v>
                </c:pt>
                <c:pt idx="10">
                  <c:v>21</c:v>
                </c:pt>
                <c:pt idx="11">
                  <c:v>23</c:v>
                </c:pt>
                <c:pt idx="12">
                  <c:v>25</c:v>
                </c:pt>
                <c:pt idx="13">
                  <c:v>27</c:v>
                </c:pt>
                <c:pt idx="14">
                  <c:v>29</c:v>
                </c:pt>
                <c:pt idx="15">
                  <c:v>31</c:v>
                </c:pt>
                <c:pt idx="16">
                  <c:v>33</c:v>
                </c:pt>
                <c:pt idx="17">
                  <c:v>35</c:v>
                </c:pt>
                <c:pt idx="18">
                  <c:v>37</c:v>
                </c:pt>
                <c:pt idx="19">
                  <c:v>39</c:v>
                </c:pt>
                <c:pt idx="20">
                  <c:v>41</c:v>
                </c:pt>
                <c:pt idx="21">
                  <c:v>43</c:v>
                </c:pt>
                <c:pt idx="22">
                  <c:v>45</c:v>
                </c:pt>
                <c:pt idx="23">
                  <c:v>47</c:v>
                </c:pt>
                <c:pt idx="24">
                  <c:v>49</c:v>
                </c:pt>
                <c:pt idx="25">
                  <c:v>51</c:v>
                </c:pt>
                <c:pt idx="26">
                  <c:v>53</c:v>
                </c:pt>
                <c:pt idx="27">
                  <c:v>55</c:v>
                </c:pt>
                <c:pt idx="28">
                  <c:v>57</c:v>
                </c:pt>
                <c:pt idx="29">
                  <c:v>59</c:v>
                </c:pt>
                <c:pt idx="30">
                  <c:v>61</c:v>
                </c:pt>
                <c:pt idx="31">
                  <c:v>63</c:v>
                </c:pt>
                <c:pt idx="32">
                  <c:v>65</c:v>
                </c:pt>
                <c:pt idx="33">
                  <c:v>67</c:v>
                </c:pt>
                <c:pt idx="34">
                  <c:v>69</c:v>
                </c:pt>
                <c:pt idx="35">
                  <c:v>71</c:v>
                </c:pt>
                <c:pt idx="36">
                  <c:v>73</c:v>
                </c:pt>
                <c:pt idx="37">
                  <c:v>75</c:v>
                </c:pt>
                <c:pt idx="38">
                  <c:v>77</c:v>
                </c:pt>
                <c:pt idx="39">
                  <c:v>79</c:v>
                </c:pt>
                <c:pt idx="40">
                  <c:v>81</c:v>
                </c:pt>
                <c:pt idx="41">
                  <c:v>83</c:v>
                </c:pt>
                <c:pt idx="42">
                  <c:v>85</c:v>
                </c:pt>
                <c:pt idx="43">
                  <c:v>87</c:v>
                </c:pt>
                <c:pt idx="44">
                  <c:v>89</c:v>
                </c:pt>
                <c:pt idx="45">
                  <c:v>91</c:v>
                </c:pt>
                <c:pt idx="46">
                  <c:v>93</c:v>
                </c:pt>
                <c:pt idx="47">
                  <c:v>95</c:v>
                </c:pt>
                <c:pt idx="48">
                  <c:v>97</c:v>
                </c:pt>
                <c:pt idx="49">
                  <c:v>99</c:v>
                </c:pt>
                <c:pt idx="50">
                  <c:v>101</c:v>
                </c:pt>
                <c:pt idx="51">
                  <c:v>103</c:v>
                </c:pt>
                <c:pt idx="52">
                  <c:v>105</c:v>
                </c:pt>
                <c:pt idx="53">
                  <c:v>107</c:v>
                </c:pt>
                <c:pt idx="54">
                  <c:v>109</c:v>
                </c:pt>
                <c:pt idx="55">
                  <c:v>111</c:v>
                </c:pt>
                <c:pt idx="56">
                  <c:v>113</c:v>
                </c:pt>
                <c:pt idx="57">
                  <c:v>115</c:v>
                </c:pt>
                <c:pt idx="58">
                  <c:v>117</c:v>
                </c:pt>
                <c:pt idx="59">
                  <c:v>119</c:v>
                </c:pt>
                <c:pt idx="60">
                  <c:v>121</c:v>
                </c:pt>
                <c:pt idx="61">
                  <c:v>123</c:v>
                </c:pt>
                <c:pt idx="62">
                  <c:v>125</c:v>
                </c:pt>
                <c:pt idx="63">
                  <c:v>127</c:v>
                </c:pt>
                <c:pt idx="64">
                  <c:v>129</c:v>
                </c:pt>
                <c:pt idx="65">
                  <c:v>131</c:v>
                </c:pt>
                <c:pt idx="66">
                  <c:v>133</c:v>
                </c:pt>
                <c:pt idx="67">
                  <c:v>135</c:v>
                </c:pt>
                <c:pt idx="68">
                  <c:v>137</c:v>
                </c:pt>
                <c:pt idx="69">
                  <c:v>139</c:v>
                </c:pt>
                <c:pt idx="70">
                  <c:v>141</c:v>
                </c:pt>
                <c:pt idx="71">
                  <c:v>143</c:v>
                </c:pt>
                <c:pt idx="72">
                  <c:v>145</c:v>
                </c:pt>
                <c:pt idx="73">
                  <c:v>147</c:v>
                </c:pt>
                <c:pt idx="74">
                  <c:v>149</c:v>
                </c:pt>
                <c:pt idx="75">
                  <c:v>151</c:v>
                </c:pt>
                <c:pt idx="76">
                  <c:v>153</c:v>
                </c:pt>
                <c:pt idx="77">
                  <c:v>155</c:v>
                </c:pt>
                <c:pt idx="78">
                  <c:v>157</c:v>
                </c:pt>
                <c:pt idx="79">
                  <c:v>159</c:v>
                </c:pt>
                <c:pt idx="80">
                  <c:v>161</c:v>
                </c:pt>
                <c:pt idx="81">
                  <c:v>163</c:v>
                </c:pt>
                <c:pt idx="82">
                  <c:v>165</c:v>
                </c:pt>
                <c:pt idx="83">
                  <c:v>167</c:v>
                </c:pt>
                <c:pt idx="84">
                  <c:v>169</c:v>
                </c:pt>
                <c:pt idx="85">
                  <c:v>171</c:v>
                </c:pt>
                <c:pt idx="86">
                  <c:v>173</c:v>
                </c:pt>
                <c:pt idx="87">
                  <c:v>175</c:v>
                </c:pt>
                <c:pt idx="88">
                  <c:v>177</c:v>
                </c:pt>
                <c:pt idx="89">
                  <c:v>179</c:v>
                </c:pt>
                <c:pt idx="90">
                  <c:v>181</c:v>
                </c:pt>
                <c:pt idx="91">
                  <c:v>183</c:v>
                </c:pt>
                <c:pt idx="92">
                  <c:v>185</c:v>
                </c:pt>
                <c:pt idx="93">
                  <c:v>187</c:v>
                </c:pt>
                <c:pt idx="94">
                  <c:v>189</c:v>
                </c:pt>
                <c:pt idx="95">
                  <c:v>191</c:v>
                </c:pt>
                <c:pt idx="96">
                  <c:v>193</c:v>
                </c:pt>
                <c:pt idx="97">
                  <c:v>195</c:v>
                </c:pt>
                <c:pt idx="98">
                  <c:v>197</c:v>
                </c:pt>
                <c:pt idx="99">
                  <c:v>199</c:v>
                </c:pt>
                <c:pt idx="100">
                  <c:v>201</c:v>
                </c:pt>
                <c:pt idx="101">
                  <c:v>203</c:v>
                </c:pt>
                <c:pt idx="102">
                  <c:v>205</c:v>
                </c:pt>
                <c:pt idx="103">
                  <c:v>207</c:v>
                </c:pt>
                <c:pt idx="104">
                  <c:v>209</c:v>
                </c:pt>
                <c:pt idx="105">
                  <c:v>211</c:v>
                </c:pt>
                <c:pt idx="106">
                  <c:v>213</c:v>
                </c:pt>
                <c:pt idx="107">
                  <c:v>215</c:v>
                </c:pt>
                <c:pt idx="108">
                  <c:v>217</c:v>
                </c:pt>
                <c:pt idx="109">
                  <c:v>219</c:v>
                </c:pt>
                <c:pt idx="110">
                  <c:v>221</c:v>
                </c:pt>
                <c:pt idx="111">
                  <c:v>223</c:v>
                </c:pt>
                <c:pt idx="112">
                  <c:v>225</c:v>
                </c:pt>
                <c:pt idx="113">
                  <c:v>227</c:v>
                </c:pt>
                <c:pt idx="114">
                  <c:v>229</c:v>
                </c:pt>
                <c:pt idx="115">
                  <c:v>231</c:v>
                </c:pt>
                <c:pt idx="116">
                  <c:v>233</c:v>
                </c:pt>
                <c:pt idx="117">
                  <c:v>235</c:v>
                </c:pt>
                <c:pt idx="118">
                  <c:v>237</c:v>
                </c:pt>
                <c:pt idx="119">
                  <c:v>239</c:v>
                </c:pt>
                <c:pt idx="120">
                  <c:v>241</c:v>
                </c:pt>
                <c:pt idx="121">
                  <c:v>243</c:v>
                </c:pt>
                <c:pt idx="122">
                  <c:v>245</c:v>
                </c:pt>
                <c:pt idx="123">
                  <c:v>247</c:v>
                </c:pt>
                <c:pt idx="124">
                  <c:v>249</c:v>
                </c:pt>
                <c:pt idx="125">
                  <c:v>251</c:v>
                </c:pt>
                <c:pt idx="126">
                  <c:v>253</c:v>
                </c:pt>
                <c:pt idx="127">
                  <c:v>255</c:v>
                </c:pt>
                <c:pt idx="128">
                  <c:v>257</c:v>
                </c:pt>
                <c:pt idx="129">
                  <c:v>259</c:v>
                </c:pt>
                <c:pt idx="130">
                  <c:v>261</c:v>
                </c:pt>
                <c:pt idx="131">
                  <c:v>263</c:v>
                </c:pt>
                <c:pt idx="132">
                  <c:v>265</c:v>
                </c:pt>
                <c:pt idx="133">
                  <c:v>267</c:v>
                </c:pt>
                <c:pt idx="134">
                  <c:v>269</c:v>
                </c:pt>
                <c:pt idx="135">
                  <c:v>271</c:v>
                </c:pt>
                <c:pt idx="136">
                  <c:v>273</c:v>
                </c:pt>
                <c:pt idx="137">
                  <c:v>275</c:v>
                </c:pt>
                <c:pt idx="138">
                  <c:v>277</c:v>
                </c:pt>
                <c:pt idx="139">
                  <c:v>279</c:v>
                </c:pt>
                <c:pt idx="140">
                  <c:v>281</c:v>
                </c:pt>
                <c:pt idx="141">
                  <c:v>283</c:v>
                </c:pt>
                <c:pt idx="142">
                  <c:v>285</c:v>
                </c:pt>
                <c:pt idx="143">
                  <c:v>287</c:v>
                </c:pt>
                <c:pt idx="144">
                  <c:v>289</c:v>
                </c:pt>
                <c:pt idx="145">
                  <c:v>291</c:v>
                </c:pt>
                <c:pt idx="146">
                  <c:v>293</c:v>
                </c:pt>
                <c:pt idx="147">
                  <c:v>295</c:v>
                </c:pt>
                <c:pt idx="148">
                  <c:v>297</c:v>
                </c:pt>
                <c:pt idx="149">
                  <c:v>299</c:v>
                </c:pt>
                <c:pt idx="150">
                  <c:v>301</c:v>
                </c:pt>
                <c:pt idx="151">
                  <c:v>303</c:v>
                </c:pt>
                <c:pt idx="152">
                  <c:v>305</c:v>
                </c:pt>
                <c:pt idx="153">
                  <c:v>307</c:v>
                </c:pt>
                <c:pt idx="154">
                  <c:v>309</c:v>
                </c:pt>
                <c:pt idx="155">
                  <c:v>311</c:v>
                </c:pt>
                <c:pt idx="156">
                  <c:v>313</c:v>
                </c:pt>
                <c:pt idx="157">
                  <c:v>315</c:v>
                </c:pt>
                <c:pt idx="158">
                  <c:v>317</c:v>
                </c:pt>
                <c:pt idx="159">
                  <c:v>319</c:v>
                </c:pt>
                <c:pt idx="160">
                  <c:v>321</c:v>
                </c:pt>
                <c:pt idx="161">
                  <c:v>323</c:v>
                </c:pt>
                <c:pt idx="162">
                  <c:v>325</c:v>
                </c:pt>
                <c:pt idx="163">
                  <c:v>327</c:v>
                </c:pt>
                <c:pt idx="164">
                  <c:v>329</c:v>
                </c:pt>
                <c:pt idx="165">
                  <c:v>331</c:v>
                </c:pt>
                <c:pt idx="166">
                  <c:v>333</c:v>
                </c:pt>
                <c:pt idx="167">
                  <c:v>335</c:v>
                </c:pt>
                <c:pt idx="168">
                  <c:v>337</c:v>
                </c:pt>
                <c:pt idx="169">
                  <c:v>339</c:v>
                </c:pt>
                <c:pt idx="170">
                  <c:v>341</c:v>
                </c:pt>
                <c:pt idx="171">
                  <c:v>343</c:v>
                </c:pt>
                <c:pt idx="172">
                  <c:v>345</c:v>
                </c:pt>
                <c:pt idx="173">
                  <c:v>347</c:v>
                </c:pt>
                <c:pt idx="174">
                  <c:v>349</c:v>
                </c:pt>
                <c:pt idx="175">
                  <c:v>351</c:v>
                </c:pt>
                <c:pt idx="176">
                  <c:v>353</c:v>
                </c:pt>
                <c:pt idx="177">
                  <c:v>355</c:v>
                </c:pt>
                <c:pt idx="178">
                  <c:v>357</c:v>
                </c:pt>
                <c:pt idx="179">
                  <c:v>359</c:v>
                </c:pt>
                <c:pt idx="180">
                  <c:v>361</c:v>
                </c:pt>
                <c:pt idx="181">
                  <c:v>363</c:v>
                </c:pt>
                <c:pt idx="182">
                  <c:v>365</c:v>
                </c:pt>
                <c:pt idx="183">
                  <c:v>367</c:v>
                </c:pt>
                <c:pt idx="184">
                  <c:v>369</c:v>
                </c:pt>
                <c:pt idx="185">
                  <c:v>371</c:v>
                </c:pt>
                <c:pt idx="186">
                  <c:v>373</c:v>
                </c:pt>
                <c:pt idx="187">
                  <c:v>375</c:v>
                </c:pt>
                <c:pt idx="188">
                  <c:v>377</c:v>
                </c:pt>
                <c:pt idx="189">
                  <c:v>379</c:v>
                </c:pt>
                <c:pt idx="190">
                  <c:v>381</c:v>
                </c:pt>
                <c:pt idx="191">
                  <c:v>383</c:v>
                </c:pt>
                <c:pt idx="192">
                  <c:v>385</c:v>
                </c:pt>
                <c:pt idx="193">
                  <c:v>387</c:v>
                </c:pt>
                <c:pt idx="194">
                  <c:v>389</c:v>
                </c:pt>
                <c:pt idx="195">
                  <c:v>391</c:v>
                </c:pt>
                <c:pt idx="196">
                  <c:v>393</c:v>
                </c:pt>
                <c:pt idx="197">
                  <c:v>395</c:v>
                </c:pt>
                <c:pt idx="198">
                  <c:v>397</c:v>
                </c:pt>
                <c:pt idx="199">
                  <c:v>399</c:v>
                </c:pt>
                <c:pt idx="200">
                  <c:v>401</c:v>
                </c:pt>
                <c:pt idx="201">
                  <c:v>403</c:v>
                </c:pt>
                <c:pt idx="202">
                  <c:v>405</c:v>
                </c:pt>
                <c:pt idx="203">
                  <c:v>407</c:v>
                </c:pt>
                <c:pt idx="204">
                  <c:v>409</c:v>
                </c:pt>
                <c:pt idx="205">
                  <c:v>411</c:v>
                </c:pt>
                <c:pt idx="206">
                  <c:v>413</c:v>
                </c:pt>
                <c:pt idx="207">
                  <c:v>415</c:v>
                </c:pt>
                <c:pt idx="208">
                  <c:v>417</c:v>
                </c:pt>
                <c:pt idx="209">
                  <c:v>419</c:v>
                </c:pt>
                <c:pt idx="210">
                  <c:v>421</c:v>
                </c:pt>
                <c:pt idx="211">
                  <c:v>423</c:v>
                </c:pt>
                <c:pt idx="212">
                  <c:v>425</c:v>
                </c:pt>
                <c:pt idx="213">
                  <c:v>427</c:v>
                </c:pt>
                <c:pt idx="214">
                  <c:v>429</c:v>
                </c:pt>
                <c:pt idx="215">
                  <c:v>431</c:v>
                </c:pt>
                <c:pt idx="216">
                  <c:v>433</c:v>
                </c:pt>
                <c:pt idx="217">
                  <c:v>435</c:v>
                </c:pt>
                <c:pt idx="218">
                  <c:v>437</c:v>
                </c:pt>
                <c:pt idx="219">
                  <c:v>439</c:v>
                </c:pt>
                <c:pt idx="220">
                  <c:v>441</c:v>
                </c:pt>
                <c:pt idx="221">
                  <c:v>443</c:v>
                </c:pt>
                <c:pt idx="222">
                  <c:v>445</c:v>
                </c:pt>
                <c:pt idx="223">
                  <c:v>447</c:v>
                </c:pt>
                <c:pt idx="224">
                  <c:v>449</c:v>
                </c:pt>
                <c:pt idx="225">
                  <c:v>451</c:v>
                </c:pt>
                <c:pt idx="226">
                  <c:v>453</c:v>
                </c:pt>
                <c:pt idx="227">
                  <c:v>455</c:v>
                </c:pt>
                <c:pt idx="228">
                  <c:v>457</c:v>
                </c:pt>
                <c:pt idx="229">
                  <c:v>459</c:v>
                </c:pt>
                <c:pt idx="230">
                  <c:v>461</c:v>
                </c:pt>
                <c:pt idx="231">
                  <c:v>463</c:v>
                </c:pt>
                <c:pt idx="232">
                  <c:v>465</c:v>
                </c:pt>
                <c:pt idx="233">
                  <c:v>467</c:v>
                </c:pt>
                <c:pt idx="234">
                  <c:v>469</c:v>
                </c:pt>
                <c:pt idx="235">
                  <c:v>471</c:v>
                </c:pt>
                <c:pt idx="236">
                  <c:v>473</c:v>
                </c:pt>
                <c:pt idx="237">
                  <c:v>475</c:v>
                </c:pt>
                <c:pt idx="238">
                  <c:v>477</c:v>
                </c:pt>
                <c:pt idx="239">
                  <c:v>479</c:v>
                </c:pt>
                <c:pt idx="240">
                  <c:v>481</c:v>
                </c:pt>
                <c:pt idx="241">
                  <c:v>483</c:v>
                </c:pt>
                <c:pt idx="242">
                  <c:v>485</c:v>
                </c:pt>
                <c:pt idx="243">
                  <c:v>487</c:v>
                </c:pt>
                <c:pt idx="244">
                  <c:v>489</c:v>
                </c:pt>
                <c:pt idx="245">
                  <c:v>491</c:v>
                </c:pt>
                <c:pt idx="246">
                  <c:v>493</c:v>
                </c:pt>
                <c:pt idx="247">
                  <c:v>495</c:v>
                </c:pt>
                <c:pt idx="248">
                  <c:v>497</c:v>
                </c:pt>
                <c:pt idx="249">
                  <c:v>499</c:v>
                </c:pt>
                <c:pt idx="250">
                  <c:v>501</c:v>
                </c:pt>
                <c:pt idx="251">
                  <c:v>503</c:v>
                </c:pt>
                <c:pt idx="252">
                  <c:v>505</c:v>
                </c:pt>
                <c:pt idx="253">
                  <c:v>507</c:v>
                </c:pt>
                <c:pt idx="254">
                  <c:v>509</c:v>
                </c:pt>
                <c:pt idx="255">
                  <c:v>511</c:v>
                </c:pt>
                <c:pt idx="256">
                  <c:v>513</c:v>
                </c:pt>
                <c:pt idx="257">
                  <c:v>515</c:v>
                </c:pt>
                <c:pt idx="258">
                  <c:v>517</c:v>
                </c:pt>
                <c:pt idx="259">
                  <c:v>519</c:v>
                </c:pt>
                <c:pt idx="260">
                  <c:v>521</c:v>
                </c:pt>
                <c:pt idx="261">
                  <c:v>523</c:v>
                </c:pt>
                <c:pt idx="262">
                  <c:v>525</c:v>
                </c:pt>
                <c:pt idx="263">
                  <c:v>527</c:v>
                </c:pt>
                <c:pt idx="264">
                  <c:v>529</c:v>
                </c:pt>
                <c:pt idx="265">
                  <c:v>531</c:v>
                </c:pt>
                <c:pt idx="266">
                  <c:v>533</c:v>
                </c:pt>
                <c:pt idx="267">
                  <c:v>535</c:v>
                </c:pt>
                <c:pt idx="268">
                  <c:v>537</c:v>
                </c:pt>
                <c:pt idx="269">
                  <c:v>539</c:v>
                </c:pt>
                <c:pt idx="270">
                  <c:v>541</c:v>
                </c:pt>
                <c:pt idx="271">
                  <c:v>543</c:v>
                </c:pt>
                <c:pt idx="272">
                  <c:v>545</c:v>
                </c:pt>
                <c:pt idx="273">
                  <c:v>547</c:v>
                </c:pt>
                <c:pt idx="274">
                  <c:v>549</c:v>
                </c:pt>
                <c:pt idx="275">
                  <c:v>551</c:v>
                </c:pt>
                <c:pt idx="276">
                  <c:v>553</c:v>
                </c:pt>
                <c:pt idx="277">
                  <c:v>555</c:v>
                </c:pt>
                <c:pt idx="278">
                  <c:v>557</c:v>
                </c:pt>
                <c:pt idx="279">
                  <c:v>559</c:v>
                </c:pt>
                <c:pt idx="280">
                  <c:v>561</c:v>
                </c:pt>
                <c:pt idx="281">
                  <c:v>563</c:v>
                </c:pt>
                <c:pt idx="282">
                  <c:v>565</c:v>
                </c:pt>
                <c:pt idx="283">
                  <c:v>567</c:v>
                </c:pt>
                <c:pt idx="284">
                  <c:v>569</c:v>
                </c:pt>
                <c:pt idx="285">
                  <c:v>571</c:v>
                </c:pt>
                <c:pt idx="286">
                  <c:v>573</c:v>
                </c:pt>
                <c:pt idx="287">
                  <c:v>575</c:v>
                </c:pt>
                <c:pt idx="288">
                  <c:v>577</c:v>
                </c:pt>
                <c:pt idx="289">
                  <c:v>579</c:v>
                </c:pt>
                <c:pt idx="290">
                  <c:v>581</c:v>
                </c:pt>
                <c:pt idx="291">
                  <c:v>583</c:v>
                </c:pt>
                <c:pt idx="292">
                  <c:v>585</c:v>
                </c:pt>
                <c:pt idx="293">
                  <c:v>587</c:v>
                </c:pt>
                <c:pt idx="294">
                  <c:v>589</c:v>
                </c:pt>
                <c:pt idx="295">
                  <c:v>591</c:v>
                </c:pt>
                <c:pt idx="296">
                  <c:v>593</c:v>
                </c:pt>
                <c:pt idx="297">
                  <c:v>595</c:v>
                </c:pt>
                <c:pt idx="298">
                  <c:v>597</c:v>
                </c:pt>
                <c:pt idx="299">
                  <c:v>599</c:v>
                </c:pt>
                <c:pt idx="300">
                  <c:v>601</c:v>
                </c:pt>
                <c:pt idx="301">
                  <c:v>603</c:v>
                </c:pt>
                <c:pt idx="302">
                  <c:v>605</c:v>
                </c:pt>
                <c:pt idx="303">
                  <c:v>607</c:v>
                </c:pt>
                <c:pt idx="304">
                  <c:v>609</c:v>
                </c:pt>
                <c:pt idx="305">
                  <c:v>611</c:v>
                </c:pt>
                <c:pt idx="306">
                  <c:v>613</c:v>
                </c:pt>
                <c:pt idx="307">
                  <c:v>615</c:v>
                </c:pt>
                <c:pt idx="308">
                  <c:v>617</c:v>
                </c:pt>
                <c:pt idx="309">
                  <c:v>619</c:v>
                </c:pt>
                <c:pt idx="310">
                  <c:v>621</c:v>
                </c:pt>
                <c:pt idx="311">
                  <c:v>623</c:v>
                </c:pt>
                <c:pt idx="312">
                  <c:v>625</c:v>
                </c:pt>
                <c:pt idx="313">
                  <c:v>627</c:v>
                </c:pt>
                <c:pt idx="314">
                  <c:v>629</c:v>
                </c:pt>
                <c:pt idx="315">
                  <c:v>631</c:v>
                </c:pt>
                <c:pt idx="316">
                  <c:v>633</c:v>
                </c:pt>
                <c:pt idx="317">
                  <c:v>635</c:v>
                </c:pt>
                <c:pt idx="318">
                  <c:v>637</c:v>
                </c:pt>
                <c:pt idx="319">
                  <c:v>639</c:v>
                </c:pt>
                <c:pt idx="320">
                  <c:v>641</c:v>
                </c:pt>
                <c:pt idx="321">
                  <c:v>643</c:v>
                </c:pt>
                <c:pt idx="322">
                  <c:v>645</c:v>
                </c:pt>
                <c:pt idx="323">
                  <c:v>647</c:v>
                </c:pt>
                <c:pt idx="324">
                  <c:v>649</c:v>
                </c:pt>
                <c:pt idx="325">
                  <c:v>651</c:v>
                </c:pt>
                <c:pt idx="326">
                  <c:v>653</c:v>
                </c:pt>
                <c:pt idx="327">
                  <c:v>655</c:v>
                </c:pt>
                <c:pt idx="328">
                  <c:v>657</c:v>
                </c:pt>
                <c:pt idx="329">
                  <c:v>659</c:v>
                </c:pt>
                <c:pt idx="330">
                  <c:v>661</c:v>
                </c:pt>
                <c:pt idx="331">
                  <c:v>663</c:v>
                </c:pt>
                <c:pt idx="332">
                  <c:v>665</c:v>
                </c:pt>
                <c:pt idx="333">
                  <c:v>667</c:v>
                </c:pt>
                <c:pt idx="334">
                  <c:v>669</c:v>
                </c:pt>
                <c:pt idx="335">
                  <c:v>671</c:v>
                </c:pt>
                <c:pt idx="336">
                  <c:v>673</c:v>
                </c:pt>
                <c:pt idx="337">
                  <c:v>675</c:v>
                </c:pt>
                <c:pt idx="338">
                  <c:v>677</c:v>
                </c:pt>
                <c:pt idx="339">
                  <c:v>679</c:v>
                </c:pt>
                <c:pt idx="340">
                  <c:v>681</c:v>
                </c:pt>
                <c:pt idx="341">
                  <c:v>683</c:v>
                </c:pt>
                <c:pt idx="342">
                  <c:v>685</c:v>
                </c:pt>
                <c:pt idx="343">
                  <c:v>687</c:v>
                </c:pt>
                <c:pt idx="344">
                  <c:v>689</c:v>
                </c:pt>
                <c:pt idx="345">
                  <c:v>691</c:v>
                </c:pt>
                <c:pt idx="346">
                  <c:v>693</c:v>
                </c:pt>
                <c:pt idx="347">
                  <c:v>695</c:v>
                </c:pt>
                <c:pt idx="348">
                  <c:v>697</c:v>
                </c:pt>
                <c:pt idx="349">
                  <c:v>699</c:v>
                </c:pt>
                <c:pt idx="350">
                  <c:v>701</c:v>
                </c:pt>
                <c:pt idx="351">
                  <c:v>703</c:v>
                </c:pt>
                <c:pt idx="352">
                  <c:v>705</c:v>
                </c:pt>
                <c:pt idx="353">
                  <c:v>707</c:v>
                </c:pt>
                <c:pt idx="354">
                  <c:v>709</c:v>
                </c:pt>
                <c:pt idx="355">
                  <c:v>711</c:v>
                </c:pt>
                <c:pt idx="356">
                  <c:v>713</c:v>
                </c:pt>
                <c:pt idx="357">
                  <c:v>715</c:v>
                </c:pt>
                <c:pt idx="358">
                  <c:v>717</c:v>
                </c:pt>
                <c:pt idx="359">
                  <c:v>719</c:v>
                </c:pt>
                <c:pt idx="360">
                  <c:v>721</c:v>
                </c:pt>
                <c:pt idx="361">
                  <c:v>723</c:v>
                </c:pt>
                <c:pt idx="362">
                  <c:v>725</c:v>
                </c:pt>
                <c:pt idx="363">
                  <c:v>727</c:v>
                </c:pt>
                <c:pt idx="364">
                  <c:v>729</c:v>
                </c:pt>
                <c:pt idx="365">
                  <c:v>731</c:v>
                </c:pt>
                <c:pt idx="366">
                  <c:v>733</c:v>
                </c:pt>
                <c:pt idx="367">
                  <c:v>735</c:v>
                </c:pt>
                <c:pt idx="368">
                  <c:v>737</c:v>
                </c:pt>
                <c:pt idx="369">
                  <c:v>739</c:v>
                </c:pt>
                <c:pt idx="370">
                  <c:v>741</c:v>
                </c:pt>
                <c:pt idx="371">
                  <c:v>743</c:v>
                </c:pt>
                <c:pt idx="372">
                  <c:v>745</c:v>
                </c:pt>
                <c:pt idx="373">
                  <c:v>747</c:v>
                </c:pt>
                <c:pt idx="374">
                  <c:v>749</c:v>
                </c:pt>
                <c:pt idx="375">
                  <c:v>751</c:v>
                </c:pt>
                <c:pt idx="376">
                  <c:v>753</c:v>
                </c:pt>
                <c:pt idx="377">
                  <c:v>755</c:v>
                </c:pt>
                <c:pt idx="378">
                  <c:v>757</c:v>
                </c:pt>
                <c:pt idx="379">
                  <c:v>759</c:v>
                </c:pt>
                <c:pt idx="380">
                  <c:v>761</c:v>
                </c:pt>
                <c:pt idx="381">
                  <c:v>763</c:v>
                </c:pt>
                <c:pt idx="382">
                  <c:v>765</c:v>
                </c:pt>
                <c:pt idx="383">
                  <c:v>767</c:v>
                </c:pt>
                <c:pt idx="384">
                  <c:v>769</c:v>
                </c:pt>
                <c:pt idx="385">
                  <c:v>771</c:v>
                </c:pt>
                <c:pt idx="386">
                  <c:v>773</c:v>
                </c:pt>
                <c:pt idx="387">
                  <c:v>775</c:v>
                </c:pt>
                <c:pt idx="388">
                  <c:v>777</c:v>
                </c:pt>
                <c:pt idx="389">
                  <c:v>779</c:v>
                </c:pt>
                <c:pt idx="390">
                  <c:v>781</c:v>
                </c:pt>
                <c:pt idx="391">
                  <c:v>783</c:v>
                </c:pt>
                <c:pt idx="392">
                  <c:v>785</c:v>
                </c:pt>
                <c:pt idx="393">
                  <c:v>787</c:v>
                </c:pt>
                <c:pt idx="394">
                  <c:v>789</c:v>
                </c:pt>
                <c:pt idx="395">
                  <c:v>791</c:v>
                </c:pt>
                <c:pt idx="396">
                  <c:v>793</c:v>
                </c:pt>
                <c:pt idx="397">
                  <c:v>795</c:v>
                </c:pt>
                <c:pt idx="398">
                  <c:v>797</c:v>
                </c:pt>
                <c:pt idx="399">
                  <c:v>799</c:v>
                </c:pt>
                <c:pt idx="400">
                  <c:v>801</c:v>
                </c:pt>
                <c:pt idx="401">
                  <c:v>803</c:v>
                </c:pt>
                <c:pt idx="402">
                  <c:v>805</c:v>
                </c:pt>
                <c:pt idx="403">
                  <c:v>807</c:v>
                </c:pt>
                <c:pt idx="404">
                  <c:v>809</c:v>
                </c:pt>
                <c:pt idx="405">
                  <c:v>811</c:v>
                </c:pt>
                <c:pt idx="406">
                  <c:v>813</c:v>
                </c:pt>
                <c:pt idx="407">
                  <c:v>815</c:v>
                </c:pt>
                <c:pt idx="408">
                  <c:v>817</c:v>
                </c:pt>
                <c:pt idx="409">
                  <c:v>819</c:v>
                </c:pt>
                <c:pt idx="410">
                  <c:v>821</c:v>
                </c:pt>
                <c:pt idx="411">
                  <c:v>823</c:v>
                </c:pt>
                <c:pt idx="412">
                  <c:v>825</c:v>
                </c:pt>
                <c:pt idx="413">
                  <c:v>827</c:v>
                </c:pt>
                <c:pt idx="414">
                  <c:v>829</c:v>
                </c:pt>
                <c:pt idx="415">
                  <c:v>831</c:v>
                </c:pt>
                <c:pt idx="416">
                  <c:v>833</c:v>
                </c:pt>
                <c:pt idx="417">
                  <c:v>835</c:v>
                </c:pt>
                <c:pt idx="418">
                  <c:v>837</c:v>
                </c:pt>
                <c:pt idx="419">
                  <c:v>839</c:v>
                </c:pt>
                <c:pt idx="420">
                  <c:v>841</c:v>
                </c:pt>
                <c:pt idx="421">
                  <c:v>843</c:v>
                </c:pt>
                <c:pt idx="422">
                  <c:v>845</c:v>
                </c:pt>
                <c:pt idx="423">
                  <c:v>847</c:v>
                </c:pt>
                <c:pt idx="424">
                  <c:v>849</c:v>
                </c:pt>
                <c:pt idx="425">
                  <c:v>851</c:v>
                </c:pt>
                <c:pt idx="426">
                  <c:v>853</c:v>
                </c:pt>
                <c:pt idx="427">
                  <c:v>855</c:v>
                </c:pt>
                <c:pt idx="428">
                  <c:v>857</c:v>
                </c:pt>
                <c:pt idx="429">
                  <c:v>859</c:v>
                </c:pt>
                <c:pt idx="430">
                  <c:v>861</c:v>
                </c:pt>
                <c:pt idx="431">
                  <c:v>863</c:v>
                </c:pt>
                <c:pt idx="432">
                  <c:v>865</c:v>
                </c:pt>
                <c:pt idx="433">
                  <c:v>867</c:v>
                </c:pt>
                <c:pt idx="434">
                  <c:v>869</c:v>
                </c:pt>
                <c:pt idx="435">
                  <c:v>871</c:v>
                </c:pt>
                <c:pt idx="436">
                  <c:v>873</c:v>
                </c:pt>
                <c:pt idx="437">
                  <c:v>875</c:v>
                </c:pt>
                <c:pt idx="438">
                  <c:v>877</c:v>
                </c:pt>
                <c:pt idx="439">
                  <c:v>879</c:v>
                </c:pt>
                <c:pt idx="440">
                  <c:v>881</c:v>
                </c:pt>
                <c:pt idx="441">
                  <c:v>883</c:v>
                </c:pt>
                <c:pt idx="442">
                  <c:v>885</c:v>
                </c:pt>
                <c:pt idx="443">
                  <c:v>887</c:v>
                </c:pt>
                <c:pt idx="444">
                  <c:v>889</c:v>
                </c:pt>
                <c:pt idx="445">
                  <c:v>891</c:v>
                </c:pt>
                <c:pt idx="446">
                  <c:v>893</c:v>
                </c:pt>
                <c:pt idx="447">
                  <c:v>895</c:v>
                </c:pt>
                <c:pt idx="448">
                  <c:v>897</c:v>
                </c:pt>
                <c:pt idx="449">
                  <c:v>899</c:v>
                </c:pt>
                <c:pt idx="450">
                  <c:v>901</c:v>
                </c:pt>
                <c:pt idx="451">
                  <c:v>903</c:v>
                </c:pt>
                <c:pt idx="452">
                  <c:v>905</c:v>
                </c:pt>
                <c:pt idx="453">
                  <c:v>907</c:v>
                </c:pt>
                <c:pt idx="454">
                  <c:v>909</c:v>
                </c:pt>
                <c:pt idx="455">
                  <c:v>911</c:v>
                </c:pt>
                <c:pt idx="456">
                  <c:v>913</c:v>
                </c:pt>
                <c:pt idx="457">
                  <c:v>915</c:v>
                </c:pt>
                <c:pt idx="458">
                  <c:v>917</c:v>
                </c:pt>
                <c:pt idx="459">
                  <c:v>919</c:v>
                </c:pt>
                <c:pt idx="460">
                  <c:v>921</c:v>
                </c:pt>
                <c:pt idx="461">
                  <c:v>923</c:v>
                </c:pt>
                <c:pt idx="462">
                  <c:v>925</c:v>
                </c:pt>
                <c:pt idx="463">
                  <c:v>927</c:v>
                </c:pt>
                <c:pt idx="464">
                  <c:v>929</c:v>
                </c:pt>
                <c:pt idx="465">
                  <c:v>931</c:v>
                </c:pt>
                <c:pt idx="466">
                  <c:v>933</c:v>
                </c:pt>
                <c:pt idx="467">
                  <c:v>935</c:v>
                </c:pt>
                <c:pt idx="468">
                  <c:v>937</c:v>
                </c:pt>
                <c:pt idx="469">
                  <c:v>939</c:v>
                </c:pt>
                <c:pt idx="470">
                  <c:v>941</c:v>
                </c:pt>
                <c:pt idx="471">
                  <c:v>943</c:v>
                </c:pt>
                <c:pt idx="472">
                  <c:v>945</c:v>
                </c:pt>
                <c:pt idx="473">
                  <c:v>947</c:v>
                </c:pt>
                <c:pt idx="474">
                  <c:v>949</c:v>
                </c:pt>
                <c:pt idx="475">
                  <c:v>951</c:v>
                </c:pt>
                <c:pt idx="476">
                  <c:v>953</c:v>
                </c:pt>
                <c:pt idx="477">
                  <c:v>955</c:v>
                </c:pt>
                <c:pt idx="478">
                  <c:v>957</c:v>
                </c:pt>
                <c:pt idx="479">
                  <c:v>959</c:v>
                </c:pt>
                <c:pt idx="480">
                  <c:v>961</c:v>
                </c:pt>
                <c:pt idx="481">
                  <c:v>963</c:v>
                </c:pt>
                <c:pt idx="482">
                  <c:v>965</c:v>
                </c:pt>
                <c:pt idx="483">
                  <c:v>967</c:v>
                </c:pt>
                <c:pt idx="484">
                  <c:v>969</c:v>
                </c:pt>
                <c:pt idx="485">
                  <c:v>971</c:v>
                </c:pt>
                <c:pt idx="486">
                  <c:v>973</c:v>
                </c:pt>
                <c:pt idx="487">
                  <c:v>975</c:v>
                </c:pt>
                <c:pt idx="488">
                  <c:v>977</c:v>
                </c:pt>
                <c:pt idx="489">
                  <c:v>979</c:v>
                </c:pt>
                <c:pt idx="490">
                  <c:v>981</c:v>
                </c:pt>
                <c:pt idx="491">
                  <c:v>983</c:v>
                </c:pt>
                <c:pt idx="492">
                  <c:v>985</c:v>
                </c:pt>
                <c:pt idx="493">
                  <c:v>987</c:v>
                </c:pt>
                <c:pt idx="494">
                  <c:v>989</c:v>
                </c:pt>
                <c:pt idx="495">
                  <c:v>991</c:v>
                </c:pt>
                <c:pt idx="496">
                  <c:v>993</c:v>
                </c:pt>
                <c:pt idx="497">
                  <c:v>995</c:v>
                </c:pt>
                <c:pt idx="498">
                  <c:v>997</c:v>
                </c:pt>
                <c:pt idx="499">
                  <c:v>999</c:v>
                </c:pt>
                <c:pt idx="500">
                  <c:v>1001</c:v>
                </c:pt>
                <c:pt idx="501">
                  <c:v>1003</c:v>
                </c:pt>
                <c:pt idx="502">
                  <c:v>1005</c:v>
                </c:pt>
                <c:pt idx="503">
                  <c:v>1007</c:v>
                </c:pt>
                <c:pt idx="504">
                  <c:v>1009</c:v>
                </c:pt>
                <c:pt idx="505">
                  <c:v>1011</c:v>
                </c:pt>
                <c:pt idx="506">
                  <c:v>1013</c:v>
                </c:pt>
                <c:pt idx="507">
                  <c:v>1015</c:v>
                </c:pt>
                <c:pt idx="508">
                  <c:v>1017</c:v>
                </c:pt>
                <c:pt idx="509">
                  <c:v>1019</c:v>
                </c:pt>
                <c:pt idx="510">
                  <c:v>1021</c:v>
                </c:pt>
                <c:pt idx="511">
                  <c:v>1023</c:v>
                </c:pt>
                <c:pt idx="512">
                  <c:v>1025</c:v>
                </c:pt>
                <c:pt idx="513">
                  <c:v>1027</c:v>
                </c:pt>
                <c:pt idx="514">
                  <c:v>1029</c:v>
                </c:pt>
                <c:pt idx="515">
                  <c:v>1031</c:v>
                </c:pt>
                <c:pt idx="516">
                  <c:v>1033</c:v>
                </c:pt>
                <c:pt idx="517">
                  <c:v>1035</c:v>
                </c:pt>
                <c:pt idx="518">
                  <c:v>1037</c:v>
                </c:pt>
                <c:pt idx="519">
                  <c:v>1039</c:v>
                </c:pt>
                <c:pt idx="520">
                  <c:v>1041</c:v>
                </c:pt>
                <c:pt idx="521">
                  <c:v>1043</c:v>
                </c:pt>
                <c:pt idx="522">
                  <c:v>1045</c:v>
                </c:pt>
                <c:pt idx="523">
                  <c:v>1047</c:v>
                </c:pt>
                <c:pt idx="524">
                  <c:v>1049</c:v>
                </c:pt>
                <c:pt idx="525">
                  <c:v>1051</c:v>
                </c:pt>
                <c:pt idx="526">
                  <c:v>1053</c:v>
                </c:pt>
                <c:pt idx="527">
                  <c:v>1055</c:v>
                </c:pt>
                <c:pt idx="528">
                  <c:v>1057</c:v>
                </c:pt>
                <c:pt idx="529">
                  <c:v>1059</c:v>
                </c:pt>
                <c:pt idx="530">
                  <c:v>1061</c:v>
                </c:pt>
                <c:pt idx="531">
                  <c:v>1063</c:v>
                </c:pt>
                <c:pt idx="532">
                  <c:v>1065</c:v>
                </c:pt>
                <c:pt idx="533">
                  <c:v>1067</c:v>
                </c:pt>
                <c:pt idx="534">
                  <c:v>1069</c:v>
                </c:pt>
                <c:pt idx="535">
                  <c:v>1071</c:v>
                </c:pt>
                <c:pt idx="536">
                  <c:v>1073</c:v>
                </c:pt>
                <c:pt idx="537">
                  <c:v>1075</c:v>
                </c:pt>
                <c:pt idx="538">
                  <c:v>1077</c:v>
                </c:pt>
                <c:pt idx="539">
                  <c:v>1079</c:v>
                </c:pt>
                <c:pt idx="540">
                  <c:v>1081</c:v>
                </c:pt>
                <c:pt idx="541">
                  <c:v>1083</c:v>
                </c:pt>
                <c:pt idx="542">
                  <c:v>1085</c:v>
                </c:pt>
                <c:pt idx="543">
                  <c:v>1087</c:v>
                </c:pt>
                <c:pt idx="544">
                  <c:v>1089</c:v>
                </c:pt>
                <c:pt idx="545">
                  <c:v>1091</c:v>
                </c:pt>
                <c:pt idx="546">
                  <c:v>1093</c:v>
                </c:pt>
                <c:pt idx="547">
                  <c:v>1095</c:v>
                </c:pt>
                <c:pt idx="548">
                  <c:v>1097</c:v>
                </c:pt>
                <c:pt idx="549">
                  <c:v>1099</c:v>
                </c:pt>
                <c:pt idx="550">
                  <c:v>1101</c:v>
                </c:pt>
                <c:pt idx="551">
                  <c:v>1103</c:v>
                </c:pt>
                <c:pt idx="552">
                  <c:v>1105</c:v>
                </c:pt>
                <c:pt idx="553">
                  <c:v>1107</c:v>
                </c:pt>
                <c:pt idx="554">
                  <c:v>1109</c:v>
                </c:pt>
                <c:pt idx="555">
                  <c:v>1111</c:v>
                </c:pt>
                <c:pt idx="556">
                  <c:v>1113</c:v>
                </c:pt>
                <c:pt idx="557">
                  <c:v>1115</c:v>
                </c:pt>
                <c:pt idx="558">
                  <c:v>1117</c:v>
                </c:pt>
                <c:pt idx="559">
                  <c:v>1119</c:v>
                </c:pt>
                <c:pt idx="560">
                  <c:v>1121</c:v>
                </c:pt>
                <c:pt idx="561">
                  <c:v>1123</c:v>
                </c:pt>
                <c:pt idx="562">
                  <c:v>1125</c:v>
                </c:pt>
                <c:pt idx="563">
                  <c:v>1127</c:v>
                </c:pt>
                <c:pt idx="564">
                  <c:v>1129</c:v>
                </c:pt>
                <c:pt idx="565">
                  <c:v>1131</c:v>
                </c:pt>
                <c:pt idx="566">
                  <c:v>1133</c:v>
                </c:pt>
                <c:pt idx="567">
                  <c:v>1135</c:v>
                </c:pt>
                <c:pt idx="568">
                  <c:v>1137</c:v>
                </c:pt>
                <c:pt idx="569">
                  <c:v>1139</c:v>
                </c:pt>
                <c:pt idx="570">
                  <c:v>1141</c:v>
                </c:pt>
                <c:pt idx="571">
                  <c:v>1143</c:v>
                </c:pt>
                <c:pt idx="572">
                  <c:v>1145</c:v>
                </c:pt>
                <c:pt idx="573">
                  <c:v>1147</c:v>
                </c:pt>
                <c:pt idx="574">
                  <c:v>1149</c:v>
                </c:pt>
                <c:pt idx="575">
                  <c:v>1151</c:v>
                </c:pt>
                <c:pt idx="576">
                  <c:v>1153</c:v>
                </c:pt>
                <c:pt idx="577">
                  <c:v>1155</c:v>
                </c:pt>
                <c:pt idx="578">
                  <c:v>1157</c:v>
                </c:pt>
                <c:pt idx="579">
                  <c:v>1159</c:v>
                </c:pt>
                <c:pt idx="580">
                  <c:v>1161</c:v>
                </c:pt>
                <c:pt idx="581">
                  <c:v>1163</c:v>
                </c:pt>
                <c:pt idx="582">
                  <c:v>1165</c:v>
                </c:pt>
                <c:pt idx="583">
                  <c:v>1167</c:v>
                </c:pt>
                <c:pt idx="584">
                  <c:v>1169</c:v>
                </c:pt>
                <c:pt idx="585">
                  <c:v>1171</c:v>
                </c:pt>
                <c:pt idx="586">
                  <c:v>1173</c:v>
                </c:pt>
                <c:pt idx="587">
                  <c:v>1175</c:v>
                </c:pt>
                <c:pt idx="588">
                  <c:v>1177</c:v>
                </c:pt>
                <c:pt idx="589">
                  <c:v>1179</c:v>
                </c:pt>
                <c:pt idx="590">
                  <c:v>1181</c:v>
                </c:pt>
                <c:pt idx="591">
                  <c:v>1183</c:v>
                </c:pt>
                <c:pt idx="592">
                  <c:v>1185</c:v>
                </c:pt>
                <c:pt idx="593">
                  <c:v>1187</c:v>
                </c:pt>
                <c:pt idx="594">
                  <c:v>1189</c:v>
                </c:pt>
                <c:pt idx="595">
                  <c:v>1191</c:v>
                </c:pt>
                <c:pt idx="596">
                  <c:v>1193</c:v>
                </c:pt>
                <c:pt idx="597">
                  <c:v>1195</c:v>
                </c:pt>
                <c:pt idx="598">
                  <c:v>1197</c:v>
                </c:pt>
                <c:pt idx="599">
                  <c:v>1199</c:v>
                </c:pt>
                <c:pt idx="600">
                  <c:v>1201</c:v>
                </c:pt>
                <c:pt idx="601">
                  <c:v>1203</c:v>
                </c:pt>
                <c:pt idx="602">
                  <c:v>1205</c:v>
                </c:pt>
                <c:pt idx="603">
                  <c:v>1207</c:v>
                </c:pt>
                <c:pt idx="604">
                  <c:v>1209</c:v>
                </c:pt>
                <c:pt idx="605">
                  <c:v>1211</c:v>
                </c:pt>
                <c:pt idx="606">
                  <c:v>1213</c:v>
                </c:pt>
                <c:pt idx="607">
                  <c:v>1215</c:v>
                </c:pt>
                <c:pt idx="608">
                  <c:v>1217</c:v>
                </c:pt>
                <c:pt idx="609">
                  <c:v>1219</c:v>
                </c:pt>
                <c:pt idx="610">
                  <c:v>1221</c:v>
                </c:pt>
                <c:pt idx="611">
                  <c:v>1223</c:v>
                </c:pt>
                <c:pt idx="612">
                  <c:v>1225</c:v>
                </c:pt>
                <c:pt idx="613">
                  <c:v>1227</c:v>
                </c:pt>
                <c:pt idx="614">
                  <c:v>1229</c:v>
                </c:pt>
                <c:pt idx="615">
                  <c:v>1231</c:v>
                </c:pt>
                <c:pt idx="616">
                  <c:v>1233</c:v>
                </c:pt>
                <c:pt idx="617">
                  <c:v>1235</c:v>
                </c:pt>
                <c:pt idx="618">
                  <c:v>1237</c:v>
                </c:pt>
                <c:pt idx="619">
                  <c:v>1239</c:v>
                </c:pt>
                <c:pt idx="620">
                  <c:v>1241</c:v>
                </c:pt>
                <c:pt idx="621">
                  <c:v>1243</c:v>
                </c:pt>
                <c:pt idx="622">
                  <c:v>1245</c:v>
                </c:pt>
                <c:pt idx="623">
                  <c:v>1247</c:v>
                </c:pt>
                <c:pt idx="624">
                  <c:v>1249</c:v>
                </c:pt>
                <c:pt idx="625">
                  <c:v>1251</c:v>
                </c:pt>
                <c:pt idx="626">
                  <c:v>1253</c:v>
                </c:pt>
                <c:pt idx="627">
                  <c:v>1255</c:v>
                </c:pt>
                <c:pt idx="628">
                  <c:v>1257</c:v>
                </c:pt>
                <c:pt idx="629">
                  <c:v>1259</c:v>
                </c:pt>
                <c:pt idx="630">
                  <c:v>1261</c:v>
                </c:pt>
                <c:pt idx="631">
                  <c:v>1263</c:v>
                </c:pt>
                <c:pt idx="632">
                  <c:v>1265</c:v>
                </c:pt>
                <c:pt idx="633">
                  <c:v>1267</c:v>
                </c:pt>
                <c:pt idx="634">
                  <c:v>1269</c:v>
                </c:pt>
                <c:pt idx="635">
                  <c:v>1271</c:v>
                </c:pt>
                <c:pt idx="636">
                  <c:v>1273</c:v>
                </c:pt>
                <c:pt idx="637">
                  <c:v>1275</c:v>
                </c:pt>
                <c:pt idx="638">
                  <c:v>1277</c:v>
                </c:pt>
                <c:pt idx="639">
                  <c:v>1279</c:v>
                </c:pt>
                <c:pt idx="640">
                  <c:v>1281</c:v>
                </c:pt>
                <c:pt idx="641">
                  <c:v>1283</c:v>
                </c:pt>
                <c:pt idx="642">
                  <c:v>1285</c:v>
                </c:pt>
                <c:pt idx="643">
                  <c:v>1287</c:v>
                </c:pt>
                <c:pt idx="644">
                  <c:v>1289</c:v>
                </c:pt>
                <c:pt idx="645">
                  <c:v>1291</c:v>
                </c:pt>
                <c:pt idx="646">
                  <c:v>1293</c:v>
                </c:pt>
                <c:pt idx="647">
                  <c:v>1295</c:v>
                </c:pt>
                <c:pt idx="648">
                  <c:v>1297</c:v>
                </c:pt>
                <c:pt idx="649">
                  <c:v>1299</c:v>
                </c:pt>
                <c:pt idx="650">
                  <c:v>1301</c:v>
                </c:pt>
                <c:pt idx="651">
                  <c:v>1303</c:v>
                </c:pt>
                <c:pt idx="652">
                  <c:v>1305</c:v>
                </c:pt>
                <c:pt idx="653">
                  <c:v>1307</c:v>
                </c:pt>
                <c:pt idx="654">
                  <c:v>1309</c:v>
                </c:pt>
                <c:pt idx="655">
                  <c:v>1311</c:v>
                </c:pt>
                <c:pt idx="656">
                  <c:v>1313</c:v>
                </c:pt>
                <c:pt idx="657">
                  <c:v>1315</c:v>
                </c:pt>
                <c:pt idx="658">
                  <c:v>1317</c:v>
                </c:pt>
                <c:pt idx="659">
                  <c:v>1319</c:v>
                </c:pt>
                <c:pt idx="660">
                  <c:v>1321</c:v>
                </c:pt>
                <c:pt idx="661">
                  <c:v>1323</c:v>
                </c:pt>
                <c:pt idx="662">
                  <c:v>1325</c:v>
                </c:pt>
                <c:pt idx="663">
                  <c:v>1327</c:v>
                </c:pt>
                <c:pt idx="664">
                  <c:v>1329</c:v>
                </c:pt>
                <c:pt idx="665">
                  <c:v>1331</c:v>
                </c:pt>
                <c:pt idx="666">
                  <c:v>1333</c:v>
                </c:pt>
                <c:pt idx="667">
                  <c:v>1335</c:v>
                </c:pt>
                <c:pt idx="668">
                  <c:v>1337</c:v>
                </c:pt>
                <c:pt idx="669">
                  <c:v>1339</c:v>
                </c:pt>
                <c:pt idx="670">
                  <c:v>1341</c:v>
                </c:pt>
                <c:pt idx="671">
                  <c:v>1343</c:v>
                </c:pt>
                <c:pt idx="672">
                  <c:v>1345</c:v>
                </c:pt>
                <c:pt idx="673">
                  <c:v>1347</c:v>
                </c:pt>
                <c:pt idx="674">
                  <c:v>1349</c:v>
                </c:pt>
                <c:pt idx="675">
                  <c:v>1351</c:v>
                </c:pt>
                <c:pt idx="676">
                  <c:v>1353</c:v>
                </c:pt>
                <c:pt idx="677">
                  <c:v>1355</c:v>
                </c:pt>
                <c:pt idx="678">
                  <c:v>1357</c:v>
                </c:pt>
              </c:numCache>
            </c:numRef>
          </c:xVal>
          <c:yVal>
            <c:numRef>
              <c:f>Data!$M$2:$M$1001</c:f>
              <c:numCache>
                <c:formatCode>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numCache>
            </c:numRef>
          </c:yVal>
          <c:smooth val="1"/>
        </c:ser>
        <c:ser>
          <c:idx val="10"/>
          <c:order val="10"/>
          <c:tx>
            <c:strRef>
              <c:f>Data!$N$1</c:f>
              <c:strCache>
                <c:ptCount val="1"/>
                <c:pt idx="0">
                  <c:v>Peak 9</c:v>
                </c:pt>
              </c:strCache>
            </c:strRef>
          </c:tx>
          <c:spPr>
            <a:ln w="12700">
              <a:solidFill>
                <a:srgbClr val="CCFFCC"/>
              </a:solidFill>
              <a:prstDash val="solid"/>
            </a:ln>
          </c:spPr>
          <c:marker>
            <c:symbol val="none"/>
          </c:marker>
          <c:xVal>
            <c:numRef>
              <c:f>Data!$A$2:$A$1001</c:f>
              <c:numCache>
                <c:formatCode>0.000</c:formatCode>
                <c:ptCount val="1000"/>
                <c:pt idx="0">
                  <c:v>1</c:v>
                </c:pt>
                <c:pt idx="1">
                  <c:v>3</c:v>
                </c:pt>
                <c:pt idx="2">
                  <c:v>5</c:v>
                </c:pt>
                <c:pt idx="3">
                  <c:v>7</c:v>
                </c:pt>
                <c:pt idx="4">
                  <c:v>9</c:v>
                </c:pt>
                <c:pt idx="5">
                  <c:v>11</c:v>
                </c:pt>
                <c:pt idx="6">
                  <c:v>13</c:v>
                </c:pt>
                <c:pt idx="7">
                  <c:v>15</c:v>
                </c:pt>
                <c:pt idx="8">
                  <c:v>17</c:v>
                </c:pt>
                <c:pt idx="9">
                  <c:v>19</c:v>
                </c:pt>
                <c:pt idx="10">
                  <c:v>21</c:v>
                </c:pt>
                <c:pt idx="11">
                  <c:v>23</c:v>
                </c:pt>
                <c:pt idx="12">
                  <c:v>25</c:v>
                </c:pt>
                <c:pt idx="13">
                  <c:v>27</c:v>
                </c:pt>
                <c:pt idx="14">
                  <c:v>29</c:v>
                </c:pt>
                <c:pt idx="15">
                  <c:v>31</c:v>
                </c:pt>
                <c:pt idx="16">
                  <c:v>33</c:v>
                </c:pt>
                <c:pt idx="17">
                  <c:v>35</c:v>
                </c:pt>
                <c:pt idx="18">
                  <c:v>37</c:v>
                </c:pt>
                <c:pt idx="19">
                  <c:v>39</c:v>
                </c:pt>
                <c:pt idx="20">
                  <c:v>41</c:v>
                </c:pt>
                <c:pt idx="21">
                  <c:v>43</c:v>
                </c:pt>
                <c:pt idx="22">
                  <c:v>45</c:v>
                </c:pt>
                <c:pt idx="23">
                  <c:v>47</c:v>
                </c:pt>
                <c:pt idx="24">
                  <c:v>49</c:v>
                </c:pt>
                <c:pt idx="25">
                  <c:v>51</c:v>
                </c:pt>
                <c:pt idx="26">
                  <c:v>53</c:v>
                </c:pt>
                <c:pt idx="27">
                  <c:v>55</c:v>
                </c:pt>
                <c:pt idx="28">
                  <c:v>57</c:v>
                </c:pt>
                <c:pt idx="29">
                  <c:v>59</c:v>
                </c:pt>
                <c:pt idx="30">
                  <c:v>61</c:v>
                </c:pt>
                <c:pt idx="31">
                  <c:v>63</c:v>
                </c:pt>
                <c:pt idx="32">
                  <c:v>65</c:v>
                </c:pt>
                <c:pt idx="33">
                  <c:v>67</c:v>
                </c:pt>
                <c:pt idx="34">
                  <c:v>69</c:v>
                </c:pt>
                <c:pt idx="35">
                  <c:v>71</c:v>
                </c:pt>
                <c:pt idx="36">
                  <c:v>73</c:v>
                </c:pt>
                <c:pt idx="37">
                  <c:v>75</c:v>
                </c:pt>
                <c:pt idx="38">
                  <c:v>77</c:v>
                </c:pt>
                <c:pt idx="39">
                  <c:v>79</c:v>
                </c:pt>
                <c:pt idx="40">
                  <c:v>81</c:v>
                </c:pt>
                <c:pt idx="41">
                  <c:v>83</c:v>
                </c:pt>
                <c:pt idx="42">
                  <c:v>85</c:v>
                </c:pt>
                <c:pt idx="43">
                  <c:v>87</c:v>
                </c:pt>
                <c:pt idx="44">
                  <c:v>89</c:v>
                </c:pt>
                <c:pt idx="45">
                  <c:v>91</c:v>
                </c:pt>
                <c:pt idx="46">
                  <c:v>93</c:v>
                </c:pt>
                <c:pt idx="47">
                  <c:v>95</c:v>
                </c:pt>
                <c:pt idx="48">
                  <c:v>97</c:v>
                </c:pt>
                <c:pt idx="49">
                  <c:v>99</c:v>
                </c:pt>
                <c:pt idx="50">
                  <c:v>101</c:v>
                </c:pt>
                <c:pt idx="51">
                  <c:v>103</c:v>
                </c:pt>
                <c:pt idx="52">
                  <c:v>105</c:v>
                </c:pt>
                <c:pt idx="53">
                  <c:v>107</c:v>
                </c:pt>
                <c:pt idx="54">
                  <c:v>109</c:v>
                </c:pt>
                <c:pt idx="55">
                  <c:v>111</c:v>
                </c:pt>
                <c:pt idx="56">
                  <c:v>113</c:v>
                </c:pt>
                <c:pt idx="57">
                  <c:v>115</c:v>
                </c:pt>
                <c:pt idx="58">
                  <c:v>117</c:v>
                </c:pt>
                <c:pt idx="59">
                  <c:v>119</c:v>
                </c:pt>
                <c:pt idx="60">
                  <c:v>121</c:v>
                </c:pt>
                <c:pt idx="61">
                  <c:v>123</c:v>
                </c:pt>
                <c:pt idx="62">
                  <c:v>125</c:v>
                </c:pt>
                <c:pt idx="63">
                  <c:v>127</c:v>
                </c:pt>
                <c:pt idx="64">
                  <c:v>129</c:v>
                </c:pt>
                <c:pt idx="65">
                  <c:v>131</c:v>
                </c:pt>
                <c:pt idx="66">
                  <c:v>133</c:v>
                </c:pt>
                <c:pt idx="67">
                  <c:v>135</c:v>
                </c:pt>
                <c:pt idx="68">
                  <c:v>137</c:v>
                </c:pt>
                <c:pt idx="69">
                  <c:v>139</c:v>
                </c:pt>
                <c:pt idx="70">
                  <c:v>141</c:v>
                </c:pt>
                <c:pt idx="71">
                  <c:v>143</c:v>
                </c:pt>
                <c:pt idx="72">
                  <c:v>145</c:v>
                </c:pt>
                <c:pt idx="73">
                  <c:v>147</c:v>
                </c:pt>
                <c:pt idx="74">
                  <c:v>149</c:v>
                </c:pt>
                <c:pt idx="75">
                  <c:v>151</c:v>
                </c:pt>
                <c:pt idx="76">
                  <c:v>153</c:v>
                </c:pt>
                <c:pt idx="77">
                  <c:v>155</c:v>
                </c:pt>
                <c:pt idx="78">
                  <c:v>157</c:v>
                </c:pt>
                <c:pt idx="79">
                  <c:v>159</c:v>
                </c:pt>
                <c:pt idx="80">
                  <c:v>161</c:v>
                </c:pt>
                <c:pt idx="81">
                  <c:v>163</c:v>
                </c:pt>
                <c:pt idx="82">
                  <c:v>165</c:v>
                </c:pt>
                <c:pt idx="83">
                  <c:v>167</c:v>
                </c:pt>
                <c:pt idx="84">
                  <c:v>169</c:v>
                </c:pt>
                <c:pt idx="85">
                  <c:v>171</c:v>
                </c:pt>
                <c:pt idx="86">
                  <c:v>173</c:v>
                </c:pt>
                <c:pt idx="87">
                  <c:v>175</c:v>
                </c:pt>
                <c:pt idx="88">
                  <c:v>177</c:v>
                </c:pt>
                <c:pt idx="89">
                  <c:v>179</c:v>
                </c:pt>
                <c:pt idx="90">
                  <c:v>181</c:v>
                </c:pt>
                <c:pt idx="91">
                  <c:v>183</c:v>
                </c:pt>
                <c:pt idx="92">
                  <c:v>185</c:v>
                </c:pt>
                <c:pt idx="93">
                  <c:v>187</c:v>
                </c:pt>
                <c:pt idx="94">
                  <c:v>189</c:v>
                </c:pt>
                <c:pt idx="95">
                  <c:v>191</c:v>
                </c:pt>
                <c:pt idx="96">
                  <c:v>193</c:v>
                </c:pt>
                <c:pt idx="97">
                  <c:v>195</c:v>
                </c:pt>
                <c:pt idx="98">
                  <c:v>197</c:v>
                </c:pt>
                <c:pt idx="99">
                  <c:v>199</c:v>
                </c:pt>
                <c:pt idx="100">
                  <c:v>201</c:v>
                </c:pt>
                <c:pt idx="101">
                  <c:v>203</c:v>
                </c:pt>
                <c:pt idx="102">
                  <c:v>205</c:v>
                </c:pt>
                <c:pt idx="103">
                  <c:v>207</c:v>
                </c:pt>
                <c:pt idx="104">
                  <c:v>209</c:v>
                </c:pt>
                <c:pt idx="105">
                  <c:v>211</c:v>
                </c:pt>
                <c:pt idx="106">
                  <c:v>213</c:v>
                </c:pt>
                <c:pt idx="107">
                  <c:v>215</c:v>
                </c:pt>
                <c:pt idx="108">
                  <c:v>217</c:v>
                </c:pt>
                <c:pt idx="109">
                  <c:v>219</c:v>
                </c:pt>
                <c:pt idx="110">
                  <c:v>221</c:v>
                </c:pt>
                <c:pt idx="111">
                  <c:v>223</c:v>
                </c:pt>
                <c:pt idx="112">
                  <c:v>225</c:v>
                </c:pt>
                <c:pt idx="113">
                  <c:v>227</c:v>
                </c:pt>
                <c:pt idx="114">
                  <c:v>229</c:v>
                </c:pt>
                <c:pt idx="115">
                  <c:v>231</c:v>
                </c:pt>
                <c:pt idx="116">
                  <c:v>233</c:v>
                </c:pt>
                <c:pt idx="117">
                  <c:v>235</c:v>
                </c:pt>
                <c:pt idx="118">
                  <c:v>237</c:v>
                </c:pt>
                <c:pt idx="119">
                  <c:v>239</c:v>
                </c:pt>
                <c:pt idx="120">
                  <c:v>241</c:v>
                </c:pt>
                <c:pt idx="121">
                  <c:v>243</c:v>
                </c:pt>
                <c:pt idx="122">
                  <c:v>245</c:v>
                </c:pt>
                <c:pt idx="123">
                  <c:v>247</c:v>
                </c:pt>
                <c:pt idx="124">
                  <c:v>249</c:v>
                </c:pt>
                <c:pt idx="125">
                  <c:v>251</c:v>
                </c:pt>
                <c:pt idx="126">
                  <c:v>253</c:v>
                </c:pt>
                <c:pt idx="127">
                  <c:v>255</c:v>
                </c:pt>
                <c:pt idx="128">
                  <c:v>257</c:v>
                </c:pt>
                <c:pt idx="129">
                  <c:v>259</c:v>
                </c:pt>
                <c:pt idx="130">
                  <c:v>261</c:v>
                </c:pt>
                <c:pt idx="131">
                  <c:v>263</c:v>
                </c:pt>
                <c:pt idx="132">
                  <c:v>265</c:v>
                </c:pt>
                <c:pt idx="133">
                  <c:v>267</c:v>
                </c:pt>
                <c:pt idx="134">
                  <c:v>269</c:v>
                </c:pt>
                <c:pt idx="135">
                  <c:v>271</c:v>
                </c:pt>
                <c:pt idx="136">
                  <c:v>273</c:v>
                </c:pt>
                <c:pt idx="137">
                  <c:v>275</c:v>
                </c:pt>
                <c:pt idx="138">
                  <c:v>277</c:v>
                </c:pt>
                <c:pt idx="139">
                  <c:v>279</c:v>
                </c:pt>
                <c:pt idx="140">
                  <c:v>281</c:v>
                </c:pt>
                <c:pt idx="141">
                  <c:v>283</c:v>
                </c:pt>
                <c:pt idx="142">
                  <c:v>285</c:v>
                </c:pt>
                <c:pt idx="143">
                  <c:v>287</c:v>
                </c:pt>
                <c:pt idx="144">
                  <c:v>289</c:v>
                </c:pt>
                <c:pt idx="145">
                  <c:v>291</c:v>
                </c:pt>
                <c:pt idx="146">
                  <c:v>293</c:v>
                </c:pt>
                <c:pt idx="147">
                  <c:v>295</c:v>
                </c:pt>
                <c:pt idx="148">
                  <c:v>297</c:v>
                </c:pt>
                <c:pt idx="149">
                  <c:v>299</c:v>
                </c:pt>
                <c:pt idx="150">
                  <c:v>301</c:v>
                </c:pt>
                <c:pt idx="151">
                  <c:v>303</c:v>
                </c:pt>
                <c:pt idx="152">
                  <c:v>305</c:v>
                </c:pt>
                <c:pt idx="153">
                  <c:v>307</c:v>
                </c:pt>
                <c:pt idx="154">
                  <c:v>309</c:v>
                </c:pt>
                <c:pt idx="155">
                  <c:v>311</c:v>
                </c:pt>
                <c:pt idx="156">
                  <c:v>313</c:v>
                </c:pt>
                <c:pt idx="157">
                  <c:v>315</c:v>
                </c:pt>
                <c:pt idx="158">
                  <c:v>317</c:v>
                </c:pt>
                <c:pt idx="159">
                  <c:v>319</c:v>
                </c:pt>
                <c:pt idx="160">
                  <c:v>321</c:v>
                </c:pt>
                <c:pt idx="161">
                  <c:v>323</c:v>
                </c:pt>
                <c:pt idx="162">
                  <c:v>325</c:v>
                </c:pt>
                <c:pt idx="163">
                  <c:v>327</c:v>
                </c:pt>
                <c:pt idx="164">
                  <c:v>329</c:v>
                </c:pt>
                <c:pt idx="165">
                  <c:v>331</c:v>
                </c:pt>
                <c:pt idx="166">
                  <c:v>333</c:v>
                </c:pt>
                <c:pt idx="167">
                  <c:v>335</c:v>
                </c:pt>
                <c:pt idx="168">
                  <c:v>337</c:v>
                </c:pt>
                <c:pt idx="169">
                  <c:v>339</c:v>
                </c:pt>
                <c:pt idx="170">
                  <c:v>341</c:v>
                </c:pt>
                <c:pt idx="171">
                  <c:v>343</c:v>
                </c:pt>
                <c:pt idx="172">
                  <c:v>345</c:v>
                </c:pt>
                <c:pt idx="173">
                  <c:v>347</c:v>
                </c:pt>
                <c:pt idx="174">
                  <c:v>349</c:v>
                </c:pt>
                <c:pt idx="175">
                  <c:v>351</c:v>
                </c:pt>
                <c:pt idx="176">
                  <c:v>353</c:v>
                </c:pt>
                <c:pt idx="177">
                  <c:v>355</c:v>
                </c:pt>
                <c:pt idx="178">
                  <c:v>357</c:v>
                </c:pt>
                <c:pt idx="179">
                  <c:v>359</c:v>
                </c:pt>
                <c:pt idx="180">
                  <c:v>361</c:v>
                </c:pt>
                <c:pt idx="181">
                  <c:v>363</c:v>
                </c:pt>
                <c:pt idx="182">
                  <c:v>365</c:v>
                </c:pt>
                <c:pt idx="183">
                  <c:v>367</c:v>
                </c:pt>
                <c:pt idx="184">
                  <c:v>369</c:v>
                </c:pt>
                <c:pt idx="185">
                  <c:v>371</c:v>
                </c:pt>
                <c:pt idx="186">
                  <c:v>373</c:v>
                </c:pt>
                <c:pt idx="187">
                  <c:v>375</c:v>
                </c:pt>
                <c:pt idx="188">
                  <c:v>377</c:v>
                </c:pt>
                <c:pt idx="189">
                  <c:v>379</c:v>
                </c:pt>
                <c:pt idx="190">
                  <c:v>381</c:v>
                </c:pt>
                <c:pt idx="191">
                  <c:v>383</c:v>
                </c:pt>
                <c:pt idx="192">
                  <c:v>385</c:v>
                </c:pt>
                <c:pt idx="193">
                  <c:v>387</c:v>
                </c:pt>
                <c:pt idx="194">
                  <c:v>389</c:v>
                </c:pt>
                <c:pt idx="195">
                  <c:v>391</c:v>
                </c:pt>
                <c:pt idx="196">
                  <c:v>393</c:v>
                </c:pt>
                <c:pt idx="197">
                  <c:v>395</c:v>
                </c:pt>
                <c:pt idx="198">
                  <c:v>397</c:v>
                </c:pt>
                <c:pt idx="199">
                  <c:v>399</c:v>
                </c:pt>
                <c:pt idx="200">
                  <c:v>401</c:v>
                </c:pt>
                <c:pt idx="201">
                  <c:v>403</c:v>
                </c:pt>
                <c:pt idx="202">
                  <c:v>405</c:v>
                </c:pt>
                <c:pt idx="203">
                  <c:v>407</c:v>
                </c:pt>
                <c:pt idx="204">
                  <c:v>409</c:v>
                </c:pt>
                <c:pt idx="205">
                  <c:v>411</c:v>
                </c:pt>
                <c:pt idx="206">
                  <c:v>413</c:v>
                </c:pt>
                <c:pt idx="207">
                  <c:v>415</c:v>
                </c:pt>
                <c:pt idx="208">
                  <c:v>417</c:v>
                </c:pt>
                <c:pt idx="209">
                  <c:v>419</c:v>
                </c:pt>
                <c:pt idx="210">
                  <c:v>421</c:v>
                </c:pt>
                <c:pt idx="211">
                  <c:v>423</c:v>
                </c:pt>
                <c:pt idx="212">
                  <c:v>425</c:v>
                </c:pt>
                <c:pt idx="213">
                  <c:v>427</c:v>
                </c:pt>
                <c:pt idx="214">
                  <c:v>429</c:v>
                </c:pt>
                <c:pt idx="215">
                  <c:v>431</c:v>
                </c:pt>
                <c:pt idx="216">
                  <c:v>433</c:v>
                </c:pt>
                <c:pt idx="217">
                  <c:v>435</c:v>
                </c:pt>
                <c:pt idx="218">
                  <c:v>437</c:v>
                </c:pt>
                <c:pt idx="219">
                  <c:v>439</c:v>
                </c:pt>
                <c:pt idx="220">
                  <c:v>441</c:v>
                </c:pt>
                <c:pt idx="221">
                  <c:v>443</c:v>
                </c:pt>
                <c:pt idx="222">
                  <c:v>445</c:v>
                </c:pt>
                <c:pt idx="223">
                  <c:v>447</c:v>
                </c:pt>
                <c:pt idx="224">
                  <c:v>449</c:v>
                </c:pt>
                <c:pt idx="225">
                  <c:v>451</c:v>
                </c:pt>
                <c:pt idx="226">
                  <c:v>453</c:v>
                </c:pt>
                <c:pt idx="227">
                  <c:v>455</c:v>
                </c:pt>
                <c:pt idx="228">
                  <c:v>457</c:v>
                </c:pt>
                <c:pt idx="229">
                  <c:v>459</c:v>
                </c:pt>
                <c:pt idx="230">
                  <c:v>461</c:v>
                </c:pt>
                <c:pt idx="231">
                  <c:v>463</c:v>
                </c:pt>
                <c:pt idx="232">
                  <c:v>465</c:v>
                </c:pt>
                <c:pt idx="233">
                  <c:v>467</c:v>
                </c:pt>
                <c:pt idx="234">
                  <c:v>469</c:v>
                </c:pt>
                <c:pt idx="235">
                  <c:v>471</c:v>
                </c:pt>
                <c:pt idx="236">
                  <c:v>473</c:v>
                </c:pt>
                <c:pt idx="237">
                  <c:v>475</c:v>
                </c:pt>
                <c:pt idx="238">
                  <c:v>477</c:v>
                </c:pt>
                <c:pt idx="239">
                  <c:v>479</c:v>
                </c:pt>
                <c:pt idx="240">
                  <c:v>481</c:v>
                </c:pt>
                <c:pt idx="241">
                  <c:v>483</c:v>
                </c:pt>
                <c:pt idx="242">
                  <c:v>485</c:v>
                </c:pt>
                <c:pt idx="243">
                  <c:v>487</c:v>
                </c:pt>
                <c:pt idx="244">
                  <c:v>489</c:v>
                </c:pt>
                <c:pt idx="245">
                  <c:v>491</c:v>
                </c:pt>
                <c:pt idx="246">
                  <c:v>493</c:v>
                </c:pt>
                <c:pt idx="247">
                  <c:v>495</c:v>
                </c:pt>
                <c:pt idx="248">
                  <c:v>497</c:v>
                </c:pt>
                <c:pt idx="249">
                  <c:v>499</c:v>
                </c:pt>
                <c:pt idx="250">
                  <c:v>501</c:v>
                </c:pt>
                <c:pt idx="251">
                  <c:v>503</c:v>
                </c:pt>
                <c:pt idx="252">
                  <c:v>505</c:v>
                </c:pt>
                <c:pt idx="253">
                  <c:v>507</c:v>
                </c:pt>
                <c:pt idx="254">
                  <c:v>509</c:v>
                </c:pt>
                <c:pt idx="255">
                  <c:v>511</c:v>
                </c:pt>
                <c:pt idx="256">
                  <c:v>513</c:v>
                </c:pt>
                <c:pt idx="257">
                  <c:v>515</c:v>
                </c:pt>
                <c:pt idx="258">
                  <c:v>517</c:v>
                </c:pt>
                <c:pt idx="259">
                  <c:v>519</c:v>
                </c:pt>
                <c:pt idx="260">
                  <c:v>521</c:v>
                </c:pt>
                <c:pt idx="261">
                  <c:v>523</c:v>
                </c:pt>
                <c:pt idx="262">
                  <c:v>525</c:v>
                </c:pt>
                <c:pt idx="263">
                  <c:v>527</c:v>
                </c:pt>
                <c:pt idx="264">
                  <c:v>529</c:v>
                </c:pt>
                <c:pt idx="265">
                  <c:v>531</c:v>
                </c:pt>
                <c:pt idx="266">
                  <c:v>533</c:v>
                </c:pt>
                <c:pt idx="267">
                  <c:v>535</c:v>
                </c:pt>
                <c:pt idx="268">
                  <c:v>537</c:v>
                </c:pt>
                <c:pt idx="269">
                  <c:v>539</c:v>
                </c:pt>
                <c:pt idx="270">
                  <c:v>541</c:v>
                </c:pt>
                <c:pt idx="271">
                  <c:v>543</c:v>
                </c:pt>
                <c:pt idx="272">
                  <c:v>545</c:v>
                </c:pt>
                <c:pt idx="273">
                  <c:v>547</c:v>
                </c:pt>
                <c:pt idx="274">
                  <c:v>549</c:v>
                </c:pt>
                <c:pt idx="275">
                  <c:v>551</c:v>
                </c:pt>
                <c:pt idx="276">
                  <c:v>553</c:v>
                </c:pt>
                <c:pt idx="277">
                  <c:v>555</c:v>
                </c:pt>
                <c:pt idx="278">
                  <c:v>557</c:v>
                </c:pt>
                <c:pt idx="279">
                  <c:v>559</c:v>
                </c:pt>
                <c:pt idx="280">
                  <c:v>561</c:v>
                </c:pt>
                <c:pt idx="281">
                  <c:v>563</c:v>
                </c:pt>
                <c:pt idx="282">
                  <c:v>565</c:v>
                </c:pt>
                <c:pt idx="283">
                  <c:v>567</c:v>
                </c:pt>
                <c:pt idx="284">
                  <c:v>569</c:v>
                </c:pt>
                <c:pt idx="285">
                  <c:v>571</c:v>
                </c:pt>
                <c:pt idx="286">
                  <c:v>573</c:v>
                </c:pt>
                <c:pt idx="287">
                  <c:v>575</c:v>
                </c:pt>
                <c:pt idx="288">
                  <c:v>577</c:v>
                </c:pt>
                <c:pt idx="289">
                  <c:v>579</c:v>
                </c:pt>
                <c:pt idx="290">
                  <c:v>581</c:v>
                </c:pt>
                <c:pt idx="291">
                  <c:v>583</c:v>
                </c:pt>
                <c:pt idx="292">
                  <c:v>585</c:v>
                </c:pt>
                <c:pt idx="293">
                  <c:v>587</c:v>
                </c:pt>
                <c:pt idx="294">
                  <c:v>589</c:v>
                </c:pt>
                <c:pt idx="295">
                  <c:v>591</c:v>
                </c:pt>
                <c:pt idx="296">
                  <c:v>593</c:v>
                </c:pt>
                <c:pt idx="297">
                  <c:v>595</c:v>
                </c:pt>
                <c:pt idx="298">
                  <c:v>597</c:v>
                </c:pt>
                <c:pt idx="299">
                  <c:v>599</c:v>
                </c:pt>
                <c:pt idx="300">
                  <c:v>601</c:v>
                </c:pt>
                <c:pt idx="301">
                  <c:v>603</c:v>
                </c:pt>
                <c:pt idx="302">
                  <c:v>605</c:v>
                </c:pt>
                <c:pt idx="303">
                  <c:v>607</c:v>
                </c:pt>
                <c:pt idx="304">
                  <c:v>609</c:v>
                </c:pt>
                <c:pt idx="305">
                  <c:v>611</c:v>
                </c:pt>
                <c:pt idx="306">
                  <c:v>613</c:v>
                </c:pt>
                <c:pt idx="307">
                  <c:v>615</c:v>
                </c:pt>
                <c:pt idx="308">
                  <c:v>617</c:v>
                </c:pt>
                <c:pt idx="309">
                  <c:v>619</c:v>
                </c:pt>
                <c:pt idx="310">
                  <c:v>621</c:v>
                </c:pt>
                <c:pt idx="311">
                  <c:v>623</c:v>
                </c:pt>
                <c:pt idx="312">
                  <c:v>625</c:v>
                </c:pt>
                <c:pt idx="313">
                  <c:v>627</c:v>
                </c:pt>
                <c:pt idx="314">
                  <c:v>629</c:v>
                </c:pt>
                <c:pt idx="315">
                  <c:v>631</c:v>
                </c:pt>
                <c:pt idx="316">
                  <c:v>633</c:v>
                </c:pt>
                <c:pt idx="317">
                  <c:v>635</c:v>
                </c:pt>
                <c:pt idx="318">
                  <c:v>637</c:v>
                </c:pt>
                <c:pt idx="319">
                  <c:v>639</c:v>
                </c:pt>
                <c:pt idx="320">
                  <c:v>641</c:v>
                </c:pt>
                <c:pt idx="321">
                  <c:v>643</c:v>
                </c:pt>
                <c:pt idx="322">
                  <c:v>645</c:v>
                </c:pt>
                <c:pt idx="323">
                  <c:v>647</c:v>
                </c:pt>
                <c:pt idx="324">
                  <c:v>649</c:v>
                </c:pt>
                <c:pt idx="325">
                  <c:v>651</c:v>
                </c:pt>
                <c:pt idx="326">
                  <c:v>653</c:v>
                </c:pt>
                <c:pt idx="327">
                  <c:v>655</c:v>
                </c:pt>
                <c:pt idx="328">
                  <c:v>657</c:v>
                </c:pt>
                <c:pt idx="329">
                  <c:v>659</c:v>
                </c:pt>
                <c:pt idx="330">
                  <c:v>661</c:v>
                </c:pt>
                <c:pt idx="331">
                  <c:v>663</c:v>
                </c:pt>
                <c:pt idx="332">
                  <c:v>665</c:v>
                </c:pt>
                <c:pt idx="333">
                  <c:v>667</c:v>
                </c:pt>
                <c:pt idx="334">
                  <c:v>669</c:v>
                </c:pt>
                <c:pt idx="335">
                  <c:v>671</c:v>
                </c:pt>
                <c:pt idx="336">
                  <c:v>673</c:v>
                </c:pt>
                <c:pt idx="337">
                  <c:v>675</c:v>
                </c:pt>
                <c:pt idx="338">
                  <c:v>677</c:v>
                </c:pt>
                <c:pt idx="339">
                  <c:v>679</c:v>
                </c:pt>
                <c:pt idx="340">
                  <c:v>681</c:v>
                </c:pt>
                <c:pt idx="341">
                  <c:v>683</c:v>
                </c:pt>
                <c:pt idx="342">
                  <c:v>685</c:v>
                </c:pt>
                <c:pt idx="343">
                  <c:v>687</c:v>
                </c:pt>
                <c:pt idx="344">
                  <c:v>689</c:v>
                </c:pt>
                <c:pt idx="345">
                  <c:v>691</c:v>
                </c:pt>
                <c:pt idx="346">
                  <c:v>693</c:v>
                </c:pt>
                <c:pt idx="347">
                  <c:v>695</c:v>
                </c:pt>
                <c:pt idx="348">
                  <c:v>697</c:v>
                </c:pt>
                <c:pt idx="349">
                  <c:v>699</c:v>
                </c:pt>
                <c:pt idx="350">
                  <c:v>701</c:v>
                </c:pt>
                <c:pt idx="351">
                  <c:v>703</c:v>
                </c:pt>
                <c:pt idx="352">
                  <c:v>705</c:v>
                </c:pt>
                <c:pt idx="353">
                  <c:v>707</c:v>
                </c:pt>
                <c:pt idx="354">
                  <c:v>709</c:v>
                </c:pt>
                <c:pt idx="355">
                  <c:v>711</c:v>
                </c:pt>
                <c:pt idx="356">
                  <c:v>713</c:v>
                </c:pt>
                <c:pt idx="357">
                  <c:v>715</c:v>
                </c:pt>
                <c:pt idx="358">
                  <c:v>717</c:v>
                </c:pt>
                <c:pt idx="359">
                  <c:v>719</c:v>
                </c:pt>
                <c:pt idx="360">
                  <c:v>721</c:v>
                </c:pt>
                <c:pt idx="361">
                  <c:v>723</c:v>
                </c:pt>
                <c:pt idx="362">
                  <c:v>725</c:v>
                </c:pt>
                <c:pt idx="363">
                  <c:v>727</c:v>
                </c:pt>
                <c:pt idx="364">
                  <c:v>729</c:v>
                </c:pt>
                <c:pt idx="365">
                  <c:v>731</c:v>
                </c:pt>
                <c:pt idx="366">
                  <c:v>733</c:v>
                </c:pt>
                <c:pt idx="367">
                  <c:v>735</c:v>
                </c:pt>
                <c:pt idx="368">
                  <c:v>737</c:v>
                </c:pt>
                <c:pt idx="369">
                  <c:v>739</c:v>
                </c:pt>
                <c:pt idx="370">
                  <c:v>741</c:v>
                </c:pt>
                <c:pt idx="371">
                  <c:v>743</c:v>
                </c:pt>
                <c:pt idx="372">
                  <c:v>745</c:v>
                </c:pt>
                <c:pt idx="373">
                  <c:v>747</c:v>
                </c:pt>
                <c:pt idx="374">
                  <c:v>749</c:v>
                </c:pt>
                <c:pt idx="375">
                  <c:v>751</c:v>
                </c:pt>
                <c:pt idx="376">
                  <c:v>753</c:v>
                </c:pt>
                <c:pt idx="377">
                  <c:v>755</c:v>
                </c:pt>
                <c:pt idx="378">
                  <c:v>757</c:v>
                </c:pt>
                <c:pt idx="379">
                  <c:v>759</c:v>
                </c:pt>
                <c:pt idx="380">
                  <c:v>761</c:v>
                </c:pt>
                <c:pt idx="381">
                  <c:v>763</c:v>
                </c:pt>
                <c:pt idx="382">
                  <c:v>765</c:v>
                </c:pt>
                <c:pt idx="383">
                  <c:v>767</c:v>
                </c:pt>
                <c:pt idx="384">
                  <c:v>769</c:v>
                </c:pt>
                <c:pt idx="385">
                  <c:v>771</c:v>
                </c:pt>
                <c:pt idx="386">
                  <c:v>773</c:v>
                </c:pt>
                <c:pt idx="387">
                  <c:v>775</c:v>
                </c:pt>
                <c:pt idx="388">
                  <c:v>777</c:v>
                </c:pt>
                <c:pt idx="389">
                  <c:v>779</c:v>
                </c:pt>
                <c:pt idx="390">
                  <c:v>781</c:v>
                </c:pt>
                <c:pt idx="391">
                  <c:v>783</c:v>
                </c:pt>
                <c:pt idx="392">
                  <c:v>785</c:v>
                </c:pt>
                <c:pt idx="393">
                  <c:v>787</c:v>
                </c:pt>
                <c:pt idx="394">
                  <c:v>789</c:v>
                </c:pt>
                <c:pt idx="395">
                  <c:v>791</c:v>
                </c:pt>
                <c:pt idx="396">
                  <c:v>793</c:v>
                </c:pt>
                <c:pt idx="397">
                  <c:v>795</c:v>
                </c:pt>
                <c:pt idx="398">
                  <c:v>797</c:v>
                </c:pt>
                <c:pt idx="399">
                  <c:v>799</c:v>
                </c:pt>
                <c:pt idx="400">
                  <c:v>801</c:v>
                </c:pt>
                <c:pt idx="401">
                  <c:v>803</c:v>
                </c:pt>
                <c:pt idx="402">
                  <c:v>805</c:v>
                </c:pt>
                <c:pt idx="403">
                  <c:v>807</c:v>
                </c:pt>
                <c:pt idx="404">
                  <c:v>809</c:v>
                </c:pt>
                <c:pt idx="405">
                  <c:v>811</c:v>
                </c:pt>
                <c:pt idx="406">
                  <c:v>813</c:v>
                </c:pt>
                <c:pt idx="407">
                  <c:v>815</c:v>
                </c:pt>
                <c:pt idx="408">
                  <c:v>817</c:v>
                </c:pt>
                <c:pt idx="409">
                  <c:v>819</c:v>
                </c:pt>
                <c:pt idx="410">
                  <c:v>821</c:v>
                </c:pt>
                <c:pt idx="411">
                  <c:v>823</c:v>
                </c:pt>
                <c:pt idx="412">
                  <c:v>825</c:v>
                </c:pt>
                <c:pt idx="413">
                  <c:v>827</c:v>
                </c:pt>
                <c:pt idx="414">
                  <c:v>829</c:v>
                </c:pt>
                <c:pt idx="415">
                  <c:v>831</c:v>
                </c:pt>
                <c:pt idx="416">
                  <c:v>833</c:v>
                </c:pt>
                <c:pt idx="417">
                  <c:v>835</c:v>
                </c:pt>
                <c:pt idx="418">
                  <c:v>837</c:v>
                </c:pt>
                <c:pt idx="419">
                  <c:v>839</c:v>
                </c:pt>
                <c:pt idx="420">
                  <c:v>841</c:v>
                </c:pt>
                <c:pt idx="421">
                  <c:v>843</c:v>
                </c:pt>
                <c:pt idx="422">
                  <c:v>845</c:v>
                </c:pt>
                <c:pt idx="423">
                  <c:v>847</c:v>
                </c:pt>
                <c:pt idx="424">
                  <c:v>849</c:v>
                </c:pt>
                <c:pt idx="425">
                  <c:v>851</c:v>
                </c:pt>
                <c:pt idx="426">
                  <c:v>853</c:v>
                </c:pt>
                <c:pt idx="427">
                  <c:v>855</c:v>
                </c:pt>
                <c:pt idx="428">
                  <c:v>857</c:v>
                </c:pt>
                <c:pt idx="429">
                  <c:v>859</c:v>
                </c:pt>
                <c:pt idx="430">
                  <c:v>861</c:v>
                </c:pt>
                <c:pt idx="431">
                  <c:v>863</c:v>
                </c:pt>
                <c:pt idx="432">
                  <c:v>865</c:v>
                </c:pt>
                <c:pt idx="433">
                  <c:v>867</c:v>
                </c:pt>
                <c:pt idx="434">
                  <c:v>869</c:v>
                </c:pt>
                <c:pt idx="435">
                  <c:v>871</c:v>
                </c:pt>
                <c:pt idx="436">
                  <c:v>873</c:v>
                </c:pt>
                <c:pt idx="437">
                  <c:v>875</c:v>
                </c:pt>
                <c:pt idx="438">
                  <c:v>877</c:v>
                </c:pt>
                <c:pt idx="439">
                  <c:v>879</c:v>
                </c:pt>
                <c:pt idx="440">
                  <c:v>881</c:v>
                </c:pt>
                <c:pt idx="441">
                  <c:v>883</c:v>
                </c:pt>
                <c:pt idx="442">
                  <c:v>885</c:v>
                </c:pt>
                <c:pt idx="443">
                  <c:v>887</c:v>
                </c:pt>
                <c:pt idx="444">
                  <c:v>889</c:v>
                </c:pt>
                <c:pt idx="445">
                  <c:v>891</c:v>
                </c:pt>
                <c:pt idx="446">
                  <c:v>893</c:v>
                </c:pt>
                <c:pt idx="447">
                  <c:v>895</c:v>
                </c:pt>
                <c:pt idx="448">
                  <c:v>897</c:v>
                </c:pt>
                <c:pt idx="449">
                  <c:v>899</c:v>
                </c:pt>
                <c:pt idx="450">
                  <c:v>901</c:v>
                </c:pt>
                <c:pt idx="451">
                  <c:v>903</c:v>
                </c:pt>
                <c:pt idx="452">
                  <c:v>905</c:v>
                </c:pt>
                <c:pt idx="453">
                  <c:v>907</c:v>
                </c:pt>
                <c:pt idx="454">
                  <c:v>909</c:v>
                </c:pt>
                <c:pt idx="455">
                  <c:v>911</c:v>
                </c:pt>
                <c:pt idx="456">
                  <c:v>913</c:v>
                </c:pt>
                <c:pt idx="457">
                  <c:v>915</c:v>
                </c:pt>
                <c:pt idx="458">
                  <c:v>917</c:v>
                </c:pt>
                <c:pt idx="459">
                  <c:v>919</c:v>
                </c:pt>
                <c:pt idx="460">
                  <c:v>921</c:v>
                </c:pt>
                <c:pt idx="461">
                  <c:v>923</c:v>
                </c:pt>
                <c:pt idx="462">
                  <c:v>925</c:v>
                </c:pt>
                <c:pt idx="463">
                  <c:v>927</c:v>
                </c:pt>
                <c:pt idx="464">
                  <c:v>929</c:v>
                </c:pt>
                <c:pt idx="465">
                  <c:v>931</c:v>
                </c:pt>
                <c:pt idx="466">
                  <c:v>933</c:v>
                </c:pt>
                <c:pt idx="467">
                  <c:v>935</c:v>
                </c:pt>
                <c:pt idx="468">
                  <c:v>937</c:v>
                </c:pt>
                <c:pt idx="469">
                  <c:v>939</c:v>
                </c:pt>
                <c:pt idx="470">
                  <c:v>941</c:v>
                </c:pt>
                <c:pt idx="471">
                  <c:v>943</c:v>
                </c:pt>
                <c:pt idx="472">
                  <c:v>945</c:v>
                </c:pt>
                <c:pt idx="473">
                  <c:v>947</c:v>
                </c:pt>
                <c:pt idx="474">
                  <c:v>949</c:v>
                </c:pt>
                <c:pt idx="475">
                  <c:v>951</c:v>
                </c:pt>
                <c:pt idx="476">
                  <c:v>953</c:v>
                </c:pt>
                <c:pt idx="477">
                  <c:v>955</c:v>
                </c:pt>
                <c:pt idx="478">
                  <c:v>957</c:v>
                </c:pt>
                <c:pt idx="479">
                  <c:v>959</c:v>
                </c:pt>
                <c:pt idx="480">
                  <c:v>961</c:v>
                </c:pt>
                <c:pt idx="481">
                  <c:v>963</c:v>
                </c:pt>
                <c:pt idx="482">
                  <c:v>965</c:v>
                </c:pt>
                <c:pt idx="483">
                  <c:v>967</c:v>
                </c:pt>
                <c:pt idx="484">
                  <c:v>969</c:v>
                </c:pt>
                <c:pt idx="485">
                  <c:v>971</c:v>
                </c:pt>
                <c:pt idx="486">
                  <c:v>973</c:v>
                </c:pt>
                <c:pt idx="487">
                  <c:v>975</c:v>
                </c:pt>
                <c:pt idx="488">
                  <c:v>977</c:v>
                </c:pt>
                <c:pt idx="489">
                  <c:v>979</c:v>
                </c:pt>
                <c:pt idx="490">
                  <c:v>981</c:v>
                </c:pt>
                <c:pt idx="491">
                  <c:v>983</c:v>
                </c:pt>
                <c:pt idx="492">
                  <c:v>985</c:v>
                </c:pt>
                <c:pt idx="493">
                  <c:v>987</c:v>
                </c:pt>
                <c:pt idx="494">
                  <c:v>989</c:v>
                </c:pt>
                <c:pt idx="495">
                  <c:v>991</c:v>
                </c:pt>
                <c:pt idx="496">
                  <c:v>993</c:v>
                </c:pt>
                <c:pt idx="497">
                  <c:v>995</c:v>
                </c:pt>
                <c:pt idx="498">
                  <c:v>997</c:v>
                </c:pt>
                <c:pt idx="499">
                  <c:v>999</c:v>
                </c:pt>
                <c:pt idx="500">
                  <c:v>1001</c:v>
                </c:pt>
                <c:pt idx="501">
                  <c:v>1003</c:v>
                </c:pt>
                <c:pt idx="502">
                  <c:v>1005</c:v>
                </c:pt>
                <c:pt idx="503">
                  <c:v>1007</c:v>
                </c:pt>
                <c:pt idx="504">
                  <c:v>1009</c:v>
                </c:pt>
                <c:pt idx="505">
                  <c:v>1011</c:v>
                </c:pt>
                <c:pt idx="506">
                  <c:v>1013</c:v>
                </c:pt>
                <c:pt idx="507">
                  <c:v>1015</c:v>
                </c:pt>
                <c:pt idx="508">
                  <c:v>1017</c:v>
                </c:pt>
                <c:pt idx="509">
                  <c:v>1019</c:v>
                </c:pt>
                <c:pt idx="510">
                  <c:v>1021</c:v>
                </c:pt>
                <c:pt idx="511">
                  <c:v>1023</c:v>
                </c:pt>
                <c:pt idx="512">
                  <c:v>1025</c:v>
                </c:pt>
                <c:pt idx="513">
                  <c:v>1027</c:v>
                </c:pt>
                <c:pt idx="514">
                  <c:v>1029</c:v>
                </c:pt>
                <c:pt idx="515">
                  <c:v>1031</c:v>
                </c:pt>
                <c:pt idx="516">
                  <c:v>1033</c:v>
                </c:pt>
                <c:pt idx="517">
                  <c:v>1035</c:v>
                </c:pt>
                <c:pt idx="518">
                  <c:v>1037</c:v>
                </c:pt>
                <c:pt idx="519">
                  <c:v>1039</c:v>
                </c:pt>
                <c:pt idx="520">
                  <c:v>1041</c:v>
                </c:pt>
                <c:pt idx="521">
                  <c:v>1043</c:v>
                </c:pt>
                <c:pt idx="522">
                  <c:v>1045</c:v>
                </c:pt>
                <c:pt idx="523">
                  <c:v>1047</c:v>
                </c:pt>
                <c:pt idx="524">
                  <c:v>1049</c:v>
                </c:pt>
                <c:pt idx="525">
                  <c:v>1051</c:v>
                </c:pt>
                <c:pt idx="526">
                  <c:v>1053</c:v>
                </c:pt>
                <c:pt idx="527">
                  <c:v>1055</c:v>
                </c:pt>
                <c:pt idx="528">
                  <c:v>1057</c:v>
                </c:pt>
                <c:pt idx="529">
                  <c:v>1059</c:v>
                </c:pt>
                <c:pt idx="530">
                  <c:v>1061</c:v>
                </c:pt>
                <c:pt idx="531">
                  <c:v>1063</c:v>
                </c:pt>
                <c:pt idx="532">
                  <c:v>1065</c:v>
                </c:pt>
                <c:pt idx="533">
                  <c:v>1067</c:v>
                </c:pt>
                <c:pt idx="534">
                  <c:v>1069</c:v>
                </c:pt>
                <c:pt idx="535">
                  <c:v>1071</c:v>
                </c:pt>
                <c:pt idx="536">
                  <c:v>1073</c:v>
                </c:pt>
                <c:pt idx="537">
                  <c:v>1075</c:v>
                </c:pt>
                <c:pt idx="538">
                  <c:v>1077</c:v>
                </c:pt>
                <c:pt idx="539">
                  <c:v>1079</c:v>
                </c:pt>
                <c:pt idx="540">
                  <c:v>1081</c:v>
                </c:pt>
                <c:pt idx="541">
                  <c:v>1083</c:v>
                </c:pt>
                <c:pt idx="542">
                  <c:v>1085</c:v>
                </c:pt>
                <c:pt idx="543">
                  <c:v>1087</c:v>
                </c:pt>
                <c:pt idx="544">
                  <c:v>1089</c:v>
                </c:pt>
                <c:pt idx="545">
                  <c:v>1091</c:v>
                </c:pt>
                <c:pt idx="546">
                  <c:v>1093</c:v>
                </c:pt>
                <c:pt idx="547">
                  <c:v>1095</c:v>
                </c:pt>
                <c:pt idx="548">
                  <c:v>1097</c:v>
                </c:pt>
                <c:pt idx="549">
                  <c:v>1099</c:v>
                </c:pt>
                <c:pt idx="550">
                  <c:v>1101</c:v>
                </c:pt>
                <c:pt idx="551">
                  <c:v>1103</c:v>
                </c:pt>
                <c:pt idx="552">
                  <c:v>1105</c:v>
                </c:pt>
                <c:pt idx="553">
                  <c:v>1107</c:v>
                </c:pt>
                <c:pt idx="554">
                  <c:v>1109</c:v>
                </c:pt>
                <c:pt idx="555">
                  <c:v>1111</c:v>
                </c:pt>
                <c:pt idx="556">
                  <c:v>1113</c:v>
                </c:pt>
                <c:pt idx="557">
                  <c:v>1115</c:v>
                </c:pt>
                <c:pt idx="558">
                  <c:v>1117</c:v>
                </c:pt>
                <c:pt idx="559">
                  <c:v>1119</c:v>
                </c:pt>
                <c:pt idx="560">
                  <c:v>1121</c:v>
                </c:pt>
                <c:pt idx="561">
                  <c:v>1123</c:v>
                </c:pt>
                <c:pt idx="562">
                  <c:v>1125</c:v>
                </c:pt>
                <c:pt idx="563">
                  <c:v>1127</c:v>
                </c:pt>
                <c:pt idx="564">
                  <c:v>1129</c:v>
                </c:pt>
                <c:pt idx="565">
                  <c:v>1131</c:v>
                </c:pt>
                <c:pt idx="566">
                  <c:v>1133</c:v>
                </c:pt>
                <c:pt idx="567">
                  <c:v>1135</c:v>
                </c:pt>
                <c:pt idx="568">
                  <c:v>1137</c:v>
                </c:pt>
                <c:pt idx="569">
                  <c:v>1139</c:v>
                </c:pt>
                <c:pt idx="570">
                  <c:v>1141</c:v>
                </c:pt>
                <c:pt idx="571">
                  <c:v>1143</c:v>
                </c:pt>
                <c:pt idx="572">
                  <c:v>1145</c:v>
                </c:pt>
                <c:pt idx="573">
                  <c:v>1147</c:v>
                </c:pt>
                <c:pt idx="574">
                  <c:v>1149</c:v>
                </c:pt>
                <c:pt idx="575">
                  <c:v>1151</c:v>
                </c:pt>
                <c:pt idx="576">
                  <c:v>1153</c:v>
                </c:pt>
                <c:pt idx="577">
                  <c:v>1155</c:v>
                </c:pt>
                <c:pt idx="578">
                  <c:v>1157</c:v>
                </c:pt>
                <c:pt idx="579">
                  <c:v>1159</c:v>
                </c:pt>
                <c:pt idx="580">
                  <c:v>1161</c:v>
                </c:pt>
                <c:pt idx="581">
                  <c:v>1163</c:v>
                </c:pt>
                <c:pt idx="582">
                  <c:v>1165</c:v>
                </c:pt>
                <c:pt idx="583">
                  <c:v>1167</c:v>
                </c:pt>
                <c:pt idx="584">
                  <c:v>1169</c:v>
                </c:pt>
                <c:pt idx="585">
                  <c:v>1171</c:v>
                </c:pt>
                <c:pt idx="586">
                  <c:v>1173</c:v>
                </c:pt>
                <c:pt idx="587">
                  <c:v>1175</c:v>
                </c:pt>
                <c:pt idx="588">
                  <c:v>1177</c:v>
                </c:pt>
                <c:pt idx="589">
                  <c:v>1179</c:v>
                </c:pt>
                <c:pt idx="590">
                  <c:v>1181</c:v>
                </c:pt>
                <c:pt idx="591">
                  <c:v>1183</c:v>
                </c:pt>
                <c:pt idx="592">
                  <c:v>1185</c:v>
                </c:pt>
                <c:pt idx="593">
                  <c:v>1187</c:v>
                </c:pt>
                <c:pt idx="594">
                  <c:v>1189</c:v>
                </c:pt>
                <c:pt idx="595">
                  <c:v>1191</c:v>
                </c:pt>
                <c:pt idx="596">
                  <c:v>1193</c:v>
                </c:pt>
                <c:pt idx="597">
                  <c:v>1195</c:v>
                </c:pt>
                <c:pt idx="598">
                  <c:v>1197</c:v>
                </c:pt>
                <c:pt idx="599">
                  <c:v>1199</c:v>
                </c:pt>
                <c:pt idx="600">
                  <c:v>1201</c:v>
                </c:pt>
                <c:pt idx="601">
                  <c:v>1203</c:v>
                </c:pt>
                <c:pt idx="602">
                  <c:v>1205</c:v>
                </c:pt>
                <c:pt idx="603">
                  <c:v>1207</c:v>
                </c:pt>
                <c:pt idx="604">
                  <c:v>1209</c:v>
                </c:pt>
                <c:pt idx="605">
                  <c:v>1211</c:v>
                </c:pt>
                <c:pt idx="606">
                  <c:v>1213</c:v>
                </c:pt>
                <c:pt idx="607">
                  <c:v>1215</c:v>
                </c:pt>
                <c:pt idx="608">
                  <c:v>1217</c:v>
                </c:pt>
                <c:pt idx="609">
                  <c:v>1219</c:v>
                </c:pt>
                <c:pt idx="610">
                  <c:v>1221</c:v>
                </c:pt>
                <c:pt idx="611">
                  <c:v>1223</c:v>
                </c:pt>
                <c:pt idx="612">
                  <c:v>1225</c:v>
                </c:pt>
                <c:pt idx="613">
                  <c:v>1227</c:v>
                </c:pt>
                <c:pt idx="614">
                  <c:v>1229</c:v>
                </c:pt>
                <c:pt idx="615">
                  <c:v>1231</c:v>
                </c:pt>
                <c:pt idx="616">
                  <c:v>1233</c:v>
                </c:pt>
                <c:pt idx="617">
                  <c:v>1235</c:v>
                </c:pt>
                <c:pt idx="618">
                  <c:v>1237</c:v>
                </c:pt>
                <c:pt idx="619">
                  <c:v>1239</c:v>
                </c:pt>
                <c:pt idx="620">
                  <c:v>1241</c:v>
                </c:pt>
                <c:pt idx="621">
                  <c:v>1243</c:v>
                </c:pt>
                <c:pt idx="622">
                  <c:v>1245</c:v>
                </c:pt>
                <c:pt idx="623">
                  <c:v>1247</c:v>
                </c:pt>
                <c:pt idx="624">
                  <c:v>1249</c:v>
                </c:pt>
                <c:pt idx="625">
                  <c:v>1251</c:v>
                </c:pt>
                <c:pt idx="626">
                  <c:v>1253</c:v>
                </c:pt>
                <c:pt idx="627">
                  <c:v>1255</c:v>
                </c:pt>
                <c:pt idx="628">
                  <c:v>1257</c:v>
                </c:pt>
                <c:pt idx="629">
                  <c:v>1259</c:v>
                </c:pt>
                <c:pt idx="630">
                  <c:v>1261</c:v>
                </c:pt>
                <c:pt idx="631">
                  <c:v>1263</c:v>
                </c:pt>
                <c:pt idx="632">
                  <c:v>1265</c:v>
                </c:pt>
                <c:pt idx="633">
                  <c:v>1267</c:v>
                </c:pt>
                <c:pt idx="634">
                  <c:v>1269</c:v>
                </c:pt>
                <c:pt idx="635">
                  <c:v>1271</c:v>
                </c:pt>
                <c:pt idx="636">
                  <c:v>1273</c:v>
                </c:pt>
                <c:pt idx="637">
                  <c:v>1275</c:v>
                </c:pt>
                <c:pt idx="638">
                  <c:v>1277</c:v>
                </c:pt>
                <c:pt idx="639">
                  <c:v>1279</c:v>
                </c:pt>
                <c:pt idx="640">
                  <c:v>1281</c:v>
                </c:pt>
                <c:pt idx="641">
                  <c:v>1283</c:v>
                </c:pt>
                <c:pt idx="642">
                  <c:v>1285</c:v>
                </c:pt>
                <c:pt idx="643">
                  <c:v>1287</c:v>
                </c:pt>
                <c:pt idx="644">
                  <c:v>1289</c:v>
                </c:pt>
                <c:pt idx="645">
                  <c:v>1291</c:v>
                </c:pt>
                <c:pt idx="646">
                  <c:v>1293</c:v>
                </c:pt>
                <c:pt idx="647">
                  <c:v>1295</c:v>
                </c:pt>
                <c:pt idx="648">
                  <c:v>1297</c:v>
                </c:pt>
                <c:pt idx="649">
                  <c:v>1299</c:v>
                </c:pt>
                <c:pt idx="650">
                  <c:v>1301</c:v>
                </c:pt>
                <c:pt idx="651">
                  <c:v>1303</c:v>
                </c:pt>
                <c:pt idx="652">
                  <c:v>1305</c:v>
                </c:pt>
                <c:pt idx="653">
                  <c:v>1307</c:v>
                </c:pt>
                <c:pt idx="654">
                  <c:v>1309</c:v>
                </c:pt>
                <c:pt idx="655">
                  <c:v>1311</c:v>
                </c:pt>
                <c:pt idx="656">
                  <c:v>1313</c:v>
                </c:pt>
                <c:pt idx="657">
                  <c:v>1315</c:v>
                </c:pt>
                <c:pt idx="658">
                  <c:v>1317</c:v>
                </c:pt>
                <c:pt idx="659">
                  <c:v>1319</c:v>
                </c:pt>
                <c:pt idx="660">
                  <c:v>1321</c:v>
                </c:pt>
                <c:pt idx="661">
                  <c:v>1323</c:v>
                </c:pt>
                <c:pt idx="662">
                  <c:v>1325</c:v>
                </c:pt>
                <c:pt idx="663">
                  <c:v>1327</c:v>
                </c:pt>
                <c:pt idx="664">
                  <c:v>1329</c:v>
                </c:pt>
                <c:pt idx="665">
                  <c:v>1331</c:v>
                </c:pt>
                <c:pt idx="666">
                  <c:v>1333</c:v>
                </c:pt>
                <c:pt idx="667">
                  <c:v>1335</c:v>
                </c:pt>
                <c:pt idx="668">
                  <c:v>1337</c:v>
                </c:pt>
                <c:pt idx="669">
                  <c:v>1339</c:v>
                </c:pt>
                <c:pt idx="670">
                  <c:v>1341</c:v>
                </c:pt>
                <c:pt idx="671">
                  <c:v>1343</c:v>
                </c:pt>
                <c:pt idx="672">
                  <c:v>1345</c:v>
                </c:pt>
                <c:pt idx="673">
                  <c:v>1347</c:v>
                </c:pt>
                <c:pt idx="674">
                  <c:v>1349</c:v>
                </c:pt>
                <c:pt idx="675">
                  <c:v>1351</c:v>
                </c:pt>
                <c:pt idx="676">
                  <c:v>1353</c:v>
                </c:pt>
                <c:pt idx="677">
                  <c:v>1355</c:v>
                </c:pt>
                <c:pt idx="678">
                  <c:v>1357</c:v>
                </c:pt>
              </c:numCache>
            </c:numRef>
          </c:xVal>
          <c:yVal>
            <c:numRef>
              <c:f>Data!$N$2:$N$1001</c:f>
              <c:numCache>
                <c:formatCode>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numCache>
            </c:numRef>
          </c:yVal>
          <c:smooth val="1"/>
        </c:ser>
        <c:ser>
          <c:idx val="11"/>
          <c:order val="11"/>
          <c:tx>
            <c:strRef>
              <c:f>Data!$O$1</c:f>
              <c:strCache>
                <c:ptCount val="1"/>
                <c:pt idx="0">
                  <c:v>Peak 10</c:v>
                </c:pt>
              </c:strCache>
            </c:strRef>
          </c:tx>
          <c:spPr>
            <a:ln w="12700">
              <a:solidFill>
                <a:srgbClr val="FFFF99"/>
              </a:solidFill>
              <a:prstDash val="solid"/>
            </a:ln>
          </c:spPr>
          <c:marker>
            <c:symbol val="none"/>
          </c:marker>
          <c:xVal>
            <c:numRef>
              <c:f>Data!$A$2:$A$1001</c:f>
              <c:numCache>
                <c:formatCode>0.000</c:formatCode>
                <c:ptCount val="1000"/>
                <c:pt idx="0">
                  <c:v>1</c:v>
                </c:pt>
                <c:pt idx="1">
                  <c:v>3</c:v>
                </c:pt>
                <c:pt idx="2">
                  <c:v>5</c:v>
                </c:pt>
                <c:pt idx="3">
                  <c:v>7</c:v>
                </c:pt>
                <c:pt idx="4">
                  <c:v>9</c:v>
                </c:pt>
                <c:pt idx="5">
                  <c:v>11</c:v>
                </c:pt>
                <c:pt idx="6">
                  <c:v>13</c:v>
                </c:pt>
                <c:pt idx="7">
                  <c:v>15</c:v>
                </c:pt>
                <c:pt idx="8">
                  <c:v>17</c:v>
                </c:pt>
                <c:pt idx="9">
                  <c:v>19</c:v>
                </c:pt>
                <c:pt idx="10">
                  <c:v>21</c:v>
                </c:pt>
                <c:pt idx="11">
                  <c:v>23</c:v>
                </c:pt>
                <c:pt idx="12">
                  <c:v>25</c:v>
                </c:pt>
                <c:pt idx="13">
                  <c:v>27</c:v>
                </c:pt>
                <c:pt idx="14">
                  <c:v>29</c:v>
                </c:pt>
                <c:pt idx="15">
                  <c:v>31</c:v>
                </c:pt>
                <c:pt idx="16">
                  <c:v>33</c:v>
                </c:pt>
                <c:pt idx="17">
                  <c:v>35</c:v>
                </c:pt>
                <c:pt idx="18">
                  <c:v>37</c:v>
                </c:pt>
                <c:pt idx="19">
                  <c:v>39</c:v>
                </c:pt>
                <c:pt idx="20">
                  <c:v>41</c:v>
                </c:pt>
                <c:pt idx="21">
                  <c:v>43</c:v>
                </c:pt>
                <c:pt idx="22">
                  <c:v>45</c:v>
                </c:pt>
                <c:pt idx="23">
                  <c:v>47</c:v>
                </c:pt>
                <c:pt idx="24">
                  <c:v>49</c:v>
                </c:pt>
                <c:pt idx="25">
                  <c:v>51</c:v>
                </c:pt>
                <c:pt idx="26">
                  <c:v>53</c:v>
                </c:pt>
                <c:pt idx="27">
                  <c:v>55</c:v>
                </c:pt>
                <c:pt idx="28">
                  <c:v>57</c:v>
                </c:pt>
                <c:pt idx="29">
                  <c:v>59</c:v>
                </c:pt>
                <c:pt idx="30">
                  <c:v>61</c:v>
                </c:pt>
                <c:pt idx="31">
                  <c:v>63</c:v>
                </c:pt>
                <c:pt idx="32">
                  <c:v>65</c:v>
                </c:pt>
                <c:pt idx="33">
                  <c:v>67</c:v>
                </c:pt>
                <c:pt idx="34">
                  <c:v>69</c:v>
                </c:pt>
                <c:pt idx="35">
                  <c:v>71</c:v>
                </c:pt>
                <c:pt idx="36">
                  <c:v>73</c:v>
                </c:pt>
                <c:pt idx="37">
                  <c:v>75</c:v>
                </c:pt>
                <c:pt idx="38">
                  <c:v>77</c:v>
                </c:pt>
                <c:pt idx="39">
                  <c:v>79</c:v>
                </c:pt>
                <c:pt idx="40">
                  <c:v>81</c:v>
                </c:pt>
                <c:pt idx="41">
                  <c:v>83</c:v>
                </c:pt>
                <c:pt idx="42">
                  <c:v>85</c:v>
                </c:pt>
                <c:pt idx="43">
                  <c:v>87</c:v>
                </c:pt>
                <c:pt idx="44">
                  <c:v>89</c:v>
                </c:pt>
                <c:pt idx="45">
                  <c:v>91</c:v>
                </c:pt>
                <c:pt idx="46">
                  <c:v>93</c:v>
                </c:pt>
                <c:pt idx="47">
                  <c:v>95</c:v>
                </c:pt>
                <c:pt idx="48">
                  <c:v>97</c:v>
                </c:pt>
                <c:pt idx="49">
                  <c:v>99</c:v>
                </c:pt>
                <c:pt idx="50">
                  <c:v>101</c:v>
                </c:pt>
                <c:pt idx="51">
                  <c:v>103</c:v>
                </c:pt>
                <c:pt idx="52">
                  <c:v>105</c:v>
                </c:pt>
                <c:pt idx="53">
                  <c:v>107</c:v>
                </c:pt>
                <c:pt idx="54">
                  <c:v>109</c:v>
                </c:pt>
                <c:pt idx="55">
                  <c:v>111</c:v>
                </c:pt>
                <c:pt idx="56">
                  <c:v>113</c:v>
                </c:pt>
                <c:pt idx="57">
                  <c:v>115</c:v>
                </c:pt>
                <c:pt idx="58">
                  <c:v>117</c:v>
                </c:pt>
                <c:pt idx="59">
                  <c:v>119</c:v>
                </c:pt>
                <c:pt idx="60">
                  <c:v>121</c:v>
                </c:pt>
                <c:pt idx="61">
                  <c:v>123</c:v>
                </c:pt>
                <c:pt idx="62">
                  <c:v>125</c:v>
                </c:pt>
                <c:pt idx="63">
                  <c:v>127</c:v>
                </c:pt>
                <c:pt idx="64">
                  <c:v>129</c:v>
                </c:pt>
                <c:pt idx="65">
                  <c:v>131</c:v>
                </c:pt>
                <c:pt idx="66">
                  <c:v>133</c:v>
                </c:pt>
                <c:pt idx="67">
                  <c:v>135</c:v>
                </c:pt>
                <c:pt idx="68">
                  <c:v>137</c:v>
                </c:pt>
                <c:pt idx="69">
                  <c:v>139</c:v>
                </c:pt>
                <c:pt idx="70">
                  <c:v>141</c:v>
                </c:pt>
                <c:pt idx="71">
                  <c:v>143</c:v>
                </c:pt>
                <c:pt idx="72">
                  <c:v>145</c:v>
                </c:pt>
                <c:pt idx="73">
                  <c:v>147</c:v>
                </c:pt>
                <c:pt idx="74">
                  <c:v>149</c:v>
                </c:pt>
                <c:pt idx="75">
                  <c:v>151</c:v>
                </c:pt>
                <c:pt idx="76">
                  <c:v>153</c:v>
                </c:pt>
                <c:pt idx="77">
                  <c:v>155</c:v>
                </c:pt>
                <c:pt idx="78">
                  <c:v>157</c:v>
                </c:pt>
                <c:pt idx="79">
                  <c:v>159</c:v>
                </c:pt>
                <c:pt idx="80">
                  <c:v>161</c:v>
                </c:pt>
                <c:pt idx="81">
                  <c:v>163</c:v>
                </c:pt>
                <c:pt idx="82">
                  <c:v>165</c:v>
                </c:pt>
                <c:pt idx="83">
                  <c:v>167</c:v>
                </c:pt>
                <c:pt idx="84">
                  <c:v>169</c:v>
                </c:pt>
                <c:pt idx="85">
                  <c:v>171</c:v>
                </c:pt>
                <c:pt idx="86">
                  <c:v>173</c:v>
                </c:pt>
                <c:pt idx="87">
                  <c:v>175</c:v>
                </c:pt>
                <c:pt idx="88">
                  <c:v>177</c:v>
                </c:pt>
                <c:pt idx="89">
                  <c:v>179</c:v>
                </c:pt>
                <c:pt idx="90">
                  <c:v>181</c:v>
                </c:pt>
                <c:pt idx="91">
                  <c:v>183</c:v>
                </c:pt>
                <c:pt idx="92">
                  <c:v>185</c:v>
                </c:pt>
                <c:pt idx="93">
                  <c:v>187</c:v>
                </c:pt>
                <c:pt idx="94">
                  <c:v>189</c:v>
                </c:pt>
                <c:pt idx="95">
                  <c:v>191</c:v>
                </c:pt>
                <c:pt idx="96">
                  <c:v>193</c:v>
                </c:pt>
                <c:pt idx="97">
                  <c:v>195</c:v>
                </c:pt>
                <c:pt idx="98">
                  <c:v>197</c:v>
                </c:pt>
                <c:pt idx="99">
                  <c:v>199</c:v>
                </c:pt>
                <c:pt idx="100">
                  <c:v>201</c:v>
                </c:pt>
                <c:pt idx="101">
                  <c:v>203</c:v>
                </c:pt>
                <c:pt idx="102">
                  <c:v>205</c:v>
                </c:pt>
                <c:pt idx="103">
                  <c:v>207</c:v>
                </c:pt>
                <c:pt idx="104">
                  <c:v>209</c:v>
                </c:pt>
                <c:pt idx="105">
                  <c:v>211</c:v>
                </c:pt>
                <c:pt idx="106">
                  <c:v>213</c:v>
                </c:pt>
                <c:pt idx="107">
                  <c:v>215</c:v>
                </c:pt>
                <c:pt idx="108">
                  <c:v>217</c:v>
                </c:pt>
                <c:pt idx="109">
                  <c:v>219</c:v>
                </c:pt>
                <c:pt idx="110">
                  <c:v>221</c:v>
                </c:pt>
                <c:pt idx="111">
                  <c:v>223</c:v>
                </c:pt>
                <c:pt idx="112">
                  <c:v>225</c:v>
                </c:pt>
                <c:pt idx="113">
                  <c:v>227</c:v>
                </c:pt>
                <c:pt idx="114">
                  <c:v>229</c:v>
                </c:pt>
                <c:pt idx="115">
                  <c:v>231</c:v>
                </c:pt>
                <c:pt idx="116">
                  <c:v>233</c:v>
                </c:pt>
                <c:pt idx="117">
                  <c:v>235</c:v>
                </c:pt>
                <c:pt idx="118">
                  <c:v>237</c:v>
                </c:pt>
                <c:pt idx="119">
                  <c:v>239</c:v>
                </c:pt>
                <c:pt idx="120">
                  <c:v>241</c:v>
                </c:pt>
                <c:pt idx="121">
                  <c:v>243</c:v>
                </c:pt>
                <c:pt idx="122">
                  <c:v>245</c:v>
                </c:pt>
                <c:pt idx="123">
                  <c:v>247</c:v>
                </c:pt>
                <c:pt idx="124">
                  <c:v>249</c:v>
                </c:pt>
                <c:pt idx="125">
                  <c:v>251</c:v>
                </c:pt>
                <c:pt idx="126">
                  <c:v>253</c:v>
                </c:pt>
                <c:pt idx="127">
                  <c:v>255</c:v>
                </c:pt>
                <c:pt idx="128">
                  <c:v>257</c:v>
                </c:pt>
                <c:pt idx="129">
                  <c:v>259</c:v>
                </c:pt>
                <c:pt idx="130">
                  <c:v>261</c:v>
                </c:pt>
                <c:pt idx="131">
                  <c:v>263</c:v>
                </c:pt>
                <c:pt idx="132">
                  <c:v>265</c:v>
                </c:pt>
                <c:pt idx="133">
                  <c:v>267</c:v>
                </c:pt>
                <c:pt idx="134">
                  <c:v>269</c:v>
                </c:pt>
                <c:pt idx="135">
                  <c:v>271</c:v>
                </c:pt>
                <c:pt idx="136">
                  <c:v>273</c:v>
                </c:pt>
                <c:pt idx="137">
                  <c:v>275</c:v>
                </c:pt>
                <c:pt idx="138">
                  <c:v>277</c:v>
                </c:pt>
                <c:pt idx="139">
                  <c:v>279</c:v>
                </c:pt>
                <c:pt idx="140">
                  <c:v>281</c:v>
                </c:pt>
                <c:pt idx="141">
                  <c:v>283</c:v>
                </c:pt>
                <c:pt idx="142">
                  <c:v>285</c:v>
                </c:pt>
                <c:pt idx="143">
                  <c:v>287</c:v>
                </c:pt>
                <c:pt idx="144">
                  <c:v>289</c:v>
                </c:pt>
                <c:pt idx="145">
                  <c:v>291</c:v>
                </c:pt>
                <c:pt idx="146">
                  <c:v>293</c:v>
                </c:pt>
                <c:pt idx="147">
                  <c:v>295</c:v>
                </c:pt>
                <c:pt idx="148">
                  <c:v>297</c:v>
                </c:pt>
                <c:pt idx="149">
                  <c:v>299</c:v>
                </c:pt>
                <c:pt idx="150">
                  <c:v>301</c:v>
                </c:pt>
                <c:pt idx="151">
                  <c:v>303</c:v>
                </c:pt>
                <c:pt idx="152">
                  <c:v>305</c:v>
                </c:pt>
                <c:pt idx="153">
                  <c:v>307</c:v>
                </c:pt>
                <c:pt idx="154">
                  <c:v>309</c:v>
                </c:pt>
                <c:pt idx="155">
                  <c:v>311</c:v>
                </c:pt>
                <c:pt idx="156">
                  <c:v>313</c:v>
                </c:pt>
                <c:pt idx="157">
                  <c:v>315</c:v>
                </c:pt>
                <c:pt idx="158">
                  <c:v>317</c:v>
                </c:pt>
                <c:pt idx="159">
                  <c:v>319</c:v>
                </c:pt>
                <c:pt idx="160">
                  <c:v>321</c:v>
                </c:pt>
                <c:pt idx="161">
                  <c:v>323</c:v>
                </c:pt>
                <c:pt idx="162">
                  <c:v>325</c:v>
                </c:pt>
                <c:pt idx="163">
                  <c:v>327</c:v>
                </c:pt>
                <c:pt idx="164">
                  <c:v>329</c:v>
                </c:pt>
                <c:pt idx="165">
                  <c:v>331</c:v>
                </c:pt>
                <c:pt idx="166">
                  <c:v>333</c:v>
                </c:pt>
                <c:pt idx="167">
                  <c:v>335</c:v>
                </c:pt>
                <c:pt idx="168">
                  <c:v>337</c:v>
                </c:pt>
                <c:pt idx="169">
                  <c:v>339</c:v>
                </c:pt>
                <c:pt idx="170">
                  <c:v>341</c:v>
                </c:pt>
                <c:pt idx="171">
                  <c:v>343</c:v>
                </c:pt>
                <c:pt idx="172">
                  <c:v>345</c:v>
                </c:pt>
                <c:pt idx="173">
                  <c:v>347</c:v>
                </c:pt>
                <c:pt idx="174">
                  <c:v>349</c:v>
                </c:pt>
                <c:pt idx="175">
                  <c:v>351</c:v>
                </c:pt>
                <c:pt idx="176">
                  <c:v>353</c:v>
                </c:pt>
                <c:pt idx="177">
                  <c:v>355</c:v>
                </c:pt>
                <c:pt idx="178">
                  <c:v>357</c:v>
                </c:pt>
                <c:pt idx="179">
                  <c:v>359</c:v>
                </c:pt>
                <c:pt idx="180">
                  <c:v>361</c:v>
                </c:pt>
                <c:pt idx="181">
                  <c:v>363</c:v>
                </c:pt>
                <c:pt idx="182">
                  <c:v>365</c:v>
                </c:pt>
                <c:pt idx="183">
                  <c:v>367</c:v>
                </c:pt>
                <c:pt idx="184">
                  <c:v>369</c:v>
                </c:pt>
                <c:pt idx="185">
                  <c:v>371</c:v>
                </c:pt>
                <c:pt idx="186">
                  <c:v>373</c:v>
                </c:pt>
                <c:pt idx="187">
                  <c:v>375</c:v>
                </c:pt>
                <c:pt idx="188">
                  <c:v>377</c:v>
                </c:pt>
                <c:pt idx="189">
                  <c:v>379</c:v>
                </c:pt>
                <c:pt idx="190">
                  <c:v>381</c:v>
                </c:pt>
                <c:pt idx="191">
                  <c:v>383</c:v>
                </c:pt>
                <c:pt idx="192">
                  <c:v>385</c:v>
                </c:pt>
                <c:pt idx="193">
                  <c:v>387</c:v>
                </c:pt>
                <c:pt idx="194">
                  <c:v>389</c:v>
                </c:pt>
                <c:pt idx="195">
                  <c:v>391</c:v>
                </c:pt>
                <c:pt idx="196">
                  <c:v>393</c:v>
                </c:pt>
                <c:pt idx="197">
                  <c:v>395</c:v>
                </c:pt>
                <c:pt idx="198">
                  <c:v>397</c:v>
                </c:pt>
                <c:pt idx="199">
                  <c:v>399</c:v>
                </c:pt>
                <c:pt idx="200">
                  <c:v>401</c:v>
                </c:pt>
                <c:pt idx="201">
                  <c:v>403</c:v>
                </c:pt>
                <c:pt idx="202">
                  <c:v>405</c:v>
                </c:pt>
                <c:pt idx="203">
                  <c:v>407</c:v>
                </c:pt>
                <c:pt idx="204">
                  <c:v>409</c:v>
                </c:pt>
                <c:pt idx="205">
                  <c:v>411</c:v>
                </c:pt>
                <c:pt idx="206">
                  <c:v>413</c:v>
                </c:pt>
                <c:pt idx="207">
                  <c:v>415</c:v>
                </c:pt>
                <c:pt idx="208">
                  <c:v>417</c:v>
                </c:pt>
                <c:pt idx="209">
                  <c:v>419</c:v>
                </c:pt>
                <c:pt idx="210">
                  <c:v>421</c:v>
                </c:pt>
                <c:pt idx="211">
                  <c:v>423</c:v>
                </c:pt>
                <c:pt idx="212">
                  <c:v>425</c:v>
                </c:pt>
                <c:pt idx="213">
                  <c:v>427</c:v>
                </c:pt>
                <c:pt idx="214">
                  <c:v>429</c:v>
                </c:pt>
                <c:pt idx="215">
                  <c:v>431</c:v>
                </c:pt>
                <c:pt idx="216">
                  <c:v>433</c:v>
                </c:pt>
                <c:pt idx="217">
                  <c:v>435</c:v>
                </c:pt>
                <c:pt idx="218">
                  <c:v>437</c:v>
                </c:pt>
                <c:pt idx="219">
                  <c:v>439</c:v>
                </c:pt>
                <c:pt idx="220">
                  <c:v>441</c:v>
                </c:pt>
                <c:pt idx="221">
                  <c:v>443</c:v>
                </c:pt>
                <c:pt idx="222">
                  <c:v>445</c:v>
                </c:pt>
                <c:pt idx="223">
                  <c:v>447</c:v>
                </c:pt>
                <c:pt idx="224">
                  <c:v>449</c:v>
                </c:pt>
                <c:pt idx="225">
                  <c:v>451</c:v>
                </c:pt>
                <c:pt idx="226">
                  <c:v>453</c:v>
                </c:pt>
                <c:pt idx="227">
                  <c:v>455</c:v>
                </c:pt>
                <c:pt idx="228">
                  <c:v>457</c:v>
                </c:pt>
                <c:pt idx="229">
                  <c:v>459</c:v>
                </c:pt>
                <c:pt idx="230">
                  <c:v>461</c:v>
                </c:pt>
                <c:pt idx="231">
                  <c:v>463</c:v>
                </c:pt>
                <c:pt idx="232">
                  <c:v>465</c:v>
                </c:pt>
                <c:pt idx="233">
                  <c:v>467</c:v>
                </c:pt>
                <c:pt idx="234">
                  <c:v>469</c:v>
                </c:pt>
                <c:pt idx="235">
                  <c:v>471</c:v>
                </c:pt>
                <c:pt idx="236">
                  <c:v>473</c:v>
                </c:pt>
                <c:pt idx="237">
                  <c:v>475</c:v>
                </c:pt>
                <c:pt idx="238">
                  <c:v>477</c:v>
                </c:pt>
                <c:pt idx="239">
                  <c:v>479</c:v>
                </c:pt>
                <c:pt idx="240">
                  <c:v>481</c:v>
                </c:pt>
                <c:pt idx="241">
                  <c:v>483</c:v>
                </c:pt>
                <c:pt idx="242">
                  <c:v>485</c:v>
                </c:pt>
                <c:pt idx="243">
                  <c:v>487</c:v>
                </c:pt>
                <c:pt idx="244">
                  <c:v>489</c:v>
                </c:pt>
                <c:pt idx="245">
                  <c:v>491</c:v>
                </c:pt>
                <c:pt idx="246">
                  <c:v>493</c:v>
                </c:pt>
                <c:pt idx="247">
                  <c:v>495</c:v>
                </c:pt>
                <c:pt idx="248">
                  <c:v>497</c:v>
                </c:pt>
                <c:pt idx="249">
                  <c:v>499</c:v>
                </c:pt>
                <c:pt idx="250">
                  <c:v>501</c:v>
                </c:pt>
                <c:pt idx="251">
                  <c:v>503</c:v>
                </c:pt>
                <c:pt idx="252">
                  <c:v>505</c:v>
                </c:pt>
                <c:pt idx="253">
                  <c:v>507</c:v>
                </c:pt>
                <c:pt idx="254">
                  <c:v>509</c:v>
                </c:pt>
                <c:pt idx="255">
                  <c:v>511</c:v>
                </c:pt>
                <c:pt idx="256">
                  <c:v>513</c:v>
                </c:pt>
                <c:pt idx="257">
                  <c:v>515</c:v>
                </c:pt>
                <c:pt idx="258">
                  <c:v>517</c:v>
                </c:pt>
                <c:pt idx="259">
                  <c:v>519</c:v>
                </c:pt>
                <c:pt idx="260">
                  <c:v>521</c:v>
                </c:pt>
                <c:pt idx="261">
                  <c:v>523</c:v>
                </c:pt>
                <c:pt idx="262">
                  <c:v>525</c:v>
                </c:pt>
                <c:pt idx="263">
                  <c:v>527</c:v>
                </c:pt>
                <c:pt idx="264">
                  <c:v>529</c:v>
                </c:pt>
                <c:pt idx="265">
                  <c:v>531</c:v>
                </c:pt>
                <c:pt idx="266">
                  <c:v>533</c:v>
                </c:pt>
                <c:pt idx="267">
                  <c:v>535</c:v>
                </c:pt>
                <c:pt idx="268">
                  <c:v>537</c:v>
                </c:pt>
                <c:pt idx="269">
                  <c:v>539</c:v>
                </c:pt>
                <c:pt idx="270">
                  <c:v>541</c:v>
                </c:pt>
                <c:pt idx="271">
                  <c:v>543</c:v>
                </c:pt>
                <c:pt idx="272">
                  <c:v>545</c:v>
                </c:pt>
                <c:pt idx="273">
                  <c:v>547</c:v>
                </c:pt>
                <c:pt idx="274">
                  <c:v>549</c:v>
                </c:pt>
                <c:pt idx="275">
                  <c:v>551</c:v>
                </c:pt>
                <c:pt idx="276">
                  <c:v>553</c:v>
                </c:pt>
                <c:pt idx="277">
                  <c:v>555</c:v>
                </c:pt>
                <c:pt idx="278">
                  <c:v>557</c:v>
                </c:pt>
                <c:pt idx="279">
                  <c:v>559</c:v>
                </c:pt>
                <c:pt idx="280">
                  <c:v>561</c:v>
                </c:pt>
                <c:pt idx="281">
                  <c:v>563</c:v>
                </c:pt>
                <c:pt idx="282">
                  <c:v>565</c:v>
                </c:pt>
                <c:pt idx="283">
                  <c:v>567</c:v>
                </c:pt>
                <c:pt idx="284">
                  <c:v>569</c:v>
                </c:pt>
                <c:pt idx="285">
                  <c:v>571</c:v>
                </c:pt>
                <c:pt idx="286">
                  <c:v>573</c:v>
                </c:pt>
                <c:pt idx="287">
                  <c:v>575</c:v>
                </c:pt>
                <c:pt idx="288">
                  <c:v>577</c:v>
                </c:pt>
                <c:pt idx="289">
                  <c:v>579</c:v>
                </c:pt>
                <c:pt idx="290">
                  <c:v>581</c:v>
                </c:pt>
                <c:pt idx="291">
                  <c:v>583</c:v>
                </c:pt>
                <c:pt idx="292">
                  <c:v>585</c:v>
                </c:pt>
                <c:pt idx="293">
                  <c:v>587</c:v>
                </c:pt>
                <c:pt idx="294">
                  <c:v>589</c:v>
                </c:pt>
                <c:pt idx="295">
                  <c:v>591</c:v>
                </c:pt>
                <c:pt idx="296">
                  <c:v>593</c:v>
                </c:pt>
                <c:pt idx="297">
                  <c:v>595</c:v>
                </c:pt>
                <c:pt idx="298">
                  <c:v>597</c:v>
                </c:pt>
                <c:pt idx="299">
                  <c:v>599</c:v>
                </c:pt>
                <c:pt idx="300">
                  <c:v>601</c:v>
                </c:pt>
                <c:pt idx="301">
                  <c:v>603</c:v>
                </c:pt>
                <c:pt idx="302">
                  <c:v>605</c:v>
                </c:pt>
                <c:pt idx="303">
                  <c:v>607</c:v>
                </c:pt>
                <c:pt idx="304">
                  <c:v>609</c:v>
                </c:pt>
                <c:pt idx="305">
                  <c:v>611</c:v>
                </c:pt>
                <c:pt idx="306">
                  <c:v>613</c:v>
                </c:pt>
                <c:pt idx="307">
                  <c:v>615</c:v>
                </c:pt>
                <c:pt idx="308">
                  <c:v>617</c:v>
                </c:pt>
                <c:pt idx="309">
                  <c:v>619</c:v>
                </c:pt>
                <c:pt idx="310">
                  <c:v>621</c:v>
                </c:pt>
                <c:pt idx="311">
                  <c:v>623</c:v>
                </c:pt>
                <c:pt idx="312">
                  <c:v>625</c:v>
                </c:pt>
                <c:pt idx="313">
                  <c:v>627</c:v>
                </c:pt>
                <c:pt idx="314">
                  <c:v>629</c:v>
                </c:pt>
                <c:pt idx="315">
                  <c:v>631</c:v>
                </c:pt>
                <c:pt idx="316">
                  <c:v>633</c:v>
                </c:pt>
                <c:pt idx="317">
                  <c:v>635</c:v>
                </c:pt>
                <c:pt idx="318">
                  <c:v>637</c:v>
                </c:pt>
                <c:pt idx="319">
                  <c:v>639</c:v>
                </c:pt>
                <c:pt idx="320">
                  <c:v>641</c:v>
                </c:pt>
                <c:pt idx="321">
                  <c:v>643</c:v>
                </c:pt>
                <c:pt idx="322">
                  <c:v>645</c:v>
                </c:pt>
                <c:pt idx="323">
                  <c:v>647</c:v>
                </c:pt>
                <c:pt idx="324">
                  <c:v>649</c:v>
                </c:pt>
                <c:pt idx="325">
                  <c:v>651</c:v>
                </c:pt>
                <c:pt idx="326">
                  <c:v>653</c:v>
                </c:pt>
                <c:pt idx="327">
                  <c:v>655</c:v>
                </c:pt>
                <c:pt idx="328">
                  <c:v>657</c:v>
                </c:pt>
                <c:pt idx="329">
                  <c:v>659</c:v>
                </c:pt>
                <c:pt idx="330">
                  <c:v>661</c:v>
                </c:pt>
                <c:pt idx="331">
                  <c:v>663</c:v>
                </c:pt>
                <c:pt idx="332">
                  <c:v>665</c:v>
                </c:pt>
                <c:pt idx="333">
                  <c:v>667</c:v>
                </c:pt>
                <c:pt idx="334">
                  <c:v>669</c:v>
                </c:pt>
                <c:pt idx="335">
                  <c:v>671</c:v>
                </c:pt>
                <c:pt idx="336">
                  <c:v>673</c:v>
                </c:pt>
                <c:pt idx="337">
                  <c:v>675</c:v>
                </c:pt>
                <c:pt idx="338">
                  <c:v>677</c:v>
                </c:pt>
                <c:pt idx="339">
                  <c:v>679</c:v>
                </c:pt>
                <c:pt idx="340">
                  <c:v>681</c:v>
                </c:pt>
                <c:pt idx="341">
                  <c:v>683</c:v>
                </c:pt>
                <c:pt idx="342">
                  <c:v>685</c:v>
                </c:pt>
                <c:pt idx="343">
                  <c:v>687</c:v>
                </c:pt>
                <c:pt idx="344">
                  <c:v>689</c:v>
                </c:pt>
                <c:pt idx="345">
                  <c:v>691</c:v>
                </c:pt>
                <c:pt idx="346">
                  <c:v>693</c:v>
                </c:pt>
                <c:pt idx="347">
                  <c:v>695</c:v>
                </c:pt>
                <c:pt idx="348">
                  <c:v>697</c:v>
                </c:pt>
                <c:pt idx="349">
                  <c:v>699</c:v>
                </c:pt>
                <c:pt idx="350">
                  <c:v>701</c:v>
                </c:pt>
                <c:pt idx="351">
                  <c:v>703</c:v>
                </c:pt>
                <c:pt idx="352">
                  <c:v>705</c:v>
                </c:pt>
                <c:pt idx="353">
                  <c:v>707</c:v>
                </c:pt>
                <c:pt idx="354">
                  <c:v>709</c:v>
                </c:pt>
                <c:pt idx="355">
                  <c:v>711</c:v>
                </c:pt>
                <c:pt idx="356">
                  <c:v>713</c:v>
                </c:pt>
                <c:pt idx="357">
                  <c:v>715</c:v>
                </c:pt>
                <c:pt idx="358">
                  <c:v>717</c:v>
                </c:pt>
                <c:pt idx="359">
                  <c:v>719</c:v>
                </c:pt>
                <c:pt idx="360">
                  <c:v>721</c:v>
                </c:pt>
                <c:pt idx="361">
                  <c:v>723</c:v>
                </c:pt>
                <c:pt idx="362">
                  <c:v>725</c:v>
                </c:pt>
                <c:pt idx="363">
                  <c:v>727</c:v>
                </c:pt>
                <c:pt idx="364">
                  <c:v>729</c:v>
                </c:pt>
                <c:pt idx="365">
                  <c:v>731</c:v>
                </c:pt>
                <c:pt idx="366">
                  <c:v>733</c:v>
                </c:pt>
                <c:pt idx="367">
                  <c:v>735</c:v>
                </c:pt>
                <c:pt idx="368">
                  <c:v>737</c:v>
                </c:pt>
                <c:pt idx="369">
                  <c:v>739</c:v>
                </c:pt>
                <c:pt idx="370">
                  <c:v>741</c:v>
                </c:pt>
                <c:pt idx="371">
                  <c:v>743</c:v>
                </c:pt>
                <c:pt idx="372">
                  <c:v>745</c:v>
                </c:pt>
                <c:pt idx="373">
                  <c:v>747</c:v>
                </c:pt>
                <c:pt idx="374">
                  <c:v>749</c:v>
                </c:pt>
                <c:pt idx="375">
                  <c:v>751</c:v>
                </c:pt>
                <c:pt idx="376">
                  <c:v>753</c:v>
                </c:pt>
                <c:pt idx="377">
                  <c:v>755</c:v>
                </c:pt>
                <c:pt idx="378">
                  <c:v>757</c:v>
                </c:pt>
                <c:pt idx="379">
                  <c:v>759</c:v>
                </c:pt>
                <c:pt idx="380">
                  <c:v>761</c:v>
                </c:pt>
                <c:pt idx="381">
                  <c:v>763</c:v>
                </c:pt>
                <c:pt idx="382">
                  <c:v>765</c:v>
                </c:pt>
                <c:pt idx="383">
                  <c:v>767</c:v>
                </c:pt>
                <c:pt idx="384">
                  <c:v>769</c:v>
                </c:pt>
                <c:pt idx="385">
                  <c:v>771</c:v>
                </c:pt>
                <c:pt idx="386">
                  <c:v>773</c:v>
                </c:pt>
                <c:pt idx="387">
                  <c:v>775</c:v>
                </c:pt>
                <c:pt idx="388">
                  <c:v>777</c:v>
                </c:pt>
                <c:pt idx="389">
                  <c:v>779</c:v>
                </c:pt>
                <c:pt idx="390">
                  <c:v>781</c:v>
                </c:pt>
                <c:pt idx="391">
                  <c:v>783</c:v>
                </c:pt>
                <c:pt idx="392">
                  <c:v>785</c:v>
                </c:pt>
                <c:pt idx="393">
                  <c:v>787</c:v>
                </c:pt>
                <c:pt idx="394">
                  <c:v>789</c:v>
                </c:pt>
                <c:pt idx="395">
                  <c:v>791</c:v>
                </c:pt>
                <c:pt idx="396">
                  <c:v>793</c:v>
                </c:pt>
                <c:pt idx="397">
                  <c:v>795</c:v>
                </c:pt>
                <c:pt idx="398">
                  <c:v>797</c:v>
                </c:pt>
                <c:pt idx="399">
                  <c:v>799</c:v>
                </c:pt>
                <c:pt idx="400">
                  <c:v>801</c:v>
                </c:pt>
                <c:pt idx="401">
                  <c:v>803</c:v>
                </c:pt>
                <c:pt idx="402">
                  <c:v>805</c:v>
                </c:pt>
                <c:pt idx="403">
                  <c:v>807</c:v>
                </c:pt>
                <c:pt idx="404">
                  <c:v>809</c:v>
                </c:pt>
                <c:pt idx="405">
                  <c:v>811</c:v>
                </c:pt>
                <c:pt idx="406">
                  <c:v>813</c:v>
                </c:pt>
                <c:pt idx="407">
                  <c:v>815</c:v>
                </c:pt>
                <c:pt idx="408">
                  <c:v>817</c:v>
                </c:pt>
                <c:pt idx="409">
                  <c:v>819</c:v>
                </c:pt>
                <c:pt idx="410">
                  <c:v>821</c:v>
                </c:pt>
                <c:pt idx="411">
                  <c:v>823</c:v>
                </c:pt>
                <c:pt idx="412">
                  <c:v>825</c:v>
                </c:pt>
                <c:pt idx="413">
                  <c:v>827</c:v>
                </c:pt>
                <c:pt idx="414">
                  <c:v>829</c:v>
                </c:pt>
                <c:pt idx="415">
                  <c:v>831</c:v>
                </c:pt>
                <c:pt idx="416">
                  <c:v>833</c:v>
                </c:pt>
                <c:pt idx="417">
                  <c:v>835</c:v>
                </c:pt>
                <c:pt idx="418">
                  <c:v>837</c:v>
                </c:pt>
                <c:pt idx="419">
                  <c:v>839</c:v>
                </c:pt>
                <c:pt idx="420">
                  <c:v>841</c:v>
                </c:pt>
                <c:pt idx="421">
                  <c:v>843</c:v>
                </c:pt>
                <c:pt idx="422">
                  <c:v>845</c:v>
                </c:pt>
                <c:pt idx="423">
                  <c:v>847</c:v>
                </c:pt>
                <c:pt idx="424">
                  <c:v>849</c:v>
                </c:pt>
                <c:pt idx="425">
                  <c:v>851</c:v>
                </c:pt>
                <c:pt idx="426">
                  <c:v>853</c:v>
                </c:pt>
                <c:pt idx="427">
                  <c:v>855</c:v>
                </c:pt>
                <c:pt idx="428">
                  <c:v>857</c:v>
                </c:pt>
                <c:pt idx="429">
                  <c:v>859</c:v>
                </c:pt>
                <c:pt idx="430">
                  <c:v>861</c:v>
                </c:pt>
                <c:pt idx="431">
                  <c:v>863</c:v>
                </c:pt>
                <c:pt idx="432">
                  <c:v>865</c:v>
                </c:pt>
                <c:pt idx="433">
                  <c:v>867</c:v>
                </c:pt>
                <c:pt idx="434">
                  <c:v>869</c:v>
                </c:pt>
                <c:pt idx="435">
                  <c:v>871</c:v>
                </c:pt>
                <c:pt idx="436">
                  <c:v>873</c:v>
                </c:pt>
                <c:pt idx="437">
                  <c:v>875</c:v>
                </c:pt>
                <c:pt idx="438">
                  <c:v>877</c:v>
                </c:pt>
                <c:pt idx="439">
                  <c:v>879</c:v>
                </c:pt>
                <c:pt idx="440">
                  <c:v>881</c:v>
                </c:pt>
                <c:pt idx="441">
                  <c:v>883</c:v>
                </c:pt>
                <c:pt idx="442">
                  <c:v>885</c:v>
                </c:pt>
                <c:pt idx="443">
                  <c:v>887</c:v>
                </c:pt>
                <c:pt idx="444">
                  <c:v>889</c:v>
                </c:pt>
                <c:pt idx="445">
                  <c:v>891</c:v>
                </c:pt>
                <c:pt idx="446">
                  <c:v>893</c:v>
                </c:pt>
                <c:pt idx="447">
                  <c:v>895</c:v>
                </c:pt>
                <c:pt idx="448">
                  <c:v>897</c:v>
                </c:pt>
                <c:pt idx="449">
                  <c:v>899</c:v>
                </c:pt>
                <c:pt idx="450">
                  <c:v>901</c:v>
                </c:pt>
                <c:pt idx="451">
                  <c:v>903</c:v>
                </c:pt>
                <c:pt idx="452">
                  <c:v>905</c:v>
                </c:pt>
                <c:pt idx="453">
                  <c:v>907</c:v>
                </c:pt>
                <c:pt idx="454">
                  <c:v>909</c:v>
                </c:pt>
                <c:pt idx="455">
                  <c:v>911</c:v>
                </c:pt>
                <c:pt idx="456">
                  <c:v>913</c:v>
                </c:pt>
                <c:pt idx="457">
                  <c:v>915</c:v>
                </c:pt>
                <c:pt idx="458">
                  <c:v>917</c:v>
                </c:pt>
                <c:pt idx="459">
                  <c:v>919</c:v>
                </c:pt>
                <c:pt idx="460">
                  <c:v>921</c:v>
                </c:pt>
                <c:pt idx="461">
                  <c:v>923</c:v>
                </c:pt>
                <c:pt idx="462">
                  <c:v>925</c:v>
                </c:pt>
                <c:pt idx="463">
                  <c:v>927</c:v>
                </c:pt>
                <c:pt idx="464">
                  <c:v>929</c:v>
                </c:pt>
                <c:pt idx="465">
                  <c:v>931</c:v>
                </c:pt>
                <c:pt idx="466">
                  <c:v>933</c:v>
                </c:pt>
                <c:pt idx="467">
                  <c:v>935</c:v>
                </c:pt>
                <c:pt idx="468">
                  <c:v>937</c:v>
                </c:pt>
                <c:pt idx="469">
                  <c:v>939</c:v>
                </c:pt>
                <c:pt idx="470">
                  <c:v>941</c:v>
                </c:pt>
                <c:pt idx="471">
                  <c:v>943</c:v>
                </c:pt>
                <c:pt idx="472">
                  <c:v>945</c:v>
                </c:pt>
                <c:pt idx="473">
                  <c:v>947</c:v>
                </c:pt>
                <c:pt idx="474">
                  <c:v>949</c:v>
                </c:pt>
                <c:pt idx="475">
                  <c:v>951</c:v>
                </c:pt>
                <c:pt idx="476">
                  <c:v>953</c:v>
                </c:pt>
                <c:pt idx="477">
                  <c:v>955</c:v>
                </c:pt>
                <c:pt idx="478">
                  <c:v>957</c:v>
                </c:pt>
                <c:pt idx="479">
                  <c:v>959</c:v>
                </c:pt>
                <c:pt idx="480">
                  <c:v>961</c:v>
                </c:pt>
                <c:pt idx="481">
                  <c:v>963</c:v>
                </c:pt>
                <c:pt idx="482">
                  <c:v>965</c:v>
                </c:pt>
                <c:pt idx="483">
                  <c:v>967</c:v>
                </c:pt>
                <c:pt idx="484">
                  <c:v>969</c:v>
                </c:pt>
                <c:pt idx="485">
                  <c:v>971</c:v>
                </c:pt>
                <c:pt idx="486">
                  <c:v>973</c:v>
                </c:pt>
                <c:pt idx="487">
                  <c:v>975</c:v>
                </c:pt>
                <c:pt idx="488">
                  <c:v>977</c:v>
                </c:pt>
                <c:pt idx="489">
                  <c:v>979</c:v>
                </c:pt>
                <c:pt idx="490">
                  <c:v>981</c:v>
                </c:pt>
                <c:pt idx="491">
                  <c:v>983</c:v>
                </c:pt>
                <c:pt idx="492">
                  <c:v>985</c:v>
                </c:pt>
                <c:pt idx="493">
                  <c:v>987</c:v>
                </c:pt>
                <c:pt idx="494">
                  <c:v>989</c:v>
                </c:pt>
                <c:pt idx="495">
                  <c:v>991</c:v>
                </c:pt>
                <c:pt idx="496">
                  <c:v>993</c:v>
                </c:pt>
                <c:pt idx="497">
                  <c:v>995</c:v>
                </c:pt>
                <c:pt idx="498">
                  <c:v>997</c:v>
                </c:pt>
                <c:pt idx="499">
                  <c:v>999</c:v>
                </c:pt>
                <c:pt idx="500">
                  <c:v>1001</c:v>
                </c:pt>
                <c:pt idx="501">
                  <c:v>1003</c:v>
                </c:pt>
                <c:pt idx="502">
                  <c:v>1005</c:v>
                </c:pt>
                <c:pt idx="503">
                  <c:v>1007</c:v>
                </c:pt>
                <c:pt idx="504">
                  <c:v>1009</c:v>
                </c:pt>
                <c:pt idx="505">
                  <c:v>1011</c:v>
                </c:pt>
                <c:pt idx="506">
                  <c:v>1013</c:v>
                </c:pt>
                <c:pt idx="507">
                  <c:v>1015</c:v>
                </c:pt>
                <c:pt idx="508">
                  <c:v>1017</c:v>
                </c:pt>
                <c:pt idx="509">
                  <c:v>1019</c:v>
                </c:pt>
                <c:pt idx="510">
                  <c:v>1021</c:v>
                </c:pt>
                <c:pt idx="511">
                  <c:v>1023</c:v>
                </c:pt>
                <c:pt idx="512">
                  <c:v>1025</c:v>
                </c:pt>
                <c:pt idx="513">
                  <c:v>1027</c:v>
                </c:pt>
                <c:pt idx="514">
                  <c:v>1029</c:v>
                </c:pt>
                <c:pt idx="515">
                  <c:v>1031</c:v>
                </c:pt>
                <c:pt idx="516">
                  <c:v>1033</c:v>
                </c:pt>
                <c:pt idx="517">
                  <c:v>1035</c:v>
                </c:pt>
                <c:pt idx="518">
                  <c:v>1037</c:v>
                </c:pt>
                <c:pt idx="519">
                  <c:v>1039</c:v>
                </c:pt>
                <c:pt idx="520">
                  <c:v>1041</c:v>
                </c:pt>
                <c:pt idx="521">
                  <c:v>1043</c:v>
                </c:pt>
                <c:pt idx="522">
                  <c:v>1045</c:v>
                </c:pt>
                <c:pt idx="523">
                  <c:v>1047</c:v>
                </c:pt>
                <c:pt idx="524">
                  <c:v>1049</c:v>
                </c:pt>
                <c:pt idx="525">
                  <c:v>1051</c:v>
                </c:pt>
                <c:pt idx="526">
                  <c:v>1053</c:v>
                </c:pt>
                <c:pt idx="527">
                  <c:v>1055</c:v>
                </c:pt>
                <c:pt idx="528">
                  <c:v>1057</c:v>
                </c:pt>
                <c:pt idx="529">
                  <c:v>1059</c:v>
                </c:pt>
                <c:pt idx="530">
                  <c:v>1061</c:v>
                </c:pt>
                <c:pt idx="531">
                  <c:v>1063</c:v>
                </c:pt>
                <c:pt idx="532">
                  <c:v>1065</c:v>
                </c:pt>
                <c:pt idx="533">
                  <c:v>1067</c:v>
                </c:pt>
                <c:pt idx="534">
                  <c:v>1069</c:v>
                </c:pt>
                <c:pt idx="535">
                  <c:v>1071</c:v>
                </c:pt>
                <c:pt idx="536">
                  <c:v>1073</c:v>
                </c:pt>
                <c:pt idx="537">
                  <c:v>1075</c:v>
                </c:pt>
                <c:pt idx="538">
                  <c:v>1077</c:v>
                </c:pt>
                <c:pt idx="539">
                  <c:v>1079</c:v>
                </c:pt>
                <c:pt idx="540">
                  <c:v>1081</c:v>
                </c:pt>
                <c:pt idx="541">
                  <c:v>1083</c:v>
                </c:pt>
                <c:pt idx="542">
                  <c:v>1085</c:v>
                </c:pt>
                <c:pt idx="543">
                  <c:v>1087</c:v>
                </c:pt>
                <c:pt idx="544">
                  <c:v>1089</c:v>
                </c:pt>
                <c:pt idx="545">
                  <c:v>1091</c:v>
                </c:pt>
                <c:pt idx="546">
                  <c:v>1093</c:v>
                </c:pt>
                <c:pt idx="547">
                  <c:v>1095</c:v>
                </c:pt>
                <c:pt idx="548">
                  <c:v>1097</c:v>
                </c:pt>
                <c:pt idx="549">
                  <c:v>1099</c:v>
                </c:pt>
                <c:pt idx="550">
                  <c:v>1101</c:v>
                </c:pt>
                <c:pt idx="551">
                  <c:v>1103</c:v>
                </c:pt>
                <c:pt idx="552">
                  <c:v>1105</c:v>
                </c:pt>
                <c:pt idx="553">
                  <c:v>1107</c:v>
                </c:pt>
                <c:pt idx="554">
                  <c:v>1109</c:v>
                </c:pt>
                <c:pt idx="555">
                  <c:v>1111</c:v>
                </c:pt>
                <c:pt idx="556">
                  <c:v>1113</c:v>
                </c:pt>
                <c:pt idx="557">
                  <c:v>1115</c:v>
                </c:pt>
                <c:pt idx="558">
                  <c:v>1117</c:v>
                </c:pt>
                <c:pt idx="559">
                  <c:v>1119</c:v>
                </c:pt>
                <c:pt idx="560">
                  <c:v>1121</c:v>
                </c:pt>
                <c:pt idx="561">
                  <c:v>1123</c:v>
                </c:pt>
                <c:pt idx="562">
                  <c:v>1125</c:v>
                </c:pt>
                <c:pt idx="563">
                  <c:v>1127</c:v>
                </c:pt>
                <c:pt idx="564">
                  <c:v>1129</c:v>
                </c:pt>
                <c:pt idx="565">
                  <c:v>1131</c:v>
                </c:pt>
                <c:pt idx="566">
                  <c:v>1133</c:v>
                </c:pt>
                <c:pt idx="567">
                  <c:v>1135</c:v>
                </c:pt>
                <c:pt idx="568">
                  <c:v>1137</c:v>
                </c:pt>
                <c:pt idx="569">
                  <c:v>1139</c:v>
                </c:pt>
                <c:pt idx="570">
                  <c:v>1141</c:v>
                </c:pt>
                <c:pt idx="571">
                  <c:v>1143</c:v>
                </c:pt>
                <c:pt idx="572">
                  <c:v>1145</c:v>
                </c:pt>
                <c:pt idx="573">
                  <c:v>1147</c:v>
                </c:pt>
                <c:pt idx="574">
                  <c:v>1149</c:v>
                </c:pt>
                <c:pt idx="575">
                  <c:v>1151</c:v>
                </c:pt>
                <c:pt idx="576">
                  <c:v>1153</c:v>
                </c:pt>
                <c:pt idx="577">
                  <c:v>1155</c:v>
                </c:pt>
                <c:pt idx="578">
                  <c:v>1157</c:v>
                </c:pt>
                <c:pt idx="579">
                  <c:v>1159</c:v>
                </c:pt>
                <c:pt idx="580">
                  <c:v>1161</c:v>
                </c:pt>
                <c:pt idx="581">
                  <c:v>1163</c:v>
                </c:pt>
                <c:pt idx="582">
                  <c:v>1165</c:v>
                </c:pt>
                <c:pt idx="583">
                  <c:v>1167</c:v>
                </c:pt>
                <c:pt idx="584">
                  <c:v>1169</c:v>
                </c:pt>
                <c:pt idx="585">
                  <c:v>1171</c:v>
                </c:pt>
                <c:pt idx="586">
                  <c:v>1173</c:v>
                </c:pt>
                <c:pt idx="587">
                  <c:v>1175</c:v>
                </c:pt>
                <c:pt idx="588">
                  <c:v>1177</c:v>
                </c:pt>
                <c:pt idx="589">
                  <c:v>1179</c:v>
                </c:pt>
                <c:pt idx="590">
                  <c:v>1181</c:v>
                </c:pt>
                <c:pt idx="591">
                  <c:v>1183</c:v>
                </c:pt>
                <c:pt idx="592">
                  <c:v>1185</c:v>
                </c:pt>
                <c:pt idx="593">
                  <c:v>1187</c:v>
                </c:pt>
                <c:pt idx="594">
                  <c:v>1189</c:v>
                </c:pt>
                <c:pt idx="595">
                  <c:v>1191</c:v>
                </c:pt>
                <c:pt idx="596">
                  <c:v>1193</c:v>
                </c:pt>
                <c:pt idx="597">
                  <c:v>1195</c:v>
                </c:pt>
                <c:pt idx="598">
                  <c:v>1197</c:v>
                </c:pt>
                <c:pt idx="599">
                  <c:v>1199</c:v>
                </c:pt>
                <c:pt idx="600">
                  <c:v>1201</c:v>
                </c:pt>
                <c:pt idx="601">
                  <c:v>1203</c:v>
                </c:pt>
                <c:pt idx="602">
                  <c:v>1205</c:v>
                </c:pt>
                <c:pt idx="603">
                  <c:v>1207</c:v>
                </c:pt>
                <c:pt idx="604">
                  <c:v>1209</c:v>
                </c:pt>
                <c:pt idx="605">
                  <c:v>1211</c:v>
                </c:pt>
                <c:pt idx="606">
                  <c:v>1213</c:v>
                </c:pt>
                <c:pt idx="607">
                  <c:v>1215</c:v>
                </c:pt>
                <c:pt idx="608">
                  <c:v>1217</c:v>
                </c:pt>
                <c:pt idx="609">
                  <c:v>1219</c:v>
                </c:pt>
                <c:pt idx="610">
                  <c:v>1221</c:v>
                </c:pt>
                <c:pt idx="611">
                  <c:v>1223</c:v>
                </c:pt>
                <c:pt idx="612">
                  <c:v>1225</c:v>
                </c:pt>
                <c:pt idx="613">
                  <c:v>1227</c:v>
                </c:pt>
                <c:pt idx="614">
                  <c:v>1229</c:v>
                </c:pt>
                <c:pt idx="615">
                  <c:v>1231</c:v>
                </c:pt>
                <c:pt idx="616">
                  <c:v>1233</c:v>
                </c:pt>
                <c:pt idx="617">
                  <c:v>1235</c:v>
                </c:pt>
                <c:pt idx="618">
                  <c:v>1237</c:v>
                </c:pt>
                <c:pt idx="619">
                  <c:v>1239</c:v>
                </c:pt>
                <c:pt idx="620">
                  <c:v>1241</c:v>
                </c:pt>
                <c:pt idx="621">
                  <c:v>1243</c:v>
                </c:pt>
                <c:pt idx="622">
                  <c:v>1245</c:v>
                </c:pt>
                <c:pt idx="623">
                  <c:v>1247</c:v>
                </c:pt>
                <c:pt idx="624">
                  <c:v>1249</c:v>
                </c:pt>
                <c:pt idx="625">
                  <c:v>1251</c:v>
                </c:pt>
                <c:pt idx="626">
                  <c:v>1253</c:v>
                </c:pt>
                <c:pt idx="627">
                  <c:v>1255</c:v>
                </c:pt>
                <c:pt idx="628">
                  <c:v>1257</c:v>
                </c:pt>
                <c:pt idx="629">
                  <c:v>1259</c:v>
                </c:pt>
                <c:pt idx="630">
                  <c:v>1261</c:v>
                </c:pt>
                <c:pt idx="631">
                  <c:v>1263</c:v>
                </c:pt>
                <c:pt idx="632">
                  <c:v>1265</c:v>
                </c:pt>
                <c:pt idx="633">
                  <c:v>1267</c:v>
                </c:pt>
                <c:pt idx="634">
                  <c:v>1269</c:v>
                </c:pt>
                <c:pt idx="635">
                  <c:v>1271</c:v>
                </c:pt>
                <c:pt idx="636">
                  <c:v>1273</c:v>
                </c:pt>
                <c:pt idx="637">
                  <c:v>1275</c:v>
                </c:pt>
                <c:pt idx="638">
                  <c:v>1277</c:v>
                </c:pt>
                <c:pt idx="639">
                  <c:v>1279</c:v>
                </c:pt>
                <c:pt idx="640">
                  <c:v>1281</c:v>
                </c:pt>
                <c:pt idx="641">
                  <c:v>1283</c:v>
                </c:pt>
                <c:pt idx="642">
                  <c:v>1285</c:v>
                </c:pt>
                <c:pt idx="643">
                  <c:v>1287</c:v>
                </c:pt>
                <c:pt idx="644">
                  <c:v>1289</c:v>
                </c:pt>
                <c:pt idx="645">
                  <c:v>1291</c:v>
                </c:pt>
                <c:pt idx="646">
                  <c:v>1293</c:v>
                </c:pt>
                <c:pt idx="647">
                  <c:v>1295</c:v>
                </c:pt>
                <c:pt idx="648">
                  <c:v>1297</c:v>
                </c:pt>
                <c:pt idx="649">
                  <c:v>1299</c:v>
                </c:pt>
                <c:pt idx="650">
                  <c:v>1301</c:v>
                </c:pt>
                <c:pt idx="651">
                  <c:v>1303</c:v>
                </c:pt>
                <c:pt idx="652">
                  <c:v>1305</c:v>
                </c:pt>
                <c:pt idx="653">
                  <c:v>1307</c:v>
                </c:pt>
                <c:pt idx="654">
                  <c:v>1309</c:v>
                </c:pt>
                <c:pt idx="655">
                  <c:v>1311</c:v>
                </c:pt>
                <c:pt idx="656">
                  <c:v>1313</c:v>
                </c:pt>
                <c:pt idx="657">
                  <c:v>1315</c:v>
                </c:pt>
                <c:pt idx="658">
                  <c:v>1317</c:v>
                </c:pt>
                <c:pt idx="659">
                  <c:v>1319</c:v>
                </c:pt>
                <c:pt idx="660">
                  <c:v>1321</c:v>
                </c:pt>
                <c:pt idx="661">
                  <c:v>1323</c:v>
                </c:pt>
                <c:pt idx="662">
                  <c:v>1325</c:v>
                </c:pt>
                <c:pt idx="663">
                  <c:v>1327</c:v>
                </c:pt>
                <c:pt idx="664">
                  <c:v>1329</c:v>
                </c:pt>
                <c:pt idx="665">
                  <c:v>1331</c:v>
                </c:pt>
                <c:pt idx="666">
                  <c:v>1333</c:v>
                </c:pt>
                <c:pt idx="667">
                  <c:v>1335</c:v>
                </c:pt>
                <c:pt idx="668">
                  <c:v>1337</c:v>
                </c:pt>
                <c:pt idx="669">
                  <c:v>1339</c:v>
                </c:pt>
                <c:pt idx="670">
                  <c:v>1341</c:v>
                </c:pt>
                <c:pt idx="671">
                  <c:v>1343</c:v>
                </c:pt>
                <c:pt idx="672">
                  <c:v>1345</c:v>
                </c:pt>
                <c:pt idx="673">
                  <c:v>1347</c:v>
                </c:pt>
                <c:pt idx="674">
                  <c:v>1349</c:v>
                </c:pt>
                <c:pt idx="675">
                  <c:v>1351</c:v>
                </c:pt>
                <c:pt idx="676">
                  <c:v>1353</c:v>
                </c:pt>
                <c:pt idx="677">
                  <c:v>1355</c:v>
                </c:pt>
                <c:pt idx="678">
                  <c:v>1357</c:v>
                </c:pt>
              </c:numCache>
            </c:numRef>
          </c:xVal>
          <c:yVal>
            <c:numRef>
              <c:f>Data!$O$2:$O$1001</c:f>
              <c:numCache>
                <c:formatCode>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numCache>
            </c:numRef>
          </c:yVal>
          <c:smooth val="1"/>
        </c:ser>
        <c:axId val="65209088"/>
        <c:axId val="65211008"/>
      </c:scatterChart>
      <c:valAx>
        <c:axId val="65209088"/>
        <c:scaling>
          <c:orientation val="minMax"/>
        </c:scaling>
        <c:axPos val="b"/>
        <c:title>
          <c:tx>
            <c:rich>
              <a:bodyPr/>
              <a:lstStyle/>
              <a:p>
                <a:pPr>
                  <a:defRPr sz="1000" b="1" i="0" u="none" strike="noStrike" baseline="0">
                    <a:solidFill>
                      <a:srgbClr val="000000"/>
                    </a:solidFill>
                    <a:latin typeface="Arial"/>
                    <a:ea typeface="Arial"/>
                    <a:cs typeface="Arial"/>
                  </a:defRPr>
                </a:pPr>
                <a:r>
                  <a:rPr lang="en-GB"/>
                  <a:t>BE / eV</a:t>
                </a:r>
              </a:p>
            </c:rich>
          </c:tx>
          <c:layout>
            <c:manualLayout>
              <c:xMode val="edge"/>
              <c:yMode val="edge"/>
              <c:x val="0.44777662874870733"/>
              <c:y val="0.94067796610169563"/>
            </c:manualLayout>
          </c:layout>
          <c:spPr>
            <a:noFill/>
            <a:ln w="25400">
              <a:noFill/>
            </a:ln>
          </c:spPr>
        </c:title>
        <c:numFmt formatCode="0.0" sourceLinked="0"/>
        <c:majorTickMark val="cross"/>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5211008"/>
        <c:crosses val="autoZero"/>
        <c:crossBetween val="midCat"/>
      </c:valAx>
      <c:valAx>
        <c:axId val="65211008"/>
        <c:scaling>
          <c:orientation val="minMax"/>
          <c:min val="0"/>
        </c:scaling>
        <c:axPos val="l"/>
        <c:title>
          <c:tx>
            <c:rich>
              <a:bodyPr/>
              <a:lstStyle/>
              <a:p>
                <a:pPr>
                  <a:defRPr sz="1000" b="0" i="0" u="none" strike="noStrike" baseline="0">
                    <a:solidFill>
                      <a:srgbClr val="000000"/>
                    </a:solidFill>
                    <a:latin typeface="Arial"/>
                    <a:ea typeface="Arial"/>
                    <a:cs typeface="Arial"/>
                  </a:defRPr>
                </a:pPr>
                <a:r>
                  <a:rPr lang="en-GB" sz="1000" b="0"/>
                  <a:t>Counts</a:t>
                </a:r>
              </a:p>
            </c:rich>
          </c:tx>
          <c:layout>
            <c:manualLayout>
              <c:xMode val="edge"/>
              <c:yMode val="edge"/>
              <c:x val="1.1375387797311285E-2"/>
              <c:y val="0.46271186440677964"/>
            </c:manualLayout>
          </c:layout>
          <c:spPr>
            <a:noFill/>
            <a:ln w="25400">
              <a:noFill/>
            </a:ln>
          </c:spPr>
        </c:title>
        <c:numFmt formatCode="0.00000" sourceLinked="1"/>
        <c:majorTickMark val="cross"/>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5209088"/>
        <c:crosses val="autoZero"/>
        <c:crossBetween val="midCat"/>
      </c:valAx>
      <c:spPr>
        <a:noFill/>
        <a:ln w="12700">
          <a:solidFill>
            <a:srgbClr val="808080"/>
          </a:solidFill>
          <a:prstDash val="solid"/>
        </a:ln>
      </c:spPr>
    </c:plotArea>
    <c:legend>
      <c:legendPos val="r"/>
      <c:layout>
        <c:manualLayout>
          <c:xMode val="edge"/>
          <c:yMode val="edge"/>
          <c:x val="0.89968976215098262"/>
          <c:y val="0.28813559322033899"/>
          <c:w val="9.8241985522233746E-2"/>
          <c:h val="0.42881355932203535"/>
        </c:manualLayout>
      </c:layout>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chart3.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8.5237292597991066E-2"/>
          <c:y val="0.12372881355932204"/>
          <c:w val="0.7835229231299532"/>
          <c:h val="0.76779661016949741"/>
        </c:manualLayout>
      </c:layout>
      <c:scatterChart>
        <c:scatterStyle val="smoothMarker"/>
        <c:ser>
          <c:idx val="1"/>
          <c:order val="0"/>
          <c:tx>
            <c:strRef>
              <c:f>Shirley!$B$1</c:f>
              <c:strCache>
                <c:ptCount val="1"/>
                <c:pt idx="0">
                  <c:v>Test Data</c:v>
                </c:pt>
              </c:strCache>
            </c:strRef>
          </c:tx>
          <c:spPr>
            <a:ln w="12700">
              <a:solidFill>
                <a:srgbClr val="FF00FF"/>
              </a:solidFill>
              <a:prstDash val="solid"/>
            </a:ln>
          </c:spPr>
          <c:marker>
            <c:symbol val="none"/>
          </c:marker>
          <c:xVal>
            <c:numRef>
              <c:f>Shirley!$A$2:$A$500</c:f>
              <c:numCache>
                <c:formatCode>0.00</c:formatCode>
                <c:ptCount val="4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numCache>
            </c:numRef>
          </c:xVal>
          <c:yVal>
            <c:numRef>
              <c:f>Shirley!$B$2:$B$500</c:f>
              <c:numCache>
                <c:formatCode>General</c:formatCode>
                <c:ptCount val="4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c:v>
                </c:pt>
                <c:pt idx="37">
                  <c:v>1</c:v>
                </c:pt>
                <c:pt idx="38">
                  <c:v>1</c:v>
                </c:pt>
                <c:pt idx="39">
                  <c:v>1</c:v>
                </c:pt>
                <c:pt idx="40">
                  <c:v>1</c:v>
                </c:pt>
                <c:pt idx="41">
                  <c:v>1</c:v>
                </c:pt>
                <c:pt idx="42">
                  <c:v>1</c:v>
                </c:pt>
                <c:pt idx="43">
                  <c:v>1</c:v>
                </c:pt>
                <c:pt idx="44">
                  <c:v>1</c:v>
                </c:pt>
                <c:pt idx="45">
                  <c:v>1</c:v>
                </c:pt>
                <c:pt idx="46">
                  <c:v>1</c:v>
                </c:pt>
                <c:pt idx="47">
                  <c:v>1</c:v>
                </c:pt>
                <c:pt idx="48">
                  <c:v>1</c:v>
                </c:pt>
                <c:pt idx="49">
                  <c:v>2</c:v>
                </c:pt>
                <c:pt idx="50">
                  <c:v>2</c:v>
                </c:pt>
                <c:pt idx="51">
                  <c:v>2</c:v>
                </c:pt>
                <c:pt idx="52">
                  <c:v>2</c:v>
                </c:pt>
                <c:pt idx="53">
                  <c:v>2</c:v>
                </c:pt>
                <c:pt idx="54">
                  <c:v>2</c:v>
                </c:pt>
                <c:pt idx="55">
                  <c:v>2</c:v>
                </c:pt>
                <c:pt idx="56">
                  <c:v>2</c:v>
                </c:pt>
                <c:pt idx="57">
                  <c:v>2</c:v>
                </c:pt>
                <c:pt idx="58">
                  <c:v>3</c:v>
                </c:pt>
                <c:pt idx="59">
                  <c:v>3</c:v>
                </c:pt>
                <c:pt idx="60">
                  <c:v>3</c:v>
                </c:pt>
                <c:pt idx="61">
                  <c:v>3</c:v>
                </c:pt>
                <c:pt idx="62">
                  <c:v>3</c:v>
                </c:pt>
                <c:pt idx="63">
                  <c:v>3</c:v>
                </c:pt>
                <c:pt idx="64">
                  <c:v>3</c:v>
                </c:pt>
                <c:pt idx="65">
                  <c:v>3</c:v>
                </c:pt>
                <c:pt idx="66">
                  <c:v>3</c:v>
                </c:pt>
                <c:pt idx="67">
                  <c:v>4</c:v>
                </c:pt>
                <c:pt idx="68">
                  <c:v>4</c:v>
                </c:pt>
                <c:pt idx="69">
                  <c:v>4</c:v>
                </c:pt>
                <c:pt idx="70">
                  <c:v>4</c:v>
                </c:pt>
                <c:pt idx="71">
                  <c:v>4</c:v>
                </c:pt>
                <c:pt idx="72">
                  <c:v>4</c:v>
                </c:pt>
                <c:pt idx="73">
                  <c:v>5</c:v>
                </c:pt>
                <c:pt idx="74">
                  <c:v>5</c:v>
                </c:pt>
                <c:pt idx="75">
                  <c:v>5</c:v>
                </c:pt>
                <c:pt idx="76">
                  <c:v>5</c:v>
                </c:pt>
                <c:pt idx="77">
                  <c:v>5</c:v>
                </c:pt>
                <c:pt idx="78">
                  <c:v>5</c:v>
                </c:pt>
                <c:pt idx="79">
                  <c:v>5</c:v>
                </c:pt>
                <c:pt idx="80">
                  <c:v>6</c:v>
                </c:pt>
                <c:pt idx="81">
                  <c:v>6</c:v>
                </c:pt>
                <c:pt idx="82">
                  <c:v>6</c:v>
                </c:pt>
                <c:pt idx="83">
                  <c:v>6</c:v>
                </c:pt>
                <c:pt idx="84">
                  <c:v>6</c:v>
                </c:pt>
                <c:pt idx="85">
                  <c:v>6</c:v>
                </c:pt>
                <c:pt idx="86">
                  <c:v>7</c:v>
                </c:pt>
                <c:pt idx="87">
                  <c:v>7</c:v>
                </c:pt>
                <c:pt idx="88">
                  <c:v>7</c:v>
                </c:pt>
                <c:pt idx="89">
                  <c:v>7</c:v>
                </c:pt>
                <c:pt idx="90">
                  <c:v>7</c:v>
                </c:pt>
                <c:pt idx="91">
                  <c:v>7</c:v>
                </c:pt>
                <c:pt idx="92">
                  <c:v>7</c:v>
                </c:pt>
                <c:pt idx="93">
                  <c:v>7</c:v>
                </c:pt>
                <c:pt idx="94">
                  <c:v>8</c:v>
                </c:pt>
                <c:pt idx="95">
                  <c:v>8</c:v>
                </c:pt>
                <c:pt idx="96">
                  <c:v>8</c:v>
                </c:pt>
                <c:pt idx="97">
                  <c:v>8</c:v>
                </c:pt>
                <c:pt idx="98">
                  <c:v>8</c:v>
                </c:pt>
                <c:pt idx="99">
                  <c:v>8</c:v>
                </c:pt>
                <c:pt idx="100">
                  <c:v>9</c:v>
                </c:pt>
                <c:pt idx="101">
                  <c:v>9</c:v>
                </c:pt>
                <c:pt idx="102">
                  <c:v>9</c:v>
                </c:pt>
                <c:pt idx="103">
                  <c:v>9</c:v>
                </c:pt>
                <c:pt idx="104">
                  <c:v>9</c:v>
                </c:pt>
                <c:pt idx="105">
                  <c:v>9</c:v>
                </c:pt>
                <c:pt idx="106">
                  <c:v>10</c:v>
                </c:pt>
                <c:pt idx="107">
                  <c:v>10</c:v>
                </c:pt>
                <c:pt idx="108">
                  <c:v>10</c:v>
                </c:pt>
                <c:pt idx="109">
                  <c:v>10</c:v>
                </c:pt>
                <c:pt idx="110">
                  <c:v>10</c:v>
                </c:pt>
                <c:pt idx="111">
                  <c:v>11</c:v>
                </c:pt>
                <c:pt idx="112">
                  <c:v>11</c:v>
                </c:pt>
                <c:pt idx="113">
                  <c:v>11</c:v>
                </c:pt>
                <c:pt idx="114">
                  <c:v>11</c:v>
                </c:pt>
                <c:pt idx="115">
                  <c:v>11</c:v>
                </c:pt>
                <c:pt idx="116">
                  <c:v>11</c:v>
                </c:pt>
                <c:pt idx="117">
                  <c:v>12</c:v>
                </c:pt>
                <c:pt idx="118">
                  <c:v>12</c:v>
                </c:pt>
                <c:pt idx="119">
                  <c:v>12</c:v>
                </c:pt>
                <c:pt idx="120">
                  <c:v>12</c:v>
                </c:pt>
                <c:pt idx="121">
                  <c:v>12</c:v>
                </c:pt>
                <c:pt idx="122">
                  <c:v>13</c:v>
                </c:pt>
                <c:pt idx="123">
                  <c:v>13</c:v>
                </c:pt>
                <c:pt idx="124">
                  <c:v>13</c:v>
                </c:pt>
                <c:pt idx="125">
                  <c:v>13</c:v>
                </c:pt>
                <c:pt idx="126">
                  <c:v>13</c:v>
                </c:pt>
                <c:pt idx="127">
                  <c:v>13</c:v>
                </c:pt>
                <c:pt idx="128">
                  <c:v>14</c:v>
                </c:pt>
                <c:pt idx="129">
                  <c:v>14</c:v>
                </c:pt>
                <c:pt idx="130">
                  <c:v>14</c:v>
                </c:pt>
                <c:pt idx="131">
                  <c:v>14</c:v>
                </c:pt>
                <c:pt idx="132">
                  <c:v>14</c:v>
                </c:pt>
                <c:pt idx="133">
                  <c:v>15</c:v>
                </c:pt>
                <c:pt idx="134">
                  <c:v>15</c:v>
                </c:pt>
                <c:pt idx="135">
                  <c:v>15</c:v>
                </c:pt>
                <c:pt idx="136">
                  <c:v>15</c:v>
                </c:pt>
                <c:pt idx="137">
                  <c:v>15</c:v>
                </c:pt>
                <c:pt idx="138">
                  <c:v>15</c:v>
                </c:pt>
                <c:pt idx="139">
                  <c:v>16</c:v>
                </c:pt>
                <c:pt idx="140">
                  <c:v>16</c:v>
                </c:pt>
                <c:pt idx="141">
                  <c:v>16</c:v>
                </c:pt>
                <c:pt idx="142">
                  <c:v>16</c:v>
                </c:pt>
                <c:pt idx="143">
                  <c:v>16</c:v>
                </c:pt>
                <c:pt idx="144">
                  <c:v>17</c:v>
                </c:pt>
                <c:pt idx="145">
                  <c:v>17</c:v>
                </c:pt>
                <c:pt idx="146">
                  <c:v>17</c:v>
                </c:pt>
                <c:pt idx="147">
                  <c:v>17</c:v>
                </c:pt>
                <c:pt idx="148">
                  <c:v>17</c:v>
                </c:pt>
                <c:pt idx="149">
                  <c:v>18</c:v>
                </c:pt>
                <c:pt idx="150">
                  <c:v>18</c:v>
                </c:pt>
                <c:pt idx="151">
                  <c:v>18</c:v>
                </c:pt>
                <c:pt idx="152">
                  <c:v>18</c:v>
                </c:pt>
                <c:pt idx="153">
                  <c:v>18</c:v>
                </c:pt>
                <c:pt idx="154">
                  <c:v>18</c:v>
                </c:pt>
                <c:pt idx="155">
                  <c:v>19</c:v>
                </c:pt>
                <c:pt idx="156">
                  <c:v>19</c:v>
                </c:pt>
                <c:pt idx="157">
                  <c:v>19</c:v>
                </c:pt>
                <c:pt idx="158">
                  <c:v>19</c:v>
                </c:pt>
                <c:pt idx="159">
                  <c:v>19</c:v>
                </c:pt>
                <c:pt idx="160">
                  <c:v>20</c:v>
                </c:pt>
                <c:pt idx="161">
                  <c:v>20</c:v>
                </c:pt>
                <c:pt idx="162">
                  <c:v>20</c:v>
                </c:pt>
                <c:pt idx="163">
                  <c:v>20</c:v>
                </c:pt>
                <c:pt idx="164">
                  <c:v>20</c:v>
                </c:pt>
                <c:pt idx="165">
                  <c:v>21</c:v>
                </c:pt>
                <c:pt idx="166">
                  <c:v>21</c:v>
                </c:pt>
                <c:pt idx="167">
                  <c:v>21</c:v>
                </c:pt>
                <c:pt idx="168">
                  <c:v>21</c:v>
                </c:pt>
                <c:pt idx="169">
                  <c:v>21</c:v>
                </c:pt>
                <c:pt idx="170">
                  <c:v>22</c:v>
                </c:pt>
                <c:pt idx="171">
                  <c:v>22</c:v>
                </c:pt>
                <c:pt idx="172">
                  <c:v>22</c:v>
                </c:pt>
                <c:pt idx="173">
                  <c:v>22</c:v>
                </c:pt>
                <c:pt idx="174">
                  <c:v>22</c:v>
                </c:pt>
                <c:pt idx="175">
                  <c:v>23</c:v>
                </c:pt>
                <c:pt idx="176">
                  <c:v>23</c:v>
                </c:pt>
                <c:pt idx="177">
                  <c:v>23</c:v>
                </c:pt>
                <c:pt idx="178">
                  <c:v>23</c:v>
                </c:pt>
                <c:pt idx="179">
                  <c:v>23</c:v>
                </c:pt>
                <c:pt idx="180">
                  <c:v>24</c:v>
                </c:pt>
                <c:pt idx="181">
                  <c:v>24</c:v>
                </c:pt>
                <c:pt idx="182">
                  <c:v>24</c:v>
                </c:pt>
                <c:pt idx="183">
                  <c:v>24</c:v>
                </c:pt>
                <c:pt idx="184">
                  <c:v>25</c:v>
                </c:pt>
                <c:pt idx="185">
                  <c:v>25</c:v>
                </c:pt>
                <c:pt idx="186">
                  <c:v>25</c:v>
                </c:pt>
                <c:pt idx="187">
                  <c:v>25</c:v>
                </c:pt>
                <c:pt idx="188">
                  <c:v>25</c:v>
                </c:pt>
                <c:pt idx="189">
                  <c:v>26</c:v>
                </c:pt>
                <c:pt idx="190">
                  <c:v>26</c:v>
                </c:pt>
                <c:pt idx="191">
                  <c:v>26</c:v>
                </c:pt>
                <c:pt idx="192">
                  <c:v>26</c:v>
                </c:pt>
                <c:pt idx="193">
                  <c:v>26</c:v>
                </c:pt>
                <c:pt idx="194">
                  <c:v>27</c:v>
                </c:pt>
                <c:pt idx="195">
                  <c:v>27</c:v>
                </c:pt>
                <c:pt idx="196">
                  <c:v>27</c:v>
                </c:pt>
                <c:pt idx="197">
                  <c:v>27</c:v>
                </c:pt>
                <c:pt idx="198">
                  <c:v>28</c:v>
                </c:pt>
                <c:pt idx="199">
                  <c:v>28</c:v>
                </c:pt>
                <c:pt idx="200">
                  <c:v>28</c:v>
                </c:pt>
                <c:pt idx="201">
                  <c:v>28</c:v>
                </c:pt>
                <c:pt idx="202">
                  <c:v>29</c:v>
                </c:pt>
                <c:pt idx="203">
                  <c:v>29</c:v>
                </c:pt>
                <c:pt idx="204">
                  <c:v>29</c:v>
                </c:pt>
                <c:pt idx="205">
                  <c:v>29</c:v>
                </c:pt>
                <c:pt idx="206">
                  <c:v>29</c:v>
                </c:pt>
                <c:pt idx="207">
                  <c:v>30</c:v>
                </c:pt>
                <c:pt idx="208">
                  <c:v>30</c:v>
                </c:pt>
                <c:pt idx="209">
                  <c:v>30</c:v>
                </c:pt>
                <c:pt idx="210">
                  <c:v>30</c:v>
                </c:pt>
                <c:pt idx="211">
                  <c:v>31</c:v>
                </c:pt>
                <c:pt idx="212">
                  <c:v>31</c:v>
                </c:pt>
                <c:pt idx="213">
                  <c:v>31</c:v>
                </c:pt>
                <c:pt idx="214">
                  <c:v>31</c:v>
                </c:pt>
                <c:pt idx="215">
                  <c:v>32</c:v>
                </c:pt>
                <c:pt idx="216">
                  <c:v>32</c:v>
                </c:pt>
                <c:pt idx="217">
                  <c:v>32</c:v>
                </c:pt>
                <c:pt idx="218">
                  <c:v>32</c:v>
                </c:pt>
                <c:pt idx="219">
                  <c:v>33</c:v>
                </c:pt>
                <c:pt idx="220">
                  <c:v>33</c:v>
                </c:pt>
                <c:pt idx="221">
                  <c:v>33</c:v>
                </c:pt>
                <c:pt idx="222">
                  <c:v>33</c:v>
                </c:pt>
                <c:pt idx="223">
                  <c:v>34</c:v>
                </c:pt>
                <c:pt idx="224">
                  <c:v>34</c:v>
                </c:pt>
                <c:pt idx="225">
                  <c:v>34</c:v>
                </c:pt>
                <c:pt idx="226">
                  <c:v>35</c:v>
                </c:pt>
                <c:pt idx="227">
                  <c:v>35</c:v>
                </c:pt>
                <c:pt idx="228">
                  <c:v>35</c:v>
                </c:pt>
                <c:pt idx="229">
                  <c:v>35</c:v>
                </c:pt>
                <c:pt idx="230">
                  <c:v>36</c:v>
                </c:pt>
                <c:pt idx="231">
                  <c:v>36</c:v>
                </c:pt>
                <c:pt idx="232">
                  <c:v>36</c:v>
                </c:pt>
                <c:pt idx="233">
                  <c:v>37</c:v>
                </c:pt>
                <c:pt idx="234">
                  <c:v>37</c:v>
                </c:pt>
                <c:pt idx="235">
                  <c:v>37</c:v>
                </c:pt>
                <c:pt idx="236">
                  <c:v>37</c:v>
                </c:pt>
                <c:pt idx="237">
                  <c:v>38</c:v>
                </c:pt>
                <c:pt idx="238">
                  <c:v>38</c:v>
                </c:pt>
                <c:pt idx="239">
                  <c:v>38</c:v>
                </c:pt>
                <c:pt idx="240">
                  <c:v>38</c:v>
                </c:pt>
                <c:pt idx="241">
                  <c:v>39</c:v>
                </c:pt>
                <c:pt idx="242">
                  <c:v>39</c:v>
                </c:pt>
                <c:pt idx="243">
                  <c:v>39</c:v>
                </c:pt>
                <c:pt idx="244">
                  <c:v>39</c:v>
                </c:pt>
                <c:pt idx="245">
                  <c:v>39</c:v>
                </c:pt>
                <c:pt idx="246">
                  <c:v>39</c:v>
                </c:pt>
                <c:pt idx="247">
                  <c:v>39</c:v>
                </c:pt>
                <c:pt idx="248">
                  <c:v>40</c:v>
                </c:pt>
                <c:pt idx="249">
                  <c:v>40</c:v>
                </c:pt>
                <c:pt idx="250">
                  <c:v>40</c:v>
                </c:pt>
                <c:pt idx="251">
                  <c:v>40</c:v>
                </c:pt>
                <c:pt idx="252">
                  <c:v>40</c:v>
                </c:pt>
                <c:pt idx="253">
                  <c:v>40</c:v>
                </c:pt>
                <c:pt idx="254">
                  <c:v>40</c:v>
                </c:pt>
                <c:pt idx="255">
                  <c:v>40</c:v>
                </c:pt>
                <c:pt idx="256">
                  <c:v>40</c:v>
                </c:pt>
                <c:pt idx="257">
                  <c:v>40</c:v>
                </c:pt>
                <c:pt idx="258">
                  <c:v>40</c:v>
                </c:pt>
                <c:pt idx="259">
                  <c:v>40</c:v>
                </c:pt>
                <c:pt idx="260">
                  <c:v>41</c:v>
                </c:pt>
                <c:pt idx="261">
                  <c:v>41</c:v>
                </c:pt>
                <c:pt idx="262">
                  <c:v>41</c:v>
                </c:pt>
                <c:pt idx="263">
                  <c:v>41</c:v>
                </c:pt>
                <c:pt idx="264">
                  <c:v>42</c:v>
                </c:pt>
                <c:pt idx="265">
                  <c:v>42</c:v>
                </c:pt>
                <c:pt idx="266">
                  <c:v>42</c:v>
                </c:pt>
                <c:pt idx="267">
                  <c:v>42</c:v>
                </c:pt>
                <c:pt idx="268">
                  <c:v>42</c:v>
                </c:pt>
                <c:pt idx="269">
                  <c:v>43</c:v>
                </c:pt>
                <c:pt idx="270">
                  <c:v>43</c:v>
                </c:pt>
                <c:pt idx="271">
                  <c:v>43</c:v>
                </c:pt>
                <c:pt idx="272">
                  <c:v>43</c:v>
                </c:pt>
                <c:pt idx="273">
                  <c:v>44</c:v>
                </c:pt>
                <c:pt idx="274">
                  <c:v>44</c:v>
                </c:pt>
                <c:pt idx="275">
                  <c:v>44</c:v>
                </c:pt>
                <c:pt idx="276">
                  <c:v>44</c:v>
                </c:pt>
                <c:pt idx="277">
                  <c:v>44</c:v>
                </c:pt>
                <c:pt idx="278">
                  <c:v>45</c:v>
                </c:pt>
                <c:pt idx="279">
                  <c:v>45</c:v>
                </c:pt>
                <c:pt idx="280">
                  <c:v>45</c:v>
                </c:pt>
                <c:pt idx="281">
                  <c:v>45</c:v>
                </c:pt>
                <c:pt idx="282">
                  <c:v>45</c:v>
                </c:pt>
                <c:pt idx="283">
                  <c:v>45</c:v>
                </c:pt>
                <c:pt idx="284">
                  <c:v>46</c:v>
                </c:pt>
                <c:pt idx="285">
                  <c:v>46</c:v>
                </c:pt>
                <c:pt idx="286">
                  <c:v>46</c:v>
                </c:pt>
                <c:pt idx="287">
                  <c:v>46</c:v>
                </c:pt>
                <c:pt idx="288">
                  <c:v>46</c:v>
                </c:pt>
                <c:pt idx="289">
                  <c:v>46</c:v>
                </c:pt>
                <c:pt idx="290">
                  <c:v>46</c:v>
                </c:pt>
                <c:pt idx="291">
                  <c:v>46</c:v>
                </c:pt>
                <c:pt idx="292">
                  <c:v>46</c:v>
                </c:pt>
                <c:pt idx="293">
                  <c:v>47</c:v>
                </c:pt>
                <c:pt idx="294">
                  <c:v>47</c:v>
                </c:pt>
                <c:pt idx="295">
                  <c:v>47</c:v>
                </c:pt>
                <c:pt idx="296">
                  <c:v>47</c:v>
                </c:pt>
                <c:pt idx="297">
                  <c:v>47</c:v>
                </c:pt>
                <c:pt idx="298">
                  <c:v>47</c:v>
                </c:pt>
                <c:pt idx="299">
                  <c:v>47</c:v>
                </c:pt>
                <c:pt idx="300">
                  <c:v>47</c:v>
                </c:pt>
                <c:pt idx="301">
                  <c:v>47</c:v>
                </c:pt>
                <c:pt idx="302">
                  <c:v>47</c:v>
                </c:pt>
                <c:pt idx="303">
                  <c:v>47</c:v>
                </c:pt>
                <c:pt idx="304">
                  <c:v>47</c:v>
                </c:pt>
                <c:pt idx="305">
                  <c:v>47</c:v>
                </c:pt>
                <c:pt idx="306">
                  <c:v>47</c:v>
                </c:pt>
                <c:pt idx="307">
                  <c:v>47</c:v>
                </c:pt>
                <c:pt idx="308">
                  <c:v>47</c:v>
                </c:pt>
                <c:pt idx="309">
                  <c:v>47</c:v>
                </c:pt>
                <c:pt idx="310">
                  <c:v>47</c:v>
                </c:pt>
                <c:pt idx="311">
                  <c:v>47</c:v>
                </c:pt>
                <c:pt idx="312">
                  <c:v>47</c:v>
                </c:pt>
                <c:pt idx="313">
                  <c:v>47</c:v>
                </c:pt>
                <c:pt idx="314">
                  <c:v>47</c:v>
                </c:pt>
                <c:pt idx="315">
                  <c:v>47</c:v>
                </c:pt>
                <c:pt idx="316">
                  <c:v>47</c:v>
                </c:pt>
                <c:pt idx="317">
                  <c:v>47</c:v>
                </c:pt>
                <c:pt idx="318">
                  <c:v>47</c:v>
                </c:pt>
                <c:pt idx="319">
                  <c:v>47</c:v>
                </c:pt>
                <c:pt idx="320">
                  <c:v>47</c:v>
                </c:pt>
                <c:pt idx="321">
                  <c:v>47</c:v>
                </c:pt>
                <c:pt idx="322">
                  <c:v>47</c:v>
                </c:pt>
                <c:pt idx="323">
                  <c:v>47</c:v>
                </c:pt>
                <c:pt idx="324">
                  <c:v>47</c:v>
                </c:pt>
                <c:pt idx="325">
                  <c:v>47</c:v>
                </c:pt>
                <c:pt idx="326">
                  <c:v>47</c:v>
                </c:pt>
                <c:pt idx="327">
                  <c:v>47</c:v>
                </c:pt>
                <c:pt idx="328">
                  <c:v>47</c:v>
                </c:pt>
                <c:pt idx="329">
                  <c:v>47</c:v>
                </c:pt>
                <c:pt idx="330">
                  <c:v>47</c:v>
                </c:pt>
                <c:pt idx="331">
                  <c:v>47</c:v>
                </c:pt>
                <c:pt idx="332">
                  <c:v>47</c:v>
                </c:pt>
                <c:pt idx="333">
                  <c:v>47</c:v>
                </c:pt>
                <c:pt idx="334">
                  <c:v>47</c:v>
                </c:pt>
                <c:pt idx="335">
                  <c:v>47</c:v>
                </c:pt>
                <c:pt idx="336">
                  <c:v>47</c:v>
                </c:pt>
                <c:pt idx="337">
                  <c:v>47</c:v>
                </c:pt>
                <c:pt idx="338">
                  <c:v>47</c:v>
                </c:pt>
                <c:pt idx="339">
                  <c:v>47</c:v>
                </c:pt>
                <c:pt idx="340">
                  <c:v>47</c:v>
                </c:pt>
                <c:pt idx="341">
                  <c:v>47</c:v>
                </c:pt>
                <c:pt idx="342">
                  <c:v>47</c:v>
                </c:pt>
                <c:pt idx="343">
                  <c:v>47</c:v>
                </c:pt>
                <c:pt idx="344">
                  <c:v>47</c:v>
                </c:pt>
                <c:pt idx="345">
                  <c:v>47</c:v>
                </c:pt>
                <c:pt idx="346">
                  <c:v>47</c:v>
                </c:pt>
                <c:pt idx="347">
                  <c:v>47</c:v>
                </c:pt>
                <c:pt idx="348">
                  <c:v>47</c:v>
                </c:pt>
                <c:pt idx="349">
                  <c:v>47</c:v>
                </c:pt>
                <c:pt idx="350">
                  <c:v>48</c:v>
                </c:pt>
                <c:pt idx="351">
                  <c:v>48</c:v>
                </c:pt>
                <c:pt idx="352">
                  <c:v>48</c:v>
                </c:pt>
                <c:pt idx="353">
                  <c:v>48</c:v>
                </c:pt>
                <c:pt idx="354">
                  <c:v>47</c:v>
                </c:pt>
                <c:pt idx="355">
                  <c:v>47</c:v>
                </c:pt>
                <c:pt idx="356">
                  <c:v>47</c:v>
                </c:pt>
                <c:pt idx="357">
                  <c:v>47</c:v>
                </c:pt>
                <c:pt idx="358">
                  <c:v>47</c:v>
                </c:pt>
                <c:pt idx="359">
                  <c:v>47</c:v>
                </c:pt>
                <c:pt idx="360">
                  <c:v>47</c:v>
                </c:pt>
                <c:pt idx="361">
                  <c:v>47</c:v>
                </c:pt>
                <c:pt idx="362">
                  <c:v>47</c:v>
                </c:pt>
                <c:pt idx="363">
                  <c:v>47</c:v>
                </c:pt>
                <c:pt idx="364">
                  <c:v>47</c:v>
                </c:pt>
                <c:pt idx="365">
                  <c:v>47</c:v>
                </c:pt>
                <c:pt idx="366">
                  <c:v>47</c:v>
                </c:pt>
                <c:pt idx="367">
                  <c:v>47</c:v>
                </c:pt>
                <c:pt idx="368">
                  <c:v>47</c:v>
                </c:pt>
                <c:pt idx="369">
                  <c:v>47</c:v>
                </c:pt>
                <c:pt idx="370">
                  <c:v>47</c:v>
                </c:pt>
                <c:pt idx="371">
                  <c:v>47</c:v>
                </c:pt>
                <c:pt idx="372">
                  <c:v>47</c:v>
                </c:pt>
                <c:pt idx="373">
                  <c:v>47</c:v>
                </c:pt>
                <c:pt idx="374">
                  <c:v>47</c:v>
                </c:pt>
                <c:pt idx="375">
                  <c:v>47</c:v>
                </c:pt>
                <c:pt idx="376">
                  <c:v>47</c:v>
                </c:pt>
                <c:pt idx="377">
                  <c:v>47</c:v>
                </c:pt>
                <c:pt idx="378">
                  <c:v>47</c:v>
                </c:pt>
                <c:pt idx="379">
                  <c:v>47</c:v>
                </c:pt>
                <c:pt idx="380">
                  <c:v>47</c:v>
                </c:pt>
                <c:pt idx="381">
                  <c:v>47</c:v>
                </c:pt>
                <c:pt idx="382">
                  <c:v>47</c:v>
                </c:pt>
                <c:pt idx="383">
                  <c:v>47</c:v>
                </c:pt>
                <c:pt idx="384">
                  <c:v>47</c:v>
                </c:pt>
                <c:pt idx="385">
                  <c:v>47</c:v>
                </c:pt>
                <c:pt idx="386">
                  <c:v>47</c:v>
                </c:pt>
                <c:pt idx="387">
                  <c:v>47</c:v>
                </c:pt>
                <c:pt idx="388">
                  <c:v>47</c:v>
                </c:pt>
                <c:pt idx="389">
                  <c:v>47</c:v>
                </c:pt>
                <c:pt idx="390">
                  <c:v>47</c:v>
                </c:pt>
                <c:pt idx="391">
                  <c:v>47</c:v>
                </c:pt>
                <c:pt idx="392">
                  <c:v>46</c:v>
                </c:pt>
                <c:pt idx="393">
                  <c:v>46</c:v>
                </c:pt>
                <c:pt idx="394">
                  <c:v>46</c:v>
                </c:pt>
                <c:pt idx="395">
                  <c:v>46</c:v>
                </c:pt>
                <c:pt idx="396">
                  <c:v>46</c:v>
                </c:pt>
                <c:pt idx="397">
                  <c:v>46</c:v>
                </c:pt>
                <c:pt idx="398">
                  <c:v>46</c:v>
                </c:pt>
                <c:pt idx="399">
                  <c:v>46</c:v>
                </c:pt>
                <c:pt idx="400">
                  <c:v>46</c:v>
                </c:pt>
                <c:pt idx="401">
                  <c:v>45</c:v>
                </c:pt>
                <c:pt idx="402">
                  <c:v>45</c:v>
                </c:pt>
                <c:pt idx="403">
                  <c:v>45</c:v>
                </c:pt>
                <c:pt idx="404">
                  <c:v>45</c:v>
                </c:pt>
                <c:pt idx="405">
                  <c:v>45</c:v>
                </c:pt>
                <c:pt idx="406">
                  <c:v>45</c:v>
                </c:pt>
                <c:pt idx="407">
                  <c:v>44</c:v>
                </c:pt>
                <c:pt idx="408">
                  <c:v>44</c:v>
                </c:pt>
                <c:pt idx="409">
                  <c:v>44</c:v>
                </c:pt>
                <c:pt idx="410">
                  <c:v>44</c:v>
                </c:pt>
                <c:pt idx="411">
                  <c:v>44</c:v>
                </c:pt>
                <c:pt idx="412">
                  <c:v>43</c:v>
                </c:pt>
                <c:pt idx="413">
                  <c:v>43</c:v>
                </c:pt>
                <c:pt idx="414">
                  <c:v>43</c:v>
                </c:pt>
                <c:pt idx="415">
                  <c:v>43</c:v>
                </c:pt>
                <c:pt idx="416">
                  <c:v>43</c:v>
                </c:pt>
                <c:pt idx="417">
                  <c:v>42</c:v>
                </c:pt>
                <c:pt idx="418">
                  <c:v>42</c:v>
                </c:pt>
                <c:pt idx="419">
                  <c:v>42</c:v>
                </c:pt>
                <c:pt idx="420">
                  <c:v>42</c:v>
                </c:pt>
                <c:pt idx="421">
                  <c:v>42</c:v>
                </c:pt>
                <c:pt idx="422">
                  <c:v>41</c:v>
                </c:pt>
                <c:pt idx="423">
                  <c:v>41</c:v>
                </c:pt>
                <c:pt idx="424">
                  <c:v>41</c:v>
                </c:pt>
                <c:pt idx="425">
                  <c:v>41</c:v>
                </c:pt>
                <c:pt idx="426">
                  <c:v>40</c:v>
                </c:pt>
                <c:pt idx="427">
                  <c:v>40</c:v>
                </c:pt>
                <c:pt idx="428">
                  <c:v>40</c:v>
                </c:pt>
                <c:pt idx="429">
                  <c:v>40</c:v>
                </c:pt>
                <c:pt idx="430">
                  <c:v>39</c:v>
                </c:pt>
                <c:pt idx="431">
                  <c:v>39</c:v>
                </c:pt>
                <c:pt idx="432">
                  <c:v>39</c:v>
                </c:pt>
                <c:pt idx="433">
                  <c:v>39</c:v>
                </c:pt>
                <c:pt idx="434">
                  <c:v>38</c:v>
                </c:pt>
                <c:pt idx="435">
                  <c:v>38</c:v>
                </c:pt>
                <c:pt idx="436">
                  <c:v>38</c:v>
                </c:pt>
                <c:pt idx="437">
                  <c:v>38</c:v>
                </c:pt>
                <c:pt idx="438">
                  <c:v>38</c:v>
                </c:pt>
                <c:pt idx="439">
                  <c:v>37</c:v>
                </c:pt>
                <c:pt idx="440">
                  <c:v>37</c:v>
                </c:pt>
                <c:pt idx="441">
                  <c:v>37</c:v>
                </c:pt>
                <c:pt idx="442">
                  <c:v>37</c:v>
                </c:pt>
                <c:pt idx="443">
                  <c:v>36</c:v>
                </c:pt>
                <c:pt idx="444">
                  <c:v>36</c:v>
                </c:pt>
                <c:pt idx="445">
                  <c:v>36</c:v>
                </c:pt>
                <c:pt idx="446">
                  <c:v>36</c:v>
                </c:pt>
                <c:pt idx="447">
                  <c:v>36</c:v>
                </c:pt>
                <c:pt idx="448">
                  <c:v>35</c:v>
                </c:pt>
                <c:pt idx="449">
                  <c:v>35</c:v>
                </c:pt>
                <c:pt idx="450">
                  <c:v>35</c:v>
                </c:pt>
                <c:pt idx="451">
                  <c:v>34</c:v>
                </c:pt>
                <c:pt idx="452">
                  <c:v>34</c:v>
                </c:pt>
                <c:pt idx="453">
                  <c:v>34</c:v>
                </c:pt>
                <c:pt idx="454">
                  <c:v>34</c:v>
                </c:pt>
                <c:pt idx="455">
                  <c:v>34</c:v>
                </c:pt>
                <c:pt idx="456">
                  <c:v>33</c:v>
                </c:pt>
                <c:pt idx="457">
                  <c:v>33</c:v>
                </c:pt>
                <c:pt idx="458">
                  <c:v>33</c:v>
                </c:pt>
                <c:pt idx="459">
                  <c:v>33</c:v>
                </c:pt>
                <c:pt idx="460">
                  <c:v>32</c:v>
                </c:pt>
                <c:pt idx="461">
                  <c:v>32</c:v>
                </c:pt>
                <c:pt idx="462">
                  <c:v>32</c:v>
                </c:pt>
                <c:pt idx="463">
                  <c:v>32</c:v>
                </c:pt>
                <c:pt idx="464">
                  <c:v>31</c:v>
                </c:pt>
                <c:pt idx="465">
                  <c:v>31</c:v>
                </c:pt>
                <c:pt idx="466">
                  <c:v>31</c:v>
                </c:pt>
                <c:pt idx="467">
                  <c:v>31</c:v>
                </c:pt>
                <c:pt idx="468">
                  <c:v>31</c:v>
                </c:pt>
                <c:pt idx="469">
                  <c:v>30</c:v>
                </c:pt>
                <c:pt idx="470">
                  <c:v>30</c:v>
                </c:pt>
                <c:pt idx="471">
                  <c:v>30</c:v>
                </c:pt>
                <c:pt idx="472">
                  <c:v>30</c:v>
                </c:pt>
                <c:pt idx="473">
                  <c:v>29</c:v>
                </c:pt>
                <c:pt idx="474">
                  <c:v>29</c:v>
                </c:pt>
                <c:pt idx="475">
                  <c:v>29</c:v>
                </c:pt>
                <c:pt idx="476">
                  <c:v>29</c:v>
                </c:pt>
                <c:pt idx="477">
                  <c:v>28</c:v>
                </c:pt>
                <c:pt idx="478">
                  <c:v>28</c:v>
                </c:pt>
                <c:pt idx="479">
                  <c:v>28</c:v>
                </c:pt>
                <c:pt idx="480">
                  <c:v>28</c:v>
                </c:pt>
                <c:pt idx="481">
                  <c:v>28</c:v>
                </c:pt>
                <c:pt idx="482">
                  <c:v>27</c:v>
                </c:pt>
                <c:pt idx="483">
                  <c:v>27</c:v>
                </c:pt>
                <c:pt idx="484">
                  <c:v>27</c:v>
                </c:pt>
                <c:pt idx="485">
                  <c:v>27</c:v>
                </c:pt>
                <c:pt idx="486">
                  <c:v>26</c:v>
                </c:pt>
                <c:pt idx="487">
                  <c:v>26</c:v>
                </c:pt>
                <c:pt idx="488">
                  <c:v>26</c:v>
                </c:pt>
                <c:pt idx="489">
                  <c:v>26</c:v>
                </c:pt>
                <c:pt idx="490">
                  <c:v>26</c:v>
                </c:pt>
                <c:pt idx="491">
                  <c:v>25</c:v>
                </c:pt>
                <c:pt idx="492">
                  <c:v>25</c:v>
                </c:pt>
                <c:pt idx="493">
                  <c:v>25</c:v>
                </c:pt>
                <c:pt idx="494">
                  <c:v>25</c:v>
                </c:pt>
                <c:pt idx="495">
                  <c:v>24</c:v>
                </c:pt>
                <c:pt idx="496">
                  <c:v>24</c:v>
                </c:pt>
                <c:pt idx="497">
                  <c:v>24</c:v>
                </c:pt>
                <c:pt idx="498">
                  <c:v>24</c:v>
                </c:pt>
              </c:numCache>
            </c:numRef>
          </c:yVal>
        </c:ser>
        <c:ser>
          <c:idx val="0"/>
          <c:order val="1"/>
          <c:tx>
            <c:strRef>
              <c:f>Shirley!$D$1</c:f>
              <c:strCache>
                <c:ptCount val="1"/>
                <c:pt idx="0">
                  <c:v>Sh.Bkg.</c:v>
                </c:pt>
              </c:strCache>
            </c:strRef>
          </c:tx>
          <c:spPr>
            <a:ln w="12700">
              <a:solidFill>
                <a:srgbClr val="000080"/>
              </a:solidFill>
              <a:prstDash val="solid"/>
            </a:ln>
          </c:spPr>
          <c:marker>
            <c:symbol val="none"/>
          </c:marker>
          <c:xVal>
            <c:numRef>
              <c:f>Shirley!$A$2:$A$500</c:f>
              <c:numCache>
                <c:formatCode>0.00</c:formatCode>
                <c:ptCount val="4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numCache>
            </c:numRef>
          </c:xVal>
          <c:yVal>
            <c:numRef>
              <c:f>Shirley!$D$2:$D$500</c:f>
              <c:numCache>
                <c:formatCode>General</c:formatCode>
                <c:ptCount val="4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numCache>
            </c:numRef>
          </c:yVal>
        </c:ser>
        <c:axId val="65256832"/>
        <c:axId val="63755776"/>
      </c:scatterChart>
      <c:valAx>
        <c:axId val="65256832"/>
        <c:scaling>
          <c:orientation val="minMax"/>
        </c:scaling>
        <c:axPos val="b"/>
        <c:title>
          <c:tx>
            <c:rich>
              <a:bodyPr/>
              <a:lstStyle/>
              <a:p>
                <a:pPr>
                  <a:defRPr sz="1050" b="1" i="0" u="none" strike="noStrike" baseline="0">
                    <a:solidFill>
                      <a:srgbClr val="000000"/>
                    </a:solidFill>
                    <a:latin typeface="Arial"/>
                    <a:ea typeface="Arial"/>
                    <a:cs typeface="Arial"/>
                  </a:defRPr>
                </a:pPr>
                <a:r>
                  <a:rPr lang="en-GB" sz="1050" b="1"/>
                  <a:t>BE / eV</a:t>
                </a:r>
              </a:p>
            </c:rich>
          </c:tx>
          <c:layout>
            <c:manualLayout>
              <c:xMode val="edge"/>
              <c:yMode val="edge"/>
              <c:x val="0.43123061013443642"/>
              <c:y val="0.9440677966101696"/>
            </c:manualLayout>
          </c:layout>
          <c:spPr>
            <a:noFill/>
            <a:ln w="25400">
              <a:noFill/>
            </a:ln>
          </c:spPr>
        </c:title>
        <c:numFmt formatCode="0.0" sourceLinked="0"/>
        <c:majorTickMark val="cross"/>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3755776"/>
        <c:crosses val="autoZero"/>
        <c:crossBetween val="midCat"/>
      </c:valAx>
      <c:valAx>
        <c:axId val="63755776"/>
        <c:scaling>
          <c:orientation val="minMax"/>
        </c:scaling>
        <c:axPos val="l"/>
        <c:numFmt formatCode="General" sourceLinked="1"/>
        <c:majorTickMark val="cross"/>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5256832"/>
        <c:crosses val="autoZero"/>
        <c:crossBetween val="midCat"/>
      </c:valAx>
      <c:spPr>
        <a:noFill/>
        <a:ln w="12700">
          <a:solidFill>
            <a:srgbClr val="808080"/>
          </a:solidFill>
          <a:prstDash val="solid"/>
        </a:ln>
      </c:spPr>
    </c:plotArea>
    <c:legend>
      <c:legendPos val="r"/>
      <c:layout>
        <c:manualLayout>
          <c:xMode val="edge"/>
          <c:yMode val="edge"/>
          <c:x val="0.89968976215098262"/>
          <c:y val="0.47288135593220537"/>
          <c:w val="9.8241985522233746E-2"/>
          <c:h val="7.2881355932203393E-2"/>
        </c:manualLayout>
      </c:layout>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sheetPr codeName="Chart1"/>
  <sheetViews>
    <sheetView workbookViewId="0"/>
  </sheetViews>
  <pageMargins left="0.75" right="0.75" top="1" bottom="1" header="0.5" footer="0.5"/>
  <pageSetup paperSize="9" orientation="landscape" blackAndWhite="1" horizontalDpi="300" verticalDpi="300" r:id="rId1"/>
  <headerFooter alignWithMargins="0">
    <oddFooter>&amp;F</oddFooter>
  </headerFooter>
  <drawing r:id="rId2"/>
</chartsheet>
</file>

<file path=xl/chartsheets/sheet2.xml><?xml version="1.0" encoding="utf-8"?>
<chartsheet xmlns="http://schemas.openxmlformats.org/spreadsheetml/2006/main" xmlns:r="http://schemas.openxmlformats.org/officeDocument/2006/relationships">
  <sheetPr codeName="Chart2"/>
  <sheetViews>
    <sheetView workbookViewId="0"/>
  </sheetViews>
  <pageMargins left="0.75" right="0.75" top="1" bottom="1" header="0.5" footer="0.5"/>
  <headerFooter alignWithMargins="0">
    <oddHeader>&amp;A</oddHeader>
    <oddFooter>Page &amp;P</oddFooter>
  </headerFooter>
  <drawing r:id="rId1"/>
</chartsheet>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0</xdr:colOff>
      <xdr:row>30</xdr:row>
      <xdr:rowOff>0</xdr:rowOff>
    </xdr:to>
    <xdr:sp macro="" textlink="">
      <xdr:nvSpPr>
        <xdr:cNvPr id="1025" name="Text 1"/>
        <xdr:cNvSpPr txBox="1">
          <a:spLocks noChangeArrowheads="1"/>
        </xdr:cNvSpPr>
      </xdr:nvSpPr>
      <xdr:spPr bwMode="auto">
        <a:xfrm>
          <a:off x="0" y="0"/>
          <a:ext cx="5486400" cy="4857750"/>
        </a:xfrm>
        <a:prstGeom prst="rect">
          <a:avLst/>
        </a:prstGeom>
        <a:solidFill>
          <a:srgbClr val="FFFFFF"/>
        </a:solidFill>
        <a:ln w="9525">
          <a:solidFill>
            <a:srgbClr val="000000"/>
          </a:solidFill>
          <a:miter lim="800000"/>
          <a:headEnd/>
          <a:tailEnd/>
        </a:ln>
      </xdr:spPr>
      <xdr:txBody>
        <a:bodyPr vertOverflow="clip" wrap="square" lIns="180000" tIns="108000" rIns="180000" bIns="0" anchor="t" upright="1"/>
        <a:lstStyle/>
        <a:p>
          <a:pPr algn="ctr" rtl="0">
            <a:defRPr sz="1000"/>
          </a:pPr>
          <a:endParaRPr lang="en-GB" sz="1050" b="0" i="0" u="none" strike="noStrike" baseline="0">
            <a:solidFill>
              <a:srgbClr val="000000"/>
            </a:solidFill>
            <a:latin typeface="Arial"/>
            <a:cs typeface="Arial"/>
          </a:endParaRPr>
        </a:p>
        <a:p>
          <a:pPr algn="ctr" rtl="0">
            <a:defRPr sz="1000"/>
          </a:pPr>
          <a:r>
            <a:rPr lang="en-GB" sz="1400" b="1" i="0" u="sng" strike="noStrike" baseline="0">
              <a:solidFill>
                <a:srgbClr val="000000"/>
              </a:solidFill>
              <a:latin typeface="+mn-lt"/>
              <a:cs typeface="Arial"/>
            </a:rPr>
            <a:t>eXPFit  (Version 1.5 for Excel 2007)</a:t>
          </a:r>
        </a:p>
        <a:p>
          <a:pPr algn="ctr" rtl="0">
            <a:defRPr sz="1000"/>
          </a:pPr>
          <a:r>
            <a:rPr lang="en-GB" sz="1400" b="1" i="0" u="none" strike="noStrike" baseline="0">
              <a:solidFill>
                <a:srgbClr val="000000"/>
              </a:solidFill>
              <a:latin typeface="+mn-lt"/>
              <a:cs typeface="Arial"/>
            </a:rPr>
            <a:t>(June 2010)</a:t>
          </a:r>
          <a:endParaRPr lang="en-GB" sz="1100" b="0" i="0" u="none" strike="noStrike" baseline="0">
            <a:solidFill>
              <a:srgbClr val="000000"/>
            </a:solidFill>
            <a:latin typeface="+mn-lt"/>
            <a:cs typeface="Arial"/>
          </a:endParaRPr>
        </a:p>
        <a:p>
          <a:pPr algn="ctr" rtl="0">
            <a:defRPr sz="1000"/>
          </a:pPr>
          <a:endParaRPr lang="en-GB" sz="1050" b="0" i="0" u="none" strike="noStrike" baseline="0">
            <a:solidFill>
              <a:srgbClr val="000000"/>
            </a:solidFill>
            <a:latin typeface="+mn-lt"/>
            <a:cs typeface="Arial"/>
          </a:endParaRPr>
        </a:p>
        <a:p>
          <a:pPr algn="just" rtl="0">
            <a:defRPr sz="1000"/>
          </a:pPr>
          <a:r>
            <a:rPr lang="en-GB" sz="1050" b="0" i="0" u="none" strike="noStrike" baseline="0">
              <a:solidFill>
                <a:srgbClr val="000000"/>
              </a:solidFill>
              <a:latin typeface="+mn-lt"/>
              <a:cs typeface="Times New Roman"/>
            </a:rPr>
            <a:t>eXPFit is a peak fitting utility running under Microsoft Excel.  It has been specifically set-up for X-ray photoelectron spectroscopy (XPS) data, but could be used to fit other types of spectroscopic data.</a:t>
          </a:r>
          <a:endParaRPr lang="en-GB" sz="1050" b="0" i="0" u="none" strike="noStrike" baseline="0">
            <a:solidFill>
              <a:srgbClr val="000000"/>
            </a:solidFill>
            <a:latin typeface="+mn-lt"/>
            <a:cs typeface="Arial"/>
          </a:endParaRPr>
        </a:p>
        <a:p>
          <a:pPr algn="ctr" rtl="0">
            <a:defRPr sz="1000"/>
          </a:pPr>
          <a:endParaRPr lang="en-GB" sz="1050" b="0" i="0" u="none" strike="noStrike" baseline="0">
            <a:solidFill>
              <a:srgbClr val="000000"/>
            </a:solidFill>
            <a:latin typeface="+mn-lt"/>
            <a:cs typeface="Arial"/>
          </a:endParaRPr>
        </a:p>
        <a:p>
          <a:pPr algn="ctr" rtl="0">
            <a:defRPr sz="1000"/>
          </a:pPr>
          <a:r>
            <a:rPr lang="en-GB" sz="1050" b="1" i="0" u="none" strike="noStrike" baseline="0">
              <a:solidFill>
                <a:srgbClr val="000000"/>
              </a:solidFill>
              <a:latin typeface="+mn-lt"/>
              <a:cs typeface="Arial"/>
            </a:rPr>
            <a:t>Conditions of Use</a:t>
          </a:r>
        </a:p>
        <a:p>
          <a:pPr algn="ctr" rtl="0">
            <a:defRPr sz="1000"/>
          </a:pPr>
          <a:endParaRPr lang="en-GB" sz="1050" b="0" i="0" u="none" strike="noStrike" baseline="0">
            <a:solidFill>
              <a:srgbClr val="000000"/>
            </a:solidFill>
            <a:latin typeface="+mn-lt"/>
            <a:cs typeface="Arial"/>
          </a:endParaRPr>
        </a:p>
        <a:p>
          <a:pPr algn="just" rtl="0">
            <a:defRPr sz="1000"/>
          </a:pPr>
          <a:r>
            <a:rPr lang="en-GB" sz="1050" b="0" i="0" u="none" strike="noStrike" baseline="0">
              <a:solidFill>
                <a:srgbClr val="000000"/>
              </a:solidFill>
              <a:latin typeface="+mn-lt"/>
              <a:cs typeface="Times New Roman"/>
            </a:rPr>
            <a:t>This software utility is supplied free-of-charge for personal use by individuals at home, or anyone working in an academic (college, university etc.) environment, but please note the Disclaimer regarding its use.  The software must be registered and the requisite licensing payment made to the author (see below) before use in any other commercial or other non-academic research environment.</a:t>
          </a:r>
          <a:endParaRPr lang="en-GB" sz="1050" b="0" i="0" u="none" strike="noStrike" baseline="0">
            <a:solidFill>
              <a:srgbClr val="000000"/>
            </a:solidFill>
            <a:latin typeface="+mn-lt"/>
            <a:cs typeface="Arial"/>
          </a:endParaRPr>
        </a:p>
        <a:p>
          <a:pPr algn="ctr" rtl="0">
            <a:defRPr sz="1000"/>
          </a:pPr>
          <a:endParaRPr lang="en-GB" sz="1050" b="0" i="0" u="none" strike="noStrike" baseline="0">
            <a:solidFill>
              <a:srgbClr val="000000"/>
            </a:solidFill>
            <a:latin typeface="+mn-lt"/>
            <a:cs typeface="Arial"/>
          </a:endParaRPr>
        </a:p>
        <a:p>
          <a:pPr algn="ctr" rtl="0">
            <a:defRPr sz="1000"/>
          </a:pPr>
          <a:r>
            <a:rPr lang="en-GB" sz="1050" b="0" i="0" u="none" strike="noStrike" baseline="0">
              <a:solidFill>
                <a:srgbClr val="000000"/>
              </a:solidFill>
              <a:latin typeface="+mn-lt"/>
              <a:cs typeface="Arial"/>
            </a:rPr>
            <a:t>Dr. Roger Nix</a:t>
          </a:r>
        </a:p>
        <a:p>
          <a:pPr algn="ctr" rtl="0">
            <a:defRPr sz="1000"/>
          </a:pPr>
          <a:r>
            <a:rPr lang="en-GB" sz="1050" b="0" i="0" u="none" strike="noStrike" baseline="0">
              <a:solidFill>
                <a:srgbClr val="000000"/>
              </a:solidFill>
              <a:latin typeface="+mn-lt"/>
              <a:cs typeface="Arial"/>
            </a:rPr>
            <a:t>School of Biological &amp; Chemical Sciences</a:t>
          </a:r>
        </a:p>
        <a:p>
          <a:pPr algn="ctr" rtl="0">
            <a:defRPr sz="1000"/>
          </a:pPr>
          <a:r>
            <a:rPr lang="en-GB" sz="1050" b="0" i="0" u="none" strike="noStrike" baseline="0">
              <a:solidFill>
                <a:srgbClr val="000000"/>
              </a:solidFill>
              <a:latin typeface="+mn-lt"/>
              <a:cs typeface="Arial"/>
            </a:rPr>
            <a:t> Queen Mary, University of London</a:t>
          </a:r>
        </a:p>
        <a:p>
          <a:pPr algn="ctr" rtl="0">
            <a:defRPr sz="1000"/>
          </a:pPr>
          <a:r>
            <a:rPr lang="en-GB" sz="1050" b="0" i="0" u="none" strike="noStrike" baseline="0">
              <a:solidFill>
                <a:srgbClr val="000000"/>
              </a:solidFill>
              <a:latin typeface="+mn-lt"/>
              <a:cs typeface="Arial"/>
            </a:rPr>
            <a:t>Mile End Road,  London   E1  4NS ,  UK</a:t>
          </a:r>
        </a:p>
        <a:p>
          <a:pPr algn="ctr" rtl="0">
            <a:defRPr sz="1000"/>
          </a:pPr>
          <a:r>
            <a:rPr lang="en-GB" sz="1050" b="0" i="0" u="none" strike="noStrike" baseline="0">
              <a:solidFill>
                <a:srgbClr val="000000"/>
              </a:solidFill>
              <a:latin typeface="+mn-lt"/>
              <a:cs typeface="Arial"/>
            </a:rPr>
            <a:t>E-mail : r.m.nix@qmul.ac.uk     Fax :  +44 20 7882 7427</a:t>
          </a:r>
        </a:p>
        <a:p>
          <a:pPr rtl="0" fontAlgn="base"/>
          <a:endParaRPr lang="en-GB" sz="1100" b="0" i="0" baseline="0">
            <a:latin typeface="+mn-lt"/>
            <a:ea typeface="+mn-ea"/>
            <a:cs typeface="+mn-cs"/>
          </a:endParaRPr>
        </a:p>
        <a:p>
          <a:pPr rtl="0" fontAlgn="base"/>
          <a:endParaRPr lang="en-GB" sz="1100" b="0" i="0" baseline="0">
            <a:latin typeface="+mn-lt"/>
            <a:ea typeface="+mn-ea"/>
            <a:cs typeface="+mn-cs"/>
          </a:endParaRPr>
        </a:p>
        <a:p>
          <a:pPr rtl="0" fontAlgn="base"/>
          <a:endParaRPr lang="en-GB" sz="1100" b="0" i="0" baseline="0">
            <a:latin typeface="+mn-lt"/>
            <a:ea typeface="+mn-ea"/>
            <a:cs typeface="+mn-cs"/>
          </a:endParaRPr>
        </a:p>
        <a:p>
          <a:pPr rtl="0" fontAlgn="base"/>
          <a:r>
            <a:rPr lang="en-GB" sz="1100" b="1" i="0" baseline="0">
              <a:latin typeface="+mn-lt"/>
              <a:ea typeface="+mn-ea"/>
              <a:cs typeface="+mn-cs"/>
            </a:rPr>
            <a:t>To start using this software:</a:t>
          </a:r>
        </a:p>
        <a:p>
          <a:pPr rtl="0" fontAlgn="base"/>
          <a:r>
            <a:rPr lang="en-GB" sz="1100" b="1" i="0" baseline="0">
              <a:latin typeface="+mn-lt"/>
              <a:ea typeface="+mn-ea"/>
              <a:cs typeface="+mn-cs"/>
            </a:rPr>
            <a:t>1.   acknowledge the Security Warning, and enable the Macros</a:t>
          </a:r>
          <a:br>
            <a:rPr lang="en-GB" sz="1100" b="1" i="0" baseline="0">
              <a:latin typeface="+mn-lt"/>
              <a:ea typeface="+mn-ea"/>
              <a:cs typeface="+mn-cs"/>
            </a:rPr>
          </a:br>
          <a:r>
            <a:rPr lang="en-GB" sz="1100" b="1" i="0" baseline="0">
              <a:latin typeface="+mn-lt"/>
              <a:ea typeface="+mn-ea"/>
              <a:cs typeface="+mn-cs"/>
            </a:rPr>
            <a:t>2.   click on the "Ft" tab below in order to activate this worksheet.</a:t>
          </a:r>
        </a:p>
        <a:p>
          <a:pPr algn="ctr" rtl="0">
            <a:defRPr sz="1000"/>
          </a:pPr>
          <a:endParaRPr lang="en-GB" sz="1050" b="0" i="0" u="none" strike="noStrike" baseline="0">
            <a:solidFill>
              <a:srgbClr val="000000"/>
            </a:solidFill>
            <a:latin typeface="+mn-lt"/>
            <a:cs typeface="Arial"/>
          </a:endParaRPr>
        </a:p>
        <a:p>
          <a:pPr algn="ctr" rtl="0">
            <a:defRPr sz="1000"/>
          </a:pPr>
          <a:endParaRPr lang="en-GB" sz="1050" b="0" i="0" u="none" strike="noStrike" baseline="0">
            <a:solidFill>
              <a:srgbClr val="000000"/>
            </a:solidFill>
            <a:latin typeface="Arial"/>
            <a:cs typeface="Arial"/>
          </a:endParaRPr>
        </a:p>
        <a:p>
          <a:pPr algn="ctr" rtl="0">
            <a:defRPr sz="1000"/>
          </a:pPr>
          <a:endParaRPr lang="en-GB" sz="1050" b="0" i="0" u="none" strike="noStrike" baseline="0">
            <a:solidFill>
              <a:srgbClr val="000000"/>
            </a:solidFill>
            <a:latin typeface="Arial"/>
            <a:cs typeface="Arial"/>
          </a:endParaRPr>
        </a:p>
      </xdr:txBody>
    </xdr:sp>
    <xdr:clientData/>
  </xdr:twoCellAnchor>
  <xdr:twoCellAnchor>
    <xdr:from>
      <xdr:col>9</xdr:col>
      <xdr:colOff>171449</xdr:colOff>
      <xdr:row>0</xdr:row>
      <xdr:rowOff>114300</xdr:rowOff>
    </xdr:from>
    <xdr:to>
      <xdr:col>14</xdr:col>
      <xdr:colOff>47624</xdr:colOff>
      <xdr:row>19</xdr:row>
      <xdr:rowOff>85725</xdr:rowOff>
    </xdr:to>
    <xdr:sp macro="" textlink="">
      <xdr:nvSpPr>
        <xdr:cNvPr id="3" name="TextBox 2"/>
        <xdr:cNvSpPr txBox="1"/>
      </xdr:nvSpPr>
      <xdr:spPr>
        <a:xfrm>
          <a:off x="5657849" y="114300"/>
          <a:ext cx="2924175" cy="3048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GRD Notes: In order to use this had to make</a:t>
          </a:r>
          <a:r>
            <a:rPr lang="en-US" sz="1100" baseline="0"/>
            <a:t> a few very minor mods to this great little program. I added the correlation coefficient to provide an additional way to help see the goodness of fit. </a:t>
          </a:r>
        </a:p>
        <a:p>
          <a:r>
            <a:rPr lang="en-US" sz="1100" baseline="0"/>
            <a:t> i slaved the RFWHM to the LFWHM to force symmetrical Gaussian peaks to make overall calculation faster later on. This was done by simply referencing the LFWHM cell in the RFWHM cell. </a:t>
          </a:r>
        </a:p>
        <a:p>
          <a:r>
            <a:rPr lang="en-US" sz="1100" baseline="0"/>
            <a:t>I killed the regression  fitting of the Laurentian-gaussian mix, and the baseline. The baseline correction was held to zero and Gaussian only bands  were used (1.0). These changes were made when Solver is invoked/ The parameter s to adjust are listed in the input box labeled "Changing Cells".</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11</xdr:row>
      <xdr:rowOff>1</xdr:rowOff>
    </xdr:from>
    <xdr:to>
      <xdr:col>12</xdr:col>
      <xdr:colOff>228600</xdr:colOff>
      <xdr:row>33</xdr:row>
      <xdr:rowOff>38101</xdr:rowOff>
    </xdr:to>
    <xdr:graphicFrame macro="">
      <xdr:nvGraphicFramePr>
        <xdr:cNvPr id="2059"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12</xdr:col>
      <xdr:colOff>171450</xdr:colOff>
      <xdr:row>1</xdr:row>
      <xdr:rowOff>38100</xdr:rowOff>
    </xdr:from>
    <xdr:ext cx="3962400" cy="981076"/>
    <xdr:sp macro="" textlink="">
      <xdr:nvSpPr>
        <xdr:cNvPr id="3" name="TextBox 2"/>
        <xdr:cNvSpPr txBox="1"/>
      </xdr:nvSpPr>
      <xdr:spPr>
        <a:xfrm>
          <a:off x="7696200" y="200025"/>
          <a:ext cx="3962400" cy="981076"/>
        </a:xfrm>
        <a:prstGeom prst="rect">
          <a:avLst/>
        </a:prstGeom>
        <a:noFill/>
        <a:ln>
          <a:solidFill>
            <a:schemeClr val="tx1"/>
          </a:solidFill>
          <a:prstDash val="solid"/>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100"/>
            <a:t>GRD Note that solve setup does not really solve the system. As the pdf</a:t>
          </a:r>
          <a:r>
            <a:rPr lang="en-US" sz="1100" baseline="0"/>
            <a:t> doc file says, you need to manually invoke solver from the Data tab. Set the Peaks to use by adding or removing  cells from the changing cells window in Solver. Note contstraints to make all peaks positive.</a:t>
          </a:r>
          <a:endParaRPr lang="en-US" sz="1100"/>
        </a:p>
      </xdr:txBody>
    </xdr:sp>
    <xdr:clientData/>
  </xdr:oneCellAnchor>
</xdr:wsDr>
</file>

<file path=xl/drawings/drawing3.xml><?xml version="1.0" encoding="utf-8"?>
<xdr:wsDr xmlns:xdr="http://schemas.openxmlformats.org/drawingml/2006/spreadsheetDrawing" xmlns:a="http://schemas.openxmlformats.org/drawingml/2006/main">
  <xdr:absoluteAnchor>
    <xdr:pos x="0" y="0"/>
    <xdr:ext cx="9210675" cy="561975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0" y="-1"/>
    <xdr:ext cx="9324975" cy="608647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www.chem.qmul.ac.uk/software/eXPFit.htm"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dimension ref="A6:K33"/>
  <sheetViews>
    <sheetView workbookViewId="0">
      <selection activeCell="A33" sqref="A33"/>
    </sheetView>
  </sheetViews>
  <sheetFormatPr defaultRowHeight="12.75"/>
  <sheetData>
    <row r="6" spans="11:11">
      <c r="K6" s="34"/>
    </row>
    <row r="8" spans="11:11">
      <c r="K8" s="34"/>
    </row>
    <row r="32" spans="1:1">
      <c r="A32" s="36" t="s">
        <v>48</v>
      </c>
    </row>
    <row r="33" spans="1:1">
      <c r="A33" s="37" t="s">
        <v>47</v>
      </c>
    </row>
  </sheetData>
  <hyperlinks>
    <hyperlink ref="A33" r:id="rId1"/>
  </hyperlinks>
  <pageMargins left="0.75" right="0.75" top="1" bottom="1" header="0.5" footer="0.5"/>
  <headerFooter alignWithMargins="0">
    <oddHeader>&amp;A</oddHeader>
    <oddFooter>Page &amp;P</oddFooter>
  </headerFooter>
  <drawing r:id="rId2"/>
</worksheet>
</file>

<file path=xl/worksheets/sheet2.xml><?xml version="1.0" encoding="utf-8"?>
<worksheet xmlns="http://schemas.openxmlformats.org/spreadsheetml/2006/main" xmlns:r="http://schemas.openxmlformats.org/officeDocument/2006/relationships">
  <sheetPr codeName="Sheet2"/>
  <dimension ref="A1:R54"/>
  <sheetViews>
    <sheetView tabSelected="1" workbookViewId="0">
      <selection activeCell="B2" sqref="B2:G4"/>
    </sheetView>
  </sheetViews>
  <sheetFormatPr defaultRowHeight="12.75"/>
  <cols>
    <col min="1" max="1" width="11.85546875" customWidth="1"/>
    <col min="2" max="2" width="9.5703125" bestFit="1" customWidth="1"/>
    <col min="7" max="7" width="9.140625" customWidth="1"/>
  </cols>
  <sheetData>
    <row r="1" spans="1:14">
      <c r="A1" s="21" t="s">
        <v>0</v>
      </c>
      <c r="B1" s="21">
        <v>1</v>
      </c>
      <c r="C1" s="21">
        <v>2</v>
      </c>
      <c r="D1" s="21">
        <v>3</v>
      </c>
      <c r="E1" s="21">
        <v>4</v>
      </c>
      <c r="F1" s="21">
        <v>5</v>
      </c>
      <c r="G1" s="21">
        <v>6</v>
      </c>
      <c r="H1" s="21">
        <v>7</v>
      </c>
      <c r="I1" s="21">
        <v>8</v>
      </c>
      <c r="J1" s="21">
        <v>9</v>
      </c>
      <c r="K1" s="21">
        <v>10</v>
      </c>
    </row>
    <row r="2" spans="1:14" s="8" customFormat="1">
      <c r="A2" s="38" t="s">
        <v>49</v>
      </c>
      <c r="B2" s="18">
        <v>-221.78438233786147</v>
      </c>
      <c r="C2" s="18">
        <v>902.15886084654994</v>
      </c>
      <c r="D2" s="18">
        <v>434.62870330332504</v>
      </c>
      <c r="E2" s="18">
        <v>719.85491439574605</v>
      </c>
      <c r="F2" s="18">
        <v>1467.993504291707</v>
      </c>
      <c r="G2" s="18">
        <v>355.64474712414699</v>
      </c>
      <c r="H2" s="15">
        <v>500</v>
      </c>
      <c r="I2" s="15">
        <v>500</v>
      </c>
      <c r="J2" s="15">
        <v>500</v>
      </c>
      <c r="K2" s="15">
        <v>500</v>
      </c>
    </row>
    <row r="3" spans="1:14" s="8" customFormat="1">
      <c r="A3" s="8" t="s">
        <v>2</v>
      </c>
      <c r="B3" s="6">
        <v>180.82336297904237</v>
      </c>
      <c r="C3" s="6">
        <v>56.264466619056378</v>
      </c>
      <c r="D3" s="6">
        <v>1.8287408880507345</v>
      </c>
      <c r="E3" s="6">
        <v>111.71814791664666</v>
      </c>
      <c r="F3" s="6">
        <v>151.45972041288573</v>
      </c>
      <c r="G3" s="6">
        <v>49.103342489741507</v>
      </c>
      <c r="H3" s="16">
        <v>0</v>
      </c>
      <c r="I3" s="16">
        <v>0</v>
      </c>
      <c r="J3" s="16">
        <v>0</v>
      </c>
      <c r="K3" s="16">
        <v>0</v>
      </c>
    </row>
    <row r="4" spans="1:14" s="8" customFormat="1">
      <c r="A4" s="8" t="s">
        <v>3</v>
      </c>
      <c r="B4" s="19">
        <v>1078.0075166486827</v>
      </c>
      <c r="C4" s="19">
        <v>1584.4021908872623</v>
      </c>
      <c r="D4" s="19">
        <v>63.408044619396343</v>
      </c>
      <c r="E4" s="19">
        <v>618.50522200534544</v>
      </c>
      <c r="F4" s="19">
        <v>1297.7402004818882</v>
      </c>
      <c r="G4" s="19">
        <v>462.26589371875821</v>
      </c>
      <c r="H4" s="17">
        <v>1.5</v>
      </c>
      <c r="I4" s="17">
        <v>1.5</v>
      </c>
      <c r="J4" s="17">
        <v>1.5</v>
      </c>
      <c r="K4" s="17">
        <v>1.5</v>
      </c>
    </row>
    <row r="5" spans="1:14" s="8" customFormat="1">
      <c r="A5" s="8" t="s">
        <v>4</v>
      </c>
      <c r="B5" s="17">
        <f>B4</f>
        <v>1078.0075166486827</v>
      </c>
      <c r="C5" s="17">
        <f>C4</f>
        <v>1584.4021908872623</v>
      </c>
      <c r="D5" s="17">
        <f t="shared" ref="D5:K5" si="0">D4</f>
        <v>63.408044619396343</v>
      </c>
      <c r="E5" s="17">
        <f>E4</f>
        <v>618.50522200534544</v>
      </c>
      <c r="F5" s="17">
        <f>F4</f>
        <v>1297.7402004818882</v>
      </c>
      <c r="G5" s="17">
        <f>G4</f>
        <v>462.26589371875821</v>
      </c>
      <c r="H5" s="17">
        <f t="shared" ref="H5:I5" si="1">H4</f>
        <v>1.5</v>
      </c>
      <c r="I5" s="17">
        <f t="shared" si="1"/>
        <v>1.5</v>
      </c>
      <c r="J5" s="17">
        <f t="shared" si="0"/>
        <v>1.5</v>
      </c>
      <c r="K5" s="17">
        <f t="shared" si="0"/>
        <v>1.5</v>
      </c>
    </row>
    <row r="6" spans="1:14" s="8" customFormat="1">
      <c r="A6" s="8" t="s">
        <v>5</v>
      </c>
      <c r="B6" s="19">
        <v>1</v>
      </c>
      <c r="C6" s="19">
        <v>1</v>
      </c>
      <c r="D6" s="19">
        <v>1</v>
      </c>
      <c r="E6" s="19">
        <v>1</v>
      </c>
      <c r="F6" s="19">
        <v>1</v>
      </c>
      <c r="G6" s="19">
        <v>1</v>
      </c>
      <c r="H6" s="17">
        <v>1</v>
      </c>
      <c r="I6" s="17">
        <v>1</v>
      </c>
      <c r="J6" s="17">
        <v>1</v>
      </c>
      <c r="K6" s="17">
        <v>0.5</v>
      </c>
    </row>
    <row r="7" spans="1:14" s="8" customFormat="1">
      <c r="A7" s="8" t="s">
        <v>6</v>
      </c>
      <c r="B7" s="19">
        <v>1</v>
      </c>
      <c r="C7" s="19">
        <v>1</v>
      </c>
      <c r="D7" s="19">
        <v>1</v>
      </c>
      <c r="E7" s="19">
        <v>1</v>
      </c>
      <c r="F7" s="17">
        <f t="shared" ref="F7:K7" si="2">F6</f>
        <v>1</v>
      </c>
      <c r="G7" s="17">
        <f t="shared" si="2"/>
        <v>1</v>
      </c>
      <c r="H7" s="17">
        <f t="shared" ref="H7:J7" si="3">H6</f>
        <v>1</v>
      </c>
      <c r="I7" s="17">
        <f t="shared" si="3"/>
        <v>1</v>
      </c>
      <c r="J7" s="17">
        <f t="shared" si="3"/>
        <v>1</v>
      </c>
      <c r="K7" s="17">
        <f t="shared" si="2"/>
        <v>0.5</v>
      </c>
    </row>
    <row r="8" spans="1:14" s="8" customFormat="1" ht="3" customHeight="1">
      <c r="B8" s="9"/>
      <c r="C8" s="9"/>
    </row>
    <row r="9" spans="1:14" s="8" customFormat="1">
      <c r="A9" s="8" t="s">
        <v>7</v>
      </c>
      <c r="B9" s="10">
        <f>(B4*(1.064467*B6+1.5*(1-B6))+B5*(1.064467*B7+1.5*(1-B7)))*B3/2</f>
        <v>207495.42874070609</v>
      </c>
      <c r="C9" s="10">
        <f>(C4*(1.064467*C6+1.5*(1-C6))+C5*(1.064467*C7+1.5*(1-C7)))*C3/2</f>
        <v>94892.4899770099</v>
      </c>
      <c r="D9" s="10">
        <f>(D4*(1.064467*D6+1.5*(1-D6))+D5*(1.064467*D7+1.5*(1-D7)))*D3/2</f>
        <v>123.43227625650007</v>
      </c>
      <c r="E9" s="10">
        <f t="shared" ref="E9:K9" si="4">(E4*(1.064467*E6+1.5*(1-E6))+E5*(1.064467*E7+1.5*(1-E7)))*E3/2</f>
        <v>73552.815269910701</v>
      </c>
      <c r="F9" s="10">
        <f t="shared" si="4"/>
        <v>209226.70283812119</v>
      </c>
      <c r="G9" s="10">
        <f t="shared" si="4"/>
        <v>24162.124072470724</v>
      </c>
      <c r="H9" s="10">
        <f t="shared" si="4"/>
        <v>0</v>
      </c>
      <c r="I9" s="10">
        <f t="shared" si="4"/>
        <v>0</v>
      </c>
      <c r="J9" s="10">
        <f t="shared" si="4"/>
        <v>0</v>
      </c>
      <c r="K9" s="10">
        <f t="shared" si="4"/>
        <v>0</v>
      </c>
      <c r="M9"/>
      <c r="N9"/>
    </row>
    <row r="10" spans="1:14" s="8" customFormat="1" ht="9" customHeight="1">
      <c r="B10" s="10"/>
      <c r="C10" s="10"/>
      <c r="D10" s="10"/>
      <c r="E10" s="10"/>
      <c r="F10" s="10"/>
      <c r="G10" s="10"/>
      <c r="H10" s="10"/>
      <c r="I10" s="10"/>
      <c r="J10" s="10"/>
      <c r="K10" s="10"/>
      <c r="M10"/>
      <c r="N10"/>
    </row>
    <row r="11" spans="1:14" s="8" customFormat="1" ht="18" customHeight="1">
      <c r="B11" s="10"/>
      <c r="C11" s="10"/>
      <c r="D11" s="10"/>
      <c r="E11" s="10"/>
      <c r="F11" s="10"/>
      <c r="G11" s="10"/>
      <c r="H11" s="10"/>
      <c r="I11" s="10"/>
      <c r="J11" s="10"/>
      <c r="K11" s="10"/>
      <c r="M11"/>
      <c r="N11"/>
    </row>
    <row r="12" spans="1:14" s="8" customFormat="1">
      <c r="A12" s="9" t="s">
        <v>8</v>
      </c>
      <c r="B12" s="12">
        <v>-200</v>
      </c>
      <c r="C12" s="10"/>
      <c r="D12" s="10"/>
      <c r="E12" s="10"/>
      <c r="F12" s="10"/>
      <c r="G12" s="10"/>
      <c r="H12" s="10"/>
      <c r="I12" s="10"/>
      <c r="J12"/>
      <c r="K12"/>
      <c r="M12"/>
      <c r="N12"/>
    </row>
    <row r="13" spans="1:14" s="8" customFormat="1">
      <c r="A13" s="9" t="s">
        <v>9</v>
      </c>
      <c r="B13" s="12">
        <v>-200</v>
      </c>
      <c r="C13" s="10"/>
      <c r="D13" s="10"/>
      <c r="E13" s="10"/>
      <c r="F13" s="10"/>
      <c r="G13" s="10"/>
      <c r="H13" s="10"/>
      <c r="I13" s="10"/>
      <c r="J13"/>
      <c r="K13"/>
      <c r="M13"/>
      <c r="N13"/>
    </row>
    <row r="14" spans="1:14" s="8" customFormat="1">
      <c r="A14" s="9" t="s">
        <v>10</v>
      </c>
      <c r="B14" s="12">
        <v>0</v>
      </c>
      <c r="C14" s="10"/>
      <c r="D14" s="10"/>
      <c r="E14" s="10"/>
      <c r="F14" s="10"/>
      <c r="G14" s="10"/>
      <c r="H14" s="10"/>
      <c r="I14" s="10"/>
      <c r="J14" s="10"/>
      <c r="K14" s="10"/>
      <c r="M14"/>
      <c r="N14"/>
    </row>
    <row r="15" spans="1:14" s="8" customFormat="1">
      <c r="A15" s="9"/>
      <c r="B15" s="12"/>
      <c r="C15" s="10"/>
      <c r="D15" s="10"/>
      <c r="E15" s="10"/>
      <c r="F15" s="10"/>
      <c r="G15" s="10"/>
      <c r="H15" s="10"/>
      <c r="I15" s="10"/>
      <c r="J15" s="10"/>
      <c r="K15" s="10"/>
      <c r="M15"/>
      <c r="N15"/>
    </row>
    <row r="16" spans="1:14" s="8" customFormat="1">
      <c r="A16" s="8" t="s">
        <v>11</v>
      </c>
      <c r="B16" s="10">
        <f>SUM(B9:K9)+(B12+B13)*(MAX(Data!A:A)-MIN(Data!A:A))/2</f>
        <v>338252.99317447515</v>
      </c>
      <c r="C16" s="10"/>
      <c r="D16" s="10"/>
      <c r="E16" s="10"/>
      <c r="F16" s="10"/>
      <c r="G16" s="10"/>
      <c r="H16" s="10"/>
      <c r="I16" s="10"/>
      <c r="J16" s="10"/>
      <c r="K16" s="10"/>
      <c r="M16"/>
      <c r="N16"/>
    </row>
    <row r="17" spans="1:18" s="8" customFormat="1">
      <c r="A17" s="8" t="s">
        <v>12</v>
      </c>
      <c r="B17" s="10">
        <f>SUM(Data!B:B)*ABS(Data!A2-Data!A3)</f>
        <v>39690.173491594571</v>
      </c>
      <c r="C17" s="10"/>
      <c r="D17" s="10"/>
      <c r="E17" s="10"/>
      <c r="F17" s="10"/>
      <c r="G17" s="10"/>
      <c r="H17" s="10"/>
      <c r="I17" s="10"/>
      <c r="J17" s="10"/>
      <c r="K17" s="10"/>
      <c r="M17"/>
      <c r="N17"/>
    </row>
    <row r="18" spans="1:18" s="8" customFormat="1">
      <c r="B18" s="9"/>
      <c r="C18" s="9"/>
      <c r="M18"/>
      <c r="N18"/>
    </row>
    <row r="19" spans="1:18" s="8" customFormat="1">
      <c r="A19" t="s">
        <v>13</v>
      </c>
      <c r="B19" s="5">
        <f>SUM(Data!D:D)</f>
        <v>72.046145565381423</v>
      </c>
      <c r="C19" s="9"/>
    </row>
    <row r="20" spans="1:18" s="8" customFormat="1">
      <c r="A20" s="8" t="s">
        <v>14</v>
      </c>
      <c r="B20" s="10">
        <f>COUNT(Data!A:A)</f>
        <v>679</v>
      </c>
      <c r="C20" s="9"/>
      <c r="M20" s="11"/>
    </row>
    <row r="21" spans="1:18" s="8" customFormat="1">
      <c r="A21"/>
      <c r="B21"/>
      <c r="C21" s="9"/>
    </row>
    <row r="22" spans="1:18" s="8" customFormat="1">
      <c r="A22" s="8" t="s">
        <v>15</v>
      </c>
      <c r="B22" s="32">
        <f>SQRT(B19/B20)</f>
        <v>0.32573954729754623</v>
      </c>
      <c r="C22" s="9"/>
    </row>
    <row r="23" spans="1:18" s="8" customFormat="1">
      <c r="B23" s="9"/>
      <c r="C23" s="9"/>
    </row>
    <row r="24" spans="1:18" s="8" customFormat="1">
      <c r="A24" s="33" t="s">
        <v>46</v>
      </c>
      <c r="B24" s="35">
        <f>CORREL(Data!B2:B678,Data!C2:C678)</f>
        <v>0.99986538847661</v>
      </c>
      <c r="C24" s="9"/>
    </row>
    <row r="25" spans="1:18" s="8" customFormat="1">
      <c r="B25" s="9"/>
      <c r="C25" s="9"/>
    </row>
    <row r="26" spans="1:18" s="8" customFormat="1">
      <c r="B26" s="9"/>
      <c r="C26" s="9"/>
      <c r="M26" s="18"/>
      <c r="N26" s="18"/>
      <c r="O26" s="18"/>
      <c r="P26" s="18"/>
      <c r="Q26" s="18"/>
      <c r="R26" s="18"/>
    </row>
    <row r="27" spans="1:18" s="8" customFormat="1">
      <c r="B27" s="9"/>
      <c r="C27" s="9"/>
      <c r="M27" s="6"/>
      <c r="N27" s="6"/>
      <c r="O27" s="6"/>
      <c r="P27" s="6"/>
      <c r="Q27" s="6"/>
      <c r="R27" s="6"/>
    </row>
    <row r="28" spans="1:18" s="8" customFormat="1">
      <c r="B28" s="9"/>
      <c r="C28" s="9"/>
      <c r="M28" s="19"/>
      <c r="N28" s="19"/>
      <c r="O28" s="19"/>
      <c r="P28" s="19"/>
      <c r="Q28" s="19"/>
      <c r="R28" s="19"/>
    </row>
    <row r="29" spans="1:18" s="8" customFormat="1">
      <c r="B29" s="9"/>
      <c r="C29" s="9"/>
    </row>
    <row r="30" spans="1:18" s="8" customFormat="1">
      <c r="B30" s="9"/>
      <c r="C30" s="9"/>
    </row>
    <row r="31" spans="1:18" s="8" customFormat="1">
      <c r="B31" s="9"/>
      <c r="C31" s="9"/>
    </row>
    <row r="32" spans="1:18" s="8" customFormat="1">
      <c r="B32" s="9"/>
      <c r="C32" s="9"/>
    </row>
    <row r="33" spans="1:11" s="8" customFormat="1">
      <c r="B33" s="9"/>
      <c r="C33" s="9"/>
    </row>
    <row r="34" spans="1:11" s="8" customFormat="1">
      <c r="B34" s="9"/>
      <c r="C34" s="9"/>
    </row>
    <row r="35" spans="1:11" s="8" customFormat="1">
      <c r="A35" s="8" t="s">
        <v>41</v>
      </c>
      <c r="B35" s="9"/>
      <c r="C35" s="9"/>
    </row>
    <row r="36" spans="1:11" s="8" customFormat="1">
      <c r="B36" s="9"/>
      <c r="C36" s="9"/>
    </row>
    <row r="37" spans="1:11">
      <c r="A37" t="s">
        <v>16</v>
      </c>
      <c r="B37" s="7">
        <f t="shared" ref="B37:K37" si="5">4/(B4^2)</f>
        <v>3.4420439644672552E-6</v>
      </c>
      <c r="C37" s="7">
        <f t="shared" si="5"/>
        <v>1.593415813064525E-6</v>
      </c>
      <c r="D37" s="7">
        <f t="shared" si="5"/>
        <v>9.9488130522746828E-4</v>
      </c>
      <c r="E37" s="7">
        <f t="shared" si="5"/>
        <v>1.0456184791949276E-5</v>
      </c>
      <c r="F37" s="7">
        <f t="shared" si="5"/>
        <v>2.375114084820568E-6</v>
      </c>
      <c r="G37" s="7">
        <f t="shared" si="5"/>
        <v>1.8718725996032103E-5</v>
      </c>
      <c r="H37" s="7">
        <f t="shared" si="5"/>
        <v>1.7777777777777777</v>
      </c>
      <c r="I37" s="7">
        <f t="shared" si="5"/>
        <v>1.7777777777777777</v>
      </c>
      <c r="J37" s="7">
        <f t="shared" si="5"/>
        <v>1.7777777777777777</v>
      </c>
      <c r="K37" s="7">
        <f t="shared" si="5"/>
        <v>1.7777777777777777</v>
      </c>
    </row>
    <row r="38" spans="1:11">
      <c r="A38" t="s">
        <v>17</v>
      </c>
      <c r="B38" s="7">
        <f t="shared" ref="B38:K38" si="6">-2.77258872/(B4^2)</f>
        <v>-2.385843067406498E-6</v>
      </c>
      <c r="C38" s="7">
        <f t="shared" si="6"/>
        <v>-1.1044716773930826E-6</v>
      </c>
      <c r="D38" s="7">
        <f t="shared" si="6"/>
        <v>-6.895991711531388E-4</v>
      </c>
      <c r="E38" s="7">
        <f t="shared" si="6"/>
        <v>-7.2476750020985275E-6</v>
      </c>
      <c r="F38" s="7">
        <f t="shared" si="6"/>
        <v>-1.6463036300716576E-6</v>
      </c>
      <c r="G38" s="7">
        <f t="shared" si="6"/>
        <v>-1.2974832137342343E-5</v>
      </c>
      <c r="H38" s="7">
        <f t="shared" si="6"/>
        <v>-1.2322616533333333</v>
      </c>
      <c r="I38" s="7">
        <f t="shared" si="6"/>
        <v>-1.2322616533333333</v>
      </c>
      <c r="J38" s="7">
        <f t="shared" si="6"/>
        <v>-1.2322616533333333</v>
      </c>
      <c r="K38" s="7">
        <f t="shared" si="6"/>
        <v>-1.2322616533333333</v>
      </c>
    </row>
    <row r="39" spans="1:11">
      <c r="A39" t="s">
        <v>18</v>
      </c>
      <c r="B39" s="7">
        <f t="shared" ref="B39:K39" si="7">4/(B5^2)</f>
        <v>3.4420439644672552E-6</v>
      </c>
      <c r="C39" s="7">
        <f t="shared" si="7"/>
        <v>1.593415813064525E-6</v>
      </c>
      <c r="D39" s="7">
        <f t="shared" si="7"/>
        <v>9.9488130522746828E-4</v>
      </c>
      <c r="E39" s="7">
        <f t="shared" si="7"/>
        <v>1.0456184791949276E-5</v>
      </c>
      <c r="F39" s="7">
        <f t="shared" si="7"/>
        <v>2.375114084820568E-6</v>
      </c>
      <c r="G39" s="7">
        <f t="shared" si="7"/>
        <v>1.8718725996032103E-5</v>
      </c>
      <c r="H39" s="7">
        <f t="shared" si="7"/>
        <v>1.7777777777777777</v>
      </c>
      <c r="I39" s="7">
        <f t="shared" si="7"/>
        <v>1.7777777777777777</v>
      </c>
      <c r="J39" s="7">
        <f t="shared" si="7"/>
        <v>1.7777777777777777</v>
      </c>
      <c r="K39" s="7">
        <f t="shared" si="7"/>
        <v>1.7777777777777777</v>
      </c>
    </row>
    <row r="40" spans="1:11">
      <c r="A40" t="s">
        <v>19</v>
      </c>
      <c r="B40" s="7">
        <f t="shared" ref="B40:K40" si="8">-2.77258872/(B5^2)</f>
        <v>-2.385843067406498E-6</v>
      </c>
      <c r="C40" s="7">
        <f t="shared" si="8"/>
        <v>-1.1044716773930826E-6</v>
      </c>
      <c r="D40" s="7">
        <f t="shared" si="8"/>
        <v>-6.895991711531388E-4</v>
      </c>
      <c r="E40" s="7">
        <f t="shared" si="8"/>
        <v>-7.2476750020985275E-6</v>
      </c>
      <c r="F40" s="7">
        <f t="shared" si="8"/>
        <v>-1.6463036300716576E-6</v>
      </c>
      <c r="G40" s="7">
        <f t="shared" si="8"/>
        <v>-1.2974832137342343E-5</v>
      </c>
      <c r="H40" s="7">
        <f t="shared" si="8"/>
        <v>-1.2322616533333333</v>
      </c>
      <c r="I40" s="7">
        <f t="shared" si="8"/>
        <v>-1.2322616533333333</v>
      </c>
      <c r="J40" s="7">
        <f t="shared" si="8"/>
        <v>-1.2322616533333333</v>
      </c>
      <c r="K40" s="7">
        <f t="shared" si="8"/>
        <v>-1.2322616533333333</v>
      </c>
    </row>
    <row r="42" spans="1:11">
      <c r="A42" s="5"/>
    </row>
    <row r="44" spans="1:11">
      <c r="A44" t="s">
        <v>20</v>
      </c>
    </row>
    <row r="45" spans="1:11">
      <c r="A45" t="b">
        <v>1</v>
      </c>
    </row>
    <row r="48" spans="1:11">
      <c r="A48" t="s">
        <v>21</v>
      </c>
    </row>
    <row r="50" spans="1:1">
      <c r="A50" s="5">
        <f>MIN($B$19)</f>
        <v>72.046145565381423</v>
      </c>
    </row>
    <row r="51" spans="1:1">
      <c r="A51">
        <f>COUNT($B$2:$B$4,$B$6,$B$12:$B$13,$C$2:$C$4,$C$6)</f>
        <v>10</v>
      </c>
    </row>
    <row r="52" spans="1:1">
      <c r="A52" t="b">
        <f>$B$6&lt;=1</f>
        <v>1</v>
      </c>
    </row>
    <row r="53" spans="1:1">
      <c r="A53" t="b">
        <f>$C$6&lt;=1</f>
        <v>1</v>
      </c>
    </row>
    <row r="54" spans="1:1">
      <c r="A54">
        <f>{1000,1000,0.000001,0.05,FALSE,FALSE,FALSE,1,1,1,0.001,FALSE}</f>
        <v>1000</v>
      </c>
    </row>
  </sheetData>
  <printOptions horizontalCentered="1"/>
  <pageMargins left="0.74803149606299213" right="0.74803149606299213" top="0.98425196850393704" bottom="0.98425196850393704" header="0.51181102362204722" footer="0.51181102362204722"/>
  <pageSetup paperSize="9" orientation="landscape" horizontalDpi="300" verticalDpi="300" r:id="rId1"/>
  <headerFooter alignWithMargins="0">
    <oddFooter>&amp;C&amp;F</oddFooter>
  </headerFooter>
  <drawing r:id="rId2"/>
  <legacyDrawing r:id="rId3"/>
</worksheet>
</file>

<file path=xl/worksheets/sheet3.xml><?xml version="1.0" encoding="utf-8"?>
<worksheet xmlns="http://schemas.openxmlformats.org/spreadsheetml/2006/main" xmlns:r="http://schemas.openxmlformats.org/officeDocument/2006/relationships">
  <sheetPr codeName="Sheet3"/>
  <dimension ref="A1:B3"/>
  <sheetViews>
    <sheetView workbookViewId="0">
      <selection activeCell="A13" sqref="A13"/>
    </sheetView>
  </sheetViews>
  <sheetFormatPr defaultRowHeight="12.75"/>
  <cols>
    <col min="1" max="1" width="12.85546875" customWidth="1"/>
  </cols>
  <sheetData>
    <row r="1" spans="1:2">
      <c r="A1" t="s">
        <v>22</v>
      </c>
    </row>
    <row r="3" spans="1:2">
      <c r="A3" t="s">
        <v>23</v>
      </c>
      <c r="B3" s="1">
        <f>MIN(Data!A:A)</f>
        <v>1</v>
      </c>
    </row>
  </sheetData>
  <pageMargins left="0.75" right="0.75" top="1" bottom="1" header="0.5" footer="0.5"/>
  <headerFooter alignWithMargins="0">
    <oddHeader>&amp;A</oddHeader>
    <oddFooter>Page &amp;P</oddFooter>
  </headerFooter>
</worksheet>
</file>

<file path=xl/worksheets/sheet4.xml><?xml version="1.0" encoding="utf-8"?>
<worksheet xmlns="http://schemas.openxmlformats.org/spreadsheetml/2006/main" xmlns:r="http://schemas.openxmlformats.org/officeDocument/2006/relationships">
  <sheetPr codeName="Sheet4"/>
  <dimension ref="A1:T1001"/>
  <sheetViews>
    <sheetView topLeftCell="A655" workbookViewId="0">
      <selection activeCell="C681" sqref="C681"/>
    </sheetView>
  </sheetViews>
  <sheetFormatPr defaultRowHeight="12.75"/>
  <cols>
    <col min="1" max="1" width="9.140625" style="20"/>
    <col min="2" max="2" width="10.5703125" style="29" bestFit="1" customWidth="1"/>
    <col min="3" max="3" width="8.5703125" style="7" customWidth="1"/>
    <col min="4" max="5" width="11" style="3" customWidth="1"/>
    <col min="6" max="17" width="9.140625" style="3"/>
    <col min="18" max="18" width="11.85546875" customWidth="1"/>
  </cols>
  <sheetData>
    <row r="1" spans="1:20" s="2" customFormat="1" ht="14.25">
      <c r="A1" s="39" t="s">
        <v>49</v>
      </c>
      <c r="B1" s="29" t="s">
        <v>40</v>
      </c>
      <c r="C1" s="30" t="s">
        <v>24</v>
      </c>
      <c r="D1" s="4" t="s">
        <v>25</v>
      </c>
      <c r="E1" s="13" t="s">
        <v>26</v>
      </c>
      <c r="F1" s="14" t="s">
        <v>27</v>
      </c>
      <c r="G1" s="14" t="s">
        <v>28</v>
      </c>
      <c r="H1" s="14" t="s">
        <v>29</v>
      </c>
      <c r="I1" s="14" t="s">
        <v>30</v>
      </c>
      <c r="J1" s="14" t="s">
        <v>31</v>
      </c>
      <c r="K1" s="14" t="s">
        <v>32</v>
      </c>
      <c r="L1" s="14" t="s">
        <v>33</v>
      </c>
      <c r="M1" s="14" t="s">
        <v>34</v>
      </c>
      <c r="N1" s="14" t="s">
        <v>35</v>
      </c>
      <c r="O1" s="14" t="s">
        <v>36</v>
      </c>
      <c r="P1"/>
      <c r="Q1"/>
      <c r="R1"/>
      <c r="T1"/>
    </row>
    <row r="2" spans="1:20">
      <c r="A2" s="20">
        <v>1</v>
      </c>
      <c r="B2" s="29">
        <v>0.17090048082783937</v>
      </c>
      <c r="C2" s="7">
        <f>SUM(E2:K2)</f>
        <v>0.19987534966264064</v>
      </c>
      <c r="D2" s="3">
        <f t="shared" ref="D2:D65" si="0">(C2-B2)^2</f>
        <v>8.3954302399393791E-4</v>
      </c>
      <c r="E2" s="3">
        <f>Ft!$B$12+Ft!$B$14*(Data!A2-Vars!$B$3)</f>
        <v>-200</v>
      </c>
      <c r="F2" s="3">
        <f>IF(($A2-Ft!B$2)&lt;0,Ft!B$3*((1-Ft!B$6)/(1+Ft!B$37*($A2-Ft!B$2)^2)+Ft!B$6*EXP(Ft!B$38*($A2-Ft!B$2)^2)),Ft!B$3*((1-Ft!B$7)/(1+Ft!B$39*($A2-Ft!B$2)^2)+Ft!B$7*EXP(Ft!B$40*($A2-Ft!B$2)^2)))</f>
        <v>160.6301302669965</v>
      </c>
      <c r="G2" s="3">
        <f>IF(($A2-Ft!C$2)&lt;0,Ft!C$3*((1-Ft!C$6)/(1+Ft!C$37*($A2-Ft!C$2)^2)+Ft!C$6*EXP(Ft!C$38*($A2-Ft!C$2)^2)),Ft!C$3*((1-Ft!C$7)/(1+Ft!C$39*($A2-Ft!C$2)^2)+Ft!C$7*EXP(Ft!C$40*($A2-Ft!C$2)^2)))</f>
        <v>22.945819848509711</v>
      </c>
      <c r="H2" s="3">
        <f>IF(($A2-Ft!D$2)&lt;0,Ft!D$3*((1-Ft!D$6)/(1+Ft!D$37*($A2-Ft!D$2)^2)+Ft!D$6*EXP(Ft!D$38*($A2-Ft!D$2)^2)),Ft!D$3*((1-Ft!D$7)/(1+Ft!D$39*($A2-Ft!D$2)^2)+Ft!D$7*EXP(Ft!D$40*($A2-Ft!D$2)^2)))</f>
        <v>8.8727898814655004E-57</v>
      </c>
      <c r="I2" s="3">
        <f>IF(($A2-Ft!E$2)&lt;0,Ft!E$3*((1-Ft!E$6)/(1+Ft!E$37*($A2-Ft!E$2)^2)+Ft!E$6*EXP(Ft!E$38*($A2-Ft!E$2)^2)),Ft!E$3*((1-Ft!E$7)/(1+Ft!E$39*($A2-Ft!E$2)^2)+Ft!E$7*EXP(Ft!E$40*($A2-Ft!E$2)^2)))</f>
        <v>2.6398597707563702</v>
      </c>
      <c r="J2" s="3">
        <f>IF(($A2-Ft!F$2)&lt;0,Ft!F$3*((1-Ft!F$6)/(1+Ft!F$37*($A2-Ft!F$2)^2)+Ft!F$6*EXP(Ft!F$38*($A2-Ft!F$2)^2)),Ft!F$3*((1-Ft!F$7)/(1+Ft!F$39*($A2-Ft!F$2)^2)+Ft!F$7*EXP(Ft!F$40*($A2-Ft!F$2)^2)))</f>
        <v>4.3813599219295716</v>
      </c>
      <c r="K2" s="3">
        <f>IF(($A2-Ft!G$2)&lt;0,Ft!G$3*((1-Ft!G$6)/(1+Ft!G$37*($A2-Ft!G$2)^2)+Ft!G$6*EXP(Ft!G$38*($A2-Ft!G$2)^2)),Ft!G$3*((1-Ft!G$7)/(1+Ft!G$39*($A2-Ft!G$2)^2)+Ft!G$7*EXP(Ft!G$40*($A2-Ft!G$2)^2)))</f>
        <v>9.6027055414704847</v>
      </c>
      <c r="L2" s="3">
        <f>IF(($A2-Ft!H$2)&lt;0,Ft!H$3*((1-Ft!H$6)/(1+Ft!H$37*($A2-Ft!H$2)^2)+Ft!H$6*EXP(Ft!H$38*($A2-Ft!H$2)^2)),Ft!H$3*((1-Ft!H$7)/(1+Ft!H$39*($A2-Ft!H$2)^2)+Ft!H$7*EXP(Ft!H$40*($A2-Ft!H$2)^2)))</f>
        <v>0</v>
      </c>
      <c r="M2" s="3">
        <f>IF(($A2-Ft!I$2)&lt;0,Ft!I$3*((1-Ft!I$6)/(1+Ft!I$37*($A2-Ft!I$2)^2)+Ft!I$6*EXP(Ft!I$38*($A2-Ft!I$2)^2)),Ft!I$3*((1-Ft!I$7)/(1+Ft!I$39*($A2-Ft!I$2)^2)+Ft!I$7*EXP(Ft!I$40*($A2-Ft!I$2)^2)))</f>
        <v>0</v>
      </c>
      <c r="N2" s="3">
        <f>IF(($A2-Ft!J$2)&lt;0,Ft!J$3*((1-Ft!J$6)/(1+Ft!J$37*($A2-Ft!J$2)^2)+Ft!J$6*EXP(Ft!J$38*($A2-Ft!J$2)^2)),Ft!J$3*((1-Ft!J$7)/(1+Ft!J$39*($A2-Ft!J$2)^2)+Ft!J$7*EXP(Ft!J$40*($A2-Ft!J$2)^2)))</f>
        <v>0</v>
      </c>
      <c r="O2" s="3">
        <f>IF(($A2-Ft!K$2)&lt;0,Ft!K$3*((1-Ft!K$6)/(1+Ft!K$37*($A2-Ft!K$2)^2)+Ft!K$6*EXP(Ft!K$38*($A2-Ft!K$2)^2)),Ft!K$3*((1-Ft!K$7)/(1+Ft!K$39*($A2-Ft!K$2)^2)+Ft!K$7*EXP(Ft!K$40*($A2-Ft!K$2)^2)))</f>
        <v>0</v>
      </c>
    </row>
    <row r="3" spans="1:20">
      <c r="A3" s="20">
        <v>3</v>
      </c>
      <c r="B3" s="29">
        <v>0.19601274513175326</v>
      </c>
      <c r="C3" s="7">
        <f t="shared" ref="C3:C66" si="1">SUM(E3:K3)</f>
        <v>0.22451378458275073</v>
      </c>
      <c r="D3" s="3">
        <f t="shared" si="0"/>
        <v>8.1230924978731398E-4</v>
      </c>
      <c r="E3" s="3">
        <f>Ft!$B$12+Ft!$B$14*(Data!A3-Vars!$B$3)</f>
        <v>-200</v>
      </c>
      <c r="F3" s="3">
        <f>IF(($A3-Ft!B$2)&lt;0,Ft!B$3*((1-Ft!B$6)/(1+Ft!B$37*($A3-Ft!B$2)^2)+Ft!B$6*EXP(Ft!B$38*($A3-Ft!B$2)^2)),Ft!B$3*((1-Ft!B$7)/(1+Ft!B$39*($A3-Ft!B$2)^2)+Ft!B$7*EXP(Ft!B$40*($A3-Ft!B$2)^2)))</f>
        <v>160.2874453565332</v>
      </c>
      <c r="G3" s="3">
        <f>IF(($A3-Ft!C$2)&lt;0,Ft!C$3*((1-Ft!C$6)/(1+Ft!C$37*($A3-Ft!C$2)^2)+Ft!C$6*EXP(Ft!C$38*($A3-Ft!C$2)^2)),Ft!C$3*((1-Ft!C$7)/(1+Ft!C$39*($A3-Ft!C$2)^2)+Ft!C$7*EXP(Ft!C$40*($A3-Ft!C$2)^2)))</f>
        <v>23.037252465961132</v>
      </c>
      <c r="H3" s="3">
        <f>IF(($A3-Ft!D$2)&lt;0,Ft!D$3*((1-Ft!D$6)/(1+Ft!D$37*($A3-Ft!D$2)^2)+Ft!D$6*EXP(Ft!D$38*($A3-Ft!D$2)^2)),Ft!D$3*((1-Ft!D$7)/(1+Ft!D$39*($A3-Ft!D$2)^2)+Ft!D$7*EXP(Ft!D$40*($A3-Ft!D$2)^2)))</f>
        <v>2.926378830850411E-56</v>
      </c>
      <c r="I3" s="3">
        <f>IF(($A3-Ft!E$2)&lt;0,Ft!E$3*((1-Ft!E$6)/(1+Ft!E$37*($A3-Ft!E$2)^2)+Ft!E$6*EXP(Ft!E$38*($A3-Ft!E$2)^2)),Ft!E$3*((1-Ft!E$7)/(1+Ft!E$39*($A3-Ft!E$2)^2)+Ft!E$7*EXP(Ft!E$40*($A3-Ft!E$2)^2)))</f>
        <v>2.695373851322596</v>
      </c>
      <c r="J3" s="3">
        <f>IF(($A3-Ft!F$2)&lt;0,Ft!F$3*((1-Ft!F$6)/(1+Ft!F$37*($A3-Ft!F$2)^2)+Ft!F$6*EXP(Ft!F$38*($A3-Ft!F$2)^2)),Ft!F$3*((1-Ft!F$7)/(1+Ft!F$39*($A3-Ft!F$2)^2)+Ft!F$7*EXP(Ft!F$40*($A3-Ft!F$2)^2)))</f>
        <v>4.4238618766826017</v>
      </c>
      <c r="K3" s="3">
        <f>IF(($A3-Ft!G$2)&lt;0,Ft!G$3*((1-Ft!G$6)/(1+Ft!G$37*($A3-Ft!G$2)^2)+Ft!G$6*EXP(Ft!G$38*($A3-Ft!G$2)^2)),Ft!G$3*((1-Ft!G$7)/(1+Ft!G$39*($A3-Ft!G$2)^2)+Ft!G$7*EXP(Ft!G$40*($A3-Ft!G$2)^2)))</f>
        <v>9.7805802340832244</v>
      </c>
      <c r="L3" s="3">
        <f>IF(($A3-Ft!H$2)&lt;0,Ft!H$3*((1-Ft!H$6)/(1+Ft!H$37*($A3-Ft!H$2)^2)+Ft!H$6*EXP(Ft!H$38*($A3-Ft!H$2)^2)),Ft!H$3*((1-Ft!H$7)/(1+Ft!H$39*($A3-Ft!H$2)^2)+Ft!H$7*EXP(Ft!H$40*($A3-Ft!H$2)^2)))</f>
        <v>0</v>
      </c>
      <c r="M3" s="3">
        <f>IF(($A3-Ft!I$2)&lt;0,Ft!I$3*((1-Ft!I$6)/(1+Ft!I$37*($A3-Ft!I$2)^2)+Ft!I$6*EXP(Ft!I$38*($A3-Ft!I$2)^2)),Ft!I$3*((1-Ft!I$7)/(1+Ft!I$39*($A3-Ft!I$2)^2)+Ft!I$7*EXP(Ft!I$40*($A3-Ft!I$2)^2)))</f>
        <v>0</v>
      </c>
      <c r="N3" s="3">
        <f>IF(($A3-Ft!J$2)&lt;0,Ft!J$3*((1-Ft!J$6)/(1+Ft!J$37*($A3-Ft!J$2)^2)+Ft!J$6*EXP(Ft!J$38*($A3-Ft!J$2)^2)),Ft!J$3*((1-Ft!J$7)/(1+Ft!J$39*($A3-Ft!J$2)^2)+Ft!J$7*EXP(Ft!J$40*($A3-Ft!J$2)^2)))</f>
        <v>0</v>
      </c>
      <c r="O3" s="3">
        <f>IF(($A3-Ft!K$2)&lt;0,Ft!K$3*((1-Ft!K$6)/(1+Ft!K$37*($A3-Ft!K$2)^2)+Ft!K$6*EXP(Ft!K$38*($A3-Ft!K$2)^2)),Ft!K$3*((1-Ft!K$7)/(1+Ft!K$39*($A3-Ft!K$2)^2)+Ft!K$7*EXP(Ft!K$40*($A3-Ft!K$2)^2)))</f>
        <v>0</v>
      </c>
      <c r="P3"/>
      <c r="Q3"/>
    </row>
    <row r="4" spans="1:20">
      <c r="A4" s="20">
        <v>5</v>
      </c>
      <c r="B4" s="29">
        <v>0.22287873029821981</v>
      </c>
      <c r="C4" s="7">
        <f t="shared" si="1"/>
        <v>0.25061265685733503</v>
      </c>
      <c r="D4" s="3">
        <f t="shared" si="0"/>
        <v>7.6917068238639653E-4</v>
      </c>
      <c r="E4" s="3">
        <f>Ft!$B$12+Ft!$B$14*(Data!A4-Vars!$B$3)</f>
        <v>-200</v>
      </c>
      <c r="F4" s="3">
        <f>IF(($A4-Ft!B$2)&lt;0,Ft!B$3*((1-Ft!B$6)/(1+Ft!B$37*($A4-Ft!B$2)^2)+Ft!B$6*EXP(Ft!B$38*($A4-Ft!B$2)^2)),Ft!B$3*((1-Ft!B$7)/(1+Ft!B$39*($A4-Ft!B$2)^2)+Ft!B$7*EXP(Ft!B$40*($A4-Ft!B$2)^2)))</f>
        <v>159.94243871318147</v>
      </c>
      <c r="G4" s="3">
        <f>IF(($A4-Ft!C$2)&lt;0,Ft!C$3*((1-Ft!C$6)/(1+Ft!C$37*($A4-Ft!C$2)^2)+Ft!C$6*EXP(Ft!C$38*($A4-Ft!C$2)^2)),Ft!C$3*((1-Ft!C$7)/(1+Ft!C$39*($A4-Ft!C$2)^2)+Ft!C$7*EXP(Ft!C$40*($A4-Ft!C$2)^2)))</f>
        <v>23.128845054456271</v>
      </c>
      <c r="H4" s="3">
        <f>IF(($A4-Ft!D$2)&lt;0,Ft!D$3*((1-Ft!D$6)/(1+Ft!D$37*($A4-Ft!D$2)^2)+Ft!D$6*EXP(Ft!D$38*($A4-Ft!D$2)^2)),Ft!D$3*((1-Ft!D$7)/(1+Ft!D$39*($A4-Ft!D$2)^2)+Ft!D$7*EXP(Ft!D$40*($A4-Ft!D$2)^2)))</f>
        <v>9.5985356680921544E-56</v>
      </c>
      <c r="I4" s="3">
        <f>IF(($A4-Ft!E$2)&lt;0,Ft!E$3*((1-Ft!E$6)/(1+Ft!E$37*($A4-Ft!E$2)^2)+Ft!E$6*EXP(Ft!E$38*($A4-Ft!E$2)^2)),Ft!E$3*((1-Ft!E$7)/(1+Ft!E$39*($A4-Ft!E$2)^2)+Ft!E$7*EXP(Ft!E$40*($A4-Ft!E$2)^2)))</f>
        <v>2.7518957839650677</v>
      </c>
      <c r="J4" s="3">
        <f>IF(($A4-Ft!F$2)&lt;0,Ft!F$3*((1-Ft!F$6)/(1+Ft!F$37*($A4-Ft!F$2)^2)+Ft!F$6*EXP(Ft!F$38*($A4-Ft!F$2)^2)),Ft!F$3*((1-Ft!F$7)/(1+Ft!F$39*($A4-Ft!F$2)^2)+Ft!F$7*EXP(Ft!F$40*($A4-Ft!F$2)^2)))</f>
        <v>4.4667172982339007</v>
      </c>
      <c r="K4" s="3">
        <f>IF(($A4-Ft!G$2)&lt;0,Ft!G$3*((1-Ft!G$6)/(1+Ft!G$37*($A4-Ft!G$2)^2)+Ft!G$6*EXP(Ft!G$38*($A4-Ft!G$2)^2)),Ft!G$3*((1-Ft!G$7)/(1+Ft!G$39*($A4-Ft!G$2)^2)+Ft!G$7*EXP(Ft!G$40*($A4-Ft!G$2)^2)))</f>
        <v>9.9607158070206214</v>
      </c>
      <c r="L4" s="3">
        <f>IF(($A4-Ft!H$2)&lt;0,Ft!H$3*((1-Ft!H$6)/(1+Ft!H$37*($A4-Ft!H$2)^2)+Ft!H$6*EXP(Ft!H$38*($A4-Ft!H$2)^2)),Ft!H$3*((1-Ft!H$7)/(1+Ft!H$39*($A4-Ft!H$2)^2)+Ft!H$7*EXP(Ft!H$40*($A4-Ft!H$2)^2)))</f>
        <v>0</v>
      </c>
      <c r="M4" s="3">
        <f>IF(($A4-Ft!I$2)&lt;0,Ft!I$3*((1-Ft!I$6)/(1+Ft!I$37*($A4-Ft!I$2)^2)+Ft!I$6*EXP(Ft!I$38*($A4-Ft!I$2)^2)),Ft!I$3*((1-Ft!I$7)/(1+Ft!I$39*($A4-Ft!I$2)^2)+Ft!I$7*EXP(Ft!I$40*($A4-Ft!I$2)^2)))</f>
        <v>0</v>
      </c>
      <c r="N4" s="3">
        <f>IF(($A4-Ft!J$2)&lt;0,Ft!J$3*((1-Ft!J$6)/(1+Ft!J$37*($A4-Ft!J$2)^2)+Ft!J$6*EXP(Ft!J$38*($A4-Ft!J$2)^2)),Ft!J$3*((1-Ft!J$7)/(1+Ft!J$39*($A4-Ft!J$2)^2)+Ft!J$7*EXP(Ft!J$40*($A4-Ft!J$2)^2)))</f>
        <v>0</v>
      </c>
      <c r="O4" s="3">
        <f>IF(($A4-Ft!K$2)&lt;0,Ft!K$3*((1-Ft!K$6)/(1+Ft!K$37*($A4-Ft!K$2)^2)+Ft!K$6*EXP(Ft!K$38*($A4-Ft!K$2)^2)),Ft!K$3*((1-Ft!K$7)/(1+Ft!K$39*($A4-Ft!K$2)^2)+Ft!K$7*EXP(Ft!K$40*($A4-Ft!K$2)^2)))</f>
        <v>0</v>
      </c>
      <c r="P4"/>
      <c r="Q4"/>
    </row>
    <row r="5" spans="1:20">
      <c r="A5" s="20">
        <v>7</v>
      </c>
      <c r="B5" s="29">
        <v>0.25151490155850809</v>
      </c>
      <c r="C5" s="7">
        <f t="shared" si="1"/>
        <v>0.27820983747376893</v>
      </c>
      <c r="D5" s="3">
        <f t="shared" si="0"/>
        <v>7.1261960351988321E-4</v>
      </c>
      <c r="E5" s="3">
        <f>Ft!$B$12+Ft!$B$14*(Data!A5-Vars!$B$3)</f>
        <v>-200</v>
      </c>
      <c r="F5" s="3">
        <f>IF(($A5-Ft!B$2)&lt;0,Ft!B$3*((1-Ft!B$6)/(1+Ft!B$37*($A5-Ft!B$2)^2)+Ft!B$6*EXP(Ft!B$38*($A5-Ft!B$2)^2)),Ft!B$3*((1-Ft!B$7)/(1+Ft!B$39*($A5-Ft!B$2)^2)+Ft!B$7*EXP(Ft!B$40*($A5-Ft!B$2)^2)))</f>
        <v>159.59512849010437</v>
      </c>
      <c r="G5" s="3">
        <f>IF(($A5-Ft!C$2)&lt;0,Ft!C$3*((1-Ft!C$6)/(1+Ft!C$37*($A5-Ft!C$2)^2)+Ft!C$6*EXP(Ft!C$38*($A5-Ft!C$2)^2)),Ft!C$3*((1-Ft!C$7)/(1+Ft!C$39*($A5-Ft!C$2)^2)+Ft!C$7*EXP(Ft!C$40*($A5-Ft!C$2)^2)))</f>
        <v>23.220596628222321</v>
      </c>
      <c r="H5" s="3">
        <f>IF(($A5-Ft!D$2)&lt;0,Ft!D$3*((1-Ft!D$6)/(1+Ft!D$37*($A5-Ft!D$2)^2)+Ft!D$6*EXP(Ft!D$38*($A5-Ft!D$2)^2)),Ft!D$3*((1-Ft!D$7)/(1+Ft!D$39*($A5-Ft!D$2)^2)+Ft!D$7*EXP(Ft!D$40*($A5-Ft!D$2)^2)))</f>
        <v>3.1310031655954268E-55</v>
      </c>
      <c r="I5" s="3">
        <f>IF(($A5-Ft!E$2)&lt;0,Ft!E$3*((1-Ft!E$6)/(1+Ft!E$37*($A5-Ft!E$2)^2)+Ft!E$6*EXP(Ft!E$38*($A5-Ft!E$2)^2)),Ft!E$3*((1-Ft!E$7)/(1+Ft!E$39*($A5-Ft!E$2)^2)+Ft!E$7*EXP(Ft!E$40*($A5-Ft!E$2)^2)))</f>
        <v>2.8094400803476893</v>
      </c>
      <c r="J5" s="3">
        <f>IF(($A5-Ft!F$2)&lt;0,Ft!F$3*((1-Ft!F$6)/(1+Ft!F$37*($A5-Ft!F$2)^2)+Ft!F$6*EXP(Ft!F$38*($A5-Ft!F$2)^2)),Ft!F$3*((1-Ft!F$7)/(1+Ft!F$39*($A5-Ft!F$2)^2)+Ft!F$7*EXP(Ft!F$40*($A5-Ft!F$2)^2)))</f>
        <v>4.5099284764250607</v>
      </c>
      <c r="K5" s="3">
        <f>IF(($A5-Ft!G$2)&lt;0,Ft!G$3*((1-Ft!G$6)/(1+Ft!G$37*($A5-Ft!G$2)^2)+Ft!G$6*EXP(Ft!G$38*($A5-Ft!G$2)^2)),Ft!G$3*((1-Ft!G$7)/(1+Ft!G$39*($A5-Ft!G$2)^2)+Ft!G$7*EXP(Ft!G$40*($A5-Ft!G$2)^2)))</f>
        <v>10.143116162374325</v>
      </c>
      <c r="L5" s="3">
        <f>IF(($A5-Ft!H$2)&lt;0,Ft!H$3*((1-Ft!H$6)/(1+Ft!H$37*($A5-Ft!H$2)^2)+Ft!H$6*EXP(Ft!H$38*($A5-Ft!H$2)^2)),Ft!H$3*((1-Ft!H$7)/(1+Ft!H$39*($A5-Ft!H$2)^2)+Ft!H$7*EXP(Ft!H$40*($A5-Ft!H$2)^2)))</f>
        <v>0</v>
      </c>
      <c r="M5" s="3">
        <f>IF(($A5-Ft!I$2)&lt;0,Ft!I$3*((1-Ft!I$6)/(1+Ft!I$37*($A5-Ft!I$2)^2)+Ft!I$6*EXP(Ft!I$38*($A5-Ft!I$2)^2)),Ft!I$3*((1-Ft!I$7)/(1+Ft!I$39*($A5-Ft!I$2)^2)+Ft!I$7*EXP(Ft!I$40*($A5-Ft!I$2)^2)))</f>
        <v>0</v>
      </c>
      <c r="N5" s="3">
        <f>IF(($A5-Ft!J$2)&lt;0,Ft!J$3*((1-Ft!J$6)/(1+Ft!J$37*($A5-Ft!J$2)^2)+Ft!J$6*EXP(Ft!J$38*($A5-Ft!J$2)^2)),Ft!J$3*((1-Ft!J$7)/(1+Ft!J$39*($A5-Ft!J$2)^2)+Ft!J$7*EXP(Ft!J$40*($A5-Ft!J$2)^2)))</f>
        <v>0</v>
      </c>
      <c r="O5" s="3">
        <f>IF(($A5-Ft!K$2)&lt;0,Ft!K$3*((1-Ft!K$6)/(1+Ft!K$37*($A5-Ft!K$2)^2)+Ft!K$6*EXP(Ft!K$38*($A5-Ft!K$2)^2)),Ft!K$3*((1-Ft!K$7)/(1+Ft!K$39*($A5-Ft!K$2)^2)+Ft!K$7*EXP(Ft!K$40*($A5-Ft!K$2)^2)))</f>
        <v>0</v>
      </c>
      <c r="P5"/>
      <c r="Q5"/>
    </row>
    <row r="6" spans="1:20">
      <c r="A6" s="20">
        <v>9</v>
      </c>
      <c r="B6" s="29">
        <v>0.28193745307086715</v>
      </c>
      <c r="C6" s="7">
        <f t="shared" si="1"/>
        <v>0.30734277403213994</v>
      </c>
      <c r="D6" s="3">
        <f t="shared" si="0"/>
        <v>6.4543033314528675E-4</v>
      </c>
      <c r="E6" s="3">
        <f>Ft!$B$12+Ft!$B$14*(Data!A6-Vars!$B$3)</f>
        <v>-200</v>
      </c>
      <c r="F6" s="3">
        <f>IF(($A6-Ft!B$2)&lt;0,Ft!B$3*((1-Ft!B$6)/(1+Ft!B$37*($A6-Ft!B$2)^2)+Ft!B$6*EXP(Ft!B$38*($A6-Ft!B$2)^2)),Ft!B$3*((1-Ft!B$7)/(1+Ft!B$39*($A6-Ft!B$2)^2)+Ft!B$7*EXP(Ft!B$40*($A6-Ft!B$2)^2)))</f>
        <v>159.24553293297828</v>
      </c>
      <c r="G6" s="3">
        <f>IF(($A6-Ft!C$2)&lt;0,Ft!C$3*((1-Ft!C$6)/(1+Ft!C$37*($A6-Ft!C$2)^2)+Ft!C$6*EXP(Ft!C$38*($A6-Ft!C$2)^2)),Ft!C$3*((1-Ft!C$7)/(1+Ft!C$39*($A6-Ft!C$2)^2)+Ft!C$7*EXP(Ft!C$40*($A6-Ft!C$2)^2)))</f>
        <v>23.312506193348991</v>
      </c>
      <c r="H6" s="3">
        <f>IF(($A6-Ft!D$2)&lt;0,Ft!D$3*((1-Ft!D$6)/(1+Ft!D$37*($A6-Ft!D$2)^2)+Ft!D$6*EXP(Ft!D$38*($A6-Ft!D$2)^2)),Ft!D$3*((1-Ft!D$7)/(1+Ft!D$39*($A6-Ft!D$2)^2)+Ft!D$7*EXP(Ft!D$40*($A6-Ft!D$2)^2)))</f>
        <v>1.0157015552289994E-54</v>
      </c>
      <c r="I6" s="3">
        <f>IF(($A6-Ft!E$2)&lt;0,Ft!E$3*((1-Ft!E$6)/(1+Ft!E$37*($A6-Ft!E$2)^2)+Ft!E$6*EXP(Ft!E$38*($A6-Ft!E$2)^2)),Ft!E$3*((1-Ft!E$7)/(1+Ft!E$39*($A6-Ft!E$2)^2)+Ft!E$7*EXP(Ft!E$40*($A6-Ft!E$2)^2)))</f>
        <v>2.8680213763260105</v>
      </c>
      <c r="J6" s="3">
        <f>IF(($A6-Ft!F$2)&lt;0,Ft!F$3*((1-Ft!F$6)/(1+Ft!F$37*($A6-Ft!F$2)^2)+Ft!F$6*EXP(Ft!F$38*($A6-Ft!F$2)^2)),Ft!F$3*((1-Ft!F$7)/(1+Ft!F$39*($A6-Ft!F$2)^2)+Ft!F$7*EXP(Ft!F$40*($A6-Ft!F$2)^2)))</f>
        <v>4.553497709140589</v>
      </c>
      <c r="K6" s="3">
        <f>IF(($A6-Ft!G$2)&lt;0,Ft!G$3*((1-Ft!G$6)/(1+Ft!G$37*($A6-Ft!G$2)^2)+Ft!G$6*EXP(Ft!G$38*($A6-Ft!G$2)^2)),Ft!G$3*((1-Ft!G$7)/(1+Ft!G$39*($A6-Ft!G$2)^2)+Ft!G$7*EXP(Ft!G$40*($A6-Ft!G$2)^2)))</f>
        <v>10.327784562238271</v>
      </c>
      <c r="L6" s="3">
        <f>IF(($A6-Ft!H$2)&lt;0,Ft!H$3*((1-Ft!H$6)/(1+Ft!H$37*($A6-Ft!H$2)^2)+Ft!H$6*EXP(Ft!H$38*($A6-Ft!H$2)^2)),Ft!H$3*((1-Ft!H$7)/(1+Ft!H$39*($A6-Ft!H$2)^2)+Ft!H$7*EXP(Ft!H$40*($A6-Ft!H$2)^2)))</f>
        <v>0</v>
      </c>
      <c r="M6" s="3">
        <f>IF(($A6-Ft!I$2)&lt;0,Ft!I$3*((1-Ft!I$6)/(1+Ft!I$37*($A6-Ft!I$2)^2)+Ft!I$6*EXP(Ft!I$38*($A6-Ft!I$2)^2)),Ft!I$3*((1-Ft!I$7)/(1+Ft!I$39*($A6-Ft!I$2)^2)+Ft!I$7*EXP(Ft!I$40*($A6-Ft!I$2)^2)))</f>
        <v>0</v>
      </c>
      <c r="N6" s="3">
        <f>IF(($A6-Ft!J$2)&lt;0,Ft!J$3*((1-Ft!J$6)/(1+Ft!J$37*($A6-Ft!J$2)^2)+Ft!J$6*EXP(Ft!J$38*($A6-Ft!J$2)^2)),Ft!J$3*((1-Ft!J$7)/(1+Ft!J$39*($A6-Ft!J$2)^2)+Ft!J$7*EXP(Ft!J$40*($A6-Ft!J$2)^2)))</f>
        <v>0</v>
      </c>
      <c r="O6" s="3">
        <f>IF(($A6-Ft!K$2)&lt;0,Ft!K$3*((1-Ft!K$6)/(1+Ft!K$37*($A6-Ft!K$2)^2)+Ft!K$6*EXP(Ft!K$38*($A6-Ft!K$2)^2)),Ft!K$3*((1-Ft!K$7)/(1+Ft!K$39*($A6-Ft!K$2)^2)+Ft!K$7*EXP(Ft!K$40*($A6-Ft!K$2)^2)))</f>
        <v>0</v>
      </c>
      <c r="P6"/>
      <c r="Q6"/>
    </row>
    <row r="7" spans="1:20">
      <c r="A7" s="20">
        <v>11</v>
      </c>
      <c r="B7" s="29">
        <v>0.3141623035208454</v>
      </c>
      <c r="C7" s="7">
        <f t="shared" si="1"/>
        <v>0.33804847519338743</v>
      </c>
      <c r="D7" s="3">
        <f t="shared" si="0"/>
        <v>5.7054919717014951E-4</v>
      </c>
      <c r="E7" s="3">
        <f>Ft!$B$12+Ft!$B$14*(Data!A7-Vars!$B$3)</f>
        <v>-200</v>
      </c>
      <c r="F7" s="3">
        <f>IF(($A7-Ft!B$2)&lt;0,Ft!B$3*((1-Ft!B$6)/(1+Ft!B$37*($A7-Ft!B$2)^2)+Ft!B$6*EXP(Ft!B$38*($A7-Ft!B$2)^2)),Ft!B$3*((1-Ft!B$7)/(1+Ft!B$39*($A7-Ft!B$2)^2)+Ft!B$7*EXP(Ft!B$40*($A7-Ft!B$2)^2)))</f>
        <v>158.89367037840063</v>
      </c>
      <c r="G7" s="3">
        <f>IF(($A7-Ft!C$2)&lt;0,Ft!C$3*((1-Ft!C$6)/(1+Ft!C$37*($A7-Ft!C$2)^2)+Ft!C$6*EXP(Ft!C$38*($A7-Ft!C$2)^2)),Ft!C$3*((1-Ft!C$7)/(1+Ft!C$39*($A7-Ft!C$2)^2)+Ft!C$7*EXP(Ft!C$40*($A7-Ft!C$2)^2)))</f>
        <v>23.404572747791359</v>
      </c>
      <c r="H7" s="3">
        <f>IF(($A7-Ft!D$2)&lt;0,Ft!D$3*((1-Ft!D$6)/(1+Ft!D$37*($A7-Ft!D$2)^2)+Ft!D$6*EXP(Ft!D$38*($A7-Ft!D$2)^2)),Ft!D$3*((1-Ft!D$7)/(1+Ft!D$39*($A7-Ft!D$2)^2)+Ft!D$7*EXP(Ft!D$40*($A7-Ft!D$2)^2)))</f>
        <v>3.2768217321757468E-54</v>
      </c>
      <c r="I7" s="3">
        <f>IF(($A7-Ft!E$2)&lt;0,Ft!E$3*((1-Ft!E$6)/(1+Ft!E$37*($A7-Ft!E$2)^2)+Ft!E$6*EXP(Ft!E$38*($A7-Ft!E$2)^2)),Ft!E$3*((1-Ft!E$7)/(1+Ft!E$39*($A7-Ft!E$2)^2)+Ft!E$7*EXP(Ft!E$40*($A7-Ft!E$2)^2)))</f>
        <v>2.9276544311144783</v>
      </c>
      <c r="J7" s="3">
        <f>IF(($A7-Ft!F$2)&lt;0,Ft!F$3*((1-Ft!F$6)/(1+Ft!F$37*($A7-Ft!F$2)^2)+Ft!F$6*EXP(Ft!F$38*($A7-Ft!F$2)^2)),Ft!F$3*((1-Ft!F$7)/(1+Ft!F$39*($A7-Ft!F$2)^2)+Ft!F$7*EXP(Ft!F$40*($A7-Ft!F$2)^2)))</f>
        <v>4.5974273022641032</v>
      </c>
      <c r="K7" s="3">
        <f>IF(($A7-Ft!G$2)&lt;0,Ft!G$3*((1-Ft!G$6)/(1+Ft!G$37*($A7-Ft!G$2)^2)+Ft!G$6*EXP(Ft!G$38*($A7-Ft!G$2)^2)),Ft!G$3*((1-Ft!G$7)/(1+Ft!G$39*($A7-Ft!G$2)^2)+Ft!G$7*EXP(Ft!G$40*($A7-Ft!G$2)^2)))</f>
        <v>10.514723615622819</v>
      </c>
      <c r="L7" s="3">
        <f>IF(($A7-Ft!H$2)&lt;0,Ft!H$3*((1-Ft!H$6)/(1+Ft!H$37*($A7-Ft!H$2)^2)+Ft!H$6*EXP(Ft!H$38*($A7-Ft!H$2)^2)),Ft!H$3*((1-Ft!H$7)/(1+Ft!H$39*($A7-Ft!H$2)^2)+Ft!H$7*EXP(Ft!H$40*($A7-Ft!H$2)^2)))</f>
        <v>0</v>
      </c>
      <c r="M7" s="3">
        <f>IF(($A7-Ft!I$2)&lt;0,Ft!I$3*((1-Ft!I$6)/(1+Ft!I$37*($A7-Ft!I$2)^2)+Ft!I$6*EXP(Ft!I$38*($A7-Ft!I$2)^2)),Ft!I$3*((1-Ft!I$7)/(1+Ft!I$39*($A7-Ft!I$2)^2)+Ft!I$7*EXP(Ft!I$40*($A7-Ft!I$2)^2)))</f>
        <v>0</v>
      </c>
      <c r="N7" s="3">
        <f>IF(($A7-Ft!J$2)&lt;0,Ft!J$3*((1-Ft!J$6)/(1+Ft!J$37*($A7-Ft!J$2)^2)+Ft!J$6*EXP(Ft!J$38*($A7-Ft!J$2)^2)),Ft!J$3*((1-Ft!J$7)/(1+Ft!J$39*($A7-Ft!J$2)^2)+Ft!J$7*EXP(Ft!J$40*($A7-Ft!J$2)^2)))</f>
        <v>0</v>
      </c>
      <c r="O7" s="3">
        <f>IF(($A7-Ft!K$2)&lt;0,Ft!K$3*((1-Ft!K$6)/(1+Ft!K$37*($A7-Ft!K$2)^2)+Ft!K$6*EXP(Ft!K$38*($A7-Ft!K$2)^2)),Ft!K$3*((1-Ft!K$7)/(1+Ft!K$39*($A7-Ft!K$2)^2)+Ft!K$7*EXP(Ft!K$40*($A7-Ft!K$2)^2)))</f>
        <v>0</v>
      </c>
      <c r="P7"/>
      <c r="Q7"/>
    </row>
    <row r="8" spans="1:20">
      <c r="A8" s="20">
        <v>13</v>
      </c>
      <c r="B8" s="29">
        <v>0.34820509177443171</v>
      </c>
      <c r="C8" s="7">
        <f t="shared" si="1"/>
        <v>0.37036349517118694</v>
      </c>
      <c r="D8" s="3">
        <f t="shared" si="0"/>
        <v>4.9099484109333389E-4</v>
      </c>
      <c r="E8" s="3">
        <f>Ft!$B$12+Ft!$B$14*(Data!A8-Vars!$B$3)</f>
        <v>-200</v>
      </c>
      <c r="F8" s="3">
        <f>IF(($A8-Ft!B$2)&lt;0,Ft!B$3*((1-Ft!B$6)/(1+Ft!B$37*($A8-Ft!B$2)^2)+Ft!B$6*EXP(Ft!B$38*($A8-Ft!B$2)^2)),Ft!B$3*((1-Ft!B$7)/(1+Ft!B$39*($A8-Ft!B$2)^2)+Ft!B$7*EXP(Ft!B$40*($A8-Ft!B$2)^2)))</f>
        <v>158.53955925229235</v>
      </c>
      <c r="G8" s="3">
        <f>IF(($A8-Ft!C$2)&lt;0,Ft!C$3*((1-Ft!C$6)/(1+Ft!C$37*($A8-Ft!C$2)^2)+Ft!C$6*EXP(Ft!C$38*($A8-Ft!C$2)^2)),Ft!C$3*((1-Ft!C$7)/(1+Ft!C$39*($A8-Ft!C$2)^2)+Ft!C$7*EXP(Ft!C$40*($A8-Ft!C$2)^2)))</f>
        <v>23.496795281373206</v>
      </c>
      <c r="H8" s="3">
        <f>IF(($A8-Ft!D$2)&lt;0,Ft!D$3*((1-Ft!D$6)/(1+Ft!D$37*($A8-Ft!D$2)^2)+Ft!D$6*EXP(Ft!D$38*($A8-Ft!D$2)^2)),Ft!D$3*((1-Ft!D$7)/(1+Ft!D$39*($A8-Ft!D$2)^2)+Ft!D$7*EXP(Ft!D$40*($A8-Ft!D$2)^2)))</f>
        <v>1.0513409972468482E-53</v>
      </c>
      <c r="I8" s="3">
        <f>IF(($A8-Ft!E$2)&lt;0,Ft!E$3*((1-Ft!E$6)/(1+Ft!E$37*($A8-Ft!E$2)^2)+Ft!E$6*EXP(Ft!E$38*($A8-Ft!E$2)^2)),Ft!E$3*((1-Ft!E$7)/(1+Ft!E$39*($A8-Ft!E$2)^2)+Ft!E$7*EXP(Ft!E$40*($A8-Ft!E$2)^2)))</f>
        <v>2.9883541264001585</v>
      </c>
      <c r="J8" s="3">
        <f>IF(($A8-Ft!F$2)&lt;0,Ft!F$3*((1-Ft!F$6)/(1+Ft!F$37*($A8-Ft!F$2)^2)+Ft!F$6*EXP(Ft!F$38*($A8-Ft!F$2)^2)),Ft!F$3*((1-Ft!F$7)/(1+Ft!F$39*($A8-Ft!F$2)^2)+Ft!F$7*EXP(Ft!F$40*($A8-Ft!F$2)^2)))</f>
        <v>4.6417195696335449</v>
      </c>
      <c r="K8" s="3">
        <f>IF(($A8-Ft!G$2)&lt;0,Ft!G$3*((1-Ft!G$6)/(1+Ft!G$37*($A8-Ft!G$2)^2)+Ft!G$6*EXP(Ft!G$38*($A8-Ft!G$2)^2)),Ft!G$3*((1-Ft!G$7)/(1+Ft!G$39*($A8-Ft!G$2)^2)+Ft!G$7*EXP(Ft!G$40*($A8-Ft!G$2)^2)))</f>
        <v>10.703935265471927</v>
      </c>
      <c r="L8" s="3">
        <f>IF(($A8-Ft!H$2)&lt;0,Ft!H$3*((1-Ft!H$6)/(1+Ft!H$37*($A8-Ft!H$2)^2)+Ft!H$6*EXP(Ft!H$38*($A8-Ft!H$2)^2)),Ft!H$3*((1-Ft!H$7)/(1+Ft!H$39*($A8-Ft!H$2)^2)+Ft!H$7*EXP(Ft!H$40*($A8-Ft!H$2)^2)))</f>
        <v>0</v>
      </c>
      <c r="M8" s="3">
        <f>IF(($A8-Ft!I$2)&lt;0,Ft!I$3*((1-Ft!I$6)/(1+Ft!I$37*($A8-Ft!I$2)^2)+Ft!I$6*EXP(Ft!I$38*($A8-Ft!I$2)^2)),Ft!I$3*((1-Ft!I$7)/(1+Ft!I$39*($A8-Ft!I$2)^2)+Ft!I$7*EXP(Ft!I$40*($A8-Ft!I$2)^2)))</f>
        <v>0</v>
      </c>
      <c r="N8" s="3">
        <f>IF(($A8-Ft!J$2)&lt;0,Ft!J$3*((1-Ft!J$6)/(1+Ft!J$37*($A8-Ft!J$2)^2)+Ft!J$6*EXP(Ft!J$38*($A8-Ft!J$2)^2)),Ft!J$3*((1-Ft!J$7)/(1+Ft!J$39*($A8-Ft!J$2)^2)+Ft!J$7*EXP(Ft!J$40*($A8-Ft!J$2)^2)))</f>
        <v>0</v>
      </c>
      <c r="O8" s="3">
        <f>IF(($A8-Ft!K$2)&lt;0,Ft!K$3*((1-Ft!K$6)/(1+Ft!K$37*($A8-Ft!K$2)^2)+Ft!K$6*EXP(Ft!K$38*($A8-Ft!K$2)^2)),Ft!K$3*((1-Ft!K$7)/(1+Ft!K$39*($A8-Ft!K$2)^2)+Ft!K$7*EXP(Ft!K$40*($A8-Ft!K$2)^2)))</f>
        <v>0</v>
      </c>
      <c r="P8"/>
      <c r="Q8"/>
    </row>
    <row r="9" spans="1:20">
      <c r="A9" s="20">
        <v>15</v>
      </c>
      <c r="B9" s="29">
        <v>0.38408117258464358</v>
      </c>
      <c r="C9" s="7">
        <f t="shared" si="1"/>
        <v>0.40432391827707903</v>
      </c>
      <c r="D9" s="3">
        <f t="shared" si="0"/>
        <v>4.0976875316861393E-4</v>
      </c>
      <c r="E9" s="3">
        <f>Ft!$B$12+Ft!$B$14*(Data!A9-Vars!$B$3)</f>
        <v>-200</v>
      </c>
      <c r="F9" s="3">
        <f>IF(($A9-Ft!B$2)&lt;0,Ft!B$3*((1-Ft!B$6)/(1+Ft!B$37*($A9-Ft!B$2)^2)+Ft!B$6*EXP(Ft!B$38*($A9-Ft!B$2)^2)),Ft!B$3*((1-Ft!B$7)/(1+Ft!B$39*($A9-Ft!B$2)^2)+Ft!B$7*EXP(Ft!B$40*($A9-Ft!B$2)^2)))</f>
        <v>158.18321806829536</v>
      </c>
      <c r="G9" s="3">
        <f>IF(($A9-Ft!C$2)&lt;0,Ft!C$3*((1-Ft!C$6)/(1+Ft!C$37*($A9-Ft!C$2)^2)+Ft!C$6*EXP(Ft!C$38*($A9-Ft!C$2)^2)),Ft!C$3*((1-Ft!C$7)/(1+Ft!C$39*($A9-Ft!C$2)^2)+Ft!C$7*EXP(Ft!C$40*($A9-Ft!C$2)^2)))</f>
        <v>23.589172775790662</v>
      </c>
      <c r="H9" s="3">
        <f>IF(($A9-Ft!D$2)&lt;0,Ft!D$3*((1-Ft!D$6)/(1+Ft!D$37*($A9-Ft!D$2)^2)+Ft!D$6*EXP(Ft!D$38*($A9-Ft!D$2)^2)),Ft!D$3*((1-Ft!D$7)/(1+Ft!D$39*($A9-Ft!D$2)^2)+Ft!D$7*EXP(Ft!D$40*($A9-Ft!D$2)^2)))</f>
        <v>3.3545824619317733E-53</v>
      </c>
      <c r="I9" s="3">
        <f>IF(($A9-Ft!E$2)&lt;0,Ft!E$3*((1-Ft!E$6)/(1+Ft!E$37*($A9-Ft!E$2)^2)+Ft!E$6*EXP(Ft!E$38*($A9-Ft!E$2)^2)),Ft!E$3*((1-Ft!E$7)/(1+Ft!E$39*($A9-Ft!E$2)^2)+Ft!E$7*EXP(Ft!E$40*($A9-Ft!E$2)^2)))</f>
        <v>3.0501354654021462</v>
      </c>
      <c r="J9" s="3">
        <f>IF(($A9-Ft!F$2)&lt;0,Ft!F$3*((1-Ft!F$6)/(1+Ft!F$37*($A9-Ft!F$2)^2)+Ft!F$6*EXP(Ft!F$38*($A9-Ft!F$2)^2)),Ft!F$3*((1-Ft!F$7)/(1+Ft!F$39*($A9-Ft!F$2)^2)+Ft!F$7*EXP(Ft!F$40*($A9-Ft!F$2)^2)))</f>
        <v>4.686376832995415</v>
      </c>
      <c r="K9" s="3">
        <f>IF(($A9-Ft!G$2)&lt;0,Ft!G$3*((1-Ft!G$6)/(1+Ft!G$37*($A9-Ft!G$2)^2)+Ft!G$6*EXP(Ft!G$38*($A9-Ft!G$2)^2)),Ft!G$3*((1-Ft!G$7)/(1+Ft!G$39*($A9-Ft!G$2)^2)+Ft!G$7*EXP(Ft!G$40*($A9-Ft!G$2)^2)))</f>
        <v>10.895420775793497</v>
      </c>
      <c r="L9" s="3">
        <f>IF(($A9-Ft!H$2)&lt;0,Ft!H$3*((1-Ft!H$6)/(1+Ft!H$37*($A9-Ft!H$2)^2)+Ft!H$6*EXP(Ft!H$38*($A9-Ft!H$2)^2)),Ft!H$3*((1-Ft!H$7)/(1+Ft!H$39*($A9-Ft!H$2)^2)+Ft!H$7*EXP(Ft!H$40*($A9-Ft!H$2)^2)))</f>
        <v>0</v>
      </c>
      <c r="M9" s="3">
        <f>IF(($A9-Ft!I$2)&lt;0,Ft!I$3*((1-Ft!I$6)/(1+Ft!I$37*($A9-Ft!I$2)^2)+Ft!I$6*EXP(Ft!I$38*($A9-Ft!I$2)^2)),Ft!I$3*((1-Ft!I$7)/(1+Ft!I$39*($A9-Ft!I$2)^2)+Ft!I$7*EXP(Ft!I$40*($A9-Ft!I$2)^2)))</f>
        <v>0</v>
      </c>
      <c r="N9" s="3">
        <f>IF(($A9-Ft!J$2)&lt;0,Ft!J$3*((1-Ft!J$6)/(1+Ft!J$37*($A9-Ft!J$2)^2)+Ft!J$6*EXP(Ft!J$38*($A9-Ft!J$2)^2)),Ft!J$3*((1-Ft!J$7)/(1+Ft!J$39*($A9-Ft!J$2)^2)+Ft!J$7*EXP(Ft!J$40*($A9-Ft!J$2)^2)))</f>
        <v>0</v>
      </c>
      <c r="O9" s="3">
        <f>IF(($A9-Ft!K$2)&lt;0,Ft!K$3*((1-Ft!K$6)/(1+Ft!K$37*($A9-Ft!K$2)^2)+Ft!K$6*EXP(Ft!K$38*($A9-Ft!K$2)^2)),Ft!K$3*((1-Ft!K$7)/(1+Ft!K$39*($A9-Ft!K$2)^2)+Ft!K$7*EXP(Ft!K$40*($A9-Ft!K$2)^2)))</f>
        <v>0</v>
      </c>
      <c r="P9"/>
      <c r="Q9"/>
    </row>
    <row r="10" spans="1:20">
      <c r="A10" s="20">
        <v>17</v>
      </c>
      <c r="B10" s="29">
        <v>0.42180561235353764</v>
      </c>
      <c r="C10" s="7">
        <f t="shared" si="1"/>
        <v>0.43996534352819694</v>
      </c>
      <c r="D10" s="3">
        <f t="shared" si="0"/>
        <v>3.2977583633589283E-4</v>
      </c>
      <c r="E10" s="3">
        <f>Ft!$B$12+Ft!$B$14*(Data!A10-Vars!$B$3)</f>
        <v>-200</v>
      </c>
      <c r="F10" s="3">
        <f>IF(($A10-Ft!B$2)&lt;0,Ft!B$3*((1-Ft!B$6)/(1+Ft!B$37*($A10-Ft!B$2)^2)+Ft!B$6*EXP(Ft!B$38*($A10-Ft!B$2)^2)),Ft!B$3*((1-Ft!B$7)/(1+Ft!B$39*($A10-Ft!B$2)^2)+Ft!B$7*EXP(Ft!B$40*($A10-Ft!B$2)^2)))</f>
        <v>157.82466542616515</v>
      </c>
      <c r="G10" s="3">
        <f>IF(($A10-Ft!C$2)&lt;0,Ft!C$3*((1-Ft!C$6)/(1+Ft!C$37*($A10-Ft!C$2)^2)+Ft!C$6*EXP(Ft!C$38*($A10-Ft!C$2)^2)),Ft!C$3*((1-Ft!C$7)/(1+Ft!C$39*($A10-Ft!C$2)^2)+Ft!C$7*EXP(Ft!C$40*($A10-Ft!C$2)^2)))</f>
        <v>23.681704204616238</v>
      </c>
      <c r="H10" s="3">
        <f>IF(($A10-Ft!D$2)&lt;0,Ft!D$3*((1-Ft!D$6)/(1+Ft!D$37*($A10-Ft!D$2)^2)+Ft!D$6*EXP(Ft!D$38*($A10-Ft!D$2)^2)),Ft!D$3*((1-Ft!D$7)/(1+Ft!D$39*($A10-Ft!D$2)^2)+Ft!D$7*EXP(Ft!D$40*($A10-Ft!D$2)^2)))</f>
        <v>1.0644798163447291E-52</v>
      </c>
      <c r="I10" s="3">
        <f>IF(($A10-Ft!E$2)&lt;0,Ft!E$3*((1-Ft!E$6)/(1+Ft!E$37*($A10-Ft!E$2)^2)+Ft!E$6*EXP(Ft!E$38*($A10-Ft!E$2)^2)),Ft!E$3*((1-Ft!E$7)/(1+Ft!E$39*($A10-Ft!E$2)^2)+Ft!E$7*EXP(Ft!E$40*($A10-Ft!E$2)^2)))</f>
        <v>3.1130135718758236</v>
      </c>
      <c r="J10" s="3">
        <f>IF(($A10-Ft!F$2)&lt;0,Ft!F$3*((1-Ft!F$6)/(1+Ft!F$37*($A10-Ft!F$2)^2)+Ft!F$6*EXP(Ft!F$38*($A10-Ft!F$2)^2)),Ft!F$3*((1-Ft!F$7)/(1+Ft!F$39*($A10-Ft!F$2)^2)+Ft!F$7*EXP(Ft!F$40*($A10-Ft!F$2)^2)))</f>
        <v>4.731401421958096</v>
      </c>
      <c r="K10" s="3">
        <f>IF(($A10-Ft!G$2)&lt;0,Ft!G$3*((1-Ft!G$6)/(1+Ft!G$37*($A10-Ft!G$2)^2)+Ft!G$6*EXP(Ft!G$38*($A10-Ft!G$2)^2)),Ft!G$3*((1-Ft!G$7)/(1+Ft!G$39*($A10-Ft!G$2)^2)+Ft!G$7*EXP(Ft!G$40*($A10-Ft!G$2)^2)))</f>
        <v>11.089180718912885</v>
      </c>
      <c r="L10" s="3">
        <f>IF(($A10-Ft!H$2)&lt;0,Ft!H$3*((1-Ft!H$6)/(1+Ft!H$37*($A10-Ft!H$2)^2)+Ft!H$6*EXP(Ft!H$38*($A10-Ft!H$2)^2)),Ft!H$3*((1-Ft!H$7)/(1+Ft!H$39*($A10-Ft!H$2)^2)+Ft!H$7*EXP(Ft!H$40*($A10-Ft!H$2)^2)))</f>
        <v>0</v>
      </c>
      <c r="M10" s="3">
        <f>IF(($A10-Ft!I$2)&lt;0,Ft!I$3*((1-Ft!I$6)/(1+Ft!I$37*($A10-Ft!I$2)^2)+Ft!I$6*EXP(Ft!I$38*($A10-Ft!I$2)^2)),Ft!I$3*((1-Ft!I$7)/(1+Ft!I$39*($A10-Ft!I$2)^2)+Ft!I$7*EXP(Ft!I$40*($A10-Ft!I$2)^2)))</f>
        <v>0</v>
      </c>
      <c r="N10" s="3">
        <f>IF(($A10-Ft!J$2)&lt;0,Ft!J$3*((1-Ft!J$6)/(1+Ft!J$37*($A10-Ft!J$2)^2)+Ft!J$6*EXP(Ft!J$38*($A10-Ft!J$2)^2)),Ft!J$3*((1-Ft!J$7)/(1+Ft!J$39*($A10-Ft!J$2)^2)+Ft!J$7*EXP(Ft!J$40*($A10-Ft!J$2)^2)))</f>
        <v>0</v>
      </c>
      <c r="O10" s="3">
        <f>IF(($A10-Ft!K$2)&lt;0,Ft!K$3*((1-Ft!K$6)/(1+Ft!K$37*($A10-Ft!K$2)^2)+Ft!K$6*EXP(Ft!K$38*($A10-Ft!K$2)^2)),Ft!K$3*((1-Ft!K$7)/(1+Ft!K$39*($A10-Ft!K$2)^2)+Ft!K$7*EXP(Ft!K$40*($A10-Ft!K$2)^2)))</f>
        <v>0</v>
      </c>
      <c r="P10"/>
      <c r="Q10"/>
    </row>
    <row r="11" spans="1:20">
      <c r="A11" s="20">
        <v>19</v>
      </c>
      <c r="B11" s="29">
        <v>0.46139318495069404</v>
      </c>
      <c r="C11" s="7">
        <f t="shared" si="1"/>
        <v>0.47732286932741808</v>
      </c>
      <c r="D11" s="3">
        <f t="shared" si="0"/>
        <v>2.5375484434204596E-4</v>
      </c>
      <c r="E11" s="3">
        <f>Ft!$B$12+Ft!$B$14*(Data!A11-Vars!$B$3)</f>
        <v>-200</v>
      </c>
      <c r="F11" s="3">
        <f>IF(($A11-Ft!B$2)&lt;0,Ft!B$3*((1-Ft!B$6)/(1+Ft!B$37*($A11-Ft!B$2)^2)+Ft!B$6*EXP(Ft!B$38*($A11-Ft!B$2)^2)),Ft!B$3*((1-Ft!B$7)/(1+Ft!B$39*($A11-Ft!B$2)^2)+Ft!B$7*EXP(Ft!B$40*($A11-Ft!B$2)^2)))</f>
        <v>157.46392001015886</v>
      </c>
      <c r="G11" s="3">
        <f>IF(($A11-Ft!C$2)&lt;0,Ft!C$3*((1-Ft!C$6)/(1+Ft!C$37*($A11-Ft!C$2)^2)+Ft!C$6*EXP(Ft!C$38*($A11-Ft!C$2)^2)),Ft!C$3*((1-Ft!C$7)/(1+Ft!C$39*($A11-Ft!C$2)^2)+Ft!C$7*EXP(Ft!C$40*($A11-Ft!C$2)^2)))</f>
        <v>23.774388533303245</v>
      </c>
      <c r="H11" s="3">
        <f>IF(($A11-Ft!D$2)&lt;0,Ft!D$3*((1-Ft!D$6)/(1+Ft!D$37*($A11-Ft!D$2)^2)+Ft!D$6*EXP(Ft!D$38*($A11-Ft!D$2)^2)),Ft!D$3*((1-Ft!D$7)/(1+Ft!D$39*($A11-Ft!D$2)^2)+Ft!D$7*EXP(Ft!D$40*($A11-Ft!D$2)^2)))</f>
        <v>3.3592357017652748E-52</v>
      </c>
      <c r="I11" s="3">
        <f>IF(($A11-Ft!E$2)&lt;0,Ft!E$3*((1-Ft!E$6)/(1+Ft!E$37*($A11-Ft!E$2)^2)+Ft!E$6*EXP(Ft!E$38*($A11-Ft!E$2)^2)),Ft!E$3*((1-Ft!E$7)/(1+Ft!E$39*($A11-Ft!E$2)^2)+Ft!E$7*EXP(Ft!E$40*($A11-Ft!E$2)^2)))</f>
        <v>3.1770036890612308</v>
      </c>
      <c r="J11" s="3">
        <f>IF(($A11-Ft!F$2)&lt;0,Ft!F$3*((1-Ft!F$6)/(1+Ft!F$37*($A11-Ft!F$2)^2)+Ft!F$6*EXP(Ft!F$38*($A11-Ft!F$2)^2)),Ft!F$3*((1-Ft!F$7)/(1+Ft!F$39*($A11-Ft!F$2)^2)+Ft!F$7*EXP(Ft!F$40*($A11-Ft!F$2)^2)))</f>
        <v>4.7767956739441448</v>
      </c>
      <c r="K11" s="3">
        <f>IF(($A11-Ft!G$2)&lt;0,Ft!G$3*((1-Ft!G$6)/(1+Ft!G$37*($A11-Ft!G$2)^2)+Ft!G$6*EXP(Ft!G$38*($A11-Ft!G$2)^2)),Ft!G$3*((1-Ft!G$7)/(1+Ft!G$39*($A11-Ft!G$2)^2)+Ft!G$7*EXP(Ft!G$40*($A11-Ft!G$2)^2)))</f>
        <v>11.285214962859939</v>
      </c>
      <c r="L11" s="3">
        <f>IF(($A11-Ft!H$2)&lt;0,Ft!H$3*((1-Ft!H$6)/(1+Ft!H$37*($A11-Ft!H$2)^2)+Ft!H$6*EXP(Ft!H$38*($A11-Ft!H$2)^2)),Ft!H$3*((1-Ft!H$7)/(1+Ft!H$39*($A11-Ft!H$2)^2)+Ft!H$7*EXP(Ft!H$40*($A11-Ft!H$2)^2)))</f>
        <v>0</v>
      </c>
      <c r="M11" s="3">
        <f>IF(($A11-Ft!I$2)&lt;0,Ft!I$3*((1-Ft!I$6)/(1+Ft!I$37*($A11-Ft!I$2)^2)+Ft!I$6*EXP(Ft!I$38*($A11-Ft!I$2)^2)),Ft!I$3*((1-Ft!I$7)/(1+Ft!I$39*($A11-Ft!I$2)^2)+Ft!I$7*EXP(Ft!I$40*($A11-Ft!I$2)^2)))</f>
        <v>0</v>
      </c>
      <c r="N11" s="3">
        <f>IF(($A11-Ft!J$2)&lt;0,Ft!J$3*((1-Ft!J$6)/(1+Ft!J$37*($A11-Ft!J$2)^2)+Ft!J$6*EXP(Ft!J$38*($A11-Ft!J$2)^2)),Ft!J$3*((1-Ft!J$7)/(1+Ft!J$39*($A11-Ft!J$2)^2)+Ft!J$7*EXP(Ft!J$40*($A11-Ft!J$2)^2)))</f>
        <v>0</v>
      </c>
      <c r="O11" s="3">
        <f>IF(($A11-Ft!K$2)&lt;0,Ft!K$3*((1-Ft!K$6)/(1+Ft!K$37*($A11-Ft!K$2)^2)+Ft!K$6*EXP(Ft!K$38*($A11-Ft!K$2)^2)),Ft!K$3*((1-Ft!K$7)/(1+Ft!K$39*($A11-Ft!K$2)^2)+Ft!K$7*EXP(Ft!K$40*($A11-Ft!K$2)^2)))</f>
        <v>0</v>
      </c>
      <c r="P11"/>
      <c r="Q11"/>
    </row>
    <row r="12" spans="1:20">
      <c r="A12" s="20">
        <v>21</v>
      </c>
      <c r="B12" s="29">
        <v>0.50285836758924063</v>
      </c>
      <c r="C12" s="7">
        <f t="shared" si="1"/>
        <v>0.51643107822552281</v>
      </c>
      <c r="D12" s="3">
        <f t="shared" si="0"/>
        <v>1.8421847401624747E-4</v>
      </c>
      <c r="E12" s="3">
        <f>Ft!$B$12+Ft!$B$14*(Data!A12-Vars!$B$3)</f>
        <v>-200</v>
      </c>
      <c r="F12" s="3">
        <f>IF(($A12-Ft!B$2)&lt;0,Ft!B$3*((1-Ft!B$6)/(1+Ft!B$37*($A12-Ft!B$2)^2)+Ft!B$6*EXP(Ft!B$38*($A12-Ft!B$2)^2)),Ft!B$3*((1-Ft!B$7)/(1+Ft!B$39*($A12-Ft!B$2)^2)+Ft!B$7*EXP(Ft!B$40*($A12-Ft!B$2)^2)))</f>
        <v>157.10100058741881</v>
      </c>
      <c r="G12" s="3">
        <f>IF(($A12-Ft!C$2)&lt;0,Ft!C$3*((1-Ft!C$6)/(1+Ft!C$37*($A12-Ft!C$2)^2)+Ft!C$6*EXP(Ft!C$38*($A12-Ft!C$2)^2)),Ft!C$3*((1-Ft!C$7)/(1+Ft!C$39*($A12-Ft!C$2)^2)+Ft!C$7*EXP(Ft!C$40*($A12-Ft!C$2)^2)))</f>
        <v>23.86722471919056</v>
      </c>
      <c r="H12" s="3">
        <f>IF(($A12-Ft!D$2)&lt;0,Ft!D$3*((1-Ft!D$6)/(1+Ft!D$37*($A12-Ft!D$2)^2)+Ft!D$6*EXP(Ft!D$38*($A12-Ft!D$2)^2)),Ft!D$3*((1-Ft!D$7)/(1+Ft!D$39*($A12-Ft!D$2)^2)+Ft!D$7*EXP(Ft!D$40*($A12-Ft!D$2)^2)))</f>
        <v>1.054259712097004E-51</v>
      </c>
      <c r="I12" s="3">
        <f>IF(($A12-Ft!E$2)&lt;0,Ft!E$3*((1-Ft!E$6)/(1+Ft!E$37*($A12-Ft!E$2)^2)+Ft!E$6*EXP(Ft!E$38*($A12-Ft!E$2)^2)),Ft!E$3*((1-Ft!E$7)/(1+Ft!E$39*($A12-Ft!E$2)^2)+Ft!E$7*EXP(Ft!E$40*($A12-Ft!E$2)^2)))</f>
        <v>3.2421211785747106</v>
      </c>
      <c r="J12" s="3">
        <f>IF(($A12-Ft!F$2)&lt;0,Ft!F$3*((1-Ft!F$6)/(1+Ft!F$37*($A12-Ft!F$2)^2)+Ft!F$6*EXP(Ft!F$38*($A12-Ft!F$2)^2)),Ft!F$3*((1-Ft!F$7)/(1+Ft!F$39*($A12-Ft!F$2)^2)+Ft!F$7*EXP(Ft!F$40*($A12-Ft!F$2)^2)))</f>
        <v>4.8225619341416559</v>
      </c>
      <c r="K12" s="3">
        <f>IF(($A12-Ft!G$2)&lt;0,Ft!G$3*((1-Ft!G$6)/(1+Ft!G$37*($A12-Ft!G$2)^2)+Ft!G$6*EXP(Ft!G$38*($A12-Ft!G$2)^2)),Ft!G$3*((1-Ft!G$7)/(1+Ft!G$39*($A12-Ft!G$2)^2)+Ft!G$7*EXP(Ft!G$40*($A12-Ft!G$2)^2)))</f>
        <v>11.483522658899787</v>
      </c>
      <c r="L12" s="3">
        <f>IF(($A12-Ft!H$2)&lt;0,Ft!H$3*((1-Ft!H$6)/(1+Ft!H$37*($A12-Ft!H$2)^2)+Ft!H$6*EXP(Ft!H$38*($A12-Ft!H$2)^2)),Ft!H$3*((1-Ft!H$7)/(1+Ft!H$39*($A12-Ft!H$2)^2)+Ft!H$7*EXP(Ft!H$40*($A12-Ft!H$2)^2)))</f>
        <v>0</v>
      </c>
      <c r="M12" s="3">
        <f>IF(($A12-Ft!I$2)&lt;0,Ft!I$3*((1-Ft!I$6)/(1+Ft!I$37*($A12-Ft!I$2)^2)+Ft!I$6*EXP(Ft!I$38*($A12-Ft!I$2)^2)),Ft!I$3*((1-Ft!I$7)/(1+Ft!I$39*($A12-Ft!I$2)^2)+Ft!I$7*EXP(Ft!I$40*($A12-Ft!I$2)^2)))</f>
        <v>0</v>
      </c>
      <c r="N12" s="3">
        <f>IF(($A12-Ft!J$2)&lt;0,Ft!J$3*((1-Ft!J$6)/(1+Ft!J$37*($A12-Ft!J$2)^2)+Ft!J$6*EXP(Ft!J$38*($A12-Ft!J$2)^2)),Ft!J$3*((1-Ft!J$7)/(1+Ft!J$39*($A12-Ft!J$2)^2)+Ft!J$7*EXP(Ft!J$40*($A12-Ft!J$2)^2)))</f>
        <v>0</v>
      </c>
      <c r="O12" s="3">
        <f>IF(($A12-Ft!K$2)&lt;0,Ft!K$3*((1-Ft!K$6)/(1+Ft!K$37*($A12-Ft!K$2)^2)+Ft!K$6*EXP(Ft!K$38*($A12-Ft!K$2)^2)),Ft!K$3*((1-Ft!K$7)/(1+Ft!K$39*($A12-Ft!K$2)^2)+Ft!K$7*EXP(Ft!K$40*($A12-Ft!K$2)^2)))</f>
        <v>0</v>
      </c>
      <c r="P12"/>
      <c r="Q12"/>
    </row>
    <row r="13" spans="1:20">
      <c r="A13" s="20">
        <v>23</v>
      </c>
      <c r="B13" s="29">
        <v>0.54621533676127854</v>
      </c>
      <c r="C13" s="7">
        <f t="shared" si="1"/>
        <v>0.55732402177530282</v>
      </c>
      <c r="D13" s="3">
        <f t="shared" si="0"/>
        <v>1.234028827408078E-4</v>
      </c>
      <c r="E13" s="3">
        <f>Ft!$B$12+Ft!$B$14*(Data!A13-Vars!$B$3)</f>
        <v>-200</v>
      </c>
      <c r="F13" s="3">
        <f>IF(($A13-Ft!B$2)&lt;0,Ft!B$3*((1-Ft!B$6)/(1+Ft!B$37*($A13-Ft!B$2)^2)+Ft!B$6*EXP(Ft!B$38*($A13-Ft!B$2)^2)),Ft!B$3*((1-Ft!B$7)/(1+Ft!B$39*($A13-Ft!B$2)^2)+Ft!B$7*EXP(Ft!B$40*($A13-Ft!B$2)^2)))</f>
        <v>156.73592600635197</v>
      </c>
      <c r="G13" s="3">
        <f>IF(($A13-Ft!C$2)&lt;0,Ft!C$3*((1-Ft!C$6)/(1+Ft!C$37*($A13-Ft!C$2)^2)+Ft!C$6*EXP(Ft!C$38*($A13-Ft!C$2)^2)),Ft!C$3*((1-Ft!C$7)/(1+Ft!C$39*($A13-Ft!C$2)^2)+Ft!C$7*EXP(Ft!C$40*($A13-Ft!C$2)^2)))</f>
        <v>23.960211711507828</v>
      </c>
      <c r="H13" s="3">
        <f>IF(($A13-Ft!D$2)&lt;0,Ft!D$3*((1-Ft!D$6)/(1+Ft!D$37*($A13-Ft!D$2)^2)+Ft!D$6*EXP(Ft!D$38*($A13-Ft!D$2)^2)),Ft!D$3*((1-Ft!D$7)/(1+Ft!D$39*($A13-Ft!D$2)^2)+Ft!D$7*EXP(Ft!D$40*($A13-Ft!D$2)^2)))</f>
        <v>3.2904767829197826E-51</v>
      </c>
      <c r="I13" s="3">
        <f>IF(($A13-Ft!E$2)&lt;0,Ft!E$3*((1-Ft!E$6)/(1+Ft!E$37*($A13-Ft!E$2)^2)+Ft!E$6*EXP(Ft!E$38*($A13-Ft!E$2)^2)),Ft!E$3*((1-Ft!E$7)/(1+Ft!E$39*($A13-Ft!E$2)^2)+Ft!E$7*EXP(Ft!E$40*($A13-Ft!E$2)^2)))</f>
        <v>3.3083815192430901</v>
      </c>
      <c r="J13" s="3">
        <f>IF(($A13-Ft!F$2)&lt;0,Ft!F$3*((1-Ft!F$6)/(1+Ft!F$37*($A13-Ft!F$2)^2)+Ft!F$6*EXP(Ft!F$38*($A13-Ft!F$2)^2)),Ft!F$3*((1-Ft!F$7)/(1+Ft!F$39*($A13-Ft!F$2)^2)+Ft!F$7*EXP(Ft!F$40*($A13-Ft!F$2)^2)))</f>
        <v>4.8687025554546155</v>
      </c>
      <c r="K13" s="3">
        <f>IF(($A13-Ft!G$2)&lt;0,Ft!G$3*((1-Ft!G$6)/(1+Ft!G$37*($A13-Ft!G$2)^2)+Ft!G$6*EXP(Ft!G$38*($A13-Ft!G$2)^2)),Ft!G$3*((1-Ft!G$7)/(1+Ft!G$39*($A13-Ft!G$2)^2)+Ft!G$7*EXP(Ft!G$40*($A13-Ft!G$2)^2)))</f>
        <v>11.684102229217794</v>
      </c>
      <c r="L13" s="3">
        <f>IF(($A13-Ft!H$2)&lt;0,Ft!H$3*((1-Ft!H$6)/(1+Ft!H$37*($A13-Ft!H$2)^2)+Ft!H$6*EXP(Ft!H$38*($A13-Ft!H$2)^2)),Ft!H$3*((1-Ft!H$7)/(1+Ft!H$39*($A13-Ft!H$2)^2)+Ft!H$7*EXP(Ft!H$40*($A13-Ft!H$2)^2)))</f>
        <v>0</v>
      </c>
      <c r="M13" s="3">
        <f>IF(($A13-Ft!I$2)&lt;0,Ft!I$3*((1-Ft!I$6)/(1+Ft!I$37*($A13-Ft!I$2)^2)+Ft!I$6*EXP(Ft!I$38*($A13-Ft!I$2)^2)),Ft!I$3*((1-Ft!I$7)/(1+Ft!I$39*($A13-Ft!I$2)^2)+Ft!I$7*EXP(Ft!I$40*($A13-Ft!I$2)^2)))</f>
        <v>0</v>
      </c>
      <c r="N13" s="3">
        <f>IF(($A13-Ft!J$2)&lt;0,Ft!J$3*((1-Ft!J$6)/(1+Ft!J$37*($A13-Ft!J$2)^2)+Ft!J$6*EXP(Ft!J$38*($A13-Ft!J$2)^2)),Ft!J$3*((1-Ft!J$7)/(1+Ft!J$39*($A13-Ft!J$2)^2)+Ft!J$7*EXP(Ft!J$40*($A13-Ft!J$2)^2)))</f>
        <v>0</v>
      </c>
      <c r="O13" s="3">
        <f>IF(($A13-Ft!K$2)&lt;0,Ft!K$3*((1-Ft!K$6)/(1+Ft!K$37*($A13-Ft!K$2)^2)+Ft!K$6*EXP(Ft!K$38*($A13-Ft!K$2)^2)),Ft!K$3*((1-Ft!K$7)/(1+Ft!K$39*($A13-Ft!K$2)^2)+Ft!K$7*EXP(Ft!K$40*($A13-Ft!K$2)^2)))</f>
        <v>0</v>
      </c>
      <c r="P13"/>
      <c r="Q13"/>
    </row>
    <row r="14" spans="1:20">
      <c r="A14" s="20">
        <v>25</v>
      </c>
      <c r="B14" s="29">
        <v>0.59147796423349064</v>
      </c>
      <c r="C14" s="7">
        <f t="shared" si="1"/>
        <v>0.60003520548730549</v>
      </c>
      <c r="D14" s="3">
        <f t="shared" si="0"/>
        <v>7.3226377875990772E-5</v>
      </c>
      <c r="E14" s="3">
        <f>Ft!$B$12+Ft!$B$14*(Data!A14-Vars!$B$3)</f>
        <v>-200</v>
      </c>
      <c r="F14" s="3">
        <f>IF(($A14-Ft!B$2)&lt;0,Ft!B$3*((1-Ft!B$6)/(1+Ft!B$37*($A14-Ft!B$2)^2)+Ft!B$6*EXP(Ft!B$38*($A14-Ft!B$2)^2)),Ft!B$3*((1-Ft!B$7)/(1+Ft!B$39*($A14-Ft!B$2)^2)+Ft!B$7*EXP(Ft!B$40*($A14-Ft!B$2)^2)))</f>
        <v>156.36871519500531</v>
      </c>
      <c r="G14" s="3">
        <f>IF(($A14-Ft!C$2)&lt;0,Ft!C$3*((1-Ft!C$6)/(1+Ft!C$37*($A14-Ft!C$2)^2)+Ft!C$6*EXP(Ft!C$38*($A14-Ft!C$2)^2)),Ft!C$3*((1-Ft!C$7)/(1+Ft!C$39*($A14-Ft!C$2)^2)+Ft!C$7*EXP(Ft!C$40*($A14-Ft!C$2)^2)))</f>
        <v>24.053348451380963</v>
      </c>
      <c r="H14" s="3">
        <f>IF(($A14-Ft!D$2)&lt;0,Ft!D$3*((1-Ft!D$6)/(1+Ft!D$37*($A14-Ft!D$2)^2)+Ft!D$6*EXP(Ft!D$38*($A14-Ft!D$2)^2)),Ft!D$3*((1-Ft!D$7)/(1+Ft!D$39*($A14-Ft!D$2)^2)+Ft!D$7*EXP(Ft!D$40*($A14-Ft!D$2)^2)))</f>
        <v>1.0213489299197046E-50</v>
      </c>
      <c r="I14" s="3">
        <f>IF(($A14-Ft!E$2)&lt;0,Ft!E$3*((1-Ft!E$6)/(1+Ft!E$37*($A14-Ft!E$2)^2)+Ft!E$6*EXP(Ft!E$38*($A14-Ft!E$2)^2)),Ft!E$3*((1-Ft!E$7)/(1+Ft!E$39*($A14-Ft!E$2)^2)+Ft!E$7*EXP(Ft!E$40*($A14-Ft!E$2)^2)))</f>
        <v>3.3758003058795802</v>
      </c>
      <c r="J14" s="3">
        <f>IF(($A14-Ft!F$2)&lt;0,Ft!F$3*((1-Ft!F$6)/(1+Ft!F$37*($A14-Ft!F$2)^2)+Ft!F$6*EXP(Ft!F$38*($A14-Ft!F$2)^2)),Ft!F$3*((1-Ft!F$7)/(1+Ft!F$39*($A14-Ft!F$2)^2)+Ft!F$7*EXP(Ft!F$40*($A14-Ft!F$2)^2)))</f>
        <v>4.9152198984522961</v>
      </c>
      <c r="K14" s="3">
        <f>IF(($A14-Ft!G$2)&lt;0,Ft!G$3*((1-Ft!G$6)/(1+Ft!G$37*($A14-Ft!G$2)^2)+Ft!G$6*EXP(Ft!G$38*($A14-Ft!G$2)^2)),Ft!G$3*((1-Ft!G$7)/(1+Ft!G$39*($A14-Ft!G$2)^2)+Ft!G$7*EXP(Ft!G$40*($A14-Ft!G$2)^2)))</f>
        <v>11.88695135476916</v>
      </c>
      <c r="L14" s="3">
        <f>IF(($A14-Ft!H$2)&lt;0,Ft!H$3*((1-Ft!H$6)/(1+Ft!H$37*($A14-Ft!H$2)^2)+Ft!H$6*EXP(Ft!H$38*($A14-Ft!H$2)^2)),Ft!H$3*((1-Ft!H$7)/(1+Ft!H$39*($A14-Ft!H$2)^2)+Ft!H$7*EXP(Ft!H$40*($A14-Ft!H$2)^2)))</f>
        <v>0</v>
      </c>
      <c r="M14" s="3">
        <f>IF(($A14-Ft!I$2)&lt;0,Ft!I$3*((1-Ft!I$6)/(1+Ft!I$37*($A14-Ft!I$2)^2)+Ft!I$6*EXP(Ft!I$38*($A14-Ft!I$2)^2)),Ft!I$3*((1-Ft!I$7)/(1+Ft!I$39*($A14-Ft!I$2)^2)+Ft!I$7*EXP(Ft!I$40*($A14-Ft!I$2)^2)))</f>
        <v>0</v>
      </c>
      <c r="N14" s="3">
        <f>IF(($A14-Ft!J$2)&lt;0,Ft!J$3*((1-Ft!J$6)/(1+Ft!J$37*($A14-Ft!J$2)^2)+Ft!J$6*EXP(Ft!J$38*($A14-Ft!J$2)^2)),Ft!J$3*((1-Ft!J$7)/(1+Ft!J$39*($A14-Ft!J$2)^2)+Ft!J$7*EXP(Ft!J$40*($A14-Ft!J$2)^2)))</f>
        <v>0</v>
      </c>
      <c r="O14" s="3">
        <f>IF(($A14-Ft!K$2)&lt;0,Ft!K$3*((1-Ft!K$6)/(1+Ft!K$37*($A14-Ft!K$2)^2)+Ft!K$6*EXP(Ft!K$38*($A14-Ft!K$2)^2)),Ft!K$3*((1-Ft!K$7)/(1+Ft!K$39*($A14-Ft!K$2)^2)+Ft!K$7*EXP(Ft!K$40*($A14-Ft!K$2)^2)))</f>
        <v>0</v>
      </c>
      <c r="P14"/>
      <c r="Q14"/>
    </row>
    <row r="15" spans="1:20">
      <c r="A15" s="20">
        <v>27</v>
      </c>
      <c r="B15" s="29">
        <v>0.638659813104411</v>
      </c>
      <c r="C15" s="7">
        <f t="shared" si="1"/>
        <v>0.6445975738974532</v>
      </c>
      <c r="D15" s="3">
        <f t="shared" si="0"/>
        <v>3.5257003235389155E-5</v>
      </c>
      <c r="E15" s="3">
        <f>Ft!$B$12+Ft!$B$14*(Data!A15-Vars!$B$3)</f>
        <v>-200</v>
      </c>
      <c r="F15" s="3">
        <f>IF(($A15-Ft!B$2)&lt;0,Ft!B$3*((1-Ft!B$6)/(1+Ft!B$37*($A15-Ft!B$2)^2)+Ft!B$6*EXP(Ft!B$38*($A15-Ft!B$2)^2)),Ft!B$3*((1-Ft!B$7)/(1+Ft!B$39*($A15-Ft!B$2)^2)+Ft!B$7*EXP(Ft!B$40*($A15-Ft!B$2)^2)))</f>
        <v>155.99938715943736</v>
      </c>
      <c r="G15" s="3">
        <f>IF(($A15-Ft!C$2)&lt;0,Ft!C$3*((1-Ft!C$6)/(1+Ft!C$37*($A15-Ft!C$2)^2)+Ft!C$6*EXP(Ft!C$38*($A15-Ft!C$2)^2)),Ft!C$3*((1-Ft!C$7)/(1+Ft!C$39*($A15-Ft!C$2)^2)+Ft!C$7*EXP(Ft!C$40*($A15-Ft!C$2)^2)))</f>
        <v>24.146633871838112</v>
      </c>
      <c r="H15" s="3">
        <f>IF(($A15-Ft!D$2)&lt;0,Ft!D$3*((1-Ft!D$6)/(1+Ft!D$37*($A15-Ft!D$2)^2)+Ft!D$6*EXP(Ft!D$38*($A15-Ft!D$2)^2)),Ft!D$3*((1-Ft!D$7)/(1+Ft!D$39*($A15-Ft!D$2)^2)+Ft!D$7*EXP(Ft!D$40*($A15-Ft!D$2)^2)))</f>
        <v>3.1527790258581776E-50</v>
      </c>
      <c r="I15" s="3">
        <f>IF(($A15-Ft!E$2)&lt;0,Ft!E$3*((1-Ft!E$6)/(1+Ft!E$37*($A15-Ft!E$2)^2)+Ft!E$6*EXP(Ft!E$38*($A15-Ft!E$2)^2)),Ft!E$3*((1-Ft!E$7)/(1+Ft!E$39*($A15-Ft!E$2)^2)+Ft!E$7*EXP(Ft!E$40*($A15-Ft!E$2)^2)))</f>
        <v>3.444393248000686</v>
      </c>
      <c r="J15" s="3">
        <f>IF(($A15-Ft!F$2)&lt;0,Ft!F$3*((1-Ft!F$6)/(1+Ft!F$37*($A15-Ft!F$2)^2)+Ft!F$6*EXP(Ft!F$38*($A15-Ft!F$2)^2)),Ft!F$3*((1-Ft!F$7)/(1+Ft!F$39*($A15-Ft!F$2)^2)+Ft!F$7*EXP(Ft!F$40*($A15-Ft!F$2)^2)))</f>
        <v>4.9621163313176222</v>
      </c>
      <c r="K15" s="3">
        <f>IF(($A15-Ft!G$2)&lt;0,Ft!G$3*((1-Ft!G$6)/(1+Ft!G$37*($A15-Ft!G$2)^2)+Ft!G$6*EXP(Ft!G$38*($A15-Ft!G$2)^2)),Ft!G$3*((1-Ft!G$7)/(1+Ft!G$39*($A15-Ft!G$2)^2)+Ft!G$7*EXP(Ft!G$40*($A15-Ft!G$2)^2)))</f>
        <v>12.092066963303671</v>
      </c>
      <c r="L15" s="3">
        <f>IF(($A15-Ft!H$2)&lt;0,Ft!H$3*((1-Ft!H$6)/(1+Ft!H$37*($A15-Ft!H$2)^2)+Ft!H$6*EXP(Ft!H$38*($A15-Ft!H$2)^2)),Ft!H$3*((1-Ft!H$7)/(1+Ft!H$39*($A15-Ft!H$2)^2)+Ft!H$7*EXP(Ft!H$40*($A15-Ft!H$2)^2)))</f>
        <v>0</v>
      </c>
      <c r="M15" s="3">
        <f>IF(($A15-Ft!I$2)&lt;0,Ft!I$3*((1-Ft!I$6)/(1+Ft!I$37*($A15-Ft!I$2)^2)+Ft!I$6*EXP(Ft!I$38*($A15-Ft!I$2)^2)),Ft!I$3*((1-Ft!I$7)/(1+Ft!I$39*($A15-Ft!I$2)^2)+Ft!I$7*EXP(Ft!I$40*($A15-Ft!I$2)^2)))</f>
        <v>0</v>
      </c>
      <c r="N15" s="3">
        <f>IF(($A15-Ft!J$2)&lt;0,Ft!J$3*((1-Ft!J$6)/(1+Ft!J$37*($A15-Ft!J$2)^2)+Ft!J$6*EXP(Ft!J$38*($A15-Ft!J$2)^2)),Ft!J$3*((1-Ft!J$7)/(1+Ft!J$39*($A15-Ft!J$2)^2)+Ft!J$7*EXP(Ft!J$40*($A15-Ft!J$2)^2)))</f>
        <v>0</v>
      </c>
      <c r="O15" s="3">
        <f>IF(($A15-Ft!K$2)&lt;0,Ft!K$3*((1-Ft!K$6)/(1+Ft!K$37*($A15-Ft!K$2)^2)+Ft!K$6*EXP(Ft!K$38*($A15-Ft!K$2)^2)),Ft!K$3*((1-Ft!K$7)/(1+Ft!K$39*($A15-Ft!K$2)^2)+Ft!K$7*EXP(Ft!K$40*($A15-Ft!K$2)^2)))</f>
        <v>0</v>
      </c>
      <c r="P15"/>
      <c r="Q15"/>
    </row>
    <row r="16" spans="1:20">
      <c r="A16" s="20">
        <v>29</v>
      </c>
      <c r="B16" s="29">
        <v>0.68777413392449205</v>
      </c>
      <c r="C16" s="7">
        <f t="shared" si="1"/>
        <v>0.69104349575603763</v>
      </c>
      <c r="D16" s="3">
        <f t="shared" si="0"/>
        <v>1.0688726785567074E-5</v>
      </c>
      <c r="E16" s="3">
        <f>Ft!$B$12+Ft!$B$14*(Data!A16-Vars!$B$3)</f>
        <v>-200</v>
      </c>
      <c r="F16" s="3">
        <f>IF(($A16-Ft!B$2)&lt;0,Ft!B$3*((1-Ft!B$6)/(1+Ft!B$37*($A16-Ft!B$2)^2)+Ft!B$6*EXP(Ft!B$38*($A16-Ft!B$2)^2)),Ft!B$3*((1-Ft!B$7)/(1+Ft!B$39*($A16-Ft!B$2)^2)+Ft!B$7*EXP(Ft!B$40*($A16-Ft!B$2)^2)))</f>
        <v>155.62796098208602</v>
      </c>
      <c r="G16" s="3">
        <f>IF(($A16-Ft!C$2)&lt;0,Ft!C$3*((1-Ft!C$6)/(1+Ft!C$37*($A16-Ft!C$2)^2)+Ft!C$6*EXP(Ft!C$38*($A16-Ft!C$2)^2)),Ft!C$3*((1-Ft!C$7)/(1+Ft!C$39*($A16-Ft!C$2)^2)+Ft!C$7*EXP(Ft!C$40*($A16-Ft!C$2)^2)))</f>
        <v>24.240066897815932</v>
      </c>
      <c r="H16" s="3">
        <f>IF(($A16-Ft!D$2)&lt;0,Ft!D$3*((1-Ft!D$6)/(1+Ft!D$37*($A16-Ft!D$2)^2)+Ft!D$6*EXP(Ft!D$38*($A16-Ft!D$2)^2)),Ft!D$3*((1-Ft!D$7)/(1+Ft!D$39*($A16-Ft!D$2)^2)+Ft!D$7*EXP(Ft!D$40*($A16-Ft!D$2)^2)))</f>
        <v>9.6786996771502044E-50</v>
      </c>
      <c r="I16" s="3">
        <f>IF(($A16-Ft!E$2)&lt;0,Ft!E$3*((1-Ft!E$6)/(1+Ft!E$37*($A16-Ft!E$2)^2)+Ft!E$6*EXP(Ft!E$38*($A16-Ft!E$2)^2)),Ft!E$3*((1-Ft!E$7)/(1+Ft!E$39*($A16-Ft!E$2)^2)+Ft!E$7*EXP(Ft!E$40*($A16-Ft!E$2)^2)))</f>
        <v>3.5141761684833166</v>
      </c>
      <c r="J16" s="3">
        <f>IF(($A16-Ft!F$2)&lt;0,Ft!F$3*((1-Ft!F$6)/(1+Ft!F$37*($A16-Ft!F$2)^2)+Ft!F$6*EXP(Ft!F$38*($A16-Ft!F$2)^2)),Ft!F$3*((1-Ft!F$7)/(1+Ft!F$39*($A16-Ft!F$2)^2)+Ft!F$7*EXP(Ft!F$40*($A16-Ft!F$2)^2)))</f>
        <v>5.0093942297945802</v>
      </c>
      <c r="K16" s="3">
        <f>IF(($A16-Ft!G$2)&lt;0,Ft!G$3*((1-Ft!G$6)/(1+Ft!G$37*($A16-Ft!G$2)^2)+Ft!G$6*EXP(Ft!G$38*($A16-Ft!G$2)^2)),Ft!G$3*((1-Ft!G$7)/(1+Ft!G$39*($A16-Ft!G$2)^2)+Ft!G$7*EXP(Ft!G$40*($A16-Ft!G$2)^2)))</f>
        <v>12.299445217576185</v>
      </c>
      <c r="L16" s="3">
        <f>IF(($A16-Ft!H$2)&lt;0,Ft!H$3*((1-Ft!H$6)/(1+Ft!H$37*($A16-Ft!H$2)^2)+Ft!H$6*EXP(Ft!H$38*($A16-Ft!H$2)^2)),Ft!H$3*((1-Ft!H$7)/(1+Ft!H$39*($A16-Ft!H$2)^2)+Ft!H$7*EXP(Ft!H$40*($A16-Ft!H$2)^2)))</f>
        <v>0</v>
      </c>
      <c r="M16" s="3">
        <f>IF(($A16-Ft!I$2)&lt;0,Ft!I$3*((1-Ft!I$6)/(1+Ft!I$37*($A16-Ft!I$2)^2)+Ft!I$6*EXP(Ft!I$38*($A16-Ft!I$2)^2)),Ft!I$3*((1-Ft!I$7)/(1+Ft!I$39*($A16-Ft!I$2)^2)+Ft!I$7*EXP(Ft!I$40*($A16-Ft!I$2)^2)))</f>
        <v>0</v>
      </c>
      <c r="N16" s="3">
        <f>IF(($A16-Ft!J$2)&lt;0,Ft!J$3*((1-Ft!J$6)/(1+Ft!J$37*($A16-Ft!J$2)^2)+Ft!J$6*EXP(Ft!J$38*($A16-Ft!J$2)^2)),Ft!J$3*((1-Ft!J$7)/(1+Ft!J$39*($A16-Ft!J$2)^2)+Ft!J$7*EXP(Ft!J$40*($A16-Ft!J$2)^2)))</f>
        <v>0</v>
      </c>
      <c r="O16" s="3">
        <f>IF(($A16-Ft!K$2)&lt;0,Ft!K$3*((1-Ft!K$6)/(1+Ft!K$37*($A16-Ft!K$2)^2)+Ft!K$6*EXP(Ft!K$38*($A16-Ft!K$2)^2)),Ft!K$3*((1-Ft!K$7)/(1+Ft!K$39*($A16-Ft!K$2)^2)+Ft!K$7*EXP(Ft!K$40*($A16-Ft!K$2)^2)))</f>
        <v>0</v>
      </c>
      <c r="P16"/>
      <c r="Q16"/>
    </row>
    <row r="17" spans="1:17">
      <c r="A17" s="20">
        <v>31</v>
      </c>
      <c r="B17" s="29">
        <v>0.73883386088054692</v>
      </c>
      <c r="C17" s="7">
        <f t="shared" si="1"/>
        <v>0.73940474934879319</v>
      </c>
      <c r="D17" s="3">
        <f t="shared" si="0"/>
        <v>3.2591364317656869E-7</v>
      </c>
      <c r="E17" s="3">
        <f>Ft!$B$12+Ft!$B$14*(Data!A17-Vars!$B$3)</f>
        <v>-200</v>
      </c>
      <c r="F17" s="3">
        <f>IF(($A17-Ft!B$2)&lt;0,Ft!B$3*((1-Ft!B$6)/(1+Ft!B$37*($A17-Ft!B$2)^2)+Ft!B$6*EXP(Ft!B$38*($A17-Ft!B$2)^2)),Ft!B$3*((1-Ft!B$7)/(1+Ft!B$39*($A17-Ft!B$2)^2)+Ft!B$7*EXP(Ft!B$40*($A17-Ft!B$2)^2)))</f>
        <v>155.25445582013305</v>
      </c>
      <c r="G17" s="3">
        <f>IF(($A17-Ft!C$2)&lt;0,Ft!C$3*((1-Ft!C$6)/(1+Ft!C$37*($A17-Ft!C$2)^2)+Ft!C$6*EXP(Ft!C$38*($A17-Ft!C$2)^2)),Ft!C$3*((1-Ft!C$7)/(1+Ft!C$39*($A17-Ft!C$2)^2)+Ft!C$7*EXP(Ft!C$40*($A17-Ft!C$2)^2)))</f>
        <v>24.333646446166291</v>
      </c>
      <c r="H17" s="3">
        <f>IF(($A17-Ft!D$2)&lt;0,Ft!D$3*((1-Ft!D$6)/(1+Ft!D$37*($A17-Ft!D$2)^2)+Ft!D$6*EXP(Ft!D$38*($A17-Ft!D$2)^2)),Ft!D$3*((1-Ft!D$7)/(1+Ft!D$39*($A17-Ft!D$2)^2)+Ft!D$7*EXP(Ft!D$40*($A17-Ft!D$2)^2)))</f>
        <v>2.9549122118923848E-49</v>
      </c>
      <c r="I17" s="3">
        <f>IF(($A17-Ft!E$2)&lt;0,Ft!E$3*((1-Ft!E$6)/(1+Ft!E$37*($A17-Ft!E$2)^2)+Ft!E$6*EXP(Ft!E$38*($A17-Ft!E$2)^2)),Ft!E$3*((1-Ft!E$7)/(1+Ft!E$39*($A17-Ft!E$2)^2)+Ft!E$7*EXP(Ft!E$40*($A17-Ft!E$2)^2)))</f>
        <v>3.5851650021613977</v>
      </c>
      <c r="J17" s="3">
        <f>IF(($A17-Ft!F$2)&lt;0,Ft!F$3*((1-Ft!F$6)/(1+Ft!F$37*($A17-Ft!F$2)^2)+Ft!F$6*EXP(Ft!F$38*($A17-Ft!F$2)^2)),Ft!F$3*((1-Ft!F$7)/(1+Ft!F$39*($A17-Ft!F$2)^2)+Ft!F$7*EXP(Ft!F$40*($A17-Ft!F$2)^2)))</f>
        <v>5.0570559771345858</v>
      </c>
      <c r="K17" s="3">
        <f>IF(($A17-Ft!G$2)&lt;0,Ft!G$3*((1-Ft!G$6)/(1+Ft!G$37*($A17-Ft!G$2)^2)+Ft!G$6*EXP(Ft!G$38*($A17-Ft!G$2)^2)),Ft!G$3*((1-Ft!G$7)/(1+Ft!G$39*($A17-Ft!G$2)^2)+Ft!G$7*EXP(Ft!G$40*($A17-Ft!G$2)^2)))</f>
        <v>12.509081503753475</v>
      </c>
      <c r="L17" s="3">
        <f>IF(($A17-Ft!H$2)&lt;0,Ft!H$3*((1-Ft!H$6)/(1+Ft!H$37*($A17-Ft!H$2)^2)+Ft!H$6*EXP(Ft!H$38*($A17-Ft!H$2)^2)),Ft!H$3*((1-Ft!H$7)/(1+Ft!H$39*($A17-Ft!H$2)^2)+Ft!H$7*EXP(Ft!H$40*($A17-Ft!H$2)^2)))</f>
        <v>0</v>
      </c>
      <c r="M17" s="3">
        <f>IF(($A17-Ft!I$2)&lt;0,Ft!I$3*((1-Ft!I$6)/(1+Ft!I$37*($A17-Ft!I$2)^2)+Ft!I$6*EXP(Ft!I$38*($A17-Ft!I$2)^2)),Ft!I$3*((1-Ft!I$7)/(1+Ft!I$39*($A17-Ft!I$2)^2)+Ft!I$7*EXP(Ft!I$40*($A17-Ft!I$2)^2)))</f>
        <v>0</v>
      </c>
      <c r="N17" s="3">
        <f>IF(($A17-Ft!J$2)&lt;0,Ft!J$3*((1-Ft!J$6)/(1+Ft!J$37*($A17-Ft!J$2)^2)+Ft!J$6*EXP(Ft!J$38*($A17-Ft!J$2)^2)),Ft!J$3*((1-Ft!J$7)/(1+Ft!J$39*($A17-Ft!J$2)^2)+Ft!J$7*EXP(Ft!J$40*($A17-Ft!J$2)^2)))</f>
        <v>0</v>
      </c>
      <c r="O17" s="3">
        <f>IF(($A17-Ft!K$2)&lt;0,Ft!K$3*((1-Ft!K$6)/(1+Ft!K$37*($A17-Ft!K$2)^2)+Ft!K$6*EXP(Ft!K$38*($A17-Ft!K$2)^2)),Ft!K$3*((1-Ft!K$7)/(1+Ft!K$39*($A17-Ft!K$2)^2)+Ft!K$7*EXP(Ft!K$40*($A17-Ft!K$2)^2)))</f>
        <v>0</v>
      </c>
      <c r="P17"/>
      <c r="Q17"/>
    </row>
    <row r="18" spans="1:17">
      <c r="A18" s="20">
        <v>33</v>
      </c>
      <c r="B18" s="29">
        <v>0.79185160804513544</v>
      </c>
      <c r="C18" s="7">
        <f t="shared" si="1"/>
        <v>0.78971250795994585</v>
      </c>
      <c r="D18" s="3">
        <f t="shared" si="0"/>
        <v>4.5757491744580788E-6</v>
      </c>
      <c r="E18" s="3">
        <f>Ft!$B$12+Ft!$B$14*(Data!A18-Vars!$B$3)</f>
        <v>-200</v>
      </c>
      <c r="F18" s="3">
        <f>IF(($A18-Ft!B$2)&lt;0,Ft!B$3*((1-Ft!B$6)/(1+Ft!B$37*($A18-Ft!B$2)^2)+Ft!B$6*EXP(Ft!B$38*($A18-Ft!B$2)^2)),Ft!B$3*((1-Ft!B$7)/(1+Ft!B$39*($A18-Ft!B$2)^2)+Ft!B$7*EXP(Ft!B$40*($A18-Ft!B$2)^2)))</f>
        <v>154.87889090386537</v>
      </c>
      <c r="G18" s="3">
        <f>IF(($A18-Ft!C$2)&lt;0,Ft!C$3*((1-Ft!C$6)/(1+Ft!C$37*($A18-Ft!C$2)^2)+Ft!C$6*EXP(Ft!C$38*($A18-Ft!C$2)^2)),Ft!C$3*((1-Ft!C$7)/(1+Ft!C$39*($A18-Ft!C$2)^2)+Ft!C$7*EXP(Ft!C$40*($A18-Ft!C$2)^2)))</f>
        <v>24.427371425663342</v>
      </c>
      <c r="H18" s="3">
        <f>IF(($A18-Ft!D$2)&lt;0,Ft!D$3*((1-Ft!D$6)/(1+Ft!D$37*($A18-Ft!D$2)^2)+Ft!D$6*EXP(Ft!D$38*($A18-Ft!D$2)^2)),Ft!D$3*((1-Ft!D$7)/(1+Ft!D$39*($A18-Ft!D$2)^2)+Ft!D$7*EXP(Ft!D$40*($A18-Ft!D$2)^2)))</f>
        <v>8.971730895652429E-49</v>
      </c>
      <c r="I18" s="3">
        <f>IF(($A18-Ft!E$2)&lt;0,Ft!E$3*((1-Ft!E$6)/(1+Ft!E$37*($A18-Ft!E$2)^2)+Ft!E$6*EXP(Ft!E$38*($A18-Ft!E$2)^2)),Ft!E$3*((1-Ft!E$7)/(1+Ft!E$39*($A18-Ft!E$2)^2)+Ft!E$7*EXP(Ft!E$40*($A18-Ft!E$2)^2)))</f>
        <v>3.6573757943612022</v>
      </c>
      <c r="J18" s="3">
        <f>IF(($A18-Ft!F$2)&lt;0,Ft!F$3*((1-Ft!F$6)/(1+Ft!F$37*($A18-Ft!F$2)^2)+Ft!F$6*EXP(Ft!F$38*($A18-Ft!F$2)^2)),Ft!F$3*((1-Ft!F$7)/(1+Ft!F$39*($A18-Ft!F$2)^2)+Ft!F$7*EXP(Ft!F$40*($A18-Ft!F$2)^2)))</f>
        <v>5.1051039640418807</v>
      </c>
      <c r="K18" s="3">
        <f>IF(($A18-Ft!G$2)&lt;0,Ft!G$3*((1-Ft!G$6)/(1+Ft!G$37*($A18-Ft!G$2)^2)+Ft!G$6*EXP(Ft!G$38*($A18-Ft!G$2)^2)),Ft!G$3*((1-Ft!G$7)/(1+Ft!G$39*($A18-Ft!G$2)^2)+Ft!G$7*EXP(Ft!G$40*($A18-Ft!G$2)^2)))</f>
        <v>12.720970420028154</v>
      </c>
      <c r="L18" s="3">
        <f>IF(($A18-Ft!H$2)&lt;0,Ft!H$3*((1-Ft!H$6)/(1+Ft!H$37*($A18-Ft!H$2)^2)+Ft!H$6*EXP(Ft!H$38*($A18-Ft!H$2)^2)),Ft!H$3*((1-Ft!H$7)/(1+Ft!H$39*($A18-Ft!H$2)^2)+Ft!H$7*EXP(Ft!H$40*($A18-Ft!H$2)^2)))</f>
        <v>0</v>
      </c>
      <c r="M18" s="3">
        <f>IF(($A18-Ft!I$2)&lt;0,Ft!I$3*((1-Ft!I$6)/(1+Ft!I$37*($A18-Ft!I$2)^2)+Ft!I$6*EXP(Ft!I$38*($A18-Ft!I$2)^2)),Ft!I$3*((1-Ft!I$7)/(1+Ft!I$39*($A18-Ft!I$2)^2)+Ft!I$7*EXP(Ft!I$40*($A18-Ft!I$2)^2)))</f>
        <v>0</v>
      </c>
      <c r="N18" s="3">
        <f>IF(($A18-Ft!J$2)&lt;0,Ft!J$3*((1-Ft!J$6)/(1+Ft!J$37*($A18-Ft!J$2)^2)+Ft!J$6*EXP(Ft!J$38*($A18-Ft!J$2)^2)),Ft!J$3*((1-Ft!J$7)/(1+Ft!J$39*($A18-Ft!J$2)^2)+Ft!J$7*EXP(Ft!J$40*($A18-Ft!J$2)^2)))</f>
        <v>0</v>
      </c>
      <c r="O18" s="3">
        <f>IF(($A18-Ft!K$2)&lt;0,Ft!K$3*((1-Ft!K$6)/(1+Ft!K$37*($A18-Ft!K$2)^2)+Ft!K$6*EXP(Ft!K$38*($A18-Ft!K$2)^2)),Ft!K$3*((1-Ft!K$7)/(1+Ft!K$39*($A18-Ft!K$2)^2)+Ft!K$7*EXP(Ft!K$40*($A18-Ft!K$2)^2)))</f>
        <v>0</v>
      </c>
      <c r="P18"/>
      <c r="Q18"/>
    </row>
    <row r="19" spans="1:17">
      <c r="A19" s="20">
        <v>35</v>
      </c>
      <c r="B19" s="29">
        <v>0.84683966569272684</v>
      </c>
      <c r="C19" s="7">
        <f t="shared" si="1"/>
        <v>0.84199732548689887</v>
      </c>
      <c r="D19" s="3">
        <f t="shared" si="0"/>
        <v>2.3448258668978032E-5</v>
      </c>
      <c r="E19" s="3">
        <f>Ft!$B$12+Ft!$B$14*(Data!A19-Vars!$B$3)</f>
        <v>-200</v>
      </c>
      <c r="F19" s="3">
        <f>IF(($A19-Ft!B$2)&lt;0,Ft!B$3*((1-Ft!B$6)/(1+Ft!B$37*($A19-Ft!B$2)^2)+Ft!B$6*EXP(Ft!B$38*($A19-Ft!B$2)^2)),Ft!B$3*((1-Ft!B$7)/(1+Ft!B$39*($A19-Ft!B$2)^2)+Ft!B$7*EXP(Ft!B$40*($A19-Ft!B$2)^2)))</f>
        <v>154.50128553503305</v>
      </c>
      <c r="G19" s="3">
        <f>IF(($A19-Ft!C$2)&lt;0,Ft!C$3*((1-Ft!C$6)/(1+Ft!C$37*($A19-Ft!C$2)^2)+Ft!C$6*EXP(Ft!C$38*($A19-Ft!C$2)^2)),Ft!C$3*((1-Ft!C$7)/(1+Ft!C$39*($A19-Ft!C$2)^2)+Ft!C$7*EXP(Ft!C$40*($A19-Ft!C$2)^2)))</f>
        <v>24.52124073701097</v>
      </c>
      <c r="H19" s="3">
        <f>IF(($A19-Ft!D$2)&lt;0,Ft!D$3*((1-Ft!D$6)/(1+Ft!D$37*($A19-Ft!D$2)^2)+Ft!D$6*EXP(Ft!D$38*($A19-Ft!D$2)^2)),Ft!D$3*((1-Ft!D$7)/(1+Ft!D$39*($A19-Ft!D$2)^2)+Ft!D$7*EXP(Ft!D$40*($A19-Ft!D$2)^2)))</f>
        <v>2.7090185655627166E-48</v>
      </c>
      <c r="I19" s="3">
        <f>IF(($A19-Ft!E$2)&lt;0,Ft!E$3*((1-Ft!E$6)/(1+Ft!E$37*($A19-Ft!E$2)^2)+Ft!E$6*EXP(Ft!E$38*($A19-Ft!E$2)^2)),Ft!E$3*((1-Ft!E$7)/(1+Ft!E$39*($A19-Ft!E$2)^2)+Ft!E$7*EXP(Ft!E$40*($A19-Ft!E$2)^2)))</f>
        <v>3.7308246993747254</v>
      </c>
      <c r="J19" s="3">
        <f>IF(($A19-Ft!F$2)&lt;0,Ft!F$3*((1-Ft!F$6)/(1+Ft!F$37*($A19-Ft!F$2)^2)+Ft!F$6*EXP(Ft!F$38*($A19-Ft!F$2)^2)),Ft!F$3*((1-Ft!F$7)/(1+Ft!F$39*($A19-Ft!F$2)^2)+Ft!F$7*EXP(Ft!F$40*($A19-Ft!F$2)^2)))</f>
        <v>5.1535405886178953</v>
      </c>
      <c r="K19" s="3">
        <f>IF(($A19-Ft!G$2)&lt;0,Ft!G$3*((1-Ft!G$6)/(1+Ft!G$37*($A19-Ft!G$2)^2)+Ft!G$6*EXP(Ft!G$38*($A19-Ft!G$2)^2)),Ft!G$3*((1-Ft!G$7)/(1+Ft!G$39*($A19-Ft!G$2)^2)+Ft!G$7*EXP(Ft!G$40*($A19-Ft!G$2)^2)))</f>
        <v>12.93510576545026</v>
      </c>
      <c r="L19" s="3">
        <f>IF(($A19-Ft!H$2)&lt;0,Ft!H$3*((1-Ft!H$6)/(1+Ft!H$37*($A19-Ft!H$2)^2)+Ft!H$6*EXP(Ft!H$38*($A19-Ft!H$2)^2)),Ft!H$3*((1-Ft!H$7)/(1+Ft!H$39*($A19-Ft!H$2)^2)+Ft!H$7*EXP(Ft!H$40*($A19-Ft!H$2)^2)))</f>
        <v>0</v>
      </c>
      <c r="M19" s="3">
        <f>IF(($A19-Ft!I$2)&lt;0,Ft!I$3*((1-Ft!I$6)/(1+Ft!I$37*($A19-Ft!I$2)^2)+Ft!I$6*EXP(Ft!I$38*($A19-Ft!I$2)^2)),Ft!I$3*((1-Ft!I$7)/(1+Ft!I$39*($A19-Ft!I$2)^2)+Ft!I$7*EXP(Ft!I$40*($A19-Ft!I$2)^2)))</f>
        <v>0</v>
      </c>
      <c r="N19" s="3">
        <f>IF(($A19-Ft!J$2)&lt;0,Ft!J$3*((1-Ft!J$6)/(1+Ft!J$37*($A19-Ft!J$2)^2)+Ft!J$6*EXP(Ft!J$38*($A19-Ft!J$2)^2)),Ft!J$3*((1-Ft!J$7)/(1+Ft!J$39*($A19-Ft!J$2)^2)+Ft!J$7*EXP(Ft!J$40*($A19-Ft!J$2)^2)))</f>
        <v>0</v>
      </c>
      <c r="O19" s="3">
        <f>IF(($A19-Ft!K$2)&lt;0,Ft!K$3*((1-Ft!K$6)/(1+Ft!K$37*($A19-Ft!K$2)^2)+Ft!K$6*EXP(Ft!K$38*($A19-Ft!K$2)^2)),Ft!K$3*((1-Ft!K$7)/(1+Ft!K$39*($A19-Ft!K$2)^2)+Ft!K$7*EXP(Ft!K$40*($A19-Ft!K$2)^2)))</f>
        <v>0</v>
      </c>
      <c r="P19"/>
      <c r="Q19"/>
    </row>
    <row r="20" spans="1:17">
      <c r="A20" s="20">
        <v>37</v>
      </c>
      <c r="B20" s="29">
        <v>0.90380999668346362</v>
      </c>
      <c r="C20" s="7">
        <f t="shared" si="1"/>
        <v>0.89628912221778378</v>
      </c>
      <c r="D20" s="3">
        <f t="shared" si="0"/>
        <v>5.6563552728515003E-5</v>
      </c>
      <c r="E20" s="3">
        <f>Ft!$B$12+Ft!$B$14*(Data!A20-Vars!$B$3)</f>
        <v>-200</v>
      </c>
      <c r="F20" s="3">
        <f>IF(($A20-Ft!B$2)&lt;0,Ft!B$3*((1-Ft!B$6)/(1+Ft!B$37*($A20-Ft!B$2)^2)+Ft!B$6*EXP(Ft!B$38*($A20-Ft!B$2)^2)),Ft!B$3*((1-Ft!B$7)/(1+Ft!B$39*($A20-Ft!B$2)^2)+Ft!B$7*EXP(Ft!B$40*($A20-Ft!B$2)^2)))</f>
        <v>154.12165908520484</v>
      </c>
      <c r="G20" s="3">
        <f>IF(($A20-Ft!C$2)&lt;0,Ft!C$3*((1-Ft!C$6)/(1+Ft!C$37*($A20-Ft!C$2)^2)+Ft!C$6*EXP(Ft!C$38*($A20-Ft!C$2)^2)),Ft!C$3*((1-Ft!C$7)/(1+Ft!C$39*($A20-Ft!C$2)^2)+Ft!C$7*EXP(Ft!C$40*($A20-Ft!C$2)^2)))</f>
        <v>24.615253272850648</v>
      </c>
      <c r="H20" s="3">
        <f>IF(($A20-Ft!D$2)&lt;0,Ft!D$3*((1-Ft!D$6)/(1+Ft!D$37*($A20-Ft!D$2)^2)+Ft!D$6*EXP(Ft!D$38*($A20-Ft!D$2)^2)),Ft!D$3*((1-Ft!D$7)/(1+Ft!D$39*($A20-Ft!D$2)^2)+Ft!D$7*EXP(Ft!D$40*($A20-Ft!D$2)^2)))</f>
        <v>8.134892368819524E-48</v>
      </c>
      <c r="I20" s="3">
        <f>IF(($A20-Ft!E$2)&lt;0,Ft!E$3*((1-Ft!E$6)/(1+Ft!E$37*($A20-Ft!E$2)^2)+Ft!E$6*EXP(Ft!E$38*($A20-Ft!E$2)^2)),Ft!E$3*((1-Ft!E$7)/(1+Ft!E$39*($A20-Ft!E$2)^2)+Ft!E$7*EXP(Ft!E$40*($A20-Ft!E$2)^2)))</f>
        <v>3.8055279788703325</v>
      </c>
      <c r="J20" s="3">
        <f>IF(($A20-Ft!F$2)&lt;0,Ft!F$3*((1-Ft!F$6)/(1+Ft!F$37*($A20-Ft!F$2)^2)+Ft!F$6*EXP(Ft!F$38*($A20-Ft!F$2)^2)),Ft!F$3*((1-Ft!F$7)/(1+Ft!F$39*($A20-Ft!F$2)^2)+Ft!F$7*EXP(Ft!F$40*($A20-Ft!F$2)^2)))</f>
        <v>5.202368256304581</v>
      </c>
      <c r="K20" s="3">
        <f>IF(($A20-Ft!G$2)&lt;0,Ft!G$3*((1-Ft!G$6)/(1+Ft!G$37*($A20-Ft!G$2)^2)+Ft!G$6*EXP(Ft!G$38*($A20-Ft!G$2)^2)),Ft!G$3*((1-Ft!G$7)/(1+Ft!G$39*($A20-Ft!G$2)^2)+Ft!G$7*EXP(Ft!G$40*($A20-Ft!G$2)^2)))</f>
        <v>13.151480528987381</v>
      </c>
      <c r="L20" s="3">
        <f>IF(($A20-Ft!H$2)&lt;0,Ft!H$3*((1-Ft!H$6)/(1+Ft!H$37*($A20-Ft!H$2)^2)+Ft!H$6*EXP(Ft!H$38*($A20-Ft!H$2)^2)),Ft!H$3*((1-Ft!H$7)/(1+Ft!H$39*($A20-Ft!H$2)^2)+Ft!H$7*EXP(Ft!H$40*($A20-Ft!H$2)^2)))</f>
        <v>0</v>
      </c>
      <c r="M20" s="3">
        <f>IF(($A20-Ft!I$2)&lt;0,Ft!I$3*((1-Ft!I$6)/(1+Ft!I$37*($A20-Ft!I$2)^2)+Ft!I$6*EXP(Ft!I$38*($A20-Ft!I$2)^2)),Ft!I$3*((1-Ft!I$7)/(1+Ft!I$39*($A20-Ft!I$2)^2)+Ft!I$7*EXP(Ft!I$40*($A20-Ft!I$2)^2)))</f>
        <v>0</v>
      </c>
      <c r="N20" s="3">
        <f>IF(($A20-Ft!J$2)&lt;0,Ft!J$3*((1-Ft!J$6)/(1+Ft!J$37*($A20-Ft!J$2)^2)+Ft!J$6*EXP(Ft!J$38*($A20-Ft!J$2)^2)),Ft!J$3*((1-Ft!J$7)/(1+Ft!J$39*($A20-Ft!J$2)^2)+Ft!J$7*EXP(Ft!J$40*($A20-Ft!J$2)^2)))</f>
        <v>0</v>
      </c>
      <c r="O20" s="3">
        <f>IF(($A20-Ft!K$2)&lt;0,Ft!K$3*((1-Ft!K$6)/(1+Ft!K$37*($A20-Ft!K$2)^2)+Ft!K$6*EXP(Ft!K$38*($A20-Ft!K$2)^2)),Ft!K$3*((1-Ft!K$7)/(1+Ft!K$39*($A20-Ft!K$2)^2)+Ft!K$7*EXP(Ft!K$40*($A20-Ft!K$2)^2)))</f>
        <v>0</v>
      </c>
      <c r="P20"/>
      <c r="Q20"/>
    </row>
    <row r="21" spans="1:17">
      <c r="A21" s="20">
        <v>39</v>
      </c>
      <c r="B21" s="29">
        <v>0.96277423291579112</v>
      </c>
      <c r="C21" s="7">
        <f t="shared" si="1"/>
        <v>0.95261717078098584</v>
      </c>
      <c r="D21" s="3">
        <f t="shared" si="0"/>
        <v>1.0316591121029504E-4</v>
      </c>
      <c r="E21" s="3">
        <f>Ft!$B$12+Ft!$B$14*(Data!A21-Vars!$B$3)</f>
        <v>-200</v>
      </c>
      <c r="F21" s="3">
        <f>IF(($A21-Ft!B$2)&lt;0,Ft!B$3*((1-Ft!B$6)/(1+Ft!B$37*($A21-Ft!B$2)^2)+Ft!B$6*EXP(Ft!B$38*($A21-Ft!B$2)^2)),Ft!B$3*((1-Ft!B$7)/(1+Ft!B$39*($A21-Ft!B$2)^2)+Ft!B$7*EXP(Ft!B$40*($A21-Ft!B$2)^2)))</f>
        <v>153.74003099412059</v>
      </c>
      <c r="G21" s="3">
        <f>IF(($A21-Ft!C$2)&lt;0,Ft!C$3*((1-Ft!C$6)/(1+Ft!C$37*($A21-Ft!C$2)^2)+Ft!C$6*EXP(Ft!C$38*($A21-Ft!C$2)^2)),Ft!C$3*((1-Ft!C$7)/(1+Ft!C$39*($A21-Ft!C$2)^2)+Ft!C$7*EXP(Ft!C$40*($A21-Ft!C$2)^2)))</f>
        <v>24.709407917769667</v>
      </c>
      <c r="H21" s="3">
        <f>IF(($A21-Ft!D$2)&lt;0,Ft!D$3*((1-Ft!D$6)/(1+Ft!D$37*($A21-Ft!D$2)^2)+Ft!D$6*EXP(Ft!D$38*($A21-Ft!D$2)^2)),Ft!D$3*((1-Ft!D$7)/(1+Ft!D$39*($A21-Ft!D$2)^2)+Ft!D$7*EXP(Ft!D$40*($A21-Ft!D$2)^2)))</f>
        <v>2.429381546077539E-47</v>
      </c>
      <c r="I21" s="3">
        <f>IF(($A21-Ft!E$2)&lt;0,Ft!E$3*((1-Ft!E$6)/(1+Ft!E$37*($A21-Ft!E$2)^2)+Ft!E$6*EXP(Ft!E$38*($A21-Ft!E$2)^2)),Ft!E$3*((1-Ft!E$7)/(1+Ft!E$39*($A21-Ft!E$2)^2)+Ft!E$7*EXP(Ft!E$40*($A21-Ft!E$2)^2)))</f>
        <v>3.8815020002400291</v>
      </c>
      <c r="J21" s="3">
        <f>IF(($A21-Ft!F$2)&lt;0,Ft!F$3*((1-Ft!F$6)/(1+Ft!F$37*($A21-Ft!F$2)^2)+Ft!F$6*EXP(Ft!F$38*($A21-Ft!F$2)^2)),Ft!F$3*((1-Ft!F$7)/(1+Ft!F$39*($A21-Ft!F$2)^2)+Ft!F$7*EXP(Ft!F$40*($A21-Ft!F$2)^2)))</f>
        <v>5.2515893798267541</v>
      </c>
      <c r="K21" s="3">
        <f>IF(($A21-Ft!G$2)&lt;0,Ft!G$3*((1-Ft!G$6)/(1+Ft!G$37*($A21-Ft!G$2)^2)+Ft!G$6*EXP(Ft!G$38*($A21-Ft!G$2)^2)),Ft!G$3*((1-Ft!G$7)/(1+Ft!G$39*($A21-Ft!G$2)^2)+Ft!G$7*EXP(Ft!G$40*($A21-Ft!G$2)^2)))</f>
        <v>13.370086878823948</v>
      </c>
      <c r="L21" s="3">
        <f>IF(($A21-Ft!H$2)&lt;0,Ft!H$3*((1-Ft!H$6)/(1+Ft!H$37*($A21-Ft!H$2)^2)+Ft!H$6*EXP(Ft!H$38*($A21-Ft!H$2)^2)),Ft!H$3*((1-Ft!H$7)/(1+Ft!H$39*($A21-Ft!H$2)^2)+Ft!H$7*EXP(Ft!H$40*($A21-Ft!H$2)^2)))</f>
        <v>0</v>
      </c>
      <c r="M21" s="3">
        <f>IF(($A21-Ft!I$2)&lt;0,Ft!I$3*((1-Ft!I$6)/(1+Ft!I$37*($A21-Ft!I$2)^2)+Ft!I$6*EXP(Ft!I$38*($A21-Ft!I$2)^2)),Ft!I$3*((1-Ft!I$7)/(1+Ft!I$39*($A21-Ft!I$2)^2)+Ft!I$7*EXP(Ft!I$40*($A21-Ft!I$2)^2)))</f>
        <v>0</v>
      </c>
      <c r="N21" s="3">
        <f>IF(($A21-Ft!J$2)&lt;0,Ft!J$3*((1-Ft!J$6)/(1+Ft!J$37*($A21-Ft!J$2)^2)+Ft!J$6*EXP(Ft!J$38*($A21-Ft!J$2)^2)),Ft!J$3*((1-Ft!J$7)/(1+Ft!J$39*($A21-Ft!J$2)^2)+Ft!J$7*EXP(Ft!J$40*($A21-Ft!J$2)^2)))</f>
        <v>0</v>
      </c>
      <c r="O21" s="3">
        <f>IF(($A21-Ft!K$2)&lt;0,Ft!K$3*((1-Ft!K$6)/(1+Ft!K$37*($A21-Ft!K$2)^2)+Ft!K$6*EXP(Ft!K$38*($A21-Ft!K$2)^2)),Ft!K$3*((1-Ft!K$7)/(1+Ft!K$39*($A21-Ft!K$2)^2)+Ft!K$7*EXP(Ft!K$40*($A21-Ft!K$2)^2)))</f>
        <v>0</v>
      </c>
      <c r="P21"/>
      <c r="Q21"/>
    </row>
    <row r="22" spans="1:17">
      <c r="A22" s="20">
        <v>41</v>
      </c>
      <c r="B22" s="29">
        <v>1.0237436718489334</v>
      </c>
      <c r="C22" s="7">
        <f t="shared" si="1"/>
        <v>1.0110100822776751</v>
      </c>
      <c r="D22" s="3">
        <f t="shared" si="0"/>
        <v>1.6214430336925975E-4</v>
      </c>
      <c r="E22" s="3">
        <f>Ft!$B$12+Ft!$B$14*(Data!A22-Vars!$B$3)</f>
        <v>-200</v>
      </c>
      <c r="F22" s="3">
        <f>IF(($A22-Ft!B$2)&lt;0,Ft!B$3*((1-Ft!B$6)/(1+Ft!B$37*($A22-Ft!B$2)^2)+Ft!B$6*EXP(Ft!B$38*($A22-Ft!B$2)^2)),Ft!B$3*((1-Ft!B$7)/(1+Ft!B$39*($A22-Ft!B$2)^2)+Ft!B$7*EXP(Ft!B$40*($A22-Ft!B$2)^2)))</f>
        <v>153.35642076804149</v>
      </c>
      <c r="G22" s="3">
        <f>IF(($A22-Ft!C$2)&lt;0,Ft!C$3*((1-Ft!C$6)/(1+Ft!C$37*($A22-Ft!C$2)^2)+Ft!C$6*EXP(Ft!C$38*($A22-Ft!C$2)^2)),Ft!C$3*((1-Ft!C$7)/(1+Ft!C$39*($A22-Ft!C$2)^2)+Ft!C$7*EXP(Ft!C$40*($A22-Ft!C$2)^2)))</f>
        <v>24.803703548309727</v>
      </c>
      <c r="H22" s="3">
        <f>IF(($A22-Ft!D$2)&lt;0,Ft!D$3*((1-Ft!D$6)/(1+Ft!D$37*($A22-Ft!D$2)^2)+Ft!D$6*EXP(Ft!D$38*($A22-Ft!D$2)^2)),Ft!D$3*((1-Ft!D$7)/(1+Ft!D$39*($A22-Ft!D$2)^2)+Ft!D$7*EXP(Ft!D$40*($A22-Ft!D$2)^2)))</f>
        <v>7.2151228854245317E-47</v>
      </c>
      <c r="I22" s="3">
        <f>IF(($A22-Ft!E$2)&lt;0,Ft!E$3*((1-Ft!E$6)/(1+Ft!E$37*($A22-Ft!E$2)^2)+Ft!E$6*EXP(Ft!E$38*($A22-Ft!E$2)^2)),Ft!E$3*((1-Ft!E$7)/(1+Ft!E$39*($A22-Ft!E$2)^2)+Ft!E$7*EXP(Ft!E$40*($A22-Ft!E$2)^2)))</f>
        <v>3.9587632348826181</v>
      </c>
      <c r="J22" s="3">
        <f>IF(($A22-Ft!F$2)&lt;0,Ft!F$3*((1-Ft!F$6)/(1+Ft!F$37*($A22-Ft!F$2)^2)+Ft!F$6*EXP(Ft!F$38*($A22-Ft!F$2)^2)),Ft!F$3*((1-Ft!F$7)/(1+Ft!F$39*($A22-Ft!F$2)^2)+Ft!F$7*EXP(Ft!F$40*($A22-Ft!F$2)^2)))</f>
        <v>5.3012063791333768</v>
      </c>
      <c r="K22" s="3">
        <f>IF(($A22-Ft!G$2)&lt;0,Ft!G$3*((1-Ft!G$6)/(1+Ft!G$37*($A22-Ft!G$2)^2)+Ft!G$6*EXP(Ft!G$38*($A22-Ft!G$2)^2)),Ft!G$3*((1-Ft!G$7)/(1+Ft!G$39*($A22-Ft!G$2)^2)+Ft!G$7*EXP(Ft!G$40*($A22-Ft!G$2)^2)))</f>
        <v>13.590916151910466</v>
      </c>
      <c r="L22" s="3">
        <f>IF(($A22-Ft!H$2)&lt;0,Ft!H$3*((1-Ft!H$6)/(1+Ft!H$37*($A22-Ft!H$2)^2)+Ft!H$6*EXP(Ft!H$38*($A22-Ft!H$2)^2)),Ft!H$3*((1-Ft!H$7)/(1+Ft!H$39*($A22-Ft!H$2)^2)+Ft!H$7*EXP(Ft!H$40*($A22-Ft!H$2)^2)))</f>
        <v>0</v>
      </c>
      <c r="M22" s="3">
        <f>IF(($A22-Ft!I$2)&lt;0,Ft!I$3*((1-Ft!I$6)/(1+Ft!I$37*($A22-Ft!I$2)^2)+Ft!I$6*EXP(Ft!I$38*($A22-Ft!I$2)^2)),Ft!I$3*((1-Ft!I$7)/(1+Ft!I$39*($A22-Ft!I$2)^2)+Ft!I$7*EXP(Ft!I$40*($A22-Ft!I$2)^2)))</f>
        <v>0</v>
      </c>
      <c r="N22" s="3">
        <f>IF(($A22-Ft!J$2)&lt;0,Ft!J$3*((1-Ft!J$6)/(1+Ft!J$37*($A22-Ft!J$2)^2)+Ft!J$6*EXP(Ft!J$38*($A22-Ft!J$2)^2)),Ft!J$3*((1-Ft!J$7)/(1+Ft!J$39*($A22-Ft!J$2)^2)+Ft!J$7*EXP(Ft!J$40*($A22-Ft!J$2)^2)))</f>
        <v>0</v>
      </c>
      <c r="O22" s="3">
        <f>IF(($A22-Ft!K$2)&lt;0,Ft!K$3*((1-Ft!K$6)/(1+Ft!K$37*($A22-Ft!K$2)^2)+Ft!K$6*EXP(Ft!K$38*($A22-Ft!K$2)^2)),Ft!K$3*((1-Ft!K$7)/(1+Ft!K$39*($A22-Ft!K$2)^2)+Ft!K$7*EXP(Ft!K$40*($A22-Ft!K$2)^2)))</f>
        <v>0</v>
      </c>
      <c r="P22"/>
      <c r="Q22"/>
    </row>
    <row r="23" spans="1:17">
      <c r="A23" s="20">
        <v>43</v>
      </c>
      <c r="B23" s="29">
        <v>1.086729273096779</v>
      </c>
      <c r="C23" s="7">
        <f t="shared" si="1"/>
        <v>1.0714957926074291</v>
      </c>
      <c r="D23" s="3">
        <f t="shared" si="0"/>
        <v>2.3205892781940455E-4</v>
      </c>
      <c r="E23" s="3">
        <f>Ft!$B$12+Ft!$B$14*(Data!A23-Vars!$B$3)</f>
        <v>-200</v>
      </c>
      <c r="F23" s="3">
        <f>IF(($A23-Ft!B$2)&lt;0,Ft!B$3*((1-Ft!B$6)/(1+Ft!B$37*($A23-Ft!B$2)^2)+Ft!B$6*EXP(Ft!B$38*($A23-Ft!B$2)^2)),Ft!B$3*((1-Ft!B$7)/(1+Ft!B$39*($A23-Ft!B$2)^2)+Ft!B$7*EXP(Ft!B$40*($A23-Ft!B$2)^2)))</f>
        <v>152.97084797809805</v>
      </c>
      <c r="G23" s="3">
        <f>IF(($A23-Ft!C$2)&lt;0,Ft!C$3*((1-Ft!C$6)/(1+Ft!C$37*($A23-Ft!C$2)^2)+Ft!C$6*EXP(Ft!C$38*($A23-Ft!C$2)^2)),Ft!C$3*((1-Ft!C$7)/(1+Ft!C$39*($A23-Ft!C$2)^2)+Ft!C$7*EXP(Ft!C$40*($A23-Ft!C$2)^2)))</f>
        <v>24.898139032975994</v>
      </c>
      <c r="H23" s="3">
        <f>IF(($A23-Ft!D$2)&lt;0,Ft!D$3*((1-Ft!D$6)/(1+Ft!D$37*($A23-Ft!D$2)^2)+Ft!D$6*EXP(Ft!D$38*($A23-Ft!D$2)^2)),Ft!D$3*((1-Ft!D$7)/(1+Ft!D$39*($A23-Ft!D$2)^2)+Ft!D$7*EXP(Ft!D$40*($A23-Ft!D$2)^2)))</f>
        <v>2.1310607160016279E-46</v>
      </c>
      <c r="I23" s="3">
        <f>IF(($A23-Ft!E$2)&lt;0,Ft!E$3*((1-Ft!E$6)/(1+Ft!E$37*($A23-Ft!E$2)^2)+Ft!E$6*EXP(Ft!E$38*($A23-Ft!E$2)^2)),Ft!E$3*((1-Ft!E$7)/(1+Ft!E$39*($A23-Ft!E$2)^2)+Ft!E$7*EXP(Ft!E$40*($A23-Ft!E$2)^2)))</f>
        <v>4.0373282564220823</v>
      </c>
      <c r="J23" s="3">
        <f>IF(($A23-Ft!F$2)&lt;0,Ft!F$3*((1-Ft!F$6)/(1+Ft!F$37*($A23-Ft!F$2)^2)+Ft!F$6*EXP(Ft!F$38*($A23-Ft!F$2)^2)),Ft!F$3*((1-Ft!F$7)/(1+Ft!F$39*($A23-Ft!F$2)^2)+Ft!F$7*EXP(Ft!F$40*($A23-Ft!F$2)^2)))</f>
        <v>5.3512216813378313</v>
      </c>
      <c r="K23" s="3">
        <f>IF(($A23-Ft!G$2)&lt;0,Ft!G$3*((1-Ft!G$6)/(1+Ft!G$37*($A23-Ft!G$2)^2)+Ft!G$6*EXP(Ft!G$38*($A23-Ft!G$2)^2)),Ft!G$3*((1-Ft!G$7)/(1+Ft!G$39*($A23-Ft!G$2)^2)+Ft!G$7*EXP(Ft!G$40*($A23-Ft!G$2)^2)))</f>
        <v>13.813958843773472</v>
      </c>
      <c r="L23" s="3">
        <f>IF(($A23-Ft!H$2)&lt;0,Ft!H$3*((1-Ft!H$6)/(1+Ft!H$37*($A23-Ft!H$2)^2)+Ft!H$6*EXP(Ft!H$38*($A23-Ft!H$2)^2)),Ft!H$3*((1-Ft!H$7)/(1+Ft!H$39*($A23-Ft!H$2)^2)+Ft!H$7*EXP(Ft!H$40*($A23-Ft!H$2)^2)))</f>
        <v>0</v>
      </c>
      <c r="M23" s="3">
        <f>IF(($A23-Ft!I$2)&lt;0,Ft!I$3*((1-Ft!I$6)/(1+Ft!I$37*($A23-Ft!I$2)^2)+Ft!I$6*EXP(Ft!I$38*($A23-Ft!I$2)^2)),Ft!I$3*((1-Ft!I$7)/(1+Ft!I$39*($A23-Ft!I$2)^2)+Ft!I$7*EXP(Ft!I$40*($A23-Ft!I$2)^2)))</f>
        <v>0</v>
      </c>
      <c r="N23" s="3">
        <f>IF(($A23-Ft!J$2)&lt;0,Ft!J$3*((1-Ft!J$6)/(1+Ft!J$37*($A23-Ft!J$2)^2)+Ft!J$6*EXP(Ft!J$38*($A23-Ft!J$2)^2)),Ft!J$3*((1-Ft!J$7)/(1+Ft!J$39*($A23-Ft!J$2)^2)+Ft!J$7*EXP(Ft!J$40*($A23-Ft!J$2)^2)))</f>
        <v>0</v>
      </c>
      <c r="O23" s="3">
        <f>IF(($A23-Ft!K$2)&lt;0,Ft!K$3*((1-Ft!K$6)/(1+Ft!K$37*($A23-Ft!K$2)^2)+Ft!K$6*EXP(Ft!K$38*($A23-Ft!K$2)^2)),Ft!K$3*((1-Ft!K$7)/(1+Ft!K$39*($A23-Ft!K$2)^2)+Ft!K$7*EXP(Ft!K$40*($A23-Ft!K$2)^2)))</f>
        <v>0</v>
      </c>
      <c r="P23"/>
      <c r="Q23"/>
    </row>
    <row r="24" spans="1:17">
      <c r="A24" s="20">
        <v>45</v>
      </c>
      <c r="B24" s="29">
        <v>1.1517416550935735</v>
      </c>
      <c r="C24" s="7">
        <f t="shared" si="1"/>
        <v>1.1341015489969202</v>
      </c>
      <c r="D24" s="3">
        <f t="shared" si="0"/>
        <v>3.1117334310118633E-4</v>
      </c>
      <c r="E24" s="3">
        <f>Ft!$B$12+Ft!$B$14*(Data!A24-Vars!$B$3)</f>
        <v>-200</v>
      </c>
      <c r="F24" s="3">
        <f>IF(($A24-Ft!B$2)&lt;0,Ft!B$3*((1-Ft!B$6)/(1+Ft!B$37*($A24-Ft!B$2)^2)+Ft!B$6*EXP(Ft!B$38*($A24-Ft!B$2)^2)),Ft!B$3*((1-Ft!B$7)/(1+Ft!B$39*($A24-Ft!B$2)^2)+Ft!B$7*EXP(Ft!B$40*($A24-Ft!B$2)^2)))</f>
        <v>152.58333225863595</v>
      </c>
      <c r="G24" s="3">
        <f>IF(($A24-Ft!C$2)&lt;0,Ft!C$3*((1-Ft!C$6)/(1+Ft!C$37*($A24-Ft!C$2)^2)+Ft!C$6*EXP(Ft!C$38*($A24-Ft!C$2)^2)),Ft!C$3*((1-Ft!C$7)/(1+Ft!C$39*($A24-Ft!C$2)^2)+Ft!C$7*EXP(Ft!C$40*($A24-Ft!C$2)^2)))</f>
        <v>24.992713232246448</v>
      </c>
      <c r="H24" s="3">
        <f>IF(($A24-Ft!D$2)&lt;0,Ft!D$3*((1-Ft!D$6)/(1+Ft!D$37*($A24-Ft!D$2)^2)+Ft!D$6*EXP(Ft!D$38*($A24-Ft!D$2)^2)),Ft!D$3*((1-Ft!D$7)/(1+Ft!D$39*($A24-Ft!D$2)^2)+Ft!D$7*EXP(Ft!D$40*($A24-Ft!D$2)^2)))</f>
        <v>6.2596781159059082E-46</v>
      </c>
      <c r="I24" s="3">
        <f>IF(($A24-Ft!E$2)&lt;0,Ft!E$3*((1-Ft!E$6)/(1+Ft!E$37*($A24-Ft!E$2)^2)+Ft!E$6*EXP(Ft!E$38*($A24-Ft!E$2)^2)),Ft!E$3*((1-Ft!E$7)/(1+Ft!E$39*($A24-Ft!E$2)^2)+Ft!E$7*EXP(Ft!E$40*($A24-Ft!E$2)^2)))</f>
        <v>4.1172137388605261</v>
      </c>
      <c r="J24" s="3">
        <f>IF(($A24-Ft!F$2)&lt;0,Ft!F$3*((1-Ft!F$6)/(1+Ft!F$37*($A24-Ft!F$2)^2)+Ft!F$6*EXP(Ft!F$38*($A24-Ft!F$2)^2)),Ft!F$3*((1-Ft!F$7)/(1+Ft!F$39*($A24-Ft!F$2)^2)+Ft!F$7*EXP(Ft!F$40*($A24-Ft!F$2)^2)))</f>
        <v>5.4016377206571304</v>
      </c>
      <c r="K24" s="3">
        <f>IF(($A24-Ft!G$2)&lt;0,Ft!G$3*((1-Ft!G$6)/(1+Ft!G$37*($A24-Ft!G$2)^2)+Ft!G$6*EXP(Ft!G$38*($A24-Ft!G$2)^2)),Ft!G$3*((1-Ft!G$7)/(1+Ft!G$39*($A24-Ft!G$2)^2)+Ft!G$7*EXP(Ft!G$40*($A24-Ft!G$2)^2)))</f>
        <v>14.039204598596868</v>
      </c>
      <c r="L24" s="3">
        <f>IF(($A24-Ft!H$2)&lt;0,Ft!H$3*((1-Ft!H$6)/(1+Ft!H$37*($A24-Ft!H$2)^2)+Ft!H$6*EXP(Ft!H$38*($A24-Ft!H$2)^2)),Ft!H$3*((1-Ft!H$7)/(1+Ft!H$39*($A24-Ft!H$2)^2)+Ft!H$7*EXP(Ft!H$40*($A24-Ft!H$2)^2)))</f>
        <v>0</v>
      </c>
      <c r="M24" s="3">
        <f>IF(($A24-Ft!I$2)&lt;0,Ft!I$3*((1-Ft!I$6)/(1+Ft!I$37*($A24-Ft!I$2)^2)+Ft!I$6*EXP(Ft!I$38*($A24-Ft!I$2)^2)),Ft!I$3*((1-Ft!I$7)/(1+Ft!I$39*($A24-Ft!I$2)^2)+Ft!I$7*EXP(Ft!I$40*($A24-Ft!I$2)^2)))</f>
        <v>0</v>
      </c>
      <c r="N24" s="3">
        <f>IF(($A24-Ft!J$2)&lt;0,Ft!J$3*((1-Ft!J$6)/(1+Ft!J$37*($A24-Ft!J$2)^2)+Ft!J$6*EXP(Ft!J$38*($A24-Ft!J$2)^2)),Ft!J$3*((1-Ft!J$7)/(1+Ft!J$39*($A24-Ft!J$2)^2)+Ft!J$7*EXP(Ft!J$40*($A24-Ft!J$2)^2)))</f>
        <v>0</v>
      </c>
      <c r="O24" s="3">
        <f>IF(($A24-Ft!K$2)&lt;0,Ft!K$3*((1-Ft!K$6)/(1+Ft!K$37*($A24-Ft!K$2)^2)+Ft!K$6*EXP(Ft!K$38*($A24-Ft!K$2)^2)),Ft!K$3*((1-Ft!K$7)/(1+Ft!K$39*($A24-Ft!K$2)^2)+Ft!K$7*EXP(Ft!K$40*($A24-Ft!K$2)^2)))</f>
        <v>0</v>
      </c>
      <c r="P24"/>
      <c r="Q24"/>
    </row>
    <row r="25" spans="1:17">
      <c r="A25" s="20">
        <v>47</v>
      </c>
      <c r="B25" s="29">
        <v>1.2187910918332392</v>
      </c>
      <c r="C25" s="7">
        <f t="shared" si="1"/>
        <v>1.1988538967421007</v>
      </c>
      <c r="D25" s="3">
        <f t="shared" si="0"/>
        <v>3.9749174810211507E-4</v>
      </c>
      <c r="E25" s="3">
        <f>Ft!$B$12+Ft!$B$14*(Data!A25-Vars!$B$3)</f>
        <v>-200</v>
      </c>
      <c r="F25" s="3">
        <f>IF(($A25-Ft!B$2)&lt;0,Ft!B$3*((1-Ft!B$6)/(1+Ft!B$37*($A25-Ft!B$2)^2)+Ft!B$6*EXP(Ft!B$38*($A25-Ft!B$2)^2)),Ft!B$3*((1-Ft!B$7)/(1+Ft!B$39*($A25-Ft!B$2)^2)+Ft!B$7*EXP(Ft!B$40*($A25-Ft!B$2)^2)))</f>
        <v>152.19389330555981</v>
      </c>
      <c r="G25" s="3">
        <f>IF(($A25-Ft!C$2)&lt;0,Ft!C$3*((1-Ft!C$6)/(1+Ft!C$37*($A25-Ft!C$2)^2)+Ft!C$6*EXP(Ft!C$38*($A25-Ft!C$2)^2)),Ft!C$3*((1-Ft!C$7)/(1+Ft!C$39*($A25-Ft!C$2)^2)+Ft!C$7*EXP(Ft!C$40*($A25-Ft!C$2)^2)))</f>
        <v>25.087424998581707</v>
      </c>
      <c r="H25" s="3">
        <f>IF(($A25-Ft!D$2)&lt;0,Ft!D$3*((1-Ft!D$6)/(1+Ft!D$37*($A25-Ft!D$2)^2)+Ft!D$6*EXP(Ft!D$38*($A25-Ft!D$2)^2)),Ft!D$3*((1-Ft!D$7)/(1+Ft!D$39*($A25-Ft!D$2)^2)+Ft!D$7*EXP(Ft!D$40*($A25-Ft!D$2)^2)))</f>
        <v>1.8285728484184126E-45</v>
      </c>
      <c r="I25" s="3">
        <f>IF(($A25-Ft!E$2)&lt;0,Ft!E$3*((1-Ft!E$6)/(1+Ft!E$37*($A25-Ft!E$2)^2)+Ft!E$6*EXP(Ft!E$38*($A25-Ft!E$2)^2)),Ft!E$3*((1-Ft!E$7)/(1+Ft!E$39*($A25-Ft!E$2)^2)+Ft!E$7*EXP(Ft!E$40*($A25-Ft!E$2)^2)))</f>
        <v>4.1984364546650399</v>
      </c>
      <c r="J25" s="3">
        <f>IF(($A25-Ft!F$2)&lt;0,Ft!F$3*((1-Ft!F$6)/(1+Ft!F$37*($A25-Ft!F$2)^2)+Ft!F$6*EXP(Ft!F$38*($A25-Ft!F$2)^2)),Ft!F$3*((1-Ft!F$7)/(1+Ft!F$39*($A25-Ft!F$2)^2)+Ft!F$7*EXP(Ft!F$40*($A25-Ft!F$2)^2)))</f>
        <v>5.4524569383500996</v>
      </c>
      <c r="K25" s="3">
        <f>IF(($A25-Ft!G$2)&lt;0,Ft!G$3*((1-Ft!G$6)/(1+Ft!G$37*($A25-Ft!G$2)^2)+Ft!G$6*EXP(Ft!G$38*($A25-Ft!G$2)^2)),Ft!G$3*((1-Ft!G$7)/(1+Ft!G$39*($A25-Ft!G$2)^2)+Ft!G$7*EXP(Ft!G$40*($A25-Ft!G$2)^2)))</f>
        <v>14.266642199585444</v>
      </c>
      <c r="L25" s="3">
        <f>IF(($A25-Ft!H$2)&lt;0,Ft!H$3*((1-Ft!H$6)/(1+Ft!H$37*($A25-Ft!H$2)^2)+Ft!H$6*EXP(Ft!H$38*($A25-Ft!H$2)^2)),Ft!H$3*((1-Ft!H$7)/(1+Ft!H$39*($A25-Ft!H$2)^2)+Ft!H$7*EXP(Ft!H$40*($A25-Ft!H$2)^2)))</f>
        <v>0</v>
      </c>
      <c r="M25" s="3">
        <f>IF(($A25-Ft!I$2)&lt;0,Ft!I$3*((1-Ft!I$6)/(1+Ft!I$37*($A25-Ft!I$2)^2)+Ft!I$6*EXP(Ft!I$38*($A25-Ft!I$2)^2)),Ft!I$3*((1-Ft!I$7)/(1+Ft!I$39*($A25-Ft!I$2)^2)+Ft!I$7*EXP(Ft!I$40*($A25-Ft!I$2)^2)))</f>
        <v>0</v>
      </c>
      <c r="N25" s="3">
        <f>IF(($A25-Ft!J$2)&lt;0,Ft!J$3*((1-Ft!J$6)/(1+Ft!J$37*($A25-Ft!J$2)^2)+Ft!J$6*EXP(Ft!J$38*($A25-Ft!J$2)^2)),Ft!J$3*((1-Ft!J$7)/(1+Ft!J$39*($A25-Ft!J$2)^2)+Ft!J$7*EXP(Ft!J$40*($A25-Ft!J$2)^2)))</f>
        <v>0</v>
      </c>
      <c r="O25" s="3">
        <f>IF(($A25-Ft!K$2)&lt;0,Ft!K$3*((1-Ft!K$6)/(1+Ft!K$37*($A25-Ft!K$2)^2)+Ft!K$6*EXP(Ft!K$38*($A25-Ft!K$2)^2)),Ft!K$3*((1-Ft!K$7)/(1+Ft!K$39*($A25-Ft!K$2)^2)+Ft!K$7*EXP(Ft!K$40*($A25-Ft!K$2)^2)))</f>
        <v>0</v>
      </c>
      <c r="P25"/>
      <c r="Q25"/>
    </row>
    <row r="26" spans="1:17">
      <c r="A26" s="20">
        <v>49</v>
      </c>
      <c r="B26" s="29">
        <v>1.2878875096828182</v>
      </c>
      <c r="C26" s="7">
        <f t="shared" si="1"/>
        <v>1.2657786661742936</v>
      </c>
      <c r="D26" s="3">
        <f t="shared" si="0"/>
        <v>4.8880096128443038E-4</v>
      </c>
      <c r="E26" s="3">
        <f>Ft!$B$12+Ft!$B$14*(Data!A26-Vars!$B$3)</f>
        <v>-200</v>
      </c>
      <c r="F26" s="3">
        <f>IF(($A26-Ft!B$2)&lt;0,Ft!B$3*((1-Ft!B$6)/(1+Ft!B$37*($A26-Ft!B$2)^2)+Ft!B$6*EXP(Ft!B$38*($A26-Ft!B$2)^2)),Ft!B$3*((1-Ft!B$7)/(1+Ft!B$39*($A26-Ft!B$2)^2)+Ft!B$7*EXP(Ft!B$40*($A26-Ft!B$2)^2)))</f>
        <v>151.80255087467563</v>
      </c>
      <c r="G26" s="3">
        <f>IF(($A26-Ft!C$2)&lt;0,Ft!C$3*((1-Ft!C$6)/(1+Ft!C$37*($A26-Ft!C$2)^2)+Ft!C$6*EXP(Ft!C$38*($A26-Ft!C$2)^2)),Ft!C$3*((1-Ft!C$7)/(1+Ft!C$39*($A26-Ft!C$2)^2)+Ft!C$7*EXP(Ft!C$40*($A26-Ft!C$2)^2)))</f>
        <v>25.182273176435189</v>
      </c>
      <c r="H26" s="3">
        <f>IF(($A26-Ft!D$2)&lt;0,Ft!D$3*((1-Ft!D$6)/(1+Ft!D$37*($A26-Ft!D$2)^2)+Ft!D$6*EXP(Ft!D$38*($A26-Ft!D$2)^2)),Ft!D$3*((1-Ft!D$7)/(1+Ft!D$39*($A26-Ft!D$2)^2)+Ft!D$7*EXP(Ft!D$40*($A26-Ft!D$2)^2)))</f>
        <v>5.3122269310573264E-45</v>
      </c>
      <c r="I26" s="3">
        <f>IF(($A26-Ft!E$2)&lt;0,Ft!E$3*((1-Ft!E$6)/(1+Ft!E$37*($A26-Ft!E$2)^2)+Ft!E$6*EXP(Ft!E$38*($A26-Ft!E$2)^2)),Ft!E$3*((1-Ft!E$7)/(1+Ft!E$39*($A26-Ft!E$2)^2)+Ft!E$7*EXP(Ft!E$40*($A26-Ft!E$2)^2)))</f>
        <v>4.2810132727877814</v>
      </c>
      <c r="J26" s="3">
        <f>IF(($A26-Ft!F$2)&lt;0,Ft!F$3*((1-Ft!F$6)/(1+Ft!F$37*($A26-Ft!F$2)^2)+Ft!F$6*EXP(Ft!F$38*($A26-Ft!F$2)^2)),Ft!F$3*((1-Ft!F$7)/(1+Ft!F$39*($A26-Ft!F$2)^2)+Ft!F$7*EXP(Ft!F$40*($A26-Ft!F$2)^2)))</f>
        <v>5.5036817826545175</v>
      </c>
      <c r="K26" s="3">
        <f>IF(($A26-Ft!G$2)&lt;0,Ft!G$3*((1-Ft!G$6)/(1+Ft!G$37*($A26-Ft!G$2)^2)+Ft!G$6*EXP(Ft!G$38*($A26-Ft!G$2)^2)),Ft!G$3*((1-Ft!G$7)/(1+Ft!G$39*($A26-Ft!G$2)^2)+Ft!G$7*EXP(Ft!G$40*($A26-Ft!G$2)^2)))</f>
        <v>14.496259559621175</v>
      </c>
      <c r="L26" s="3">
        <f>IF(($A26-Ft!H$2)&lt;0,Ft!H$3*((1-Ft!H$6)/(1+Ft!H$37*($A26-Ft!H$2)^2)+Ft!H$6*EXP(Ft!H$38*($A26-Ft!H$2)^2)),Ft!H$3*((1-Ft!H$7)/(1+Ft!H$39*($A26-Ft!H$2)^2)+Ft!H$7*EXP(Ft!H$40*($A26-Ft!H$2)^2)))</f>
        <v>0</v>
      </c>
      <c r="M26" s="3">
        <f>IF(($A26-Ft!I$2)&lt;0,Ft!I$3*((1-Ft!I$6)/(1+Ft!I$37*($A26-Ft!I$2)^2)+Ft!I$6*EXP(Ft!I$38*($A26-Ft!I$2)^2)),Ft!I$3*((1-Ft!I$7)/(1+Ft!I$39*($A26-Ft!I$2)^2)+Ft!I$7*EXP(Ft!I$40*($A26-Ft!I$2)^2)))</f>
        <v>0</v>
      </c>
      <c r="N26" s="3">
        <f>IF(($A26-Ft!J$2)&lt;0,Ft!J$3*((1-Ft!J$6)/(1+Ft!J$37*($A26-Ft!J$2)^2)+Ft!J$6*EXP(Ft!J$38*($A26-Ft!J$2)^2)),Ft!J$3*((1-Ft!J$7)/(1+Ft!J$39*($A26-Ft!J$2)^2)+Ft!J$7*EXP(Ft!J$40*($A26-Ft!J$2)^2)))</f>
        <v>0</v>
      </c>
      <c r="O26" s="3">
        <f>IF(($A26-Ft!K$2)&lt;0,Ft!K$3*((1-Ft!K$6)/(1+Ft!K$37*($A26-Ft!K$2)^2)+Ft!K$6*EXP(Ft!K$38*($A26-Ft!K$2)^2)),Ft!K$3*((1-Ft!K$7)/(1+Ft!K$39*($A26-Ft!K$2)^2)+Ft!K$7*EXP(Ft!K$40*($A26-Ft!K$2)^2)))</f>
        <v>0</v>
      </c>
      <c r="P26"/>
      <c r="Q26"/>
    </row>
    <row r="27" spans="1:17">
      <c r="A27" s="20">
        <v>51</v>
      </c>
      <c r="B27" s="29">
        <v>1.3590404842713184</v>
      </c>
      <c r="C27" s="7">
        <f t="shared" si="1"/>
        <v>1.334900959860045</v>
      </c>
      <c r="D27" s="3">
        <f t="shared" si="0"/>
        <v>5.8271663880246573E-4</v>
      </c>
      <c r="E27" s="3">
        <f>Ft!$B$12+Ft!$B$14*(Data!A27-Vars!$B$3)</f>
        <v>-200</v>
      </c>
      <c r="F27" s="3">
        <f>IF(($A27-Ft!B$2)&lt;0,Ft!B$3*((1-Ft!B$6)/(1+Ft!B$37*($A27-Ft!B$2)^2)+Ft!B$6*EXP(Ft!B$38*($A27-Ft!B$2)^2)),Ft!B$3*((1-Ft!B$7)/(1+Ft!B$39*($A27-Ft!B$2)^2)+Ft!B$7*EXP(Ft!B$40*($A27-Ft!B$2)^2)))</f>
        <v>151.40932478003148</v>
      </c>
      <c r="G27" s="3">
        <f>IF(($A27-Ft!C$2)&lt;0,Ft!C$3*((1-Ft!C$6)/(1+Ft!C$37*($A27-Ft!C$2)^2)+Ft!C$6*EXP(Ft!C$38*($A27-Ft!C$2)^2)),Ft!C$3*((1-Ft!C$7)/(1+Ft!C$39*($A27-Ft!C$2)^2)+Ft!C$7*EXP(Ft!C$40*($A27-Ft!C$2)^2)))</f>
        <v>25.277256602263687</v>
      </c>
      <c r="H27" s="3">
        <f>IF(($A27-Ft!D$2)&lt;0,Ft!D$3*((1-Ft!D$6)/(1+Ft!D$37*($A27-Ft!D$2)^2)+Ft!D$6*EXP(Ft!D$38*($A27-Ft!D$2)^2)),Ft!D$3*((1-Ft!D$7)/(1+Ft!D$39*($A27-Ft!D$2)^2)+Ft!D$7*EXP(Ft!D$40*($A27-Ft!D$2)^2)))</f>
        <v>1.5347762097571584E-44</v>
      </c>
      <c r="I27" s="3">
        <f>IF(($A27-Ft!E$2)&lt;0,Ft!E$3*((1-Ft!E$6)/(1+Ft!E$37*($A27-Ft!E$2)^2)+Ft!E$6*EXP(Ft!E$38*($A27-Ft!E$2)^2)),Ft!E$3*((1-Ft!E$7)/(1+Ft!E$39*($A27-Ft!E$2)^2)+Ft!E$7*EXP(Ft!E$40*($A27-Ft!E$2)^2)))</f>
        <v>4.3649611566187314</v>
      </c>
      <c r="J27" s="3">
        <f>IF(($A27-Ft!F$2)&lt;0,Ft!F$3*((1-Ft!F$6)/(1+Ft!F$37*($A27-Ft!F$2)^2)+Ft!F$6*EXP(Ft!F$38*($A27-Ft!F$2)^2)),Ft!F$3*((1-Ft!F$7)/(1+Ft!F$39*($A27-Ft!F$2)^2)+Ft!F$7*EXP(Ft!F$40*($A27-Ft!F$2)^2)))</f>
        <v>5.5553147087231798</v>
      </c>
      <c r="K27" s="3">
        <f>IF(($A27-Ft!G$2)&lt;0,Ft!G$3*((1-Ft!G$6)/(1+Ft!G$37*($A27-Ft!G$2)^2)+Ft!G$6*EXP(Ft!G$38*($A27-Ft!G$2)^2)),Ft!G$3*((1-Ft!G$7)/(1+Ft!G$39*($A27-Ft!G$2)^2)+Ft!G$7*EXP(Ft!G$40*($A27-Ft!G$2)^2)))</f>
        <v>14.728043712222965</v>
      </c>
      <c r="L27" s="3">
        <f>IF(($A27-Ft!H$2)&lt;0,Ft!H$3*((1-Ft!H$6)/(1+Ft!H$37*($A27-Ft!H$2)^2)+Ft!H$6*EXP(Ft!H$38*($A27-Ft!H$2)^2)),Ft!H$3*((1-Ft!H$7)/(1+Ft!H$39*($A27-Ft!H$2)^2)+Ft!H$7*EXP(Ft!H$40*($A27-Ft!H$2)^2)))</f>
        <v>0</v>
      </c>
      <c r="M27" s="3">
        <f>IF(($A27-Ft!I$2)&lt;0,Ft!I$3*((1-Ft!I$6)/(1+Ft!I$37*($A27-Ft!I$2)^2)+Ft!I$6*EXP(Ft!I$38*($A27-Ft!I$2)^2)),Ft!I$3*((1-Ft!I$7)/(1+Ft!I$39*($A27-Ft!I$2)^2)+Ft!I$7*EXP(Ft!I$40*($A27-Ft!I$2)^2)))</f>
        <v>0</v>
      </c>
      <c r="N27" s="3">
        <f>IF(($A27-Ft!J$2)&lt;0,Ft!J$3*((1-Ft!J$6)/(1+Ft!J$37*($A27-Ft!J$2)^2)+Ft!J$6*EXP(Ft!J$38*($A27-Ft!J$2)^2)),Ft!J$3*((1-Ft!J$7)/(1+Ft!J$39*($A27-Ft!J$2)^2)+Ft!J$7*EXP(Ft!J$40*($A27-Ft!J$2)^2)))</f>
        <v>0</v>
      </c>
      <c r="O27" s="3">
        <f>IF(($A27-Ft!K$2)&lt;0,Ft!K$3*((1-Ft!K$6)/(1+Ft!K$37*($A27-Ft!K$2)^2)+Ft!K$6*EXP(Ft!K$38*($A27-Ft!K$2)^2)),Ft!K$3*((1-Ft!K$7)/(1+Ft!K$39*($A27-Ft!K$2)^2)+Ft!K$7*EXP(Ft!K$40*($A27-Ft!K$2)^2)))</f>
        <v>0</v>
      </c>
      <c r="P27"/>
      <c r="Q27"/>
    </row>
    <row r="28" spans="1:17">
      <c r="A28" s="20">
        <v>53</v>
      </c>
      <c r="B28" s="29">
        <v>1.4322592374550425</v>
      </c>
      <c r="C28" s="7">
        <f t="shared" si="1"/>
        <v>1.4062451400451916</v>
      </c>
      <c r="D28" s="3">
        <f t="shared" si="0"/>
        <v>6.7673326404920785E-4</v>
      </c>
      <c r="E28" s="3">
        <f>Ft!$B$12+Ft!$B$14*(Data!A28-Vars!$B$3)</f>
        <v>-200</v>
      </c>
      <c r="F28" s="3">
        <f>IF(($A28-Ft!B$2)&lt;0,Ft!B$3*((1-Ft!B$6)/(1+Ft!B$37*($A28-Ft!B$2)^2)+Ft!B$6*EXP(Ft!B$38*($A28-Ft!B$2)^2)),Ft!B$3*((1-Ft!B$7)/(1+Ft!B$39*($A28-Ft!B$2)^2)+Ft!B$7*EXP(Ft!B$40*($A28-Ft!B$2)^2)))</f>
        <v>151.01423489225695</v>
      </c>
      <c r="G28" s="3">
        <f>IF(($A28-Ft!C$2)&lt;0,Ft!C$3*((1-Ft!C$6)/(1+Ft!C$37*($A28-Ft!C$2)^2)+Ft!C$6*EXP(Ft!C$38*($A28-Ft!C$2)^2)),Ft!C$3*((1-Ft!C$7)/(1+Ft!C$39*($A28-Ft!C$2)^2)+Ft!C$7*EXP(Ft!C$40*($A28-Ft!C$2)^2)))</f>
        <v>25.372374104538352</v>
      </c>
      <c r="H28" s="3">
        <f>IF(($A28-Ft!D$2)&lt;0,Ft!D$3*((1-Ft!D$6)/(1+Ft!D$37*($A28-Ft!D$2)^2)+Ft!D$6*EXP(Ft!D$38*($A28-Ft!D$2)^2)),Ft!D$3*((1-Ft!D$7)/(1+Ft!D$39*($A28-Ft!D$2)^2)+Ft!D$7*EXP(Ft!D$40*($A28-Ft!D$2)^2)))</f>
        <v>4.4097867194418297E-44</v>
      </c>
      <c r="I28" s="3">
        <f>IF(($A28-Ft!E$2)&lt;0,Ft!E$3*((1-Ft!E$6)/(1+Ft!E$37*($A28-Ft!E$2)^2)+Ft!E$6*EXP(Ft!E$38*($A28-Ft!E$2)^2)),Ft!E$3*((1-Ft!E$7)/(1+Ft!E$39*($A28-Ft!E$2)^2)+Ft!E$7*EXP(Ft!E$40*($A28-Ft!E$2)^2)))</f>
        <v>4.4502971618704921</v>
      </c>
      <c r="J28" s="3">
        <f>IF(($A28-Ft!F$2)&lt;0,Ft!F$3*((1-Ft!F$6)/(1+Ft!F$37*($A28-Ft!F$2)^2)+Ft!F$6*EXP(Ft!F$38*($A28-Ft!F$2)^2)),Ft!F$3*((1-Ft!F$7)/(1+Ft!F$39*($A28-Ft!F$2)^2)+Ft!F$7*EXP(Ft!F$40*($A28-Ft!F$2)^2)))</f>
        <v>5.6073581785589175</v>
      </c>
      <c r="K28" s="3">
        <f>IF(($A28-Ft!G$2)&lt;0,Ft!G$3*((1-Ft!G$6)/(1+Ft!G$37*($A28-Ft!G$2)^2)+Ft!G$6*EXP(Ft!G$38*($A28-Ft!G$2)^2)),Ft!G$3*((1-Ft!G$7)/(1+Ft!G$39*($A28-Ft!G$2)^2)+Ft!G$7*EXP(Ft!G$40*($A28-Ft!G$2)^2)))</f>
        <v>14.961980802820479</v>
      </c>
      <c r="L28" s="3">
        <f>IF(($A28-Ft!H$2)&lt;0,Ft!H$3*((1-Ft!H$6)/(1+Ft!H$37*($A28-Ft!H$2)^2)+Ft!H$6*EXP(Ft!H$38*($A28-Ft!H$2)^2)),Ft!H$3*((1-Ft!H$7)/(1+Ft!H$39*($A28-Ft!H$2)^2)+Ft!H$7*EXP(Ft!H$40*($A28-Ft!H$2)^2)))</f>
        <v>0</v>
      </c>
      <c r="M28" s="3">
        <f>IF(($A28-Ft!I$2)&lt;0,Ft!I$3*((1-Ft!I$6)/(1+Ft!I$37*($A28-Ft!I$2)^2)+Ft!I$6*EXP(Ft!I$38*($A28-Ft!I$2)^2)),Ft!I$3*((1-Ft!I$7)/(1+Ft!I$39*($A28-Ft!I$2)^2)+Ft!I$7*EXP(Ft!I$40*($A28-Ft!I$2)^2)))</f>
        <v>0</v>
      </c>
      <c r="N28" s="3">
        <f>IF(($A28-Ft!J$2)&lt;0,Ft!J$3*((1-Ft!J$6)/(1+Ft!J$37*($A28-Ft!J$2)^2)+Ft!J$6*EXP(Ft!J$38*($A28-Ft!J$2)^2)),Ft!J$3*((1-Ft!J$7)/(1+Ft!J$39*($A28-Ft!J$2)^2)+Ft!J$7*EXP(Ft!J$40*($A28-Ft!J$2)^2)))</f>
        <v>0</v>
      </c>
      <c r="O28" s="3">
        <f>IF(($A28-Ft!K$2)&lt;0,Ft!K$3*((1-Ft!K$6)/(1+Ft!K$37*($A28-Ft!K$2)^2)+Ft!K$6*EXP(Ft!K$38*($A28-Ft!K$2)^2)),Ft!K$3*((1-Ft!K$7)/(1+Ft!K$39*($A28-Ft!K$2)^2)+Ft!K$7*EXP(Ft!K$40*($A28-Ft!K$2)^2)))</f>
        <v>0</v>
      </c>
      <c r="P28"/>
      <c r="Q28"/>
    </row>
    <row r="29" spans="1:17">
      <c r="A29" s="20">
        <v>55</v>
      </c>
      <c r="B29" s="29">
        <v>1.5075526343600956</v>
      </c>
      <c r="C29" s="7">
        <f t="shared" si="1"/>
        <v>1.4798348163530921</v>
      </c>
      <c r="D29" s="3">
        <f t="shared" si="0"/>
        <v>7.6827743506936513E-4</v>
      </c>
      <c r="E29" s="3">
        <f>Ft!$B$12+Ft!$B$14*(Data!A29-Vars!$B$3)</f>
        <v>-200</v>
      </c>
      <c r="F29" s="3">
        <f>IF(($A29-Ft!B$2)&lt;0,Ft!B$3*((1-Ft!B$6)/(1+Ft!B$37*($A29-Ft!B$2)^2)+Ft!B$6*EXP(Ft!B$38*($A29-Ft!B$2)^2)),Ft!B$3*((1-Ft!B$7)/(1+Ft!B$39*($A29-Ft!B$2)^2)+Ft!B$7*EXP(Ft!B$40*($A29-Ft!B$2)^2)))</f>
        <v>150.61730113690152</v>
      </c>
      <c r="G29" s="3">
        <f>IF(($A29-Ft!C$2)&lt;0,Ft!C$3*((1-Ft!C$6)/(1+Ft!C$37*($A29-Ft!C$2)^2)+Ft!C$6*EXP(Ft!C$38*($A29-Ft!C$2)^2)),Ft!C$3*((1-Ft!C$7)/(1+Ft!C$39*($A29-Ft!C$2)^2)+Ft!C$7*EXP(Ft!C$40*($A29-Ft!C$2)^2)))</f>
        <v>25.467624503756038</v>
      </c>
      <c r="H29" s="3">
        <f>IF(($A29-Ft!D$2)&lt;0,Ft!D$3*((1-Ft!D$6)/(1+Ft!D$37*($A29-Ft!D$2)^2)+Ft!D$6*EXP(Ft!D$38*($A29-Ft!D$2)^2)),Ft!D$3*((1-Ft!D$7)/(1+Ft!D$39*($A29-Ft!D$2)^2)+Ft!D$7*EXP(Ft!D$40*($A29-Ft!D$2)^2)))</f>
        <v>1.2600686273325401E-43</v>
      </c>
      <c r="I29" s="3">
        <f>IF(($A29-Ft!E$2)&lt;0,Ft!E$3*((1-Ft!E$6)/(1+Ft!E$37*($A29-Ft!E$2)^2)+Ft!E$6*EXP(Ft!E$38*($A29-Ft!E$2)^2)),Ft!E$3*((1-Ft!E$7)/(1+Ft!E$39*($A29-Ft!E$2)^2)+Ft!E$7*EXP(Ft!E$40*($A29-Ft!E$2)^2)))</f>
        <v>4.5370384343944608</v>
      </c>
      <c r="J29" s="3">
        <f>IF(($A29-Ft!F$2)&lt;0,Ft!F$3*((1-Ft!F$6)/(1+Ft!F$37*($A29-Ft!F$2)^2)+Ft!F$6*EXP(Ft!F$38*($A29-Ft!F$2)^2)),Ft!F$3*((1-Ft!F$7)/(1+Ft!F$39*($A29-Ft!F$2)^2)+Ft!F$7*EXP(Ft!F$40*($A29-Ft!F$2)^2)))</f>
        <v>5.659814660948566</v>
      </c>
      <c r="K29" s="3">
        <f>IF(($A29-Ft!G$2)&lt;0,Ft!G$3*((1-Ft!G$6)/(1+Ft!G$37*($A29-Ft!G$2)^2)+Ft!G$6*EXP(Ft!G$38*($A29-Ft!G$2)^2)),Ft!G$3*((1-Ft!G$7)/(1+Ft!G$39*($A29-Ft!G$2)^2)+Ft!G$7*EXP(Ft!G$40*($A29-Ft!G$2)^2)))</f>
        <v>15.19805608035251</v>
      </c>
      <c r="L29" s="3">
        <f>IF(($A29-Ft!H$2)&lt;0,Ft!H$3*((1-Ft!H$6)/(1+Ft!H$37*($A29-Ft!H$2)^2)+Ft!H$6*EXP(Ft!H$38*($A29-Ft!H$2)^2)),Ft!H$3*((1-Ft!H$7)/(1+Ft!H$39*($A29-Ft!H$2)^2)+Ft!H$7*EXP(Ft!H$40*($A29-Ft!H$2)^2)))</f>
        <v>0</v>
      </c>
      <c r="M29" s="3">
        <f>IF(($A29-Ft!I$2)&lt;0,Ft!I$3*((1-Ft!I$6)/(1+Ft!I$37*($A29-Ft!I$2)^2)+Ft!I$6*EXP(Ft!I$38*($A29-Ft!I$2)^2)),Ft!I$3*((1-Ft!I$7)/(1+Ft!I$39*($A29-Ft!I$2)^2)+Ft!I$7*EXP(Ft!I$40*($A29-Ft!I$2)^2)))</f>
        <v>0</v>
      </c>
      <c r="N29" s="3">
        <f>IF(($A29-Ft!J$2)&lt;0,Ft!J$3*((1-Ft!J$6)/(1+Ft!J$37*($A29-Ft!J$2)^2)+Ft!J$6*EXP(Ft!J$38*($A29-Ft!J$2)^2)),Ft!J$3*((1-Ft!J$7)/(1+Ft!J$39*($A29-Ft!J$2)^2)+Ft!J$7*EXP(Ft!J$40*($A29-Ft!J$2)^2)))</f>
        <v>0</v>
      </c>
      <c r="O29" s="3">
        <f>IF(($A29-Ft!K$2)&lt;0,Ft!K$3*((1-Ft!K$6)/(1+Ft!K$37*($A29-Ft!K$2)^2)+Ft!K$6*EXP(Ft!K$38*($A29-Ft!K$2)^2)),Ft!K$3*((1-Ft!K$7)/(1+Ft!K$39*($A29-Ft!K$2)^2)+Ft!K$7*EXP(Ft!K$40*($A29-Ft!K$2)^2)))</f>
        <v>0</v>
      </c>
      <c r="P29"/>
      <c r="Q29"/>
    </row>
    <row r="30" spans="1:17">
      <c r="A30" s="20">
        <v>57</v>
      </c>
      <c r="B30" s="29">
        <v>1.584929180503508</v>
      </c>
      <c r="C30" s="7">
        <f t="shared" si="1"/>
        <v>1.5556928337472904</v>
      </c>
      <c r="D30" s="3">
        <f t="shared" si="0"/>
        <v>8.5476397164979288E-4</v>
      </c>
      <c r="E30" s="3">
        <f>Ft!$B$12+Ft!$B$14*(Data!A30-Vars!$B$3)</f>
        <v>-200</v>
      </c>
      <c r="F30" s="3">
        <f>IF(($A30-Ft!B$2)&lt;0,Ft!B$3*((1-Ft!B$6)/(1+Ft!B$37*($A30-Ft!B$2)^2)+Ft!B$6*EXP(Ft!B$38*($A30-Ft!B$2)^2)),Ft!B$3*((1-Ft!B$7)/(1+Ft!B$39*($A30-Ft!B$2)^2)+Ft!B$7*EXP(Ft!B$40*($A30-Ft!B$2)^2)))</f>
        <v>150.21854349277208</v>
      </c>
      <c r="G30" s="3">
        <f>IF(($A30-Ft!C$2)&lt;0,Ft!C$3*((1-Ft!C$6)/(1+Ft!C$37*($A30-Ft!C$2)^2)+Ft!C$6*EXP(Ft!C$38*($A30-Ft!C$2)^2)),Ft!C$3*((1-Ft!C$7)/(1+Ft!C$39*($A30-Ft!C$2)^2)+Ft!C$7*EXP(Ft!C$40*($A30-Ft!C$2)^2)))</f>
        <v>25.563006612451058</v>
      </c>
      <c r="H30" s="3">
        <f>IF(($A30-Ft!D$2)&lt;0,Ft!D$3*((1-Ft!D$6)/(1+Ft!D$37*($A30-Ft!D$2)^2)+Ft!D$6*EXP(Ft!D$38*($A30-Ft!D$2)^2)),Ft!D$3*((1-Ft!D$7)/(1+Ft!D$39*($A30-Ft!D$2)^2)+Ft!D$7*EXP(Ft!D$40*($A30-Ft!D$2)^2)))</f>
        <v>3.5807574115525467E-43</v>
      </c>
      <c r="I30" s="3">
        <f>IF(($A30-Ft!E$2)&lt;0,Ft!E$3*((1-Ft!E$6)/(1+Ft!E$37*($A30-Ft!E$2)^2)+Ft!E$6*EXP(Ft!E$38*($A30-Ft!E$2)^2)),Ft!E$3*((1-Ft!E$7)/(1+Ft!E$39*($A30-Ft!E$2)^2)+Ft!E$7*EXP(Ft!E$40*($A30-Ft!E$2)^2)))</f>
        <v>4.6252022079279209</v>
      </c>
      <c r="J30" s="3">
        <f>IF(($A30-Ft!F$2)&lt;0,Ft!F$3*((1-Ft!F$6)/(1+Ft!F$37*($A30-Ft!F$2)^2)+Ft!F$6*EXP(Ft!F$38*($A30-Ft!F$2)^2)),Ft!F$3*((1-Ft!F$7)/(1+Ft!F$39*($A30-Ft!F$2)^2)+Ft!F$7*EXP(Ft!F$40*($A30-Ft!F$2)^2)))</f>
        <v>5.7126866313958358</v>
      </c>
      <c r="K30" s="3">
        <f>IF(($A30-Ft!G$2)&lt;0,Ft!G$3*((1-Ft!G$6)/(1+Ft!G$37*($A30-Ft!G$2)^2)+Ft!G$6*EXP(Ft!G$38*($A30-Ft!G$2)^2)),Ft!G$3*((1-Ft!G$7)/(1+Ft!G$39*($A30-Ft!G$2)^2)+Ft!G$7*EXP(Ft!G$40*($A30-Ft!G$2)^2)))</f>
        <v>15.43625388920039</v>
      </c>
      <c r="L30" s="3">
        <f>IF(($A30-Ft!H$2)&lt;0,Ft!H$3*((1-Ft!H$6)/(1+Ft!H$37*($A30-Ft!H$2)^2)+Ft!H$6*EXP(Ft!H$38*($A30-Ft!H$2)^2)),Ft!H$3*((1-Ft!H$7)/(1+Ft!H$39*($A30-Ft!H$2)^2)+Ft!H$7*EXP(Ft!H$40*($A30-Ft!H$2)^2)))</f>
        <v>0</v>
      </c>
      <c r="M30" s="3">
        <f>IF(($A30-Ft!I$2)&lt;0,Ft!I$3*((1-Ft!I$6)/(1+Ft!I$37*($A30-Ft!I$2)^2)+Ft!I$6*EXP(Ft!I$38*($A30-Ft!I$2)^2)),Ft!I$3*((1-Ft!I$7)/(1+Ft!I$39*($A30-Ft!I$2)^2)+Ft!I$7*EXP(Ft!I$40*($A30-Ft!I$2)^2)))</f>
        <v>0</v>
      </c>
      <c r="N30" s="3">
        <f>IF(($A30-Ft!J$2)&lt;0,Ft!J$3*((1-Ft!J$6)/(1+Ft!J$37*($A30-Ft!J$2)^2)+Ft!J$6*EXP(Ft!J$38*($A30-Ft!J$2)^2)),Ft!J$3*((1-Ft!J$7)/(1+Ft!J$39*($A30-Ft!J$2)^2)+Ft!J$7*EXP(Ft!J$40*($A30-Ft!J$2)^2)))</f>
        <v>0</v>
      </c>
      <c r="O30" s="3">
        <f>IF(($A30-Ft!K$2)&lt;0,Ft!K$3*((1-Ft!K$6)/(1+Ft!K$37*($A30-Ft!K$2)^2)+Ft!K$6*EXP(Ft!K$38*($A30-Ft!K$2)^2)),Ft!K$3*((1-Ft!K$7)/(1+Ft!K$39*($A30-Ft!K$2)^2)+Ft!K$7*EXP(Ft!K$40*($A30-Ft!K$2)^2)))</f>
        <v>0</v>
      </c>
      <c r="P30"/>
      <c r="Q30"/>
    </row>
    <row r="31" spans="1:17">
      <c r="A31" s="20">
        <v>59</v>
      </c>
      <c r="B31" s="29">
        <v>1.6643970189933128</v>
      </c>
      <c r="C31" s="7">
        <f t="shared" si="1"/>
        <v>1.6338412607683122</v>
      </c>
      <c r="D31" s="3">
        <f t="shared" si="0"/>
        <v>9.3365436070469627E-4</v>
      </c>
      <c r="E31" s="3">
        <f>Ft!$B$12+Ft!$B$14*(Data!A31-Vars!$B$3)</f>
        <v>-200</v>
      </c>
      <c r="F31" s="3">
        <f>IF(($A31-Ft!B$2)&lt;0,Ft!B$3*((1-Ft!B$6)/(1+Ft!B$37*($A31-Ft!B$2)^2)+Ft!B$6*EXP(Ft!B$38*($A31-Ft!B$2)^2)),Ft!B$3*((1-Ft!B$7)/(1+Ft!B$39*($A31-Ft!B$2)^2)+Ft!B$7*EXP(Ft!B$40*($A31-Ft!B$2)^2)))</f>
        <v>149.81798199026954</v>
      </c>
      <c r="G31" s="3">
        <f>IF(($A31-Ft!C$2)&lt;0,Ft!C$3*((1-Ft!C$6)/(1+Ft!C$37*($A31-Ft!C$2)^2)+Ft!C$6*EXP(Ft!C$38*($A31-Ft!C$2)^2)),Ft!C$3*((1-Ft!C$7)/(1+Ft!C$39*($A31-Ft!C$2)^2)+Ft!C$7*EXP(Ft!C$40*($A31-Ft!C$2)^2)))</f>
        <v>25.658519235207372</v>
      </c>
      <c r="H31" s="3">
        <f>IF(($A31-Ft!D$2)&lt;0,Ft!D$3*((1-Ft!D$6)/(1+Ft!D$37*($A31-Ft!D$2)^2)+Ft!D$6*EXP(Ft!D$38*($A31-Ft!D$2)^2)),Ft!D$3*((1-Ft!D$7)/(1+Ft!D$39*($A31-Ft!D$2)^2)+Ft!D$7*EXP(Ft!D$40*($A31-Ft!D$2)^2)))</f>
        <v>1.0119514739121503E-42</v>
      </c>
      <c r="I31" s="3">
        <f>IF(($A31-Ft!E$2)&lt;0,Ft!E$3*((1-Ft!E$6)/(1+Ft!E$37*($A31-Ft!E$2)^2)+Ft!E$6*EXP(Ft!E$38*($A31-Ft!E$2)^2)),Ft!E$3*((1-Ft!E$7)/(1+Ft!E$39*($A31-Ft!E$2)^2)+Ft!E$7*EXP(Ft!E$40*($A31-Ft!E$2)^2)))</f>
        <v>4.714805801771405</v>
      </c>
      <c r="J31" s="3">
        <f>IF(($A31-Ft!F$2)&lt;0,Ft!F$3*((1-Ft!F$6)/(1+Ft!F$37*($A31-Ft!F$2)^2)+Ft!F$6*EXP(Ft!F$38*($A31-Ft!F$2)^2)),Ft!F$3*((1-Ft!F$7)/(1+Ft!F$39*($A31-Ft!F$2)^2)+Ft!F$7*EXP(Ft!F$40*($A31-Ft!F$2)^2)))</f>
        <v>5.7659765720531304</v>
      </c>
      <c r="K31" s="3">
        <f>IF(($A31-Ft!G$2)&lt;0,Ft!G$3*((1-Ft!G$6)/(1+Ft!G$37*($A31-Ft!G$2)^2)+Ft!G$6*EXP(Ft!G$38*($A31-Ft!G$2)^2)),Ft!G$3*((1-Ft!G$7)/(1+Ft!G$39*($A31-Ft!G$2)^2)+Ft!G$7*EXP(Ft!G$40*($A31-Ft!G$2)^2)))</f>
        <v>15.676557661466861</v>
      </c>
      <c r="L31" s="3">
        <f>IF(($A31-Ft!H$2)&lt;0,Ft!H$3*((1-Ft!H$6)/(1+Ft!H$37*($A31-Ft!H$2)^2)+Ft!H$6*EXP(Ft!H$38*($A31-Ft!H$2)^2)),Ft!H$3*((1-Ft!H$7)/(1+Ft!H$39*($A31-Ft!H$2)^2)+Ft!H$7*EXP(Ft!H$40*($A31-Ft!H$2)^2)))</f>
        <v>0</v>
      </c>
      <c r="M31" s="3">
        <f>IF(($A31-Ft!I$2)&lt;0,Ft!I$3*((1-Ft!I$6)/(1+Ft!I$37*($A31-Ft!I$2)^2)+Ft!I$6*EXP(Ft!I$38*($A31-Ft!I$2)^2)),Ft!I$3*((1-Ft!I$7)/(1+Ft!I$39*($A31-Ft!I$2)^2)+Ft!I$7*EXP(Ft!I$40*($A31-Ft!I$2)^2)))</f>
        <v>0</v>
      </c>
      <c r="N31" s="3">
        <f>IF(($A31-Ft!J$2)&lt;0,Ft!J$3*((1-Ft!J$6)/(1+Ft!J$37*($A31-Ft!J$2)^2)+Ft!J$6*EXP(Ft!J$38*($A31-Ft!J$2)^2)),Ft!J$3*((1-Ft!J$7)/(1+Ft!J$39*($A31-Ft!J$2)^2)+Ft!J$7*EXP(Ft!J$40*($A31-Ft!J$2)^2)))</f>
        <v>0</v>
      </c>
      <c r="O31" s="3">
        <f>IF(($A31-Ft!K$2)&lt;0,Ft!K$3*((1-Ft!K$6)/(1+Ft!K$37*($A31-Ft!K$2)^2)+Ft!K$6*EXP(Ft!K$38*($A31-Ft!K$2)^2)),Ft!K$3*((1-Ft!K$7)/(1+Ft!K$39*($A31-Ft!K$2)^2)+Ft!K$7*EXP(Ft!K$40*($A31-Ft!K$2)^2)))</f>
        <v>0</v>
      </c>
      <c r="P31"/>
      <c r="Q31"/>
    </row>
    <row r="32" spans="1:17">
      <c r="A32" s="20">
        <v>61</v>
      </c>
      <c r="B32" s="29">
        <v>1.7459639278091998</v>
      </c>
      <c r="C32" s="7">
        <f t="shared" si="1"/>
        <v>1.7143013780548468</v>
      </c>
      <c r="D32" s="3">
        <f t="shared" si="0"/>
        <v>1.0025170569468798E-3</v>
      </c>
      <c r="E32" s="3">
        <f>Ft!$B$12+Ft!$B$14*(Data!A32-Vars!$B$3)</f>
        <v>-200</v>
      </c>
      <c r="F32" s="3">
        <f>IF(($A32-Ft!B$2)&lt;0,Ft!B$3*((1-Ft!B$6)/(1+Ft!B$37*($A32-Ft!B$2)^2)+Ft!B$6*EXP(Ft!B$38*($A32-Ft!B$2)^2)),Ft!B$3*((1-Ft!B$7)/(1+Ft!B$39*($A32-Ft!B$2)^2)+Ft!B$7*EXP(Ft!B$40*($A32-Ft!B$2)^2)))</f>
        <v>149.41563670972505</v>
      </c>
      <c r="G32" s="3">
        <f>IF(($A32-Ft!C$2)&lt;0,Ft!C$3*((1-Ft!C$6)/(1+Ft!C$37*($A32-Ft!C$2)^2)+Ft!C$6*EXP(Ft!C$38*($A32-Ft!C$2)^2)),Ft!C$3*((1-Ft!C$7)/(1+Ft!C$39*($A32-Ft!C$2)^2)+Ft!C$7*EXP(Ft!C$40*($A32-Ft!C$2)^2)))</f>
        <v>25.7541611686711</v>
      </c>
      <c r="H32" s="3">
        <f>IF(($A32-Ft!D$2)&lt;0,Ft!D$3*((1-Ft!D$6)/(1+Ft!D$37*($A32-Ft!D$2)^2)+Ft!D$6*EXP(Ft!D$38*($A32-Ft!D$2)^2)),Ft!D$3*((1-Ft!D$7)/(1+Ft!D$39*($A32-Ft!D$2)^2)+Ft!D$7*EXP(Ft!D$40*($A32-Ft!D$2)^2)))</f>
        <v>2.8441242293370556E-42</v>
      </c>
      <c r="I32" s="3">
        <f>IF(($A32-Ft!E$2)&lt;0,Ft!E$3*((1-Ft!E$6)/(1+Ft!E$37*($A32-Ft!E$2)^2)+Ft!E$6*EXP(Ft!E$38*($A32-Ft!E$2)^2)),Ft!E$3*((1-Ft!E$7)/(1+Ft!E$39*($A32-Ft!E$2)^2)+Ft!E$7*EXP(Ft!E$40*($A32-Ft!E$2)^2)))</f>
        <v>4.8058666183958074</v>
      </c>
      <c r="J32" s="3">
        <f>IF(($A32-Ft!F$2)&lt;0,Ft!F$3*((1-Ft!F$6)/(1+Ft!F$37*($A32-Ft!F$2)^2)+Ft!F$6*EXP(Ft!F$38*($A32-Ft!F$2)^2)),Ft!F$3*((1-Ft!F$7)/(1+Ft!F$39*($A32-Ft!F$2)^2)+Ft!F$7*EXP(Ft!F$40*($A32-Ft!F$2)^2)))</f>
        <v>5.8196869716522919</v>
      </c>
      <c r="K32" s="3">
        <f>IF(($A32-Ft!G$2)&lt;0,Ft!G$3*((1-Ft!G$6)/(1+Ft!G$37*($A32-Ft!G$2)^2)+Ft!G$6*EXP(Ft!G$38*($A32-Ft!G$2)^2)),Ft!G$3*((1-Ft!G$7)/(1+Ft!G$39*($A32-Ft!G$2)^2)+Ft!G$7*EXP(Ft!G$40*($A32-Ft!G$2)^2)))</f>
        <v>15.918949909610598</v>
      </c>
      <c r="L32" s="3">
        <f>IF(($A32-Ft!H$2)&lt;0,Ft!H$3*((1-Ft!H$6)/(1+Ft!H$37*($A32-Ft!H$2)^2)+Ft!H$6*EXP(Ft!H$38*($A32-Ft!H$2)^2)),Ft!H$3*((1-Ft!H$7)/(1+Ft!H$39*($A32-Ft!H$2)^2)+Ft!H$7*EXP(Ft!H$40*($A32-Ft!H$2)^2)))</f>
        <v>0</v>
      </c>
      <c r="M32" s="3">
        <f>IF(($A32-Ft!I$2)&lt;0,Ft!I$3*((1-Ft!I$6)/(1+Ft!I$37*($A32-Ft!I$2)^2)+Ft!I$6*EXP(Ft!I$38*($A32-Ft!I$2)^2)),Ft!I$3*((1-Ft!I$7)/(1+Ft!I$39*($A32-Ft!I$2)^2)+Ft!I$7*EXP(Ft!I$40*($A32-Ft!I$2)^2)))</f>
        <v>0</v>
      </c>
      <c r="N32" s="3">
        <f>IF(($A32-Ft!J$2)&lt;0,Ft!J$3*((1-Ft!J$6)/(1+Ft!J$37*($A32-Ft!J$2)^2)+Ft!J$6*EXP(Ft!J$38*($A32-Ft!J$2)^2)),Ft!J$3*((1-Ft!J$7)/(1+Ft!J$39*($A32-Ft!J$2)^2)+Ft!J$7*EXP(Ft!J$40*($A32-Ft!J$2)^2)))</f>
        <v>0</v>
      </c>
      <c r="O32" s="3">
        <f>IF(($A32-Ft!K$2)&lt;0,Ft!K$3*((1-Ft!K$6)/(1+Ft!K$37*($A32-Ft!K$2)^2)+Ft!K$6*EXP(Ft!K$38*($A32-Ft!K$2)^2)),Ft!K$3*((1-Ft!K$7)/(1+Ft!K$39*($A32-Ft!K$2)^2)+Ft!K$7*EXP(Ft!K$40*($A32-Ft!K$2)^2)))</f>
        <v>0</v>
      </c>
      <c r="P32"/>
      <c r="Q32"/>
    </row>
    <row r="33" spans="1:17">
      <c r="A33" s="20">
        <v>63</v>
      </c>
      <c r="B33" s="29">
        <v>1.8296373171639715</v>
      </c>
      <c r="C33" s="7">
        <f t="shared" si="1"/>
        <v>1.7970936671591407</v>
      </c>
      <c r="D33" s="3">
        <f t="shared" si="0"/>
        <v>1.0590891556369261E-3</v>
      </c>
      <c r="E33" s="3">
        <f>Ft!$B$12+Ft!$B$14*(Data!A33-Vars!$B$3)</f>
        <v>-200</v>
      </c>
      <c r="F33" s="3">
        <f>IF(($A33-Ft!B$2)&lt;0,Ft!B$3*((1-Ft!B$6)/(1+Ft!B$37*($A33-Ft!B$2)^2)+Ft!B$6*EXP(Ft!B$38*($A33-Ft!B$2)^2)),Ft!B$3*((1-Ft!B$7)/(1+Ft!B$39*($A33-Ft!B$2)^2)+Ft!B$7*EXP(Ft!B$40*($A33-Ft!B$2)^2)))</f>
        <v>149.01152777973596</v>
      </c>
      <c r="G33" s="3">
        <f>IF(($A33-Ft!C$2)&lt;0,Ft!C$3*((1-Ft!C$6)/(1+Ft!C$37*($A33-Ft!C$2)^2)+Ft!C$6*EXP(Ft!C$38*($A33-Ft!C$2)^2)),Ft!C$3*((1-Ft!C$7)/(1+Ft!C$39*($A33-Ft!C$2)^2)+Ft!C$7*EXP(Ft!C$40*($A33-Ft!C$2)^2)))</f>
        <v>25.849931201563479</v>
      </c>
      <c r="H33" s="3">
        <f>IF(($A33-Ft!D$2)&lt;0,Ft!D$3*((1-Ft!D$6)/(1+Ft!D$37*($A33-Ft!D$2)^2)+Ft!D$6*EXP(Ft!D$38*($A33-Ft!D$2)^2)),Ft!D$3*((1-Ft!D$7)/(1+Ft!D$39*($A33-Ft!D$2)^2)+Ft!D$7*EXP(Ft!D$40*($A33-Ft!D$2)^2)))</f>
        <v>7.9495313080961504E-42</v>
      </c>
      <c r="I33" s="3">
        <f>IF(($A33-Ft!E$2)&lt;0,Ft!E$3*((1-Ft!E$6)/(1+Ft!E$37*($A33-Ft!E$2)^2)+Ft!E$6*EXP(Ft!E$38*($A33-Ft!E$2)^2)),Ft!E$3*((1-Ft!E$7)/(1+Ft!E$39*($A33-Ft!E$2)^2)+Ft!E$7*EXP(Ft!E$40*($A33-Ft!E$2)^2)))</f>
        <v>4.8984021409787433</v>
      </c>
      <c r="J33" s="3">
        <f>IF(($A33-Ft!F$2)&lt;0,Ft!F$3*((1-Ft!F$6)/(1+Ft!F$37*($A33-Ft!F$2)^2)+Ft!F$6*EXP(Ft!F$38*($A33-Ft!F$2)^2)),Ft!F$3*((1-Ft!F$7)/(1+Ft!F$39*($A33-Ft!F$2)^2)+Ft!F$7*EXP(Ft!F$40*($A33-Ft!F$2)^2)))</f>
        <v>5.8738203254342469</v>
      </c>
      <c r="K33" s="3">
        <f>IF(($A33-Ft!G$2)&lt;0,Ft!G$3*((1-Ft!G$6)/(1+Ft!G$37*($A33-Ft!G$2)^2)+Ft!G$6*EXP(Ft!G$38*($A33-Ft!G$2)^2)),Ft!G$3*((1-Ft!G$7)/(1+Ft!G$39*($A33-Ft!G$2)^2)+Ft!G$7*EXP(Ft!G$40*($A33-Ft!G$2)^2)))</f>
        <v>16.163412219446716</v>
      </c>
      <c r="L33" s="3">
        <f>IF(($A33-Ft!H$2)&lt;0,Ft!H$3*((1-Ft!H$6)/(1+Ft!H$37*($A33-Ft!H$2)^2)+Ft!H$6*EXP(Ft!H$38*($A33-Ft!H$2)^2)),Ft!H$3*((1-Ft!H$7)/(1+Ft!H$39*($A33-Ft!H$2)^2)+Ft!H$7*EXP(Ft!H$40*($A33-Ft!H$2)^2)))</f>
        <v>0</v>
      </c>
      <c r="M33" s="3">
        <f>IF(($A33-Ft!I$2)&lt;0,Ft!I$3*((1-Ft!I$6)/(1+Ft!I$37*($A33-Ft!I$2)^2)+Ft!I$6*EXP(Ft!I$38*($A33-Ft!I$2)^2)),Ft!I$3*((1-Ft!I$7)/(1+Ft!I$39*($A33-Ft!I$2)^2)+Ft!I$7*EXP(Ft!I$40*($A33-Ft!I$2)^2)))</f>
        <v>0</v>
      </c>
      <c r="N33" s="3">
        <f>IF(($A33-Ft!J$2)&lt;0,Ft!J$3*((1-Ft!J$6)/(1+Ft!J$37*($A33-Ft!J$2)^2)+Ft!J$6*EXP(Ft!J$38*($A33-Ft!J$2)^2)),Ft!J$3*((1-Ft!J$7)/(1+Ft!J$39*($A33-Ft!J$2)^2)+Ft!J$7*EXP(Ft!J$40*($A33-Ft!J$2)^2)))</f>
        <v>0</v>
      </c>
      <c r="O33" s="3">
        <f>IF(($A33-Ft!K$2)&lt;0,Ft!K$3*((1-Ft!K$6)/(1+Ft!K$37*($A33-Ft!K$2)^2)+Ft!K$6*EXP(Ft!K$38*($A33-Ft!K$2)^2)),Ft!K$3*((1-Ft!K$7)/(1+Ft!K$39*($A33-Ft!K$2)^2)+Ft!K$7*EXP(Ft!K$40*($A33-Ft!K$2)^2)))</f>
        <v>0</v>
      </c>
      <c r="P33"/>
      <c r="Q33"/>
    </row>
    <row r="34" spans="1:17">
      <c r="A34" s="20">
        <v>65</v>
      </c>
      <c r="B34" s="29">
        <v>1.9154242269470814</v>
      </c>
      <c r="C34" s="7">
        <f t="shared" si="1"/>
        <v>1.8822377996660045</v>
      </c>
      <c r="D34" s="3">
        <f t="shared" si="0"/>
        <v>1.1013389556822053E-3</v>
      </c>
      <c r="E34" s="3">
        <f>Ft!$B$12+Ft!$B$14*(Data!A34-Vars!$B$3)</f>
        <v>-200</v>
      </c>
      <c r="F34" s="3">
        <f>IF(($A34-Ft!B$2)&lt;0,Ft!B$3*((1-Ft!B$6)/(1+Ft!B$37*($A34-Ft!B$2)^2)+Ft!B$6*EXP(Ft!B$38*($A34-Ft!B$2)^2)),Ft!B$3*((1-Ft!B$7)/(1+Ft!B$39*($A34-Ft!B$2)^2)+Ft!B$7*EXP(Ft!B$40*($A34-Ft!B$2)^2)))</f>
        <v>148.60567537550131</v>
      </c>
      <c r="G34" s="3">
        <f>IF(($A34-Ft!C$2)&lt;0,Ft!C$3*((1-Ft!C$6)/(1+Ft!C$37*($A34-Ft!C$2)^2)+Ft!C$6*EXP(Ft!C$38*($A34-Ft!C$2)^2)),Ft!C$3*((1-Ft!C$7)/(1+Ft!C$39*($A34-Ft!C$2)^2)+Ft!C$7*EXP(Ft!C$40*($A34-Ft!C$2)^2)))</f>
        <v>25.945828114694255</v>
      </c>
      <c r="H34" s="3">
        <f>IF(($A34-Ft!D$2)&lt;0,Ft!D$3*((1-Ft!D$6)/(1+Ft!D$37*($A34-Ft!D$2)^2)+Ft!D$6*EXP(Ft!D$38*($A34-Ft!D$2)^2)),Ft!D$3*((1-Ft!D$7)/(1+Ft!D$39*($A34-Ft!D$2)^2)+Ft!D$7*EXP(Ft!D$40*($A34-Ft!D$2)^2)))</f>
        <v>2.2097267500897226E-41</v>
      </c>
      <c r="I34" s="3">
        <f>IF(($A34-Ft!E$2)&lt;0,Ft!E$3*((1-Ft!E$6)/(1+Ft!E$37*($A34-Ft!E$2)^2)+Ft!E$6*EXP(Ft!E$38*($A34-Ft!E$2)^2)),Ft!E$3*((1-Ft!E$7)/(1+Ft!E$39*($A34-Ft!E$2)^2)+Ft!E$7*EXP(Ft!E$40*($A34-Ft!E$2)^2)))</f>
        <v>4.9924299308696032</v>
      </c>
      <c r="J34" s="3">
        <f>IF(($A34-Ft!F$2)&lt;0,Ft!F$3*((1-Ft!F$6)/(1+Ft!F$37*($A34-Ft!F$2)^2)+Ft!F$6*EXP(Ft!F$38*($A34-Ft!F$2)^2)),Ft!F$3*((1-Ft!F$7)/(1+Ft!F$39*($A34-Ft!F$2)^2)+Ft!F$7*EXP(Ft!F$40*($A34-Ft!F$2)^2)))</f>
        <v>5.9283791350775799</v>
      </c>
      <c r="K34" s="3">
        <f>IF(($A34-Ft!G$2)&lt;0,Ft!G$3*((1-Ft!G$6)/(1+Ft!G$37*($A34-Ft!G$2)^2)+Ft!G$6*EXP(Ft!G$38*($A34-Ft!G$2)^2)),Ft!G$3*((1-Ft!G$7)/(1+Ft!G$39*($A34-Ft!G$2)^2)+Ft!G$7*EXP(Ft!G$40*($A34-Ft!G$2)^2)))</f>
        <v>16.409925243523261</v>
      </c>
      <c r="L34" s="3">
        <f>IF(($A34-Ft!H$2)&lt;0,Ft!H$3*((1-Ft!H$6)/(1+Ft!H$37*($A34-Ft!H$2)^2)+Ft!H$6*EXP(Ft!H$38*($A34-Ft!H$2)^2)),Ft!H$3*((1-Ft!H$7)/(1+Ft!H$39*($A34-Ft!H$2)^2)+Ft!H$7*EXP(Ft!H$40*($A34-Ft!H$2)^2)))</f>
        <v>0</v>
      </c>
      <c r="M34" s="3">
        <f>IF(($A34-Ft!I$2)&lt;0,Ft!I$3*((1-Ft!I$6)/(1+Ft!I$37*($A34-Ft!I$2)^2)+Ft!I$6*EXP(Ft!I$38*($A34-Ft!I$2)^2)),Ft!I$3*((1-Ft!I$7)/(1+Ft!I$39*($A34-Ft!I$2)^2)+Ft!I$7*EXP(Ft!I$40*($A34-Ft!I$2)^2)))</f>
        <v>0</v>
      </c>
      <c r="N34" s="3">
        <f>IF(($A34-Ft!J$2)&lt;0,Ft!J$3*((1-Ft!J$6)/(1+Ft!J$37*($A34-Ft!J$2)^2)+Ft!J$6*EXP(Ft!J$38*($A34-Ft!J$2)^2)),Ft!J$3*((1-Ft!J$7)/(1+Ft!J$39*($A34-Ft!J$2)^2)+Ft!J$7*EXP(Ft!J$40*($A34-Ft!J$2)^2)))</f>
        <v>0</v>
      </c>
      <c r="O34" s="3">
        <f>IF(($A34-Ft!K$2)&lt;0,Ft!K$3*((1-Ft!K$6)/(1+Ft!K$37*($A34-Ft!K$2)^2)+Ft!K$6*EXP(Ft!K$38*($A34-Ft!K$2)^2)),Ft!K$3*((1-Ft!K$7)/(1+Ft!K$39*($A34-Ft!K$2)^2)+Ft!K$7*EXP(Ft!K$40*($A34-Ft!K$2)^2)))</f>
        <v>0</v>
      </c>
      <c r="P34"/>
      <c r="Q34"/>
    </row>
    <row r="35" spans="1:17">
      <c r="A35" s="20">
        <v>67</v>
      </c>
      <c r="B35" s="29">
        <v>2.0033313242511639</v>
      </c>
      <c r="C35" s="7">
        <f t="shared" si="1"/>
        <v>1.9697526266257359</v>
      </c>
      <c r="D35" s="3">
        <f t="shared" si="0"/>
        <v>1.1275289342199226E-3</v>
      </c>
      <c r="E35" s="3">
        <f>Ft!$B$12+Ft!$B$14*(Data!A35-Vars!$B$3)</f>
        <v>-200</v>
      </c>
      <c r="F35" s="3">
        <f>IF(($A35-Ft!B$2)&lt;0,Ft!B$3*((1-Ft!B$6)/(1+Ft!B$37*($A35-Ft!B$2)^2)+Ft!B$6*EXP(Ft!B$38*($A35-Ft!B$2)^2)),Ft!B$3*((1-Ft!B$7)/(1+Ft!B$39*($A35-Ft!B$2)^2)+Ft!B$7*EXP(Ft!B$40*($A35-Ft!B$2)^2)))</f>
        <v>148.19809971715785</v>
      </c>
      <c r="G35" s="3">
        <f>IF(($A35-Ft!C$2)&lt;0,Ft!C$3*((1-Ft!C$6)/(1+Ft!C$37*($A35-Ft!C$2)^2)+Ft!C$6*EXP(Ft!C$38*($A35-Ft!C$2)^2)),Ft!C$3*((1-Ft!C$7)/(1+Ft!C$39*($A35-Ft!C$2)^2)+Ft!C$7*EXP(Ft!C$40*($A35-Ft!C$2)^2)))</f>
        <v>26.041850680975358</v>
      </c>
      <c r="H35" s="3">
        <f>IF(($A35-Ft!D$2)&lt;0,Ft!D$3*((1-Ft!D$6)/(1+Ft!D$37*($A35-Ft!D$2)^2)+Ft!D$6*EXP(Ft!D$38*($A35-Ft!D$2)^2)),Ft!D$3*((1-Ft!D$7)/(1+Ft!D$39*($A35-Ft!D$2)^2)+Ft!D$7*EXP(Ft!D$40*($A35-Ft!D$2)^2)))</f>
        <v>6.1085721697570655E-41</v>
      </c>
      <c r="I35" s="3">
        <f>IF(($A35-Ft!E$2)&lt;0,Ft!E$3*((1-Ft!E$6)/(1+Ft!E$37*($A35-Ft!E$2)^2)+Ft!E$6*EXP(Ft!E$38*($A35-Ft!E$2)^2)),Ft!E$3*((1-Ft!E$7)/(1+Ft!E$39*($A35-Ft!E$2)^2)+Ft!E$7*EXP(Ft!E$40*($A35-Ft!E$2)^2)))</f>
        <v>5.0879676249828893</v>
      </c>
      <c r="J35" s="3">
        <f>IF(($A35-Ft!F$2)&lt;0,Ft!F$3*((1-Ft!F$6)/(1+Ft!F$37*($A35-Ft!F$2)^2)+Ft!F$6*EXP(Ft!F$38*($A35-Ft!F$2)^2)),Ft!F$3*((1-Ft!F$7)/(1+Ft!F$39*($A35-Ft!F$2)^2)+Ft!F$7*EXP(Ft!F$40*($A35-Ft!F$2)^2)))</f>
        <v>5.9833659086260038</v>
      </c>
      <c r="K35" s="3">
        <f>IF(($A35-Ft!G$2)&lt;0,Ft!G$3*((1-Ft!G$6)/(1+Ft!G$37*($A35-Ft!G$2)^2)+Ft!G$6*EXP(Ft!G$38*($A35-Ft!G$2)^2)),Ft!G$3*((1-Ft!G$7)/(1+Ft!G$39*($A35-Ft!G$2)^2)+Ft!G$7*EXP(Ft!G$40*($A35-Ft!G$2)^2)))</f>
        <v>16.658468694883641</v>
      </c>
      <c r="L35" s="3">
        <f>IF(($A35-Ft!H$2)&lt;0,Ft!H$3*((1-Ft!H$6)/(1+Ft!H$37*($A35-Ft!H$2)^2)+Ft!H$6*EXP(Ft!H$38*($A35-Ft!H$2)^2)),Ft!H$3*((1-Ft!H$7)/(1+Ft!H$39*($A35-Ft!H$2)^2)+Ft!H$7*EXP(Ft!H$40*($A35-Ft!H$2)^2)))</f>
        <v>0</v>
      </c>
      <c r="M35" s="3">
        <f>IF(($A35-Ft!I$2)&lt;0,Ft!I$3*((1-Ft!I$6)/(1+Ft!I$37*($A35-Ft!I$2)^2)+Ft!I$6*EXP(Ft!I$38*($A35-Ft!I$2)^2)),Ft!I$3*((1-Ft!I$7)/(1+Ft!I$39*($A35-Ft!I$2)^2)+Ft!I$7*EXP(Ft!I$40*($A35-Ft!I$2)^2)))</f>
        <v>0</v>
      </c>
      <c r="N35" s="3">
        <f>IF(($A35-Ft!J$2)&lt;0,Ft!J$3*((1-Ft!J$6)/(1+Ft!J$37*($A35-Ft!J$2)^2)+Ft!J$6*EXP(Ft!J$38*($A35-Ft!J$2)^2)),Ft!J$3*((1-Ft!J$7)/(1+Ft!J$39*($A35-Ft!J$2)^2)+Ft!J$7*EXP(Ft!J$40*($A35-Ft!J$2)^2)))</f>
        <v>0</v>
      </c>
      <c r="O35" s="3">
        <f>IF(($A35-Ft!K$2)&lt;0,Ft!K$3*((1-Ft!K$6)/(1+Ft!K$37*($A35-Ft!K$2)^2)+Ft!K$6*EXP(Ft!K$38*($A35-Ft!K$2)^2)),Ft!K$3*((1-Ft!K$7)/(1+Ft!K$39*($A35-Ft!K$2)^2)+Ft!K$7*EXP(Ft!K$40*($A35-Ft!K$2)^2)))</f>
        <v>0</v>
      </c>
      <c r="P35"/>
      <c r="Q35"/>
    </row>
    <row r="36" spans="1:17">
      <c r="A36" s="20">
        <v>69</v>
      </c>
      <c r="B36" s="29">
        <v>2.0933649009818822</v>
      </c>
      <c r="C36" s="7">
        <f t="shared" si="1"/>
        <v>2.0596561683099068</v>
      </c>
      <c r="D36" s="3">
        <f t="shared" si="0"/>
        <v>1.1362786583507007E-3</v>
      </c>
      <c r="E36" s="3">
        <f>Ft!$B$12+Ft!$B$14*(Data!A36-Vars!$B$3)</f>
        <v>-200</v>
      </c>
      <c r="F36" s="3">
        <f>IF(($A36-Ft!B$2)&lt;0,Ft!B$3*((1-Ft!B$6)/(1+Ft!B$37*($A36-Ft!B$2)^2)+Ft!B$6*EXP(Ft!B$38*($A36-Ft!B$2)^2)),Ft!B$3*((1-Ft!B$7)/(1+Ft!B$39*($A36-Ft!B$2)^2)+Ft!B$7*EXP(Ft!B$40*($A36-Ft!B$2)^2)))</f>
        <v>147.78882106811582</v>
      </c>
      <c r="G36" s="3">
        <f>IF(($A36-Ft!C$2)&lt;0,Ft!C$3*((1-Ft!C$6)/(1+Ft!C$37*($A36-Ft!C$2)^2)+Ft!C$6*EXP(Ft!C$38*($A36-Ft!C$2)^2)),Ft!C$3*((1-Ft!C$7)/(1+Ft!C$39*($A36-Ft!C$2)^2)+Ft!C$7*EXP(Ft!C$40*($A36-Ft!C$2)^2)))</f>
        <v>26.13799766543514</v>
      </c>
      <c r="H36" s="3">
        <f>IF(($A36-Ft!D$2)&lt;0,Ft!D$3*((1-Ft!D$6)/(1+Ft!D$37*($A36-Ft!D$2)^2)+Ft!D$6*EXP(Ft!D$38*($A36-Ft!D$2)^2)),Ft!D$3*((1-Ft!D$7)/(1+Ft!D$39*($A36-Ft!D$2)^2)+Ft!D$7*EXP(Ft!D$40*($A36-Ft!D$2)^2)))</f>
        <v>1.6793643607411699E-40</v>
      </c>
      <c r="I36" s="3">
        <f>IF(($A36-Ft!E$2)&lt;0,Ft!E$3*((1-Ft!E$6)/(1+Ft!E$37*($A36-Ft!E$2)^2)+Ft!E$6*EXP(Ft!E$38*($A36-Ft!E$2)^2)),Ft!E$3*((1-Ft!E$7)/(1+Ft!E$39*($A36-Ft!E$2)^2)+Ft!E$7*EXP(Ft!E$40*($A36-Ft!E$2)^2)))</f>
        <v>5.1850329331192784</v>
      </c>
      <c r="J36" s="3">
        <f>IF(($A36-Ft!F$2)&lt;0,Ft!F$3*((1-Ft!F$6)/(1+Ft!F$37*($A36-Ft!F$2)^2)+Ft!F$6*EXP(Ft!F$38*($A36-Ft!F$2)^2)),Ft!F$3*((1-Ft!F$7)/(1+Ft!F$39*($A36-Ft!F$2)^2)+Ft!F$7*EXP(Ft!F$40*($A36-Ft!F$2)^2)))</f>
        <v>6.0387831604147566</v>
      </c>
      <c r="K36" s="3">
        <f>IF(($A36-Ft!G$2)&lt;0,Ft!G$3*((1-Ft!G$6)/(1+Ft!G$37*($A36-Ft!G$2)^2)+Ft!G$6*EXP(Ft!G$38*($A36-Ft!G$2)^2)),Ft!G$3*((1-Ft!G$7)/(1+Ft!G$39*($A36-Ft!G$2)^2)+Ft!G$7*EXP(Ft!G$40*($A36-Ft!G$2)^2)))</f>
        <v>16.909021341224911</v>
      </c>
      <c r="L36" s="3">
        <f>IF(($A36-Ft!H$2)&lt;0,Ft!H$3*((1-Ft!H$6)/(1+Ft!H$37*($A36-Ft!H$2)^2)+Ft!H$6*EXP(Ft!H$38*($A36-Ft!H$2)^2)),Ft!H$3*((1-Ft!H$7)/(1+Ft!H$39*($A36-Ft!H$2)^2)+Ft!H$7*EXP(Ft!H$40*($A36-Ft!H$2)^2)))</f>
        <v>0</v>
      </c>
      <c r="M36" s="3">
        <f>IF(($A36-Ft!I$2)&lt;0,Ft!I$3*((1-Ft!I$6)/(1+Ft!I$37*($A36-Ft!I$2)^2)+Ft!I$6*EXP(Ft!I$38*($A36-Ft!I$2)^2)),Ft!I$3*((1-Ft!I$7)/(1+Ft!I$39*($A36-Ft!I$2)^2)+Ft!I$7*EXP(Ft!I$40*($A36-Ft!I$2)^2)))</f>
        <v>0</v>
      </c>
      <c r="N36" s="3">
        <f>IF(($A36-Ft!J$2)&lt;0,Ft!J$3*((1-Ft!J$6)/(1+Ft!J$37*($A36-Ft!J$2)^2)+Ft!J$6*EXP(Ft!J$38*($A36-Ft!J$2)^2)),Ft!J$3*((1-Ft!J$7)/(1+Ft!J$39*($A36-Ft!J$2)^2)+Ft!J$7*EXP(Ft!J$40*($A36-Ft!J$2)^2)))</f>
        <v>0</v>
      </c>
      <c r="O36" s="3">
        <f>IF(($A36-Ft!K$2)&lt;0,Ft!K$3*((1-Ft!K$6)/(1+Ft!K$37*($A36-Ft!K$2)^2)+Ft!K$6*EXP(Ft!K$38*($A36-Ft!K$2)^2)),Ft!K$3*((1-Ft!K$7)/(1+Ft!K$39*($A36-Ft!K$2)^2)+Ft!K$7*EXP(Ft!K$40*($A36-Ft!K$2)^2)))</f>
        <v>0</v>
      </c>
      <c r="P36"/>
      <c r="Q36"/>
    </row>
    <row r="37" spans="1:17">
      <c r="A37" s="20">
        <v>71</v>
      </c>
      <c r="B37" s="29">
        <v>2.1855308715526576</v>
      </c>
      <c r="C37" s="7">
        <f t="shared" si="1"/>
        <v>2.1519656042997894</v>
      </c>
      <c r="D37" s="3">
        <f t="shared" si="0"/>
        <v>1.1266271657564613E-3</v>
      </c>
      <c r="E37" s="3">
        <f>Ft!$B$12+Ft!$B$14*(Data!A37-Vars!$B$3)</f>
        <v>-200</v>
      </c>
      <c r="F37" s="3">
        <f>IF(($A37-Ft!B$2)&lt;0,Ft!B$3*((1-Ft!B$6)/(1+Ft!B$37*($A37-Ft!B$2)^2)+Ft!B$6*EXP(Ft!B$38*($A37-Ft!B$2)^2)),Ft!B$3*((1-Ft!B$7)/(1+Ft!B$39*($A37-Ft!B$2)^2)+Ft!B$7*EXP(Ft!B$40*($A37-Ft!B$2)^2)))</f>
        <v>147.37785973339544</v>
      </c>
      <c r="G37" s="3">
        <f>IF(($A37-Ft!C$2)&lt;0,Ft!C$3*((1-Ft!C$6)/(1+Ft!C$37*($A37-Ft!C$2)^2)+Ft!C$6*EXP(Ft!C$38*($A37-Ft!C$2)^2)),Ft!C$3*((1-Ft!C$7)/(1+Ft!C$39*($A37-Ft!C$2)^2)+Ft!C$7*EXP(Ft!C$40*($A37-Ft!C$2)^2)))</f>
        <v>26.234267825232848</v>
      </c>
      <c r="H37" s="3">
        <f>IF(($A37-Ft!D$2)&lt;0,Ft!D$3*((1-Ft!D$6)/(1+Ft!D$37*($A37-Ft!D$2)^2)+Ft!D$6*EXP(Ft!D$38*($A37-Ft!D$2)^2)),Ft!D$3*((1-Ft!D$7)/(1+Ft!D$39*($A37-Ft!D$2)^2)+Ft!D$7*EXP(Ft!D$40*($A37-Ft!D$2)^2)))</f>
        <v>4.591496342199277E-40</v>
      </c>
      <c r="I37" s="3">
        <f>IF(($A37-Ft!E$2)&lt;0,Ft!E$3*((1-Ft!E$6)/(1+Ft!E$37*($A37-Ft!E$2)^2)+Ft!E$6*EXP(Ft!E$38*($A37-Ft!E$2)^2)),Ft!E$3*((1-Ft!E$7)/(1+Ft!E$39*($A37-Ft!E$2)^2)+Ft!E$7*EXP(Ft!E$40*($A37-Ft!E$2)^2)))</f>
        <v>5.2836436352140446</v>
      </c>
      <c r="J37" s="3">
        <f>IF(($A37-Ft!F$2)&lt;0,Ft!F$3*((1-Ft!F$6)/(1+Ft!F$37*($A37-Ft!F$2)^2)+Ft!F$6*EXP(Ft!F$38*($A37-Ft!F$2)^2)),Ft!F$3*((1-Ft!F$7)/(1+Ft!F$39*($A37-Ft!F$2)^2)+Ft!F$7*EXP(Ft!F$40*($A37-Ft!F$2)^2)))</f>
        <v>6.0946334109958684</v>
      </c>
      <c r="K37" s="3">
        <f>IF(($A37-Ft!G$2)&lt;0,Ft!G$3*((1-Ft!G$6)/(1+Ft!G$37*($A37-Ft!G$2)^2)+Ft!G$6*EXP(Ft!G$38*($A37-Ft!G$2)^2)),Ft!G$3*((1-Ft!G$7)/(1+Ft!G$39*($A37-Ft!G$2)^2)+Ft!G$7*EXP(Ft!G$40*($A37-Ft!G$2)^2)))</f>
        <v>17.161560999461589</v>
      </c>
      <c r="L37" s="3">
        <f>IF(($A37-Ft!H$2)&lt;0,Ft!H$3*((1-Ft!H$6)/(1+Ft!H$37*($A37-Ft!H$2)^2)+Ft!H$6*EXP(Ft!H$38*($A37-Ft!H$2)^2)),Ft!H$3*((1-Ft!H$7)/(1+Ft!H$39*($A37-Ft!H$2)^2)+Ft!H$7*EXP(Ft!H$40*($A37-Ft!H$2)^2)))</f>
        <v>0</v>
      </c>
      <c r="M37" s="3">
        <f>IF(($A37-Ft!I$2)&lt;0,Ft!I$3*((1-Ft!I$6)/(1+Ft!I$37*($A37-Ft!I$2)^2)+Ft!I$6*EXP(Ft!I$38*($A37-Ft!I$2)^2)),Ft!I$3*((1-Ft!I$7)/(1+Ft!I$39*($A37-Ft!I$2)^2)+Ft!I$7*EXP(Ft!I$40*($A37-Ft!I$2)^2)))</f>
        <v>0</v>
      </c>
      <c r="N37" s="3">
        <f>IF(($A37-Ft!J$2)&lt;0,Ft!J$3*((1-Ft!J$6)/(1+Ft!J$37*($A37-Ft!J$2)^2)+Ft!J$6*EXP(Ft!J$38*($A37-Ft!J$2)^2)),Ft!J$3*((1-Ft!J$7)/(1+Ft!J$39*($A37-Ft!J$2)^2)+Ft!J$7*EXP(Ft!J$40*($A37-Ft!J$2)^2)))</f>
        <v>0</v>
      </c>
      <c r="O37" s="3">
        <f>IF(($A37-Ft!K$2)&lt;0,Ft!K$3*((1-Ft!K$6)/(1+Ft!K$37*($A37-Ft!K$2)^2)+Ft!K$6*EXP(Ft!K$38*($A37-Ft!K$2)^2)),Ft!K$3*((1-Ft!K$7)/(1+Ft!K$39*($A37-Ft!K$2)^2)+Ft!K$7*EXP(Ft!K$40*($A37-Ft!K$2)^2)))</f>
        <v>0</v>
      </c>
      <c r="P37"/>
      <c r="Q37"/>
    </row>
    <row r="38" spans="1:17">
      <c r="A38" s="20">
        <v>73</v>
      </c>
      <c r="B38" s="29">
        <v>2.2798347706641806</v>
      </c>
      <c r="C38" s="7">
        <f t="shared" si="1"/>
        <v>2.2466972639167526</v>
      </c>
      <c r="D38" s="3">
        <f t="shared" si="0"/>
        <v>1.0980943534358357E-3</v>
      </c>
      <c r="E38" s="3">
        <f>Ft!$B$12+Ft!$B$14*(Data!A38-Vars!$B$3)</f>
        <v>-200</v>
      </c>
      <c r="F38" s="3">
        <f>IF(($A38-Ft!B$2)&lt;0,Ft!B$3*((1-Ft!B$6)/(1+Ft!B$37*($A38-Ft!B$2)^2)+Ft!B$6*EXP(Ft!B$38*($A38-Ft!B$2)^2)),Ft!B$3*((1-Ft!B$7)/(1+Ft!B$39*($A38-Ft!B$2)^2)+Ft!B$7*EXP(Ft!B$40*($A38-Ft!B$2)^2)))</f>
        <v>146.96523605796392</v>
      </c>
      <c r="G38" s="3">
        <f>IF(($A38-Ft!C$2)&lt;0,Ft!C$3*((1-Ft!C$6)/(1+Ft!C$37*($A38-Ft!C$2)^2)+Ft!C$6*EXP(Ft!C$38*($A38-Ft!C$2)^2)),Ft!C$3*((1-Ft!C$7)/(1+Ft!C$39*($A38-Ft!C$2)^2)+Ft!C$7*EXP(Ft!C$40*($A38-Ft!C$2)^2)))</f>
        <v>26.330659909673624</v>
      </c>
      <c r="H38" s="3">
        <f>IF(($A38-Ft!D$2)&lt;0,Ft!D$3*((1-Ft!D$6)/(1+Ft!D$37*($A38-Ft!D$2)^2)+Ft!D$6*EXP(Ft!D$38*($A38-Ft!D$2)^2)),Ft!D$3*((1-Ft!D$7)/(1+Ft!D$39*($A38-Ft!D$2)^2)+Ft!D$7*EXP(Ft!D$40*($A38-Ft!D$2)^2)))</f>
        <v>1.2484398994437971E-39</v>
      </c>
      <c r="I38" s="3">
        <f>IF(($A38-Ft!E$2)&lt;0,Ft!E$3*((1-Ft!E$6)/(1+Ft!E$37*($A38-Ft!E$2)^2)+Ft!E$6*EXP(Ft!E$38*($A38-Ft!E$2)^2)),Ft!E$3*((1-Ft!E$7)/(1+Ft!E$39*($A38-Ft!E$2)^2)+Ft!E$7*EXP(Ft!E$40*($A38-Ft!E$2)^2)))</f>
        <v>5.3838175785123532</v>
      </c>
      <c r="J38" s="3">
        <f>IF(($A38-Ft!F$2)&lt;0,Ft!F$3*((1-Ft!F$6)/(1+Ft!F$37*($A38-Ft!F$2)^2)+Ft!F$6*EXP(Ft!F$38*($A38-Ft!F$2)^2)),Ft!F$3*((1-Ft!F$7)/(1+Ft!F$39*($A38-Ft!F$2)^2)+Ft!F$7*EXP(Ft!F$40*($A38-Ft!F$2)^2)))</f>
        <v>6.1509191870623585</v>
      </c>
      <c r="K38" s="3">
        <f>IF(($A38-Ft!G$2)&lt;0,Ft!G$3*((1-Ft!G$6)/(1+Ft!G$37*($A38-Ft!G$2)^2)+Ft!G$6*EXP(Ft!G$38*($A38-Ft!G$2)^2)),Ft!G$3*((1-Ft!G$7)/(1+Ft!G$39*($A38-Ft!G$2)^2)+Ft!G$7*EXP(Ft!G$40*($A38-Ft!G$2)^2)))</f>
        <v>17.416064530704496</v>
      </c>
      <c r="L38" s="3">
        <f>IF(($A38-Ft!H$2)&lt;0,Ft!H$3*((1-Ft!H$6)/(1+Ft!H$37*($A38-Ft!H$2)^2)+Ft!H$6*EXP(Ft!H$38*($A38-Ft!H$2)^2)),Ft!H$3*((1-Ft!H$7)/(1+Ft!H$39*($A38-Ft!H$2)^2)+Ft!H$7*EXP(Ft!H$40*($A38-Ft!H$2)^2)))</f>
        <v>0</v>
      </c>
      <c r="M38" s="3">
        <f>IF(($A38-Ft!I$2)&lt;0,Ft!I$3*((1-Ft!I$6)/(1+Ft!I$37*($A38-Ft!I$2)^2)+Ft!I$6*EXP(Ft!I$38*($A38-Ft!I$2)^2)),Ft!I$3*((1-Ft!I$7)/(1+Ft!I$39*($A38-Ft!I$2)^2)+Ft!I$7*EXP(Ft!I$40*($A38-Ft!I$2)^2)))</f>
        <v>0</v>
      </c>
      <c r="N38" s="3">
        <f>IF(($A38-Ft!J$2)&lt;0,Ft!J$3*((1-Ft!J$6)/(1+Ft!J$37*($A38-Ft!J$2)^2)+Ft!J$6*EXP(Ft!J$38*($A38-Ft!J$2)^2)),Ft!J$3*((1-Ft!J$7)/(1+Ft!J$39*($A38-Ft!J$2)^2)+Ft!J$7*EXP(Ft!J$40*($A38-Ft!J$2)^2)))</f>
        <v>0</v>
      </c>
      <c r="O38" s="3">
        <f>IF(($A38-Ft!K$2)&lt;0,Ft!K$3*((1-Ft!K$6)/(1+Ft!K$37*($A38-Ft!K$2)^2)+Ft!K$6*EXP(Ft!K$38*($A38-Ft!K$2)^2)),Ft!K$3*((1-Ft!K$7)/(1+Ft!K$39*($A38-Ft!K$2)^2)+Ft!K$7*EXP(Ft!K$40*($A38-Ft!K$2)^2)))</f>
        <v>0</v>
      </c>
      <c r="P38"/>
      <c r="Q38"/>
    </row>
    <row r="39" spans="1:17">
      <c r="A39" s="20">
        <v>75</v>
      </c>
      <c r="B39" s="29">
        <v>2.3762817511703389</v>
      </c>
      <c r="C39" s="7">
        <f t="shared" si="1"/>
        <v>2.3438666170036413</v>
      </c>
      <c r="D39" s="3">
        <f t="shared" si="0"/>
        <v>1.0507409230450068E-3</v>
      </c>
      <c r="E39" s="3">
        <f>Ft!$B$12+Ft!$B$14*(Data!A39-Vars!$B$3)</f>
        <v>-200</v>
      </c>
      <c r="F39" s="3">
        <f>IF(($A39-Ft!B$2)&lt;0,Ft!B$3*((1-Ft!B$6)/(1+Ft!B$37*($A39-Ft!B$2)^2)+Ft!B$6*EXP(Ft!B$38*($A39-Ft!B$2)^2)),Ft!B$3*((1-Ft!B$7)/(1+Ft!B$39*($A39-Ft!B$2)^2)+Ft!B$7*EXP(Ft!B$40*($A39-Ft!B$2)^2)))</f>
        <v>146.55097042507333</v>
      </c>
      <c r="G39" s="3">
        <f>IF(($A39-Ft!C$2)&lt;0,Ft!C$3*((1-Ft!C$6)/(1+Ft!C$37*($A39-Ft!C$2)^2)+Ft!C$6*EXP(Ft!C$38*($A39-Ft!C$2)^2)),Ft!C$3*((1-Ft!C$7)/(1+Ft!C$39*($A39-Ft!C$2)^2)+Ft!C$7*EXP(Ft!C$40*($A39-Ft!C$2)^2)))</f>
        <v>26.427172660223857</v>
      </c>
      <c r="H39" s="3">
        <f>IF(($A39-Ft!D$2)&lt;0,Ft!D$3*((1-Ft!D$6)/(1+Ft!D$37*($A39-Ft!D$2)^2)+Ft!D$6*EXP(Ft!D$38*($A39-Ft!D$2)^2)),Ft!D$3*((1-Ft!D$7)/(1+Ft!D$39*($A39-Ft!D$2)^2)+Ft!D$7*EXP(Ft!D$40*($A39-Ft!D$2)^2)))</f>
        <v>3.3758654157503015E-39</v>
      </c>
      <c r="I39" s="3">
        <f>IF(($A39-Ft!E$2)&lt;0,Ft!E$3*((1-Ft!E$6)/(1+Ft!E$37*($A39-Ft!E$2)^2)+Ft!E$6*EXP(Ft!E$38*($A39-Ft!E$2)^2)),Ft!E$3*((1-Ft!E$7)/(1+Ft!E$39*($A39-Ft!E$2)^2)+Ft!E$7*EXP(Ft!E$40*($A39-Ft!E$2)^2)))</f>
        <v>5.48557267467109</v>
      </c>
      <c r="J39" s="3">
        <f>IF(($A39-Ft!F$2)&lt;0,Ft!F$3*((1-Ft!F$6)/(1+Ft!F$37*($A39-Ft!F$2)^2)+Ft!F$6*EXP(Ft!F$38*($A39-Ft!F$2)^2)),Ft!F$3*((1-Ft!F$7)/(1+Ft!F$39*($A39-Ft!F$2)^2)+Ft!F$7*EXP(Ft!F$40*($A39-Ft!F$2)^2)))</f>
        <v>6.2076430213712825</v>
      </c>
      <c r="K39" s="3">
        <f>IF(($A39-Ft!G$2)&lt;0,Ft!G$3*((1-Ft!G$6)/(1+Ft!G$37*($A39-Ft!G$2)^2)+Ft!G$6*EXP(Ft!G$38*($A39-Ft!G$2)^2)),Ft!G$3*((1-Ft!G$7)/(1+Ft!G$39*($A39-Ft!G$2)^2)+Ft!G$7*EXP(Ft!G$40*($A39-Ft!G$2)^2)))</f>
        <v>17.672507835664081</v>
      </c>
      <c r="L39" s="3">
        <f>IF(($A39-Ft!H$2)&lt;0,Ft!H$3*((1-Ft!H$6)/(1+Ft!H$37*($A39-Ft!H$2)^2)+Ft!H$6*EXP(Ft!H$38*($A39-Ft!H$2)^2)),Ft!H$3*((1-Ft!H$7)/(1+Ft!H$39*($A39-Ft!H$2)^2)+Ft!H$7*EXP(Ft!H$40*($A39-Ft!H$2)^2)))</f>
        <v>0</v>
      </c>
      <c r="M39" s="3">
        <f>IF(($A39-Ft!I$2)&lt;0,Ft!I$3*((1-Ft!I$6)/(1+Ft!I$37*($A39-Ft!I$2)^2)+Ft!I$6*EXP(Ft!I$38*($A39-Ft!I$2)^2)),Ft!I$3*((1-Ft!I$7)/(1+Ft!I$39*($A39-Ft!I$2)^2)+Ft!I$7*EXP(Ft!I$40*($A39-Ft!I$2)^2)))</f>
        <v>0</v>
      </c>
      <c r="N39" s="3">
        <f>IF(($A39-Ft!J$2)&lt;0,Ft!J$3*((1-Ft!J$6)/(1+Ft!J$37*($A39-Ft!J$2)^2)+Ft!J$6*EXP(Ft!J$38*($A39-Ft!J$2)^2)),Ft!J$3*((1-Ft!J$7)/(1+Ft!J$39*($A39-Ft!J$2)^2)+Ft!J$7*EXP(Ft!J$40*($A39-Ft!J$2)^2)))</f>
        <v>0</v>
      </c>
      <c r="O39" s="3">
        <f>IF(($A39-Ft!K$2)&lt;0,Ft!K$3*((1-Ft!K$6)/(1+Ft!K$37*($A39-Ft!K$2)^2)+Ft!K$6*EXP(Ft!K$38*($A39-Ft!K$2)^2)),Ft!K$3*((1-Ft!K$7)/(1+Ft!K$39*($A39-Ft!K$2)^2)+Ft!K$7*EXP(Ft!K$40*($A39-Ft!K$2)^2)))</f>
        <v>0</v>
      </c>
      <c r="P39"/>
      <c r="Q39"/>
    </row>
    <row r="40" spans="1:17">
      <c r="A40" s="20">
        <v>77</v>
      </c>
      <c r="B40" s="29">
        <v>2.4748765820304897</v>
      </c>
      <c r="C40" s="7">
        <f t="shared" si="1"/>
        <v>2.4434882650661756</v>
      </c>
      <c r="D40" s="3">
        <f t="shared" si="0"/>
        <v>9.8522644185224844E-4</v>
      </c>
      <c r="E40" s="3">
        <f>Ft!$B$12+Ft!$B$14*(Data!A40-Vars!$B$3)</f>
        <v>-200</v>
      </c>
      <c r="F40" s="3">
        <f>IF(($A40-Ft!B$2)&lt;0,Ft!B$3*((1-Ft!B$6)/(1+Ft!B$37*($A40-Ft!B$2)^2)+Ft!B$6*EXP(Ft!B$38*($A40-Ft!B$2)^2)),Ft!B$3*((1-Ft!B$7)/(1+Ft!B$39*($A40-Ft!B$2)^2)+Ft!B$7*EXP(Ft!B$40*($A40-Ft!B$2)^2)))</f>
        <v>146.13508325459929</v>
      </c>
      <c r="G40" s="3">
        <f>IF(($A40-Ft!C$2)&lt;0,Ft!C$3*((1-Ft!C$6)/(1+Ft!C$37*($A40-Ft!C$2)^2)+Ft!C$6*EXP(Ft!C$38*($A40-Ft!C$2)^2)),Ft!C$3*((1-Ft!C$7)/(1+Ft!C$39*($A40-Ft!C$2)^2)+Ft!C$7*EXP(Ft!C$40*($A40-Ft!C$2)^2)))</f>
        <v>26.523804810526922</v>
      </c>
      <c r="H40" s="3">
        <f>IF(($A40-Ft!D$2)&lt;0,Ft!D$3*((1-Ft!D$6)/(1+Ft!D$37*($A40-Ft!D$2)^2)+Ft!D$6*EXP(Ft!D$38*($A40-Ft!D$2)^2)),Ft!D$3*((1-Ft!D$7)/(1+Ft!D$39*($A40-Ft!D$2)^2)+Ft!D$7*EXP(Ft!D$40*($A40-Ft!D$2)^2)))</f>
        <v>9.0783452710541774E-39</v>
      </c>
      <c r="I40" s="3">
        <f>IF(($A40-Ft!E$2)&lt;0,Ft!E$3*((1-Ft!E$6)/(1+Ft!E$37*($A40-Ft!E$2)^2)+Ft!E$6*EXP(Ft!E$38*($A40-Ft!E$2)^2)),Ft!E$3*((1-Ft!E$7)/(1+Ft!E$39*($A40-Ft!E$2)^2)+Ft!E$7*EXP(Ft!E$40*($A40-Ft!E$2)^2)))</f>
        <v>5.5889268967867762</v>
      </c>
      <c r="J40" s="3">
        <f>IF(($A40-Ft!F$2)&lt;0,Ft!F$3*((1-Ft!F$6)/(1+Ft!F$37*($A40-Ft!F$2)^2)+Ft!F$6*EXP(Ft!F$38*($A40-Ft!F$2)^2)),Ft!F$3*((1-Ft!F$7)/(1+Ft!F$39*($A40-Ft!F$2)^2)+Ft!F$7*EXP(Ft!F$40*($A40-Ft!F$2)^2)))</f>
        <v>6.2648074526657211</v>
      </c>
      <c r="K40" s="3">
        <f>IF(($A40-Ft!G$2)&lt;0,Ft!G$3*((1-Ft!G$6)/(1+Ft!G$37*($A40-Ft!G$2)^2)+Ft!G$6*EXP(Ft!G$38*($A40-Ft!G$2)^2)),Ft!G$3*((1-Ft!G$7)/(1+Ft!G$39*($A40-Ft!G$2)^2)+Ft!G$7*EXP(Ft!G$40*($A40-Ft!G$2)^2)))</f>
        <v>17.930865850487461</v>
      </c>
      <c r="L40" s="3">
        <f>IF(($A40-Ft!H$2)&lt;0,Ft!H$3*((1-Ft!H$6)/(1+Ft!H$37*($A40-Ft!H$2)^2)+Ft!H$6*EXP(Ft!H$38*($A40-Ft!H$2)^2)),Ft!H$3*((1-Ft!H$7)/(1+Ft!H$39*($A40-Ft!H$2)^2)+Ft!H$7*EXP(Ft!H$40*($A40-Ft!H$2)^2)))</f>
        <v>0</v>
      </c>
      <c r="M40" s="3">
        <f>IF(($A40-Ft!I$2)&lt;0,Ft!I$3*((1-Ft!I$6)/(1+Ft!I$37*($A40-Ft!I$2)^2)+Ft!I$6*EXP(Ft!I$38*($A40-Ft!I$2)^2)),Ft!I$3*((1-Ft!I$7)/(1+Ft!I$39*($A40-Ft!I$2)^2)+Ft!I$7*EXP(Ft!I$40*($A40-Ft!I$2)^2)))</f>
        <v>0</v>
      </c>
      <c r="N40" s="3">
        <f>IF(($A40-Ft!J$2)&lt;0,Ft!J$3*((1-Ft!J$6)/(1+Ft!J$37*($A40-Ft!J$2)^2)+Ft!J$6*EXP(Ft!J$38*($A40-Ft!J$2)^2)),Ft!J$3*((1-Ft!J$7)/(1+Ft!J$39*($A40-Ft!J$2)^2)+Ft!J$7*EXP(Ft!J$40*($A40-Ft!J$2)^2)))</f>
        <v>0</v>
      </c>
      <c r="O40" s="3">
        <f>IF(($A40-Ft!K$2)&lt;0,Ft!K$3*((1-Ft!K$6)/(1+Ft!K$37*($A40-Ft!K$2)^2)+Ft!K$6*EXP(Ft!K$38*($A40-Ft!K$2)^2)),Ft!K$3*((1-Ft!K$7)/(1+Ft!K$39*($A40-Ft!K$2)^2)+Ft!K$7*EXP(Ft!K$40*($A40-Ft!K$2)^2)))</f>
        <v>0</v>
      </c>
      <c r="P40"/>
      <c r="Q40"/>
    </row>
    <row r="41" spans="1:17">
      <c r="A41" s="20">
        <v>79</v>
      </c>
      <c r="B41" s="29">
        <v>2.5756236463493423</v>
      </c>
      <c r="C41" s="7">
        <f t="shared" si="1"/>
        <v>2.5455759327835636</v>
      </c>
      <c r="D41" s="3">
        <f t="shared" si="0"/>
        <v>9.0286509053107665E-4</v>
      </c>
      <c r="E41" s="3">
        <f>Ft!$B$12+Ft!$B$14*(Data!A41-Vars!$B$3)</f>
        <v>-200</v>
      </c>
      <c r="F41" s="3">
        <f>IF(($A41-Ft!B$2)&lt;0,Ft!B$3*((1-Ft!B$6)/(1+Ft!B$37*($A41-Ft!B$2)^2)+Ft!B$6*EXP(Ft!B$38*($A41-Ft!B$2)^2)),Ft!B$3*((1-Ft!B$7)/(1+Ft!B$39*($A41-Ft!B$2)^2)+Ft!B$7*EXP(Ft!B$40*($A41-Ft!B$2)^2)))</f>
        <v>145.7175950013812</v>
      </c>
      <c r="G41" s="3">
        <f>IF(($A41-Ft!C$2)&lt;0,Ft!C$3*((1-Ft!C$6)/(1+Ft!C$37*($A41-Ft!C$2)^2)+Ft!C$6*EXP(Ft!C$38*($A41-Ft!C$2)^2)),Ft!C$3*((1-Ft!C$7)/(1+Ft!C$39*($A41-Ft!C$2)^2)+Ft!C$7*EXP(Ft!C$40*($A41-Ft!C$2)^2)))</f>
        <v>26.620555086419365</v>
      </c>
      <c r="H41" s="3">
        <f>IF(($A41-Ft!D$2)&lt;0,Ft!D$3*((1-Ft!D$6)/(1+Ft!D$37*($A41-Ft!D$2)^2)+Ft!D$6*EXP(Ft!D$38*($A41-Ft!D$2)^2)),Ft!D$3*((1-Ft!D$7)/(1+Ft!D$39*($A41-Ft!D$2)^2)+Ft!D$7*EXP(Ft!D$40*($A41-Ft!D$2)^2)))</f>
        <v>2.4279087180774533E-38</v>
      </c>
      <c r="I41" s="3">
        <f>IF(($A41-Ft!E$2)&lt;0,Ft!E$3*((1-Ft!E$6)/(1+Ft!E$37*($A41-Ft!E$2)^2)+Ft!E$6*EXP(Ft!E$38*($A41-Ft!E$2)^2)),Ft!E$3*((1-Ft!E$7)/(1+Ft!E$39*($A41-Ft!E$2)^2)+Ft!E$7*EXP(Ft!E$40*($A41-Ft!E$2)^2)))</f>
        <v>5.6938982763492652</v>
      </c>
      <c r="J41" s="3">
        <f>IF(($A41-Ft!F$2)&lt;0,Ft!F$3*((1-Ft!F$6)/(1+Ft!F$37*($A41-Ft!F$2)^2)+Ft!F$6*EXP(Ft!F$38*($A41-Ft!F$2)^2)),Ft!F$3*((1-Ft!F$7)/(1+Ft!F$39*($A41-Ft!F$2)^2)+Ft!F$7*EXP(Ft!F$40*($A41-Ft!F$2)^2)))</f>
        <v>6.3224150255955962</v>
      </c>
      <c r="K41" s="3">
        <f>IF(($A41-Ft!G$2)&lt;0,Ft!G$3*((1-Ft!G$6)/(1+Ft!G$37*($A41-Ft!G$2)^2)+Ft!G$6*EXP(Ft!G$38*($A41-Ft!G$2)^2)),Ft!G$3*((1-Ft!G$7)/(1+Ft!G$39*($A41-Ft!G$2)^2)+Ft!G$7*EXP(Ft!G$40*($A41-Ft!G$2)^2)))</f>
        <v>18.191112543038138</v>
      </c>
      <c r="L41" s="3">
        <f>IF(($A41-Ft!H$2)&lt;0,Ft!H$3*((1-Ft!H$6)/(1+Ft!H$37*($A41-Ft!H$2)^2)+Ft!H$6*EXP(Ft!H$38*($A41-Ft!H$2)^2)),Ft!H$3*((1-Ft!H$7)/(1+Ft!H$39*($A41-Ft!H$2)^2)+Ft!H$7*EXP(Ft!H$40*($A41-Ft!H$2)^2)))</f>
        <v>0</v>
      </c>
      <c r="M41" s="3">
        <f>IF(($A41-Ft!I$2)&lt;0,Ft!I$3*((1-Ft!I$6)/(1+Ft!I$37*($A41-Ft!I$2)^2)+Ft!I$6*EXP(Ft!I$38*($A41-Ft!I$2)^2)),Ft!I$3*((1-Ft!I$7)/(1+Ft!I$39*($A41-Ft!I$2)^2)+Ft!I$7*EXP(Ft!I$40*($A41-Ft!I$2)^2)))</f>
        <v>0</v>
      </c>
      <c r="N41" s="3">
        <f>IF(($A41-Ft!J$2)&lt;0,Ft!J$3*((1-Ft!J$6)/(1+Ft!J$37*($A41-Ft!J$2)^2)+Ft!J$6*EXP(Ft!J$38*($A41-Ft!J$2)^2)),Ft!J$3*((1-Ft!J$7)/(1+Ft!J$39*($A41-Ft!J$2)^2)+Ft!J$7*EXP(Ft!J$40*($A41-Ft!J$2)^2)))</f>
        <v>0</v>
      </c>
      <c r="O41" s="3">
        <f>IF(($A41-Ft!K$2)&lt;0,Ft!K$3*((1-Ft!K$6)/(1+Ft!K$37*($A41-Ft!K$2)^2)+Ft!K$6*EXP(Ft!K$38*($A41-Ft!K$2)^2)),Ft!K$3*((1-Ft!K$7)/(1+Ft!K$39*($A41-Ft!K$2)^2)+Ft!K$7*EXP(Ft!K$40*($A41-Ft!K$2)^2)))</f>
        <v>0</v>
      </c>
      <c r="P41"/>
      <c r="Q41"/>
    </row>
    <row r="42" spans="1:17">
      <c r="A42" s="20">
        <v>81</v>
      </c>
      <c r="B42" s="29">
        <v>2.6785269395048772</v>
      </c>
      <c r="C42" s="7">
        <f t="shared" si="1"/>
        <v>2.6501424598963261</v>
      </c>
      <c r="D42" s="3">
        <f t="shared" si="0"/>
        <v>8.0567868264825096E-4</v>
      </c>
      <c r="E42" s="3">
        <f>Ft!$B$12+Ft!$B$14*(Data!A42-Vars!$B$3)</f>
        <v>-200</v>
      </c>
      <c r="F42" s="3">
        <f>IF(($A42-Ft!B$2)&lt;0,Ft!B$3*((1-Ft!B$6)/(1+Ft!B$37*($A42-Ft!B$2)^2)+Ft!B$6*EXP(Ft!B$38*($A42-Ft!B$2)^2)),Ft!B$3*((1-Ft!B$7)/(1+Ft!B$39*($A42-Ft!B$2)^2)+Ft!B$7*EXP(Ft!B$40*($A42-Ft!B$2)^2)))</f>
        <v>145.29852615356324</v>
      </c>
      <c r="G42" s="3">
        <f>IF(($A42-Ft!C$2)&lt;0,Ft!C$3*((1-Ft!C$6)/(1+Ft!C$37*($A42-Ft!C$2)^2)+Ft!C$6*EXP(Ft!C$38*($A42-Ft!C$2)^2)),Ft!C$3*((1-Ft!C$7)/(1+Ft!C$39*($A42-Ft!C$2)^2)+Ft!C$7*EXP(Ft!C$40*($A42-Ft!C$2)^2)))</f>
        <v>26.717422205947472</v>
      </c>
      <c r="H42" s="3">
        <f>IF(($A42-Ft!D$2)&lt;0,Ft!D$3*((1-Ft!D$6)/(1+Ft!D$37*($A42-Ft!D$2)^2)+Ft!D$6*EXP(Ft!D$38*($A42-Ft!D$2)^2)),Ft!D$3*((1-Ft!D$7)/(1+Ft!D$39*($A42-Ft!D$2)^2)+Ft!D$7*EXP(Ft!D$40*($A42-Ft!D$2)^2)))</f>
        <v>6.4574655844773461E-38</v>
      </c>
      <c r="I42" s="3">
        <f>IF(($A42-Ft!E$2)&lt;0,Ft!E$3*((1-Ft!E$6)/(1+Ft!E$37*($A42-Ft!E$2)^2)+Ft!E$6*EXP(Ft!E$38*($A42-Ft!E$2)^2)),Ft!E$3*((1-Ft!E$7)/(1+Ft!E$39*($A42-Ft!E$2)^2)+Ft!E$7*EXP(Ft!E$40*($A42-Ft!E$2)^2)))</f>
        <v>5.8005049001208642</v>
      </c>
      <c r="J42" s="3">
        <f>IF(($A42-Ft!F$2)&lt;0,Ft!F$3*((1-Ft!F$6)/(1+Ft!F$37*($A42-Ft!F$2)^2)+Ft!F$6*EXP(Ft!F$38*($A42-Ft!F$2)^2)),Ft!F$3*((1-Ft!F$7)/(1+Ft!F$39*($A42-Ft!F$2)^2)+Ft!F$7*EXP(Ft!F$40*($A42-Ft!F$2)^2)))</f>
        <v>6.3804682906374133</v>
      </c>
      <c r="K42" s="3">
        <f>IF(($A42-Ft!G$2)&lt;0,Ft!G$3*((1-Ft!G$6)/(1+Ft!G$37*($A42-Ft!G$2)^2)+Ft!G$6*EXP(Ft!G$38*($A42-Ft!G$2)^2)),Ft!G$3*((1-Ft!G$7)/(1+Ft!G$39*($A42-Ft!G$2)^2)+Ft!G$7*EXP(Ft!G$40*($A42-Ft!G$2)^2)))</f>
        <v>18.453220909627333</v>
      </c>
      <c r="L42" s="3">
        <f>IF(($A42-Ft!H$2)&lt;0,Ft!H$3*((1-Ft!H$6)/(1+Ft!H$37*($A42-Ft!H$2)^2)+Ft!H$6*EXP(Ft!H$38*($A42-Ft!H$2)^2)),Ft!H$3*((1-Ft!H$7)/(1+Ft!H$39*($A42-Ft!H$2)^2)+Ft!H$7*EXP(Ft!H$40*($A42-Ft!H$2)^2)))</f>
        <v>0</v>
      </c>
      <c r="M42" s="3">
        <f>IF(($A42-Ft!I$2)&lt;0,Ft!I$3*((1-Ft!I$6)/(1+Ft!I$37*($A42-Ft!I$2)^2)+Ft!I$6*EXP(Ft!I$38*($A42-Ft!I$2)^2)),Ft!I$3*((1-Ft!I$7)/(1+Ft!I$39*($A42-Ft!I$2)^2)+Ft!I$7*EXP(Ft!I$40*($A42-Ft!I$2)^2)))</f>
        <v>0</v>
      </c>
      <c r="N42" s="3">
        <f>IF(($A42-Ft!J$2)&lt;0,Ft!J$3*((1-Ft!J$6)/(1+Ft!J$37*($A42-Ft!J$2)^2)+Ft!J$6*EXP(Ft!J$38*($A42-Ft!J$2)^2)),Ft!J$3*((1-Ft!J$7)/(1+Ft!J$39*($A42-Ft!J$2)^2)+Ft!J$7*EXP(Ft!J$40*($A42-Ft!J$2)^2)))</f>
        <v>0</v>
      </c>
      <c r="O42" s="3">
        <f>IF(($A42-Ft!K$2)&lt;0,Ft!K$3*((1-Ft!K$6)/(1+Ft!K$37*($A42-Ft!K$2)^2)+Ft!K$6*EXP(Ft!K$38*($A42-Ft!K$2)^2)),Ft!K$3*((1-Ft!K$7)/(1+Ft!K$39*($A42-Ft!K$2)^2)+Ft!K$7*EXP(Ft!K$40*($A42-Ft!K$2)^2)))</f>
        <v>0</v>
      </c>
      <c r="P42"/>
      <c r="Q42"/>
    </row>
    <row r="43" spans="1:17">
      <c r="A43" s="20">
        <v>83</v>
      </c>
      <c r="B43" s="29">
        <v>2.7835900673648837</v>
      </c>
      <c r="C43" s="7">
        <f t="shared" si="1"/>
        <v>2.7571997934807655</v>
      </c>
      <c r="D43" s="3">
        <f t="shared" si="0"/>
        <v>6.9644655567877045E-4</v>
      </c>
      <c r="E43" s="3">
        <f>Ft!$B$12+Ft!$B$14*(Data!A43-Vars!$B$3)</f>
        <v>-200</v>
      </c>
      <c r="F43" s="3">
        <f>IF(($A43-Ft!B$2)&lt;0,Ft!B$3*((1-Ft!B$6)/(1+Ft!B$37*($A43-Ft!B$2)^2)+Ft!B$6*EXP(Ft!B$38*($A43-Ft!B$2)^2)),Ft!B$3*((1-Ft!B$7)/(1+Ft!B$39*($A43-Ft!B$2)^2)+Ft!B$7*EXP(Ft!B$40*($A43-Ft!B$2)^2)))</f>
        <v>144.87789723093761</v>
      </c>
      <c r="G43" s="3">
        <f>IF(($A43-Ft!C$2)&lt;0,Ft!C$3*((1-Ft!C$6)/(1+Ft!C$37*($A43-Ft!C$2)^2)+Ft!C$6*EXP(Ft!C$38*($A43-Ft!C$2)^2)),Ft!C$3*((1-Ft!C$7)/(1+Ft!C$39*($A43-Ft!C$2)^2)+Ft!C$7*EXP(Ft!C$40*($A43-Ft!C$2)^2)))</f>
        <v>26.814404879384217</v>
      </c>
      <c r="H43" s="3">
        <f>IF(($A43-Ft!D$2)&lt;0,Ft!D$3*((1-Ft!D$6)/(1+Ft!D$37*($A43-Ft!D$2)^2)+Ft!D$6*EXP(Ft!D$38*($A43-Ft!D$2)^2)),Ft!D$3*((1-Ft!D$7)/(1+Ft!D$39*($A43-Ft!D$2)^2)+Ft!D$7*EXP(Ft!D$40*($A43-Ft!D$2)^2)))</f>
        <v>1.7080317249625719E-37</v>
      </c>
      <c r="I43" s="3">
        <f>IF(($A43-Ft!E$2)&lt;0,Ft!E$3*((1-Ft!E$6)/(1+Ft!E$37*($A43-Ft!E$2)^2)+Ft!E$6*EXP(Ft!E$38*($A43-Ft!E$2)^2)),Ft!E$3*((1-Ft!E$7)/(1+Ft!E$39*($A43-Ft!E$2)^2)+Ft!E$7*EXP(Ft!E$40*($A43-Ft!E$2)^2)))</f>
        <v>5.9087649069405561</v>
      </c>
      <c r="J43" s="3">
        <f>IF(($A43-Ft!F$2)&lt;0,Ft!F$3*((1-Ft!F$6)/(1+Ft!F$37*($A43-Ft!F$2)^2)+Ft!F$6*EXP(Ft!F$38*($A43-Ft!F$2)^2)),Ft!F$3*((1-Ft!F$7)/(1+Ft!F$39*($A43-Ft!F$2)^2)+Ft!F$7*EXP(Ft!F$40*($A43-Ft!F$2)^2)))</f>
        <v>6.4389698040128467</v>
      </c>
      <c r="K43" s="3">
        <f>IF(($A43-Ft!G$2)&lt;0,Ft!G$3*((1-Ft!G$6)/(1+Ft!G$37*($A43-Ft!G$2)^2)+Ft!G$6*EXP(Ft!G$38*($A43-Ft!G$2)^2)),Ft!G$3*((1-Ft!G$7)/(1+Ft!G$39*($A43-Ft!G$2)^2)+Ft!G$7*EXP(Ft!G$40*($A43-Ft!G$2)^2)))</f>
        <v>18.717162972205539</v>
      </c>
      <c r="L43" s="3">
        <f>IF(($A43-Ft!H$2)&lt;0,Ft!H$3*((1-Ft!H$6)/(1+Ft!H$37*($A43-Ft!H$2)^2)+Ft!H$6*EXP(Ft!H$38*($A43-Ft!H$2)^2)),Ft!H$3*((1-Ft!H$7)/(1+Ft!H$39*($A43-Ft!H$2)^2)+Ft!H$7*EXP(Ft!H$40*($A43-Ft!H$2)^2)))</f>
        <v>0</v>
      </c>
      <c r="M43" s="3">
        <f>IF(($A43-Ft!I$2)&lt;0,Ft!I$3*((1-Ft!I$6)/(1+Ft!I$37*($A43-Ft!I$2)^2)+Ft!I$6*EXP(Ft!I$38*($A43-Ft!I$2)^2)),Ft!I$3*((1-Ft!I$7)/(1+Ft!I$39*($A43-Ft!I$2)^2)+Ft!I$7*EXP(Ft!I$40*($A43-Ft!I$2)^2)))</f>
        <v>0</v>
      </c>
      <c r="N43" s="3">
        <f>IF(($A43-Ft!J$2)&lt;0,Ft!J$3*((1-Ft!J$6)/(1+Ft!J$37*($A43-Ft!J$2)^2)+Ft!J$6*EXP(Ft!J$38*($A43-Ft!J$2)^2)),Ft!J$3*((1-Ft!J$7)/(1+Ft!J$39*($A43-Ft!J$2)^2)+Ft!J$7*EXP(Ft!J$40*($A43-Ft!J$2)^2)))</f>
        <v>0</v>
      </c>
      <c r="O43" s="3">
        <f>IF(($A43-Ft!K$2)&lt;0,Ft!K$3*((1-Ft!K$6)/(1+Ft!K$37*($A43-Ft!K$2)^2)+Ft!K$6*EXP(Ft!K$38*($A43-Ft!K$2)^2)),Ft!K$3*((1-Ft!K$7)/(1+Ft!K$39*($A43-Ft!K$2)^2)+Ft!K$7*EXP(Ft!K$40*($A43-Ft!K$2)^2)))</f>
        <v>0</v>
      </c>
      <c r="P43"/>
      <c r="Q43"/>
    </row>
    <row r="44" spans="1:17">
      <c r="A44" s="20">
        <v>85</v>
      </c>
      <c r="B44" s="29">
        <v>2.890816244592969</v>
      </c>
      <c r="C44" s="7">
        <f t="shared" si="1"/>
        <v>2.866758980617746</v>
      </c>
      <c r="D44" s="3">
        <f t="shared" si="0"/>
        <v>5.7875194997356277E-4</v>
      </c>
      <c r="E44" s="3">
        <f>Ft!$B$12+Ft!$B$14*(Data!A44-Vars!$B$3)</f>
        <v>-200</v>
      </c>
      <c r="F44" s="3">
        <f>IF(($A44-Ft!B$2)&lt;0,Ft!B$3*((1-Ft!B$6)/(1+Ft!B$37*($A44-Ft!B$2)^2)+Ft!B$6*EXP(Ft!B$38*($A44-Ft!B$2)^2)),Ft!B$3*((1-Ft!B$7)/(1+Ft!B$39*($A44-Ft!B$2)^2)+Ft!B$7*EXP(Ft!B$40*($A44-Ft!B$2)^2)))</f>
        <v>144.45572878328898</v>
      </c>
      <c r="G44" s="3">
        <f>IF(($A44-Ft!C$2)&lt;0,Ft!C$3*((1-Ft!C$6)/(1+Ft!C$37*($A44-Ft!C$2)^2)+Ft!C$6*EXP(Ft!C$38*($A44-Ft!C$2)^2)),Ft!C$3*((1-Ft!C$7)/(1+Ft!C$39*($A44-Ft!C$2)^2)+Ft!C$7*EXP(Ft!C$40*($A44-Ft!C$2)^2)))</f>
        <v>26.911501809246683</v>
      </c>
      <c r="H44" s="3">
        <f>IF(($A44-Ft!D$2)&lt;0,Ft!D$3*((1-Ft!D$6)/(1+Ft!D$37*($A44-Ft!D$2)^2)+Ft!D$6*EXP(Ft!D$38*($A44-Ft!D$2)^2)),Ft!D$3*((1-Ft!D$7)/(1+Ft!D$39*($A44-Ft!D$2)^2)+Ft!D$7*EXP(Ft!D$40*($A44-Ft!D$2)^2)))</f>
        <v>4.4929734561613878E-37</v>
      </c>
      <c r="I44" s="3">
        <f>IF(($A44-Ft!E$2)&lt;0,Ft!E$3*((1-Ft!E$6)/(1+Ft!E$37*($A44-Ft!E$2)^2)+Ft!E$6*EXP(Ft!E$38*($A44-Ft!E$2)^2)),Ft!E$3*((1-Ft!E$7)/(1+Ft!E$39*($A44-Ft!E$2)^2)+Ft!E$7*EXP(Ft!E$40*($A44-Ft!E$2)^2)))</f>
        <v>6.018696484453109</v>
      </c>
      <c r="J44" s="3">
        <f>IF(($A44-Ft!F$2)&lt;0,Ft!F$3*((1-Ft!F$6)/(1+Ft!F$37*($A44-Ft!F$2)^2)+Ft!F$6*EXP(Ft!F$38*($A44-Ft!F$2)^2)),Ft!F$3*((1-Ft!F$7)/(1+Ft!F$39*($A44-Ft!F$2)^2)+Ft!F$7*EXP(Ft!F$40*($A44-Ft!F$2)^2)))</f>
        <v>6.4979221276062171</v>
      </c>
      <c r="K44" s="3">
        <f>IF(($A44-Ft!G$2)&lt;0,Ft!G$3*((1-Ft!G$6)/(1+Ft!G$37*($A44-Ft!G$2)^2)+Ft!G$6*EXP(Ft!G$38*($A44-Ft!G$2)^2)),Ft!G$3*((1-Ft!G$7)/(1+Ft!G$39*($A44-Ft!G$2)^2)+Ft!G$7*EXP(Ft!G$40*($A44-Ft!G$2)^2)))</f>
        <v>18.982909776022762</v>
      </c>
      <c r="L44" s="3">
        <f>IF(($A44-Ft!H$2)&lt;0,Ft!H$3*((1-Ft!H$6)/(1+Ft!H$37*($A44-Ft!H$2)^2)+Ft!H$6*EXP(Ft!H$38*($A44-Ft!H$2)^2)),Ft!H$3*((1-Ft!H$7)/(1+Ft!H$39*($A44-Ft!H$2)^2)+Ft!H$7*EXP(Ft!H$40*($A44-Ft!H$2)^2)))</f>
        <v>0</v>
      </c>
      <c r="M44" s="3">
        <f>IF(($A44-Ft!I$2)&lt;0,Ft!I$3*((1-Ft!I$6)/(1+Ft!I$37*($A44-Ft!I$2)^2)+Ft!I$6*EXP(Ft!I$38*($A44-Ft!I$2)^2)),Ft!I$3*((1-Ft!I$7)/(1+Ft!I$39*($A44-Ft!I$2)^2)+Ft!I$7*EXP(Ft!I$40*($A44-Ft!I$2)^2)))</f>
        <v>0</v>
      </c>
      <c r="N44" s="3">
        <f>IF(($A44-Ft!J$2)&lt;0,Ft!J$3*((1-Ft!J$6)/(1+Ft!J$37*($A44-Ft!J$2)^2)+Ft!J$6*EXP(Ft!J$38*($A44-Ft!J$2)^2)),Ft!J$3*((1-Ft!J$7)/(1+Ft!J$39*($A44-Ft!J$2)^2)+Ft!J$7*EXP(Ft!J$40*($A44-Ft!J$2)^2)))</f>
        <v>0</v>
      </c>
      <c r="O44" s="3">
        <f>IF(($A44-Ft!K$2)&lt;0,Ft!K$3*((1-Ft!K$6)/(1+Ft!K$37*($A44-Ft!K$2)^2)+Ft!K$6*EXP(Ft!K$38*($A44-Ft!K$2)^2)),Ft!K$3*((1-Ft!K$7)/(1+Ft!K$39*($A44-Ft!K$2)^2)+Ft!K$7*EXP(Ft!K$40*($A44-Ft!K$2)^2)))</f>
        <v>0</v>
      </c>
      <c r="P44"/>
      <c r="Q44"/>
    </row>
    <row r="45" spans="1:17">
      <c r="A45" s="20">
        <v>87</v>
      </c>
      <c r="B45" s="29">
        <v>3.0002082930443663</v>
      </c>
      <c r="C45" s="7">
        <f t="shared" si="1"/>
        <v>2.9788301614640602</v>
      </c>
      <c r="D45" s="3">
        <f t="shared" si="0"/>
        <v>4.5702450986488116E-4</v>
      </c>
      <c r="E45" s="3">
        <f>Ft!$B$12+Ft!$B$14*(Data!A45-Vars!$B$3)</f>
        <v>-200</v>
      </c>
      <c r="F45" s="3">
        <f>IF(($A45-Ft!B$2)&lt;0,Ft!B$3*((1-Ft!B$6)/(1+Ft!B$37*($A45-Ft!B$2)^2)+Ft!B$6*EXP(Ft!B$38*($A45-Ft!B$2)^2)),Ft!B$3*((1-Ft!B$7)/(1+Ft!B$39*($A45-Ft!B$2)^2)+Ft!B$7*EXP(Ft!B$40*($A45-Ft!B$2)^2)))</f>
        <v>144.03204138874111</v>
      </c>
      <c r="G45" s="3">
        <f>IF(($A45-Ft!C$2)&lt;0,Ft!C$3*((1-Ft!C$6)/(1+Ft!C$37*($A45-Ft!C$2)^2)+Ft!C$6*EXP(Ft!C$38*($A45-Ft!C$2)^2)),Ft!C$3*((1-Ft!C$7)/(1+Ft!C$39*($A45-Ft!C$2)^2)+Ft!C$7*EXP(Ft!C$40*($A45-Ft!C$2)^2)))</f>
        <v>27.008711690313806</v>
      </c>
      <c r="H45" s="3">
        <f>IF(($A45-Ft!D$2)&lt;0,Ft!D$3*((1-Ft!D$6)/(1+Ft!D$37*($A45-Ft!D$2)^2)+Ft!D$6*EXP(Ft!D$38*($A45-Ft!D$2)^2)),Ft!D$3*((1-Ft!D$7)/(1+Ft!D$39*($A45-Ft!D$2)^2)+Ft!D$7*EXP(Ft!D$40*($A45-Ft!D$2)^2)))</f>
        <v>1.1753734050093806E-36</v>
      </c>
      <c r="I45" s="3">
        <f>IF(($A45-Ft!E$2)&lt;0,Ft!E$3*((1-Ft!E$6)/(1+Ft!E$37*($A45-Ft!E$2)^2)+Ft!E$6*EXP(Ft!E$38*($A45-Ft!E$2)^2)),Ft!E$3*((1-Ft!E$7)/(1+Ft!E$39*($A45-Ft!E$2)^2)+Ft!E$7*EXP(Ft!E$40*($A45-Ft!E$2)^2)))</f>
        <v>6.1303178657626853</v>
      </c>
      <c r="J45" s="3">
        <f>IF(($A45-Ft!F$2)&lt;0,Ft!F$3*((1-Ft!F$6)/(1+Ft!F$37*($A45-Ft!F$2)^2)+Ft!F$6*EXP(Ft!F$38*($A45-Ft!F$2)^2)),Ft!F$3*((1-Ft!F$7)/(1+Ft!F$39*($A45-Ft!F$2)^2)+Ft!F$7*EXP(Ft!F$40*($A45-Ft!F$2)^2)))</f>
        <v>6.5573278288808341</v>
      </c>
      <c r="K45" s="3">
        <f>IF(($A45-Ft!G$2)&lt;0,Ft!G$3*((1-Ft!G$6)/(1+Ft!G$37*($A45-Ft!G$2)^2)+Ft!G$6*EXP(Ft!G$38*($A45-Ft!G$2)^2)),Ft!G$3*((1-Ft!G$7)/(1+Ft!G$39*($A45-Ft!G$2)^2)+Ft!G$7*EXP(Ft!G$40*($A45-Ft!G$2)^2)))</f>
        <v>19.25043138776563</v>
      </c>
      <c r="L45" s="3">
        <f>IF(($A45-Ft!H$2)&lt;0,Ft!H$3*((1-Ft!H$6)/(1+Ft!H$37*($A45-Ft!H$2)^2)+Ft!H$6*EXP(Ft!H$38*($A45-Ft!H$2)^2)),Ft!H$3*((1-Ft!H$7)/(1+Ft!H$39*($A45-Ft!H$2)^2)+Ft!H$7*EXP(Ft!H$40*($A45-Ft!H$2)^2)))</f>
        <v>0</v>
      </c>
      <c r="M45" s="3">
        <f>IF(($A45-Ft!I$2)&lt;0,Ft!I$3*((1-Ft!I$6)/(1+Ft!I$37*($A45-Ft!I$2)^2)+Ft!I$6*EXP(Ft!I$38*($A45-Ft!I$2)^2)),Ft!I$3*((1-Ft!I$7)/(1+Ft!I$39*($A45-Ft!I$2)^2)+Ft!I$7*EXP(Ft!I$40*($A45-Ft!I$2)^2)))</f>
        <v>0</v>
      </c>
      <c r="N45" s="3">
        <f>IF(($A45-Ft!J$2)&lt;0,Ft!J$3*((1-Ft!J$6)/(1+Ft!J$37*($A45-Ft!J$2)^2)+Ft!J$6*EXP(Ft!J$38*($A45-Ft!J$2)^2)),Ft!J$3*((1-Ft!J$7)/(1+Ft!J$39*($A45-Ft!J$2)^2)+Ft!J$7*EXP(Ft!J$40*($A45-Ft!J$2)^2)))</f>
        <v>0</v>
      </c>
      <c r="O45" s="3">
        <f>IF(($A45-Ft!K$2)&lt;0,Ft!K$3*((1-Ft!K$6)/(1+Ft!K$37*($A45-Ft!K$2)^2)+Ft!K$6*EXP(Ft!K$38*($A45-Ft!K$2)^2)),Ft!K$3*((1-Ft!K$7)/(1+Ft!K$39*($A45-Ft!K$2)^2)+Ft!K$7*EXP(Ft!K$40*($A45-Ft!K$2)^2)))</f>
        <v>0</v>
      </c>
      <c r="P45"/>
      <c r="Q45"/>
    </row>
    <row r="46" spans="1:17">
      <c r="A46" s="20">
        <v>89</v>
      </c>
      <c r="B46" s="29">
        <v>3.1117686402522224</v>
      </c>
      <c r="C46" s="7">
        <f t="shared" si="1"/>
        <v>3.0934225627345455</v>
      </c>
      <c r="D46" s="3">
        <f t="shared" si="0"/>
        <v>3.3657856028461046E-4</v>
      </c>
      <c r="E46" s="3">
        <f>Ft!$B$12+Ft!$B$14*(Data!A46-Vars!$B$3)</f>
        <v>-200</v>
      </c>
      <c r="F46" s="3">
        <f>IF(($A46-Ft!B$2)&lt;0,Ft!B$3*((1-Ft!B$6)/(1+Ft!B$37*($A46-Ft!B$2)^2)+Ft!B$6*EXP(Ft!B$38*($A46-Ft!B$2)^2)),Ft!B$3*((1-Ft!B$7)/(1+Ft!B$39*($A46-Ft!B$2)^2)+Ft!B$7*EXP(Ft!B$40*($A46-Ft!B$2)^2)))</f>
        <v>143.60685565210548</v>
      </c>
      <c r="G46" s="3">
        <f>IF(($A46-Ft!C$2)&lt;0,Ft!C$3*((1-Ft!C$6)/(1+Ft!C$37*($A46-Ft!C$2)^2)+Ft!C$6*EXP(Ft!C$38*($A46-Ft!C$2)^2)),Ft!C$3*((1-Ft!C$7)/(1+Ft!C$39*($A46-Ft!C$2)^2)+Ft!C$7*EXP(Ft!C$40*($A46-Ft!C$2)^2)))</f>
        <v>27.106033209644607</v>
      </c>
      <c r="H46" s="3">
        <f>IF(($A46-Ft!D$2)&lt;0,Ft!D$3*((1-Ft!D$6)/(1+Ft!D$37*($A46-Ft!D$2)^2)+Ft!D$6*EXP(Ft!D$38*($A46-Ft!D$2)^2)),Ft!D$3*((1-Ft!D$7)/(1+Ft!D$39*($A46-Ft!D$2)^2)+Ft!D$7*EXP(Ft!D$40*($A46-Ft!D$2)^2)))</f>
        <v>3.0578906695404294E-36</v>
      </c>
      <c r="I46" s="3">
        <f>IF(($A46-Ft!E$2)&lt;0,Ft!E$3*((1-Ft!E$6)/(1+Ft!E$37*($A46-Ft!E$2)^2)+Ft!E$6*EXP(Ft!E$38*($A46-Ft!E$2)^2)),Ft!E$3*((1-Ft!E$7)/(1+Ft!E$39*($A46-Ft!E$2)^2)+Ft!E$7*EXP(Ft!E$40*($A46-Ft!E$2)^2)))</f>
        <v>6.2436473260108656</v>
      </c>
      <c r="J46" s="3">
        <f>IF(($A46-Ft!F$2)&lt;0,Ft!F$3*((1-Ft!F$6)/(1+Ft!F$37*($A46-Ft!F$2)^2)+Ft!F$6*EXP(Ft!F$38*($A46-Ft!F$2)^2)),Ft!F$3*((1-Ft!F$7)/(1+Ft!F$39*($A46-Ft!F$2)^2)+Ft!F$7*EXP(Ft!F$40*($A46-Ft!F$2)^2)))</f>
        <v>6.617189480794182</v>
      </c>
      <c r="K46" s="3">
        <f>IF(($A46-Ft!G$2)&lt;0,Ft!G$3*((1-Ft!G$6)/(1+Ft!G$37*($A46-Ft!G$2)^2)+Ft!G$6*EXP(Ft!G$38*($A46-Ft!G$2)^2)),Ft!G$3*((1-Ft!G$7)/(1+Ft!G$39*($A46-Ft!G$2)^2)+Ft!G$7*EXP(Ft!G$40*($A46-Ft!G$2)^2)))</f>
        <v>19.519696894179411</v>
      </c>
      <c r="L46" s="3">
        <f>IF(($A46-Ft!H$2)&lt;0,Ft!H$3*((1-Ft!H$6)/(1+Ft!H$37*($A46-Ft!H$2)^2)+Ft!H$6*EXP(Ft!H$38*($A46-Ft!H$2)^2)),Ft!H$3*((1-Ft!H$7)/(1+Ft!H$39*($A46-Ft!H$2)^2)+Ft!H$7*EXP(Ft!H$40*($A46-Ft!H$2)^2)))</f>
        <v>0</v>
      </c>
      <c r="M46" s="3">
        <f>IF(($A46-Ft!I$2)&lt;0,Ft!I$3*((1-Ft!I$6)/(1+Ft!I$37*($A46-Ft!I$2)^2)+Ft!I$6*EXP(Ft!I$38*($A46-Ft!I$2)^2)),Ft!I$3*((1-Ft!I$7)/(1+Ft!I$39*($A46-Ft!I$2)^2)+Ft!I$7*EXP(Ft!I$40*($A46-Ft!I$2)^2)))</f>
        <v>0</v>
      </c>
      <c r="N46" s="3">
        <f>IF(($A46-Ft!J$2)&lt;0,Ft!J$3*((1-Ft!J$6)/(1+Ft!J$37*($A46-Ft!J$2)^2)+Ft!J$6*EXP(Ft!J$38*($A46-Ft!J$2)^2)),Ft!J$3*((1-Ft!J$7)/(1+Ft!J$39*($A46-Ft!J$2)^2)+Ft!J$7*EXP(Ft!J$40*($A46-Ft!J$2)^2)))</f>
        <v>0</v>
      </c>
      <c r="O46" s="3">
        <f>IF(($A46-Ft!K$2)&lt;0,Ft!K$3*((1-Ft!K$6)/(1+Ft!K$37*($A46-Ft!K$2)^2)+Ft!K$6*EXP(Ft!K$38*($A46-Ft!K$2)^2)),Ft!K$3*((1-Ft!K$7)/(1+Ft!K$39*($A46-Ft!K$2)^2)+Ft!K$7*EXP(Ft!K$40*($A46-Ft!K$2)^2)))</f>
        <v>0</v>
      </c>
      <c r="P46"/>
      <c r="Q46"/>
    </row>
    <row r="47" spans="1:17">
      <c r="A47" s="20">
        <v>91</v>
      </c>
      <c r="B47" s="29">
        <v>3.2254993180050491</v>
      </c>
      <c r="C47" s="7">
        <f t="shared" si="1"/>
        <v>3.2105444916024375</v>
      </c>
      <c r="D47" s="3">
        <f t="shared" si="0"/>
        <v>2.2364683273224864E-4</v>
      </c>
      <c r="E47" s="3">
        <f>Ft!$B$12+Ft!$B$14*(Data!A47-Vars!$B$3)</f>
        <v>-200</v>
      </c>
      <c r="F47" s="3">
        <f>IF(($A47-Ft!B$2)&lt;0,Ft!B$3*((1-Ft!B$6)/(1+Ft!B$37*($A47-Ft!B$2)^2)+Ft!B$6*EXP(Ft!B$38*($A47-Ft!B$2)^2)),Ft!B$3*((1-Ft!B$7)/(1+Ft!B$39*($A47-Ft!B$2)^2)+Ft!B$7*EXP(Ft!B$40*($A47-Ft!B$2)^2)))</f>
        <v>143.18019220323222</v>
      </c>
      <c r="G47" s="3">
        <f>IF(($A47-Ft!C$2)&lt;0,Ft!C$3*((1-Ft!C$6)/(1+Ft!C$37*($A47-Ft!C$2)^2)+Ft!C$6*EXP(Ft!C$38*($A47-Ft!C$2)^2)),Ft!C$3*((1-Ft!C$7)/(1+Ft!C$39*($A47-Ft!C$2)^2)+Ft!C$7*EXP(Ft!C$40*($A47-Ft!C$2)^2)))</f>
        <v>27.203465046596772</v>
      </c>
      <c r="H47" s="3">
        <f>IF(($A47-Ft!D$2)&lt;0,Ft!D$3*((1-Ft!D$6)/(1+Ft!D$37*($A47-Ft!D$2)^2)+Ft!D$6*EXP(Ft!D$38*($A47-Ft!D$2)^2)),Ft!D$3*((1-Ft!D$7)/(1+Ft!D$39*($A47-Ft!D$2)^2)+Ft!D$7*EXP(Ft!D$40*($A47-Ft!D$2)^2)))</f>
        <v>7.9117423331873388E-36</v>
      </c>
      <c r="I47" s="3">
        <f>IF(($A47-Ft!E$2)&lt;0,Ft!E$3*((1-Ft!E$6)/(1+Ft!E$37*($A47-Ft!E$2)^2)+Ft!E$6*EXP(Ft!E$38*($A47-Ft!E$2)^2)),Ft!E$3*((1-Ft!E$7)/(1+Ft!E$39*($A47-Ft!E$2)^2)+Ft!E$7*EXP(Ft!E$40*($A47-Ft!E$2)^2)))</f>
        <v>6.3587031788787725</v>
      </c>
      <c r="J47" s="3">
        <f>IF(($A47-Ft!F$2)&lt;0,Ft!F$3*((1-Ft!F$6)/(1+Ft!F$37*($A47-Ft!F$2)^2)+Ft!F$6*EXP(Ft!F$38*($A47-Ft!F$2)^2)),Ft!F$3*((1-Ft!F$7)/(1+Ft!F$39*($A47-Ft!F$2)^2)+Ft!F$7*EXP(Ft!F$40*($A47-Ft!F$2)^2)))</f>
        <v>6.6775096617120111</v>
      </c>
      <c r="K47" s="3">
        <f>IF(($A47-Ft!G$2)&lt;0,Ft!G$3*((1-Ft!G$6)/(1+Ft!G$37*($A47-Ft!G$2)^2)+Ft!G$6*EXP(Ft!G$38*($A47-Ft!G$2)^2)),Ft!G$3*((1-Ft!G$7)/(1+Ft!G$39*($A47-Ft!G$2)^2)+Ft!G$7*EXP(Ft!G$40*($A47-Ft!G$2)^2)))</f>
        <v>19.790674401182656</v>
      </c>
      <c r="L47" s="3">
        <f>IF(($A47-Ft!H$2)&lt;0,Ft!H$3*((1-Ft!H$6)/(1+Ft!H$37*($A47-Ft!H$2)^2)+Ft!H$6*EXP(Ft!H$38*($A47-Ft!H$2)^2)),Ft!H$3*((1-Ft!H$7)/(1+Ft!H$39*($A47-Ft!H$2)^2)+Ft!H$7*EXP(Ft!H$40*($A47-Ft!H$2)^2)))</f>
        <v>0</v>
      </c>
      <c r="M47" s="3">
        <f>IF(($A47-Ft!I$2)&lt;0,Ft!I$3*((1-Ft!I$6)/(1+Ft!I$37*($A47-Ft!I$2)^2)+Ft!I$6*EXP(Ft!I$38*($A47-Ft!I$2)^2)),Ft!I$3*((1-Ft!I$7)/(1+Ft!I$39*($A47-Ft!I$2)^2)+Ft!I$7*EXP(Ft!I$40*($A47-Ft!I$2)^2)))</f>
        <v>0</v>
      </c>
      <c r="N47" s="3">
        <f>IF(($A47-Ft!J$2)&lt;0,Ft!J$3*((1-Ft!J$6)/(1+Ft!J$37*($A47-Ft!J$2)^2)+Ft!J$6*EXP(Ft!J$38*($A47-Ft!J$2)^2)),Ft!J$3*((1-Ft!J$7)/(1+Ft!J$39*($A47-Ft!J$2)^2)+Ft!J$7*EXP(Ft!J$40*($A47-Ft!J$2)^2)))</f>
        <v>0</v>
      </c>
      <c r="O47" s="3">
        <f>IF(($A47-Ft!K$2)&lt;0,Ft!K$3*((1-Ft!K$6)/(1+Ft!K$37*($A47-Ft!K$2)^2)+Ft!K$6*EXP(Ft!K$38*($A47-Ft!K$2)^2)),Ft!K$3*((1-Ft!K$7)/(1+Ft!K$39*($A47-Ft!K$2)^2)+Ft!K$7*EXP(Ft!K$40*($A47-Ft!K$2)^2)))</f>
        <v>0</v>
      </c>
      <c r="P47"/>
      <c r="Q47"/>
    </row>
    <row r="48" spans="1:17">
      <c r="A48" s="20">
        <v>93</v>
      </c>
      <c r="B48" s="29">
        <v>3.3414019610154355</v>
      </c>
      <c r="C48" s="7">
        <f t="shared" si="1"/>
        <v>3.3302033300255722</v>
      </c>
      <c r="D48" s="3">
        <f t="shared" si="0"/>
        <v>1.2540933604712645E-4</v>
      </c>
      <c r="E48" s="3">
        <f>Ft!$B$12+Ft!$B$14*(Data!A48-Vars!$B$3)</f>
        <v>-200</v>
      </c>
      <c r="F48" s="3">
        <f>IF(($A48-Ft!B$2)&lt;0,Ft!B$3*((1-Ft!B$6)/(1+Ft!B$37*($A48-Ft!B$2)^2)+Ft!B$6*EXP(Ft!B$38*($A48-Ft!B$2)^2)),Ft!B$3*((1-Ft!B$7)/(1+Ft!B$39*($A48-Ft!B$2)^2)+Ft!B$7*EXP(Ft!B$40*($A48-Ft!B$2)^2)))</f>
        <v>142.75207169536358</v>
      </c>
      <c r="G48" s="3">
        <f>IF(($A48-Ft!C$2)&lt;0,Ft!C$3*((1-Ft!C$6)/(1+Ft!C$37*($A48-Ft!C$2)^2)+Ft!C$6*EXP(Ft!C$38*($A48-Ft!C$2)^2)),Ft!C$3*((1-Ft!C$7)/(1+Ft!C$39*($A48-Ft!C$2)^2)+Ft!C$7*EXP(Ft!C$40*($A48-Ft!C$2)^2)))</f>
        <v>27.301005872845643</v>
      </c>
      <c r="H48" s="3">
        <f>IF(($A48-Ft!D$2)&lt;0,Ft!D$3*((1-Ft!D$6)/(1+Ft!D$37*($A48-Ft!D$2)^2)+Ft!D$6*EXP(Ft!D$38*($A48-Ft!D$2)^2)),Ft!D$3*((1-Ft!D$7)/(1+Ft!D$39*($A48-Ft!D$2)^2)+Ft!D$7*EXP(Ft!D$40*($A48-Ft!D$2)^2)))</f>
        <v>2.0357591855118973E-35</v>
      </c>
      <c r="I48" s="3">
        <f>IF(($A48-Ft!E$2)&lt;0,Ft!E$3*((1-Ft!E$6)/(1+Ft!E$37*($A48-Ft!E$2)^2)+Ft!E$6*EXP(Ft!E$38*($A48-Ft!E$2)^2)),Ft!E$3*((1-Ft!E$7)/(1+Ft!E$39*($A48-Ft!E$2)^2)+Ft!E$7*EXP(Ft!E$40*($A48-Ft!E$2)^2)))</f>
        <v>6.4755037730131573</v>
      </c>
      <c r="J48" s="3">
        <f>IF(($A48-Ft!F$2)&lt;0,Ft!F$3*((1-Ft!F$6)/(1+Ft!F$37*($A48-Ft!F$2)^2)+Ft!F$6*EXP(Ft!F$38*($A48-Ft!F$2)^2)),Ft!F$3*((1-Ft!F$7)/(1+Ft!F$39*($A48-Ft!F$2)^2)+Ft!F$7*EXP(Ft!F$40*($A48-Ft!F$2)^2)))</f>
        <v>6.7382909553212311</v>
      </c>
      <c r="K48" s="3">
        <f>IF(($A48-Ft!G$2)&lt;0,Ft!G$3*((1-Ft!G$6)/(1+Ft!G$37*($A48-Ft!G$2)^2)+Ft!G$6*EXP(Ft!G$38*($A48-Ft!G$2)^2)),Ft!G$3*((1-Ft!G$7)/(1+Ft!G$39*($A48-Ft!G$2)^2)+Ft!G$7*EXP(Ft!G$40*($A48-Ft!G$2)^2)))</f>
        <v>20.063331033481955</v>
      </c>
      <c r="L48" s="3">
        <f>IF(($A48-Ft!H$2)&lt;0,Ft!H$3*((1-Ft!H$6)/(1+Ft!H$37*($A48-Ft!H$2)^2)+Ft!H$6*EXP(Ft!H$38*($A48-Ft!H$2)^2)),Ft!H$3*((1-Ft!H$7)/(1+Ft!H$39*($A48-Ft!H$2)^2)+Ft!H$7*EXP(Ft!H$40*($A48-Ft!H$2)^2)))</f>
        <v>0</v>
      </c>
      <c r="M48" s="3">
        <f>IF(($A48-Ft!I$2)&lt;0,Ft!I$3*((1-Ft!I$6)/(1+Ft!I$37*($A48-Ft!I$2)^2)+Ft!I$6*EXP(Ft!I$38*($A48-Ft!I$2)^2)),Ft!I$3*((1-Ft!I$7)/(1+Ft!I$39*($A48-Ft!I$2)^2)+Ft!I$7*EXP(Ft!I$40*($A48-Ft!I$2)^2)))</f>
        <v>0</v>
      </c>
      <c r="N48" s="3">
        <f>IF(($A48-Ft!J$2)&lt;0,Ft!J$3*((1-Ft!J$6)/(1+Ft!J$37*($A48-Ft!J$2)^2)+Ft!J$6*EXP(Ft!J$38*($A48-Ft!J$2)^2)),Ft!J$3*((1-Ft!J$7)/(1+Ft!J$39*($A48-Ft!J$2)^2)+Ft!J$7*EXP(Ft!J$40*($A48-Ft!J$2)^2)))</f>
        <v>0</v>
      </c>
      <c r="O48" s="3">
        <f>IF(($A48-Ft!K$2)&lt;0,Ft!K$3*((1-Ft!K$6)/(1+Ft!K$37*($A48-Ft!K$2)^2)+Ft!K$6*EXP(Ft!K$38*($A48-Ft!K$2)^2)),Ft!K$3*((1-Ft!K$7)/(1+Ft!K$39*($A48-Ft!K$2)^2)+Ft!K$7*EXP(Ft!K$40*($A48-Ft!K$2)^2)))</f>
        <v>0</v>
      </c>
      <c r="P48"/>
      <c r="Q48"/>
    </row>
    <row r="49" spans="1:17">
      <c r="A49" s="20">
        <v>95</v>
      </c>
      <c r="B49" s="29">
        <v>3.4594778056810469</v>
      </c>
      <c r="C49" s="7">
        <f t="shared" si="1"/>
        <v>3.4524055295057217</v>
      </c>
      <c r="D49" s="3">
        <f t="shared" si="0"/>
        <v>5.0017090300073041E-5</v>
      </c>
      <c r="E49" s="3">
        <f>Ft!$B$12+Ft!$B$14*(Data!A49-Vars!$B$3)</f>
        <v>-200</v>
      </c>
      <c r="F49" s="3">
        <f>IF(($A49-Ft!B$2)&lt;0,Ft!B$3*((1-Ft!B$6)/(1+Ft!B$37*($A49-Ft!B$2)^2)+Ft!B$6*EXP(Ft!B$38*($A49-Ft!B$2)^2)),Ft!B$3*((1-Ft!B$7)/(1+Ft!B$39*($A49-Ft!B$2)^2)+Ft!B$7*EXP(Ft!B$40*($A49-Ft!B$2)^2)))</f>
        <v>142.32251480348995</v>
      </c>
      <c r="G49" s="3">
        <f>IF(($A49-Ft!C$2)&lt;0,Ft!C$3*((1-Ft!C$6)/(1+Ft!C$37*($A49-Ft!C$2)^2)+Ft!C$6*EXP(Ft!C$38*($A49-Ft!C$2)^2)),Ft!C$3*((1-Ft!C$7)/(1+Ft!C$39*($A49-Ft!C$2)^2)+Ft!C$7*EXP(Ft!C$40*($A49-Ft!C$2)^2)))</f>
        <v>27.398654352403685</v>
      </c>
      <c r="H49" s="3">
        <f>IF(($A49-Ft!D$2)&lt;0,Ft!D$3*((1-Ft!D$6)/(1+Ft!D$37*($A49-Ft!D$2)^2)+Ft!D$6*EXP(Ft!D$38*($A49-Ft!D$2)^2)),Ft!D$3*((1-Ft!D$7)/(1+Ft!D$39*($A49-Ft!D$2)^2)+Ft!D$7*EXP(Ft!D$40*($A49-Ft!D$2)^2)))</f>
        <v>5.209364645730433E-35</v>
      </c>
      <c r="I49" s="3">
        <f>IF(($A49-Ft!E$2)&lt;0,Ft!E$3*((1-Ft!E$6)/(1+Ft!E$37*($A49-Ft!E$2)^2)+Ft!E$6*EXP(Ft!E$38*($A49-Ft!E$2)^2)),Ft!E$3*((1-Ft!E$7)/(1+Ft!E$39*($A49-Ft!E$2)^2)+Ft!E$7*EXP(Ft!E$40*($A49-Ft!E$2)^2)))</f>
        <v>6.594067488376302</v>
      </c>
      <c r="J49" s="3">
        <f>IF(($A49-Ft!F$2)&lt;0,Ft!F$3*((1-Ft!F$6)/(1+Ft!F$37*($A49-Ft!F$2)^2)+Ft!F$6*EXP(Ft!F$38*($A49-Ft!F$2)^2)),Ft!F$3*((1-Ft!F$7)/(1+Ft!F$39*($A49-Ft!F$2)^2)+Ft!F$7*EXP(Ft!F$40*($A49-Ft!F$2)^2)))</f>
        <v>6.7995359505417081</v>
      </c>
      <c r="K49" s="3">
        <f>IF(($A49-Ft!G$2)&lt;0,Ft!G$3*((1-Ft!G$6)/(1+Ft!G$37*($A49-Ft!G$2)^2)+Ft!G$6*EXP(Ft!G$38*($A49-Ft!G$2)^2)),Ft!G$3*((1-Ft!G$7)/(1+Ft!G$39*($A49-Ft!G$2)^2)+Ft!G$7*EXP(Ft!G$40*($A49-Ft!G$2)^2)))</f>
        <v>20.337632934694074</v>
      </c>
      <c r="L49" s="3">
        <f>IF(($A49-Ft!H$2)&lt;0,Ft!H$3*((1-Ft!H$6)/(1+Ft!H$37*($A49-Ft!H$2)^2)+Ft!H$6*EXP(Ft!H$38*($A49-Ft!H$2)^2)),Ft!H$3*((1-Ft!H$7)/(1+Ft!H$39*($A49-Ft!H$2)^2)+Ft!H$7*EXP(Ft!H$40*($A49-Ft!H$2)^2)))</f>
        <v>0</v>
      </c>
      <c r="M49" s="3">
        <f>IF(($A49-Ft!I$2)&lt;0,Ft!I$3*((1-Ft!I$6)/(1+Ft!I$37*($A49-Ft!I$2)^2)+Ft!I$6*EXP(Ft!I$38*($A49-Ft!I$2)^2)),Ft!I$3*((1-Ft!I$7)/(1+Ft!I$39*($A49-Ft!I$2)^2)+Ft!I$7*EXP(Ft!I$40*($A49-Ft!I$2)^2)))</f>
        <v>0</v>
      </c>
      <c r="N49" s="3">
        <f>IF(($A49-Ft!J$2)&lt;0,Ft!J$3*((1-Ft!J$6)/(1+Ft!J$37*($A49-Ft!J$2)^2)+Ft!J$6*EXP(Ft!J$38*($A49-Ft!J$2)^2)),Ft!J$3*((1-Ft!J$7)/(1+Ft!J$39*($A49-Ft!J$2)^2)+Ft!J$7*EXP(Ft!J$40*($A49-Ft!J$2)^2)))</f>
        <v>0</v>
      </c>
      <c r="O49" s="3">
        <f>IF(($A49-Ft!K$2)&lt;0,Ft!K$3*((1-Ft!K$6)/(1+Ft!K$37*($A49-Ft!K$2)^2)+Ft!K$6*EXP(Ft!K$38*($A49-Ft!K$2)^2)),Ft!K$3*((1-Ft!K$7)/(1+Ft!K$39*($A49-Ft!K$2)^2)+Ft!K$7*EXP(Ft!K$40*($A49-Ft!K$2)^2)))</f>
        <v>0</v>
      </c>
      <c r="P49"/>
      <c r="Q49"/>
    </row>
    <row r="50" spans="1:17">
      <c r="A50" s="20">
        <v>97</v>
      </c>
      <c r="B50" s="29">
        <v>3.579727688937723</v>
      </c>
      <c r="C50" s="7">
        <f t="shared" si="1"/>
        <v>3.577156606287879</v>
      </c>
      <c r="D50" s="3">
        <f t="shared" si="0"/>
        <v>6.6104659923286326E-6</v>
      </c>
      <c r="E50" s="3">
        <f>Ft!$B$12+Ft!$B$14*(Data!A50-Vars!$B$3)</f>
        <v>-200</v>
      </c>
      <c r="F50" s="3">
        <f>IF(($A50-Ft!B$2)&lt;0,Ft!B$3*((1-Ft!B$6)/(1+Ft!B$37*($A50-Ft!B$2)^2)+Ft!B$6*EXP(Ft!B$38*($A50-Ft!B$2)^2)),Ft!B$3*((1-Ft!B$7)/(1+Ft!B$39*($A50-Ft!B$2)^2)+Ft!B$7*EXP(Ft!B$40*($A50-Ft!B$2)^2)))</f>
        <v>141.89154222270869</v>
      </c>
      <c r="G50" s="3">
        <f>IF(($A50-Ft!C$2)&lt;0,Ft!C$3*((1-Ft!C$6)/(1+Ft!C$37*($A50-Ft!C$2)^2)+Ft!C$6*EXP(Ft!C$38*($A50-Ft!C$2)^2)),Ft!C$3*((1-Ft!C$7)/(1+Ft!C$39*($A50-Ft!C$2)^2)+Ft!C$7*EXP(Ft!C$40*($A50-Ft!C$2)^2)))</f>
        <v>27.496409141640274</v>
      </c>
      <c r="H50" s="3">
        <f>IF(($A50-Ft!D$2)&lt;0,Ft!D$3*((1-Ft!D$6)/(1+Ft!D$37*($A50-Ft!D$2)^2)+Ft!D$6*EXP(Ft!D$38*($A50-Ft!D$2)^2)),Ft!D$3*((1-Ft!D$7)/(1+Ft!D$39*($A50-Ft!D$2)^2)+Ft!D$7*EXP(Ft!D$40*($A50-Ft!D$2)^2)))</f>
        <v>1.3257059352021857E-34</v>
      </c>
      <c r="I50" s="3">
        <f>IF(($A50-Ft!E$2)&lt;0,Ft!E$3*((1-Ft!E$6)/(1+Ft!E$37*($A50-Ft!E$2)^2)+Ft!E$6*EXP(Ft!E$38*($A50-Ft!E$2)^2)),Ft!E$3*((1-Ft!E$7)/(1+Ft!E$39*($A50-Ft!E$2)^2)+Ft!E$7*EXP(Ft!E$40*($A50-Ft!E$2)^2)))</f>
        <v>6.714412732519607</v>
      </c>
      <c r="J50" s="3">
        <f>IF(($A50-Ft!F$2)&lt;0,Ft!F$3*((1-Ft!F$6)/(1+Ft!F$37*($A50-Ft!F$2)^2)+Ft!F$6*EXP(Ft!F$38*($A50-Ft!F$2)^2)),Ft!F$3*((1-Ft!F$7)/(1+Ft!F$39*($A50-Ft!F$2)^2)+Ft!F$7*EXP(Ft!F$40*($A50-Ft!F$2)^2)))</f>
        <v>6.8612472414368728</v>
      </c>
      <c r="K50" s="3">
        <f>IF(($A50-Ft!G$2)&lt;0,Ft!G$3*((1-Ft!G$6)/(1+Ft!G$37*($A50-Ft!G$2)^2)+Ft!G$6*EXP(Ft!G$38*($A50-Ft!G$2)^2)),Ft!G$3*((1-Ft!G$7)/(1+Ft!G$39*($A50-Ft!G$2)^2)+Ft!G$7*EXP(Ft!G$40*($A50-Ft!G$2)^2)))</f>
        <v>20.613545267982431</v>
      </c>
      <c r="L50" s="3">
        <f>IF(($A50-Ft!H$2)&lt;0,Ft!H$3*((1-Ft!H$6)/(1+Ft!H$37*($A50-Ft!H$2)^2)+Ft!H$6*EXP(Ft!H$38*($A50-Ft!H$2)^2)),Ft!H$3*((1-Ft!H$7)/(1+Ft!H$39*($A50-Ft!H$2)^2)+Ft!H$7*EXP(Ft!H$40*($A50-Ft!H$2)^2)))</f>
        <v>0</v>
      </c>
      <c r="M50" s="3">
        <f>IF(($A50-Ft!I$2)&lt;0,Ft!I$3*((1-Ft!I$6)/(1+Ft!I$37*($A50-Ft!I$2)^2)+Ft!I$6*EXP(Ft!I$38*($A50-Ft!I$2)^2)),Ft!I$3*((1-Ft!I$7)/(1+Ft!I$39*($A50-Ft!I$2)^2)+Ft!I$7*EXP(Ft!I$40*($A50-Ft!I$2)^2)))</f>
        <v>0</v>
      </c>
      <c r="N50" s="3">
        <f>IF(($A50-Ft!J$2)&lt;0,Ft!J$3*((1-Ft!J$6)/(1+Ft!J$37*($A50-Ft!J$2)^2)+Ft!J$6*EXP(Ft!J$38*($A50-Ft!J$2)^2)),Ft!J$3*((1-Ft!J$7)/(1+Ft!J$39*($A50-Ft!J$2)^2)+Ft!J$7*EXP(Ft!J$40*($A50-Ft!J$2)^2)))</f>
        <v>0</v>
      </c>
      <c r="O50" s="3">
        <f>IF(($A50-Ft!K$2)&lt;0,Ft!K$3*((1-Ft!K$6)/(1+Ft!K$37*($A50-Ft!K$2)^2)+Ft!K$6*EXP(Ft!K$38*($A50-Ft!K$2)^2)),Ft!K$3*((1-Ft!K$7)/(1+Ft!K$39*($A50-Ft!K$2)^2)+Ft!K$7*EXP(Ft!K$40*($A50-Ft!K$2)^2)))</f>
        <v>0</v>
      </c>
      <c r="P50"/>
      <c r="Q50"/>
    </row>
    <row r="51" spans="1:17">
      <c r="A51" s="20">
        <v>99</v>
      </c>
      <c r="B51" s="29">
        <v>3.7021520472057574</v>
      </c>
      <c r="C51" s="7">
        <f t="shared" si="1"/>
        <v>3.7044611370064402</v>
      </c>
      <c r="D51" s="3">
        <f t="shared" si="0"/>
        <v>5.3318957076172604E-6</v>
      </c>
      <c r="E51" s="3">
        <f>Ft!$B$12+Ft!$B$14*(Data!A51-Vars!$B$3)</f>
        <v>-200</v>
      </c>
      <c r="F51" s="3">
        <f>IF(($A51-Ft!B$2)&lt;0,Ft!B$3*((1-Ft!B$6)/(1+Ft!B$37*($A51-Ft!B$2)^2)+Ft!B$6*EXP(Ft!B$38*($A51-Ft!B$2)^2)),Ft!B$3*((1-Ft!B$7)/(1+Ft!B$39*($A51-Ft!B$2)^2)+Ft!B$7*EXP(Ft!B$40*($A51-Ft!B$2)^2)))</f>
        <v>141.45917466658599</v>
      </c>
      <c r="G51" s="3">
        <f>IF(($A51-Ft!C$2)&lt;0,Ft!C$3*((1-Ft!C$6)/(1+Ft!C$37*($A51-Ft!C$2)^2)+Ft!C$6*EXP(Ft!C$38*($A51-Ft!C$2)^2)),Ft!C$3*((1-Ft!C$7)/(1+Ft!C$39*($A51-Ft!C$2)^2)+Ft!C$7*EXP(Ft!C$40*($A51-Ft!C$2)^2)))</f>
        <v>27.594268889301929</v>
      </c>
      <c r="H51" s="3">
        <f>IF(($A51-Ft!D$2)&lt;0,Ft!D$3*((1-Ft!D$6)/(1+Ft!D$37*($A51-Ft!D$2)^2)+Ft!D$6*EXP(Ft!D$38*($A51-Ft!D$2)^2)),Ft!D$3*((1-Ft!D$7)/(1+Ft!D$39*($A51-Ft!D$2)^2)+Ft!D$7*EXP(Ft!D$40*($A51-Ft!D$2)^2)))</f>
        <v>3.355163820459784E-34</v>
      </c>
      <c r="I51" s="3">
        <f>IF(($A51-Ft!E$2)&lt;0,Ft!E$3*((1-Ft!E$6)/(1+Ft!E$37*($A51-Ft!E$2)^2)+Ft!E$6*EXP(Ft!E$38*($A51-Ft!E$2)^2)),Ft!E$3*((1-Ft!E$7)/(1+Ft!E$39*($A51-Ft!E$2)^2)+Ft!E$7*EXP(Ft!E$40*($A51-Ft!E$2)^2)))</f>
        <v>6.8365579367807525</v>
      </c>
      <c r="J51" s="3">
        <f>IF(($A51-Ft!F$2)&lt;0,Ft!F$3*((1-Ft!F$6)/(1+Ft!F$37*($A51-Ft!F$2)^2)+Ft!F$6*EXP(Ft!F$38*($A51-Ft!F$2)^2)),Ft!F$3*((1-Ft!F$7)/(1+Ft!F$39*($A51-Ft!F$2)^2)+Ft!F$7*EXP(Ft!F$40*($A51-Ft!F$2)^2)))</f>
        <v>6.9234274271231993</v>
      </c>
      <c r="K51" s="3">
        <f>IF(($A51-Ft!G$2)&lt;0,Ft!G$3*((1-Ft!G$6)/(1+Ft!G$37*($A51-Ft!G$2)^2)+Ft!G$6*EXP(Ft!G$38*($A51-Ft!G$2)^2)),Ft!G$3*((1-Ft!G$7)/(1+Ft!G$39*($A51-Ft!G$2)^2)+Ft!G$7*EXP(Ft!G$40*($A51-Ft!G$2)^2)))</f>
        <v>20.891032217214565</v>
      </c>
      <c r="L51" s="3">
        <f>IF(($A51-Ft!H$2)&lt;0,Ft!H$3*((1-Ft!H$6)/(1+Ft!H$37*($A51-Ft!H$2)^2)+Ft!H$6*EXP(Ft!H$38*($A51-Ft!H$2)^2)),Ft!H$3*((1-Ft!H$7)/(1+Ft!H$39*($A51-Ft!H$2)^2)+Ft!H$7*EXP(Ft!H$40*($A51-Ft!H$2)^2)))</f>
        <v>0</v>
      </c>
      <c r="M51" s="3">
        <f>IF(($A51-Ft!I$2)&lt;0,Ft!I$3*((1-Ft!I$6)/(1+Ft!I$37*($A51-Ft!I$2)^2)+Ft!I$6*EXP(Ft!I$38*($A51-Ft!I$2)^2)),Ft!I$3*((1-Ft!I$7)/(1+Ft!I$39*($A51-Ft!I$2)^2)+Ft!I$7*EXP(Ft!I$40*($A51-Ft!I$2)^2)))</f>
        <v>0</v>
      </c>
      <c r="N51" s="3">
        <f>IF(($A51-Ft!J$2)&lt;0,Ft!J$3*((1-Ft!J$6)/(1+Ft!J$37*($A51-Ft!J$2)^2)+Ft!J$6*EXP(Ft!J$38*($A51-Ft!J$2)^2)),Ft!J$3*((1-Ft!J$7)/(1+Ft!J$39*($A51-Ft!J$2)^2)+Ft!J$7*EXP(Ft!J$40*($A51-Ft!J$2)^2)))</f>
        <v>0</v>
      </c>
      <c r="O51" s="3">
        <f>IF(($A51-Ft!K$2)&lt;0,Ft!K$3*((1-Ft!K$6)/(1+Ft!K$37*($A51-Ft!K$2)^2)+Ft!K$6*EXP(Ft!K$38*($A51-Ft!K$2)^2)),Ft!K$3*((1-Ft!K$7)/(1+Ft!K$39*($A51-Ft!K$2)^2)+Ft!K$7*EXP(Ft!K$40*($A51-Ft!K$2)^2)))</f>
        <v>0</v>
      </c>
      <c r="P51"/>
      <c r="Q51"/>
    </row>
    <row r="52" spans="1:17">
      <c r="A52" s="20">
        <v>101</v>
      </c>
      <c r="B52" s="29">
        <v>3.8267509154292583</v>
      </c>
      <c r="C52" s="7">
        <f t="shared" si="1"/>
        <v>3.8343227547852372</v>
      </c>
      <c r="D52" s="3">
        <f t="shared" si="0"/>
        <v>5.7332751232751535E-5</v>
      </c>
      <c r="E52" s="3">
        <f>Ft!$B$12+Ft!$B$14*(Data!A52-Vars!$B$3)</f>
        <v>-200</v>
      </c>
      <c r="F52" s="3">
        <f>IF(($A52-Ft!B$2)&lt;0,Ft!B$3*((1-Ft!B$6)/(1+Ft!B$37*($A52-Ft!B$2)^2)+Ft!B$6*EXP(Ft!B$38*($A52-Ft!B$2)^2)),Ft!B$3*((1-Ft!B$7)/(1+Ft!B$39*($A52-Ft!B$2)^2)+Ft!B$7*EXP(Ft!B$40*($A52-Ft!B$2)^2)))</f>
        <v>141.02543286552225</v>
      </c>
      <c r="G52" s="3">
        <f>IF(($A52-Ft!C$2)&lt;0,Ft!C$3*((1-Ft!C$6)/(1+Ft!C$37*($A52-Ft!C$2)^2)+Ft!C$6*EXP(Ft!C$38*($A52-Ft!C$2)^2)),Ft!C$3*((1-Ft!C$7)/(1+Ft!C$39*($A52-Ft!C$2)^2)+Ft!C$7*EXP(Ft!C$40*($A52-Ft!C$2)^2)))</f>
        <v>27.692232236532991</v>
      </c>
      <c r="H52" s="3">
        <f>IF(($A52-Ft!D$2)&lt;0,Ft!D$3*((1-Ft!D$6)/(1+Ft!D$37*($A52-Ft!D$2)^2)+Ft!D$6*EXP(Ft!D$38*($A52-Ft!D$2)^2)),Ft!D$3*((1-Ft!D$7)/(1+Ft!D$39*($A52-Ft!D$2)^2)+Ft!D$7*EXP(Ft!D$40*($A52-Ft!D$2)^2)))</f>
        <v>8.4447023484766345E-34</v>
      </c>
      <c r="I52" s="3">
        <f>IF(($A52-Ft!E$2)&lt;0,Ft!E$3*((1-Ft!E$6)/(1+Ft!E$37*($A52-Ft!E$2)^2)+Ft!E$6*EXP(Ft!E$38*($A52-Ft!E$2)^2)),Ft!E$3*((1-Ft!E$7)/(1+Ft!E$39*($A52-Ft!E$2)^2)+Ft!E$7*EXP(Ft!E$40*($A52-Ft!E$2)^2)))</f>
        <v>6.9605215524044262</v>
      </c>
      <c r="J52" s="3">
        <f>IF(($A52-Ft!F$2)&lt;0,Ft!F$3*((1-Ft!F$6)/(1+Ft!F$37*($A52-Ft!F$2)^2)+Ft!F$6*EXP(Ft!F$38*($A52-Ft!F$2)^2)),Ft!F$3*((1-Ft!F$7)/(1+Ft!F$39*($A52-Ft!F$2)^2)+Ft!F$7*EXP(Ft!F$40*($A52-Ft!F$2)^2)))</f>
        <v>6.9860791116785261</v>
      </c>
      <c r="K52" s="3">
        <f>IF(($A52-Ft!G$2)&lt;0,Ft!G$3*((1-Ft!G$6)/(1+Ft!G$37*($A52-Ft!G$2)^2)+Ft!G$6*EXP(Ft!G$38*($A52-Ft!G$2)^2)),Ft!G$3*((1-Ft!G$7)/(1+Ft!G$39*($A52-Ft!G$2)^2)+Ft!G$7*EXP(Ft!G$40*($A52-Ft!G$2)^2)))</f>
        <v>21.170056988647044</v>
      </c>
      <c r="L52" s="3">
        <f>IF(($A52-Ft!H$2)&lt;0,Ft!H$3*((1-Ft!H$6)/(1+Ft!H$37*($A52-Ft!H$2)^2)+Ft!H$6*EXP(Ft!H$38*($A52-Ft!H$2)^2)),Ft!H$3*((1-Ft!H$7)/(1+Ft!H$39*($A52-Ft!H$2)^2)+Ft!H$7*EXP(Ft!H$40*($A52-Ft!H$2)^2)))</f>
        <v>0</v>
      </c>
      <c r="M52" s="3">
        <f>IF(($A52-Ft!I$2)&lt;0,Ft!I$3*((1-Ft!I$6)/(1+Ft!I$37*($A52-Ft!I$2)^2)+Ft!I$6*EXP(Ft!I$38*($A52-Ft!I$2)^2)),Ft!I$3*((1-Ft!I$7)/(1+Ft!I$39*($A52-Ft!I$2)^2)+Ft!I$7*EXP(Ft!I$40*($A52-Ft!I$2)^2)))</f>
        <v>0</v>
      </c>
      <c r="N52" s="3">
        <f>IF(($A52-Ft!J$2)&lt;0,Ft!J$3*((1-Ft!J$6)/(1+Ft!J$37*($A52-Ft!J$2)^2)+Ft!J$6*EXP(Ft!J$38*($A52-Ft!J$2)^2)),Ft!J$3*((1-Ft!J$7)/(1+Ft!J$39*($A52-Ft!J$2)^2)+Ft!J$7*EXP(Ft!J$40*($A52-Ft!J$2)^2)))</f>
        <v>0</v>
      </c>
      <c r="O52" s="3">
        <f>IF(($A52-Ft!K$2)&lt;0,Ft!K$3*((1-Ft!K$6)/(1+Ft!K$37*($A52-Ft!K$2)^2)+Ft!K$6*EXP(Ft!K$38*($A52-Ft!K$2)^2)),Ft!K$3*((1-Ft!K$7)/(1+Ft!K$39*($A52-Ft!K$2)^2)+Ft!K$7*EXP(Ft!K$40*($A52-Ft!K$2)^2)))</f>
        <v>0</v>
      </c>
      <c r="P52"/>
      <c r="Q52"/>
    </row>
    <row r="53" spans="1:17">
      <c r="A53" s="20">
        <v>103</v>
      </c>
      <c r="B53" s="29">
        <v>3.9535239262090442</v>
      </c>
      <c r="C53" s="7">
        <f t="shared" si="1"/>
        <v>3.9667441457962553</v>
      </c>
      <c r="D53" s="3">
        <f t="shared" si="0"/>
        <v>1.7477420593407978E-4</v>
      </c>
      <c r="E53" s="3">
        <f>Ft!$B$12+Ft!$B$14*(Data!A53-Vars!$B$3)</f>
        <v>-200</v>
      </c>
      <c r="F53" s="3">
        <f>IF(($A53-Ft!B$2)&lt;0,Ft!B$3*((1-Ft!B$6)/(1+Ft!B$37*($A53-Ft!B$2)^2)+Ft!B$6*EXP(Ft!B$38*($A53-Ft!B$2)^2)),Ft!B$3*((1-Ft!B$7)/(1+Ft!B$39*($A53-Ft!B$2)^2)+Ft!B$7*EXP(Ft!B$40*($A53-Ft!B$2)^2)))</f>
        <v>140.59033756512005</v>
      </c>
      <c r="G53" s="3">
        <f>IF(($A53-Ft!C$2)&lt;0,Ft!C$3*((1-Ft!C$6)/(1+Ft!C$37*($A53-Ft!C$2)^2)+Ft!C$6*EXP(Ft!C$38*($A53-Ft!C$2)^2)),Ft!C$3*((1-Ft!C$7)/(1+Ft!C$39*($A53-Ft!C$2)^2)+Ft!C$7*EXP(Ft!C$40*($A53-Ft!C$2)^2)))</f>
        <v>27.790297816896633</v>
      </c>
      <c r="H53" s="3">
        <f>IF(($A53-Ft!D$2)&lt;0,Ft!D$3*((1-Ft!D$6)/(1+Ft!D$37*($A53-Ft!D$2)^2)+Ft!D$6*EXP(Ft!D$38*($A53-Ft!D$2)^2)),Ft!D$3*((1-Ft!D$7)/(1+Ft!D$39*($A53-Ft!D$2)^2)+Ft!D$7*EXP(Ft!D$40*($A53-Ft!D$2)^2)))</f>
        <v>2.1137764261088954E-33</v>
      </c>
      <c r="I53" s="3">
        <f>IF(($A53-Ft!E$2)&lt;0,Ft!E$3*((1-Ft!E$6)/(1+Ft!E$37*($A53-Ft!E$2)^2)+Ft!E$6*EXP(Ft!E$38*($A53-Ft!E$2)^2)),Ft!E$3*((1-Ft!E$7)/(1+Ft!E$39*($A53-Ft!E$2)^2)+Ft!E$7*EXP(Ft!E$40*($A53-Ft!E$2)^2)))</f>
        <v>7.0863220465864973</v>
      </c>
      <c r="J53" s="3">
        <f>IF(($A53-Ft!F$2)&lt;0,Ft!F$3*((1-Ft!F$6)/(1+Ft!F$37*($A53-Ft!F$2)^2)+Ft!F$6*EXP(Ft!F$38*($A53-Ft!F$2)^2)),Ft!F$3*((1-Ft!F$7)/(1+Ft!F$39*($A53-Ft!F$2)^2)+Ft!F$7*EXP(Ft!F$40*($A53-Ft!F$2)^2)))</f>
        <v>7.0492049040492013</v>
      </c>
      <c r="K53" s="3">
        <f>IF(($A53-Ft!G$2)&lt;0,Ft!G$3*((1-Ft!G$6)/(1+Ft!G$37*($A53-Ft!G$2)^2)+Ft!G$6*EXP(Ft!G$38*($A53-Ft!G$2)^2)),Ft!G$3*((1-Ft!G$7)/(1+Ft!G$39*($A53-Ft!G$2)^2)+Ft!G$7*EXP(Ft!G$40*($A53-Ft!G$2)^2)))</f>
        <v>21.450581813143874</v>
      </c>
      <c r="L53" s="3">
        <f>IF(($A53-Ft!H$2)&lt;0,Ft!H$3*((1-Ft!H$6)/(1+Ft!H$37*($A53-Ft!H$2)^2)+Ft!H$6*EXP(Ft!H$38*($A53-Ft!H$2)^2)),Ft!H$3*((1-Ft!H$7)/(1+Ft!H$39*($A53-Ft!H$2)^2)+Ft!H$7*EXP(Ft!H$40*($A53-Ft!H$2)^2)))</f>
        <v>0</v>
      </c>
      <c r="M53" s="3">
        <f>IF(($A53-Ft!I$2)&lt;0,Ft!I$3*((1-Ft!I$6)/(1+Ft!I$37*($A53-Ft!I$2)^2)+Ft!I$6*EXP(Ft!I$38*($A53-Ft!I$2)^2)),Ft!I$3*((1-Ft!I$7)/(1+Ft!I$39*($A53-Ft!I$2)^2)+Ft!I$7*EXP(Ft!I$40*($A53-Ft!I$2)^2)))</f>
        <v>0</v>
      </c>
      <c r="N53" s="3">
        <f>IF(($A53-Ft!J$2)&lt;0,Ft!J$3*((1-Ft!J$6)/(1+Ft!J$37*($A53-Ft!J$2)^2)+Ft!J$6*EXP(Ft!J$38*($A53-Ft!J$2)^2)),Ft!J$3*((1-Ft!J$7)/(1+Ft!J$39*($A53-Ft!J$2)^2)+Ft!J$7*EXP(Ft!J$40*($A53-Ft!J$2)^2)))</f>
        <v>0</v>
      </c>
      <c r="O53" s="3">
        <f>IF(($A53-Ft!K$2)&lt;0,Ft!K$3*((1-Ft!K$6)/(1+Ft!K$37*($A53-Ft!K$2)^2)+Ft!K$6*EXP(Ft!K$38*($A53-Ft!K$2)^2)),Ft!K$3*((1-Ft!K$7)/(1+Ft!K$39*($A53-Ft!K$2)^2)+Ft!K$7*EXP(Ft!K$40*($A53-Ft!K$2)^2)))</f>
        <v>0</v>
      </c>
      <c r="P53"/>
      <c r="Q53"/>
    </row>
    <row r="54" spans="1:17">
      <c r="A54" s="20">
        <v>105</v>
      </c>
      <c r="B54" s="29">
        <v>4.0824703090297021</v>
      </c>
      <c r="C54" s="7">
        <f t="shared" si="1"/>
        <v>4.1017270462848927</v>
      </c>
      <c r="D54" s="3">
        <f t="shared" si="0"/>
        <v>3.7082192971544614E-4</v>
      </c>
      <c r="E54" s="3">
        <f>Ft!$B$12+Ft!$B$14*(Data!A54-Vars!$B$3)</f>
        <v>-200</v>
      </c>
      <c r="F54" s="3">
        <f>IF(($A54-Ft!B$2)&lt;0,Ft!B$3*((1-Ft!B$6)/(1+Ft!B$37*($A54-Ft!B$2)^2)+Ft!B$6*EXP(Ft!B$38*($A54-Ft!B$2)^2)),Ft!B$3*((1-Ft!B$7)/(1+Ft!B$39*($A54-Ft!B$2)^2)+Ft!B$7*EXP(Ft!B$40*($A54-Ft!B$2)^2)))</f>
        <v>140.1539095245565</v>
      </c>
      <c r="G54" s="3">
        <f>IF(($A54-Ft!C$2)&lt;0,Ft!C$3*((1-Ft!C$6)/(1+Ft!C$37*($A54-Ft!C$2)^2)+Ft!C$6*EXP(Ft!C$38*($A54-Ft!C$2)^2)),Ft!C$3*((1-Ft!C$7)/(1+Ft!C$39*($A54-Ft!C$2)^2)+Ft!C$7*EXP(Ft!C$40*($A54-Ft!C$2)^2)))</f>
        <v>27.888464256396372</v>
      </c>
      <c r="H54" s="3">
        <f>IF(($A54-Ft!D$2)&lt;0,Ft!D$3*((1-Ft!D$6)/(1+Ft!D$37*($A54-Ft!D$2)^2)+Ft!D$6*EXP(Ft!D$38*($A54-Ft!D$2)^2)),Ft!D$3*((1-Ft!D$7)/(1+Ft!D$39*($A54-Ft!D$2)^2)+Ft!D$7*EXP(Ft!D$40*($A54-Ft!D$2)^2)))</f>
        <v>5.2618424558003399E-33</v>
      </c>
      <c r="I54" s="3">
        <f>IF(($A54-Ft!E$2)&lt;0,Ft!E$3*((1-Ft!E$6)/(1+Ft!E$37*($A54-Ft!E$2)^2)+Ft!E$6*EXP(Ft!E$38*($A54-Ft!E$2)^2)),Ft!E$3*((1-Ft!E$7)/(1+Ft!E$39*($A54-Ft!E$2)^2)+Ft!E$7*EXP(Ft!E$40*($A54-Ft!E$2)^2)))</f>
        <v>7.2139778984417138</v>
      </c>
      <c r="J54" s="3">
        <f>IF(($A54-Ft!F$2)&lt;0,Ft!F$3*((1-Ft!F$6)/(1+Ft!F$37*($A54-Ft!F$2)^2)+Ft!F$6*EXP(Ft!F$38*($A54-Ft!F$2)^2)),Ft!F$3*((1-Ft!F$7)/(1+Ft!F$39*($A54-Ft!F$2)^2)+Ft!F$7*EXP(Ft!F$40*($A54-Ft!F$2)^2)))</f>
        <v>7.1128074179560805</v>
      </c>
      <c r="K54" s="3">
        <f>IF(($A54-Ft!G$2)&lt;0,Ft!G$3*((1-Ft!G$6)/(1+Ft!G$37*($A54-Ft!G$2)^2)+Ft!G$6*EXP(Ft!G$38*($A54-Ft!G$2)^2)),Ft!G$3*((1-Ft!G$7)/(1+Ft!G$39*($A54-Ft!G$2)^2)+Ft!G$7*EXP(Ft!G$40*($A54-Ft!G$2)^2)))</f>
        <v>21.732567948934228</v>
      </c>
      <c r="L54" s="3">
        <f>IF(($A54-Ft!H$2)&lt;0,Ft!H$3*((1-Ft!H$6)/(1+Ft!H$37*($A54-Ft!H$2)^2)+Ft!H$6*EXP(Ft!H$38*($A54-Ft!H$2)^2)),Ft!H$3*((1-Ft!H$7)/(1+Ft!H$39*($A54-Ft!H$2)^2)+Ft!H$7*EXP(Ft!H$40*($A54-Ft!H$2)^2)))</f>
        <v>0</v>
      </c>
      <c r="M54" s="3">
        <f>IF(($A54-Ft!I$2)&lt;0,Ft!I$3*((1-Ft!I$6)/(1+Ft!I$37*($A54-Ft!I$2)^2)+Ft!I$6*EXP(Ft!I$38*($A54-Ft!I$2)^2)),Ft!I$3*((1-Ft!I$7)/(1+Ft!I$39*($A54-Ft!I$2)^2)+Ft!I$7*EXP(Ft!I$40*($A54-Ft!I$2)^2)))</f>
        <v>0</v>
      </c>
      <c r="N54" s="3">
        <f>IF(($A54-Ft!J$2)&lt;0,Ft!J$3*((1-Ft!J$6)/(1+Ft!J$37*($A54-Ft!J$2)^2)+Ft!J$6*EXP(Ft!J$38*($A54-Ft!J$2)^2)),Ft!J$3*((1-Ft!J$7)/(1+Ft!J$39*($A54-Ft!J$2)^2)+Ft!J$7*EXP(Ft!J$40*($A54-Ft!J$2)^2)))</f>
        <v>0</v>
      </c>
      <c r="O54" s="3">
        <f>IF(($A54-Ft!K$2)&lt;0,Ft!K$3*((1-Ft!K$6)/(1+Ft!K$37*($A54-Ft!K$2)^2)+Ft!K$6*EXP(Ft!K$38*($A54-Ft!K$2)^2)),Ft!K$3*((1-Ft!K$7)/(1+Ft!K$39*($A54-Ft!K$2)^2)+Ft!K$7*EXP(Ft!K$40*($A54-Ft!K$2)^2)))</f>
        <v>0</v>
      </c>
      <c r="P54"/>
      <c r="Q54"/>
    </row>
    <row r="55" spans="1:17">
      <c r="A55" s="20">
        <v>107</v>
      </c>
      <c r="B55" s="29">
        <v>4.2135888895806772</v>
      </c>
      <c r="C55" s="7">
        <f t="shared" si="1"/>
        <v>4.2392722400657838</v>
      </c>
      <c r="D55" s="3">
        <f t="shared" si="0"/>
        <v>6.5963449214082623E-4</v>
      </c>
      <c r="E55" s="3">
        <f>Ft!$B$12+Ft!$B$14*(Data!A55-Vars!$B$3)</f>
        <v>-200</v>
      </c>
      <c r="F55" s="3">
        <f>IF(($A55-Ft!B$2)&lt;0,Ft!B$3*((1-Ft!B$6)/(1+Ft!B$37*($A55-Ft!B$2)^2)+Ft!B$6*EXP(Ft!B$38*($A55-Ft!B$2)^2)),Ft!B$3*((1-Ft!B$7)/(1+Ft!B$39*($A55-Ft!B$2)^2)+Ft!B$7*EXP(Ft!B$40*($A55-Ft!B$2)^2)))</f>
        <v>139.71616951495869</v>
      </c>
      <c r="G55" s="3">
        <f>IF(($A55-Ft!C$2)&lt;0,Ft!C$3*((1-Ft!C$6)/(1+Ft!C$37*($A55-Ft!C$2)^2)+Ft!C$6*EXP(Ft!C$38*($A55-Ft!C$2)^2)),Ft!C$3*((1-Ft!C$7)/(1+Ft!C$39*($A55-Ft!C$2)^2)+Ft!C$7*EXP(Ft!C$40*($A55-Ft!C$2)^2)))</f>
        <v>27.986730173497911</v>
      </c>
      <c r="H55" s="3">
        <f>IF(($A55-Ft!D$2)&lt;0,Ft!D$3*((1-Ft!D$6)/(1+Ft!D$37*($A55-Ft!D$2)^2)+Ft!D$6*EXP(Ft!D$38*($A55-Ft!D$2)^2)),Ft!D$3*((1-Ft!D$7)/(1+Ft!D$39*($A55-Ft!D$2)^2)+Ft!D$7*EXP(Ft!D$40*($A55-Ft!D$2)^2)))</f>
        <v>1.3026289280990663E-32</v>
      </c>
      <c r="I55" s="3">
        <f>IF(($A55-Ft!E$2)&lt;0,Ft!E$3*((1-Ft!E$6)/(1+Ft!E$37*($A55-Ft!E$2)^2)+Ft!E$6*EXP(Ft!E$38*($A55-Ft!E$2)^2)),Ft!E$3*((1-Ft!E$7)/(1+Ft!E$39*($A55-Ft!E$2)^2)+Ft!E$7*EXP(Ft!E$40*($A55-Ft!E$2)^2)))</f>
        <v>7.3435075948949011</v>
      </c>
      <c r="J55" s="3">
        <f>IF(($A55-Ft!F$2)&lt;0,Ft!F$3*((1-Ft!F$6)/(1+Ft!F$37*($A55-Ft!F$2)^2)+Ft!F$6*EXP(Ft!F$38*($A55-Ft!F$2)^2)),Ft!F$3*((1-Ft!F$7)/(1+Ft!F$39*($A55-Ft!F$2)^2)+Ft!F$7*EXP(Ft!F$40*($A55-Ft!F$2)^2)))</f>
        <v>7.1768892717993538</v>
      </c>
      <c r="K55" s="3">
        <f>IF(($A55-Ft!G$2)&lt;0,Ft!G$3*((1-Ft!G$6)/(1+Ft!G$37*($A55-Ft!G$2)^2)+Ft!G$6*EXP(Ft!G$38*($A55-Ft!G$2)^2)),Ft!G$3*((1-Ft!G$7)/(1+Ft!G$39*($A55-Ft!G$2)^2)+Ft!G$7*EXP(Ft!G$40*($A55-Ft!G$2)^2)))</f>
        <v>22.015975684914924</v>
      </c>
      <c r="L55" s="3">
        <f>IF(($A55-Ft!H$2)&lt;0,Ft!H$3*((1-Ft!H$6)/(1+Ft!H$37*($A55-Ft!H$2)^2)+Ft!H$6*EXP(Ft!H$38*($A55-Ft!H$2)^2)),Ft!H$3*((1-Ft!H$7)/(1+Ft!H$39*($A55-Ft!H$2)^2)+Ft!H$7*EXP(Ft!H$40*($A55-Ft!H$2)^2)))</f>
        <v>0</v>
      </c>
      <c r="M55" s="3">
        <f>IF(($A55-Ft!I$2)&lt;0,Ft!I$3*((1-Ft!I$6)/(1+Ft!I$37*($A55-Ft!I$2)^2)+Ft!I$6*EXP(Ft!I$38*($A55-Ft!I$2)^2)),Ft!I$3*((1-Ft!I$7)/(1+Ft!I$39*($A55-Ft!I$2)^2)+Ft!I$7*EXP(Ft!I$40*($A55-Ft!I$2)^2)))</f>
        <v>0</v>
      </c>
      <c r="N55" s="3">
        <f>IF(($A55-Ft!J$2)&lt;0,Ft!J$3*((1-Ft!J$6)/(1+Ft!J$37*($A55-Ft!J$2)^2)+Ft!J$6*EXP(Ft!J$38*($A55-Ft!J$2)^2)),Ft!J$3*((1-Ft!J$7)/(1+Ft!J$39*($A55-Ft!J$2)^2)+Ft!J$7*EXP(Ft!J$40*($A55-Ft!J$2)^2)))</f>
        <v>0</v>
      </c>
      <c r="O55" s="3">
        <f>IF(($A55-Ft!K$2)&lt;0,Ft!K$3*((1-Ft!K$6)/(1+Ft!K$37*($A55-Ft!K$2)^2)+Ft!K$6*EXP(Ft!K$38*($A55-Ft!K$2)^2)),Ft!K$3*((1-Ft!K$7)/(1+Ft!K$39*($A55-Ft!K$2)^2)+Ft!K$7*EXP(Ft!K$40*($A55-Ft!K$2)^2)))</f>
        <v>0</v>
      </c>
      <c r="P55"/>
      <c r="Q55"/>
    </row>
    <row r="56" spans="1:17">
      <c r="A56" s="20">
        <v>109</v>
      </c>
      <c r="B56" s="29">
        <v>4.3468780891719945</v>
      </c>
      <c r="C56" s="7">
        <f t="shared" si="1"/>
        <v>4.3793795564957563</v>
      </c>
      <c r="D56" s="3">
        <f t="shared" si="0"/>
        <v>1.0563453781975562E-3</v>
      </c>
      <c r="E56" s="3">
        <f>Ft!$B$12+Ft!$B$14*(Data!A56-Vars!$B$3)</f>
        <v>-200</v>
      </c>
      <c r="F56" s="3">
        <f>IF(($A56-Ft!B$2)&lt;0,Ft!B$3*((1-Ft!B$6)/(1+Ft!B$37*($A56-Ft!B$2)^2)+Ft!B$6*EXP(Ft!B$38*($A56-Ft!B$2)^2)),Ft!B$3*((1-Ft!B$7)/(1+Ft!B$39*($A56-Ft!B$2)^2)+Ft!B$7*EXP(Ft!B$40*($A56-Ft!B$2)^2)))</f>
        <v>139.27713831778348</v>
      </c>
      <c r="G56" s="3">
        <f>IF(($A56-Ft!C$2)&lt;0,Ft!C$3*((1-Ft!C$6)/(1+Ft!C$37*($A56-Ft!C$2)^2)+Ft!C$6*EXP(Ft!C$38*($A56-Ft!C$2)^2)),Ft!C$3*((1-Ft!C$7)/(1+Ft!C$39*($A56-Ft!C$2)^2)+Ft!C$7*EXP(Ft!C$40*($A56-Ft!C$2)^2)))</f>
        <v>28.085094179151437</v>
      </c>
      <c r="H56" s="3">
        <f>IF(($A56-Ft!D$2)&lt;0,Ft!D$3*((1-Ft!D$6)/(1+Ft!D$37*($A56-Ft!D$2)^2)+Ft!D$6*EXP(Ft!D$38*($A56-Ft!D$2)^2)),Ft!D$3*((1-Ft!D$7)/(1+Ft!D$39*($A56-Ft!D$2)^2)+Ft!D$7*EXP(Ft!D$40*($A56-Ft!D$2)^2)))</f>
        <v>3.2070644178334491E-32</v>
      </c>
      <c r="I56" s="3">
        <f>IF(($A56-Ft!E$2)&lt;0,Ft!E$3*((1-Ft!E$6)/(1+Ft!E$37*($A56-Ft!E$2)^2)+Ft!E$6*EXP(Ft!E$38*($A56-Ft!E$2)^2)),Ft!E$3*((1-Ft!E$7)/(1+Ft!E$39*($A56-Ft!E$2)^2)+Ft!E$7*EXP(Ft!E$40*($A56-Ft!E$2)^2)))</f>
        <v>7.4749296264957659</v>
      </c>
      <c r="J56" s="3">
        <f>IF(($A56-Ft!F$2)&lt;0,Ft!F$3*((1-Ft!F$6)/(1+Ft!F$37*($A56-Ft!F$2)^2)+Ft!F$6*EXP(Ft!F$38*($A56-Ft!F$2)^2)),Ft!F$3*((1-Ft!F$7)/(1+Ft!F$39*($A56-Ft!F$2)^2)+Ft!F$7*EXP(Ft!F$40*($A56-Ft!F$2)^2)))</f>
        <v>7.2414530885622055</v>
      </c>
      <c r="K56" s="3">
        <f>IF(($A56-Ft!G$2)&lt;0,Ft!G$3*((1-Ft!G$6)/(1+Ft!G$37*($A56-Ft!G$2)^2)+Ft!G$6*EXP(Ft!G$38*($A56-Ft!G$2)^2)),Ft!G$3*((1-Ft!G$7)/(1+Ft!G$39*($A56-Ft!G$2)^2)+Ft!G$7*EXP(Ft!G$40*($A56-Ft!G$2)^2)))</f>
        <v>22.300764344502863</v>
      </c>
      <c r="L56" s="3">
        <f>IF(($A56-Ft!H$2)&lt;0,Ft!H$3*((1-Ft!H$6)/(1+Ft!H$37*($A56-Ft!H$2)^2)+Ft!H$6*EXP(Ft!H$38*($A56-Ft!H$2)^2)),Ft!H$3*((1-Ft!H$7)/(1+Ft!H$39*($A56-Ft!H$2)^2)+Ft!H$7*EXP(Ft!H$40*($A56-Ft!H$2)^2)))</f>
        <v>0</v>
      </c>
      <c r="M56" s="3">
        <f>IF(($A56-Ft!I$2)&lt;0,Ft!I$3*((1-Ft!I$6)/(1+Ft!I$37*($A56-Ft!I$2)^2)+Ft!I$6*EXP(Ft!I$38*($A56-Ft!I$2)^2)),Ft!I$3*((1-Ft!I$7)/(1+Ft!I$39*($A56-Ft!I$2)^2)+Ft!I$7*EXP(Ft!I$40*($A56-Ft!I$2)^2)))</f>
        <v>0</v>
      </c>
      <c r="N56" s="3">
        <f>IF(($A56-Ft!J$2)&lt;0,Ft!J$3*((1-Ft!J$6)/(1+Ft!J$37*($A56-Ft!J$2)^2)+Ft!J$6*EXP(Ft!J$38*($A56-Ft!J$2)^2)),Ft!J$3*((1-Ft!J$7)/(1+Ft!J$39*($A56-Ft!J$2)^2)+Ft!J$7*EXP(Ft!J$40*($A56-Ft!J$2)^2)))</f>
        <v>0</v>
      </c>
      <c r="O56" s="3">
        <f>IF(($A56-Ft!K$2)&lt;0,Ft!K$3*((1-Ft!K$6)/(1+Ft!K$37*($A56-Ft!K$2)^2)+Ft!K$6*EXP(Ft!K$38*($A56-Ft!K$2)^2)),Ft!K$3*((1-Ft!K$7)/(1+Ft!K$39*($A56-Ft!K$2)^2)+Ft!K$7*EXP(Ft!K$40*($A56-Ft!K$2)^2)))</f>
        <v>0</v>
      </c>
      <c r="P56"/>
      <c r="Q56"/>
    </row>
    <row r="57" spans="1:17">
      <c r="A57" s="20">
        <v>111</v>
      </c>
      <c r="B57" s="29">
        <v>4.4823359242447083</v>
      </c>
      <c r="C57" s="7">
        <f t="shared" si="1"/>
        <v>4.5220478689280377</v>
      </c>
      <c r="D57" s="3">
        <f t="shared" si="0"/>
        <v>1.5770385505318135E-3</v>
      </c>
      <c r="E57" s="3">
        <f>Ft!$B$12+Ft!$B$14*(Data!A57-Vars!$B$3)</f>
        <v>-200</v>
      </c>
      <c r="F57" s="3">
        <f>IF(($A57-Ft!B$2)&lt;0,Ft!B$3*((1-Ft!B$6)/(1+Ft!B$37*($A57-Ft!B$2)^2)+Ft!B$6*EXP(Ft!B$38*($A57-Ft!B$2)^2)),Ft!B$3*((1-Ft!B$7)/(1+Ft!B$39*($A57-Ft!B$2)^2)+Ft!B$7*EXP(Ft!B$40*($A57-Ft!B$2)^2)))</f>
        <v>138.83683672320089</v>
      </c>
      <c r="G57" s="3">
        <f>IF(($A57-Ft!C$2)&lt;0,Ft!C$3*((1-Ft!C$6)/(1+Ft!C$37*($A57-Ft!C$2)^2)+Ft!C$6*EXP(Ft!C$38*($A57-Ft!C$2)^2)),Ft!C$3*((1-Ft!C$7)/(1+Ft!C$39*($A57-Ft!C$2)^2)+Ft!C$7*EXP(Ft!C$40*($A57-Ft!C$2)^2)))</f>
        <v>28.183554876814327</v>
      </c>
      <c r="H57" s="3">
        <f>IF(($A57-Ft!D$2)&lt;0,Ft!D$3*((1-Ft!D$6)/(1+Ft!D$37*($A57-Ft!D$2)^2)+Ft!D$6*EXP(Ft!D$38*($A57-Ft!D$2)^2)),Ft!D$3*((1-Ft!D$7)/(1+Ft!D$39*($A57-Ft!D$2)^2)+Ft!D$7*EXP(Ft!D$40*($A57-Ft!D$2)^2)))</f>
        <v>7.8523334787768944E-32</v>
      </c>
      <c r="I57" s="3">
        <f>IF(($A57-Ft!E$2)&lt;0,Ft!E$3*((1-Ft!E$6)/(1+Ft!E$37*($A57-Ft!E$2)^2)+Ft!E$6*EXP(Ft!E$38*($A57-Ft!E$2)^2)),Ft!E$3*((1-Ft!E$7)/(1+Ft!E$39*($A57-Ft!E$2)^2)+Ft!E$7*EXP(Ft!E$40*($A57-Ft!E$2)^2)))</f>
        <v>7.6082624831573256</v>
      </c>
      <c r="J57" s="3">
        <f>IF(($A57-Ft!F$2)&lt;0,Ft!F$3*((1-Ft!F$6)/(1+Ft!F$37*($A57-Ft!F$2)^2)+Ft!F$6*EXP(Ft!F$38*($A57-Ft!F$2)^2)),Ft!F$3*((1-Ft!F$7)/(1+Ft!F$39*($A57-Ft!F$2)^2)+Ft!F$7*EXP(Ft!F$40*($A57-Ft!F$2)^2)))</f>
        <v>7.3065014957132917</v>
      </c>
      <c r="K57" s="3">
        <f>IF(($A57-Ft!G$2)&lt;0,Ft!G$3*((1-Ft!G$6)/(1+Ft!G$37*($A57-Ft!G$2)^2)+Ft!G$6*EXP(Ft!G$38*($A57-Ft!G$2)^2)),Ft!G$3*((1-Ft!G$7)/(1+Ft!G$39*($A57-Ft!G$2)^2)+Ft!G$7*EXP(Ft!G$40*($A57-Ft!G$2)^2)))</f>
        <v>22.586892290042204</v>
      </c>
      <c r="L57" s="3">
        <f>IF(($A57-Ft!H$2)&lt;0,Ft!H$3*((1-Ft!H$6)/(1+Ft!H$37*($A57-Ft!H$2)^2)+Ft!H$6*EXP(Ft!H$38*($A57-Ft!H$2)^2)),Ft!H$3*((1-Ft!H$7)/(1+Ft!H$39*($A57-Ft!H$2)^2)+Ft!H$7*EXP(Ft!H$40*($A57-Ft!H$2)^2)))</f>
        <v>0</v>
      </c>
      <c r="M57" s="3">
        <f>IF(($A57-Ft!I$2)&lt;0,Ft!I$3*((1-Ft!I$6)/(1+Ft!I$37*($A57-Ft!I$2)^2)+Ft!I$6*EXP(Ft!I$38*($A57-Ft!I$2)^2)),Ft!I$3*((1-Ft!I$7)/(1+Ft!I$39*($A57-Ft!I$2)^2)+Ft!I$7*EXP(Ft!I$40*($A57-Ft!I$2)^2)))</f>
        <v>0</v>
      </c>
      <c r="N57" s="3">
        <f>IF(($A57-Ft!J$2)&lt;0,Ft!J$3*((1-Ft!J$6)/(1+Ft!J$37*($A57-Ft!J$2)^2)+Ft!J$6*EXP(Ft!J$38*($A57-Ft!J$2)^2)),Ft!J$3*((1-Ft!J$7)/(1+Ft!J$39*($A57-Ft!J$2)^2)+Ft!J$7*EXP(Ft!J$40*($A57-Ft!J$2)^2)))</f>
        <v>0</v>
      </c>
      <c r="O57" s="3">
        <f>IF(($A57-Ft!K$2)&lt;0,Ft!K$3*((1-Ft!K$6)/(1+Ft!K$37*($A57-Ft!K$2)^2)+Ft!K$6*EXP(Ft!K$38*($A57-Ft!K$2)^2)),Ft!K$3*((1-Ft!K$7)/(1+Ft!K$39*($A57-Ft!K$2)^2)+Ft!K$7*EXP(Ft!K$40*($A57-Ft!K$2)^2)))</f>
        <v>0</v>
      </c>
      <c r="P57"/>
      <c r="Q57"/>
    </row>
    <row r="58" spans="1:17">
      <c r="A58" s="20">
        <v>113</v>
      </c>
      <c r="B58" s="29">
        <v>4.6199600059763384</v>
      </c>
      <c r="C58" s="7">
        <f t="shared" si="1"/>
        <v>4.6672750936533944</v>
      </c>
      <c r="D58" s="3">
        <f t="shared" si="0"/>
        <v>2.2387175218875018E-3</v>
      </c>
      <c r="E58" s="3">
        <f>Ft!$B$12+Ft!$B$14*(Data!A58-Vars!$B$3)</f>
        <v>-200</v>
      </c>
      <c r="F58" s="3">
        <f>IF(($A58-Ft!B$2)&lt;0,Ft!B$3*((1-Ft!B$6)/(1+Ft!B$37*($A58-Ft!B$2)^2)+Ft!B$6*EXP(Ft!B$38*($A58-Ft!B$2)^2)),Ft!B$3*((1-Ft!B$7)/(1+Ft!B$39*($A58-Ft!B$2)^2)+Ft!B$7*EXP(Ft!B$40*($A58-Ft!B$2)^2)))</f>
        <v>138.39528552848219</v>
      </c>
      <c r="G58" s="3">
        <f>IF(($A58-Ft!C$2)&lt;0,Ft!C$3*((1-Ft!C$6)/(1+Ft!C$37*($A58-Ft!C$2)^2)+Ft!C$6*EXP(Ft!C$38*($A58-Ft!C$2)^2)),Ft!C$3*((1-Ft!C$7)/(1+Ft!C$39*($A58-Ft!C$2)^2)+Ft!C$7*EXP(Ft!C$40*($A58-Ft!C$2)^2)))</f>
        <v>28.282110862474248</v>
      </c>
      <c r="H58" s="3">
        <f>IF(($A58-Ft!D$2)&lt;0,Ft!D$3*((1-Ft!D$6)/(1+Ft!D$37*($A58-Ft!D$2)^2)+Ft!D$6*EXP(Ft!D$38*($A58-Ft!D$2)^2)),Ft!D$3*((1-Ft!D$7)/(1+Ft!D$39*($A58-Ft!D$2)^2)+Ft!D$7*EXP(Ft!D$40*($A58-Ft!D$2)^2)))</f>
        <v>1.9120263551785235E-31</v>
      </c>
      <c r="I58" s="3">
        <f>IF(($A58-Ft!E$2)&lt;0,Ft!E$3*((1-Ft!E$6)/(1+Ft!E$37*($A58-Ft!E$2)^2)+Ft!E$6*EXP(Ft!E$38*($A58-Ft!E$2)^2)),Ft!E$3*((1-Ft!E$7)/(1+Ft!E$39*($A58-Ft!E$2)^2)+Ft!E$7*EXP(Ft!E$40*($A58-Ft!E$2)^2)))</f>
        <v>7.7435246498181813</v>
      </c>
      <c r="J58" s="3">
        <f>IF(($A58-Ft!F$2)&lt;0,Ft!F$3*((1-Ft!F$6)/(1+Ft!F$37*($A58-Ft!F$2)^2)+Ft!F$6*EXP(Ft!F$38*($A58-Ft!F$2)^2)),Ft!F$3*((1-Ft!F$7)/(1+Ft!F$39*($A58-Ft!F$2)^2)+Ft!F$7*EXP(Ft!F$40*($A58-Ft!F$2)^2)))</f>
        <v>7.3720371251080632</v>
      </c>
      <c r="K58" s="3">
        <f>IF(($A58-Ft!G$2)&lt;0,Ft!G$3*((1-Ft!G$6)/(1+Ft!G$37*($A58-Ft!G$2)^2)+Ft!G$6*EXP(Ft!G$38*($A58-Ft!G$2)^2)),Ft!G$3*((1-Ft!G$7)/(1+Ft!G$39*($A58-Ft!G$2)^2)+Ft!G$7*EXP(Ft!G$40*($A58-Ft!G$2)^2)))</f>
        <v>22.874316927770714</v>
      </c>
      <c r="L58" s="3">
        <f>IF(($A58-Ft!H$2)&lt;0,Ft!H$3*((1-Ft!H$6)/(1+Ft!H$37*($A58-Ft!H$2)^2)+Ft!H$6*EXP(Ft!H$38*($A58-Ft!H$2)^2)),Ft!H$3*((1-Ft!H$7)/(1+Ft!H$39*($A58-Ft!H$2)^2)+Ft!H$7*EXP(Ft!H$40*($A58-Ft!H$2)^2)))</f>
        <v>0</v>
      </c>
      <c r="M58" s="3">
        <f>IF(($A58-Ft!I$2)&lt;0,Ft!I$3*((1-Ft!I$6)/(1+Ft!I$37*($A58-Ft!I$2)^2)+Ft!I$6*EXP(Ft!I$38*($A58-Ft!I$2)^2)),Ft!I$3*((1-Ft!I$7)/(1+Ft!I$39*($A58-Ft!I$2)^2)+Ft!I$7*EXP(Ft!I$40*($A58-Ft!I$2)^2)))</f>
        <v>0</v>
      </c>
      <c r="N58" s="3">
        <f>IF(($A58-Ft!J$2)&lt;0,Ft!J$3*((1-Ft!J$6)/(1+Ft!J$37*($A58-Ft!J$2)^2)+Ft!J$6*EXP(Ft!J$38*($A58-Ft!J$2)^2)),Ft!J$3*((1-Ft!J$7)/(1+Ft!J$39*($A58-Ft!J$2)^2)+Ft!J$7*EXP(Ft!J$40*($A58-Ft!J$2)^2)))</f>
        <v>0</v>
      </c>
      <c r="O58" s="3">
        <f>IF(($A58-Ft!K$2)&lt;0,Ft!K$3*((1-Ft!K$6)/(1+Ft!K$37*($A58-Ft!K$2)^2)+Ft!K$6*EXP(Ft!K$38*($A58-Ft!K$2)^2)),Ft!K$3*((1-Ft!K$7)/(1+Ft!K$39*($A58-Ft!K$2)^2)+Ft!K$7*EXP(Ft!K$40*($A58-Ft!K$2)^2)))</f>
        <v>0</v>
      </c>
      <c r="P58"/>
      <c r="Q58"/>
    </row>
    <row r="59" spans="1:17">
      <c r="A59" s="20">
        <v>115</v>
      </c>
      <c r="B59" s="29">
        <v>4.7597475399814471</v>
      </c>
      <c r="C59" s="7">
        <f t="shared" si="1"/>
        <v>4.8150581893318822</v>
      </c>
      <c r="D59" s="3">
        <f t="shared" si="0"/>
        <v>3.0592679315667947E-3</v>
      </c>
      <c r="E59" s="3">
        <f>Ft!$B$12+Ft!$B$14*(Data!A59-Vars!$B$3)</f>
        <v>-200</v>
      </c>
      <c r="F59" s="3">
        <f>IF(($A59-Ft!B$2)&lt;0,Ft!B$3*((1-Ft!B$6)/(1+Ft!B$37*($A59-Ft!B$2)^2)+Ft!B$6*EXP(Ft!B$38*($A59-Ft!B$2)^2)),Ft!B$3*((1-Ft!B$7)/(1+Ft!B$39*($A59-Ft!B$2)^2)+Ft!B$7*EXP(Ft!B$40*($A59-Ft!B$2)^2)))</f>
        <v>137.9525055363921</v>
      </c>
      <c r="G59" s="3">
        <f>IF(($A59-Ft!C$2)&lt;0,Ft!C$3*((1-Ft!C$6)/(1+Ft!C$37*($A59-Ft!C$2)^2)+Ft!C$6*EXP(Ft!C$38*($A59-Ft!C$2)^2)),Ft!C$3*((1-Ft!C$7)/(1+Ft!C$39*($A59-Ft!C$2)^2)+Ft!C$7*EXP(Ft!C$40*($A59-Ft!C$2)^2)))</f>
        <v>28.380760724672676</v>
      </c>
      <c r="H59" s="3">
        <f>IF(($A59-Ft!D$2)&lt;0,Ft!D$3*((1-Ft!D$6)/(1+Ft!D$37*($A59-Ft!D$2)^2)+Ft!D$6*EXP(Ft!D$38*($A59-Ft!D$2)^2)),Ft!D$3*((1-Ft!D$7)/(1+Ft!D$39*($A59-Ft!D$2)^2)+Ft!D$7*EXP(Ft!D$40*($A59-Ft!D$2)^2)))</f>
        <v>4.6301290987413589E-31</v>
      </c>
      <c r="I59" s="3">
        <f>IF(($A59-Ft!E$2)&lt;0,Ft!E$3*((1-Ft!E$6)/(1+Ft!E$37*($A59-Ft!E$2)^2)+Ft!E$6*EXP(Ft!E$38*($A59-Ft!E$2)^2)),Ft!E$3*((1-Ft!E$7)/(1+Ft!E$39*($A59-Ft!E$2)^2)+Ft!E$7*EXP(Ft!E$40*($A59-Ft!E$2)^2)))</f>
        <v>7.8807346020287135</v>
      </c>
      <c r="J59" s="3">
        <f>IF(($A59-Ft!F$2)&lt;0,Ft!F$3*((1-Ft!F$6)/(1+Ft!F$37*($A59-Ft!F$2)^2)+Ft!F$6*EXP(Ft!F$38*($A59-Ft!F$2)^2)),Ft!F$3*((1-Ft!F$7)/(1+Ft!F$39*($A59-Ft!F$2)^2)+Ft!F$7*EXP(Ft!F$40*($A59-Ft!F$2)^2)))</f>
        <v>7.4380626128888929</v>
      </c>
      <c r="K59" s="3">
        <f>IF(($A59-Ft!G$2)&lt;0,Ft!G$3*((1-Ft!G$6)/(1+Ft!G$37*($A59-Ft!G$2)^2)+Ft!G$6*EXP(Ft!G$38*($A59-Ft!G$2)^2)),Ft!G$3*((1-Ft!G$7)/(1+Ft!G$39*($A59-Ft!G$2)^2)+Ft!G$7*EXP(Ft!G$40*($A59-Ft!G$2)^2)))</f>
        <v>23.162994713349505</v>
      </c>
      <c r="L59" s="3">
        <f>IF(($A59-Ft!H$2)&lt;0,Ft!H$3*((1-Ft!H$6)/(1+Ft!H$37*($A59-Ft!H$2)^2)+Ft!H$6*EXP(Ft!H$38*($A59-Ft!H$2)^2)),Ft!H$3*((1-Ft!H$7)/(1+Ft!H$39*($A59-Ft!H$2)^2)+Ft!H$7*EXP(Ft!H$40*($A59-Ft!H$2)^2)))</f>
        <v>0</v>
      </c>
      <c r="M59" s="3">
        <f>IF(($A59-Ft!I$2)&lt;0,Ft!I$3*((1-Ft!I$6)/(1+Ft!I$37*($A59-Ft!I$2)^2)+Ft!I$6*EXP(Ft!I$38*($A59-Ft!I$2)^2)),Ft!I$3*((1-Ft!I$7)/(1+Ft!I$39*($A59-Ft!I$2)^2)+Ft!I$7*EXP(Ft!I$40*($A59-Ft!I$2)^2)))</f>
        <v>0</v>
      </c>
      <c r="N59" s="3">
        <f>IF(($A59-Ft!J$2)&lt;0,Ft!J$3*((1-Ft!J$6)/(1+Ft!J$37*($A59-Ft!J$2)^2)+Ft!J$6*EXP(Ft!J$38*($A59-Ft!J$2)^2)),Ft!J$3*((1-Ft!J$7)/(1+Ft!J$39*($A59-Ft!J$2)^2)+Ft!J$7*EXP(Ft!J$40*($A59-Ft!J$2)^2)))</f>
        <v>0</v>
      </c>
      <c r="O59" s="3">
        <f>IF(($A59-Ft!K$2)&lt;0,Ft!K$3*((1-Ft!K$6)/(1+Ft!K$37*($A59-Ft!K$2)^2)+Ft!K$6*EXP(Ft!K$38*($A59-Ft!K$2)^2)),Ft!K$3*((1-Ft!K$7)/(1+Ft!K$39*($A59-Ft!K$2)^2)+Ft!K$7*EXP(Ft!K$40*($A59-Ft!K$2)^2)))</f>
        <v>0</v>
      </c>
      <c r="P59"/>
      <c r="Q59"/>
    </row>
    <row r="60" spans="1:17">
      <c r="A60" s="20">
        <v>117</v>
      </c>
      <c r="B60" s="29">
        <v>4.9016953261074576</v>
      </c>
      <c r="C60" s="7">
        <f t="shared" si="1"/>
        <v>4.9653931569197098</v>
      </c>
      <c r="D60" s="3">
        <f t="shared" si="0"/>
        <v>4.0574136501863086E-3</v>
      </c>
      <c r="E60" s="3">
        <f>Ft!$B$12+Ft!$B$14*(Data!A60-Vars!$B$3)</f>
        <v>-200</v>
      </c>
      <c r="F60" s="3">
        <f>IF(($A60-Ft!B$2)&lt;0,Ft!B$3*((1-Ft!B$6)/(1+Ft!B$37*($A60-Ft!B$2)^2)+Ft!B$6*EXP(Ft!B$38*($A60-Ft!B$2)^2)),Ft!B$3*((1-Ft!B$7)/(1+Ft!B$39*($A60-Ft!B$2)^2)+Ft!B$7*EXP(Ft!B$40*($A60-Ft!B$2)^2)))</f>
        <v>137.50851755358556</v>
      </c>
      <c r="G60" s="3">
        <f>IF(($A60-Ft!C$2)&lt;0,Ft!C$3*((1-Ft!C$6)/(1+Ft!C$37*($A60-Ft!C$2)^2)+Ft!C$6*EXP(Ft!C$38*($A60-Ft!C$2)^2)),Ft!C$3*((1-Ft!C$7)/(1+Ft!C$39*($A60-Ft!C$2)^2)+Ft!C$7*EXP(Ft!C$40*($A60-Ft!C$2)^2)))</f>
        <v>28.479503044528837</v>
      </c>
      <c r="H60" s="3">
        <f>IF(($A60-Ft!D$2)&lt;0,Ft!D$3*((1-Ft!D$6)/(1+Ft!D$37*($A60-Ft!D$2)^2)+Ft!D$6*EXP(Ft!D$38*($A60-Ft!D$2)^2)),Ft!D$3*((1-Ft!D$7)/(1+Ft!D$39*($A60-Ft!D$2)^2)+Ft!D$7*EXP(Ft!D$40*($A60-Ft!D$2)^2)))</f>
        <v>1.1150553184344974E-30</v>
      </c>
      <c r="I60" s="3">
        <f>IF(($A60-Ft!E$2)&lt;0,Ft!E$3*((1-Ft!E$6)/(1+Ft!E$37*($A60-Ft!E$2)^2)+Ft!E$6*EXP(Ft!E$38*($A60-Ft!E$2)^2)),Ft!E$3*((1-Ft!E$7)/(1+Ft!E$39*($A60-Ft!E$2)^2)+Ft!E$7*EXP(Ft!E$40*($A60-Ft!E$2)^2)))</f>
        <v>8.0199108014614389</v>
      </c>
      <c r="J60" s="3">
        <f>IF(($A60-Ft!F$2)&lt;0,Ft!F$3*((1-Ft!F$6)/(1+Ft!F$37*($A60-Ft!F$2)^2)+Ft!F$6*EXP(Ft!F$38*($A60-Ft!F$2)^2)),Ft!F$3*((1-Ft!F$7)/(1+Ft!F$39*($A60-Ft!F$2)^2)+Ft!F$7*EXP(Ft!F$40*($A60-Ft!F$2)^2)))</f>
        <v>7.5045805993840355</v>
      </c>
      <c r="K60" s="3">
        <f>IF(($A60-Ft!G$2)&lt;0,Ft!G$3*((1-Ft!G$6)/(1+Ft!G$37*($A60-Ft!G$2)^2)+Ft!G$6*EXP(Ft!G$38*($A60-Ft!G$2)^2)),Ft!G$3*((1-Ft!G$7)/(1+Ft!G$39*($A60-Ft!G$2)^2)+Ft!G$7*EXP(Ft!G$40*($A60-Ft!G$2)^2)))</f>
        <v>23.452881157959833</v>
      </c>
      <c r="L60" s="3">
        <f>IF(($A60-Ft!H$2)&lt;0,Ft!H$3*((1-Ft!H$6)/(1+Ft!H$37*($A60-Ft!H$2)^2)+Ft!H$6*EXP(Ft!H$38*($A60-Ft!H$2)^2)),Ft!H$3*((1-Ft!H$7)/(1+Ft!H$39*($A60-Ft!H$2)^2)+Ft!H$7*EXP(Ft!H$40*($A60-Ft!H$2)^2)))</f>
        <v>0</v>
      </c>
      <c r="M60" s="3">
        <f>IF(($A60-Ft!I$2)&lt;0,Ft!I$3*((1-Ft!I$6)/(1+Ft!I$37*($A60-Ft!I$2)^2)+Ft!I$6*EXP(Ft!I$38*($A60-Ft!I$2)^2)),Ft!I$3*((1-Ft!I$7)/(1+Ft!I$39*($A60-Ft!I$2)^2)+Ft!I$7*EXP(Ft!I$40*($A60-Ft!I$2)^2)))</f>
        <v>0</v>
      </c>
      <c r="N60" s="3">
        <f>IF(($A60-Ft!J$2)&lt;0,Ft!J$3*((1-Ft!J$6)/(1+Ft!J$37*($A60-Ft!J$2)^2)+Ft!J$6*EXP(Ft!J$38*($A60-Ft!J$2)^2)),Ft!J$3*((1-Ft!J$7)/(1+Ft!J$39*($A60-Ft!J$2)^2)+Ft!J$7*EXP(Ft!J$40*($A60-Ft!J$2)^2)))</f>
        <v>0</v>
      </c>
      <c r="O60" s="3">
        <f>IF(($A60-Ft!K$2)&lt;0,Ft!K$3*((1-Ft!K$6)/(1+Ft!K$37*($A60-Ft!K$2)^2)+Ft!K$6*EXP(Ft!K$38*($A60-Ft!K$2)^2)),Ft!K$3*((1-Ft!K$7)/(1+Ft!K$39*($A60-Ft!K$2)^2)+Ft!K$7*EXP(Ft!K$40*($A60-Ft!K$2)^2)))</f>
        <v>0</v>
      </c>
      <c r="P60"/>
      <c r="Q60"/>
    </row>
    <row r="61" spans="1:17">
      <c r="A61" s="20">
        <v>119</v>
      </c>
      <c r="B61" s="29">
        <v>5.045799758326126</v>
      </c>
      <c r="C61" s="7">
        <f t="shared" si="1"/>
        <v>5.1182750400949821</v>
      </c>
      <c r="D61" s="3">
        <f t="shared" si="0"/>
        <v>5.2526664674750843E-3</v>
      </c>
      <c r="E61" s="3">
        <f>Ft!$B$12+Ft!$B$14*(Data!A61-Vars!$B$3)</f>
        <v>-200</v>
      </c>
      <c r="F61" s="3">
        <f>IF(($A61-Ft!B$2)&lt;0,Ft!B$3*((1-Ft!B$6)/(1+Ft!B$37*($A61-Ft!B$2)^2)+Ft!B$6*EXP(Ft!B$38*($A61-Ft!B$2)^2)),Ft!B$3*((1-Ft!B$7)/(1+Ft!B$39*($A61-Ft!B$2)^2)+Ft!B$7*EXP(Ft!B$40*($A61-Ft!B$2)^2)))</f>
        <v>137.06334238900939</v>
      </c>
      <c r="G61" s="3">
        <f>IF(($A61-Ft!C$2)&lt;0,Ft!C$3*((1-Ft!C$6)/(1+Ft!C$37*($A61-Ft!C$2)^2)+Ft!C$6*EXP(Ft!C$38*($A61-Ft!C$2)^2)),Ft!C$3*((1-Ft!C$7)/(1+Ft!C$39*($A61-Ft!C$2)^2)+Ft!C$7*EXP(Ft!C$40*($A61-Ft!C$2)^2)))</f>
        <v>28.578336395764058</v>
      </c>
      <c r="H61" s="3">
        <f>IF(($A61-Ft!D$2)&lt;0,Ft!D$3*((1-Ft!D$6)/(1+Ft!D$37*($A61-Ft!D$2)^2)+Ft!D$6*EXP(Ft!D$38*($A61-Ft!D$2)^2)),Ft!D$3*((1-Ft!D$7)/(1+Ft!D$39*($A61-Ft!D$2)^2)+Ft!D$7*EXP(Ft!D$40*($A61-Ft!D$2)^2)))</f>
        <v>2.6705690634266402E-30</v>
      </c>
      <c r="I61" s="3">
        <f>IF(($A61-Ft!E$2)&lt;0,Ft!E$3*((1-Ft!E$6)/(1+Ft!E$37*($A61-Ft!E$2)^2)+Ft!E$6*EXP(Ft!E$38*($A61-Ft!E$2)^2)),Ft!E$3*((1-Ft!E$7)/(1+Ft!E$39*($A61-Ft!E$2)^2)+Ft!E$7*EXP(Ft!E$40*($A61-Ft!E$2)^2)))</f>
        <v>8.1610716913457413</v>
      </c>
      <c r="J61" s="3">
        <f>IF(($A61-Ft!F$2)&lt;0,Ft!F$3*((1-Ft!F$6)/(1+Ft!F$37*($A61-Ft!F$2)^2)+Ft!F$6*EXP(Ft!F$38*($A61-Ft!F$2)^2)),Ft!F$3*((1-Ft!F$7)/(1+Ft!F$39*($A61-Ft!F$2)^2)+Ft!F$7*EXP(Ft!F$40*($A61-Ft!F$2)^2)))</f>
        <v>7.5715937290053912</v>
      </c>
      <c r="K61" s="3">
        <f>IF(($A61-Ft!G$2)&lt;0,Ft!G$3*((1-Ft!G$6)/(1+Ft!G$37*($A61-Ft!G$2)^2)+Ft!G$6*EXP(Ft!G$38*($A61-Ft!G$2)^2)),Ft!G$3*((1-Ft!G$7)/(1+Ft!G$39*($A61-Ft!G$2)^2)+Ft!G$7*EXP(Ft!G$40*($A61-Ft!G$2)^2)))</f>
        <v>23.743930834970403</v>
      </c>
      <c r="L61" s="3">
        <f>IF(($A61-Ft!H$2)&lt;0,Ft!H$3*((1-Ft!H$6)/(1+Ft!H$37*($A61-Ft!H$2)^2)+Ft!H$6*EXP(Ft!H$38*($A61-Ft!H$2)^2)),Ft!H$3*((1-Ft!H$7)/(1+Ft!H$39*($A61-Ft!H$2)^2)+Ft!H$7*EXP(Ft!H$40*($A61-Ft!H$2)^2)))</f>
        <v>0</v>
      </c>
      <c r="M61" s="3">
        <f>IF(($A61-Ft!I$2)&lt;0,Ft!I$3*((1-Ft!I$6)/(1+Ft!I$37*($A61-Ft!I$2)^2)+Ft!I$6*EXP(Ft!I$38*($A61-Ft!I$2)^2)),Ft!I$3*((1-Ft!I$7)/(1+Ft!I$39*($A61-Ft!I$2)^2)+Ft!I$7*EXP(Ft!I$40*($A61-Ft!I$2)^2)))</f>
        <v>0</v>
      </c>
      <c r="N61" s="3">
        <f>IF(($A61-Ft!J$2)&lt;0,Ft!J$3*((1-Ft!J$6)/(1+Ft!J$37*($A61-Ft!J$2)^2)+Ft!J$6*EXP(Ft!J$38*($A61-Ft!J$2)^2)),Ft!J$3*((1-Ft!J$7)/(1+Ft!J$39*($A61-Ft!J$2)^2)+Ft!J$7*EXP(Ft!J$40*($A61-Ft!J$2)^2)))</f>
        <v>0</v>
      </c>
      <c r="O61" s="3">
        <f>IF(($A61-Ft!K$2)&lt;0,Ft!K$3*((1-Ft!K$6)/(1+Ft!K$37*($A61-Ft!K$2)^2)+Ft!K$6*EXP(Ft!K$38*($A61-Ft!K$2)^2)),Ft!K$3*((1-Ft!K$7)/(1+Ft!K$39*($A61-Ft!K$2)^2)+Ft!K$7*EXP(Ft!K$40*($A61-Ft!K$2)^2)))</f>
        <v>0</v>
      </c>
      <c r="P61"/>
      <c r="Q61"/>
    </row>
    <row r="62" spans="1:17">
      <c r="A62" s="20">
        <v>121</v>
      </c>
      <c r="B62" s="29">
        <v>5.1920568247202681</v>
      </c>
      <c r="C62" s="7">
        <f t="shared" si="1"/>
        <v>5.2736979261859709</v>
      </c>
      <c r="D62" s="3">
        <f t="shared" si="0"/>
        <v>6.6652694485331808E-3</v>
      </c>
      <c r="E62" s="3">
        <f>Ft!$B$12+Ft!$B$14*(Data!A62-Vars!$B$3)</f>
        <v>-200</v>
      </c>
      <c r="F62" s="3">
        <f>IF(($A62-Ft!B$2)&lt;0,Ft!B$3*((1-Ft!B$6)/(1+Ft!B$37*($A62-Ft!B$2)^2)+Ft!B$6*EXP(Ft!B$38*($A62-Ft!B$2)^2)),Ft!B$3*((1-Ft!B$7)/(1+Ft!B$39*($A62-Ft!B$2)^2)+Ft!B$7*EXP(Ft!B$40*($A62-Ft!B$2)^2)))</f>
        <v>136.61700085230896</v>
      </c>
      <c r="G62" s="3">
        <f>IF(($A62-Ft!C$2)&lt;0,Ft!C$3*((1-Ft!C$6)/(1+Ft!C$37*($A62-Ft!C$2)^2)+Ft!C$6*EXP(Ft!C$38*($A62-Ft!C$2)^2)),Ft!C$3*((1-Ft!C$7)/(1+Ft!C$39*($A62-Ft!C$2)^2)+Ft!C$7*EXP(Ft!C$40*($A62-Ft!C$2)^2)))</f>
        <v>28.677259344726512</v>
      </c>
      <c r="H62" s="3">
        <f>IF(($A62-Ft!D$2)&lt;0,Ft!D$3*((1-Ft!D$6)/(1+Ft!D$37*($A62-Ft!D$2)^2)+Ft!D$6*EXP(Ft!D$38*($A62-Ft!D$2)^2)),Ft!D$3*((1-Ft!D$7)/(1+Ft!D$39*($A62-Ft!D$2)^2)+Ft!D$7*EXP(Ft!D$40*($A62-Ft!D$2)^2)))</f>
        <v>6.3608521495055769E-30</v>
      </c>
      <c r="I62" s="3">
        <f>IF(($A62-Ft!E$2)&lt;0,Ft!E$3*((1-Ft!E$6)/(1+Ft!E$37*($A62-Ft!E$2)^2)+Ft!E$6*EXP(Ft!E$38*($A62-Ft!E$2)^2)),Ft!E$3*((1-Ft!E$7)/(1+Ft!E$39*($A62-Ft!E$2)^2)+Ft!E$7*EXP(Ft!E$40*($A62-Ft!E$2)^2)))</f>
        <v>8.3042356918272286</v>
      </c>
      <c r="J62" s="3">
        <f>IF(($A62-Ft!F$2)&lt;0,Ft!F$3*((1-Ft!F$6)/(1+Ft!F$37*($A62-Ft!F$2)^2)+Ft!F$6*EXP(Ft!F$38*($A62-Ft!F$2)^2)),Ft!F$3*((1-Ft!F$7)/(1+Ft!F$39*($A62-Ft!F$2)^2)+Ft!F$7*EXP(Ft!F$40*($A62-Ft!F$2)^2)))</f>
        <v>7.6391046501450983</v>
      </c>
      <c r="K62" s="3">
        <f>IF(($A62-Ft!G$2)&lt;0,Ft!G$3*((1-Ft!G$6)/(1+Ft!G$37*($A62-Ft!G$2)^2)+Ft!G$6*EXP(Ft!G$38*($A62-Ft!G$2)^2)),Ft!G$3*((1-Ft!G$7)/(1+Ft!G$39*($A62-Ft!G$2)^2)+Ft!G$7*EXP(Ft!G$40*($A62-Ft!G$2)^2)))</f>
        <v>24.03609738717817</v>
      </c>
      <c r="L62" s="3">
        <f>IF(($A62-Ft!H$2)&lt;0,Ft!H$3*((1-Ft!H$6)/(1+Ft!H$37*($A62-Ft!H$2)^2)+Ft!H$6*EXP(Ft!H$38*($A62-Ft!H$2)^2)),Ft!H$3*((1-Ft!H$7)/(1+Ft!H$39*($A62-Ft!H$2)^2)+Ft!H$7*EXP(Ft!H$40*($A62-Ft!H$2)^2)))</f>
        <v>0</v>
      </c>
      <c r="M62" s="3">
        <f>IF(($A62-Ft!I$2)&lt;0,Ft!I$3*((1-Ft!I$6)/(1+Ft!I$37*($A62-Ft!I$2)^2)+Ft!I$6*EXP(Ft!I$38*($A62-Ft!I$2)^2)),Ft!I$3*((1-Ft!I$7)/(1+Ft!I$39*($A62-Ft!I$2)^2)+Ft!I$7*EXP(Ft!I$40*($A62-Ft!I$2)^2)))</f>
        <v>0</v>
      </c>
      <c r="N62" s="3">
        <f>IF(($A62-Ft!J$2)&lt;0,Ft!J$3*((1-Ft!J$6)/(1+Ft!J$37*($A62-Ft!J$2)^2)+Ft!J$6*EXP(Ft!J$38*($A62-Ft!J$2)^2)),Ft!J$3*((1-Ft!J$7)/(1+Ft!J$39*($A62-Ft!J$2)^2)+Ft!J$7*EXP(Ft!J$40*($A62-Ft!J$2)^2)))</f>
        <v>0</v>
      </c>
      <c r="O62" s="3">
        <f>IF(($A62-Ft!K$2)&lt;0,Ft!K$3*((1-Ft!K$6)/(1+Ft!K$37*($A62-Ft!K$2)^2)+Ft!K$6*EXP(Ft!K$38*($A62-Ft!K$2)^2)),Ft!K$3*((1-Ft!K$7)/(1+Ft!K$39*($A62-Ft!K$2)^2)+Ft!K$7*EXP(Ft!K$40*($A62-Ft!K$2)^2)))</f>
        <v>0</v>
      </c>
      <c r="P62"/>
      <c r="Q62"/>
    </row>
    <row r="63" spans="1:17">
      <c r="A63" s="20">
        <v>123</v>
      </c>
      <c r="B63" s="29">
        <v>5.3404621075663812</v>
      </c>
      <c r="C63" s="7">
        <f t="shared" si="1"/>
        <v>5.4316549476040485</v>
      </c>
      <c r="D63" s="3">
        <f t="shared" si="0"/>
        <v>8.3161340741355876E-3</v>
      </c>
      <c r="E63" s="3">
        <f>Ft!$B$12+Ft!$B$14*(Data!A63-Vars!$B$3)</f>
        <v>-200</v>
      </c>
      <c r="F63" s="3">
        <f>IF(($A63-Ft!B$2)&lt;0,Ft!B$3*((1-Ft!B$6)/(1+Ft!B$37*($A63-Ft!B$2)^2)+Ft!B$6*EXP(Ft!B$38*($A63-Ft!B$2)^2)),Ft!B$3*((1-Ft!B$7)/(1+Ft!B$39*($A63-Ft!B$2)^2)+Ft!B$7*EXP(Ft!B$40*($A63-Ft!B$2)^2)))</f>
        <v>136.16951375223937</v>
      </c>
      <c r="G63" s="3">
        <f>IF(($A63-Ft!C$2)&lt;0,Ft!C$3*((1-Ft!C$6)/(1+Ft!C$37*($A63-Ft!C$2)^2)+Ft!C$6*EXP(Ft!C$38*($A63-Ft!C$2)^2)),Ft!C$3*((1-Ft!C$7)/(1+Ft!C$39*($A63-Ft!C$2)^2)+Ft!C$7*EXP(Ft!C$40*($A63-Ft!C$2)^2)))</f>
        <v>28.776270450416391</v>
      </c>
      <c r="H63" s="3">
        <f>IF(($A63-Ft!D$2)&lt;0,Ft!D$3*((1-Ft!D$6)/(1+Ft!D$37*($A63-Ft!D$2)^2)+Ft!D$6*EXP(Ft!D$38*($A63-Ft!D$2)^2)),Ft!D$3*((1-Ft!D$7)/(1+Ft!D$39*($A63-Ft!D$2)^2)+Ft!D$7*EXP(Ft!D$40*($A63-Ft!D$2)^2)))</f>
        <v>1.5067141796739297E-29</v>
      </c>
      <c r="I63" s="3">
        <f>IF(($A63-Ft!E$2)&lt;0,Ft!E$3*((1-Ft!E$6)/(1+Ft!E$37*($A63-Ft!E$2)^2)+Ft!E$6*EXP(Ft!E$38*($A63-Ft!E$2)^2)),Ft!E$3*((1-Ft!E$7)/(1+Ft!E$39*($A63-Ft!E$2)^2)+Ft!E$7*EXP(Ft!E$40*($A63-Ft!E$2)^2)))</f>
        <v>8.4494211952520555</v>
      </c>
      <c r="J63" s="3">
        <f>IF(($A63-Ft!F$2)&lt;0,Ft!F$3*((1-Ft!F$6)/(1+Ft!F$37*($A63-Ft!F$2)^2)+Ft!F$6*EXP(Ft!F$38*($A63-Ft!F$2)^2)),Ft!F$3*((1-Ft!F$7)/(1+Ft!F$39*($A63-Ft!F$2)^2)+Ft!F$7*EXP(Ft!F$40*($A63-Ft!F$2)^2)))</f>
        <v>7.7071160150709321</v>
      </c>
      <c r="K63" s="3">
        <f>IF(($A63-Ft!G$2)&lt;0,Ft!G$3*((1-Ft!G$6)/(1+Ft!G$37*($A63-Ft!G$2)^2)+Ft!G$6*EXP(Ft!G$38*($A63-Ft!G$2)^2)),Ft!G$3*((1-Ft!G$7)/(1+Ft!G$39*($A63-Ft!G$2)^2)+Ft!G$7*EXP(Ft!G$40*($A63-Ft!G$2)^2)))</f>
        <v>24.329333534625302</v>
      </c>
      <c r="L63" s="3">
        <f>IF(($A63-Ft!H$2)&lt;0,Ft!H$3*((1-Ft!H$6)/(1+Ft!H$37*($A63-Ft!H$2)^2)+Ft!H$6*EXP(Ft!H$38*($A63-Ft!H$2)^2)),Ft!H$3*((1-Ft!H$7)/(1+Ft!H$39*($A63-Ft!H$2)^2)+Ft!H$7*EXP(Ft!H$40*($A63-Ft!H$2)^2)))</f>
        <v>0</v>
      </c>
      <c r="M63" s="3">
        <f>IF(($A63-Ft!I$2)&lt;0,Ft!I$3*((1-Ft!I$6)/(1+Ft!I$37*($A63-Ft!I$2)^2)+Ft!I$6*EXP(Ft!I$38*($A63-Ft!I$2)^2)),Ft!I$3*((1-Ft!I$7)/(1+Ft!I$39*($A63-Ft!I$2)^2)+Ft!I$7*EXP(Ft!I$40*($A63-Ft!I$2)^2)))</f>
        <v>0</v>
      </c>
      <c r="N63" s="3">
        <f>IF(($A63-Ft!J$2)&lt;0,Ft!J$3*((1-Ft!J$6)/(1+Ft!J$37*($A63-Ft!J$2)^2)+Ft!J$6*EXP(Ft!J$38*($A63-Ft!J$2)^2)),Ft!J$3*((1-Ft!J$7)/(1+Ft!J$39*($A63-Ft!J$2)^2)+Ft!J$7*EXP(Ft!J$40*($A63-Ft!J$2)^2)))</f>
        <v>0</v>
      </c>
      <c r="O63" s="3">
        <f>IF(($A63-Ft!K$2)&lt;0,Ft!K$3*((1-Ft!K$6)/(1+Ft!K$37*($A63-Ft!K$2)^2)+Ft!K$6*EXP(Ft!K$38*($A63-Ft!K$2)^2)),Ft!K$3*((1-Ft!K$7)/(1+Ft!K$39*($A63-Ft!K$2)^2)+Ft!K$7*EXP(Ft!K$40*($A63-Ft!K$2)^2)))</f>
        <v>0</v>
      </c>
      <c r="P63"/>
      <c r="Q63"/>
    </row>
    <row r="64" spans="1:17">
      <c r="A64" s="20">
        <v>125</v>
      </c>
      <c r="B64" s="29">
        <v>5.4910107835124933</v>
      </c>
      <c r="C64" s="7">
        <f t="shared" si="1"/>
        <v>5.5921382837857472</v>
      </c>
      <c r="D64" s="3">
        <f t="shared" si="0"/>
        <v>1.0226771311516968E-2</v>
      </c>
      <c r="E64" s="3">
        <f>Ft!$B$12+Ft!$B$14*(Data!A64-Vars!$B$3)</f>
        <v>-200</v>
      </c>
      <c r="F64" s="3">
        <f>IF(($A64-Ft!B$2)&lt;0,Ft!B$3*((1-Ft!B$6)/(1+Ft!B$37*($A64-Ft!B$2)^2)+Ft!B$6*EXP(Ft!B$38*($A64-Ft!B$2)^2)),Ft!B$3*((1-Ft!B$7)/(1+Ft!B$39*($A64-Ft!B$2)^2)+Ft!B$7*EXP(Ft!B$40*($A64-Ft!B$2)^2)))</f>
        <v>135.7209018950827</v>
      </c>
      <c r="G64" s="3">
        <f>IF(($A64-Ft!C$2)&lt;0,Ft!C$3*((1-Ft!C$6)/(1+Ft!C$37*($A64-Ft!C$2)^2)+Ft!C$6*EXP(Ft!C$38*($A64-Ft!C$2)^2)),Ft!C$3*((1-Ft!C$7)/(1+Ft!C$39*($A64-Ft!C$2)^2)+Ft!C$7*EXP(Ft!C$40*($A64-Ft!C$2)^2)))</f>
        <v>28.87536826451149</v>
      </c>
      <c r="H64" s="3">
        <f>IF(($A64-Ft!D$2)&lt;0,Ft!D$3*((1-Ft!D$6)/(1+Ft!D$37*($A64-Ft!D$2)^2)+Ft!D$6*EXP(Ft!D$38*($A64-Ft!D$2)^2)),Ft!D$3*((1-Ft!D$7)/(1+Ft!D$39*($A64-Ft!D$2)^2)+Ft!D$7*EXP(Ft!D$40*($A64-Ft!D$2)^2)))</f>
        <v>3.5493639740556267E-29</v>
      </c>
      <c r="I64" s="3">
        <f>IF(($A64-Ft!E$2)&lt;0,Ft!E$3*((1-Ft!E$6)/(1+Ft!E$37*($A64-Ft!E$2)^2)+Ft!E$6*EXP(Ft!E$38*($A64-Ft!E$2)^2)),Ft!E$3*((1-Ft!E$7)/(1+Ft!E$39*($A64-Ft!E$2)^2)+Ft!E$7*EXP(Ft!E$40*($A64-Ft!E$2)^2)))</f>
        <v>8.5966465613764651</v>
      </c>
      <c r="J64" s="3">
        <f>IF(($A64-Ft!F$2)&lt;0,Ft!F$3*((1-Ft!F$6)/(1+Ft!F$37*($A64-Ft!F$2)^2)+Ft!F$6*EXP(Ft!F$38*($A64-Ft!F$2)^2)),Ft!F$3*((1-Ft!F$7)/(1+Ft!F$39*($A64-Ft!F$2)^2)+Ft!F$7*EXP(Ft!F$40*($A64-Ft!F$2)^2)))</f>
        <v>7.7756304798205207</v>
      </c>
      <c r="K64" s="3">
        <f>IF(($A64-Ft!G$2)&lt;0,Ft!G$3*((1-Ft!G$6)/(1+Ft!G$37*($A64-Ft!G$2)^2)+Ft!G$6*EXP(Ft!G$38*($A64-Ft!G$2)^2)),Ft!G$3*((1-Ft!G$7)/(1+Ft!G$39*($A64-Ft!G$2)^2)+Ft!G$7*EXP(Ft!G$40*($A64-Ft!G$2)^2)))</f>
        <v>24.623591082994562</v>
      </c>
      <c r="L64" s="3">
        <f>IF(($A64-Ft!H$2)&lt;0,Ft!H$3*((1-Ft!H$6)/(1+Ft!H$37*($A64-Ft!H$2)^2)+Ft!H$6*EXP(Ft!H$38*($A64-Ft!H$2)^2)),Ft!H$3*((1-Ft!H$7)/(1+Ft!H$39*($A64-Ft!H$2)^2)+Ft!H$7*EXP(Ft!H$40*($A64-Ft!H$2)^2)))</f>
        <v>0</v>
      </c>
      <c r="M64" s="3">
        <f>IF(($A64-Ft!I$2)&lt;0,Ft!I$3*((1-Ft!I$6)/(1+Ft!I$37*($A64-Ft!I$2)^2)+Ft!I$6*EXP(Ft!I$38*($A64-Ft!I$2)^2)),Ft!I$3*((1-Ft!I$7)/(1+Ft!I$39*($A64-Ft!I$2)^2)+Ft!I$7*EXP(Ft!I$40*($A64-Ft!I$2)^2)))</f>
        <v>0</v>
      </c>
      <c r="N64" s="3">
        <f>IF(($A64-Ft!J$2)&lt;0,Ft!J$3*((1-Ft!J$6)/(1+Ft!J$37*($A64-Ft!J$2)^2)+Ft!J$6*EXP(Ft!J$38*($A64-Ft!J$2)^2)),Ft!J$3*((1-Ft!J$7)/(1+Ft!J$39*($A64-Ft!J$2)^2)+Ft!J$7*EXP(Ft!J$40*($A64-Ft!J$2)^2)))</f>
        <v>0</v>
      </c>
      <c r="O64" s="3">
        <f>IF(($A64-Ft!K$2)&lt;0,Ft!K$3*((1-Ft!K$6)/(1+Ft!K$37*($A64-Ft!K$2)^2)+Ft!K$6*EXP(Ft!K$38*($A64-Ft!K$2)^2)),Ft!K$3*((1-Ft!K$7)/(1+Ft!K$39*($A64-Ft!K$2)^2)+Ft!K$7*EXP(Ft!K$40*($A64-Ft!K$2)^2)))</f>
        <v>0</v>
      </c>
      <c r="P64"/>
      <c r="Q64"/>
    </row>
    <row r="65" spans="1:17">
      <c r="A65" s="20">
        <v>127</v>
      </c>
      <c r="B65" s="29">
        <v>5.6436976238520913</v>
      </c>
      <c r="C65" s="7">
        <f t="shared" si="1"/>
        <v>5.7551391636444436</v>
      </c>
      <c r="D65" s="3">
        <f t="shared" si="0"/>
        <v>1.2419216791290435E-2</v>
      </c>
      <c r="E65" s="3">
        <f>Ft!$B$12+Ft!$B$14*(Data!A65-Vars!$B$3)</f>
        <v>-200</v>
      </c>
      <c r="F65" s="3">
        <f>IF(($A65-Ft!B$2)&lt;0,Ft!B$3*((1-Ft!B$6)/(1+Ft!B$37*($A65-Ft!B$2)^2)+Ft!B$6*EXP(Ft!B$38*($A65-Ft!B$2)^2)),Ft!B$3*((1-Ft!B$7)/(1+Ft!B$39*($A65-Ft!B$2)^2)+Ft!B$7*EXP(Ft!B$40*($A65-Ft!B$2)^2)))</f>
        <v>135.27118608306995</v>
      </c>
      <c r="G65" s="3">
        <f>IF(($A65-Ft!C$2)&lt;0,Ft!C$3*((1-Ft!C$6)/(1+Ft!C$37*($A65-Ft!C$2)^2)+Ft!C$6*EXP(Ft!C$38*($A65-Ft!C$2)^2)),Ft!C$3*((1-Ft!C$7)/(1+Ft!C$39*($A65-Ft!C$2)^2)+Ft!C$7*EXP(Ft!C$40*($A65-Ft!C$2)^2)))</f>
        <v>28.974551331393211</v>
      </c>
      <c r="H65" s="3">
        <f>IF(($A65-Ft!D$2)&lt;0,Ft!D$3*((1-Ft!D$6)/(1+Ft!D$37*($A65-Ft!D$2)^2)+Ft!D$6*EXP(Ft!D$38*($A65-Ft!D$2)^2)),Ft!D$3*((1-Ft!D$7)/(1+Ft!D$39*($A65-Ft!D$2)^2)+Ft!D$7*EXP(Ft!D$40*($A65-Ft!D$2)^2)))</f>
        <v>8.3152303662855527E-29</v>
      </c>
      <c r="I65" s="3">
        <f>IF(($A65-Ft!E$2)&lt;0,Ft!E$3*((1-Ft!E$6)/(1+Ft!E$37*($A65-Ft!E$2)^2)+Ft!E$6*EXP(Ft!E$38*($A65-Ft!E$2)^2)),Ft!E$3*((1-Ft!E$7)/(1+Ft!E$39*($A65-Ft!E$2)^2)+Ft!E$7*EXP(Ft!E$40*($A65-Ft!E$2)^2)))</f>
        <v>8.745930112502009</v>
      </c>
      <c r="J65" s="3">
        <f>IF(($A65-Ft!F$2)&lt;0,Ft!F$3*((1-Ft!F$6)/(1+Ft!F$37*($A65-Ft!F$2)^2)+Ft!F$6*EXP(Ft!F$38*($A65-Ft!F$2)^2)),Ft!F$3*((1-Ft!F$7)/(1+Ft!F$39*($A65-Ft!F$2)^2)+Ft!F$7*EXP(Ft!F$40*($A65-Ft!F$2)^2)))</f>
        <v>7.8446507040943398</v>
      </c>
      <c r="K65" s="3">
        <f>IF(($A65-Ft!G$2)&lt;0,Ft!G$3*((1-Ft!G$6)/(1+Ft!G$37*($A65-Ft!G$2)^2)+Ft!G$6*EXP(Ft!G$38*($A65-Ft!G$2)^2)),Ft!G$3*((1-Ft!G$7)/(1+Ft!G$39*($A65-Ft!G$2)^2)+Ft!G$7*EXP(Ft!G$40*($A65-Ft!G$2)^2)))</f>
        <v>24.918820932584929</v>
      </c>
      <c r="L65" s="3">
        <f>IF(($A65-Ft!H$2)&lt;0,Ft!H$3*((1-Ft!H$6)/(1+Ft!H$37*($A65-Ft!H$2)^2)+Ft!H$6*EXP(Ft!H$38*($A65-Ft!H$2)^2)),Ft!H$3*((1-Ft!H$7)/(1+Ft!H$39*($A65-Ft!H$2)^2)+Ft!H$7*EXP(Ft!H$40*($A65-Ft!H$2)^2)))</f>
        <v>0</v>
      </c>
      <c r="M65" s="3">
        <f>IF(($A65-Ft!I$2)&lt;0,Ft!I$3*((1-Ft!I$6)/(1+Ft!I$37*($A65-Ft!I$2)^2)+Ft!I$6*EXP(Ft!I$38*($A65-Ft!I$2)^2)),Ft!I$3*((1-Ft!I$7)/(1+Ft!I$39*($A65-Ft!I$2)^2)+Ft!I$7*EXP(Ft!I$40*($A65-Ft!I$2)^2)))</f>
        <v>0</v>
      </c>
      <c r="N65" s="3">
        <f>IF(($A65-Ft!J$2)&lt;0,Ft!J$3*((1-Ft!J$6)/(1+Ft!J$37*($A65-Ft!J$2)^2)+Ft!J$6*EXP(Ft!J$38*($A65-Ft!J$2)^2)),Ft!J$3*((1-Ft!J$7)/(1+Ft!J$39*($A65-Ft!J$2)^2)+Ft!J$7*EXP(Ft!J$40*($A65-Ft!J$2)^2)))</f>
        <v>0</v>
      </c>
      <c r="O65" s="3">
        <f>IF(($A65-Ft!K$2)&lt;0,Ft!K$3*((1-Ft!K$6)/(1+Ft!K$37*($A65-Ft!K$2)^2)+Ft!K$6*EXP(Ft!K$38*($A65-Ft!K$2)^2)),Ft!K$3*((1-Ft!K$7)/(1+Ft!K$39*($A65-Ft!K$2)^2)+Ft!K$7*EXP(Ft!K$40*($A65-Ft!K$2)^2)))</f>
        <v>0</v>
      </c>
      <c r="P65"/>
      <c r="Q65"/>
    </row>
    <row r="66" spans="1:17">
      <c r="A66" s="20">
        <v>129</v>
      </c>
      <c r="B66" s="29">
        <v>5.7985169948933759</v>
      </c>
      <c r="C66" s="7">
        <f t="shared" si="1"/>
        <v>5.9206478685352231</v>
      </c>
      <c r="D66" s="3">
        <f t="shared" ref="D66:D101" si="2">(C66-B66)^2</f>
        <v>1.4915950296520838E-2</v>
      </c>
      <c r="E66" s="3">
        <f>Ft!$B$12+Ft!$B$14*(Data!A66-Vars!$B$3)</f>
        <v>-200</v>
      </c>
      <c r="F66" s="3">
        <f>IF(($A66-Ft!B$2)&lt;0,Ft!B$3*((1-Ft!B$6)/(1+Ft!B$37*($A66-Ft!B$2)^2)+Ft!B$6*EXP(Ft!B$38*($A66-Ft!B$2)^2)),Ft!B$3*((1-Ft!B$7)/(1+Ft!B$39*($A66-Ft!B$2)^2)+Ft!B$7*EXP(Ft!B$40*($A66-Ft!B$2)^2)))</f>
        <v>134.82038711280899</v>
      </c>
      <c r="G66" s="3">
        <f>IF(($A66-Ft!C$2)&lt;0,Ft!C$3*((1-Ft!C$6)/(1+Ft!C$37*($A66-Ft!C$2)^2)+Ft!C$6*EXP(Ft!C$38*($A66-Ft!C$2)^2)),Ft!C$3*((1-Ft!C$7)/(1+Ft!C$39*($A66-Ft!C$2)^2)+Ft!C$7*EXP(Ft!C$40*($A66-Ft!C$2)^2)))</f>
        <v>29.07381818817295</v>
      </c>
      <c r="H66" s="3">
        <f>IF(($A66-Ft!D$2)&lt;0,Ft!D$3*((1-Ft!D$6)/(1+Ft!D$37*($A66-Ft!D$2)^2)+Ft!D$6*EXP(Ft!D$38*($A66-Ft!D$2)^2)),Ft!D$3*((1-Ft!D$7)/(1+Ft!D$39*($A66-Ft!D$2)^2)+Ft!D$7*EXP(Ft!D$40*($A66-Ft!D$2)^2)))</f>
        <v>1.9373233865686559E-28</v>
      </c>
      <c r="I66" s="3">
        <f>IF(($A66-Ft!E$2)&lt;0,Ft!E$3*((1-Ft!E$6)/(1+Ft!E$37*($A66-Ft!E$2)^2)+Ft!E$6*EXP(Ft!E$38*($A66-Ft!E$2)^2)),Ft!E$3*((1-Ft!E$7)/(1+Ft!E$39*($A66-Ft!E$2)^2)+Ft!E$7*EXP(Ft!E$40*($A66-Ft!E$2)^2)))</f>
        <v>8.8972901285368007</v>
      </c>
      <c r="J66" s="3">
        <f>IF(($A66-Ft!F$2)&lt;0,Ft!F$3*((1-Ft!F$6)/(1+Ft!F$37*($A66-Ft!F$2)^2)+Ft!F$6*EXP(Ft!F$38*($A66-Ft!F$2)^2)),Ft!F$3*((1-Ft!F$7)/(1+Ft!F$39*($A66-Ft!F$2)^2)+Ft!F$7*EXP(Ft!F$40*($A66-Ft!F$2)^2)))</f>
        <v>7.9141793511475669</v>
      </c>
      <c r="K66" s="3">
        <f>IF(($A66-Ft!G$2)&lt;0,Ft!G$3*((1-Ft!G$6)/(1+Ft!G$37*($A66-Ft!G$2)^2)+Ft!G$6*EXP(Ft!G$38*($A66-Ft!G$2)^2)),Ft!G$3*((1-Ft!G$7)/(1+Ft!G$39*($A66-Ft!G$2)^2)+Ft!G$7*EXP(Ft!G$40*($A66-Ft!G$2)^2)))</f>
        <v>25.214973087868916</v>
      </c>
      <c r="L66" s="3">
        <f>IF(($A66-Ft!H$2)&lt;0,Ft!H$3*((1-Ft!H$6)/(1+Ft!H$37*($A66-Ft!H$2)^2)+Ft!H$6*EXP(Ft!H$38*($A66-Ft!H$2)^2)),Ft!H$3*((1-Ft!H$7)/(1+Ft!H$39*($A66-Ft!H$2)^2)+Ft!H$7*EXP(Ft!H$40*($A66-Ft!H$2)^2)))</f>
        <v>0</v>
      </c>
      <c r="M66" s="3">
        <f>IF(($A66-Ft!I$2)&lt;0,Ft!I$3*((1-Ft!I$6)/(1+Ft!I$37*($A66-Ft!I$2)^2)+Ft!I$6*EXP(Ft!I$38*($A66-Ft!I$2)^2)),Ft!I$3*((1-Ft!I$7)/(1+Ft!I$39*($A66-Ft!I$2)^2)+Ft!I$7*EXP(Ft!I$40*($A66-Ft!I$2)^2)))</f>
        <v>0</v>
      </c>
      <c r="N66" s="3">
        <f>IF(($A66-Ft!J$2)&lt;0,Ft!J$3*((1-Ft!J$6)/(1+Ft!J$37*($A66-Ft!J$2)^2)+Ft!J$6*EXP(Ft!J$38*($A66-Ft!J$2)^2)),Ft!J$3*((1-Ft!J$7)/(1+Ft!J$39*($A66-Ft!J$2)^2)+Ft!J$7*EXP(Ft!J$40*($A66-Ft!J$2)^2)))</f>
        <v>0</v>
      </c>
      <c r="O66" s="3">
        <f>IF(($A66-Ft!K$2)&lt;0,Ft!K$3*((1-Ft!K$6)/(1+Ft!K$37*($A66-Ft!K$2)^2)+Ft!K$6*EXP(Ft!K$38*($A66-Ft!K$2)^2)),Ft!K$3*((1-Ft!K$7)/(1+Ft!K$39*($A66-Ft!K$2)^2)+Ft!K$7*EXP(Ft!K$40*($A66-Ft!K$2)^2)))</f>
        <v>0</v>
      </c>
      <c r="P66"/>
      <c r="Q66"/>
    </row>
    <row r="67" spans="1:17">
      <c r="A67" s="20">
        <v>131</v>
      </c>
      <c r="B67" s="29">
        <v>5.9554628584241698</v>
      </c>
      <c r="C67" s="7">
        <f t="shared" ref="C67:C130" si="3">SUM(E67:K67)</f>
        <v>6.088653735733601</v>
      </c>
      <c r="D67" s="3">
        <f t="shared" si="2"/>
        <v>1.7739809798455967E-2</v>
      </c>
      <c r="E67" s="3">
        <f>Ft!$B$12+Ft!$B$14*(Data!A67-Vars!$B$3)</f>
        <v>-200</v>
      </c>
      <c r="F67" s="3">
        <f>IF(($A67-Ft!B$2)&lt;0,Ft!B$3*((1-Ft!B$6)/(1+Ft!B$37*($A67-Ft!B$2)^2)+Ft!B$6*EXP(Ft!B$38*($A67-Ft!B$2)^2)),Ft!B$3*((1-Ft!B$7)/(1+Ft!B$39*($A67-Ft!B$2)^2)+Ft!B$7*EXP(Ft!B$40*($A67-Ft!B$2)^2)))</f>
        <v>134.36852577371801</v>
      </c>
      <c r="G67" s="3">
        <f>IF(($A67-Ft!C$2)&lt;0,Ft!C$3*((1-Ft!C$6)/(1+Ft!C$37*($A67-Ft!C$2)^2)+Ft!C$6*EXP(Ft!C$38*($A67-Ft!C$2)^2)),Ft!C$3*((1-Ft!C$7)/(1+Ft!C$39*($A67-Ft!C$2)^2)+Ft!C$7*EXP(Ft!C$40*($A67-Ft!C$2)^2)))</f>
        <v>29.173167364718935</v>
      </c>
      <c r="H67" s="3">
        <f>IF(($A67-Ft!D$2)&lt;0,Ft!D$3*((1-Ft!D$6)/(1+Ft!D$37*($A67-Ft!D$2)^2)+Ft!D$6*EXP(Ft!D$38*($A67-Ft!D$2)^2)),Ft!D$3*((1-Ft!D$7)/(1+Ft!D$39*($A67-Ft!D$2)^2)+Ft!D$7*EXP(Ft!D$40*($A67-Ft!D$2)^2)))</f>
        <v>4.4888391539359069E-28</v>
      </c>
      <c r="I67" s="3">
        <f>IF(($A67-Ft!E$2)&lt;0,Ft!E$3*((1-Ft!E$6)/(1+Ft!E$37*($A67-Ft!E$2)^2)+Ft!E$6*EXP(Ft!E$38*($A67-Ft!E$2)^2)),Ft!E$3*((1-Ft!E$7)/(1+Ft!E$39*($A67-Ft!E$2)^2)+Ft!E$7*EXP(Ft!E$40*($A67-Ft!E$2)^2)))</f>
        <v>9.050744841983251</v>
      </c>
      <c r="J67" s="3">
        <f>IF(($A67-Ft!F$2)&lt;0,Ft!F$3*((1-Ft!F$6)/(1+Ft!F$37*($A67-Ft!F$2)^2)+Ft!F$6*EXP(Ft!F$38*($A67-Ft!F$2)^2)),Ft!F$3*((1-Ft!F$7)/(1+Ft!F$39*($A67-Ft!F$2)^2)+Ft!F$7*EXP(Ft!F$40*($A67-Ft!F$2)^2)))</f>
        <v>7.9842190876806898</v>
      </c>
      <c r="K67" s="3">
        <f>IF(($A67-Ft!G$2)&lt;0,Ft!G$3*((1-Ft!G$6)/(1+Ft!G$37*($A67-Ft!G$2)^2)+Ft!G$6*EXP(Ft!G$38*($A67-Ft!G$2)^2)),Ft!G$3*((1-Ft!G$7)/(1+Ft!G$39*($A67-Ft!G$2)^2)+Ft!G$7*EXP(Ft!G$40*($A67-Ft!G$2)^2)))</f>
        <v>25.511996667632719</v>
      </c>
      <c r="L67" s="3">
        <f>IF(($A67-Ft!H$2)&lt;0,Ft!H$3*((1-Ft!H$6)/(1+Ft!H$37*($A67-Ft!H$2)^2)+Ft!H$6*EXP(Ft!H$38*($A67-Ft!H$2)^2)),Ft!H$3*((1-Ft!H$7)/(1+Ft!H$39*($A67-Ft!H$2)^2)+Ft!H$7*EXP(Ft!H$40*($A67-Ft!H$2)^2)))</f>
        <v>0</v>
      </c>
      <c r="M67" s="3">
        <f>IF(($A67-Ft!I$2)&lt;0,Ft!I$3*((1-Ft!I$6)/(1+Ft!I$37*($A67-Ft!I$2)^2)+Ft!I$6*EXP(Ft!I$38*($A67-Ft!I$2)^2)),Ft!I$3*((1-Ft!I$7)/(1+Ft!I$39*($A67-Ft!I$2)^2)+Ft!I$7*EXP(Ft!I$40*($A67-Ft!I$2)^2)))</f>
        <v>0</v>
      </c>
      <c r="N67" s="3">
        <f>IF(($A67-Ft!J$2)&lt;0,Ft!J$3*((1-Ft!J$6)/(1+Ft!J$37*($A67-Ft!J$2)^2)+Ft!J$6*EXP(Ft!J$38*($A67-Ft!J$2)^2)),Ft!J$3*((1-Ft!J$7)/(1+Ft!J$39*($A67-Ft!J$2)^2)+Ft!J$7*EXP(Ft!J$40*($A67-Ft!J$2)^2)))</f>
        <v>0</v>
      </c>
      <c r="O67" s="3">
        <f>IF(($A67-Ft!K$2)&lt;0,Ft!K$3*((1-Ft!K$6)/(1+Ft!K$37*($A67-Ft!K$2)^2)+Ft!K$6*EXP(Ft!K$38*($A67-Ft!K$2)^2)),Ft!K$3*((1-Ft!K$7)/(1+Ft!K$39*($A67-Ft!K$2)^2)+Ft!K$7*EXP(Ft!K$40*($A67-Ft!K$2)^2)))</f>
        <v>0</v>
      </c>
      <c r="P67"/>
      <c r="Q67"/>
    </row>
    <row r="68" spans="1:17">
      <c r="A68" s="20">
        <v>133</v>
      </c>
      <c r="B68" s="29">
        <v>6.1145287722721804</v>
      </c>
      <c r="C68" s="7">
        <f t="shared" si="3"/>
        <v>6.2591451624298742</v>
      </c>
      <c r="D68" s="3">
        <f t="shared" si="2"/>
        <v>2.0913900302242314E-2</v>
      </c>
      <c r="E68" s="3">
        <f>Ft!$B$12+Ft!$B$14*(Data!A68-Vars!$B$3)</f>
        <v>-200</v>
      </c>
      <c r="F68" s="3">
        <f>IF(($A68-Ft!B$2)&lt;0,Ft!B$3*((1-Ft!B$6)/(1+Ft!B$37*($A68-Ft!B$2)^2)+Ft!B$6*EXP(Ft!B$38*($A68-Ft!B$2)^2)),Ft!B$3*((1-Ft!B$7)/(1+Ft!B$39*($A68-Ft!B$2)^2)+Ft!B$7*EXP(Ft!B$40*($A68-Ft!B$2)^2)))</f>
        <v>133.91562284646497</v>
      </c>
      <c r="G68" s="3">
        <f>IF(($A68-Ft!C$2)&lt;0,Ft!C$3*((1-Ft!C$6)/(1+Ft!C$37*($A68-Ft!C$2)^2)+Ft!C$6*EXP(Ft!C$38*($A68-Ft!C$2)^2)),Ft!C$3*((1-Ft!C$7)/(1+Ft!C$39*($A68-Ft!C$2)^2)+Ft!C$7*EXP(Ft!C$40*($A68-Ft!C$2)^2)))</f>
        <v>29.272597383683458</v>
      </c>
      <c r="H68" s="3">
        <f>IF(($A68-Ft!D$2)&lt;0,Ft!D$3*((1-Ft!D$6)/(1+Ft!D$37*($A68-Ft!D$2)^2)+Ft!D$6*EXP(Ft!D$38*($A68-Ft!D$2)^2)),Ft!D$3*((1-Ft!D$7)/(1+Ft!D$39*($A68-Ft!D$2)^2)+Ft!D$7*EXP(Ft!D$40*($A68-Ft!D$2)^2)))</f>
        <v>1.0343560372706327E-27</v>
      </c>
      <c r="I68" s="3">
        <f>IF(($A68-Ft!E$2)&lt;0,Ft!E$3*((1-Ft!E$6)/(1+Ft!E$37*($A68-Ft!E$2)^2)+Ft!E$6*EXP(Ft!E$38*($A68-Ft!E$2)^2)),Ft!E$3*((1-Ft!E$7)/(1+Ft!E$39*($A68-Ft!E$2)^2)+Ft!E$7*EXP(Ft!E$40*($A68-Ft!E$2)^2)))</f>
        <v>9.2063124328527817</v>
      </c>
      <c r="J68" s="3">
        <f>IF(($A68-Ft!F$2)&lt;0,Ft!F$3*((1-Ft!F$6)/(1+Ft!F$37*($A68-Ft!F$2)^2)+Ft!F$6*EXP(Ft!F$38*($A68-Ft!F$2)^2)),Ft!F$3*((1-Ft!F$7)/(1+Ft!F$39*($A68-Ft!F$2)^2)+Ft!F$7*EXP(Ft!F$40*($A68-Ft!F$2)^2)))</f>
        <v>8.0547725837289512</v>
      </c>
      <c r="K68" s="3">
        <f>IF(($A68-Ft!G$2)&lt;0,Ft!G$3*((1-Ft!G$6)/(1+Ft!G$37*($A68-Ft!G$2)^2)+Ft!G$6*EXP(Ft!G$38*($A68-Ft!G$2)^2)),Ft!G$3*((1-Ft!G$7)/(1+Ft!G$39*($A68-Ft!G$2)^2)+Ft!G$7*EXP(Ft!G$40*($A68-Ft!G$2)^2)))</f>
        <v>25.809839915699708</v>
      </c>
      <c r="L68" s="3">
        <f>IF(($A68-Ft!H$2)&lt;0,Ft!H$3*((1-Ft!H$6)/(1+Ft!H$37*($A68-Ft!H$2)^2)+Ft!H$6*EXP(Ft!H$38*($A68-Ft!H$2)^2)),Ft!H$3*((1-Ft!H$7)/(1+Ft!H$39*($A68-Ft!H$2)^2)+Ft!H$7*EXP(Ft!H$40*($A68-Ft!H$2)^2)))</f>
        <v>0</v>
      </c>
      <c r="M68" s="3">
        <f>IF(($A68-Ft!I$2)&lt;0,Ft!I$3*((1-Ft!I$6)/(1+Ft!I$37*($A68-Ft!I$2)^2)+Ft!I$6*EXP(Ft!I$38*($A68-Ft!I$2)^2)),Ft!I$3*((1-Ft!I$7)/(1+Ft!I$39*($A68-Ft!I$2)^2)+Ft!I$7*EXP(Ft!I$40*($A68-Ft!I$2)^2)))</f>
        <v>0</v>
      </c>
      <c r="N68" s="3">
        <f>IF(($A68-Ft!J$2)&lt;0,Ft!J$3*((1-Ft!J$6)/(1+Ft!J$37*($A68-Ft!J$2)^2)+Ft!J$6*EXP(Ft!J$38*($A68-Ft!J$2)^2)),Ft!J$3*((1-Ft!J$7)/(1+Ft!J$39*($A68-Ft!J$2)^2)+Ft!J$7*EXP(Ft!J$40*($A68-Ft!J$2)^2)))</f>
        <v>0</v>
      </c>
      <c r="O68" s="3">
        <f>IF(($A68-Ft!K$2)&lt;0,Ft!K$3*((1-Ft!K$6)/(1+Ft!K$37*($A68-Ft!K$2)^2)+Ft!K$6*EXP(Ft!K$38*($A68-Ft!K$2)^2)),Ft!K$3*((1-Ft!K$7)/(1+Ft!K$39*($A68-Ft!K$2)^2)+Ft!K$7*EXP(Ft!K$40*($A68-Ft!K$2)^2)))</f>
        <v>0</v>
      </c>
      <c r="P68"/>
      <c r="Q68"/>
    </row>
    <row r="69" spans="1:17">
      <c r="A69" s="20">
        <v>135</v>
      </c>
      <c r="B69" s="29">
        <v>6.2757078909608595</v>
      </c>
      <c r="C69" s="7">
        <f t="shared" si="3"/>
        <v>6.4321096102397384</v>
      </c>
      <c r="D69" s="3">
        <f t="shared" si="2"/>
        <v>2.4461497793389245E-2</v>
      </c>
      <c r="E69" s="3">
        <f>Ft!$B$12+Ft!$B$14*(Data!A69-Vars!$B$3)</f>
        <v>-200</v>
      </c>
      <c r="F69" s="3">
        <f>IF(($A69-Ft!B$2)&lt;0,Ft!B$3*((1-Ft!B$6)/(1+Ft!B$37*($A69-Ft!B$2)^2)+Ft!B$6*EXP(Ft!B$38*($A69-Ft!B$2)^2)),Ft!B$3*((1-Ft!B$7)/(1+Ft!B$39*($A69-Ft!B$2)^2)+Ft!B$7*EXP(Ft!B$40*($A69-Ft!B$2)^2)))</f>
        <v>133.46169910141313</v>
      </c>
      <c r="G69" s="3">
        <f>IF(($A69-Ft!C$2)&lt;0,Ft!C$3*((1-Ft!C$6)/(1+Ft!C$37*($A69-Ft!C$2)^2)+Ft!C$6*EXP(Ft!C$38*($A69-Ft!C$2)^2)),Ft!C$3*((1-Ft!C$7)/(1+Ft!C$39*($A69-Ft!C$2)^2)+Ft!C$7*EXP(Ft!C$40*($A69-Ft!C$2)^2)))</f>
        <v>29.3721067605305</v>
      </c>
      <c r="H69" s="3">
        <f>IF(($A69-Ft!D$2)&lt;0,Ft!D$3*((1-Ft!D$6)/(1+Ft!D$37*($A69-Ft!D$2)^2)+Ft!D$6*EXP(Ft!D$38*($A69-Ft!D$2)^2)),Ft!D$3*((1-Ft!D$7)/(1+Ft!D$39*($A69-Ft!D$2)^2)+Ft!D$7*EXP(Ft!D$40*($A69-Ft!D$2)^2)))</f>
        <v>2.3703372992011018E-27</v>
      </c>
      <c r="I69" s="3">
        <f>IF(($A69-Ft!E$2)&lt;0,Ft!E$3*((1-Ft!E$6)/(1+Ft!E$37*($A69-Ft!E$2)^2)+Ft!E$6*EXP(Ft!E$38*($A69-Ft!E$2)^2)),Ft!E$3*((1-Ft!E$7)/(1+Ft!E$39*($A69-Ft!E$2)^2)+Ft!E$7*EXP(Ft!E$40*($A69-Ft!E$2)^2)))</f>
        <v>9.3640110235080378</v>
      </c>
      <c r="J69" s="3">
        <f>IF(($A69-Ft!F$2)&lt;0,Ft!F$3*((1-Ft!F$6)/(1+Ft!F$37*($A69-Ft!F$2)^2)+Ft!F$6*EXP(Ft!F$38*($A69-Ft!F$2)^2)),Ft!F$3*((1-Ft!F$7)/(1+Ft!F$39*($A69-Ft!F$2)^2)+Ft!F$7*EXP(Ft!F$40*($A69-Ft!F$2)^2)))</f>
        <v>8.1258425125505465</v>
      </c>
      <c r="K69" s="3">
        <f>IF(($A69-Ft!G$2)&lt;0,Ft!G$3*((1-Ft!G$6)/(1+Ft!G$37*($A69-Ft!G$2)^2)+Ft!G$6*EXP(Ft!G$38*($A69-Ft!G$2)^2)),Ft!G$3*((1-Ft!G$7)/(1+Ft!G$39*($A69-Ft!G$2)^2)+Ft!G$7*EXP(Ft!G$40*($A69-Ft!G$2)^2)))</f>
        <v>26.108450212237525</v>
      </c>
      <c r="L69" s="3">
        <f>IF(($A69-Ft!H$2)&lt;0,Ft!H$3*((1-Ft!H$6)/(1+Ft!H$37*($A69-Ft!H$2)^2)+Ft!H$6*EXP(Ft!H$38*($A69-Ft!H$2)^2)),Ft!H$3*((1-Ft!H$7)/(1+Ft!H$39*($A69-Ft!H$2)^2)+Ft!H$7*EXP(Ft!H$40*($A69-Ft!H$2)^2)))</f>
        <v>0</v>
      </c>
      <c r="M69" s="3">
        <f>IF(($A69-Ft!I$2)&lt;0,Ft!I$3*((1-Ft!I$6)/(1+Ft!I$37*($A69-Ft!I$2)^2)+Ft!I$6*EXP(Ft!I$38*($A69-Ft!I$2)^2)),Ft!I$3*((1-Ft!I$7)/(1+Ft!I$39*($A69-Ft!I$2)^2)+Ft!I$7*EXP(Ft!I$40*($A69-Ft!I$2)^2)))</f>
        <v>0</v>
      </c>
      <c r="N69" s="3">
        <f>IF(($A69-Ft!J$2)&lt;0,Ft!J$3*((1-Ft!J$6)/(1+Ft!J$37*($A69-Ft!J$2)^2)+Ft!J$6*EXP(Ft!J$38*($A69-Ft!J$2)^2)),Ft!J$3*((1-Ft!J$7)/(1+Ft!J$39*($A69-Ft!J$2)^2)+Ft!J$7*EXP(Ft!J$40*($A69-Ft!J$2)^2)))</f>
        <v>0</v>
      </c>
      <c r="O69" s="3">
        <f>IF(($A69-Ft!K$2)&lt;0,Ft!K$3*((1-Ft!K$6)/(1+Ft!K$37*($A69-Ft!K$2)^2)+Ft!K$6*EXP(Ft!K$38*($A69-Ft!K$2)^2)),Ft!K$3*((1-Ft!K$7)/(1+Ft!K$39*($A69-Ft!K$2)^2)+Ft!K$7*EXP(Ft!K$40*($A69-Ft!K$2)^2)))</f>
        <v>0</v>
      </c>
      <c r="P69"/>
      <c r="Q69"/>
    </row>
    <row r="70" spans="1:17">
      <c r="A70" s="20">
        <v>137</v>
      </c>
      <c r="B70" s="29">
        <v>6.4389929664601766</v>
      </c>
      <c r="C70" s="7">
        <f t="shared" si="3"/>
        <v>6.6075336102318261</v>
      </c>
      <c r="D70" s="3">
        <f t="shared" si="2"/>
        <v>2.8405948602962042E-2</v>
      </c>
      <c r="E70" s="3">
        <f>Ft!$B$12+Ft!$B$14*(Data!A70-Vars!$B$3)</f>
        <v>-200</v>
      </c>
      <c r="F70" s="3">
        <f>IF(($A70-Ft!B$2)&lt;0,Ft!B$3*((1-Ft!B$6)/(1+Ft!B$37*($A70-Ft!B$2)^2)+Ft!B$6*EXP(Ft!B$38*($A70-Ft!B$2)^2)),Ft!B$3*((1-Ft!B$7)/(1+Ft!B$39*($A70-Ft!B$2)^2)+Ft!B$7*EXP(Ft!B$40*($A70-Ft!B$2)^2)))</f>
        <v>133.00677529707255</v>
      </c>
      <c r="G70" s="3">
        <f>IF(($A70-Ft!C$2)&lt;0,Ft!C$3*((1-Ft!C$6)/(1+Ft!C$37*($A70-Ft!C$2)^2)+Ft!C$6*EXP(Ft!C$38*($A70-Ft!C$2)^2)),Ft!C$3*((1-Ft!C$7)/(1+Ft!C$39*($A70-Ft!C$2)^2)+Ft!C$7*EXP(Ft!C$40*($A70-Ft!C$2)^2)))</f>
        <v>29.471694003563815</v>
      </c>
      <c r="H70" s="3">
        <f>IF(($A70-Ft!D$2)&lt;0,Ft!D$3*((1-Ft!D$6)/(1+Ft!D$37*($A70-Ft!D$2)^2)+Ft!D$6*EXP(Ft!D$38*($A70-Ft!D$2)^2)),Ft!D$3*((1-Ft!D$7)/(1+Ft!D$39*($A70-Ft!D$2)^2)+Ft!D$7*EXP(Ft!D$40*($A70-Ft!D$2)^2)))</f>
        <v>5.4019969484656103E-27</v>
      </c>
      <c r="I70" s="3">
        <f>IF(($A70-Ft!E$2)&lt;0,Ft!E$3*((1-Ft!E$6)/(1+Ft!E$37*($A70-Ft!E$2)^2)+Ft!E$6*EXP(Ft!E$38*($A70-Ft!E$2)^2)),Ft!E$3*((1-Ft!E$7)/(1+Ft!E$39*($A70-Ft!E$2)^2)+Ft!E$7*EXP(Ft!E$40*($A70-Ft!E$2)^2)))</f>
        <v>9.5238586734331321</v>
      </c>
      <c r="J70" s="3">
        <f>IF(($A70-Ft!F$2)&lt;0,Ft!F$3*((1-Ft!F$6)/(1+Ft!F$37*($A70-Ft!F$2)^2)+Ft!F$6*EXP(Ft!F$38*($A70-Ft!F$2)^2)),Ft!F$3*((1-Ft!F$7)/(1+Ft!F$39*($A70-Ft!F$2)^2)+Ft!F$7*EXP(Ft!F$40*($A70-Ft!F$2)^2)))</f>
        <v>8.1974315505136932</v>
      </c>
      <c r="K70" s="3">
        <f>IF(($A70-Ft!G$2)&lt;0,Ft!G$3*((1-Ft!G$6)/(1+Ft!G$37*($A70-Ft!G$2)^2)+Ft!G$6*EXP(Ft!G$38*($A70-Ft!G$2)^2)),Ft!G$3*((1-Ft!G$7)/(1+Ft!G$39*($A70-Ft!G$2)^2)+Ft!G$7*EXP(Ft!G$40*($A70-Ft!G$2)^2)))</f>
        <v>26.40777408564864</v>
      </c>
      <c r="L70" s="3">
        <f>IF(($A70-Ft!H$2)&lt;0,Ft!H$3*((1-Ft!H$6)/(1+Ft!H$37*($A70-Ft!H$2)^2)+Ft!H$6*EXP(Ft!H$38*($A70-Ft!H$2)^2)),Ft!H$3*((1-Ft!H$7)/(1+Ft!H$39*($A70-Ft!H$2)^2)+Ft!H$7*EXP(Ft!H$40*($A70-Ft!H$2)^2)))</f>
        <v>0</v>
      </c>
      <c r="M70" s="3">
        <f>IF(($A70-Ft!I$2)&lt;0,Ft!I$3*((1-Ft!I$6)/(1+Ft!I$37*($A70-Ft!I$2)^2)+Ft!I$6*EXP(Ft!I$38*($A70-Ft!I$2)^2)),Ft!I$3*((1-Ft!I$7)/(1+Ft!I$39*($A70-Ft!I$2)^2)+Ft!I$7*EXP(Ft!I$40*($A70-Ft!I$2)^2)))</f>
        <v>0</v>
      </c>
      <c r="N70" s="3">
        <f>IF(($A70-Ft!J$2)&lt;0,Ft!J$3*((1-Ft!J$6)/(1+Ft!J$37*($A70-Ft!J$2)^2)+Ft!J$6*EXP(Ft!J$38*($A70-Ft!J$2)^2)),Ft!J$3*((1-Ft!J$7)/(1+Ft!J$39*($A70-Ft!J$2)^2)+Ft!J$7*EXP(Ft!J$40*($A70-Ft!J$2)^2)))</f>
        <v>0</v>
      </c>
      <c r="O70" s="3">
        <f>IF(($A70-Ft!K$2)&lt;0,Ft!K$3*((1-Ft!K$6)/(1+Ft!K$37*($A70-Ft!K$2)^2)+Ft!K$6*EXP(Ft!K$38*($A70-Ft!K$2)^2)),Ft!K$3*((1-Ft!K$7)/(1+Ft!K$39*($A70-Ft!K$2)^2)+Ft!K$7*EXP(Ft!K$40*($A70-Ft!K$2)^2)))</f>
        <v>0</v>
      </c>
      <c r="P70"/>
      <c r="Q70"/>
    </row>
    <row r="71" spans="1:17">
      <c r="A71" s="20">
        <v>139</v>
      </c>
      <c r="B71" s="29">
        <v>6.6043763490326199</v>
      </c>
      <c r="C71" s="7">
        <f t="shared" si="3"/>
        <v>6.7854027684723803</v>
      </c>
      <c r="D71" s="3">
        <f t="shared" si="2"/>
        <v>3.2770564535180055E-2</v>
      </c>
      <c r="E71" s="3">
        <f>Ft!$B$12+Ft!$B$14*(Data!A71-Vars!$B$3)</f>
        <v>-200</v>
      </c>
      <c r="F71" s="3">
        <f>IF(($A71-Ft!B$2)&lt;0,Ft!B$3*((1-Ft!B$6)/(1+Ft!B$37*($A71-Ft!B$2)^2)+Ft!B$6*EXP(Ft!B$38*($A71-Ft!B$2)^2)),Ft!B$3*((1-Ft!B$7)/(1+Ft!B$39*($A71-Ft!B$2)^2)+Ft!B$7*EXP(Ft!B$40*($A71-Ft!B$2)^2)))</f>
        <v>132.55087217855834</v>
      </c>
      <c r="G71" s="3">
        <f>IF(($A71-Ft!C$2)&lt;0,Ft!C$3*((1-Ft!C$6)/(1+Ft!C$37*($A71-Ft!C$2)^2)+Ft!C$6*EXP(Ft!C$38*($A71-Ft!C$2)^2)),Ft!C$3*((1-Ft!C$7)/(1+Ft!C$39*($A71-Ft!C$2)^2)+Ft!C$7*EXP(Ft!C$40*($A71-Ft!C$2)^2)))</f>
        <v>29.571357613955392</v>
      </c>
      <c r="H71" s="3">
        <f>IF(($A71-Ft!D$2)&lt;0,Ft!D$3*((1-Ft!D$6)/(1+Ft!D$37*($A71-Ft!D$2)^2)+Ft!D$6*EXP(Ft!D$38*($A71-Ft!D$2)^2)),Ft!D$3*((1-Ft!D$7)/(1+Ft!D$39*($A71-Ft!D$2)^2)+Ft!D$7*EXP(Ft!D$40*($A71-Ft!D$2)^2)))</f>
        <v>1.2243415989210984E-26</v>
      </c>
      <c r="I71" s="3">
        <f>IF(($A71-Ft!E$2)&lt;0,Ft!E$3*((1-Ft!E$6)/(1+Ft!E$37*($A71-Ft!E$2)^2)+Ft!E$6*EXP(Ft!E$38*($A71-Ft!E$2)^2)),Ft!E$3*((1-Ft!E$7)/(1+Ft!E$39*($A71-Ft!E$2)^2)+Ft!E$7*EXP(Ft!E$40*($A71-Ft!E$2)^2)))</f>
        <v>9.6858733739325693</v>
      </c>
      <c r="J71" s="3">
        <f>IF(($A71-Ft!F$2)&lt;0,Ft!F$3*((1-Ft!F$6)/(1+Ft!F$37*($A71-Ft!F$2)^2)+Ft!F$6*EXP(Ft!F$38*($A71-Ft!F$2)^2)),Ft!F$3*((1-Ft!F$7)/(1+Ft!F$39*($A71-Ft!F$2)^2)+Ft!F$7*EXP(Ft!F$40*($A71-Ft!F$2)^2)))</f>
        <v>8.2695423769824359</v>
      </c>
      <c r="K71" s="3">
        <f>IF(($A71-Ft!G$2)&lt;0,Ft!G$3*((1-Ft!G$6)/(1+Ft!G$37*($A71-Ft!G$2)^2)+Ft!G$6*EXP(Ft!G$38*($A71-Ft!G$2)^2)),Ft!G$3*((1-Ft!G$7)/(1+Ft!G$39*($A71-Ft!G$2)^2)+Ft!G$7*EXP(Ft!G$40*($A71-Ft!G$2)^2)))</f>
        <v>26.707757225043647</v>
      </c>
      <c r="L71" s="3">
        <f>IF(($A71-Ft!H$2)&lt;0,Ft!H$3*((1-Ft!H$6)/(1+Ft!H$37*($A71-Ft!H$2)^2)+Ft!H$6*EXP(Ft!H$38*($A71-Ft!H$2)^2)),Ft!H$3*((1-Ft!H$7)/(1+Ft!H$39*($A71-Ft!H$2)^2)+Ft!H$7*EXP(Ft!H$40*($A71-Ft!H$2)^2)))</f>
        <v>0</v>
      </c>
      <c r="M71" s="3">
        <f>IF(($A71-Ft!I$2)&lt;0,Ft!I$3*((1-Ft!I$6)/(1+Ft!I$37*($A71-Ft!I$2)^2)+Ft!I$6*EXP(Ft!I$38*($A71-Ft!I$2)^2)),Ft!I$3*((1-Ft!I$7)/(1+Ft!I$39*($A71-Ft!I$2)^2)+Ft!I$7*EXP(Ft!I$40*($A71-Ft!I$2)^2)))</f>
        <v>0</v>
      </c>
      <c r="N71" s="3">
        <f>IF(($A71-Ft!J$2)&lt;0,Ft!J$3*((1-Ft!J$6)/(1+Ft!J$37*($A71-Ft!J$2)^2)+Ft!J$6*EXP(Ft!J$38*($A71-Ft!J$2)^2)),Ft!J$3*((1-Ft!J$7)/(1+Ft!J$39*($A71-Ft!J$2)^2)+Ft!J$7*EXP(Ft!J$40*($A71-Ft!J$2)^2)))</f>
        <v>0</v>
      </c>
      <c r="O71" s="3">
        <f>IF(($A71-Ft!K$2)&lt;0,Ft!K$3*((1-Ft!K$6)/(1+Ft!K$37*($A71-Ft!K$2)^2)+Ft!K$6*EXP(Ft!K$38*($A71-Ft!K$2)^2)),Ft!K$3*((1-Ft!K$7)/(1+Ft!K$39*($A71-Ft!K$2)^2)+Ft!K$7*EXP(Ft!K$40*($A71-Ft!K$2)^2)))</f>
        <v>0</v>
      </c>
      <c r="P71"/>
      <c r="Q71"/>
    </row>
    <row r="72" spans="1:17">
      <c r="A72" s="20">
        <v>141</v>
      </c>
      <c r="B72" s="29">
        <v>6.820487598877591</v>
      </c>
      <c r="C72" s="7">
        <f t="shared" si="3"/>
        <v>6.9657017720863195</v>
      </c>
      <c r="D72" s="3">
        <f t="shared" si="2"/>
        <v>2.108715610069458E-2</v>
      </c>
      <c r="E72" s="3">
        <f>Ft!$B$12+Ft!$B$14*(Data!A72-Vars!$B$3)</f>
        <v>-200</v>
      </c>
      <c r="F72" s="3">
        <f>IF(($A72-Ft!B$2)&lt;0,Ft!B$3*((1-Ft!B$6)/(1+Ft!B$37*($A72-Ft!B$2)^2)+Ft!B$6*EXP(Ft!B$38*($A72-Ft!B$2)^2)),Ft!B$3*((1-Ft!B$7)/(1+Ft!B$39*($A72-Ft!B$2)^2)+Ft!B$7*EXP(Ft!B$40*($A72-Ft!B$2)^2)))</f>
        <v>132.0940104760551</v>
      </c>
      <c r="G72" s="3">
        <f>IF(($A72-Ft!C$2)&lt;0,Ft!C$3*((1-Ft!C$6)/(1+Ft!C$37*($A72-Ft!C$2)^2)+Ft!C$6*EXP(Ft!C$38*($A72-Ft!C$2)^2)),Ft!C$3*((1-Ft!C$7)/(1+Ft!C$39*($A72-Ft!C$2)^2)+Ft!C$7*EXP(Ft!C$40*($A72-Ft!C$2)^2)))</f>
        <v>29.67109608577432</v>
      </c>
      <c r="H72" s="3">
        <f>IF(($A72-Ft!D$2)&lt;0,Ft!D$3*((1-Ft!D$6)/(1+Ft!D$37*($A72-Ft!D$2)^2)+Ft!D$6*EXP(Ft!D$38*($A72-Ft!D$2)^2)),Ft!D$3*((1-Ft!D$7)/(1+Ft!D$39*($A72-Ft!D$2)^2)+Ft!D$7*EXP(Ft!D$40*($A72-Ft!D$2)^2)))</f>
        <v>2.7596560920149226E-26</v>
      </c>
      <c r="I72" s="3">
        <f>IF(($A72-Ft!E$2)&lt;0,Ft!E$3*((1-Ft!E$6)/(1+Ft!E$37*($A72-Ft!E$2)^2)+Ft!E$6*EXP(Ft!E$38*($A72-Ft!E$2)^2)),Ft!E$3*((1-Ft!E$7)/(1+Ft!E$39*($A72-Ft!E$2)^2)+Ft!E$7*EXP(Ft!E$40*($A72-Ft!E$2)^2)))</f>
        <v>9.8500730427594192</v>
      </c>
      <c r="J72" s="3">
        <f>IF(($A72-Ft!F$2)&lt;0,Ft!F$3*((1-Ft!F$6)/(1+Ft!F$37*($A72-Ft!F$2)^2)+Ft!F$6*EXP(Ft!F$38*($A72-Ft!F$2)^2)),Ft!F$3*((1-Ft!F$7)/(1+Ft!F$39*($A72-Ft!F$2)^2)+Ft!F$7*EXP(Ft!F$40*($A72-Ft!F$2)^2)))</f>
        <v>8.3421776742012597</v>
      </c>
      <c r="K72" s="3">
        <f>IF(($A72-Ft!G$2)&lt;0,Ft!G$3*((1-Ft!G$6)/(1+Ft!G$37*($A72-Ft!G$2)^2)+Ft!G$6*EXP(Ft!G$38*($A72-Ft!G$2)^2)),Ft!G$3*((1-Ft!G$7)/(1+Ft!G$39*($A72-Ft!G$2)^2)+Ft!G$7*EXP(Ft!G$40*($A72-Ft!G$2)^2)))</f>
        <v>27.008344493296214</v>
      </c>
      <c r="L72" s="3">
        <f>IF(($A72-Ft!H$2)&lt;0,Ft!H$3*((1-Ft!H$6)/(1+Ft!H$37*($A72-Ft!H$2)^2)+Ft!H$6*EXP(Ft!H$38*($A72-Ft!H$2)^2)),Ft!H$3*((1-Ft!H$7)/(1+Ft!H$39*($A72-Ft!H$2)^2)+Ft!H$7*EXP(Ft!H$40*($A72-Ft!H$2)^2)))</f>
        <v>0</v>
      </c>
      <c r="M72" s="3">
        <f>IF(($A72-Ft!I$2)&lt;0,Ft!I$3*((1-Ft!I$6)/(1+Ft!I$37*($A72-Ft!I$2)^2)+Ft!I$6*EXP(Ft!I$38*($A72-Ft!I$2)^2)),Ft!I$3*((1-Ft!I$7)/(1+Ft!I$39*($A72-Ft!I$2)^2)+Ft!I$7*EXP(Ft!I$40*($A72-Ft!I$2)^2)))</f>
        <v>0</v>
      </c>
      <c r="N72" s="3">
        <f>IF(($A72-Ft!J$2)&lt;0,Ft!J$3*((1-Ft!J$6)/(1+Ft!J$37*($A72-Ft!J$2)^2)+Ft!J$6*EXP(Ft!J$38*($A72-Ft!J$2)^2)),Ft!J$3*((1-Ft!J$7)/(1+Ft!J$39*($A72-Ft!J$2)^2)+Ft!J$7*EXP(Ft!J$40*($A72-Ft!J$2)^2)))</f>
        <v>0</v>
      </c>
      <c r="O72" s="3">
        <f>IF(($A72-Ft!K$2)&lt;0,Ft!K$3*((1-Ft!K$6)/(1+Ft!K$37*($A72-Ft!K$2)^2)+Ft!K$6*EXP(Ft!K$38*($A72-Ft!K$2)^2)),Ft!K$3*((1-Ft!K$7)/(1+Ft!K$39*($A72-Ft!K$2)^2)+Ft!K$7*EXP(Ft!K$40*($A72-Ft!K$2)^2)))</f>
        <v>0</v>
      </c>
      <c r="P72"/>
      <c r="Q72"/>
    </row>
    <row r="73" spans="1:17">
      <c r="A73" s="20">
        <v>143</v>
      </c>
      <c r="B73" s="29">
        <v>7.0384923572991909</v>
      </c>
      <c r="C73" s="7">
        <f t="shared" si="3"/>
        <v>7.1484143958345321</v>
      </c>
      <c r="D73" s="3">
        <f t="shared" si="2"/>
        <v>1.2082854555765039E-2</v>
      </c>
      <c r="E73" s="3">
        <f>Ft!$B$12+Ft!$B$14*(Data!A73-Vars!$B$3)</f>
        <v>-200</v>
      </c>
      <c r="F73" s="3">
        <f>IF(($A73-Ft!B$2)&lt;0,Ft!B$3*((1-Ft!B$6)/(1+Ft!B$37*($A73-Ft!B$2)^2)+Ft!B$6*EXP(Ft!B$38*($A73-Ft!B$2)^2)),Ft!B$3*((1-Ft!B$7)/(1+Ft!B$39*($A73-Ft!B$2)^2)+Ft!B$7*EXP(Ft!B$40*($A73-Ft!B$2)^2)))</f>
        <v>131.63621090328809</v>
      </c>
      <c r="G73" s="3">
        <f>IF(($A73-Ft!C$2)&lt;0,Ft!C$3*((1-Ft!C$6)/(1+Ft!C$37*($A73-Ft!C$2)^2)+Ft!C$6*EXP(Ft!C$38*($A73-Ft!C$2)^2)),Ft!C$3*((1-Ft!C$7)/(1+Ft!C$39*($A73-Ft!C$2)^2)+Ft!C$7*EXP(Ft!C$40*($A73-Ft!C$2)^2)))</f>
        <v>29.770907906016092</v>
      </c>
      <c r="H73" s="3">
        <f>IF(($A73-Ft!D$2)&lt;0,Ft!D$3*((1-Ft!D$6)/(1+Ft!D$37*($A73-Ft!D$2)^2)+Ft!D$6*EXP(Ft!D$38*($A73-Ft!D$2)^2)),Ft!D$3*((1-Ft!D$7)/(1+Ft!D$39*($A73-Ft!D$2)^2)+Ft!D$7*EXP(Ft!D$40*($A73-Ft!D$2)^2)))</f>
        <v>6.1860212698203404E-26</v>
      </c>
      <c r="I73" s="3">
        <f>IF(($A73-Ft!E$2)&lt;0,Ft!E$3*((1-Ft!E$6)/(1+Ft!E$37*($A73-Ft!E$2)^2)+Ft!E$6*EXP(Ft!E$38*($A73-Ft!E$2)^2)),Ft!E$3*((1-Ft!E$7)/(1+Ft!E$39*($A73-Ft!E$2)^2)+Ft!E$7*EXP(Ft!E$40*($A73-Ft!E$2)^2)))</f>
        <v>10.016475518673486</v>
      </c>
      <c r="J73" s="3">
        <f>IF(($A73-Ft!F$2)&lt;0,Ft!F$3*((1-Ft!F$6)/(1+Ft!F$37*($A73-Ft!F$2)^2)+Ft!F$6*EXP(Ft!F$38*($A73-Ft!F$2)^2)),Ft!F$3*((1-Ft!F$7)/(1+Ft!F$39*($A73-Ft!F$2)^2)+Ft!F$7*EXP(Ft!F$40*($A73-Ft!F$2)^2)))</f>
        <v>8.4153401271785206</v>
      </c>
      <c r="K73" s="3">
        <f>IF(($A73-Ft!G$2)&lt;0,Ft!G$3*((1-Ft!G$6)/(1+Ft!G$37*($A73-Ft!G$2)^2)+Ft!G$6*EXP(Ft!G$38*($A73-Ft!G$2)^2)),Ft!G$3*((1-Ft!G$7)/(1+Ft!G$39*($A73-Ft!G$2)^2)+Ft!G$7*EXP(Ft!G$40*($A73-Ft!G$2)^2)))</f>
        <v>27.309479940678344</v>
      </c>
      <c r="L73" s="3">
        <f>IF(($A73-Ft!H$2)&lt;0,Ft!H$3*((1-Ft!H$6)/(1+Ft!H$37*($A73-Ft!H$2)^2)+Ft!H$6*EXP(Ft!H$38*($A73-Ft!H$2)^2)),Ft!H$3*((1-Ft!H$7)/(1+Ft!H$39*($A73-Ft!H$2)^2)+Ft!H$7*EXP(Ft!H$40*($A73-Ft!H$2)^2)))</f>
        <v>0</v>
      </c>
      <c r="M73" s="3">
        <f>IF(($A73-Ft!I$2)&lt;0,Ft!I$3*((1-Ft!I$6)/(1+Ft!I$37*($A73-Ft!I$2)^2)+Ft!I$6*EXP(Ft!I$38*($A73-Ft!I$2)^2)),Ft!I$3*((1-Ft!I$7)/(1+Ft!I$39*($A73-Ft!I$2)^2)+Ft!I$7*EXP(Ft!I$40*($A73-Ft!I$2)^2)))</f>
        <v>0</v>
      </c>
      <c r="N73" s="3">
        <f>IF(($A73-Ft!J$2)&lt;0,Ft!J$3*((1-Ft!J$6)/(1+Ft!J$37*($A73-Ft!J$2)^2)+Ft!J$6*EXP(Ft!J$38*($A73-Ft!J$2)^2)),Ft!J$3*((1-Ft!J$7)/(1+Ft!J$39*($A73-Ft!J$2)^2)+Ft!J$7*EXP(Ft!J$40*($A73-Ft!J$2)^2)))</f>
        <v>0</v>
      </c>
      <c r="O73" s="3">
        <f>IF(($A73-Ft!K$2)&lt;0,Ft!K$3*((1-Ft!K$6)/(1+Ft!K$37*($A73-Ft!K$2)^2)+Ft!K$6*EXP(Ft!K$38*($A73-Ft!K$2)^2)),Ft!K$3*((1-Ft!K$7)/(1+Ft!K$39*($A73-Ft!K$2)^2)+Ft!K$7*EXP(Ft!K$40*($A73-Ft!K$2)^2)))</f>
        <v>0</v>
      </c>
      <c r="P73"/>
      <c r="Q73"/>
    </row>
    <row r="74" spans="1:17">
      <c r="A74" s="20">
        <v>145</v>
      </c>
      <c r="B74" s="29">
        <v>7.2569580090362251</v>
      </c>
      <c r="C74" s="7">
        <f t="shared" si="3"/>
        <v>7.3335235092063122</v>
      </c>
      <c r="D74" s="3">
        <f t="shared" si="2"/>
        <v>5.8622758162956111E-3</v>
      </c>
      <c r="E74" s="3">
        <f>Ft!$B$12+Ft!$B$14*(Data!A74-Vars!$B$3)</f>
        <v>-200</v>
      </c>
      <c r="F74" s="3">
        <f>IF(($A74-Ft!B$2)&lt;0,Ft!B$3*((1-Ft!B$6)/(1+Ft!B$37*($A74-Ft!B$2)^2)+Ft!B$6*EXP(Ft!B$38*($A74-Ft!B$2)^2)),Ft!B$3*((1-Ft!B$7)/(1+Ft!B$39*($A74-Ft!B$2)^2)+Ft!B$7*EXP(Ft!B$40*($A74-Ft!B$2)^2)))</f>
        <v>131.17749415600147</v>
      </c>
      <c r="G74" s="3">
        <f>IF(($A74-Ft!C$2)&lt;0,Ft!C$3*((1-Ft!C$6)/(1+Ft!C$37*($A74-Ft!C$2)^2)+Ft!C$6*EXP(Ft!C$38*($A74-Ft!C$2)^2)),Ft!C$3*((1-Ft!C$7)/(1+Ft!C$39*($A74-Ft!C$2)^2)+Ft!C$7*EXP(Ft!C$40*($A74-Ft!C$2)^2)))</f>
        <v>29.870791554632341</v>
      </c>
      <c r="H74" s="3">
        <f>IF(($A74-Ft!D$2)&lt;0,Ft!D$3*((1-Ft!D$6)/(1+Ft!D$37*($A74-Ft!D$2)^2)+Ft!D$6*EXP(Ft!D$38*($A74-Ft!D$2)^2)),Ft!D$3*((1-Ft!D$7)/(1+Ft!D$39*($A74-Ft!D$2)^2)+Ft!D$7*EXP(Ft!D$40*($A74-Ft!D$2)^2)))</f>
        <v>1.3790243705613592E-25</v>
      </c>
      <c r="I74" s="3">
        <f>IF(($A74-Ft!E$2)&lt;0,Ft!E$3*((1-Ft!E$6)/(1+Ft!E$37*($A74-Ft!E$2)^2)+Ft!E$6*EXP(Ft!E$38*($A74-Ft!E$2)^2)),Ft!E$3*((1-Ft!E$7)/(1+Ft!E$39*($A74-Ft!E$2)^2)+Ft!E$7*EXP(Ft!E$40*($A74-Ft!E$2)^2)))</f>
        <v>10.185098555930141</v>
      </c>
      <c r="J74" s="3">
        <f>IF(($A74-Ft!F$2)&lt;0,Ft!F$3*((1-Ft!F$6)/(1+Ft!F$37*($A74-Ft!F$2)^2)+Ft!F$6*EXP(Ft!F$38*($A74-Ft!F$2)^2)),Ft!F$3*((1-Ft!F$7)/(1+Ft!F$39*($A74-Ft!F$2)^2)+Ft!F$7*EXP(Ft!F$40*($A74-Ft!F$2)^2)))</f>
        <v>8.4890324235686396</v>
      </c>
      <c r="K74" s="3">
        <f>IF(($A74-Ft!G$2)&lt;0,Ft!G$3*((1-Ft!G$6)/(1+Ft!G$37*($A74-Ft!G$2)^2)+Ft!G$6*EXP(Ft!G$38*($A74-Ft!G$2)^2)),Ft!G$3*((1-Ft!G$7)/(1+Ft!G$39*($A74-Ft!G$2)^2)+Ft!G$7*EXP(Ft!G$40*($A74-Ft!G$2)^2)))</f>
        <v>27.611106819073722</v>
      </c>
      <c r="L74" s="3">
        <f>IF(($A74-Ft!H$2)&lt;0,Ft!H$3*((1-Ft!H$6)/(1+Ft!H$37*($A74-Ft!H$2)^2)+Ft!H$6*EXP(Ft!H$38*($A74-Ft!H$2)^2)),Ft!H$3*((1-Ft!H$7)/(1+Ft!H$39*($A74-Ft!H$2)^2)+Ft!H$7*EXP(Ft!H$40*($A74-Ft!H$2)^2)))</f>
        <v>0</v>
      </c>
      <c r="M74" s="3">
        <f>IF(($A74-Ft!I$2)&lt;0,Ft!I$3*((1-Ft!I$6)/(1+Ft!I$37*($A74-Ft!I$2)^2)+Ft!I$6*EXP(Ft!I$38*($A74-Ft!I$2)^2)),Ft!I$3*((1-Ft!I$7)/(1+Ft!I$39*($A74-Ft!I$2)^2)+Ft!I$7*EXP(Ft!I$40*($A74-Ft!I$2)^2)))</f>
        <v>0</v>
      </c>
      <c r="N74" s="3">
        <f>IF(($A74-Ft!J$2)&lt;0,Ft!J$3*((1-Ft!J$6)/(1+Ft!J$37*($A74-Ft!J$2)^2)+Ft!J$6*EXP(Ft!J$38*($A74-Ft!J$2)^2)),Ft!J$3*((1-Ft!J$7)/(1+Ft!J$39*($A74-Ft!J$2)^2)+Ft!J$7*EXP(Ft!J$40*($A74-Ft!J$2)^2)))</f>
        <v>0</v>
      </c>
      <c r="O74" s="3">
        <f>IF(($A74-Ft!K$2)&lt;0,Ft!K$3*((1-Ft!K$6)/(1+Ft!K$37*($A74-Ft!K$2)^2)+Ft!K$6*EXP(Ft!K$38*($A74-Ft!K$2)^2)),Ft!K$3*((1-Ft!K$7)/(1+Ft!K$39*($A74-Ft!K$2)^2)+Ft!K$7*EXP(Ft!K$40*($A74-Ft!K$2)^2)))</f>
        <v>0</v>
      </c>
      <c r="P74"/>
      <c r="Q74"/>
    </row>
    <row r="75" spans="1:17">
      <c r="A75" s="20">
        <v>147</v>
      </c>
      <c r="B75" s="29">
        <v>7.4758810307295747</v>
      </c>
      <c r="C75" s="7">
        <f t="shared" si="3"/>
        <v>7.5210110840247353</v>
      </c>
      <c r="D75" s="3">
        <f t="shared" si="2"/>
        <v>2.0367217104240382E-3</v>
      </c>
      <c r="E75" s="3">
        <f>Ft!$B$12+Ft!$B$14*(Data!A75-Vars!$B$3)</f>
        <v>-200</v>
      </c>
      <c r="F75" s="3">
        <f>IF(($A75-Ft!B$2)&lt;0,Ft!B$3*((1-Ft!B$6)/(1+Ft!B$37*($A75-Ft!B$2)^2)+Ft!B$6*EXP(Ft!B$38*($A75-Ft!B$2)^2)),Ft!B$3*((1-Ft!B$7)/(1+Ft!B$39*($A75-Ft!B$2)^2)+Ft!B$7*EXP(Ft!B$40*($A75-Ft!B$2)^2)))</f>
        <v>130.71788091044306</v>
      </c>
      <c r="G75" s="3">
        <f>IF(($A75-Ft!C$2)&lt;0,Ft!C$3*((1-Ft!C$6)/(1+Ft!C$37*($A75-Ft!C$2)^2)+Ft!C$6*EXP(Ft!C$38*($A75-Ft!C$2)^2)),Ft!C$3*((1-Ft!C$7)/(1+Ft!C$39*($A75-Ft!C$2)^2)+Ft!C$7*EXP(Ft!C$40*($A75-Ft!C$2)^2)))</f>
        <v>29.970745504560895</v>
      </c>
      <c r="H75" s="3">
        <f>IF(($A75-Ft!D$2)&lt;0,Ft!D$3*((1-Ft!D$6)/(1+Ft!D$37*($A75-Ft!D$2)^2)+Ft!D$6*EXP(Ft!D$38*($A75-Ft!D$2)^2)),Ft!D$3*((1-Ft!D$7)/(1+Ft!D$39*($A75-Ft!D$2)^2)+Ft!D$7*EXP(Ft!D$40*($A75-Ft!D$2)^2)))</f>
        <v>3.0572894708103075E-25</v>
      </c>
      <c r="I75" s="3">
        <f>IF(($A75-Ft!E$2)&lt;0,Ft!E$3*((1-Ft!E$6)/(1+Ft!E$37*($A75-Ft!E$2)^2)+Ft!E$6*EXP(Ft!E$38*($A75-Ft!E$2)^2)),Ft!E$3*((1-Ft!E$7)/(1+Ft!E$39*($A75-Ft!E$2)^2)+Ft!E$7*EXP(Ft!E$40*($A75-Ft!E$2)^2)))</f>
        <v>10.355959818700622</v>
      </c>
      <c r="J75" s="3">
        <f>IF(($A75-Ft!F$2)&lt;0,Ft!F$3*((1-Ft!F$6)/(1+Ft!F$37*($A75-Ft!F$2)^2)+Ft!F$6*EXP(Ft!F$38*($A75-Ft!F$2)^2)),Ft!F$3*((1-Ft!F$7)/(1+Ft!F$39*($A75-Ft!F$2)^2)+Ft!F$7*EXP(Ft!F$40*($A75-Ft!F$2)^2)))</f>
        <v>8.563257253553104</v>
      </c>
      <c r="K75" s="3">
        <f>IF(($A75-Ft!G$2)&lt;0,Ft!G$3*((1-Ft!G$6)/(1+Ft!G$37*($A75-Ft!G$2)^2)+Ft!G$6*EXP(Ft!G$38*($A75-Ft!G$2)^2)),Ft!G$3*((1-Ft!G$7)/(1+Ft!G$39*($A75-Ft!G$2)^2)+Ft!G$7*EXP(Ft!G$40*($A75-Ft!G$2)^2)))</f>
        <v>27.913167596767057</v>
      </c>
      <c r="L75" s="3">
        <f>IF(($A75-Ft!H$2)&lt;0,Ft!H$3*((1-Ft!H$6)/(1+Ft!H$37*($A75-Ft!H$2)^2)+Ft!H$6*EXP(Ft!H$38*($A75-Ft!H$2)^2)),Ft!H$3*((1-Ft!H$7)/(1+Ft!H$39*($A75-Ft!H$2)^2)+Ft!H$7*EXP(Ft!H$40*($A75-Ft!H$2)^2)))</f>
        <v>0</v>
      </c>
      <c r="M75" s="3">
        <f>IF(($A75-Ft!I$2)&lt;0,Ft!I$3*((1-Ft!I$6)/(1+Ft!I$37*($A75-Ft!I$2)^2)+Ft!I$6*EXP(Ft!I$38*($A75-Ft!I$2)^2)),Ft!I$3*((1-Ft!I$7)/(1+Ft!I$39*($A75-Ft!I$2)^2)+Ft!I$7*EXP(Ft!I$40*($A75-Ft!I$2)^2)))</f>
        <v>0</v>
      </c>
      <c r="N75" s="3">
        <f>IF(($A75-Ft!J$2)&lt;0,Ft!J$3*((1-Ft!J$6)/(1+Ft!J$37*($A75-Ft!J$2)^2)+Ft!J$6*EXP(Ft!J$38*($A75-Ft!J$2)^2)),Ft!J$3*((1-Ft!J$7)/(1+Ft!J$39*($A75-Ft!J$2)^2)+Ft!J$7*EXP(Ft!J$40*($A75-Ft!J$2)^2)))</f>
        <v>0</v>
      </c>
      <c r="O75" s="3">
        <f>IF(($A75-Ft!K$2)&lt;0,Ft!K$3*((1-Ft!K$6)/(1+Ft!K$37*($A75-Ft!K$2)^2)+Ft!K$6*EXP(Ft!K$38*($A75-Ft!K$2)^2)),Ft!K$3*((1-Ft!K$7)/(1+Ft!K$39*($A75-Ft!K$2)^2)+Ft!K$7*EXP(Ft!K$40*($A75-Ft!K$2)^2)))</f>
        <v>0</v>
      </c>
      <c r="P75"/>
      <c r="Q75"/>
    </row>
    <row r="76" spans="1:17">
      <c r="A76" s="20">
        <v>149</v>
      </c>
      <c r="B76" s="29">
        <v>7.6952579056974599</v>
      </c>
      <c r="C76" s="7">
        <f t="shared" si="3"/>
        <v>7.7108582025642853</v>
      </c>
      <c r="D76" s="3">
        <f t="shared" si="2"/>
        <v>2.4336926233308248E-4</v>
      </c>
      <c r="E76" s="3">
        <f>Ft!$B$12+Ft!$B$14*(Data!A76-Vars!$B$3)</f>
        <v>-200</v>
      </c>
      <c r="F76" s="3">
        <f>IF(($A76-Ft!B$2)&lt;0,Ft!B$3*((1-Ft!B$6)/(1+Ft!B$37*($A76-Ft!B$2)^2)+Ft!B$6*EXP(Ft!B$38*($A76-Ft!B$2)^2)),Ft!B$3*((1-Ft!B$7)/(1+Ft!B$39*($A76-Ft!B$2)^2)+Ft!B$7*EXP(Ft!B$40*($A76-Ft!B$2)^2)))</f>
        <v>130.25739182185677</v>
      </c>
      <c r="G76" s="3">
        <f>IF(($A76-Ft!C$2)&lt;0,Ft!C$3*((1-Ft!C$6)/(1+Ft!C$37*($A76-Ft!C$2)^2)+Ft!C$6*EXP(Ft!C$38*($A76-Ft!C$2)^2)),Ft!C$3*((1-Ft!C$7)/(1+Ft!C$39*($A76-Ft!C$2)^2)+Ft!C$7*EXP(Ft!C$40*($A76-Ft!C$2)^2)))</f>
        <v>30.070768221756389</v>
      </c>
      <c r="H76" s="3">
        <f>IF(($A76-Ft!D$2)&lt;0,Ft!D$3*((1-Ft!D$6)/(1+Ft!D$37*($A76-Ft!D$2)^2)+Ft!D$6*EXP(Ft!D$38*($A76-Ft!D$2)^2)),Ft!D$3*((1-Ft!D$7)/(1+Ft!D$39*($A76-Ft!D$2)^2)+Ft!D$7*EXP(Ft!D$40*($A76-Ft!D$2)^2)))</f>
        <v>6.7407041615259109E-25</v>
      </c>
      <c r="I76" s="3">
        <f>IF(($A76-Ft!E$2)&lt;0,Ft!E$3*((1-Ft!E$6)/(1+Ft!E$37*($A76-Ft!E$2)^2)+Ft!E$6*EXP(Ft!E$38*($A76-Ft!E$2)^2)),Ft!E$3*((1-Ft!E$7)/(1+Ft!E$39*($A76-Ft!E$2)^2)+Ft!E$7*EXP(Ft!E$40*($A76-Ft!E$2)^2)))</f>
        <v>10.529076875424531</v>
      </c>
      <c r="J76" s="3">
        <f>IF(($A76-Ft!F$2)&lt;0,Ft!F$3*((1-Ft!F$6)/(1+Ft!F$37*($A76-Ft!F$2)^2)+Ft!F$6*EXP(Ft!F$38*($A76-Ft!F$2)^2)),Ft!F$3*((1-Ft!F$7)/(1+Ft!F$39*($A76-Ft!F$2)^2)+Ft!F$7*EXP(Ft!F$40*($A76-Ft!F$2)^2)))</f>
        <v>8.6380173097202544</v>
      </c>
      <c r="K76" s="3">
        <f>IF(($A76-Ft!G$2)&lt;0,Ft!G$3*((1-Ft!G$6)/(1+Ft!G$37*($A76-Ft!G$2)^2)+Ft!G$6*EXP(Ft!G$38*($A76-Ft!G$2)^2)),Ft!G$3*((1-Ft!G$7)/(1+Ft!G$39*($A76-Ft!G$2)^2)+Ft!G$7*EXP(Ft!G$40*($A76-Ft!G$2)^2)))</f>
        <v>28.215603973806342</v>
      </c>
      <c r="L76" s="3">
        <f>IF(($A76-Ft!H$2)&lt;0,Ft!H$3*((1-Ft!H$6)/(1+Ft!H$37*($A76-Ft!H$2)^2)+Ft!H$6*EXP(Ft!H$38*($A76-Ft!H$2)^2)),Ft!H$3*((1-Ft!H$7)/(1+Ft!H$39*($A76-Ft!H$2)^2)+Ft!H$7*EXP(Ft!H$40*($A76-Ft!H$2)^2)))</f>
        <v>0</v>
      </c>
      <c r="M76" s="3">
        <f>IF(($A76-Ft!I$2)&lt;0,Ft!I$3*((1-Ft!I$6)/(1+Ft!I$37*($A76-Ft!I$2)^2)+Ft!I$6*EXP(Ft!I$38*($A76-Ft!I$2)^2)),Ft!I$3*((1-Ft!I$7)/(1+Ft!I$39*($A76-Ft!I$2)^2)+Ft!I$7*EXP(Ft!I$40*($A76-Ft!I$2)^2)))</f>
        <v>0</v>
      </c>
      <c r="N76" s="3">
        <f>IF(($A76-Ft!J$2)&lt;0,Ft!J$3*((1-Ft!J$6)/(1+Ft!J$37*($A76-Ft!J$2)^2)+Ft!J$6*EXP(Ft!J$38*($A76-Ft!J$2)^2)),Ft!J$3*((1-Ft!J$7)/(1+Ft!J$39*($A76-Ft!J$2)^2)+Ft!J$7*EXP(Ft!J$40*($A76-Ft!J$2)^2)))</f>
        <v>0</v>
      </c>
      <c r="O76" s="3">
        <f>IF(($A76-Ft!K$2)&lt;0,Ft!K$3*((1-Ft!K$6)/(1+Ft!K$37*($A76-Ft!K$2)^2)+Ft!K$6*EXP(Ft!K$38*($A76-Ft!K$2)^2)),Ft!K$3*((1-Ft!K$7)/(1+Ft!K$39*($A76-Ft!K$2)^2)+Ft!K$7*EXP(Ft!K$40*($A76-Ft!K$2)^2)))</f>
        <v>0</v>
      </c>
      <c r="P76"/>
      <c r="Q76"/>
    </row>
    <row r="77" spans="1:17">
      <c r="A77" s="20">
        <v>151</v>
      </c>
      <c r="B77" s="29">
        <v>7.9150851350380265</v>
      </c>
      <c r="C77" s="7">
        <f t="shared" si="3"/>
        <v>7.9030450661770644</v>
      </c>
      <c r="D77" s="3">
        <f t="shared" si="2"/>
        <v>1.4496325817670906E-4</v>
      </c>
      <c r="E77" s="3">
        <f>Ft!$B$12+Ft!$B$14*(Data!A77-Vars!$B$3)</f>
        <v>-200</v>
      </c>
      <c r="F77" s="3">
        <f>IF(($A77-Ft!B$2)&lt;0,Ft!B$3*((1-Ft!B$6)/(1+Ft!B$37*($A77-Ft!B$2)^2)+Ft!B$6*EXP(Ft!B$38*($A77-Ft!B$2)^2)),Ft!B$3*((1-Ft!B$7)/(1+Ft!B$39*($A77-Ft!B$2)^2)+Ft!B$7*EXP(Ft!B$40*($A77-Ft!B$2)^2)))</f>
        <v>129.79604752298178</v>
      </c>
      <c r="G77" s="3">
        <f>IF(($A77-Ft!C$2)&lt;0,Ft!C$3*((1-Ft!C$6)/(1+Ft!C$37*($A77-Ft!C$2)^2)+Ft!C$6*EXP(Ft!C$38*($A77-Ft!C$2)^2)),Ft!C$3*((1-Ft!C$7)/(1+Ft!C$39*($A77-Ft!C$2)^2)+Ft!C$7*EXP(Ft!C$40*($A77-Ft!C$2)^2)))</f>
        <v>30.170858165221112</v>
      </c>
      <c r="H77" s="3">
        <f>IF(($A77-Ft!D$2)&lt;0,Ft!D$3*((1-Ft!D$6)/(1+Ft!D$37*($A77-Ft!D$2)^2)+Ft!D$6*EXP(Ft!D$38*($A77-Ft!D$2)^2)),Ft!D$3*((1-Ft!D$7)/(1+Ft!D$39*($A77-Ft!D$2)^2)+Ft!D$7*EXP(Ft!D$40*($A77-Ft!D$2)^2)))</f>
        <v>1.4780123420732896E-24</v>
      </c>
      <c r="I77" s="3">
        <f>IF(($A77-Ft!E$2)&lt;0,Ft!E$3*((1-Ft!E$6)/(1+Ft!E$37*($A77-Ft!E$2)^2)+Ft!E$6*EXP(Ft!E$38*($A77-Ft!E$2)^2)),Ft!E$3*((1-Ft!E$7)/(1+Ft!E$39*($A77-Ft!E$2)^2)+Ft!E$7*EXP(Ft!E$40*($A77-Ft!E$2)^2)))</f>
        <v>10.704467193095446</v>
      </c>
      <c r="J77" s="3">
        <f>IF(($A77-Ft!F$2)&lt;0,Ft!F$3*((1-Ft!F$6)/(1+Ft!F$37*($A77-Ft!F$2)^2)+Ft!F$6*EXP(Ft!F$38*($A77-Ft!F$2)^2)),Ft!F$3*((1-Ft!F$7)/(1+Ft!F$39*($A77-Ft!F$2)^2)+Ft!F$7*EXP(Ft!F$40*($A77-Ft!F$2)^2)))</f>
        <v>8.7133152869438728</v>
      </c>
      <c r="K77" s="3">
        <f>IF(($A77-Ft!G$2)&lt;0,Ft!G$3*((1-Ft!G$6)/(1+Ft!G$37*($A77-Ft!G$2)^2)+Ft!G$6*EXP(Ft!G$38*($A77-Ft!G$2)^2)),Ft!G$3*((1-Ft!G$7)/(1+Ft!G$39*($A77-Ft!G$2)^2)+Ft!G$7*EXP(Ft!G$40*($A77-Ft!G$2)^2)))</f>
        <v>28.518356897934851</v>
      </c>
      <c r="L77" s="3">
        <f>IF(($A77-Ft!H$2)&lt;0,Ft!H$3*((1-Ft!H$6)/(1+Ft!H$37*($A77-Ft!H$2)^2)+Ft!H$6*EXP(Ft!H$38*($A77-Ft!H$2)^2)),Ft!H$3*((1-Ft!H$7)/(1+Ft!H$39*($A77-Ft!H$2)^2)+Ft!H$7*EXP(Ft!H$40*($A77-Ft!H$2)^2)))</f>
        <v>0</v>
      </c>
      <c r="M77" s="3">
        <f>IF(($A77-Ft!I$2)&lt;0,Ft!I$3*((1-Ft!I$6)/(1+Ft!I$37*($A77-Ft!I$2)^2)+Ft!I$6*EXP(Ft!I$38*($A77-Ft!I$2)^2)),Ft!I$3*((1-Ft!I$7)/(1+Ft!I$39*($A77-Ft!I$2)^2)+Ft!I$7*EXP(Ft!I$40*($A77-Ft!I$2)^2)))</f>
        <v>0</v>
      </c>
      <c r="N77" s="3">
        <f>IF(($A77-Ft!J$2)&lt;0,Ft!J$3*((1-Ft!J$6)/(1+Ft!J$37*($A77-Ft!J$2)^2)+Ft!J$6*EXP(Ft!J$38*($A77-Ft!J$2)^2)),Ft!J$3*((1-Ft!J$7)/(1+Ft!J$39*($A77-Ft!J$2)^2)+Ft!J$7*EXP(Ft!J$40*($A77-Ft!J$2)^2)))</f>
        <v>0</v>
      </c>
      <c r="O77" s="3">
        <f>IF(($A77-Ft!K$2)&lt;0,Ft!K$3*((1-Ft!K$6)/(1+Ft!K$37*($A77-Ft!K$2)^2)+Ft!K$6*EXP(Ft!K$38*($A77-Ft!K$2)^2)),Ft!K$3*((1-Ft!K$7)/(1+Ft!K$39*($A77-Ft!K$2)^2)+Ft!K$7*EXP(Ft!K$40*($A77-Ft!K$2)^2)))</f>
        <v>0</v>
      </c>
      <c r="P77"/>
      <c r="Q77"/>
    </row>
    <row r="78" spans="1:17">
      <c r="A78" s="20">
        <v>153</v>
      </c>
      <c r="B78" s="29">
        <v>8.1353592507018888</v>
      </c>
      <c r="C78" s="7">
        <f t="shared" si="3"/>
        <v>8.0975510044260801</v>
      </c>
      <c r="D78" s="3">
        <f t="shared" si="2"/>
        <v>1.4294634864522023E-3</v>
      </c>
      <c r="E78" s="3">
        <f>Ft!$B$12+Ft!$B$14*(Data!A78-Vars!$B$3)</f>
        <v>-200</v>
      </c>
      <c r="F78" s="3">
        <f>IF(($A78-Ft!B$2)&lt;0,Ft!B$3*((1-Ft!B$6)/(1+Ft!B$37*($A78-Ft!B$2)^2)+Ft!B$6*EXP(Ft!B$38*($A78-Ft!B$2)^2)),Ft!B$3*((1-Ft!B$7)/(1+Ft!B$39*($A78-Ft!B$2)^2)+Ft!B$7*EXP(Ft!B$40*($A78-Ft!B$2)^2)))</f>
        <v>129.33386862255949</v>
      </c>
      <c r="G78" s="3">
        <f>IF(($A78-Ft!C$2)&lt;0,Ft!C$3*((1-Ft!C$6)/(1+Ft!C$37*($A78-Ft!C$2)^2)+Ft!C$6*EXP(Ft!C$38*($A78-Ft!C$2)^2)),Ft!C$3*((1-Ft!C$7)/(1+Ft!C$39*($A78-Ft!C$2)^2)+Ft!C$7*EXP(Ft!C$40*($A78-Ft!C$2)^2)))</f>
        <v>30.271013787036434</v>
      </c>
      <c r="H78" s="3">
        <f>IF(($A78-Ft!D$2)&lt;0,Ft!D$3*((1-Ft!D$6)/(1+Ft!D$37*($A78-Ft!D$2)^2)+Ft!D$6*EXP(Ft!D$38*($A78-Ft!D$2)^2)),Ft!D$3*((1-Ft!D$7)/(1+Ft!D$39*($A78-Ft!D$2)^2)+Ft!D$7*EXP(Ft!D$40*($A78-Ft!D$2)^2)))</f>
        <v>3.2229601908755922E-24</v>
      </c>
      <c r="I78" s="3">
        <f>IF(($A78-Ft!E$2)&lt;0,Ft!E$3*((1-Ft!E$6)/(1+Ft!E$37*($A78-Ft!E$2)^2)+Ft!E$6*EXP(Ft!E$38*($A78-Ft!E$2)^2)),Ft!E$3*((1-Ft!E$7)/(1+Ft!E$39*($A78-Ft!E$2)^2)+Ft!E$7*EXP(Ft!E$40*($A78-Ft!E$2)^2)))</f>
        <v>10.882148131480477</v>
      </c>
      <c r="J78" s="3">
        <f>IF(($A78-Ft!F$2)&lt;0,Ft!F$3*((1-Ft!F$6)/(1+Ft!F$37*($A78-Ft!F$2)^2)+Ft!F$6*EXP(Ft!F$38*($A78-Ft!F$2)^2)),Ft!F$3*((1-Ft!F$7)/(1+Ft!F$39*($A78-Ft!F$2)^2)+Ft!F$7*EXP(Ft!F$40*($A78-Ft!F$2)^2)))</f>
        <v>8.7891538822605195</v>
      </c>
      <c r="K78" s="3">
        <f>IF(($A78-Ft!G$2)&lt;0,Ft!G$3*((1-Ft!G$6)/(1+Ft!G$37*($A78-Ft!G$2)^2)+Ft!G$6*EXP(Ft!G$38*($A78-Ft!G$2)^2)),Ft!G$3*((1-Ft!G$7)/(1+Ft!G$39*($A78-Ft!G$2)^2)+Ft!G$7*EXP(Ft!G$40*($A78-Ft!G$2)^2)))</f>
        <v>28.821366581089151</v>
      </c>
      <c r="L78" s="3">
        <f>IF(($A78-Ft!H$2)&lt;0,Ft!H$3*((1-Ft!H$6)/(1+Ft!H$37*($A78-Ft!H$2)^2)+Ft!H$6*EXP(Ft!H$38*($A78-Ft!H$2)^2)),Ft!H$3*((1-Ft!H$7)/(1+Ft!H$39*($A78-Ft!H$2)^2)+Ft!H$7*EXP(Ft!H$40*($A78-Ft!H$2)^2)))</f>
        <v>0</v>
      </c>
      <c r="M78" s="3">
        <f>IF(($A78-Ft!I$2)&lt;0,Ft!I$3*((1-Ft!I$6)/(1+Ft!I$37*($A78-Ft!I$2)^2)+Ft!I$6*EXP(Ft!I$38*($A78-Ft!I$2)^2)),Ft!I$3*((1-Ft!I$7)/(1+Ft!I$39*($A78-Ft!I$2)^2)+Ft!I$7*EXP(Ft!I$40*($A78-Ft!I$2)^2)))</f>
        <v>0</v>
      </c>
      <c r="N78" s="3">
        <f>IF(($A78-Ft!J$2)&lt;0,Ft!J$3*((1-Ft!J$6)/(1+Ft!J$37*($A78-Ft!J$2)^2)+Ft!J$6*EXP(Ft!J$38*($A78-Ft!J$2)^2)),Ft!J$3*((1-Ft!J$7)/(1+Ft!J$39*($A78-Ft!J$2)^2)+Ft!J$7*EXP(Ft!J$40*($A78-Ft!J$2)^2)))</f>
        <v>0</v>
      </c>
      <c r="O78" s="3">
        <f>IF(($A78-Ft!K$2)&lt;0,Ft!K$3*((1-Ft!K$6)/(1+Ft!K$37*($A78-Ft!K$2)^2)+Ft!K$6*EXP(Ft!K$38*($A78-Ft!K$2)^2)),Ft!K$3*((1-Ft!K$7)/(1+Ft!K$39*($A78-Ft!K$2)^2)+Ft!K$7*EXP(Ft!K$40*($A78-Ft!K$2)^2)))</f>
        <v>0</v>
      </c>
      <c r="P78"/>
      <c r="Q78"/>
    </row>
    <row r="79" spans="1:17">
      <c r="A79" s="20">
        <v>155</v>
      </c>
      <c r="B79" s="29">
        <v>8.3560768308192976</v>
      </c>
      <c r="C79" s="7">
        <f t="shared" si="3"/>
        <v>8.2943544847217439</v>
      </c>
      <c r="D79" s="3">
        <f t="shared" si="2"/>
        <v>3.8096480077862128E-3</v>
      </c>
      <c r="E79" s="3">
        <f>Ft!$B$12+Ft!$B$14*(Data!A79-Vars!$B$3)</f>
        <v>-200</v>
      </c>
      <c r="F79" s="3">
        <f>IF(($A79-Ft!B$2)&lt;0,Ft!B$3*((1-Ft!B$6)/(1+Ft!B$37*($A79-Ft!B$2)^2)+Ft!B$6*EXP(Ft!B$38*($A79-Ft!B$2)^2)),Ft!B$3*((1-Ft!B$7)/(1+Ft!B$39*($A79-Ft!B$2)^2)+Ft!B$7*EXP(Ft!B$40*($A79-Ft!B$2)^2)))</f>
        <v>128.8708757038479</v>
      </c>
      <c r="G79" s="3">
        <f>IF(($A79-Ft!C$2)&lt;0,Ft!C$3*((1-Ft!C$6)/(1+Ft!C$37*($A79-Ft!C$2)^2)+Ft!C$6*EXP(Ft!C$38*($A79-Ft!C$2)^2)),Ft!C$3*((1-Ft!C$7)/(1+Ft!C$39*($A79-Ft!C$2)^2)+Ft!C$7*EXP(Ft!C$40*($A79-Ft!C$2)^2)))</f>
        <v>30.371233532394552</v>
      </c>
      <c r="H79" s="3">
        <f>IF(($A79-Ft!D$2)&lt;0,Ft!D$3*((1-Ft!D$6)/(1+Ft!D$37*($A79-Ft!D$2)^2)+Ft!D$6*EXP(Ft!D$38*($A79-Ft!D$2)^2)),Ft!D$3*((1-Ft!D$7)/(1+Ft!D$39*($A79-Ft!D$2)^2)+Ft!D$7*EXP(Ft!D$40*($A79-Ft!D$2)^2)))</f>
        <v>6.9893358399086225E-24</v>
      </c>
      <c r="I79" s="3">
        <f>IF(($A79-Ft!E$2)&lt;0,Ft!E$3*((1-Ft!E$6)/(1+Ft!E$37*($A79-Ft!E$2)^2)+Ft!E$6*EXP(Ft!E$38*($A79-Ft!E$2)^2)),Ft!E$3*((1-Ft!E$7)/(1+Ft!E$39*($A79-Ft!E$2)^2)+Ft!E$7*EXP(Ft!E$40*($A79-Ft!E$2)^2)))</f>
        <v>11.062136937274746</v>
      </c>
      <c r="J79" s="3">
        <f>IF(($A79-Ft!F$2)&lt;0,Ft!F$3*((1-Ft!F$6)/(1+Ft!F$37*($A79-Ft!F$2)^2)+Ft!F$6*EXP(Ft!F$38*($A79-Ft!F$2)^2)),Ft!F$3*((1-Ft!F$7)/(1+Ft!F$39*($A79-Ft!F$2)^2)+Ft!F$7*EXP(Ft!F$40*($A79-Ft!F$2)^2)))</f>
        <v>8.8655357947457212</v>
      </c>
      <c r="K79" s="3">
        <f>IF(($A79-Ft!G$2)&lt;0,Ft!G$3*((1-Ft!G$6)/(1+Ft!G$37*($A79-Ft!G$2)^2)+Ft!G$6*EXP(Ft!G$38*($A79-Ft!G$2)^2)),Ft!G$3*((1-Ft!G$7)/(1+Ft!G$39*($A79-Ft!G$2)^2)+Ft!G$7*EXP(Ft!G$40*($A79-Ft!G$2)^2)))</f>
        <v>29.124572516458823</v>
      </c>
      <c r="L79" s="3">
        <f>IF(($A79-Ft!H$2)&lt;0,Ft!H$3*((1-Ft!H$6)/(1+Ft!H$37*($A79-Ft!H$2)^2)+Ft!H$6*EXP(Ft!H$38*($A79-Ft!H$2)^2)),Ft!H$3*((1-Ft!H$7)/(1+Ft!H$39*($A79-Ft!H$2)^2)+Ft!H$7*EXP(Ft!H$40*($A79-Ft!H$2)^2)))</f>
        <v>0</v>
      </c>
      <c r="M79" s="3">
        <f>IF(($A79-Ft!I$2)&lt;0,Ft!I$3*((1-Ft!I$6)/(1+Ft!I$37*($A79-Ft!I$2)^2)+Ft!I$6*EXP(Ft!I$38*($A79-Ft!I$2)^2)),Ft!I$3*((1-Ft!I$7)/(1+Ft!I$39*($A79-Ft!I$2)^2)+Ft!I$7*EXP(Ft!I$40*($A79-Ft!I$2)^2)))</f>
        <v>0</v>
      </c>
      <c r="N79" s="3">
        <f>IF(($A79-Ft!J$2)&lt;0,Ft!J$3*((1-Ft!J$6)/(1+Ft!J$37*($A79-Ft!J$2)^2)+Ft!J$6*EXP(Ft!J$38*($A79-Ft!J$2)^2)),Ft!J$3*((1-Ft!J$7)/(1+Ft!J$39*($A79-Ft!J$2)^2)+Ft!J$7*EXP(Ft!J$40*($A79-Ft!J$2)^2)))</f>
        <v>0</v>
      </c>
      <c r="O79" s="3">
        <f>IF(($A79-Ft!K$2)&lt;0,Ft!K$3*((1-Ft!K$6)/(1+Ft!K$37*($A79-Ft!K$2)^2)+Ft!K$6*EXP(Ft!K$38*($A79-Ft!K$2)^2)),Ft!K$3*((1-Ft!K$7)/(1+Ft!K$39*($A79-Ft!K$2)^2)+Ft!K$7*EXP(Ft!K$40*($A79-Ft!K$2)^2)))</f>
        <v>0</v>
      </c>
      <c r="P79"/>
      <c r="Q79"/>
    </row>
    <row r="80" spans="1:17">
      <c r="A80" s="20">
        <v>157</v>
      </c>
      <c r="B80" s="29">
        <v>8.5772345175966649</v>
      </c>
      <c r="C80" s="7">
        <f t="shared" si="3"/>
        <v>8.4934331224581321</v>
      </c>
      <c r="D80" s="3">
        <f t="shared" si="2"/>
        <v>7.022673827164508E-3</v>
      </c>
      <c r="E80" s="3">
        <f>Ft!$B$12+Ft!$B$14*(Data!A80-Vars!$B$3)</f>
        <v>-200</v>
      </c>
      <c r="F80" s="3">
        <f>IF(($A80-Ft!B$2)&lt;0,Ft!B$3*((1-Ft!B$6)/(1+Ft!B$37*($A80-Ft!B$2)^2)+Ft!B$6*EXP(Ft!B$38*($A80-Ft!B$2)^2)),Ft!B$3*((1-Ft!B$7)/(1+Ft!B$39*($A80-Ft!B$2)^2)+Ft!B$7*EXP(Ft!B$40*($A80-Ft!B$2)^2)))</f>
        <v>128.40708932314362</v>
      </c>
      <c r="G80" s="3">
        <f>IF(($A80-Ft!C$2)&lt;0,Ft!C$3*((1-Ft!C$6)/(1+Ft!C$37*($A80-Ft!C$2)^2)+Ft!C$6*EXP(Ft!C$38*($A80-Ft!C$2)^2)),Ft!C$3*((1-Ft!C$7)/(1+Ft!C$39*($A80-Ft!C$2)^2)+Ft!C$7*EXP(Ft!C$40*($A80-Ft!C$2)^2)))</f>
        <v>30.471515839630616</v>
      </c>
      <c r="H80" s="3">
        <f>IF(($A80-Ft!D$2)&lt;0,Ft!D$3*((1-Ft!D$6)/(1+Ft!D$37*($A80-Ft!D$2)^2)+Ft!D$6*EXP(Ft!D$38*($A80-Ft!D$2)^2)),Ft!D$3*((1-Ft!D$7)/(1+Ft!D$39*($A80-Ft!D$2)^2)+Ft!D$7*EXP(Ft!D$40*($A80-Ft!D$2)^2)))</f>
        <v>1.5073738046154915E-23</v>
      </c>
      <c r="I80" s="3">
        <f>IF(($A80-Ft!E$2)&lt;0,Ft!E$3*((1-Ft!E$6)/(1+Ft!E$37*($A80-Ft!E$2)^2)+Ft!E$6*EXP(Ft!E$38*($A80-Ft!E$2)^2)),Ft!E$3*((1-Ft!E$7)/(1+Ft!E$39*($A80-Ft!E$2)^2)+Ft!E$7*EXP(Ft!E$40*($A80-Ft!E$2)^2)))</f>
        <v>11.244450738191643</v>
      </c>
      <c r="J80" s="3">
        <f>IF(($A80-Ft!F$2)&lt;0,Ft!F$3*((1-Ft!F$6)/(1+Ft!F$37*($A80-Ft!F$2)^2)+Ft!F$6*EXP(Ft!F$38*($A80-Ft!F$2)^2)),Ft!F$3*((1-Ft!F$7)/(1+Ft!F$39*($A80-Ft!F$2)^2)+Ft!F$7*EXP(Ft!F$40*($A80-Ft!F$2)^2)))</f>
        <v>8.942463725388869</v>
      </c>
      <c r="K80" s="3">
        <f>IF(($A80-Ft!G$2)&lt;0,Ft!G$3*((1-Ft!G$6)/(1+Ft!G$37*($A80-Ft!G$2)^2)+Ft!G$6*EXP(Ft!G$38*($A80-Ft!G$2)^2)),Ft!G$3*((1-Ft!G$7)/(1+Ft!G$39*($A80-Ft!G$2)^2)+Ft!G$7*EXP(Ft!G$40*($A80-Ft!G$2)^2)))</f>
        <v>29.427913496103383</v>
      </c>
      <c r="L80" s="3">
        <f>IF(($A80-Ft!H$2)&lt;0,Ft!H$3*((1-Ft!H$6)/(1+Ft!H$37*($A80-Ft!H$2)^2)+Ft!H$6*EXP(Ft!H$38*($A80-Ft!H$2)^2)),Ft!H$3*((1-Ft!H$7)/(1+Ft!H$39*($A80-Ft!H$2)^2)+Ft!H$7*EXP(Ft!H$40*($A80-Ft!H$2)^2)))</f>
        <v>0</v>
      </c>
      <c r="M80" s="3">
        <f>IF(($A80-Ft!I$2)&lt;0,Ft!I$3*((1-Ft!I$6)/(1+Ft!I$37*($A80-Ft!I$2)^2)+Ft!I$6*EXP(Ft!I$38*($A80-Ft!I$2)^2)),Ft!I$3*((1-Ft!I$7)/(1+Ft!I$39*($A80-Ft!I$2)^2)+Ft!I$7*EXP(Ft!I$40*($A80-Ft!I$2)^2)))</f>
        <v>0</v>
      </c>
      <c r="N80" s="3">
        <f>IF(($A80-Ft!J$2)&lt;0,Ft!J$3*((1-Ft!J$6)/(1+Ft!J$37*($A80-Ft!J$2)^2)+Ft!J$6*EXP(Ft!J$38*($A80-Ft!J$2)^2)),Ft!J$3*((1-Ft!J$7)/(1+Ft!J$39*($A80-Ft!J$2)^2)+Ft!J$7*EXP(Ft!J$40*($A80-Ft!J$2)^2)))</f>
        <v>0</v>
      </c>
      <c r="O80" s="3">
        <f>IF(($A80-Ft!K$2)&lt;0,Ft!K$3*((1-Ft!K$6)/(1+Ft!K$37*($A80-Ft!K$2)^2)+Ft!K$6*EXP(Ft!K$38*($A80-Ft!K$2)^2)),Ft!K$3*((1-Ft!K$7)/(1+Ft!K$39*($A80-Ft!K$2)^2)+Ft!K$7*EXP(Ft!K$40*($A80-Ft!K$2)^2)))</f>
        <v>0</v>
      </c>
      <c r="P80"/>
      <c r="Q80"/>
    </row>
    <row r="81" spans="1:17">
      <c r="A81" s="20">
        <v>159</v>
      </c>
      <c r="B81" s="29">
        <v>8.7988290381281544</v>
      </c>
      <c r="C81" s="7">
        <f t="shared" si="3"/>
        <v>8.694763691645452</v>
      </c>
      <c r="D81" s="3">
        <f t="shared" si="2"/>
        <v>1.0829596338564897E-2</v>
      </c>
      <c r="E81" s="3">
        <f>Ft!$B$12+Ft!$B$14*(Data!A81-Vars!$B$3)</f>
        <v>-200</v>
      </c>
      <c r="F81" s="3">
        <f>IF(($A81-Ft!B$2)&lt;0,Ft!B$3*((1-Ft!B$6)/(1+Ft!B$37*($A81-Ft!B$2)^2)+Ft!B$6*EXP(Ft!B$38*($A81-Ft!B$2)^2)),Ft!B$3*((1-Ft!B$7)/(1+Ft!B$39*($A81-Ft!B$2)^2)+Ft!B$7*EXP(Ft!B$40*($A81-Ft!B$2)^2)))</f>
        <v>127.94253000831193</v>
      </c>
      <c r="G81" s="3">
        <f>IF(($A81-Ft!C$2)&lt;0,Ft!C$3*((1-Ft!C$6)/(1+Ft!C$37*($A81-Ft!C$2)^2)+Ft!C$6*EXP(Ft!C$38*($A81-Ft!C$2)^2)),Ft!C$3*((1-Ft!C$7)/(1+Ft!C$39*($A81-Ft!C$2)^2)+Ft!C$7*EXP(Ft!C$40*($A81-Ft!C$2)^2)))</f>
        <v>30.571859140255381</v>
      </c>
      <c r="H81" s="3">
        <f>IF(($A81-Ft!D$2)&lt;0,Ft!D$3*((1-Ft!D$6)/(1+Ft!D$37*($A81-Ft!D$2)^2)+Ft!D$6*EXP(Ft!D$38*($A81-Ft!D$2)^2)),Ft!D$3*((1-Ft!D$7)/(1+Ft!D$39*($A81-Ft!D$2)^2)+Ft!D$7*EXP(Ft!D$40*($A81-Ft!D$2)^2)))</f>
        <v>3.2330327625299736E-23</v>
      </c>
      <c r="I81" s="3">
        <f>IF(($A81-Ft!E$2)&lt;0,Ft!E$3*((1-Ft!E$6)/(1+Ft!E$37*($A81-Ft!E$2)^2)+Ft!E$6*EXP(Ft!E$38*($A81-Ft!E$2)^2)),Ft!E$3*((1-Ft!E$7)/(1+Ft!E$39*($A81-Ft!E$2)^2)+Ft!E$7*EXP(Ft!E$40*($A81-Ft!E$2)^2)))</f>
        <v>11.429106536990007</v>
      </c>
      <c r="J81" s="3">
        <f>IF(($A81-Ft!F$2)&lt;0,Ft!F$3*((1-Ft!F$6)/(1+Ft!F$37*($A81-Ft!F$2)^2)+Ft!F$6*EXP(Ft!F$38*($A81-Ft!F$2)^2)),Ft!F$3*((1-Ft!F$7)/(1+Ft!F$39*($A81-Ft!F$2)^2)+Ft!F$7*EXP(Ft!F$40*($A81-Ft!F$2)^2)))</f>
        <v>9.0199403769669768</v>
      </c>
      <c r="K81" s="3">
        <f>IF(($A81-Ft!G$2)&lt;0,Ft!G$3*((1-Ft!G$6)/(1+Ft!G$37*($A81-Ft!G$2)^2)+Ft!G$6*EXP(Ft!G$38*($A81-Ft!G$2)^2)),Ft!G$3*((1-Ft!G$7)/(1+Ft!G$39*($A81-Ft!G$2)^2)+Ft!G$7*EXP(Ft!G$40*($A81-Ft!G$2)^2)))</f>
        <v>29.73132762912115</v>
      </c>
      <c r="L81" s="3">
        <f>IF(($A81-Ft!H$2)&lt;0,Ft!H$3*((1-Ft!H$6)/(1+Ft!H$37*($A81-Ft!H$2)^2)+Ft!H$6*EXP(Ft!H$38*($A81-Ft!H$2)^2)),Ft!H$3*((1-Ft!H$7)/(1+Ft!H$39*($A81-Ft!H$2)^2)+Ft!H$7*EXP(Ft!H$40*($A81-Ft!H$2)^2)))</f>
        <v>0</v>
      </c>
      <c r="M81" s="3">
        <f>IF(($A81-Ft!I$2)&lt;0,Ft!I$3*((1-Ft!I$6)/(1+Ft!I$37*($A81-Ft!I$2)^2)+Ft!I$6*EXP(Ft!I$38*($A81-Ft!I$2)^2)),Ft!I$3*((1-Ft!I$7)/(1+Ft!I$39*($A81-Ft!I$2)^2)+Ft!I$7*EXP(Ft!I$40*($A81-Ft!I$2)^2)))</f>
        <v>0</v>
      </c>
      <c r="N81" s="3">
        <f>IF(($A81-Ft!J$2)&lt;0,Ft!J$3*((1-Ft!J$6)/(1+Ft!J$37*($A81-Ft!J$2)^2)+Ft!J$6*EXP(Ft!J$38*($A81-Ft!J$2)^2)),Ft!J$3*((1-Ft!J$7)/(1+Ft!J$39*($A81-Ft!J$2)^2)+Ft!J$7*EXP(Ft!J$40*($A81-Ft!J$2)^2)))</f>
        <v>0</v>
      </c>
      <c r="O81" s="3">
        <f>IF(($A81-Ft!K$2)&lt;0,Ft!K$3*((1-Ft!K$6)/(1+Ft!K$37*($A81-Ft!K$2)^2)+Ft!K$6*EXP(Ft!K$38*($A81-Ft!K$2)^2)),Ft!K$3*((1-Ft!K$7)/(1+Ft!K$39*($A81-Ft!K$2)^2)+Ft!K$7*EXP(Ft!K$40*($A81-Ft!K$2)^2)))</f>
        <v>0</v>
      </c>
      <c r="P81"/>
      <c r="Q81"/>
    </row>
    <row r="82" spans="1:17">
      <c r="A82" s="20">
        <v>161</v>
      </c>
      <c r="B82" s="29">
        <v>9.0208572284988549</v>
      </c>
      <c r="C82" s="7">
        <f t="shared" si="3"/>
        <v>8.8983221360338511</v>
      </c>
      <c r="D82" s="3">
        <f t="shared" si="2"/>
        <v>1.5014848885407011E-2</v>
      </c>
      <c r="E82" s="3">
        <f>Ft!$B$12+Ft!$B$14*(Data!A82-Vars!$B$3)</f>
        <v>-200</v>
      </c>
      <c r="F82" s="3">
        <f>IF(($A82-Ft!B$2)&lt;0,Ft!B$3*((1-Ft!B$6)/(1+Ft!B$37*($A82-Ft!B$2)^2)+Ft!B$6*EXP(Ft!B$38*($A82-Ft!B$2)^2)),Ft!B$3*((1-Ft!B$7)/(1+Ft!B$39*($A82-Ft!B$2)^2)+Ft!B$7*EXP(Ft!B$40*($A82-Ft!B$2)^2)))</f>
        <v>127.47721825732468</v>
      </c>
      <c r="G82" s="3">
        <f>IF(($A82-Ft!C$2)&lt;0,Ft!C$3*((1-Ft!C$6)/(1+Ft!C$37*($A82-Ft!C$2)^2)+Ft!C$6*EXP(Ft!C$38*($A82-Ft!C$2)^2)),Ft!C$3*((1-Ft!C$7)/(1+Ft!C$39*($A82-Ft!C$2)^2)+Ft!C$7*EXP(Ft!C$40*($A82-Ft!C$2)^2)))</f>
        <v>30.672261858988168</v>
      </c>
      <c r="H82" s="3">
        <f>IF(($A82-Ft!D$2)&lt;0,Ft!D$3*((1-Ft!D$6)/(1+Ft!D$37*($A82-Ft!D$2)^2)+Ft!D$6*EXP(Ft!D$38*($A82-Ft!D$2)^2)),Ft!D$3*((1-Ft!D$7)/(1+Ft!D$39*($A82-Ft!D$2)^2)+Ft!D$7*EXP(Ft!D$40*($A82-Ft!D$2)^2)))</f>
        <v>6.8960965709350917E-23</v>
      </c>
      <c r="I82" s="3">
        <f>IF(($A82-Ft!E$2)&lt;0,Ft!E$3*((1-Ft!E$6)/(1+Ft!E$37*($A82-Ft!E$2)^2)+Ft!E$6*EXP(Ft!E$38*($A82-Ft!E$2)^2)),Ft!E$3*((1-Ft!E$7)/(1+Ft!E$39*($A82-Ft!E$2)^2)+Ft!E$7*EXP(Ft!E$40*($A82-Ft!E$2)^2)))</f>
        <v>11.6161212054392</v>
      </c>
      <c r="J82" s="3">
        <f>IF(($A82-Ft!F$2)&lt;0,Ft!F$3*((1-Ft!F$6)/(1+Ft!F$37*($A82-Ft!F$2)^2)+Ft!F$6*EXP(Ft!F$38*($A82-Ft!F$2)^2)),Ft!F$3*((1-Ft!F$7)/(1+Ft!F$39*($A82-Ft!F$2)^2)+Ft!F$7*EXP(Ft!F$40*($A82-Ft!F$2)^2)))</f>
        <v>9.0979684539171828</v>
      </c>
      <c r="K82" s="3">
        <f>IF(($A82-Ft!G$2)&lt;0,Ft!G$3*((1-Ft!G$6)/(1+Ft!G$37*($A82-Ft!G$2)^2)+Ft!G$6*EXP(Ft!G$38*($A82-Ft!G$2)^2)),Ft!G$3*((1-Ft!G$7)/(1+Ft!G$39*($A82-Ft!G$2)^2)+Ft!G$7*EXP(Ft!G$40*($A82-Ft!G$2)^2)))</f>
        <v>30.034752360364624</v>
      </c>
      <c r="L82" s="3">
        <f>IF(($A82-Ft!H$2)&lt;0,Ft!H$3*((1-Ft!H$6)/(1+Ft!H$37*($A82-Ft!H$2)^2)+Ft!H$6*EXP(Ft!H$38*($A82-Ft!H$2)^2)),Ft!H$3*((1-Ft!H$7)/(1+Ft!H$39*($A82-Ft!H$2)^2)+Ft!H$7*EXP(Ft!H$40*($A82-Ft!H$2)^2)))</f>
        <v>0</v>
      </c>
      <c r="M82" s="3">
        <f>IF(($A82-Ft!I$2)&lt;0,Ft!I$3*((1-Ft!I$6)/(1+Ft!I$37*($A82-Ft!I$2)^2)+Ft!I$6*EXP(Ft!I$38*($A82-Ft!I$2)^2)),Ft!I$3*((1-Ft!I$7)/(1+Ft!I$39*($A82-Ft!I$2)^2)+Ft!I$7*EXP(Ft!I$40*($A82-Ft!I$2)^2)))</f>
        <v>0</v>
      </c>
      <c r="N82" s="3">
        <f>IF(($A82-Ft!J$2)&lt;0,Ft!J$3*((1-Ft!J$6)/(1+Ft!J$37*($A82-Ft!J$2)^2)+Ft!J$6*EXP(Ft!J$38*($A82-Ft!J$2)^2)),Ft!J$3*((1-Ft!J$7)/(1+Ft!J$39*($A82-Ft!J$2)^2)+Ft!J$7*EXP(Ft!J$40*($A82-Ft!J$2)^2)))</f>
        <v>0</v>
      </c>
      <c r="O82" s="3">
        <f>IF(($A82-Ft!K$2)&lt;0,Ft!K$3*((1-Ft!K$6)/(1+Ft!K$37*($A82-Ft!K$2)^2)+Ft!K$6*EXP(Ft!K$38*($A82-Ft!K$2)^2)),Ft!K$3*((1-Ft!K$7)/(1+Ft!K$39*($A82-Ft!K$2)^2)+Ft!K$7*EXP(Ft!K$40*($A82-Ft!K$2)^2)))</f>
        <v>0</v>
      </c>
      <c r="P82"/>
      <c r="Q82"/>
    </row>
    <row r="83" spans="1:17">
      <c r="A83" s="20">
        <v>163</v>
      </c>
      <c r="B83" s="29">
        <v>9.2433160615871017</v>
      </c>
      <c r="C83" s="7">
        <f t="shared" si="3"/>
        <v>9.1040835807238309</v>
      </c>
      <c r="D83" s="3">
        <f t="shared" si="2"/>
        <v>1.9385683727341063E-2</v>
      </c>
      <c r="E83" s="3">
        <f>Ft!$B$12+Ft!$B$14*(Data!A83-Vars!$B$3)</f>
        <v>-200</v>
      </c>
      <c r="F83" s="3">
        <f>IF(($A83-Ft!B$2)&lt;0,Ft!B$3*((1-Ft!B$6)/(1+Ft!B$37*($A83-Ft!B$2)^2)+Ft!B$6*EXP(Ft!B$38*($A83-Ft!B$2)^2)),Ft!B$3*((1-Ft!B$7)/(1+Ft!B$39*($A83-Ft!B$2)^2)+Ft!B$7*EXP(Ft!B$40*($A83-Ft!B$2)^2)))</f>
        <v>127.01117453680617</v>
      </c>
      <c r="G83" s="3">
        <f>IF(($A83-Ft!C$2)&lt;0,Ft!C$3*((1-Ft!C$6)/(1+Ft!C$37*($A83-Ft!C$2)^2)+Ft!C$6*EXP(Ft!C$38*($A83-Ft!C$2)^2)),Ft!C$3*((1-Ft!C$7)/(1+Ft!C$39*($A83-Ft!C$2)^2)+Ft!C$7*EXP(Ft!C$40*($A83-Ft!C$2)^2)))</f>
        <v>30.772722413790234</v>
      </c>
      <c r="H83" s="3">
        <f>IF(($A83-Ft!D$2)&lt;0,Ft!D$3*((1-Ft!D$6)/(1+Ft!D$37*($A83-Ft!D$2)^2)+Ft!D$6*EXP(Ft!D$38*($A83-Ft!D$2)^2)),Ft!D$3*((1-Ft!D$7)/(1+Ft!D$39*($A83-Ft!D$2)^2)+Ft!D$7*EXP(Ft!D$40*($A83-Ft!D$2)^2)))</f>
        <v>1.4628528785488594E-22</v>
      </c>
      <c r="I83" s="3">
        <f>IF(($A83-Ft!E$2)&lt;0,Ft!E$3*((1-Ft!E$6)/(1+Ft!E$37*($A83-Ft!E$2)^2)+Ft!E$6*EXP(Ft!E$38*($A83-Ft!E$2)^2)),Ft!E$3*((1-Ft!E$7)/(1+Ft!E$39*($A83-Ft!E$2)^2)+Ft!E$7*EXP(Ft!E$40*($A83-Ft!E$2)^2)))</f>
        <v>11.805511478223183</v>
      </c>
      <c r="J83" s="3">
        <f>IF(($A83-Ft!F$2)&lt;0,Ft!F$3*((1-Ft!F$6)/(1+Ft!F$37*($A83-Ft!F$2)^2)+Ft!F$6*EXP(Ft!F$38*($A83-Ft!F$2)^2)),Ft!F$3*((1-Ft!F$7)/(1+Ft!F$39*($A83-Ft!F$2)^2)+Ft!F$7*EXP(Ft!F$40*($A83-Ft!F$2)^2)))</f>
        <v>9.1765506622080135</v>
      </c>
      <c r="K83" s="3">
        <f>IF(($A83-Ft!G$2)&lt;0,Ft!G$3*((1-Ft!G$6)/(1+Ft!G$37*($A83-Ft!G$2)^2)+Ft!G$6*EXP(Ft!G$38*($A83-Ft!G$2)^2)),Ft!G$3*((1-Ft!G$7)/(1+Ft!G$39*($A83-Ft!G$2)^2)+Ft!G$7*EXP(Ft!G$40*($A83-Ft!G$2)^2)))</f>
        <v>30.338124489696234</v>
      </c>
      <c r="L83" s="3">
        <f>IF(($A83-Ft!H$2)&lt;0,Ft!H$3*((1-Ft!H$6)/(1+Ft!H$37*($A83-Ft!H$2)^2)+Ft!H$6*EXP(Ft!H$38*($A83-Ft!H$2)^2)),Ft!H$3*((1-Ft!H$7)/(1+Ft!H$39*($A83-Ft!H$2)^2)+Ft!H$7*EXP(Ft!H$40*($A83-Ft!H$2)^2)))</f>
        <v>0</v>
      </c>
      <c r="M83" s="3">
        <f>IF(($A83-Ft!I$2)&lt;0,Ft!I$3*((1-Ft!I$6)/(1+Ft!I$37*($A83-Ft!I$2)^2)+Ft!I$6*EXP(Ft!I$38*($A83-Ft!I$2)^2)),Ft!I$3*((1-Ft!I$7)/(1+Ft!I$39*($A83-Ft!I$2)^2)+Ft!I$7*EXP(Ft!I$40*($A83-Ft!I$2)^2)))</f>
        <v>0</v>
      </c>
      <c r="N83" s="3">
        <f>IF(($A83-Ft!J$2)&lt;0,Ft!J$3*((1-Ft!J$6)/(1+Ft!J$37*($A83-Ft!J$2)^2)+Ft!J$6*EXP(Ft!J$38*($A83-Ft!J$2)^2)),Ft!J$3*((1-Ft!J$7)/(1+Ft!J$39*($A83-Ft!J$2)^2)+Ft!J$7*EXP(Ft!J$40*($A83-Ft!J$2)^2)))</f>
        <v>0</v>
      </c>
      <c r="O83" s="3">
        <f>IF(($A83-Ft!K$2)&lt;0,Ft!K$3*((1-Ft!K$6)/(1+Ft!K$37*($A83-Ft!K$2)^2)+Ft!K$6*EXP(Ft!K$38*($A83-Ft!K$2)^2)),Ft!K$3*((1-Ft!K$7)/(1+Ft!K$39*($A83-Ft!K$2)^2)+Ft!K$7*EXP(Ft!K$40*($A83-Ft!K$2)^2)))</f>
        <v>0</v>
      </c>
      <c r="P83"/>
      <c r="Q83"/>
    </row>
    <row r="84" spans="1:17">
      <c r="A84" s="20">
        <v>165</v>
      </c>
      <c r="B84" s="29">
        <v>9.4662026790035441</v>
      </c>
      <c r="C84" s="7">
        <f t="shared" si="3"/>
        <v>9.3120223442586614</v>
      </c>
      <c r="D84" s="3">
        <f t="shared" si="2"/>
        <v>2.3771575622044079E-2</v>
      </c>
      <c r="E84" s="3">
        <f>Ft!$B$12+Ft!$B$14*(Data!A84-Vars!$B$3)</f>
        <v>-200</v>
      </c>
      <c r="F84" s="3">
        <f>IF(($A84-Ft!B$2)&lt;0,Ft!B$3*((1-Ft!B$6)/(1+Ft!B$37*($A84-Ft!B$2)^2)+Ft!B$6*EXP(Ft!B$38*($A84-Ft!B$2)^2)),Ft!B$3*((1-Ft!B$7)/(1+Ft!B$39*($A84-Ft!B$2)^2)+Ft!B$7*EXP(Ft!B$40*($A84-Ft!B$2)^2)))</f>
        <v>126.5444192805877</v>
      </c>
      <c r="G84" s="3">
        <f>IF(($A84-Ft!C$2)&lt;0,Ft!C$3*((1-Ft!C$6)/(1+Ft!C$37*($A84-Ft!C$2)^2)+Ft!C$6*EXP(Ft!C$38*($A84-Ft!C$2)^2)),Ft!C$3*((1-Ft!C$7)/(1+Ft!C$39*($A84-Ft!C$2)^2)+Ft!C$7*EXP(Ft!C$40*($A84-Ft!C$2)^2)))</f>
        <v>30.873239215898664</v>
      </c>
      <c r="H84" s="3">
        <f>IF(($A84-Ft!D$2)&lt;0,Ft!D$3*((1-Ft!D$6)/(1+Ft!D$37*($A84-Ft!D$2)^2)+Ft!D$6*EXP(Ft!D$38*($A84-Ft!D$2)^2)),Ft!D$3*((1-Ft!D$7)/(1+Ft!D$39*($A84-Ft!D$2)^2)+Ft!D$7*EXP(Ft!D$40*($A84-Ft!D$2)^2)))</f>
        <v>3.0860435731130571E-22</v>
      </c>
      <c r="I84" s="3">
        <f>IF(($A84-Ft!E$2)&lt;0,Ft!E$3*((1-Ft!E$6)/(1+Ft!E$37*($A84-Ft!E$2)^2)+Ft!E$6*EXP(Ft!E$38*($A84-Ft!E$2)^2)),Ft!E$3*((1-Ft!E$7)/(1+Ft!E$39*($A84-Ft!E$2)^2)+Ft!E$7*EXP(Ft!E$40*($A84-Ft!E$2)^2)))</f>
        <v>11.997293946784717</v>
      </c>
      <c r="J84" s="3">
        <f>IF(($A84-Ft!F$2)&lt;0,Ft!F$3*((1-Ft!F$6)/(1+Ft!F$37*($A84-Ft!F$2)^2)+Ft!F$6*EXP(Ft!F$38*($A84-Ft!F$2)^2)),Ft!F$3*((1-Ft!F$7)/(1+Ft!F$39*($A84-Ft!F$2)^2)+Ft!F$7*EXP(Ft!F$40*($A84-Ft!F$2)^2)))</f>
        <v>9.2556897092095038</v>
      </c>
      <c r="K84" s="3">
        <f>IF(($A84-Ft!G$2)&lt;0,Ft!G$3*((1-Ft!G$6)/(1+Ft!G$37*($A84-Ft!G$2)^2)+Ft!G$6*EXP(Ft!G$38*($A84-Ft!G$2)^2)),Ft!G$3*((1-Ft!G$7)/(1+Ft!G$39*($A84-Ft!G$2)^2)+Ft!G$7*EXP(Ft!G$40*($A84-Ft!G$2)^2)))</f>
        <v>30.641380191778072</v>
      </c>
      <c r="L84" s="3">
        <f>IF(($A84-Ft!H$2)&lt;0,Ft!H$3*((1-Ft!H$6)/(1+Ft!H$37*($A84-Ft!H$2)^2)+Ft!H$6*EXP(Ft!H$38*($A84-Ft!H$2)^2)),Ft!H$3*((1-Ft!H$7)/(1+Ft!H$39*($A84-Ft!H$2)^2)+Ft!H$7*EXP(Ft!H$40*($A84-Ft!H$2)^2)))</f>
        <v>0</v>
      </c>
      <c r="M84" s="3">
        <f>IF(($A84-Ft!I$2)&lt;0,Ft!I$3*((1-Ft!I$6)/(1+Ft!I$37*($A84-Ft!I$2)^2)+Ft!I$6*EXP(Ft!I$38*($A84-Ft!I$2)^2)),Ft!I$3*((1-Ft!I$7)/(1+Ft!I$39*($A84-Ft!I$2)^2)+Ft!I$7*EXP(Ft!I$40*($A84-Ft!I$2)^2)))</f>
        <v>0</v>
      </c>
      <c r="N84" s="3">
        <f>IF(($A84-Ft!J$2)&lt;0,Ft!J$3*((1-Ft!J$6)/(1+Ft!J$37*($A84-Ft!J$2)^2)+Ft!J$6*EXP(Ft!J$38*($A84-Ft!J$2)^2)),Ft!J$3*((1-Ft!J$7)/(1+Ft!J$39*($A84-Ft!J$2)^2)+Ft!J$7*EXP(Ft!J$40*($A84-Ft!J$2)^2)))</f>
        <v>0</v>
      </c>
      <c r="O84" s="3">
        <f>IF(($A84-Ft!K$2)&lt;0,Ft!K$3*((1-Ft!K$6)/(1+Ft!K$37*($A84-Ft!K$2)^2)+Ft!K$6*EXP(Ft!K$38*($A84-Ft!K$2)^2)),Ft!K$3*((1-Ft!K$7)/(1+Ft!K$39*($A84-Ft!K$2)^2)+Ft!K$7*EXP(Ft!K$40*($A84-Ft!K$2)^2)))</f>
        <v>0</v>
      </c>
      <c r="P84"/>
      <c r="Q84"/>
    </row>
    <row r="85" spans="1:17">
      <c r="A85" s="20">
        <v>167</v>
      </c>
      <c r="B85" s="29">
        <v>9.6895144276316927</v>
      </c>
      <c r="C85" s="7">
        <f t="shared" si="3"/>
        <v>9.5221119511922403</v>
      </c>
      <c r="D85" s="3">
        <f t="shared" si="2"/>
        <v>2.8023589118061409E-2</v>
      </c>
      <c r="E85" s="3">
        <f>Ft!$B$12+Ft!$B$14*(Data!A85-Vars!$B$3)</f>
        <v>-200</v>
      </c>
      <c r="F85" s="3">
        <f>IF(($A85-Ft!B$2)&lt;0,Ft!B$3*((1-Ft!B$6)/(1+Ft!B$37*($A85-Ft!B$2)^2)+Ft!B$6*EXP(Ft!B$38*($A85-Ft!B$2)^2)),Ft!B$3*((1-Ft!B$7)/(1+Ft!B$39*($A85-Ft!B$2)^2)+Ft!B$7*EXP(Ft!B$40*($A85-Ft!B$2)^2)))</f>
        <v>126.07697288827019</v>
      </c>
      <c r="G85" s="3">
        <f>IF(($A85-Ft!C$2)&lt;0,Ft!C$3*((1-Ft!C$6)/(1+Ft!C$37*($A85-Ft!C$2)^2)+Ft!C$6*EXP(Ft!C$38*($A85-Ft!C$2)^2)),Ft!C$3*((1-Ft!C$7)/(1+Ft!C$39*($A85-Ft!C$2)^2)+Ft!C$7*EXP(Ft!C$40*($A85-Ft!C$2)^2)))</f>
        <v>30.973810669860498</v>
      </c>
      <c r="H85" s="3">
        <f>IF(($A85-Ft!D$2)&lt;0,Ft!D$3*((1-Ft!D$6)/(1+Ft!D$37*($A85-Ft!D$2)^2)+Ft!D$6*EXP(Ft!D$38*($A85-Ft!D$2)^2)),Ft!D$3*((1-Ft!D$7)/(1+Ft!D$39*($A85-Ft!D$2)^2)+Ft!D$7*EXP(Ft!D$40*($A85-Ft!D$2)^2)))</f>
        <v>6.4745195109810803E-22</v>
      </c>
      <c r="I85" s="3">
        <f>IF(($A85-Ft!E$2)&lt;0,Ft!E$3*((1-Ft!E$6)/(1+Ft!E$37*($A85-Ft!E$2)^2)+Ft!E$6*EXP(Ft!E$38*($A85-Ft!E$2)^2)),Ft!E$3*((1-Ft!E$7)/(1+Ft!E$39*($A85-Ft!E$2)^2)+Ft!E$7*EXP(Ft!E$40*($A85-Ft!E$2)^2)))</f>
        <v>12.191485053110902</v>
      </c>
      <c r="J85" s="3">
        <f>IF(($A85-Ft!F$2)&lt;0,Ft!F$3*((1-Ft!F$6)/(1+Ft!F$37*($A85-Ft!F$2)^2)+Ft!F$6*EXP(Ft!F$38*($A85-Ft!F$2)^2)),Ft!F$3*((1-Ft!F$7)/(1+Ft!F$39*($A85-Ft!F$2)^2)+Ft!F$7*EXP(Ft!F$40*($A85-Ft!F$2)^2)))</f>
        <v>9.3353883035620324</v>
      </c>
      <c r="K85" s="3">
        <f>IF(($A85-Ft!G$2)&lt;0,Ft!G$3*((1-Ft!G$6)/(1+Ft!G$37*($A85-Ft!G$2)^2)+Ft!G$6*EXP(Ft!G$38*($A85-Ft!G$2)^2)),Ft!G$3*((1-Ft!G$7)/(1+Ft!G$39*($A85-Ft!G$2)^2)+Ft!G$7*EXP(Ft!G$40*($A85-Ft!G$2)^2)))</f>
        <v>30.944455036388614</v>
      </c>
      <c r="L85" s="3">
        <f>IF(($A85-Ft!H$2)&lt;0,Ft!H$3*((1-Ft!H$6)/(1+Ft!H$37*($A85-Ft!H$2)^2)+Ft!H$6*EXP(Ft!H$38*($A85-Ft!H$2)^2)),Ft!H$3*((1-Ft!H$7)/(1+Ft!H$39*($A85-Ft!H$2)^2)+Ft!H$7*EXP(Ft!H$40*($A85-Ft!H$2)^2)))</f>
        <v>0</v>
      </c>
      <c r="M85" s="3">
        <f>IF(($A85-Ft!I$2)&lt;0,Ft!I$3*((1-Ft!I$6)/(1+Ft!I$37*($A85-Ft!I$2)^2)+Ft!I$6*EXP(Ft!I$38*($A85-Ft!I$2)^2)),Ft!I$3*((1-Ft!I$7)/(1+Ft!I$39*($A85-Ft!I$2)^2)+Ft!I$7*EXP(Ft!I$40*($A85-Ft!I$2)^2)))</f>
        <v>0</v>
      </c>
      <c r="N85" s="3">
        <f>IF(($A85-Ft!J$2)&lt;0,Ft!J$3*((1-Ft!J$6)/(1+Ft!J$37*($A85-Ft!J$2)^2)+Ft!J$6*EXP(Ft!J$38*($A85-Ft!J$2)^2)),Ft!J$3*((1-Ft!J$7)/(1+Ft!J$39*($A85-Ft!J$2)^2)+Ft!J$7*EXP(Ft!J$40*($A85-Ft!J$2)^2)))</f>
        <v>0</v>
      </c>
      <c r="O85" s="3">
        <f>IF(($A85-Ft!K$2)&lt;0,Ft!K$3*((1-Ft!K$6)/(1+Ft!K$37*($A85-Ft!K$2)^2)+Ft!K$6*EXP(Ft!K$38*($A85-Ft!K$2)^2)),Ft!K$3*((1-Ft!K$7)/(1+Ft!K$39*($A85-Ft!K$2)^2)+Ft!K$7*EXP(Ft!K$40*($A85-Ft!K$2)^2)))</f>
        <v>0</v>
      </c>
      <c r="P85"/>
      <c r="Q85"/>
    </row>
    <row r="86" spans="1:17">
      <c r="A86" s="20">
        <v>169</v>
      </c>
      <c r="B86" s="29">
        <v>9.9132489012599478</v>
      </c>
      <c r="C86" s="7">
        <f t="shared" si="3"/>
        <v>9.7343251451270092</v>
      </c>
      <c r="D86" s="3">
        <f t="shared" si="2"/>
        <v>3.2013710508719304E-2</v>
      </c>
      <c r="E86" s="3">
        <f>Ft!$B$12+Ft!$B$14*(Data!A86-Vars!$B$3)</f>
        <v>-200</v>
      </c>
      <c r="F86" s="3">
        <f>IF(($A86-Ft!B$2)&lt;0,Ft!B$3*((1-Ft!B$6)/(1+Ft!B$37*($A86-Ft!B$2)^2)+Ft!B$6*EXP(Ft!B$38*($A86-Ft!B$2)^2)),Ft!B$3*((1-Ft!B$7)/(1+Ft!B$39*($A86-Ft!B$2)^2)+Ft!B$7*EXP(Ft!B$40*($A86-Ft!B$2)^2)))</f>
        <v>125.60885572379526</v>
      </c>
      <c r="G86" s="3">
        <f>IF(($A86-Ft!C$2)&lt;0,Ft!C$3*((1-Ft!C$6)/(1+Ft!C$37*($A86-Ft!C$2)^2)+Ft!C$6*EXP(Ft!C$38*($A86-Ft!C$2)^2)),Ft!C$3*((1-Ft!C$7)/(1+Ft!C$39*($A86-Ft!C$2)^2)+Ft!C$7*EXP(Ft!C$40*($A86-Ft!C$2)^2)))</f>
        <v>31.07443517356743</v>
      </c>
      <c r="H86" s="3">
        <f>IF(($A86-Ft!D$2)&lt;0,Ft!D$3*((1-Ft!D$6)/(1+Ft!D$37*($A86-Ft!D$2)^2)+Ft!D$6*EXP(Ft!D$38*($A86-Ft!D$2)^2)),Ft!D$3*((1-Ft!D$7)/(1+Ft!D$39*($A86-Ft!D$2)^2)+Ft!D$7*EXP(Ft!D$40*($A86-Ft!D$2)^2)))</f>
        <v>1.3508810865337385E-21</v>
      </c>
      <c r="I86" s="3">
        <f>IF(($A86-Ft!E$2)&lt;0,Ft!E$3*((1-Ft!E$6)/(1+Ft!E$37*($A86-Ft!E$2)^2)+Ft!E$6*EXP(Ft!E$38*($A86-Ft!E$2)^2)),Ft!E$3*((1-Ft!E$7)/(1+Ft!E$39*($A86-Ft!E$2)^2)+Ft!E$7*EXP(Ft!E$40*($A86-Ft!E$2)^2)))</f>
        <v>12.388101083461256</v>
      </c>
      <c r="J86" s="3">
        <f>IF(($A86-Ft!F$2)&lt;0,Ft!F$3*((1-Ft!F$6)/(1+Ft!F$37*($A86-Ft!F$2)^2)+Ft!F$6*EXP(Ft!F$38*($A86-Ft!F$2)^2)),Ft!F$3*((1-Ft!F$7)/(1+Ft!F$39*($A86-Ft!F$2)^2)+Ft!F$7*EXP(Ft!F$40*($A86-Ft!F$2)^2)))</f>
        <v>9.4156491550439938</v>
      </c>
      <c r="K86" s="3">
        <f>IF(($A86-Ft!G$2)&lt;0,Ft!G$3*((1-Ft!G$6)/(1+Ft!G$37*($A86-Ft!G$2)^2)+Ft!G$6*EXP(Ft!G$38*($A86-Ft!G$2)^2)),Ft!G$3*((1-Ft!G$7)/(1+Ft!G$39*($A86-Ft!G$2)^2)+Ft!G$7*EXP(Ft!G$40*($A86-Ft!G$2)^2)))</f>
        <v>31.247284009259069</v>
      </c>
      <c r="L86" s="3">
        <f>IF(($A86-Ft!H$2)&lt;0,Ft!H$3*((1-Ft!H$6)/(1+Ft!H$37*($A86-Ft!H$2)^2)+Ft!H$6*EXP(Ft!H$38*($A86-Ft!H$2)^2)),Ft!H$3*((1-Ft!H$7)/(1+Ft!H$39*($A86-Ft!H$2)^2)+Ft!H$7*EXP(Ft!H$40*($A86-Ft!H$2)^2)))</f>
        <v>0</v>
      </c>
      <c r="M86" s="3">
        <f>IF(($A86-Ft!I$2)&lt;0,Ft!I$3*((1-Ft!I$6)/(1+Ft!I$37*($A86-Ft!I$2)^2)+Ft!I$6*EXP(Ft!I$38*($A86-Ft!I$2)^2)),Ft!I$3*((1-Ft!I$7)/(1+Ft!I$39*($A86-Ft!I$2)^2)+Ft!I$7*EXP(Ft!I$40*($A86-Ft!I$2)^2)))</f>
        <v>0</v>
      </c>
      <c r="N86" s="3">
        <f>IF(($A86-Ft!J$2)&lt;0,Ft!J$3*((1-Ft!J$6)/(1+Ft!J$37*($A86-Ft!J$2)^2)+Ft!J$6*EXP(Ft!J$38*($A86-Ft!J$2)^2)),Ft!J$3*((1-Ft!J$7)/(1+Ft!J$39*($A86-Ft!J$2)^2)+Ft!J$7*EXP(Ft!J$40*($A86-Ft!J$2)^2)))</f>
        <v>0</v>
      </c>
      <c r="O86" s="3">
        <f>IF(($A86-Ft!K$2)&lt;0,Ft!K$3*((1-Ft!K$6)/(1+Ft!K$37*($A86-Ft!K$2)^2)+Ft!K$6*EXP(Ft!K$38*($A86-Ft!K$2)^2)),Ft!K$3*((1-Ft!K$7)/(1+Ft!K$39*($A86-Ft!K$2)^2)+Ft!K$7*EXP(Ft!K$40*($A86-Ft!K$2)^2)))</f>
        <v>0</v>
      </c>
      <c r="P86"/>
      <c r="Q86"/>
    </row>
    <row r="87" spans="1:17">
      <c r="A87" s="20">
        <v>171</v>
      </c>
      <c r="B87" s="29">
        <v>10.13740398781507</v>
      </c>
      <c r="C87" s="7">
        <f t="shared" si="3"/>
        <v>9.9486339022153878</v>
      </c>
      <c r="D87" s="3">
        <f t="shared" si="2"/>
        <v>3.5634145217311231E-2</v>
      </c>
      <c r="E87" s="3">
        <f>Ft!$B$12+Ft!$B$14*(Data!A87-Vars!$B$3)</f>
        <v>-200</v>
      </c>
      <c r="F87" s="3">
        <f>IF(($A87-Ft!B$2)&lt;0,Ft!B$3*((1-Ft!B$6)/(1+Ft!B$37*($A87-Ft!B$2)^2)+Ft!B$6*EXP(Ft!B$38*($A87-Ft!B$2)^2)),Ft!B$3*((1-Ft!B$7)/(1+Ft!B$39*($A87-Ft!B$2)^2)+Ft!B$7*EXP(Ft!B$40*($A87-Ft!B$2)^2)))</f>
        <v>125.14008811402532</v>
      </c>
      <c r="G87" s="3">
        <f>IF(($A87-Ft!C$2)&lt;0,Ft!C$3*((1-Ft!C$6)/(1+Ft!C$37*($A87-Ft!C$2)^2)+Ft!C$6*EXP(Ft!C$38*($A87-Ft!C$2)^2)),Ft!C$3*((1-Ft!C$7)/(1+Ft!C$39*($A87-Ft!C$2)^2)+Ft!C$7*EXP(Ft!C$40*($A87-Ft!C$2)^2)))</f>
        <v>31.175111118290811</v>
      </c>
      <c r="H87" s="3">
        <f>IF(($A87-Ft!D$2)&lt;0,Ft!D$3*((1-Ft!D$6)/(1+Ft!D$37*($A87-Ft!D$2)^2)+Ft!D$6*EXP(Ft!D$38*($A87-Ft!D$2)^2)),Ft!D$3*((1-Ft!D$7)/(1+Ft!D$39*($A87-Ft!D$2)^2)+Ft!D$7*EXP(Ft!D$40*($A87-Ft!D$2)^2)))</f>
        <v>2.8030496189119835E-21</v>
      </c>
      <c r="I87" s="3">
        <f>IF(($A87-Ft!E$2)&lt;0,Ft!E$3*((1-Ft!E$6)/(1+Ft!E$37*($A87-Ft!E$2)^2)+Ft!E$6*EXP(Ft!E$38*($A87-Ft!E$2)^2)),Ft!E$3*((1-Ft!E$7)/(1+Ft!E$39*($A87-Ft!E$2)^2)+Ft!E$7*EXP(Ft!E$40*($A87-Ft!E$2)^2)))</f>
        <v>12.587158162039602</v>
      </c>
      <c r="J87" s="3">
        <f>IF(($A87-Ft!F$2)&lt;0,Ft!F$3*((1-Ft!F$6)/(1+Ft!F$37*($A87-Ft!F$2)^2)+Ft!F$6*EXP(Ft!F$38*($A87-Ft!F$2)^2)),Ft!F$3*((1-Ft!F$7)/(1+Ft!F$39*($A87-Ft!F$2)^2)+Ft!F$7*EXP(Ft!F$40*($A87-Ft!F$2)^2)))</f>
        <v>9.4964749744381809</v>
      </c>
      <c r="K87" s="3">
        <f>IF(($A87-Ft!G$2)&lt;0,Ft!G$3*((1-Ft!G$6)/(1+Ft!G$37*($A87-Ft!G$2)^2)+Ft!G$6*EXP(Ft!G$38*($A87-Ft!G$2)^2)),Ft!G$3*((1-Ft!G$7)/(1+Ft!G$39*($A87-Ft!G$2)^2)+Ft!G$7*EXP(Ft!G$40*($A87-Ft!G$2)^2)))</f>
        <v>31.549801533421476</v>
      </c>
      <c r="L87" s="3">
        <f>IF(($A87-Ft!H$2)&lt;0,Ft!H$3*((1-Ft!H$6)/(1+Ft!H$37*($A87-Ft!H$2)^2)+Ft!H$6*EXP(Ft!H$38*($A87-Ft!H$2)^2)),Ft!H$3*((1-Ft!H$7)/(1+Ft!H$39*($A87-Ft!H$2)^2)+Ft!H$7*EXP(Ft!H$40*($A87-Ft!H$2)^2)))</f>
        <v>0</v>
      </c>
      <c r="M87" s="3">
        <f>IF(($A87-Ft!I$2)&lt;0,Ft!I$3*((1-Ft!I$6)/(1+Ft!I$37*($A87-Ft!I$2)^2)+Ft!I$6*EXP(Ft!I$38*($A87-Ft!I$2)^2)),Ft!I$3*((1-Ft!I$7)/(1+Ft!I$39*($A87-Ft!I$2)^2)+Ft!I$7*EXP(Ft!I$40*($A87-Ft!I$2)^2)))</f>
        <v>0</v>
      </c>
      <c r="N87" s="3">
        <f>IF(($A87-Ft!J$2)&lt;0,Ft!J$3*((1-Ft!J$6)/(1+Ft!J$37*($A87-Ft!J$2)^2)+Ft!J$6*EXP(Ft!J$38*($A87-Ft!J$2)^2)),Ft!J$3*((1-Ft!J$7)/(1+Ft!J$39*($A87-Ft!J$2)^2)+Ft!J$7*EXP(Ft!J$40*($A87-Ft!J$2)^2)))</f>
        <v>0</v>
      </c>
      <c r="O87" s="3">
        <f>IF(($A87-Ft!K$2)&lt;0,Ft!K$3*((1-Ft!K$6)/(1+Ft!K$37*($A87-Ft!K$2)^2)+Ft!K$6*EXP(Ft!K$38*($A87-Ft!K$2)^2)),Ft!K$3*((1-Ft!K$7)/(1+Ft!K$39*($A87-Ft!K$2)^2)+Ft!K$7*EXP(Ft!K$40*($A87-Ft!K$2)^2)))</f>
        <v>0</v>
      </c>
      <c r="P87"/>
      <c r="Q87"/>
    </row>
    <row r="88" spans="1:17">
      <c r="A88" s="20">
        <v>173</v>
      </c>
      <c r="B88" s="29">
        <v>10.361977922721003</v>
      </c>
      <c r="C88" s="7">
        <f t="shared" si="3"/>
        <v>10.165009445117619</v>
      </c>
      <c r="D88" s="3">
        <f t="shared" si="2"/>
        <v>3.8796581169394953E-2</v>
      </c>
      <c r="E88" s="3">
        <f>Ft!$B$12+Ft!$B$14*(Data!A88-Vars!$B$3)</f>
        <v>-200</v>
      </c>
      <c r="F88" s="3">
        <f>IF(($A88-Ft!B$2)&lt;0,Ft!B$3*((1-Ft!B$6)/(1+Ft!B$37*($A88-Ft!B$2)^2)+Ft!B$6*EXP(Ft!B$38*($A88-Ft!B$2)^2)),Ft!B$3*((1-Ft!B$7)/(1+Ft!B$39*($A88-Ft!B$2)^2)+Ft!B$7*EXP(Ft!B$40*($A88-Ft!B$2)^2)))</f>
        <v>124.67069034733215</v>
      </c>
      <c r="G88" s="3">
        <f>IF(($A88-Ft!C$2)&lt;0,Ft!C$3*((1-Ft!C$6)/(1+Ft!C$37*($A88-Ft!C$2)^2)+Ft!C$6*EXP(Ft!C$38*($A88-Ft!C$2)^2)),Ft!C$3*((1-Ft!C$7)/(1+Ft!C$39*($A88-Ft!C$2)^2)+Ft!C$7*EXP(Ft!C$40*($A88-Ft!C$2)^2)))</f>
        <v>31.27583688871708</v>
      </c>
      <c r="H88" s="3">
        <f>IF(($A88-Ft!D$2)&lt;0,Ft!D$3*((1-Ft!D$6)/(1+Ft!D$37*($A88-Ft!D$2)^2)+Ft!D$6*EXP(Ft!D$38*($A88-Ft!D$2)^2)),Ft!D$3*((1-Ft!D$7)/(1+Ft!D$39*($A88-Ft!D$2)^2)+Ft!D$7*EXP(Ft!D$40*($A88-Ft!D$2)^2)))</f>
        <v>5.7842697357199213E-21</v>
      </c>
      <c r="I88" s="3">
        <f>IF(($A88-Ft!E$2)&lt;0,Ft!E$3*((1-Ft!E$6)/(1+Ft!E$37*($A88-Ft!E$2)^2)+Ft!E$6*EXP(Ft!E$38*($A88-Ft!E$2)^2)),Ft!E$3*((1-Ft!E$7)/(1+Ft!E$39*($A88-Ft!E$2)^2)+Ft!E$7*EXP(Ft!E$40*($A88-Ft!E$2)^2)))</f>
        <v>12.788672244611046</v>
      </c>
      <c r="J88" s="3">
        <f>IF(($A88-Ft!F$2)&lt;0,Ft!F$3*((1-Ft!F$6)/(1+Ft!F$37*($A88-Ft!F$2)^2)+Ft!F$6*EXP(Ft!F$38*($A88-Ft!F$2)^2)),Ft!F$3*((1-Ft!F$7)/(1+Ft!F$39*($A88-Ft!F$2)^2)+Ft!F$7*EXP(Ft!F$40*($A88-Ft!F$2)^2)))</f>
        <v>9.5778684733970572</v>
      </c>
      <c r="K88" s="3">
        <f>IF(($A88-Ft!G$2)&lt;0,Ft!G$3*((1-Ft!G$6)/(1+Ft!G$37*($A88-Ft!G$2)^2)+Ft!G$6*EXP(Ft!G$38*($A88-Ft!G$2)^2)),Ft!G$3*((1-Ft!G$7)/(1+Ft!G$39*($A88-Ft!G$2)^2)+Ft!G$7*EXP(Ft!G$40*($A88-Ft!G$2)^2)))</f>
        <v>31.85194149106028</v>
      </c>
      <c r="L88" s="3">
        <f>IF(($A88-Ft!H$2)&lt;0,Ft!H$3*((1-Ft!H$6)/(1+Ft!H$37*($A88-Ft!H$2)^2)+Ft!H$6*EXP(Ft!H$38*($A88-Ft!H$2)^2)),Ft!H$3*((1-Ft!H$7)/(1+Ft!H$39*($A88-Ft!H$2)^2)+Ft!H$7*EXP(Ft!H$40*($A88-Ft!H$2)^2)))</f>
        <v>0</v>
      </c>
      <c r="M88" s="3">
        <f>IF(($A88-Ft!I$2)&lt;0,Ft!I$3*((1-Ft!I$6)/(1+Ft!I$37*($A88-Ft!I$2)^2)+Ft!I$6*EXP(Ft!I$38*($A88-Ft!I$2)^2)),Ft!I$3*((1-Ft!I$7)/(1+Ft!I$39*($A88-Ft!I$2)^2)+Ft!I$7*EXP(Ft!I$40*($A88-Ft!I$2)^2)))</f>
        <v>0</v>
      </c>
      <c r="N88" s="3">
        <f>IF(($A88-Ft!J$2)&lt;0,Ft!J$3*((1-Ft!J$6)/(1+Ft!J$37*($A88-Ft!J$2)^2)+Ft!J$6*EXP(Ft!J$38*($A88-Ft!J$2)^2)),Ft!J$3*((1-Ft!J$7)/(1+Ft!J$39*($A88-Ft!J$2)^2)+Ft!J$7*EXP(Ft!J$40*($A88-Ft!J$2)^2)))</f>
        <v>0</v>
      </c>
      <c r="O88" s="3">
        <f>IF(($A88-Ft!K$2)&lt;0,Ft!K$3*((1-Ft!K$6)/(1+Ft!K$37*($A88-Ft!K$2)^2)+Ft!K$6*EXP(Ft!K$38*($A88-Ft!K$2)^2)),Ft!K$3*((1-Ft!K$7)/(1+Ft!K$39*($A88-Ft!K$2)^2)+Ft!K$7*EXP(Ft!K$40*($A88-Ft!K$2)^2)))</f>
        <v>0</v>
      </c>
      <c r="P88"/>
      <c r="Q88"/>
    </row>
    <row r="89" spans="1:17">
      <c r="A89" s="20">
        <v>175</v>
      </c>
      <c r="B89" s="29">
        <v>10.586969348914252</v>
      </c>
      <c r="C89" s="7">
        <f t="shared" si="3"/>
        <v>10.383422257409094</v>
      </c>
      <c r="D89" s="3">
        <f t="shared" si="2"/>
        <v>4.1431418460209E-2</v>
      </c>
      <c r="E89" s="3">
        <f>Ft!$B$12+Ft!$B$14*(Data!A89-Vars!$B$3)</f>
        <v>-200</v>
      </c>
      <c r="F89" s="3">
        <f>IF(($A89-Ft!B$2)&lt;0,Ft!B$3*((1-Ft!B$6)/(1+Ft!B$37*($A89-Ft!B$2)^2)+Ft!B$6*EXP(Ft!B$38*($A89-Ft!B$2)^2)),Ft!B$3*((1-Ft!B$7)/(1+Ft!B$39*($A89-Ft!B$2)^2)+Ft!B$7*EXP(Ft!B$40*($A89-Ft!B$2)^2)))</f>
        <v>124.20068267219459</v>
      </c>
      <c r="G89" s="3">
        <f>IF(($A89-Ft!C$2)&lt;0,Ft!C$3*((1-Ft!C$6)/(1+Ft!C$37*($A89-Ft!C$2)^2)+Ft!C$6*EXP(Ft!C$38*($A89-Ft!C$2)^2)),Ft!C$3*((1-Ft!C$7)/(1+Ft!C$39*($A89-Ft!C$2)^2)+Ft!C$7*EXP(Ft!C$40*($A89-Ft!C$2)^2)))</f>
        <v>31.37661086298365</v>
      </c>
      <c r="H89" s="3">
        <f>IF(($A89-Ft!D$2)&lt;0,Ft!D$3*((1-Ft!D$6)/(1+Ft!D$37*($A89-Ft!D$2)^2)+Ft!D$6*EXP(Ft!D$38*($A89-Ft!D$2)^2)),Ft!D$3*((1-Ft!D$7)/(1+Ft!D$39*($A89-Ft!D$2)^2)+Ft!D$7*EXP(Ft!D$40*($A89-Ft!D$2)^2)))</f>
        <v>1.1870537260947975E-20</v>
      </c>
      <c r="I89" s="3">
        <f>IF(($A89-Ft!E$2)&lt;0,Ft!E$3*((1-Ft!E$6)/(1+Ft!E$37*($A89-Ft!E$2)^2)+Ft!E$6*EXP(Ft!E$38*($A89-Ft!E$2)^2)),Ft!E$3*((1-Ft!E$7)/(1+Ft!E$39*($A89-Ft!E$2)^2)+Ft!E$7*EXP(Ft!E$40*($A89-Ft!E$2)^2)))</f>
        <v>12.992659112065468</v>
      </c>
      <c r="J89" s="3">
        <f>IF(($A89-Ft!F$2)&lt;0,Ft!F$3*((1-Ft!F$6)/(1+Ft!F$37*($A89-Ft!F$2)^2)+Ft!F$6*EXP(Ft!F$38*($A89-Ft!F$2)^2)),Ft!F$3*((1-Ft!F$7)/(1+Ft!F$39*($A89-Ft!F$2)^2)+Ft!F$7*EXP(Ft!F$40*($A89-Ft!F$2)^2)))</f>
        <v>9.6598323643067285</v>
      </c>
      <c r="K89" s="3">
        <f>IF(($A89-Ft!G$2)&lt;0,Ft!G$3*((1-Ft!G$6)/(1+Ft!G$37*($A89-Ft!G$2)^2)+Ft!G$6*EXP(Ft!G$38*($A89-Ft!G$2)^2)),Ft!G$3*((1-Ft!G$7)/(1+Ft!G$39*($A89-Ft!G$2)^2)+Ft!G$7*EXP(Ft!G$40*($A89-Ft!G$2)^2)))</f>
        <v>32.153637245858654</v>
      </c>
      <c r="L89" s="3">
        <f>IF(($A89-Ft!H$2)&lt;0,Ft!H$3*((1-Ft!H$6)/(1+Ft!H$37*($A89-Ft!H$2)^2)+Ft!H$6*EXP(Ft!H$38*($A89-Ft!H$2)^2)),Ft!H$3*((1-Ft!H$7)/(1+Ft!H$39*($A89-Ft!H$2)^2)+Ft!H$7*EXP(Ft!H$40*($A89-Ft!H$2)^2)))</f>
        <v>0</v>
      </c>
      <c r="M89" s="3">
        <f>IF(($A89-Ft!I$2)&lt;0,Ft!I$3*((1-Ft!I$6)/(1+Ft!I$37*($A89-Ft!I$2)^2)+Ft!I$6*EXP(Ft!I$38*($A89-Ft!I$2)^2)),Ft!I$3*((1-Ft!I$7)/(1+Ft!I$39*($A89-Ft!I$2)^2)+Ft!I$7*EXP(Ft!I$40*($A89-Ft!I$2)^2)))</f>
        <v>0</v>
      </c>
      <c r="N89" s="3">
        <f>IF(($A89-Ft!J$2)&lt;0,Ft!J$3*((1-Ft!J$6)/(1+Ft!J$37*($A89-Ft!J$2)^2)+Ft!J$6*EXP(Ft!J$38*($A89-Ft!J$2)^2)),Ft!J$3*((1-Ft!J$7)/(1+Ft!J$39*($A89-Ft!J$2)^2)+Ft!J$7*EXP(Ft!J$40*($A89-Ft!J$2)^2)))</f>
        <v>0</v>
      </c>
      <c r="O89" s="3">
        <f>IF(($A89-Ft!K$2)&lt;0,Ft!K$3*((1-Ft!K$6)/(1+Ft!K$37*($A89-Ft!K$2)^2)+Ft!K$6*EXP(Ft!K$38*($A89-Ft!K$2)^2)),Ft!K$3*((1-Ft!K$7)/(1+Ft!K$39*($A89-Ft!K$2)^2)+Ft!K$7*EXP(Ft!K$40*($A89-Ft!K$2)^2)))</f>
        <v>0</v>
      </c>
      <c r="P89"/>
      <c r="Q89"/>
    </row>
    <row r="90" spans="1:17">
      <c r="A90" s="20">
        <v>177</v>
      </c>
      <c r="B90" s="29">
        <v>10.812377384043579</v>
      </c>
      <c r="C90" s="7">
        <f t="shared" si="3"/>
        <v>10.603842098429077</v>
      </c>
      <c r="D90" s="3">
        <f t="shared" si="2"/>
        <v>4.3486965346322001E-2</v>
      </c>
      <c r="E90" s="3">
        <f>Ft!$B$12+Ft!$B$14*(Data!A90-Vars!$B$3)</f>
        <v>-200</v>
      </c>
      <c r="F90" s="3">
        <f>IF(($A90-Ft!B$2)&lt;0,Ft!B$3*((1-Ft!B$6)/(1+Ft!B$37*($A90-Ft!B$2)^2)+Ft!B$6*EXP(Ft!B$38*($A90-Ft!B$2)^2)),Ft!B$3*((1-Ft!B$7)/(1+Ft!B$39*($A90-Ft!B$2)^2)+Ft!B$7*EXP(Ft!B$40*($A90-Ft!B$2)^2)))</f>
        <v>123.73008529580507</v>
      </c>
      <c r="G90" s="3">
        <f>IF(($A90-Ft!C$2)&lt;0,Ft!C$3*((1-Ft!C$6)/(1+Ft!C$37*($A90-Ft!C$2)^2)+Ft!C$6*EXP(Ft!C$38*($A90-Ft!C$2)^2)),Ft!C$3*((1-Ft!C$7)/(1+Ft!C$39*($A90-Ft!C$2)^2)+Ft!C$7*EXP(Ft!C$40*($A90-Ft!C$2)^2)))</f>
        <v>31.477431412715134</v>
      </c>
      <c r="H90" s="3">
        <f>IF(($A90-Ft!D$2)&lt;0,Ft!D$3*((1-Ft!D$6)/(1+Ft!D$37*($A90-Ft!D$2)^2)+Ft!D$6*EXP(Ft!D$38*($A90-Ft!D$2)^2)),Ft!D$3*((1-Ft!D$7)/(1+Ft!D$39*($A90-Ft!D$2)^2)+Ft!D$7*EXP(Ft!D$40*($A90-Ft!D$2)^2)))</f>
        <v>2.4226813784997209E-20</v>
      </c>
      <c r="I90" s="3">
        <f>IF(($A90-Ft!E$2)&lt;0,Ft!E$3*((1-Ft!E$6)/(1+Ft!E$37*($A90-Ft!E$2)^2)+Ft!E$6*EXP(Ft!E$38*($A90-Ft!E$2)^2)),Ft!E$3*((1-Ft!E$7)/(1+Ft!E$39*($A90-Ft!E$2)^2)+Ft!E$7*EXP(Ft!E$40*($A90-Ft!E$2)^2)))</f>
        <v>13.199134363928863</v>
      </c>
      <c r="J90" s="3">
        <f>IF(($A90-Ft!F$2)&lt;0,Ft!F$3*((1-Ft!F$6)/(1+Ft!F$37*($A90-Ft!F$2)^2)+Ft!F$6*EXP(Ft!F$38*($A90-Ft!F$2)^2)),Ft!F$3*((1-Ft!F$7)/(1+Ft!F$39*($A90-Ft!F$2)^2)+Ft!F$7*EXP(Ft!F$40*($A90-Ft!F$2)^2)))</f>
        <v>9.7423693601497252</v>
      </c>
      <c r="K90" s="3">
        <f>IF(($A90-Ft!G$2)&lt;0,Ft!G$3*((1-Ft!G$6)/(1+Ft!G$37*($A90-Ft!G$2)^2)+Ft!G$6*EXP(Ft!G$38*($A90-Ft!G$2)^2)),Ft!G$3*((1-Ft!G$7)/(1+Ft!G$39*($A90-Ft!G$2)^2)+Ft!G$7*EXP(Ft!G$40*($A90-Ft!G$2)^2)))</f>
        <v>32.454821665830288</v>
      </c>
      <c r="L90" s="3">
        <f>IF(($A90-Ft!H$2)&lt;0,Ft!H$3*((1-Ft!H$6)/(1+Ft!H$37*($A90-Ft!H$2)^2)+Ft!H$6*EXP(Ft!H$38*($A90-Ft!H$2)^2)),Ft!H$3*((1-Ft!H$7)/(1+Ft!H$39*($A90-Ft!H$2)^2)+Ft!H$7*EXP(Ft!H$40*($A90-Ft!H$2)^2)))</f>
        <v>0</v>
      </c>
      <c r="M90" s="3">
        <f>IF(($A90-Ft!I$2)&lt;0,Ft!I$3*((1-Ft!I$6)/(1+Ft!I$37*($A90-Ft!I$2)^2)+Ft!I$6*EXP(Ft!I$38*($A90-Ft!I$2)^2)),Ft!I$3*((1-Ft!I$7)/(1+Ft!I$39*($A90-Ft!I$2)^2)+Ft!I$7*EXP(Ft!I$40*($A90-Ft!I$2)^2)))</f>
        <v>0</v>
      </c>
      <c r="N90" s="3">
        <f>IF(($A90-Ft!J$2)&lt;0,Ft!J$3*((1-Ft!J$6)/(1+Ft!J$37*($A90-Ft!J$2)^2)+Ft!J$6*EXP(Ft!J$38*($A90-Ft!J$2)^2)),Ft!J$3*((1-Ft!J$7)/(1+Ft!J$39*($A90-Ft!J$2)^2)+Ft!J$7*EXP(Ft!J$40*($A90-Ft!J$2)^2)))</f>
        <v>0</v>
      </c>
      <c r="O90" s="3">
        <f>IF(($A90-Ft!K$2)&lt;0,Ft!K$3*((1-Ft!K$6)/(1+Ft!K$37*($A90-Ft!K$2)^2)+Ft!K$6*EXP(Ft!K$38*($A90-Ft!K$2)^2)),Ft!K$3*((1-Ft!K$7)/(1+Ft!K$39*($A90-Ft!K$2)^2)+Ft!K$7*EXP(Ft!K$40*($A90-Ft!K$2)^2)))</f>
        <v>0</v>
      </c>
      <c r="P90"/>
      <c r="Q90"/>
    </row>
    <row r="91" spans="1:17">
      <c r="A91" s="20">
        <v>179</v>
      </c>
      <c r="B91" s="29">
        <v>11.038201695367945</v>
      </c>
      <c r="C91" s="7">
        <f t="shared" si="3"/>
        <v>10.826238018563181</v>
      </c>
      <c r="D91" s="3">
        <f t="shared" si="2"/>
        <v>4.4928600284594507E-2</v>
      </c>
      <c r="E91" s="3">
        <f>Ft!$B$12+Ft!$B$14*(Data!A91-Vars!$B$3)</f>
        <v>-200</v>
      </c>
      <c r="F91" s="3">
        <f>IF(($A91-Ft!B$2)&lt;0,Ft!B$3*((1-Ft!B$6)/(1+Ft!B$37*($A91-Ft!B$2)^2)+Ft!B$6*EXP(Ft!B$38*($A91-Ft!B$2)^2)),Ft!B$3*((1-Ft!B$7)/(1+Ft!B$39*($A91-Ft!B$2)^2)+Ft!B$7*EXP(Ft!B$40*($A91-Ft!B$2)^2)))</f>
        <v>123.25891838268547</v>
      </c>
      <c r="G91" s="3">
        <f>IF(($A91-Ft!C$2)&lt;0,Ft!C$3*((1-Ft!C$6)/(1+Ft!C$37*($A91-Ft!C$2)^2)+Ft!C$6*EXP(Ft!C$38*($A91-Ft!C$2)^2)),Ft!C$3*((1-Ft!C$7)/(1+Ft!C$39*($A91-Ft!C$2)^2)+Ft!C$7*EXP(Ft!C$40*($A91-Ft!C$2)^2)))</f>
        <v>31.57829690306</v>
      </c>
      <c r="H91" s="3">
        <f>IF(($A91-Ft!D$2)&lt;0,Ft!D$3*((1-Ft!D$6)/(1+Ft!D$37*($A91-Ft!D$2)^2)+Ft!D$6*EXP(Ft!D$38*($A91-Ft!D$2)^2)),Ft!D$3*((1-Ft!D$7)/(1+Ft!D$39*($A91-Ft!D$2)^2)+Ft!D$7*EXP(Ft!D$40*($A91-Ft!D$2)^2)))</f>
        <v>4.9172955715441589E-20</v>
      </c>
      <c r="I91" s="3">
        <f>IF(($A91-Ft!E$2)&lt;0,Ft!E$3*((1-Ft!E$6)/(1+Ft!E$37*($A91-Ft!E$2)^2)+Ft!E$6*EXP(Ft!E$38*($A91-Ft!E$2)^2)),Ft!E$3*((1-Ft!E$7)/(1+Ft!E$39*($A91-Ft!E$2)^2)+Ft!E$7*EXP(Ft!E$40*($A91-Ft!E$2)^2)))</f>
        <v>13.408113411823978</v>
      </c>
      <c r="J91" s="3">
        <f>IF(($A91-Ft!F$2)&lt;0,Ft!F$3*((1-Ft!F$6)/(1+Ft!F$37*($A91-Ft!F$2)^2)+Ft!F$6*EXP(Ft!F$38*($A91-Ft!F$2)^2)),Ft!F$3*((1-Ft!F$7)/(1+Ft!F$39*($A91-Ft!F$2)^2)+Ft!F$7*EXP(Ft!F$40*($A91-Ft!F$2)^2)))</f>
        <v>9.8254821743665683</v>
      </c>
      <c r="K91" s="3">
        <f>IF(($A91-Ft!G$2)&lt;0,Ft!G$3*((1-Ft!G$6)/(1+Ft!G$37*($A91-Ft!G$2)^2)+Ft!G$6*EXP(Ft!G$38*($A91-Ft!G$2)^2)),Ft!G$3*((1-Ft!G$7)/(1+Ft!G$39*($A91-Ft!G$2)^2)+Ft!G$7*EXP(Ft!G$40*($A91-Ft!G$2)^2)))</f>
        <v>32.75542714662717</v>
      </c>
      <c r="L91" s="3">
        <f>IF(($A91-Ft!H$2)&lt;0,Ft!H$3*((1-Ft!H$6)/(1+Ft!H$37*($A91-Ft!H$2)^2)+Ft!H$6*EXP(Ft!H$38*($A91-Ft!H$2)^2)),Ft!H$3*((1-Ft!H$7)/(1+Ft!H$39*($A91-Ft!H$2)^2)+Ft!H$7*EXP(Ft!H$40*($A91-Ft!H$2)^2)))</f>
        <v>0</v>
      </c>
      <c r="M91" s="3">
        <f>IF(($A91-Ft!I$2)&lt;0,Ft!I$3*((1-Ft!I$6)/(1+Ft!I$37*($A91-Ft!I$2)^2)+Ft!I$6*EXP(Ft!I$38*($A91-Ft!I$2)^2)),Ft!I$3*((1-Ft!I$7)/(1+Ft!I$39*($A91-Ft!I$2)^2)+Ft!I$7*EXP(Ft!I$40*($A91-Ft!I$2)^2)))</f>
        <v>0</v>
      </c>
      <c r="N91" s="3">
        <f>IF(($A91-Ft!J$2)&lt;0,Ft!J$3*((1-Ft!J$6)/(1+Ft!J$37*($A91-Ft!J$2)^2)+Ft!J$6*EXP(Ft!J$38*($A91-Ft!J$2)^2)),Ft!J$3*((1-Ft!J$7)/(1+Ft!J$39*($A91-Ft!J$2)^2)+Ft!J$7*EXP(Ft!J$40*($A91-Ft!J$2)^2)))</f>
        <v>0</v>
      </c>
      <c r="O91" s="3">
        <f>IF(($A91-Ft!K$2)&lt;0,Ft!K$3*((1-Ft!K$6)/(1+Ft!K$37*($A91-Ft!K$2)^2)+Ft!K$6*EXP(Ft!K$38*($A91-Ft!K$2)^2)),Ft!K$3*((1-Ft!K$7)/(1+Ft!K$39*($A91-Ft!K$2)^2)+Ft!K$7*EXP(Ft!K$40*($A91-Ft!K$2)^2)))</f>
        <v>0</v>
      </c>
      <c r="P91"/>
      <c r="Q91"/>
    </row>
    <row r="92" spans="1:17">
      <c r="A92" s="20">
        <v>181</v>
      </c>
      <c r="B92" s="29">
        <v>11.264442582838463</v>
      </c>
      <c r="C92" s="7">
        <f t="shared" si="3"/>
        <v>11.05057837495098</v>
      </c>
      <c r="D92" s="3">
        <f t="shared" si="2"/>
        <v>4.5737899415340288E-2</v>
      </c>
      <c r="E92" s="3">
        <f>Ft!$B$12+Ft!$B$14*(Data!A92-Vars!$B$3)</f>
        <v>-200</v>
      </c>
      <c r="F92" s="3">
        <f>IF(($A92-Ft!B$2)&lt;0,Ft!B$3*((1-Ft!B$6)/(1+Ft!B$37*($A92-Ft!B$2)^2)+Ft!B$6*EXP(Ft!B$38*($A92-Ft!B$2)^2)),Ft!B$3*((1-Ft!B$7)/(1+Ft!B$39*($A92-Ft!B$2)^2)+Ft!B$7*EXP(Ft!B$40*($A92-Ft!B$2)^2)))</f>
        <v>122.78720205331234</v>
      </c>
      <c r="G92" s="3">
        <f>IF(($A92-Ft!C$2)&lt;0,Ft!C$3*((1-Ft!C$6)/(1+Ft!C$37*($A92-Ft!C$2)^2)+Ft!C$6*EXP(Ft!C$38*($A92-Ft!C$2)^2)),Ft!C$3*((1-Ft!C$7)/(1+Ft!C$39*($A92-Ft!C$2)^2)+Ft!C$7*EXP(Ft!C$40*($A92-Ft!C$2)^2)))</f>
        <v>31.679205692727653</v>
      </c>
      <c r="H92" s="3">
        <f>IF(($A92-Ft!D$2)&lt;0,Ft!D$3*((1-Ft!D$6)/(1+Ft!D$37*($A92-Ft!D$2)^2)+Ft!D$6*EXP(Ft!D$38*($A92-Ft!D$2)^2)),Ft!D$3*((1-Ft!D$7)/(1+Ft!D$39*($A92-Ft!D$2)^2)+Ft!D$7*EXP(Ft!D$40*($A92-Ft!D$2)^2)))</f>
        <v>9.9256832924765928E-20</v>
      </c>
      <c r="I92" s="3">
        <f>IF(($A92-Ft!E$2)&lt;0,Ft!E$3*((1-Ft!E$6)/(1+Ft!E$37*($A92-Ft!E$2)^2)+Ft!E$6*EXP(Ft!E$38*($A92-Ft!E$2)^2)),Ft!E$3*((1-Ft!E$7)/(1+Ft!E$39*($A92-Ft!E$2)^2)+Ft!E$7*EXP(Ft!E$40*($A92-Ft!E$2)^2)))</f>
        <v>13.619611472881751</v>
      </c>
      <c r="J92" s="3">
        <f>IF(($A92-Ft!F$2)&lt;0,Ft!F$3*((1-Ft!F$6)/(1+Ft!F$37*($A92-Ft!F$2)^2)+Ft!F$6*EXP(Ft!F$38*($A92-Ft!F$2)^2)),Ft!F$3*((1-Ft!F$7)/(1+Ft!F$39*($A92-Ft!F$2)^2)+Ft!F$7*EXP(Ft!F$40*($A92-Ft!F$2)^2)))</f>
        <v>9.9091735207161538</v>
      </c>
      <c r="K92" s="3">
        <f>IF(($A92-Ft!G$2)&lt;0,Ft!G$3*((1-Ft!G$6)/(1+Ft!G$37*($A92-Ft!G$2)^2)+Ft!G$6*EXP(Ft!G$38*($A92-Ft!G$2)^2)),Ft!G$3*((1-Ft!G$7)/(1+Ft!G$39*($A92-Ft!G$2)^2)+Ft!G$7*EXP(Ft!G$40*($A92-Ft!G$2)^2)))</f>
        <v>33.055385635313087</v>
      </c>
      <c r="L92" s="3">
        <f>IF(($A92-Ft!H$2)&lt;0,Ft!H$3*((1-Ft!H$6)/(1+Ft!H$37*($A92-Ft!H$2)^2)+Ft!H$6*EXP(Ft!H$38*($A92-Ft!H$2)^2)),Ft!H$3*((1-Ft!H$7)/(1+Ft!H$39*($A92-Ft!H$2)^2)+Ft!H$7*EXP(Ft!H$40*($A92-Ft!H$2)^2)))</f>
        <v>0</v>
      </c>
      <c r="M92" s="3">
        <f>IF(($A92-Ft!I$2)&lt;0,Ft!I$3*((1-Ft!I$6)/(1+Ft!I$37*($A92-Ft!I$2)^2)+Ft!I$6*EXP(Ft!I$38*($A92-Ft!I$2)^2)),Ft!I$3*((1-Ft!I$7)/(1+Ft!I$39*($A92-Ft!I$2)^2)+Ft!I$7*EXP(Ft!I$40*($A92-Ft!I$2)^2)))</f>
        <v>0</v>
      </c>
      <c r="N92" s="3">
        <f>IF(($A92-Ft!J$2)&lt;0,Ft!J$3*((1-Ft!J$6)/(1+Ft!J$37*($A92-Ft!J$2)^2)+Ft!J$6*EXP(Ft!J$38*($A92-Ft!J$2)^2)),Ft!J$3*((1-Ft!J$7)/(1+Ft!J$39*($A92-Ft!J$2)^2)+Ft!J$7*EXP(Ft!J$40*($A92-Ft!J$2)^2)))</f>
        <v>0</v>
      </c>
      <c r="O92" s="3">
        <f>IF(($A92-Ft!K$2)&lt;0,Ft!K$3*((1-Ft!K$6)/(1+Ft!K$37*($A92-Ft!K$2)^2)+Ft!K$6*EXP(Ft!K$38*($A92-Ft!K$2)^2)),Ft!K$3*((1-Ft!K$7)/(1+Ft!K$39*($A92-Ft!K$2)^2)+Ft!K$7*EXP(Ft!K$40*($A92-Ft!K$2)^2)))</f>
        <v>0</v>
      </c>
      <c r="P92"/>
      <c r="Q92"/>
    </row>
    <row r="93" spans="1:17">
      <c r="A93" s="20">
        <v>183</v>
      </c>
      <c r="B93" s="29">
        <v>11.491101070806351</v>
      </c>
      <c r="C93" s="7">
        <f t="shared" si="3"/>
        <v>11.27683084760961</v>
      </c>
      <c r="D93" s="3">
        <f t="shared" si="2"/>
        <v>4.5911728548781609E-2</v>
      </c>
      <c r="E93" s="3">
        <f>Ft!$B$12+Ft!$B$14*(Data!A93-Vars!$B$3)</f>
        <v>-200</v>
      </c>
      <c r="F93" s="3">
        <f>IF(($A93-Ft!B$2)&lt;0,Ft!B$3*((1-Ft!B$6)/(1+Ft!B$37*($A93-Ft!B$2)^2)+Ft!B$6*EXP(Ft!B$38*($A93-Ft!B$2)^2)),Ft!B$3*((1-Ft!B$7)/(1+Ft!B$39*($A93-Ft!B$2)^2)+Ft!B$7*EXP(Ft!B$40*($A93-Ft!B$2)^2)))</f>
        <v>122.31495638275129</v>
      </c>
      <c r="G93" s="3">
        <f>IF(($A93-Ft!C$2)&lt;0,Ft!C$3*((1-Ft!C$6)/(1+Ft!C$37*($A93-Ft!C$2)^2)+Ft!C$6*EXP(Ft!C$38*($A93-Ft!C$2)^2)),Ft!C$3*((1-Ft!C$7)/(1+Ft!C$39*($A93-Ft!C$2)^2)+Ft!C$7*EXP(Ft!C$40*($A93-Ft!C$2)^2)))</f>
        <v>31.780156134025898</v>
      </c>
      <c r="H93" s="3">
        <f>IF(($A93-Ft!D$2)&lt;0,Ft!D$3*((1-Ft!D$6)/(1+Ft!D$37*($A93-Ft!D$2)^2)+Ft!D$6*EXP(Ft!D$38*($A93-Ft!D$2)^2)),Ft!D$3*((1-Ft!D$7)/(1+Ft!D$39*($A93-Ft!D$2)^2)+Ft!D$7*EXP(Ft!D$40*($A93-Ft!D$2)^2)))</f>
        <v>1.9925012408231261E-19</v>
      </c>
      <c r="I93" s="3">
        <f>IF(($A93-Ft!E$2)&lt;0,Ft!E$3*((1-Ft!E$6)/(1+Ft!E$37*($A93-Ft!E$2)^2)+Ft!E$6*EXP(Ft!E$38*($A93-Ft!E$2)^2)),Ft!E$3*((1-Ft!E$7)/(1+Ft!E$39*($A93-Ft!E$2)^2)+Ft!E$7*EXP(Ft!E$40*($A93-Ft!E$2)^2)))</f>
        <v>13.833643563105069</v>
      </c>
      <c r="J93" s="3">
        <f>IF(($A93-Ft!F$2)&lt;0,Ft!F$3*((1-Ft!F$6)/(1+Ft!F$37*($A93-Ft!F$2)^2)+Ft!F$6*EXP(Ft!F$38*($A93-Ft!F$2)^2)),Ft!F$3*((1-Ft!F$7)/(1+Ft!F$39*($A93-Ft!F$2)^2)+Ft!F$7*EXP(Ft!F$40*($A93-Ft!F$2)^2)))</f>
        <v>9.9934461131348638</v>
      </c>
      <c r="K93" s="3">
        <f>IF(($A93-Ft!G$2)&lt;0,Ft!G$3*((1-Ft!G$6)/(1+Ft!G$37*($A93-Ft!G$2)^2)+Ft!G$6*EXP(Ft!G$38*($A93-Ft!G$2)^2)),Ft!G$3*((1-Ft!G$7)/(1+Ft!G$39*($A93-Ft!G$2)^2)+Ft!G$7*EXP(Ft!G$40*($A93-Ft!G$2)^2)))</f>
        <v>33.354628654592481</v>
      </c>
      <c r="L93" s="3">
        <f>IF(($A93-Ft!H$2)&lt;0,Ft!H$3*((1-Ft!H$6)/(1+Ft!H$37*($A93-Ft!H$2)^2)+Ft!H$6*EXP(Ft!H$38*($A93-Ft!H$2)^2)),Ft!H$3*((1-Ft!H$7)/(1+Ft!H$39*($A93-Ft!H$2)^2)+Ft!H$7*EXP(Ft!H$40*($A93-Ft!H$2)^2)))</f>
        <v>0</v>
      </c>
      <c r="M93" s="3">
        <f>IF(($A93-Ft!I$2)&lt;0,Ft!I$3*((1-Ft!I$6)/(1+Ft!I$37*($A93-Ft!I$2)^2)+Ft!I$6*EXP(Ft!I$38*($A93-Ft!I$2)^2)),Ft!I$3*((1-Ft!I$7)/(1+Ft!I$39*($A93-Ft!I$2)^2)+Ft!I$7*EXP(Ft!I$40*($A93-Ft!I$2)^2)))</f>
        <v>0</v>
      </c>
      <c r="N93" s="3">
        <f>IF(($A93-Ft!J$2)&lt;0,Ft!J$3*((1-Ft!J$6)/(1+Ft!J$37*($A93-Ft!J$2)^2)+Ft!J$6*EXP(Ft!J$38*($A93-Ft!J$2)^2)),Ft!J$3*((1-Ft!J$7)/(1+Ft!J$39*($A93-Ft!J$2)^2)+Ft!J$7*EXP(Ft!J$40*($A93-Ft!J$2)^2)))</f>
        <v>0</v>
      </c>
      <c r="O93" s="3">
        <f>IF(($A93-Ft!K$2)&lt;0,Ft!K$3*((1-Ft!K$6)/(1+Ft!K$37*($A93-Ft!K$2)^2)+Ft!K$6*EXP(Ft!K$38*($A93-Ft!K$2)^2)),Ft!K$3*((1-Ft!K$7)/(1+Ft!K$39*($A93-Ft!K$2)^2)+Ft!K$7*EXP(Ft!K$40*($A93-Ft!K$2)^2)))</f>
        <v>0</v>
      </c>
      <c r="P93"/>
      <c r="Q93"/>
    </row>
    <row r="94" spans="1:17">
      <c r="A94" s="20">
        <v>185</v>
      </c>
      <c r="B94" s="29">
        <v>11.718179008736726</v>
      </c>
      <c r="C94" s="7">
        <f t="shared" si="3"/>
        <v>11.504962455964566</v>
      </c>
      <c r="D94" s="3">
        <f t="shared" si="2"/>
        <v>4.5461298376043152E-2</v>
      </c>
      <c r="E94" s="3">
        <f>Ft!$B$12+Ft!$B$14*(Data!A94-Vars!$B$3)</f>
        <v>-200</v>
      </c>
      <c r="F94" s="3">
        <f>IF(($A94-Ft!B$2)&lt;0,Ft!B$3*((1-Ft!B$6)/(1+Ft!B$37*($A94-Ft!B$2)^2)+Ft!B$6*EXP(Ft!B$38*($A94-Ft!B$2)^2)),Ft!B$3*((1-Ft!B$7)/(1+Ft!B$39*($A94-Ft!B$2)^2)+Ft!B$7*EXP(Ft!B$40*($A94-Ft!B$2)^2)))</f>
        <v>121.84220139930113</v>
      </c>
      <c r="G94" s="3">
        <f>IF(($A94-Ft!C$2)&lt;0,Ft!C$3*((1-Ft!C$6)/(1+Ft!C$37*($A94-Ft!C$2)^2)+Ft!C$6*EXP(Ft!C$38*($A94-Ft!C$2)^2)),Ft!C$3*((1-Ft!C$7)/(1+Ft!C$39*($A94-Ft!C$2)^2)+Ft!C$7*EXP(Ft!C$40*($A94-Ft!C$2)^2)))</f>
        <v>31.881146572898803</v>
      </c>
      <c r="H94" s="3">
        <f>IF(($A94-Ft!D$2)&lt;0,Ft!D$3*((1-Ft!D$6)/(1+Ft!D$37*($A94-Ft!D$2)^2)+Ft!D$6*EXP(Ft!D$38*($A94-Ft!D$2)^2)),Ft!D$3*((1-Ft!D$7)/(1+Ft!D$39*($A94-Ft!D$2)^2)+Ft!D$7*EXP(Ft!D$40*($A94-Ft!D$2)^2)))</f>
        <v>3.9777810499750928E-19</v>
      </c>
      <c r="I94" s="3">
        <f>IF(($A94-Ft!E$2)&lt;0,Ft!E$3*((1-Ft!E$6)/(1+Ft!E$37*($A94-Ft!E$2)^2)+Ft!E$6*EXP(Ft!E$38*($A94-Ft!E$2)^2)),Ft!E$3*((1-Ft!E$7)/(1+Ft!E$39*($A94-Ft!E$2)^2)+Ft!E$7*EXP(Ft!E$40*($A94-Ft!E$2)^2)))</f>
        <v>14.050224490686443</v>
      </c>
      <c r="J94" s="3">
        <f>IF(($A94-Ft!F$2)&lt;0,Ft!F$3*((1-Ft!F$6)/(1+Ft!F$37*($A94-Ft!F$2)^2)+Ft!F$6*EXP(Ft!F$38*($A94-Ft!F$2)^2)),Ft!F$3*((1-Ft!F$7)/(1+Ft!F$39*($A94-Ft!F$2)^2)+Ft!F$7*EXP(Ft!F$40*($A94-Ft!F$2)^2)))</f>
        <v>10.078302665594512</v>
      </c>
      <c r="K94" s="3">
        <f>IF(($A94-Ft!G$2)&lt;0,Ft!G$3*((1-Ft!G$6)/(1+Ft!G$37*($A94-Ft!G$2)^2)+Ft!G$6*EXP(Ft!G$38*($A94-Ft!G$2)^2)),Ft!G$3*((1-Ft!G$7)/(1+Ft!G$39*($A94-Ft!G$2)^2)+Ft!G$7*EXP(Ft!G$40*($A94-Ft!G$2)^2)))</f>
        <v>33.653087327483675</v>
      </c>
      <c r="L94" s="3">
        <f>IF(($A94-Ft!H$2)&lt;0,Ft!H$3*((1-Ft!H$6)/(1+Ft!H$37*($A94-Ft!H$2)^2)+Ft!H$6*EXP(Ft!H$38*($A94-Ft!H$2)^2)),Ft!H$3*((1-Ft!H$7)/(1+Ft!H$39*($A94-Ft!H$2)^2)+Ft!H$7*EXP(Ft!H$40*($A94-Ft!H$2)^2)))</f>
        <v>0</v>
      </c>
      <c r="M94" s="3">
        <f>IF(($A94-Ft!I$2)&lt;0,Ft!I$3*((1-Ft!I$6)/(1+Ft!I$37*($A94-Ft!I$2)^2)+Ft!I$6*EXP(Ft!I$38*($A94-Ft!I$2)^2)),Ft!I$3*((1-Ft!I$7)/(1+Ft!I$39*($A94-Ft!I$2)^2)+Ft!I$7*EXP(Ft!I$40*($A94-Ft!I$2)^2)))</f>
        <v>0</v>
      </c>
      <c r="N94" s="3">
        <f>IF(($A94-Ft!J$2)&lt;0,Ft!J$3*((1-Ft!J$6)/(1+Ft!J$37*($A94-Ft!J$2)^2)+Ft!J$6*EXP(Ft!J$38*($A94-Ft!J$2)^2)),Ft!J$3*((1-Ft!J$7)/(1+Ft!J$39*($A94-Ft!J$2)^2)+Ft!J$7*EXP(Ft!J$40*($A94-Ft!J$2)^2)))</f>
        <v>0</v>
      </c>
      <c r="O94" s="3">
        <f>IF(($A94-Ft!K$2)&lt;0,Ft!K$3*((1-Ft!K$6)/(1+Ft!K$37*($A94-Ft!K$2)^2)+Ft!K$6*EXP(Ft!K$38*($A94-Ft!K$2)^2)),Ft!K$3*((1-Ft!K$7)/(1+Ft!K$39*($A94-Ft!K$2)^2)+Ft!K$7*EXP(Ft!K$40*($A94-Ft!K$2)^2)))</f>
        <v>0</v>
      </c>
      <c r="P94"/>
      <c r="Q94"/>
    </row>
    <row r="95" spans="1:17">
      <c r="A95" s="20">
        <v>187</v>
      </c>
      <c r="B95" s="29">
        <v>11.945679181225238</v>
      </c>
      <c r="C95" s="7">
        <f t="shared" si="3"/>
        <v>11.734939575777972</v>
      </c>
      <c r="D95" s="3">
        <f t="shared" si="2"/>
        <v>4.4411181304069298E-2</v>
      </c>
      <c r="E95" s="3">
        <f>Ft!$B$12+Ft!$B$14*(Data!A95-Vars!$B$3)</f>
        <v>-200</v>
      </c>
      <c r="F95" s="3">
        <f>IF(($A95-Ft!B$2)&lt;0,Ft!B$3*((1-Ft!B$6)/(1+Ft!B$37*($A95-Ft!B$2)^2)+Ft!B$6*EXP(Ft!B$38*($A95-Ft!B$2)^2)),Ft!B$3*((1-Ft!B$7)/(1+Ft!B$39*($A95-Ft!B$2)^2)+Ft!B$7*EXP(Ft!B$40*($A95-Ft!B$2)^2)))</f>
        <v>121.36895708314768</v>
      </c>
      <c r="G95" s="3">
        <f>IF(($A95-Ft!C$2)&lt;0,Ft!C$3*((1-Ft!C$6)/(1+Ft!C$37*($A95-Ft!C$2)^2)+Ft!C$6*EXP(Ft!C$38*($A95-Ft!C$2)^2)),Ft!C$3*((1-Ft!C$7)/(1+Ft!C$39*($A95-Ft!C$2)^2)+Ft!C$7*EXP(Ft!C$40*($A95-Ft!C$2)^2)))</f>
        <v>31.982175348964983</v>
      </c>
      <c r="H95" s="3">
        <f>IF(($A95-Ft!D$2)&lt;0,Ft!D$3*((1-Ft!D$6)/(1+Ft!D$37*($A95-Ft!D$2)^2)+Ft!D$6*EXP(Ft!D$38*($A95-Ft!D$2)^2)),Ft!D$3*((1-Ft!D$7)/(1+Ft!D$39*($A95-Ft!D$2)^2)+Ft!D$7*EXP(Ft!D$40*($A95-Ft!D$2)^2)))</f>
        <v>7.8974563734368454E-19</v>
      </c>
      <c r="I95" s="3">
        <f>IF(($A95-Ft!E$2)&lt;0,Ft!E$3*((1-Ft!E$6)/(1+Ft!E$37*($A95-Ft!E$2)^2)+Ft!E$6*EXP(Ft!E$38*($A95-Ft!E$2)^2)),Ft!E$3*((1-Ft!E$7)/(1+Ft!E$39*($A95-Ft!E$2)^2)+Ft!E$7*EXP(Ft!E$40*($A95-Ft!E$2)^2)))</f>
        <v>14.269368849281145</v>
      </c>
      <c r="J95" s="3">
        <f>IF(($A95-Ft!F$2)&lt;0,Ft!F$3*((1-Ft!F$6)/(1+Ft!F$37*($A95-Ft!F$2)^2)+Ft!F$6*EXP(Ft!F$38*($A95-Ft!F$2)^2)),Ft!F$3*((1-Ft!F$7)/(1+Ft!F$39*($A95-Ft!F$2)^2)+Ft!F$7*EXP(Ft!F$40*($A95-Ft!F$2)^2)))</f>
        <v>10.163745891959067</v>
      </c>
      <c r="K95" s="3">
        <f>IF(($A95-Ft!G$2)&lt;0,Ft!G$3*((1-Ft!G$6)/(1+Ft!G$37*($A95-Ft!G$2)^2)+Ft!G$6*EXP(Ft!G$38*($A95-Ft!G$2)^2)),Ft!G$3*((1-Ft!G$7)/(1+Ft!G$39*($A95-Ft!G$2)^2)+Ft!G$7*EXP(Ft!G$40*($A95-Ft!G$2)^2)))</f>
        <v>33.950692402425098</v>
      </c>
      <c r="L95" s="3">
        <f>IF(($A95-Ft!H$2)&lt;0,Ft!H$3*((1-Ft!H$6)/(1+Ft!H$37*($A95-Ft!H$2)^2)+Ft!H$6*EXP(Ft!H$38*($A95-Ft!H$2)^2)),Ft!H$3*((1-Ft!H$7)/(1+Ft!H$39*($A95-Ft!H$2)^2)+Ft!H$7*EXP(Ft!H$40*($A95-Ft!H$2)^2)))</f>
        <v>0</v>
      </c>
      <c r="M95" s="3">
        <f>IF(($A95-Ft!I$2)&lt;0,Ft!I$3*((1-Ft!I$6)/(1+Ft!I$37*($A95-Ft!I$2)^2)+Ft!I$6*EXP(Ft!I$38*($A95-Ft!I$2)^2)),Ft!I$3*((1-Ft!I$7)/(1+Ft!I$39*($A95-Ft!I$2)^2)+Ft!I$7*EXP(Ft!I$40*($A95-Ft!I$2)^2)))</f>
        <v>0</v>
      </c>
      <c r="N95" s="3">
        <f>IF(($A95-Ft!J$2)&lt;0,Ft!J$3*((1-Ft!J$6)/(1+Ft!J$37*($A95-Ft!J$2)^2)+Ft!J$6*EXP(Ft!J$38*($A95-Ft!J$2)^2)),Ft!J$3*((1-Ft!J$7)/(1+Ft!J$39*($A95-Ft!J$2)^2)+Ft!J$7*EXP(Ft!J$40*($A95-Ft!J$2)^2)))</f>
        <v>0</v>
      </c>
      <c r="O95" s="3">
        <f>IF(($A95-Ft!K$2)&lt;0,Ft!K$3*((1-Ft!K$6)/(1+Ft!K$37*($A95-Ft!K$2)^2)+Ft!K$6*EXP(Ft!K$38*($A95-Ft!K$2)^2)),Ft!K$3*((1-Ft!K$7)/(1+Ft!K$39*($A95-Ft!K$2)^2)+Ft!K$7*EXP(Ft!K$40*($A95-Ft!K$2)^2)))</f>
        <v>0</v>
      </c>
      <c r="P95"/>
      <c r="Q95"/>
    </row>
    <row r="96" spans="1:17">
      <c r="A96" s="20">
        <v>189</v>
      </c>
      <c r="B96" s="29">
        <v>12.173605427508512</v>
      </c>
      <c r="C96" s="7">
        <f t="shared" si="3"/>
        <v>11.966727956463671</v>
      </c>
      <c r="D96" s="3">
        <f t="shared" si="2"/>
        <v>4.279828802590898E-2</v>
      </c>
      <c r="E96" s="3">
        <f>Ft!$B$12+Ft!$B$14*(Data!A96-Vars!$B$3)</f>
        <v>-200</v>
      </c>
      <c r="F96" s="3">
        <f>IF(($A96-Ft!B$2)&lt;0,Ft!B$3*((1-Ft!B$6)/(1+Ft!B$37*($A96-Ft!B$2)^2)+Ft!B$6*EXP(Ft!B$38*($A96-Ft!B$2)^2)),Ft!B$3*((1-Ft!B$7)/(1+Ft!B$39*($A96-Ft!B$2)^2)+Ft!B$7*EXP(Ft!B$40*($A96-Ft!B$2)^2)))</f>
        <v>120.89524336502706</v>
      </c>
      <c r="G96" s="3">
        <f>IF(($A96-Ft!C$2)&lt;0,Ft!C$3*((1-Ft!C$6)/(1+Ft!C$37*($A96-Ft!C$2)^2)+Ft!C$6*EXP(Ft!C$38*($A96-Ft!C$2)^2)),Ft!C$3*((1-Ft!C$7)/(1+Ft!C$39*($A96-Ft!C$2)^2)+Ft!C$7*EXP(Ft!C$40*($A96-Ft!C$2)^2)))</f>
        <v>32.083240795556257</v>
      </c>
      <c r="H96" s="3">
        <f>IF(($A96-Ft!D$2)&lt;0,Ft!D$3*((1-Ft!D$6)/(1+Ft!D$37*($A96-Ft!D$2)^2)+Ft!D$6*EXP(Ft!D$38*($A96-Ft!D$2)^2)),Ft!D$3*((1-Ft!D$7)/(1+Ft!D$39*($A96-Ft!D$2)^2)+Ft!D$7*EXP(Ft!D$40*($A96-Ft!D$2)^2)))</f>
        <v>1.5593287405034177E-18</v>
      </c>
      <c r="I96" s="3">
        <f>IF(($A96-Ft!E$2)&lt;0,Ft!E$3*((1-Ft!E$6)/(1+Ft!E$37*($A96-Ft!E$2)^2)+Ft!E$6*EXP(Ft!E$38*($A96-Ft!E$2)^2)),Ft!E$3*((1-Ft!E$7)/(1+Ft!E$39*($A96-Ft!E$2)^2)+Ft!E$7*EXP(Ft!E$40*($A96-Ft!E$2)^2)))</f>
        <v>14.491091011237543</v>
      </c>
      <c r="J96" s="3">
        <f>IF(($A96-Ft!F$2)&lt;0,Ft!F$3*((1-Ft!F$6)/(1+Ft!F$37*($A96-Ft!F$2)^2)+Ft!F$6*EXP(Ft!F$38*($A96-Ft!F$2)^2)),Ft!F$3*((1-Ft!F$7)/(1+Ft!F$39*($A96-Ft!F$2)^2)+Ft!F$7*EXP(Ft!F$40*($A96-Ft!F$2)^2)))</f>
        <v>10.249778505840142</v>
      </c>
      <c r="K96" s="3">
        <f>IF(($A96-Ft!G$2)&lt;0,Ft!G$3*((1-Ft!G$6)/(1+Ft!G$37*($A96-Ft!G$2)^2)+Ft!G$6*EXP(Ft!G$38*($A96-Ft!G$2)^2)),Ft!G$3*((1-Ft!G$7)/(1+Ft!G$39*($A96-Ft!G$2)^2)+Ft!G$7*EXP(Ft!G$40*($A96-Ft!G$2)^2)))</f>
        <v>34.247374278802674</v>
      </c>
      <c r="L96" s="3">
        <f>IF(($A96-Ft!H$2)&lt;0,Ft!H$3*((1-Ft!H$6)/(1+Ft!H$37*($A96-Ft!H$2)^2)+Ft!H$6*EXP(Ft!H$38*($A96-Ft!H$2)^2)),Ft!H$3*((1-Ft!H$7)/(1+Ft!H$39*($A96-Ft!H$2)^2)+Ft!H$7*EXP(Ft!H$40*($A96-Ft!H$2)^2)))</f>
        <v>0</v>
      </c>
      <c r="M96" s="3">
        <f>IF(($A96-Ft!I$2)&lt;0,Ft!I$3*((1-Ft!I$6)/(1+Ft!I$37*($A96-Ft!I$2)^2)+Ft!I$6*EXP(Ft!I$38*($A96-Ft!I$2)^2)),Ft!I$3*((1-Ft!I$7)/(1+Ft!I$39*($A96-Ft!I$2)^2)+Ft!I$7*EXP(Ft!I$40*($A96-Ft!I$2)^2)))</f>
        <v>0</v>
      </c>
      <c r="N96" s="3">
        <f>IF(($A96-Ft!J$2)&lt;0,Ft!J$3*((1-Ft!J$6)/(1+Ft!J$37*($A96-Ft!J$2)^2)+Ft!J$6*EXP(Ft!J$38*($A96-Ft!J$2)^2)),Ft!J$3*((1-Ft!J$7)/(1+Ft!J$39*($A96-Ft!J$2)^2)+Ft!J$7*EXP(Ft!J$40*($A96-Ft!J$2)^2)))</f>
        <v>0</v>
      </c>
      <c r="O96" s="3">
        <f>IF(($A96-Ft!K$2)&lt;0,Ft!K$3*((1-Ft!K$6)/(1+Ft!K$37*($A96-Ft!K$2)^2)+Ft!K$6*EXP(Ft!K$38*($A96-Ft!K$2)^2)),Ft!K$3*((1-Ft!K$7)/(1+Ft!K$39*($A96-Ft!K$2)^2)+Ft!K$7*EXP(Ft!K$40*($A96-Ft!K$2)^2)))</f>
        <v>0</v>
      </c>
      <c r="P96"/>
      <c r="Q96"/>
    </row>
    <row r="97" spans="1:17">
      <c r="A97" s="20">
        <v>191</v>
      </c>
      <c r="B97" s="29">
        <v>12.401962770528243</v>
      </c>
      <c r="C97" s="7">
        <f t="shared" si="3"/>
        <v>12.200292738780036</v>
      </c>
      <c r="D97" s="3">
        <f t="shared" si="2"/>
        <v>4.0670801705323077E-2</v>
      </c>
      <c r="E97" s="3">
        <f>Ft!$B$12+Ft!$B$14*(Data!A97-Vars!$B$3)</f>
        <v>-200</v>
      </c>
      <c r="F97" s="3">
        <f>IF(($A97-Ft!B$2)&lt;0,Ft!B$3*((1-Ft!B$6)/(1+Ft!B$37*($A97-Ft!B$2)^2)+Ft!B$6*EXP(Ft!B$38*($A97-Ft!B$2)^2)),Ft!B$3*((1-Ft!B$7)/(1+Ft!B$39*($A97-Ft!B$2)^2)+Ft!B$7*EXP(Ft!B$40*($A97-Ft!B$2)^2)))</f>
        <v>120.42108012489933</v>
      </c>
      <c r="G97" s="3">
        <f>IF(($A97-Ft!C$2)&lt;0,Ft!C$3*((1-Ft!C$6)/(1+Ft!C$37*($A97-Ft!C$2)^2)+Ft!C$6*EXP(Ft!C$38*($A97-Ft!C$2)^2)),Ft!C$3*((1-Ft!C$7)/(1+Ft!C$39*($A97-Ft!C$2)^2)+Ft!C$7*EXP(Ft!C$40*($A97-Ft!C$2)^2)))</f>
        <v>32.184341239756755</v>
      </c>
      <c r="H97" s="3">
        <f>IF(($A97-Ft!D$2)&lt;0,Ft!D$3*((1-Ft!D$6)/(1+Ft!D$37*($A97-Ft!D$2)^2)+Ft!D$6*EXP(Ft!D$38*($A97-Ft!D$2)^2)),Ft!D$3*((1-Ft!D$7)/(1+Ft!D$39*($A97-Ft!D$2)^2)+Ft!D$7*EXP(Ft!D$40*($A97-Ft!D$2)^2)))</f>
        <v>3.0619085731882714E-18</v>
      </c>
      <c r="I97" s="3">
        <f>IF(($A97-Ft!E$2)&lt;0,Ft!E$3*((1-Ft!E$6)/(1+Ft!E$37*($A97-Ft!E$2)^2)+Ft!E$6*EXP(Ft!E$38*($A97-Ft!E$2)^2)),Ft!E$3*((1-Ft!E$7)/(1+Ft!E$39*($A97-Ft!E$2)^2)+Ft!E$7*EXP(Ft!E$40*($A97-Ft!E$2)^2)))</f>
        <v>14.715405120786292</v>
      </c>
      <c r="J97" s="3">
        <f>IF(($A97-Ft!F$2)&lt;0,Ft!F$3*((1-Ft!F$6)/(1+Ft!F$37*($A97-Ft!F$2)^2)+Ft!F$6*EXP(Ft!F$38*($A97-Ft!F$2)^2)),Ft!F$3*((1-Ft!F$7)/(1+Ft!F$39*($A97-Ft!F$2)^2)+Ft!F$7*EXP(Ft!F$40*($A97-Ft!F$2)^2)))</f>
        <v>10.336403220451324</v>
      </c>
      <c r="K97" s="3">
        <f>IF(($A97-Ft!G$2)&lt;0,Ft!G$3*((1-Ft!G$6)/(1+Ft!G$37*($A97-Ft!G$2)^2)+Ft!G$6*EXP(Ft!G$38*($A97-Ft!G$2)^2)),Ft!G$3*((1-Ft!G$7)/(1+Ft!G$39*($A97-Ft!G$2)^2)+Ft!G$7*EXP(Ft!G$40*($A97-Ft!G$2)^2)))</f>
        <v>34.54306303288633</v>
      </c>
      <c r="L97" s="3">
        <f>IF(($A97-Ft!H$2)&lt;0,Ft!H$3*((1-Ft!H$6)/(1+Ft!H$37*($A97-Ft!H$2)^2)+Ft!H$6*EXP(Ft!H$38*($A97-Ft!H$2)^2)),Ft!H$3*((1-Ft!H$7)/(1+Ft!H$39*($A97-Ft!H$2)^2)+Ft!H$7*EXP(Ft!H$40*($A97-Ft!H$2)^2)))</f>
        <v>0</v>
      </c>
      <c r="M97" s="3">
        <f>IF(($A97-Ft!I$2)&lt;0,Ft!I$3*((1-Ft!I$6)/(1+Ft!I$37*($A97-Ft!I$2)^2)+Ft!I$6*EXP(Ft!I$38*($A97-Ft!I$2)^2)),Ft!I$3*((1-Ft!I$7)/(1+Ft!I$39*($A97-Ft!I$2)^2)+Ft!I$7*EXP(Ft!I$40*($A97-Ft!I$2)^2)))</f>
        <v>0</v>
      </c>
      <c r="N97" s="3">
        <f>IF(($A97-Ft!J$2)&lt;0,Ft!J$3*((1-Ft!J$6)/(1+Ft!J$37*($A97-Ft!J$2)^2)+Ft!J$6*EXP(Ft!J$38*($A97-Ft!J$2)^2)),Ft!J$3*((1-Ft!J$7)/(1+Ft!J$39*($A97-Ft!J$2)^2)+Ft!J$7*EXP(Ft!J$40*($A97-Ft!J$2)^2)))</f>
        <v>0</v>
      </c>
      <c r="O97" s="3">
        <f>IF(($A97-Ft!K$2)&lt;0,Ft!K$3*((1-Ft!K$6)/(1+Ft!K$37*($A97-Ft!K$2)^2)+Ft!K$6*EXP(Ft!K$38*($A97-Ft!K$2)^2)),Ft!K$3*((1-Ft!K$7)/(1+Ft!K$39*($A97-Ft!K$2)^2)+Ft!K$7*EXP(Ft!K$40*($A97-Ft!K$2)^2)))</f>
        <v>0</v>
      </c>
      <c r="P97"/>
      <c r="Q97"/>
    </row>
    <row r="98" spans="1:17">
      <c r="A98" s="20">
        <v>193</v>
      </c>
      <c r="B98" s="29">
        <v>12.630757555450067</v>
      </c>
      <c r="C98" s="7">
        <f t="shared" si="3"/>
        <v>12.435598472888305</v>
      </c>
      <c r="D98" s="3">
        <f t="shared" si="2"/>
        <v>3.8087067506348708E-2</v>
      </c>
      <c r="E98" s="3">
        <f>Ft!$B$12+Ft!$B$14*(Data!A98-Vars!$B$3)</f>
        <v>-200</v>
      </c>
      <c r="F98" s="3">
        <f>IF(($A98-Ft!B$2)&lt;0,Ft!B$3*((1-Ft!B$6)/(1+Ft!B$37*($A98-Ft!B$2)^2)+Ft!B$6*EXP(Ft!B$38*($A98-Ft!B$2)^2)),Ft!B$3*((1-Ft!B$7)/(1+Ft!B$39*($A98-Ft!B$2)^2)+Ft!B$7*EXP(Ft!B$40*($A98-Ft!B$2)^2)))</f>
        <v>119.94648719063171</v>
      </c>
      <c r="G98" s="3">
        <f>IF(($A98-Ft!C$2)&lt;0,Ft!C$3*((1-Ft!C$6)/(1+Ft!C$37*($A98-Ft!C$2)^2)+Ft!C$6*EXP(Ft!C$38*($A98-Ft!C$2)^2)),Ft!C$3*((1-Ft!C$7)/(1+Ft!C$39*($A98-Ft!C$2)^2)+Ft!C$7*EXP(Ft!C$40*($A98-Ft!C$2)^2)))</f>
        <v>32.285475002442354</v>
      </c>
      <c r="H98" s="3">
        <f>IF(($A98-Ft!D$2)&lt;0,Ft!D$3*((1-Ft!D$6)/(1+Ft!D$37*($A98-Ft!D$2)^2)+Ft!D$6*EXP(Ft!D$38*($A98-Ft!D$2)^2)),Ft!D$3*((1-Ft!D$7)/(1+Ft!D$39*($A98-Ft!D$2)^2)+Ft!D$7*EXP(Ft!D$40*($A98-Ft!D$2)^2)))</f>
        <v>5.9793068450534254E-18</v>
      </c>
      <c r="I98" s="3">
        <f>IF(($A98-Ft!E$2)&lt;0,Ft!E$3*((1-Ft!E$6)/(1+Ft!E$37*($A98-Ft!E$2)^2)+Ft!E$6*EXP(Ft!E$38*($A98-Ft!E$2)^2)),Ft!E$3*((1-Ft!E$7)/(1+Ft!E$39*($A98-Ft!E$2)^2)+Ft!E$7*EXP(Ft!E$40*($A98-Ft!E$2)^2)))</f>
        <v>14.9423250871902</v>
      </c>
      <c r="J98" s="3">
        <f>IF(($A98-Ft!F$2)&lt;0,Ft!F$3*((1-Ft!F$6)/(1+Ft!F$37*($A98-Ft!F$2)^2)+Ft!F$6*EXP(Ft!F$38*($A98-Ft!F$2)^2)),Ft!F$3*((1-Ft!F$7)/(1+Ft!F$39*($A98-Ft!F$2)^2)+Ft!F$7*EXP(Ft!F$40*($A98-Ft!F$2)^2)))</f>
        <v>10.423622748461224</v>
      </c>
      <c r="K98" s="3">
        <f>IF(($A98-Ft!G$2)&lt;0,Ft!G$3*((1-Ft!G$6)/(1+Ft!G$37*($A98-Ft!G$2)^2)+Ft!G$6*EXP(Ft!G$38*($A98-Ft!G$2)^2)),Ft!G$3*((1-Ft!G$7)/(1+Ft!G$39*($A98-Ft!G$2)^2)+Ft!G$7*EXP(Ft!G$40*($A98-Ft!G$2)^2)))</f>
        <v>34.837688444162815</v>
      </c>
      <c r="L98" s="3">
        <f>IF(($A98-Ft!H$2)&lt;0,Ft!H$3*((1-Ft!H$6)/(1+Ft!H$37*($A98-Ft!H$2)^2)+Ft!H$6*EXP(Ft!H$38*($A98-Ft!H$2)^2)),Ft!H$3*((1-Ft!H$7)/(1+Ft!H$39*($A98-Ft!H$2)^2)+Ft!H$7*EXP(Ft!H$40*($A98-Ft!H$2)^2)))</f>
        <v>0</v>
      </c>
      <c r="M98" s="3">
        <f>IF(($A98-Ft!I$2)&lt;0,Ft!I$3*((1-Ft!I$6)/(1+Ft!I$37*($A98-Ft!I$2)^2)+Ft!I$6*EXP(Ft!I$38*($A98-Ft!I$2)^2)),Ft!I$3*((1-Ft!I$7)/(1+Ft!I$39*($A98-Ft!I$2)^2)+Ft!I$7*EXP(Ft!I$40*($A98-Ft!I$2)^2)))</f>
        <v>0</v>
      </c>
      <c r="N98" s="3">
        <f>IF(($A98-Ft!J$2)&lt;0,Ft!J$3*((1-Ft!J$6)/(1+Ft!J$37*($A98-Ft!J$2)^2)+Ft!J$6*EXP(Ft!J$38*($A98-Ft!J$2)^2)),Ft!J$3*((1-Ft!J$7)/(1+Ft!J$39*($A98-Ft!J$2)^2)+Ft!J$7*EXP(Ft!J$40*($A98-Ft!J$2)^2)))</f>
        <v>0</v>
      </c>
      <c r="O98" s="3">
        <f>IF(($A98-Ft!K$2)&lt;0,Ft!K$3*((1-Ft!K$6)/(1+Ft!K$37*($A98-Ft!K$2)^2)+Ft!K$6*EXP(Ft!K$38*($A98-Ft!K$2)^2)),Ft!K$3*((1-Ft!K$7)/(1+Ft!K$39*($A98-Ft!K$2)^2)+Ft!K$7*EXP(Ft!K$40*($A98-Ft!K$2)^2)))</f>
        <v>0</v>
      </c>
      <c r="P98"/>
      <c r="Q98"/>
    </row>
    <row r="99" spans="1:17">
      <c r="A99" s="20">
        <v>195</v>
      </c>
      <c r="B99" s="29">
        <v>12.859997597350471</v>
      </c>
      <c r="C99" s="7">
        <f t="shared" si="3"/>
        <v>12.67260913676656</v>
      </c>
      <c r="D99" s="3">
        <f t="shared" si="2"/>
        <v>3.511443516000793E-2</v>
      </c>
      <c r="E99" s="3">
        <f>Ft!$B$12+Ft!$B$14*(Data!A99-Vars!$B$3)</f>
        <v>-200</v>
      </c>
      <c r="F99" s="3">
        <f>IF(($A99-Ft!B$2)&lt;0,Ft!B$3*((1-Ft!B$6)/(1+Ft!B$37*($A99-Ft!B$2)^2)+Ft!B$6*EXP(Ft!B$38*($A99-Ft!B$2)^2)),Ft!B$3*((1-Ft!B$7)/(1+Ft!B$39*($A99-Ft!B$2)^2)+Ft!B$7*EXP(Ft!B$40*($A99-Ft!B$2)^2)))</f>
        <v>119.47148433669221</v>
      </c>
      <c r="G99" s="3">
        <f>IF(($A99-Ft!C$2)&lt;0,Ft!C$3*((1-Ft!C$6)/(1+Ft!C$37*($A99-Ft!C$2)^2)+Ft!C$6*EXP(Ft!C$38*($A99-Ft!C$2)^2)),Ft!C$3*((1-Ft!C$7)/(1+Ft!C$39*($A99-Ft!C$2)^2)+Ft!C$7*EXP(Ft!C$40*($A99-Ft!C$2)^2)))</f>
        <v>32.386640398320587</v>
      </c>
      <c r="H99" s="3">
        <f>IF(($A99-Ft!D$2)&lt;0,Ft!D$3*((1-Ft!D$6)/(1+Ft!D$37*($A99-Ft!D$2)^2)+Ft!D$6*EXP(Ft!D$38*($A99-Ft!D$2)^2)),Ft!D$3*((1-Ft!D$7)/(1+Ft!D$39*($A99-Ft!D$2)^2)+Ft!D$7*EXP(Ft!D$40*($A99-Ft!D$2)^2)))</f>
        <v>1.1612174417009221E-17</v>
      </c>
      <c r="I99" s="3">
        <f>IF(($A99-Ft!E$2)&lt;0,Ft!E$3*((1-Ft!E$6)/(1+Ft!E$37*($A99-Ft!E$2)^2)+Ft!E$6*EXP(Ft!E$38*($A99-Ft!E$2)^2)),Ft!E$3*((1-Ft!E$7)/(1+Ft!E$39*($A99-Ft!E$2)^2)+Ft!E$7*EXP(Ft!E$40*($A99-Ft!E$2)^2)))</f>
        <v>15.171864577856363</v>
      </c>
      <c r="J99" s="3">
        <f>IF(($A99-Ft!F$2)&lt;0,Ft!F$3*((1-Ft!F$6)/(1+Ft!F$37*($A99-Ft!F$2)^2)+Ft!F$6*EXP(Ft!F$38*($A99-Ft!F$2)^2)),Ft!F$3*((1-Ft!F$7)/(1+Ft!F$39*($A99-Ft!F$2)^2)+Ft!F$7*EXP(Ft!F$40*($A99-Ft!F$2)^2)))</f>
        <v>10.511439801845407</v>
      </c>
      <c r="K99" s="3">
        <f>IF(($A99-Ft!G$2)&lt;0,Ft!G$3*((1-Ft!G$6)/(1+Ft!G$37*($A99-Ft!G$2)^2)+Ft!G$6*EXP(Ft!G$38*($A99-Ft!G$2)^2)),Ft!G$3*((1-Ft!G$7)/(1+Ft!G$39*($A99-Ft!G$2)^2)+Ft!G$7*EXP(Ft!G$40*($A99-Ft!G$2)^2)))</f>
        <v>35.131180022051993</v>
      </c>
      <c r="L99" s="3">
        <f>IF(($A99-Ft!H$2)&lt;0,Ft!H$3*((1-Ft!H$6)/(1+Ft!H$37*($A99-Ft!H$2)^2)+Ft!H$6*EXP(Ft!H$38*($A99-Ft!H$2)^2)),Ft!H$3*((1-Ft!H$7)/(1+Ft!H$39*($A99-Ft!H$2)^2)+Ft!H$7*EXP(Ft!H$40*($A99-Ft!H$2)^2)))</f>
        <v>0</v>
      </c>
      <c r="M99" s="3">
        <f>IF(($A99-Ft!I$2)&lt;0,Ft!I$3*((1-Ft!I$6)/(1+Ft!I$37*($A99-Ft!I$2)^2)+Ft!I$6*EXP(Ft!I$38*($A99-Ft!I$2)^2)),Ft!I$3*((1-Ft!I$7)/(1+Ft!I$39*($A99-Ft!I$2)^2)+Ft!I$7*EXP(Ft!I$40*($A99-Ft!I$2)^2)))</f>
        <v>0</v>
      </c>
      <c r="N99" s="3">
        <f>IF(($A99-Ft!J$2)&lt;0,Ft!J$3*((1-Ft!J$6)/(1+Ft!J$37*($A99-Ft!J$2)^2)+Ft!J$6*EXP(Ft!J$38*($A99-Ft!J$2)^2)),Ft!J$3*((1-Ft!J$7)/(1+Ft!J$39*($A99-Ft!J$2)^2)+Ft!J$7*EXP(Ft!J$40*($A99-Ft!J$2)^2)))</f>
        <v>0</v>
      </c>
      <c r="O99" s="3">
        <f>IF(($A99-Ft!K$2)&lt;0,Ft!K$3*((1-Ft!K$6)/(1+Ft!K$37*($A99-Ft!K$2)^2)+Ft!K$6*EXP(Ft!K$38*($A99-Ft!K$2)^2)),Ft!K$3*((1-Ft!K$7)/(1+Ft!K$39*($A99-Ft!K$2)^2)+Ft!K$7*EXP(Ft!K$40*($A99-Ft!K$2)^2)))</f>
        <v>0</v>
      </c>
      <c r="P99"/>
      <c r="Q99"/>
    </row>
    <row r="100" spans="1:17">
      <c r="A100" s="20">
        <v>197</v>
      </c>
      <c r="B100" s="29">
        <v>13.089692337566618</v>
      </c>
      <c r="C100" s="7">
        <f t="shared" si="3"/>
        <v>12.911288154966918</v>
      </c>
      <c r="D100" s="3">
        <f t="shared" si="2"/>
        <v>3.1828052369066877E-2</v>
      </c>
      <c r="E100" s="3">
        <f>Ft!$B$12+Ft!$B$14*(Data!A100-Vars!$B$3)</f>
        <v>-200</v>
      </c>
      <c r="F100" s="3">
        <f>IF(($A100-Ft!B$2)&lt;0,Ft!B$3*((1-Ft!B$6)/(1+Ft!B$37*($A100-Ft!B$2)^2)+Ft!B$6*EXP(Ft!B$38*($A100-Ft!B$2)^2)),Ft!B$3*((1-Ft!B$7)/(1+Ft!B$39*($A100-Ft!B$2)^2)+Ft!B$7*EXP(Ft!B$40*($A100-Ft!B$2)^2)))</f>
        <v>118.9960912828532</v>
      </c>
      <c r="G100" s="3">
        <f>IF(($A100-Ft!C$2)&lt;0,Ft!C$3*((1-Ft!C$6)/(1+Ft!C$37*($A100-Ft!C$2)^2)+Ft!C$6*EXP(Ft!C$38*($A100-Ft!C$2)^2)),Ft!C$3*((1-Ft!C$7)/(1+Ft!C$39*($A100-Ft!C$2)^2)+Ft!C$7*EXP(Ft!C$40*($A100-Ft!C$2)^2)))</f>
        <v>32.487835735970897</v>
      </c>
      <c r="H100" s="3">
        <f>IF(($A100-Ft!D$2)&lt;0,Ft!D$3*((1-Ft!D$6)/(1+Ft!D$37*($A100-Ft!D$2)^2)+Ft!D$6*EXP(Ft!D$38*($A100-Ft!D$2)^2)),Ft!D$3*((1-Ft!D$7)/(1+Ft!D$39*($A100-Ft!D$2)^2)+Ft!D$7*EXP(Ft!D$40*($A100-Ft!D$2)^2)))</f>
        <v>2.2427473222798227E-17</v>
      </c>
      <c r="I100" s="3">
        <f>IF(($A100-Ft!E$2)&lt;0,Ft!E$3*((1-Ft!E$6)/(1+Ft!E$37*($A100-Ft!E$2)^2)+Ft!E$6*EXP(Ft!E$38*($A100-Ft!E$2)^2)),Ft!E$3*((1-Ft!E$7)/(1+Ft!E$39*($A100-Ft!E$2)^2)+Ft!E$7*EXP(Ft!E$40*($A100-Ft!E$2)^2)))</f>
        <v>15.404037011412688</v>
      </c>
      <c r="J100" s="3">
        <f>IF(($A100-Ft!F$2)&lt;0,Ft!F$3*((1-Ft!F$6)/(1+Ft!F$37*($A100-Ft!F$2)^2)+Ft!F$6*EXP(Ft!F$38*($A100-Ft!F$2)^2)),Ft!F$3*((1-Ft!F$7)/(1+Ft!F$39*($A100-Ft!F$2)^2)+Ft!F$7*EXP(Ft!F$40*($A100-Ft!F$2)^2)))</f>
        <v>10.599857091737034</v>
      </c>
      <c r="K100" s="3">
        <f>IF(($A100-Ft!G$2)&lt;0,Ft!G$3*((1-Ft!G$6)/(1+Ft!G$37*($A100-Ft!G$2)^2)+Ft!G$6*EXP(Ft!G$38*($A100-Ft!G$2)^2)),Ft!G$3*((1-Ft!G$7)/(1+Ft!G$39*($A100-Ft!G$2)^2)+Ft!G$7*EXP(Ft!G$40*($A100-Ft!G$2)^2)))</f>
        <v>35.423467032993095</v>
      </c>
      <c r="L100" s="3">
        <f>IF(($A100-Ft!H$2)&lt;0,Ft!H$3*((1-Ft!H$6)/(1+Ft!H$37*($A100-Ft!H$2)^2)+Ft!H$6*EXP(Ft!H$38*($A100-Ft!H$2)^2)),Ft!H$3*((1-Ft!H$7)/(1+Ft!H$39*($A100-Ft!H$2)^2)+Ft!H$7*EXP(Ft!H$40*($A100-Ft!H$2)^2)))</f>
        <v>0</v>
      </c>
      <c r="M100" s="3">
        <f>IF(($A100-Ft!I$2)&lt;0,Ft!I$3*((1-Ft!I$6)/(1+Ft!I$37*($A100-Ft!I$2)^2)+Ft!I$6*EXP(Ft!I$38*($A100-Ft!I$2)^2)),Ft!I$3*((1-Ft!I$7)/(1+Ft!I$39*($A100-Ft!I$2)^2)+Ft!I$7*EXP(Ft!I$40*($A100-Ft!I$2)^2)))</f>
        <v>0</v>
      </c>
      <c r="N100" s="3">
        <f>IF(($A100-Ft!J$2)&lt;0,Ft!J$3*((1-Ft!J$6)/(1+Ft!J$37*($A100-Ft!J$2)^2)+Ft!J$6*EXP(Ft!J$38*($A100-Ft!J$2)^2)),Ft!J$3*((1-Ft!J$7)/(1+Ft!J$39*($A100-Ft!J$2)^2)+Ft!J$7*EXP(Ft!J$40*($A100-Ft!J$2)^2)))</f>
        <v>0</v>
      </c>
      <c r="O100" s="3">
        <f>IF(($A100-Ft!K$2)&lt;0,Ft!K$3*((1-Ft!K$6)/(1+Ft!K$37*($A100-Ft!K$2)^2)+Ft!K$6*EXP(Ft!K$38*($A100-Ft!K$2)^2)),Ft!K$3*((1-Ft!K$7)/(1+Ft!K$39*($A100-Ft!K$2)^2)+Ft!K$7*EXP(Ft!K$40*($A100-Ft!K$2)^2)))</f>
        <v>0</v>
      </c>
      <c r="P100"/>
      <c r="Q100"/>
    </row>
    <row r="101" spans="1:17">
      <c r="A101" s="20">
        <v>199</v>
      </c>
      <c r="B101" s="29">
        <v>13.319853007954073</v>
      </c>
      <c r="C101" s="7">
        <f t="shared" si="3"/>
        <v>13.15159841770501</v>
      </c>
      <c r="D101" s="3">
        <f t="shared" si="2"/>
        <v>2.8309607139880115E-2</v>
      </c>
      <c r="E101" s="3">
        <f>Ft!$B$12+Ft!$B$14*(Data!A101-Vars!$B$3)</f>
        <v>-200</v>
      </c>
      <c r="F101" s="3">
        <f>IF(($A101-Ft!B$2)&lt;0,Ft!B$3*((1-Ft!B$6)/(1+Ft!B$37*($A101-Ft!B$2)^2)+Ft!B$6*EXP(Ft!B$38*($A101-Ft!B$2)^2)),Ft!B$3*((1-Ft!B$7)/(1+Ft!B$39*($A101-Ft!B$2)^2)+Ft!B$7*EXP(Ft!B$40*($A101-Ft!B$2)^2)))</f>
        <v>118.52032769290561</v>
      </c>
      <c r="G101" s="3">
        <f>IF(($A101-Ft!C$2)&lt;0,Ft!C$3*((1-Ft!C$6)/(1+Ft!C$37*($A101-Ft!C$2)^2)+Ft!C$6*EXP(Ft!C$38*($A101-Ft!C$2)^2)),Ft!C$3*((1-Ft!C$7)/(1+Ft!C$39*($A101-Ft!C$2)^2)+Ft!C$7*EXP(Ft!C$40*($A101-Ft!C$2)^2)))</f>
        <v>32.589059317885329</v>
      </c>
      <c r="H101" s="3">
        <f>IF(($A101-Ft!D$2)&lt;0,Ft!D$3*((1-Ft!D$6)/(1+Ft!D$37*($A101-Ft!D$2)^2)+Ft!D$6*EXP(Ft!D$38*($A101-Ft!D$2)^2)),Ft!D$3*((1-Ft!D$7)/(1+Ft!D$39*($A101-Ft!D$2)^2)+Ft!D$7*EXP(Ft!D$40*($A101-Ft!D$2)^2)))</f>
        <v>4.3077573324279288E-17</v>
      </c>
      <c r="I101" s="3">
        <f>IF(($A101-Ft!E$2)&lt;0,Ft!E$3*((1-Ft!E$6)/(1+Ft!E$37*($A101-Ft!E$2)^2)+Ft!E$6*EXP(Ft!E$38*($A101-Ft!E$2)^2)),Ft!E$3*((1-Ft!E$7)/(1+Ft!E$39*($A101-Ft!E$2)^2)+Ft!E$7*EXP(Ft!E$40*($A101-Ft!E$2)^2)))</f>
        <v>15.638855550750455</v>
      </c>
      <c r="J101" s="3">
        <f>IF(($A101-Ft!F$2)&lt;0,Ft!F$3*((1-Ft!F$6)/(1+Ft!F$37*($A101-Ft!F$2)^2)+Ft!F$6*EXP(Ft!F$38*($A101-Ft!F$2)^2)),Ft!F$3*((1-Ft!F$7)/(1+Ft!F$39*($A101-Ft!F$2)^2)+Ft!F$7*EXP(Ft!F$40*($A101-Ft!F$2)^2)))</f>
        <v>10.688877328276369</v>
      </c>
      <c r="K101" s="3">
        <f>IF(($A101-Ft!G$2)&lt;0,Ft!G$3*((1-Ft!G$6)/(1+Ft!G$37*($A101-Ft!G$2)^2)+Ft!G$6*EXP(Ft!G$38*($A101-Ft!G$2)^2)),Ft!G$3*((1-Ft!G$7)/(1+Ft!G$39*($A101-Ft!G$2)^2)+Ft!G$7*EXP(Ft!G$40*($A101-Ft!G$2)^2)))</f>
        <v>35.714478527887245</v>
      </c>
      <c r="L101" s="3">
        <f>IF(($A101-Ft!H$2)&lt;0,Ft!H$3*((1-Ft!H$6)/(1+Ft!H$37*($A101-Ft!H$2)^2)+Ft!H$6*EXP(Ft!H$38*($A101-Ft!H$2)^2)),Ft!H$3*((1-Ft!H$7)/(1+Ft!H$39*($A101-Ft!H$2)^2)+Ft!H$7*EXP(Ft!H$40*($A101-Ft!H$2)^2)))</f>
        <v>0</v>
      </c>
      <c r="M101" s="3">
        <f>IF(($A101-Ft!I$2)&lt;0,Ft!I$3*((1-Ft!I$6)/(1+Ft!I$37*($A101-Ft!I$2)^2)+Ft!I$6*EXP(Ft!I$38*($A101-Ft!I$2)^2)),Ft!I$3*((1-Ft!I$7)/(1+Ft!I$39*($A101-Ft!I$2)^2)+Ft!I$7*EXP(Ft!I$40*($A101-Ft!I$2)^2)))</f>
        <v>0</v>
      </c>
      <c r="N101" s="3">
        <f>IF(($A101-Ft!J$2)&lt;0,Ft!J$3*((1-Ft!J$6)/(1+Ft!J$37*($A101-Ft!J$2)^2)+Ft!J$6*EXP(Ft!J$38*($A101-Ft!J$2)^2)),Ft!J$3*((1-Ft!J$7)/(1+Ft!J$39*($A101-Ft!J$2)^2)+Ft!J$7*EXP(Ft!J$40*($A101-Ft!J$2)^2)))</f>
        <v>0</v>
      </c>
      <c r="O101" s="3">
        <f>IF(($A101-Ft!K$2)&lt;0,Ft!K$3*((1-Ft!K$6)/(1+Ft!K$37*($A101-Ft!K$2)^2)+Ft!K$6*EXP(Ft!K$38*($A101-Ft!K$2)^2)),Ft!K$3*((1-Ft!K$7)/(1+Ft!K$39*($A101-Ft!K$2)^2)+Ft!K$7*EXP(Ft!K$40*($A101-Ft!K$2)^2)))</f>
        <v>0</v>
      </c>
      <c r="P101"/>
      <c r="Q101"/>
    </row>
    <row r="102" spans="1:17">
      <c r="A102" s="20">
        <v>201</v>
      </c>
      <c r="B102" s="29">
        <v>13.550492802015576</v>
      </c>
      <c r="C102" s="7">
        <f t="shared" si="3"/>
        <v>13.393502300268906</v>
      </c>
      <c r="D102" s="3">
        <f t="shared" ref="D102:D165" si="4">(C102-B102)^2</f>
        <v>2.4646017638671042E-2</v>
      </c>
      <c r="E102" s="3">
        <f>Ft!$B$12+Ft!$B$14*(Data!A102-Vars!$B$3)</f>
        <v>-200</v>
      </c>
      <c r="F102" s="3">
        <f>IF(($A102-Ft!B$2)&lt;0,Ft!B$3*((1-Ft!B$6)/(1+Ft!B$37*($A102-Ft!B$2)^2)+Ft!B$6*EXP(Ft!B$38*($A102-Ft!B$2)^2)),Ft!B$3*((1-Ft!B$7)/(1+Ft!B$39*($A102-Ft!B$2)^2)+Ft!B$7*EXP(Ft!B$40*($A102-Ft!B$2)^2)))</f>
        <v>118.0442131733834</v>
      </c>
      <c r="G102" s="3">
        <f>IF(($A102-Ft!C$2)&lt;0,Ft!C$3*((1-Ft!C$6)/(1+Ft!C$37*($A102-Ft!C$2)^2)+Ft!C$6*EXP(Ft!C$38*($A102-Ft!C$2)^2)),Ft!C$3*((1-Ft!C$7)/(1+Ft!C$39*($A102-Ft!C$2)^2)+Ft!C$7*EXP(Ft!C$40*($A102-Ft!C$2)^2)))</f>
        <v>32.690309440509566</v>
      </c>
      <c r="H102" s="3">
        <f>IF(($A102-Ft!D$2)&lt;0,Ft!D$3*((1-Ft!D$6)/(1+Ft!D$37*($A102-Ft!D$2)^2)+Ft!D$6*EXP(Ft!D$38*($A102-Ft!D$2)^2)),Ft!D$3*((1-Ft!D$7)/(1+Ft!D$39*($A102-Ft!D$2)^2)+Ft!D$7*EXP(Ft!D$40*($A102-Ft!D$2)^2)))</f>
        <v>8.2286047284157326E-17</v>
      </c>
      <c r="I102" s="3">
        <f>IF(($A102-Ft!E$2)&lt;0,Ft!E$3*((1-Ft!E$6)/(1+Ft!E$37*($A102-Ft!E$2)^2)+Ft!E$6*EXP(Ft!E$38*($A102-Ft!E$2)^2)),Ft!E$3*((1-Ft!E$7)/(1+Ft!E$39*($A102-Ft!E$2)^2)+Ft!E$7*EXP(Ft!E$40*($A102-Ft!E$2)^2)))</f>
        <v>15.876333096034914</v>
      </c>
      <c r="J102" s="3">
        <f>IF(($A102-Ft!F$2)&lt;0,Ft!F$3*((1-Ft!F$6)/(1+Ft!F$37*($A102-Ft!F$2)^2)+Ft!F$6*EXP(Ft!F$38*($A102-Ft!F$2)^2)),Ft!F$3*((1-Ft!F$7)/(1+Ft!F$39*($A102-Ft!F$2)^2)+Ft!F$7*EXP(Ft!F$40*($A102-Ft!F$2)^2)))</f>
        <v>10.778503220459031</v>
      </c>
      <c r="K102" s="3">
        <f>IF(($A102-Ft!G$2)&lt;0,Ft!G$3*((1-Ft!G$6)/(1+Ft!G$37*($A102-Ft!G$2)^2)+Ft!G$6*EXP(Ft!G$38*($A102-Ft!G$2)^2)),Ft!G$3*((1-Ft!G$7)/(1+Ft!G$39*($A102-Ft!G$2)^2)+Ft!G$7*EXP(Ft!G$40*($A102-Ft!G$2)^2)))</f>
        <v>36.004143369882001</v>
      </c>
      <c r="L102" s="3">
        <f>IF(($A102-Ft!H$2)&lt;0,Ft!H$3*((1-Ft!H$6)/(1+Ft!H$37*($A102-Ft!H$2)^2)+Ft!H$6*EXP(Ft!H$38*($A102-Ft!H$2)^2)),Ft!H$3*((1-Ft!H$7)/(1+Ft!H$39*($A102-Ft!H$2)^2)+Ft!H$7*EXP(Ft!H$40*($A102-Ft!H$2)^2)))</f>
        <v>0</v>
      </c>
      <c r="M102" s="3">
        <f>IF(($A102-Ft!I$2)&lt;0,Ft!I$3*((1-Ft!I$6)/(1+Ft!I$37*($A102-Ft!I$2)^2)+Ft!I$6*EXP(Ft!I$38*($A102-Ft!I$2)^2)),Ft!I$3*((1-Ft!I$7)/(1+Ft!I$39*($A102-Ft!I$2)^2)+Ft!I$7*EXP(Ft!I$40*($A102-Ft!I$2)^2)))</f>
        <v>0</v>
      </c>
      <c r="N102" s="3">
        <f>IF(($A102-Ft!J$2)&lt;0,Ft!J$3*((1-Ft!J$6)/(1+Ft!J$37*($A102-Ft!J$2)^2)+Ft!J$6*EXP(Ft!J$38*($A102-Ft!J$2)^2)),Ft!J$3*((1-Ft!J$7)/(1+Ft!J$39*($A102-Ft!J$2)^2)+Ft!J$7*EXP(Ft!J$40*($A102-Ft!J$2)^2)))</f>
        <v>0</v>
      </c>
      <c r="O102" s="3">
        <f>IF(($A102-Ft!K$2)&lt;0,Ft!K$3*((1-Ft!K$6)/(1+Ft!K$37*($A102-Ft!K$2)^2)+Ft!K$6*EXP(Ft!K$38*($A102-Ft!K$2)^2)),Ft!K$3*((1-Ft!K$7)/(1+Ft!K$39*($A102-Ft!K$2)^2)+Ft!K$7*EXP(Ft!K$40*($A102-Ft!K$2)^2)))</f>
        <v>0</v>
      </c>
      <c r="P102"/>
      <c r="Q102"/>
    </row>
    <row r="103" spans="1:17">
      <c r="A103" s="20">
        <v>203</v>
      </c>
      <c r="B103" s="29">
        <v>13.781627051551247</v>
      </c>
      <c r="C103" s="7">
        <f t="shared" si="3"/>
        <v>13.636961682735343</v>
      </c>
      <c r="D103" s="3">
        <f t="shared" si="4"/>
        <v>2.092806893464149E-2</v>
      </c>
      <c r="E103" s="3">
        <f>Ft!$B$12+Ft!$B$14*(Data!A103-Vars!$B$3)</f>
        <v>-200</v>
      </c>
      <c r="F103" s="3">
        <f>IF(($A103-Ft!B$2)&lt;0,Ft!B$3*((1-Ft!B$6)/(1+Ft!B$37*($A103-Ft!B$2)^2)+Ft!B$6*EXP(Ft!B$38*($A103-Ft!B$2)^2)),Ft!B$3*((1-Ft!B$7)/(1+Ft!B$39*($A103-Ft!B$2)^2)+Ft!B$7*EXP(Ft!B$40*($A103-Ft!B$2)^2)))</f>
        <v>117.56776727229852</v>
      </c>
      <c r="G103" s="3">
        <f>IF(($A103-Ft!C$2)&lt;0,Ft!C$3*((1-Ft!C$6)/(1+Ft!C$37*($A103-Ft!C$2)^2)+Ft!C$6*EXP(Ft!C$38*($A103-Ft!C$2)^2)),Ft!C$3*((1-Ft!C$7)/(1+Ft!C$39*($A103-Ft!C$2)^2)+Ft!C$7*EXP(Ft!C$40*($A103-Ft!C$2)^2)))</f>
        <v>32.791584394284413</v>
      </c>
      <c r="H103" s="3">
        <f>IF(($A103-Ft!D$2)&lt;0,Ft!D$3*((1-Ft!D$6)/(1+Ft!D$37*($A103-Ft!D$2)^2)+Ft!D$6*EXP(Ft!D$38*($A103-Ft!D$2)^2)),Ft!D$3*((1-Ft!D$7)/(1+Ft!D$39*($A103-Ft!D$2)^2)+Ft!D$7*EXP(Ft!D$40*($A103-Ft!D$2)^2)))</f>
        <v>1.5631665699680018E-16</v>
      </c>
      <c r="I103" s="3">
        <f>IF(($A103-Ft!E$2)&lt;0,Ft!E$3*((1-Ft!E$6)/(1+Ft!E$37*($A103-Ft!E$2)^2)+Ft!E$6*EXP(Ft!E$38*($A103-Ft!E$2)^2)),Ft!E$3*((1-Ft!E$7)/(1+Ft!E$39*($A103-Ft!E$2)^2)+Ft!E$7*EXP(Ft!E$40*($A103-Ft!E$2)^2)))</f>
        <v>16.116482277685883</v>
      </c>
      <c r="J103" s="3">
        <f>IF(($A103-Ft!F$2)&lt;0,Ft!F$3*((1-Ft!F$6)/(1+Ft!F$37*($A103-Ft!F$2)^2)+Ft!F$6*EXP(Ft!F$38*($A103-Ft!F$2)^2)),Ft!F$3*((1-Ft!F$7)/(1+Ft!F$39*($A103-Ft!F$2)^2)+Ft!F$7*EXP(Ft!F$40*($A103-Ft!F$2)^2)))</f>
        <v>10.868737475983064</v>
      </c>
      <c r="K103" s="3">
        <f>IF(($A103-Ft!G$2)&lt;0,Ft!G$3*((1-Ft!G$6)/(1+Ft!G$37*($A103-Ft!G$2)^2)+Ft!G$6*EXP(Ft!G$38*($A103-Ft!G$2)^2)),Ft!G$3*((1-Ft!G$7)/(1+Ft!G$39*($A103-Ft!G$2)^2)+Ft!G$7*EXP(Ft!G$40*($A103-Ft!G$2)^2)))</f>
        <v>36.292390262483458</v>
      </c>
      <c r="L103" s="3">
        <f>IF(($A103-Ft!H$2)&lt;0,Ft!H$3*((1-Ft!H$6)/(1+Ft!H$37*($A103-Ft!H$2)^2)+Ft!H$6*EXP(Ft!H$38*($A103-Ft!H$2)^2)),Ft!H$3*((1-Ft!H$7)/(1+Ft!H$39*($A103-Ft!H$2)^2)+Ft!H$7*EXP(Ft!H$40*($A103-Ft!H$2)^2)))</f>
        <v>0</v>
      </c>
      <c r="M103" s="3">
        <f>IF(($A103-Ft!I$2)&lt;0,Ft!I$3*((1-Ft!I$6)/(1+Ft!I$37*($A103-Ft!I$2)^2)+Ft!I$6*EXP(Ft!I$38*($A103-Ft!I$2)^2)),Ft!I$3*((1-Ft!I$7)/(1+Ft!I$39*($A103-Ft!I$2)^2)+Ft!I$7*EXP(Ft!I$40*($A103-Ft!I$2)^2)))</f>
        <v>0</v>
      </c>
      <c r="N103" s="3">
        <f>IF(($A103-Ft!J$2)&lt;0,Ft!J$3*((1-Ft!J$6)/(1+Ft!J$37*($A103-Ft!J$2)^2)+Ft!J$6*EXP(Ft!J$38*($A103-Ft!J$2)^2)),Ft!J$3*((1-Ft!J$7)/(1+Ft!J$39*($A103-Ft!J$2)^2)+Ft!J$7*EXP(Ft!J$40*($A103-Ft!J$2)^2)))</f>
        <v>0</v>
      </c>
      <c r="O103" s="3">
        <f>IF(($A103-Ft!K$2)&lt;0,Ft!K$3*((1-Ft!K$6)/(1+Ft!K$37*($A103-Ft!K$2)^2)+Ft!K$6*EXP(Ft!K$38*($A103-Ft!K$2)^2)),Ft!K$3*((1-Ft!K$7)/(1+Ft!K$39*($A103-Ft!K$2)^2)+Ft!K$7*EXP(Ft!K$40*($A103-Ft!K$2)^2)))</f>
        <v>0</v>
      </c>
      <c r="P103"/>
      <c r="Q103"/>
    </row>
    <row r="104" spans="1:17">
      <c r="A104" s="20">
        <v>205</v>
      </c>
      <c r="B104" s="29">
        <v>14.013273407138016</v>
      </c>
      <c r="C104" s="7">
        <f t="shared" si="3"/>
        <v>13.881937969980619</v>
      </c>
      <c r="D104" s="3">
        <f t="shared" si="4"/>
        <v>1.7248997053324441E-2</v>
      </c>
      <c r="E104" s="3">
        <f>Ft!$B$12+Ft!$B$14*(Data!A104-Vars!$B$3)</f>
        <v>-200</v>
      </c>
      <c r="F104" s="3">
        <f>IF(($A104-Ft!B$2)&lt;0,Ft!B$3*((1-Ft!B$6)/(1+Ft!B$37*($A104-Ft!B$2)^2)+Ft!B$6*EXP(Ft!B$38*($A104-Ft!B$2)^2)),Ft!B$3*((1-Ft!B$7)/(1+Ft!B$39*($A104-Ft!B$2)^2)+Ft!B$7*EXP(Ft!B$40*($A104-Ft!B$2)^2)))</f>
        <v>117.09100947788673</v>
      </c>
      <c r="G104" s="3">
        <f>IF(($A104-Ft!C$2)&lt;0,Ft!C$3*((1-Ft!C$6)/(1+Ft!C$37*($A104-Ft!C$2)^2)+Ft!C$6*EXP(Ft!C$38*($A104-Ft!C$2)^2)),Ft!C$3*((1-Ft!C$7)/(1+Ft!C$39*($A104-Ft!C$2)^2)+Ft!C$7*EXP(Ft!C$40*($A104-Ft!C$2)^2)))</f>
        <v>32.89288246368767</v>
      </c>
      <c r="H104" s="3">
        <f>IF(($A104-Ft!D$2)&lt;0,Ft!D$3*((1-Ft!D$6)/(1+Ft!D$37*($A104-Ft!D$2)^2)+Ft!D$6*EXP(Ft!D$38*($A104-Ft!D$2)^2)),Ft!D$3*((1-Ft!D$7)/(1+Ft!D$39*($A104-Ft!D$2)^2)+Ft!D$7*EXP(Ft!D$40*($A104-Ft!D$2)^2)))</f>
        <v>2.9531696967899814E-16</v>
      </c>
      <c r="I104" s="3">
        <f>IF(($A104-Ft!E$2)&lt;0,Ft!E$3*((1-Ft!E$6)/(1+Ft!E$37*($A104-Ft!E$2)^2)+Ft!E$6*EXP(Ft!E$38*($A104-Ft!E$2)^2)),Ft!E$3*((1-Ft!E$7)/(1+Ft!E$39*($A104-Ft!E$2)^2)+Ft!E$7*EXP(Ft!E$40*($A104-Ft!E$2)^2)))</f>
        <v>16.359315449330357</v>
      </c>
      <c r="J104" s="3">
        <f>IF(($A104-Ft!F$2)&lt;0,Ft!F$3*((1-Ft!F$6)/(1+Ft!F$37*($A104-Ft!F$2)^2)+Ft!F$6*EXP(Ft!F$38*($A104-Ft!F$2)^2)),Ft!F$3*((1-Ft!F$7)/(1+Ft!F$39*($A104-Ft!F$2)^2)+Ft!F$7*EXP(Ft!F$40*($A104-Ft!F$2)^2)))</f>
        <v>10.959582801094859</v>
      </c>
      <c r="K104" s="3">
        <f>IF(($A104-Ft!G$2)&lt;0,Ft!G$3*((1-Ft!G$6)/(1+Ft!G$37*($A104-Ft!G$2)^2)+Ft!G$6*EXP(Ft!G$38*($A104-Ft!G$2)^2)),Ft!G$3*((1-Ft!G$7)/(1+Ft!G$39*($A104-Ft!G$2)^2)+Ft!G$7*EXP(Ft!G$40*($A104-Ft!G$2)^2)))</f>
        <v>36.579147777981007</v>
      </c>
      <c r="L104" s="3">
        <f>IF(($A104-Ft!H$2)&lt;0,Ft!H$3*((1-Ft!H$6)/(1+Ft!H$37*($A104-Ft!H$2)^2)+Ft!H$6*EXP(Ft!H$38*($A104-Ft!H$2)^2)),Ft!H$3*((1-Ft!H$7)/(1+Ft!H$39*($A104-Ft!H$2)^2)+Ft!H$7*EXP(Ft!H$40*($A104-Ft!H$2)^2)))</f>
        <v>0</v>
      </c>
      <c r="M104" s="3">
        <f>IF(($A104-Ft!I$2)&lt;0,Ft!I$3*((1-Ft!I$6)/(1+Ft!I$37*($A104-Ft!I$2)^2)+Ft!I$6*EXP(Ft!I$38*($A104-Ft!I$2)^2)),Ft!I$3*((1-Ft!I$7)/(1+Ft!I$39*($A104-Ft!I$2)^2)+Ft!I$7*EXP(Ft!I$40*($A104-Ft!I$2)^2)))</f>
        <v>0</v>
      </c>
      <c r="N104" s="3">
        <f>IF(($A104-Ft!J$2)&lt;0,Ft!J$3*((1-Ft!J$6)/(1+Ft!J$37*($A104-Ft!J$2)^2)+Ft!J$6*EXP(Ft!J$38*($A104-Ft!J$2)^2)),Ft!J$3*((1-Ft!J$7)/(1+Ft!J$39*($A104-Ft!J$2)^2)+Ft!J$7*EXP(Ft!J$40*($A104-Ft!J$2)^2)))</f>
        <v>0</v>
      </c>
      <c r="O104" s="3">
        <f>IF(($A104-Ft!K$2)&lt;0,Ft!K$3*((1-Ft!K$6)/(1+Ft!K$37*($A104-Ft!K$2)^2)+Ft!K$6*EXP(Ft!K$38*($A104-Ft!K$2)^2)),Ft!K$3*((1-Ft!K$7)/(1+Ft!K$39*($A104-Ft!K$2)^2)+Ft!K$7*EXP(Ft!K$40*($A104-Ft!K$2)^2)))</f>
        <v>0</v>
      </c>
      <c r="P104"/>
      <c r="Q104"/>
    </row>
    <row r="105" spans="1:17">
      <c r="A105" s="20">
        <v>207</v>
      </c>
      <c r="B105" s="29">
        <v>14.245452020375239</v>
      </c>
      <c r="C105" s="7">
        <f t="shared" si="3"/>
        <v>14.128392111972573</v>
      </c>
      <c r="D105" s="3">
        <f t="shared" si="4"/>
        <v>1.3703022155240607E-2</v>
      </c>
      <c r="E105" s="3">
        <f>Ft!$B$12+Ft!$B$14*(Data!A105-Vars!$B$3)</f>
        <v>-200</v>
      </c>
      <c r="F105" s="3">
        <f>IF(($A105-Ft!B$2)&lt;0,Ft!B$3*((1-Ft!B$6)/(1+Ft!B$37*($A105-Ft!B$2)^2)+Ft!B$6*EXP(Ft!B$38*($A105-Ft!B$2)^2)),Ft!B$3*((1-Ft!B$7)/(1+Ft!B$39*($A105-Ft!B$2)^2)+Ft!B$7*EXP(Ft!B$40*($A105-Ft!B$2)^2)))</f>
        <v>116.61395921736386</v>
      </c>
      <c r="G105" s="3">
        <f>IF(($A105-Ft!C$2)&lt;0,Ft!C$3*((1-Ft!C$6)/(1+Ft!C$37*($A105-Ft!C$2)^2)+Ft!C$6*EXP(Ft!C$38*($A105-Ft!C$2)^2)),Ft!C$3*((1-Ft!C$7)/(1+Ft!C$39*($A105-Ft!C$2)^2)+Ft!C$7*EXP(Ft!C$40*($A105-Ft!C$2)^2)))</f>
        <v>32.994201927276343</v>
      </c>
      <c r="H105" s="3">
        <f>IF(($A105-Ft!D$2)&lt;0,Ft!D$3*((1-Ft!D$6)/(1+Ft!D$37*($A105-Ft!D$2)^2)+Ft!D$6*EXP(Ft!D$38*($A105-Ft!D$2)^2)),Ft!D$3*((1-Ft!D$7)/(1+Ft!D$39*($A105-Ft!D$2)^2)+Ft!D$7*EXP(Ft!D$40*($A105-Ft!D$2)^2)))</f>
        <v>5.5485005728663198E-16</v>
      </c>
      <c r="I105" s="3">
        <f>IF(($A105-Ft!E$2)&lt;0,Ft!E$3*((1-Ft!E$6)/(1+Ft!E$37*($A105-Ft!E$2)^2)+Ft!E$6*EXP(Ft!E$38*($A105-Ft!E$2)^2)),Ft!E$3*((1-Ft!E$7)/(1+Ft!E$39*($A105-Ft!E$2)^2)+Ft!E$7*EXP(Ft!E$40*($A105-Ft!E$2)^2)))</f>
        <v>16.604844680729112</v>
      </c>
      <c r="J105" s="3">
        <f>IF(($A105-Ft!F$2)&lt;0,Ft!F$3*((1-Ft!F$6)/(1+Ft!F$37*($A105-Ft!F$2)^2)+Ft!F$6*EXP(Ft!F$38*($A105-Ft!F$2)^2)),Ft!F$3*((1-Ft!F$7)/(1+Ft!F$39*($A105-Ft!F$2)^2)+Ft!F$7*EXP(Ft!F$40*($A105-Ft!F$2)^2)))</f>
        <v>11.051041900433789</v>
      </c>
      <c r="K105" s="3">
        <f>IF(($A105-Ft!G$2)&lt;0,Ft!G$3*((1-Ft!G$6)/(1+Ft!G$37*($A105-Ft!G$2)^2)+Ft!G$6*EXP(Ft!G$38*($A105-Ft!G$2)^2)),Ft!G$3*((1-Ft!G$7)/(1+Ft!G$39*($A105-Ft!G$2)^2)+Ft!G$7*EXP(Ft!G$40*($A105-Ft!G$2)^2)))</f>
        <v>36.864344386169478</v>
      </c>
      <c r="L105" s="3">
        <f>IF(($A105-Ft!H$2)&lt;0,Ft!H$3*((1-Ft!H$6)/(1+Ft!H$37*($A105-Ft!H$2)^2)+Ft!H$6*EXP(Ft!H$38*($A105-Ft!H$2)^2)),Ft!H$3*((1-Ft!H$7)/(1+Ft!H$39*($A105-Ft!H$2)^2)+Ft!H$7*EXP(Ft!H$40*($A105-Ft!H$2)^2)))</f>
        <v>0</v>
      </c>
      <c r="M105" s="3">
        <f>IF(($A105-Ft!I$2)&lt;0,Ft!I$3*((1-Ft!I$6)/(1+Ft!I$37*($A105-Ft!I$2)^2)+Ft!I$6*EXP(Ft!I$38*($A105-Ft!I$2)^2)),Ft!I$3*((1-Ft!I$7)/(1+Ft!I$39*($A105-Ft!I$2)^2)+Ft!I$7*EXP(Ft!I$40*($A105-Ft!I$2)^2)))</f>
        <v>0</v>
      </c>
      <c r="N105" s="3">
        <f>IF(($A105-Ft!J$2)&lt;0,Ft!J$3*((1-Ft!J$6)/(1+Ft!J$37*($A105-Ft!J$2)^2)+Ft!J$6*EXP(Ft!J$38*($A105-Ft!J$2)^2)),Ft!J$3*((1-Ft!J$7)/(1+Ft!J$39*($A105-Ft!J$2)^2)+Ft!J$7*EXP(Ft!J$40*($A105-Ft!J$2)^2)))</f>
        <v>0</v>
      </c>
      <c r="O105" s="3">
        <f>IF(($A105-Ft!K$2)&lt;0,Ft!K$3*((1-Ft!K$6)/(1+Ft!K$37*($A105-Ft!K$2)^2)+Ft!K$6*EXP(Ft!K$38*($A105-Ft!K$2)^2)),Ft!K$3*((1-Ft!K$7)/(1+Ft!K$39*($A105-Ft!K$2)^2)+Ft!K$7*EXP(Ft!K$40*($A105-Ft!K$2)^2)))</f>
        <v>0</v>
      </c>
      <c r="P105"/>
      <c r="Q105"/>
    </row>
    <row r="106" spans="1:17">
      <c r="A106" s="20">
        <v>209</v>
      </c>
      <c r="B106" s="29">
        <v>14.478185725440028</v>
      </c>
      <c r="C106" s="7">
        <f t="shared" si="3"/>
        <v>14.376284624330857</v>
      </c>
      <c r="D106" s="3">
        <f t="shared" si="4"/>
        <v>1.0383834407261412E-2</v>
      </c>
      <c r="E106" s="3">
        <f>Ft!$B$12+Ft!$B$14*(Data!A106-Vars!$B$3)</f>
        <v>-200</v>
      </c>
      <c r="F106" s="3">
        <f>IF(($A106-Ft!B$2)&lt;0,Ft!B$3*((1-Ft!B$6)/(1+Ft!B$37*($A106-Ft!B$2)^2)+Ft!B$6*EXP(Ft!B$38*($A106-Ft!B$2)^2)),Ft!B$3*((1-Ft!B$7)/(1+Ft!B$39*($A106-Ft!B$2)^2)+Ft!B$7*EXP(Ft!B$40*($A106-Ft!B$2)^2)))</f>
        <v>116.13663585569316</v>
      </c>
      <c r="G106" s="3">
        <f>IF(($A106-Ft!C$2)&lt;0,Ft!C$3*((1-Ft!C$6)/(1+Ft!C$37*($A106-Ft!C$2)^2)+Ft!C$6*EXP(Ft!C$38*($A106-Ft!C$2)^2)),Ft!C$3*((1-Ft!C$7)/(1+Ft!C$39*($A106-Ft!C$2)^2)+Ft!C$7*EXP(Ft!C$40*($A106-Ft!C$2)^2)))</f>
        <v>33.095541057729321</v>
      </c>
      <c r="H106" s="3">
        <f>IF(($A106-Ft!D$2)&lt;0,Ft!D$3*((1-Ft!D$6)/(1+Ft!D$37*($A106-Ft!D$2)^2)+Ft!D$6*EXP(Ft!D$38*($A106-Ft!D$2)^2)),Ft!D$3*((1-Ft!D$7)/(1+Ft!D$39*($A106-Ft!D$2)^2)+Ft!D$7*EXP(Ft!D$40*($A106-Ft!D$2)^2)))</f>
        <v>1.0367330750876914E-15</v>
      </c>
      <c r="I106" s="3">
        <f>IF(($A106-Ft!E$2)&lt;0,Ft!E$3*((1-Ft!E$6)/(1+Ft!E$37*($A106-Ft!E$2)^2)+Ft!E$6*EXP(Ft!E$38*($A106-Ft!E$2)^2)),Ft!E$3*((1-Ft!E$7)/(1+Ft!E$39*($A106-Ft!E$2)^2)+Ft!E$7*EXP(Ft!E$40*($A106-Ft!E$2)^2)))</f>
        <v>16.853081750679532</v>
      </c>
      <c r="J106" s="3">
        <f>IF(($A106-Ft!F$2)&lt;0,Ft!F$3*((1-Ft!F$6)/(1+Ft!F$37*($A106-Ft!F$2)^2)+Ft!F$6*EXP(Ft!F$38*($A106-Ft!F$2)^2)),Ft!F$3*((1-Ft!F$7)/(1+Ft!F$39*($A106-Ft!F$2)^2)+Ft!F$7*EXP(Ft!F$40*($A106-Ft!F$2)^2)))</f>
        <v>11.143117476875711</v>
      </c>
      <c r="K106" s="3">
        <f>IF(($A106-Ft!G$2)&lt;0,Ft!G$3*((1-Ft!G$6)/(1+Ft!G$37*($A106-Ft!G$2)^2)+Ft!G$6*EXP(Ft!G$38*($A106-Ft!G$2)^2)),Ft!G$3*((1-Ft!G$7)/(1+Ft!G$39*($A106-Ft!G$2)^2)+Ft!G$7*EXP(Ft!G$40*($A106-Ft!G$2)^2)))</f>
        <v>37.147908483353135</v>
      </c>
      <c r="L106" s="3">
        <f>IF(($A106-Ft!H$2)&lt;0,Ft!H$3*((1-Ft!H$6)/(1+Ft!H$37*($A106-Ft!H$2)^2)+Ft!H$6*EXP(Ft!H$38*($A106-Ft!H$2)^2)),Ft!H$3*((1-Ft!H$7)/(1+Ft!H$39*($A106-Ft!H$2)^2)+Ft!H$7*EXP(Ft!H$40*($A106-Ft!H$2)^2)))</f>
        <v>0</v>
      </c>
      <c r="M106" s="3">
        <f>IF(($A106-Ft!I$2)&lt;0,Ft!I$3*((1-Ft!I$6)/(1+Ft!I$37*($A106-Ft!I$2)^2)+Ft!I$6*EXP(Ft!I$38*($A106-Ft!I$2)^2)),Ft!I$3*((1-Ft!I$7)/(1+Ft!I$39*($A106-Ft!I$2)^2)+Ft!I$7*EXP(Ft!I$40*($A106-Ft!I$2)^2)))</f>
        <v>0</v>
      </c>
      <c r="N106" s="3">
        <f>IF(($A106-Ft!J$2)&lt;0,Ft!J$3*((1-Ft!J$6)/(1+Ft!J$37*($A106-Ft!J$2)^2)+Ft!J$6*EXP(Ft!J$38*($A106-Ft!J$2)^2)),Ft!J$3*((1-Ft!J$7)/(1+Ft!J$39*($A106-Ft!J$2)^2)+Ft!J$7*EXP(Ft!J$40*($A106-Ft!J$2)^2)))</f>
        <v>0</v>
      </c>
      <c r="O106" s="3">
        <f>IF(($A106-Ft!K$2)&lt;0,Ft!K$3*((1-Ft!K$6)/(1+Ft!K$37*($A106-Ft!K$2)^2)+Ft!K$6*EXP(Ft!K$38*($A106-Ft!K$2)^2)),Ft!K$3*((1-Ft!K$7)/(1+Ft!K$39*($A106-Ft!K$2)^2)+Ft!K$7*EXP(Ft!K$40*($A106-Ft!K$2)^2)))</f>
        <v>0</v>
      </c>
      <c r="P106"/>
      <c r="Q106"/>
    </row>
    <row r="107" spans="1:17">
      <c r="A107" s="20">
        <v>211</v>
      </c>
      <c r="B107" s="29">
        <v>14.711500217081721</v>
      </c>
      <c r="C107" s="7">
        <f t="shared" si="3"/>
        <v>14.625575609141428</v>
      </c>
      <c r="D107" s="3">
        <f t="shared" si="4"/>
        <v>7.3830382496929284E-3</v>
      </c>
      <c r="E107" s="3">
        <f>Ft!$B$12+Ft!$B$14*(Data!A107-Vars!$B$3)</f>
        <v>-200</v>
      </c>
      <c r="F107" s="3">
        <f>IF(($A107-Ft!B$2)&lt;0,Ft!B$3*((1-Ft!B$6)/(1+Ft!B$37*($A107-Ft!B$2)^2)+Ft!B$6*EXP(Ft!B$38*($A107-Ft!B$2)^2)),Ft!B$3*((1-Ft!B$7)/(1+Ft!B$39*($A107-Ft!B$2)^2)+Ft!B$7*EXP(Ft!B$40*($A107-Ft!B$2)^2)))</f>
        <v>115.65905869436355</v>
      </c>
      <c r="G107" s="3">
        <f>IF(($A107-Ft!C$2)&lt;0,Ft!C$3*((1-Ft!C$6)/(1+Ft!C$37*($A107-Ft!C$2)^2)+Ft!C$6*EXP(Ft!C$38*($A107-Ft!C$2)^2)),Ft!C$3*((1-Ft!C$7)/(1+Ft!C$39*($A107-Ft!C$2)^2)+Ft!C$7*EXP(Ft!C$40*($A107-Ft!C$2)^2)))</f>
        <v>33.196898121890406</v>
      </c>
      <c r="H107" s="3">
        <f>IF(($A107-Ft!D$2)&lt;0,Ft!D$3*((1-Ft!D$6)/(1+Ft!D$37*($A107-Ft!D$2)^2)+Ft!D$6*EXP(Ft!D$38*($A107-Ft!D$2)^2)),Ft!D$3*((1-Ft!D$7)/(1+Ft!D$39*($A107-Ft!D$2)^2)+Ft!D$7*EXP(Ft!D$40*($A107-Ft!D$2)^2)))</f>
        <v>1.9264704870514468E-15</v>
      </c>
      <c r="I107" s="3">
        <f>IF(($A107-Ft!E$2)&lt;0,Ft!E$3*((1-Ft!E$6)/(1+Ft!E$37*($A107-Ft!E$2)^2)+Ft!E$6*EXP(Ft!E$38*($A107-Ft!E$2)^2)),Ft!E$3*((1-Ft!E$7)/(1+Ft!E$39*($A107-Ft!E$2)^2)+Ft!E$7*EXP(Ft!E$40*($A107-Ft!E$2)^2)))</f>
        <v>17.104038139896556</v>
      </c>
      <c r="J107" s="3">
        <f>IF(($A107-Ft!F$2)&lt;0,Ft!F$3*((1-Ft!F$6)/(1+Ft!F$37*($A107-Ft!F$2)^2)+Ft!F$6*EXP(Ft!F$38*($A107-Ft!F$2)^2)),Ft!F$3*((1-Ft!F$7)/(1+Ft!F$39*($A107-Ft!F$2)^2)+Ft!F$7*EXP(Ft!F$40*($A107-Ft!F$2)^2)))</f>
        <v>11.23581223137529</v>
      </c>
      <c r="K107" s="3">
        <f>IF(($A107-Ft!G$2)&lt;0,Ft!G$3*((1-Ft!G$6)/(1+Ft!G$37*($A107-Ft!G$2)^2)+Ft!G$6*EXP(Ft!G$38*($A107-Ft!G$2)^2)),Ft!G$3*((1-Ft!G$7)/(1+Ft!G$39*($A107-Ft!G$2)^2)+Ft!G$7*EXP(Ft!G$40*($A107-Ft!G$2)^2)))</f>
        <v>37.429768421615627</v>
      </c>
      <c r="L107" s="3">
        <f>IF(($A107-Ft!H$2)&lt;0,Ft!H$3*((1-Ft!H$6)/(1+Ft!H$37*($A107-Ft!H$2)^2)+Ft!H$6*EXP(Ft!H$38*($A107-Ft!H$2)^2)),Ft!H$3*((1-Ft!H$7)/(1+Ft!H$39*($A107-Ft!H$2)^2)+Ft!H$7*EXP(Ft!H$40*($A107-Ft!H$2)^2)))</f>
        <v>0</v>
      </c>
      <c r="M107" s="3">
        <f>IF(($A107-Ft!I$2)&lt;0,Ft!I$3*((1-Ft!I$6)/(1+Ft!I$37*($A107-Ft!I$2)^2)+Ft!I$6*EXP(Ft!I$38*($A107-Ft!I$2)^2)),Ft!I$3*((1-Ft!I$7)/(1+Ft!I$39*($A107-Ft!I$2)^2)+Ft!I$7*EXP(Ft!I$40*($A107-Ft!I$2)^2)))</f>
        <v>0</v>
      </c>
      <c r="N107" s="3">
        <f>IF(($A107-Ft!J$2)&lt;0,Ft!J$3*((1-Ft!J$6)/(1+Ft!J$37*($A107-Ft!J$2)^2)+Ft!J$6*EXP(Ft!J$38*($A107-Ft!J$2)^2)),Ft!J$3*((1-Ft!J$7)/(1+Ft!J$39*($A107-Ft!J$2)^2)+Ft!J$7*EXP(Ft!J$40*($A107-Ft!J$2)^2)))</f>
        <v>0</v>
      </c>
      <c r="O107" s="3">
        <f>IF(($A107-Ft!K$2)&lt;0,Ft!K$3*((1-Ft!K$6)/(1+Ft!K$37*($A107-Ft!K$2)^2)+Ft!K$6*EXP(Ft!K$38*($A107-Ft!K$2)^2)),Ft!K$3*((1-Ft!K$7)/(1+Ft!K$39*($A107-Ft!K$2)^2)+Ft!K$7*EXP(Ft!K$40*($A107-Ft!K$2)^2)))</f>
        <v>0</v>
      </c>
      <c r="P107"/>
      <c r="Q107"/>
    </row>
    <row r="108" spans="1:17">
      <c r="A108" s="20">
        <v>213</v>
      </c>
      <c r="B108" s="29">
        <v>14.945424221758628</v>
      </c>
      <c r="C108" s="7">
        <f t="shared" si="3"/>
        <v>14.876224776011309</v>
      </c>
      <c r="D108" s="3">
        <f t="shared" si="4"/>
        <v>4.7885632917361856E-3</v>
      </c>
      <c r="E108" s="3">
        <f>Ft!$B$12+Ft!$B$14*(Data!A108-Vars!$B$3)</f>
        <v>-200</v>
      </c>
      <c r="F108" s="3">
        <f>IF(($A108-Ft!B$2)&lt;0,Ft!B$3*((1-Ft!B$6)/(1+Ft!B$37*($A108-Ft!B$2)^2)+Ft!B$6*EXP(Ft!B$38*($A108-Ft!B$2)^2)),Ft!B$3*((1-Ft!B$7)/(1+Ft!B$39*($A108-Ft!B$2)^2)+Ft!B$7*EXP(Ft!B$40*($A108-Ft!B$2)^2)))</f>
        <v>115.18124697017875</v>
      </c>
      <c r="G108" s="3">
        <f>IF(($A108-Ft!C$2)&lt;0,Ft!C$3*((1-Ft!C$6)/(1+Ft!C$37*($A108-Ft!C$2)^2)+Ft!C$6*EXP(Ft!C$38*($A108-Ft!C$2)^2)),Ft!C$3*((1-Ft!C$7)/(1+Ft!C$39*($A108-Ft!C$2)^2)+Ft!C$7*EXP(Ft!C$40*($A108-Ft!C$2)^2)))</f>
        <v>33.298271380811734</v>
      </c>
      <c r="H108" s="3">
        <f>IF(($A108-Ft!D$2)&lt;0,Ft!D$3*((1-Ft!D$6)/(1+Ft!D$37*($A108-Ft!D$2)^2)+Ft!D$6*EXP(Ft!D$38*($A108-Ft!D$2)^2)),Ft!D$3*((1-Ft!D$7)/(1+Ft!D$39*($A108-Ft!D$2)^2)+Ft!D$7*EXP(Ft!D$40*($A108-Ft!D$2)^2)))</f>
        <v>3.560097181244059E-15</v>
      </c>
      <c r="I108" s="3">
        <f>IF(($A108-Ft!E$2)&lt;0,Ft!E$3*((1-Ft!E$6)/(1+Ft!E$37*($A108-Ft!E$2)^2)+Ft!E$6*EXP(Ft!E$38*($A108-Ft!E$2)^2)),Ft!E$3*((1-Ft!E$7)/(1+Ft!E$39*($A108-Ft!E$2)^2)+Ft!E$7*EXP(Ft!E$40*($A108-Ft!E$2)^2)))</f>
        <v>17.357725023874149</v>
      </c>
      <c r="J108" s="3">
        <f>IF(($A108-Ft!F$2)&lt;0,Ft!F$3*((1-Ft!F$6)/(1+Ft!F$37*($A108-Ft!F$2)^2)+Ft!F$6*EXP(Ft!F$38*($A108-Ft!F$2)^2)),Ft!F$3*((1-Ft!F$7)/(1+Ft!F$39*($A108-Ft!F$2)^2)+Ft!F$7*EXP(Ft!F$40*($A108-Ft!F$2)^2)))</f>
        <v>11.329128862807078</v>
      </c>
      <c r="K108" s="3">
        <f>IF(($A108-Ft!G$2)&lt;0,Ft!G$3*((1-Ft!G$6)/(1+Ft!G$37*($A108-Ft!G$2)^2)+Ft!G$6*EXP(Ft!G$38*($A108-Ft!G$2)^2)),Ft!G$3*((1-Ft!G$7)/(1+Ft!G$39*($A108-Ft!G$2)^2)+Ft!G$7*EXP(Ft!G$40*($A108-Ft!G$2)^2)))</f>
        <v>37.70985253833959</v>
      </c>
      <c r="L108" s="3">
        <f>IF(($A108-Ft!H$2)&lt;0,Ft!H$3*((1-Ft!H$6)/(1+Ft!H$37*($A108-Ft!H$2)^2)+Ft!H$6*EXP(Ft!H$38*($A108-Ft!H$2)^2)),Ft!H$3*((1-Ft!H$7)/(1+Ft!H$39*($A108-Ft!H$2)^2)+Ft!H$7*EXP(Ft!H$40*($A108-Ft!H$2)^2)))</f>
        <v>0</v>
      </c>
      <c r="M108" s="3">
        <f>IF(($A108-Ft!I$2)&lt;0,Ft!I$3*((1-Ft!I$6)/(1+Ft!I$37*($A108-Ft!I$2)^2)+Ft!I$6*EXP(Ft!I$38*($A108-Ft!I$2)^2)),Ft!I$3*((1-Ft!I$7)/(1+Ft!I$39*($A108-Ft!I$2)^2)+Ft!I$7*EXP(Ft!I$40*($A108-Ft!I$2)^2)))</f>
        <v>0</v>
      </c>
      <c r="N108" s="3">
        <f>IF(($A108-Ft!J$2)&lt;0,Ft!J$3*((1-Ft!J$6)/(1+Ft!J$37*($A108-Ft!J$2)^2)+Ft!J$6*EXP(Ft!J$38*($A108-Ft!J$2)^2)),Ft!J$3*((1-Ft!J$7)/(1+Ft!J$39*($A108-Ft!J$2)^2)+Ft!J$7*EXP(Ft!J$40*($A108-Ft!J$2)^2)))</f>
        <v>0</v>
      </c>
      <c r="O108" s="3">
        <f>IF(($A108-Ft!K$2)&lt;0,Ft!K$3*((1-Ft!K$6)/(1+Ft!K$37*($A108-Ft!K$2)^2)+Ft!K$6*EXP(Ft!K$38*($A108-Ft!K$2)^2)),Ft!K$3*((1-Ft!K$7)/(1+Ft!K$39*($A108-Ft!K$2)^2)+Ft!K$7*EXP(Ft!K$40*($A108-Ft!K$2)^2)))</f>
        <v>0</v>
      </c>
      <c r="P108"/>
      <c r="Q108"/>
    </row>
    <row r="109" spans="1:17">
      <c r="A109" s="20">
        <v>215</v>
      </c>
      <c r="B109" s="29">
        <v>15.179989658187822</v>
      </c>
      <c r="C109" s="7">
        <f t="shared" si="3"/>
        <v>15.12819146334968</v>
      </c>
      <c r="D109" s="3">
        <f t="shared" si="4"/>
        <v>2.6830529884901053E-3</v>
      </c>
      <c r="E109" s="3">
        <f>Ft!$B$12+Ft!$B$14*(Data!A109-Vars!$B$3)</f>
        <v>-200</v>
      </c>
      <c r="F109" s="3">
        <f>IF(($A109-Ft!B$2)&lt;0,Ft!B$3*((1-Ft!B$6)/(1+Ft!B$37*($A109-Ft!B$2)^2)+Ft!B$6*EXP(Ft!B$38*($A109-Ft!B$2)^2)),Ft!B$3*((1-Ft!B$7)/(1+Ft!B$39*($A109-Ft!B$2)^2)+Ft!B$7*EXP(Ft!B$40*($A109-Ft!B$2)^2)))</f>
        <v>114.70321985405776</v>
      </c>
      <c r="G109" s="3">
        <f>IF(($A109-Ft!C$2)&lt;0,Ft!C$3*((1-Ft!C$6)/(1+Ft!C$37*($A109-Ft!C$2)^2)+Ft!C$6*EXP(Ft!C$38*($A109-Ft!C$2)^2)),Ft!C$3*((1-Ft!C$7)/(1+Ft!C$39*($A109-Ft!C$2)^2)+Ft!C$7*EXP(Ft!C$40*($A109-Ft!C$2)^2)))</f>
        <v>33.399659089797595</v>
      </c>
      <c r="H109" s="3">
        <f>IF(($A109-Ft!D$2)&lt;0,Ft!D$3*((1-Ft!D$6)/(1+Ft!D$37*($A109-Ft!D$2)^2)+Ft!D$6*EXP(Ft!D$38*($A109-Ft!D$2)^2)),Ft!D$3*((1-Ft!D$7)/(1+Ft!D$39*($A109-Ft!D$2)^2)+Ft!D$7*EXP(Ft!D$40*($A109-Ft!D$2)^2)))</f>
        <v>6.5428269427408195E-15</v>
      </c>
      <c r="I109" s="3">
        <f>IF(($A109-Ft!E$2)&lt;0,Ft!E$3*((1-Ft!E$6)/(1+Ft!E$37*($A109-Ft!E$2)^2)+Ft!E$6*EXP(Ft!E$38*($A109-Ft!E$2)^2)),Ft!E$3*((1-Ft!E$7)/(1+Ft!E$39*($A109-Ft!E$2)^2)+Ft!E$7*EXP(Ft!E$40*($A109-Ft!E$2)^2)))</f>
        <v>17.614153265729403</v>
      </c>
      <c r="J109" s="3">
        <f>IF(($A109-Ft!F$2)&lt;0,Ft!F$3*((1-Ft!F$6)/(1+Ft!F$37*($A109-Ft!F$2)^2)+Ft!F$6*EXP(Ft!F$38*($A109-Ft!F$2)^2)),Ft!F$3*((1-Ft!F$7)/(1+Ft!F$39*($A109-Ft!F$2)^2)+Ft!F$7*EXP(Ft!F$40*($A109-Ft!F$2)^2)))</f>
        <v>11.423070067805446</v>
      </c>
      <c r="K109" s="3">
        <f>IF(($A109-Ft!G$2)&lt;0,Ft!G$3*((1-Ft!G$6)/(1+Ft!G$37*($A109-Ft!G$2)^2)+Ft!G$6*EXP(Ft!G$38*($A109-Ft!G$2)^2)),Ft!G$3*((1-Ft!G$7)/(1+Ft!G$39*($A109-Ft!G$2)^2)+Ft!G$7*EXP(Ft!G$40*($A109-Ft!G$2)^2)))</f>
        <v>37.98808918595946</v>
      </c>
      <c r="L109" s="3">
        <f>IF(($A109-Ft!H$2)&lt;0,Ft!H$3*((1-Ft!H$6)/(1+Ft!H$37*($A109-Ft!H$2)^2)+Ft!H$6*EXP(Ft!H$38*($A109-Ft!H$2)^2)),Ft!H$3*((1-Ft!H$7)/(1+Ft!H$39*($A109-Ft!H$2)^2)+Ft!H$7*EXP(Ft!H$40*($A109-Ft!H$2)^2)))</f>
        <v>0</v>
      </c>
      <c r="M109" s="3">
        <f>IF(($A109-Ft!I$2)&lt;0,Ft!I$3*((1-Ft!I$6)/(1+Ft!I$37*($A109-Ft!I$2)^2)+Ft!I$6*EXP(Ft!I$38*($A109-Ft!I$2)^2)),Ft!I$3*((1-Ft!I$7)/(1+Ft!I$39*($A109-Ft!I$2)^2)+Ft!I$7*EXP(Ft!I$40*($A109-Ft!I$2)^2)))</f>
        <v>0</v>
      </c>
      <c r="N109" s="3">
        <f>IF(($A109-Ft!J$2)&lt;0,Ft!J$3*((1-Ft!J$6)/(1+Ft!J$37*($A109-Ft!J$2)^2)+Ft!J$6*EXP(Ft!J$38*($A109-Ft!J$2)^2)),Ft!J$3*((1-Ft!J$7)/(1+Ft!J$39*($A109-Ft!J$2)^2)+Ft!J$7*EXP(Ft!J$40*($A109-Ft!J$2)^2)))</f>
        <v>0</v>
      </c>
      <c r="O109" s="3">
        <f>IF(($A109-Ft!K$2)&lt;0,Ft!K$3*((1-Ft!K$6)/(1+Ft!K$37*($A109-Ft!K$2)^2)+Ft!K$6*EXP(Ft!K$38*($A109-Ft!K$2)^2)),Ft!K$3*((1-Ft!K$7)/(1+Ft!K$39*($A109-Ft!K$2)^2)+Ft!K$7*EXP(Ft!K$40*($A109-Ft!K$2)^2)))</f>
        <v>0</v>
      </c>
      <c r="P109"/>
      <c r="Q109"/>
    </row>
    <row r="110" spans="1:17">
      <c r="A110" s="20">
        <v>217</v>
      </c>
      <c r="B110" s="29">
        <v>15.415231783149636</v>
      </c>
      <c r="C110" s="7">
        <f t="shared" si="3"/>
        <v>15.381434659860439</v>
      </c>
      <c r="D110" s="3">
        <f t="shared" si="4"/>
        <v>1.1422455426252074E-3</v>
      </c>
      <c r="E110" s="3">
        <f>Ft!$B$12+Ft!$B$14*(Data!A110-Vars!$B$3)</f>
        <v>-200</v>
      </c>
      <c r="F110" s="3">
        <f>IF(($A110-Ft!B$2)&lt;0,Ft!B$3*((1-Ft!B$6)/(1+Ft!B$37*($A110-Ft!B$2)^2)+Ft!B$6*EXP(Ft!B$38*($A110-Ft!B$2)^2)),Ft!B$3*((1-Ft!B$7)/(1+Ft!B$39*($A110-Ft!B$2)^2)+Ft!B$7*EXP(Ft!B$40*($A110-Ft!B$2)^2)))</f>
        <v>114.22499644984637</v>
      </c>
      <c r="G110" s="3">
        <f>IF(($A110-Ft!C$2)&lt;0,Ft!C$3*((1-Ft!C$6)/(1+Ft!C$37*($A110-Ft!C$2)^2)+Ft!C$6*EXP(Ft!C$38*($A110-Ft!C$2)^2)),Ft!C$3*((1-Ft!C$7)/(1+Ft!C$39*($A110-Ft!C$2)^2)+Ft!C$7*EXP(Ft!C$40*($A110-Ft!C$2)^2)))</f>
        <v>33.50105949844864</v>
      </c>
      <c r="H110" s="3">
        <f>IF(($A110-Ft!D$2)&lt;0,Ft!D$3*((1-Ft!D$6)/(1+Ft!D$37*($A110-Ft!D$2)^2)+Ft!D$6*EXP(Ft!D$38*($A110-Ft!D$2)^2)),Ft!D$3*((1-Ft!D$7)/(1+Ft!D$39*($A110-Ft!D$2)^2)+Ft!D$7*EXP(Ft!D$40*($A110-Ft!D$2)^2)))</f>
        <v>1.1958400673974003E-14</v>
      </c>
      <c r="I110" s="3">
        <f>IF(($A110-Ft!E$2)&lt;0,Ft!E$3*((1-Ft!E$6)/(1+Ft!E$37*($A110-Ft!E$2)^2)+Ft!E$6*EXP(Ft!E$38*($A110-Ft!E$2)^2)),Ft!E$3*((1-Ft!E$7)/(1+Ft!E$39*($A110-Ft!E$2)^2)+Ft!E$7*EXP(Ft!E$40*($A110-Ft!E$2)^2)))</f>
        <v>17.873333409031439</v>
      </c>
      <c r="J110" s="3">
        <f>IF(($A110-Ft!F$2)&lt;0,Ft!F$3*((1-Ft!F$6)/(1+Ft!F$37*($A110-Ft!F$2)^2)+Ft!F$6*EXP(Ft!F$38*($A110-Ft!F$2)^2)),Ft!F$3*((1-Ft!F$7)/(1+Ft!F$39*($A110-Ft!F$2)^2)+Ft!F$7*EXP(Ft!F$40*($A110-Ft!F$2)^2)))</f>
        <v>11.517638540603357</v>
      </c>
      <c r="K110" s="3">
        <f>IF(($A110-Ft!G$2)&lt;0,Ft!G$3*((1-Ft!G$6)/(1+Ft!G$37*($A110-Ft!G$2)^2)+Ft!G$6*EXP(Ft!G$38*($A110-Ft!G$2)^2)),Ft!G$3*((1-Ft!G$7)/(1+Ft!G$39*($A110-Ft!G$2)^2)+Ft!G$7*EXP(Ft!G$40*($A110-Ft!G$2)^2)))</f>
        <v>38.264406761930616</v>
      </c>
      <c r="L110" s="3">
        <f>IF(($A110-Ft!H$2)&lt;0,Ft!H$3*((1-Ft!H$6)/(1+Ft!H$37*($A110-Ft!H$2)^2)+Ft!H$6*EXP(Ft!H$38*($A110-Ft!H$2)^2)),Ft!H$3*((1-Ft!H$7)/(1+Ft!H$39*($A110-Ft!H$2)^2)+Ft!H$7*EXP(Ft!H$40*($A110-Ft!H$2)^2)))</f>
        <v>0</v>
      </c>
      <c r="M110" s="3">
        <f>IF(($A110-Ft!I$2)&lt;0,Ft!I$3*((1-Ft!I$6)/(1+Ft!I$37*($A110-Ft!I$2)^2)+Ft!I$6*EXP(Ft!I$38*($A110-Ft!I$2)^2)),Ft!I$3*((1-Ft!I$7)/(1+Ft!I$39*($A110-Ft!I$2)^2)+Ft!I$7*EXP(Ft!I$40*($A110-Ft!I$2)^2)))</f>
        <v>0</v>
      </c>
      <c r="N110" s="3">
        <f>IF(($A110-Ft!J$2)&lt;0,Ft!J$3*((1-Ft!J$6)/(1+Ft!J$37*($A110-Ft!J$2)^2)+Ft!J$6*EXP(Ft!J$38*($A110-Ft!J$2)^2)),Ft!J$3*((1-Ft!J$7)/(1+Ft!J$39*($A110-Ft!J$2)^2)+Ft!J$7*EXP(Ft!J$40*($A110-Ft!J$2)^2)))</f>
        <v>0</v>
      </c>
      <c r="O110" s="3">
        <f>IF(($A110-Ft!K$2)&lt;0,Ft!K$3*((1-Ft!K$6)/(1+Ft!K$37*($A110-Ft!K$2)^2)+Ft!K$6*EXP(Ft!K$38*($A110-Ft!K$2)^2)),Ft!K$3*((1-Ft!K$7)/(1+Ft!K$39*($A110-Ft!K$2)^2)+Ft!K$7*EXP(Ft!K$40*($A110-Ft!K$2)^2)))</f>
        <v>0</v>
      </c>
      <c r="P110"/>
      <c r="Q110"/>
    </row>
    <row r="111" spans="1:17">
      <c r="A111" s="20">
        <v>219</v>
      </c>
      <c r="B111" s="29">
        <v>15.651189317972502</v>
      </c>
      <c r="C111" s="7">
        <f t="shared" si="3"/>
        <v>15.635913026231783</v>
      </c>
      <c r="D111" s="3">
        <f t="shared" si="4"/>
        <v>2.3336508934755225E-4</v>
      </c>
      <c r="E111" s="3">
        <f>Ft!$B$12+Ft!$B$14*(Data!A111-Vars!$B$3)</f>
        <v>-200</v>
      </c>
      <c r="F111" s="3">
        <f>IF(($A111-Ft!B$2)&lt;0,Ft!B$3*((1-Ft!B$6)/(1+Ft!B$37*($A111-Ft!B$2)^2)+Ft!B$6*EXP(Ft!B$38*($A111-Ft!B$2)^2)),Ft!B$3*((1-Ft!B$7)/(1+Ft!B$39*($A111-Ft!B$2)^2)+Ft!B$7*EXP(Ft!B$40*($A111-Ft!B$2)^2)))</f>
        <v>113.74659579314006</v>
      </c>
      <c r="G111" s="3">
        <f>IF(($A111-Ft!C$2)&lt;0,Ft!C$3*((1-Ft!C$6)/(1+Ft!C$37*($A111-Ft!C$2)^2)+Ft!C$6*EXP(Ft!C$38*($A111-Ft!C$2)^2)),Ft!C$3*((1-Ft!C$7)/(1+Ft!C$39*($A111-Ft!C$2)^2)+Ft!C$7*EXP(Ft!C$40*($A111-Ft!C$2)^2)))</f>
        <v>33.602470850706453</v>
      </c>
      <c r="H111" s="3">
        <f>IF(($A111-Ft!D$2)&lt;0,Ft!D$3*((1-Ft!D$6)/(1+Ft!D$37*($A111-Ft!D$2)^2)+Ft!D$6*EXP(Ft!D$38*($A111-Ft!D$2)^2)),Ft!D$3*((1-Ft!D$7)/(1+Ft!D$39*($A111-Ft!D$2)^2)+Ft!D$7*EXP(Ft!D$40*($A111-Ft!D$2)^2)))</f>
        <v>2.1736261736243083E-14</v>
      </c>
      <c r="I111" s="3">
        <f>IF(($A111-Ft!E$2)&lt;0,Ft!E$3*((1-Ft!E$6)/(1+Ft!E$37*($A111-Ft!E$2)^2)+Ft!E$6*EXP(Ft!E$38*($A111-Ft!E$2)^2)),Ft!E$3*((1-Ft!E$7)/(1+Ft!E$39*($A111-Ft!E$2)^2)+Ft!E$7*EXP(Ft!E$40*($A111-Ft!E$2)^2)))</f>
        <v>18.135275670617606</v>
      </c>
      <c r="J111" s="3">
        <f>IF(($A111-Ft!F$2)&lt;0,Ft!F$3*((1-Ft!F$6)/(1+Ft!F$37*($A111-Ft!F$2)^2)+Ft!F$6*EXP(Ft!F$38*($A111-Ft!F$2)^2)),Ft!F$3*((1-Ft!F$7)/(1+Ft!F$39*($A111-Ft!F$2)^2)+Ft!F$7*EXP(Ft!F$40*($A111-Ft!F$2)^2)))</f>
        <v>11.612836972869893</v>
      </c>
      <c r="K111" s="3">
        <f>IF(($A111-Ft!G$2)&lt;0,Ft!G$3*((1-Ft!G$6)/(1+Ft!G$37*($A111-Ft!G$2)^2)+Ft!G$6*EXP(Ft!G$38*($A111-Ft!G$2)^2)),Ft!G$3*((1-Ft!G$7)/(1+Ft!G$39*($A111-Ft!G$2)^2)+Ft!G$7*EXP(Ft!G$40*($A111-Ft!G$2)^2)))</f>
        <v>38.538733738897747</v>
      </c>
      <c r="L111" s="3">
        <f>IF(($A111-Ft!H$2)&lt;0,Ft!H$3*((1-Ft!H$6)/(1+Ft!H$37*($A111-Ft!H$2)^2)+Ft!H$6*EXP(Ft!H$38*($A111-Ft!H$2)^2)),Ft!H$3*((1-Ft!H$7)/(1+Ft!H$39*($A111-Ft!H$2)^2)+Ft!H$7*EXP(Ft!H$40*($A111-Ft!H$2)^2)))</f>
        <v>0</v>
      </c>
      <c r="M111" s="3">
        <f>IF(($A111-Ft!I$2)&lt;0,Ft!I$3*((1-Ft!I$6)/(1+Ft!I$37*($A111-Ft!I$2)^2)+Ft!I$6*EXP(Ft!I$38*($A111-Ft!I$2)^2)),Ft!I$3*((1-Ft!I$7)/(1+Ft!I$39*($A111-Ft!I$2)^2)+Ft!I$7*EXP(Ft!I$40*($A111-Ft!I$2)^2)))</f>
        <v>0</v>
      </c>
      <c r="N111" s="3">
        <f>IF(($A111-Ft!J$2)&lt;0,Ft!J$3*((1-Ft!J$6)/(1+Ft!J$37*($A111-Ft!J$2)^2)+Ft!J$6*EXP(Ft!J$38*($A111-Ft!J$2)^2)),Ft!J$3*((1-Ft!J$7)/(1+Ft!J$39*($A111-Ft!J$2)^2)+Ft!J$7*EXP(Ft!J$40*($A111-Ft!J$2)^2)))</f>
        <v>0</v>
      </c>
      <c r="O111" s="3">
        <f>IF(($A111-Ft!K$2)&lt;0,Ft!K$3*((1-Ft!K$6)/(1+Ft!K$37*($A111-Ft!K$2)^2)+Ft!K$6*EXP(Ft!K$38*($A111-Ft!K$2)^2)),Ft!K$3*((1-Ft!K$7)/(1+Ft!K$39*($A111-Ft!K$2)^2)+Ft!K$7*EXP(Ft!K$40*($A111-Ft!K$2)^2)))</f>
        <v>0</v>
      </c>
      <c r="P111"/>
      <c r="Q111"/>
    </row>
    <row r="112" spans="1:17">
      <c r="A112" s="20">
        <v>221</v>
      </c>
      <c r="B112" s="29">
        <v>15.887904550732941</v>
      </c>
      <c r="C112" s="7">
        <f t="shared" si="3"/>
        <v>15.891584917007762</v>
      </c>
      <c r="D112" s="3">
        <f t="shared" si="4"/>
        <v>1.3545095916841772E-5</v>
      </c>
      <c r="E112" s="3">
        <f>Ft!$B$12+Ft!$B$14*(Data!A112-Vars!$B$3)</f>
        <v>-200</v>
      </c>
      <c r="F112" s="3">
        <f>IF(($A112-Ft!B$2)&lt;0,Ft!B$3*((1-Ft!B$6)/(1+Ft!B$37*($A112-Ft!B$2)^2)+Ft!B$6*EXP(Ft!B$38*($A112-Ft!B$2)^2)),Ft!B$3*((1-Ft!B$7)/(1+Ft!B$39*($A112-Ft!B$2)^2)+Ft!B$7*EXP(Ft!B$40*($A112-Ft!B$2)^2)))</f>
        <v>113.26803685011836</v>
      </c>
      <c r="G112" s="3">
        <f>IF(($A112-Ft!C$2)&lt;0,Ft!C$3*((1-Ft!C$6)/(1+Ft!C$37*($A112-Ft!C$2)^2)+Ft!C$6*EXP(Ft!C$38*($A112-Ft!C$2)^2)),Ft!C$3*((1-Ft!C$7)/(1+Ft!C$39*($A112-Ft!C$2)^2)+Ft!C$7*EXP(Ft!C$40*($A112-Ft!C$2)^2)))</f>
        <v>33.703891384898569</v>
      </c>
      <c r="H112" s="3">
        <f>IF(($A112-Ft!D$2)&lt;0,Ft!D$3*((1-Ft!D$6)/(1+Ft!D$37*($A112-Ft!D$2)^2)+Ft!D$6*EXP(Ft!D$38*($A112-Ft!D$2)^2)),Ft!D$3*((1-Ft!D$7)/(1+Ft!D$39*($A112-Ft!D$2)^2)+Ft!D$7*EXP(Ft!D$40*($A112-Ft!D$2)^2)))</f>
        <v>3.9291688865749166E-14</v>
      </c>
      <c r="I112" s="3">
        <f>IF(($A112-Ft!E$2)&lt;0,Ft!E$3*((1-Ft!E$6)/(1+Ft!E$37*($A112-Ft!E$2)^2)+Ft!E$6*EXP(Ft!E$38*($A112-Ft!E$2)^2)),Ft!E$3*((1-Ft!E$7)/(1+Ft!E$39*($A112-Ft!E$2)^2)+Ft!E$7*EXP(Ft!E$40*($A112-Ft!E$2)^2)))</f>
        <v>18.399989933399031</v>
      </c>
      <c r="J112" s="3">
        <f>IF(($A112-Ft!F$2)&lt;0,Ft!F$3*((1-Ft!F$6)/(1+Ft!F$37*($A112-Ft!F$2)^2)+Ft!F$6*EXP(Ft!F$38*($A112-Ft!F$2)^2)),Ft!F$3*((1-Ft!F$7)/(1+Ft!F$39*($A112-Ft!F$2)^2)+Ft!F$7*EXP(Ft!F$40*($A112-Ft!F$2)^2)))</f>
        <v>11.708668053546665</v>
      </c>
      <c r="K112" s="3">
        <f>IF(($A112-Ft!G$2)&lt;0,Ft!G$3*((1-Ft!G$6)/(1+Ft!G$37*($A112-Ft!G$2)^2)+Ft!G$6*EXP(Ft!G$38*($A112-Ft!G$2)^2)),Ft!G$3*((1-Ft!G$7)/(1+Ft!G$39*($A112-Ft!G$2)^2)+Ft!G$7*EXP(Ft!G$40*($A112-Ft!G$2)^2)))</f>
        <v>38.810998695045093</v>
      </c>
      <c r="L112" s="3">
        <f>IF(($A112-Ft!H$2)&lt;0,Ft!H$3*((1-Ft!H$6)/(1+Ft!H$37*($A112-Ft!H$2)^2)+Ft!H$6*EXP(Ft!H$38*($A112-Ft!H$2)^2)),Ft!H$3*((1-Ft!H$7)/(1+Ft!H$39*($A112-Ft!H$2)^2)+Ft!H$7*EXP(Ft!H$40*($A112-Ft!H$2)^2)))</f>
        <v>0</v>
      </c>
      <c r="M112" s="3">
        <f>IF(($A112-Ft!I$2)&lt;0,Ft!I$3*((1-Ft!I$6)/(1+Ft!I$37*($A112-Ft!I$2)^2)+Ft!I$6*EXP(Ft!I$38*($A112-Ft!I$2)^2)),Ft!I$3*((1-Ft!I$7)/(1+Ft!I$39*($A112-Ft!I$2)^2)+Ft!I$7*EXP(Ft!I$40*($A112-Ft!I$2)^2)))</f>
        <v>0</v>
      </c>
      <c r="N112" s="3">
        <f>IF(($A112-Ft!J$2)&lt;0,Ft!J$3*((1-Ft!J$6)/(1+Ft!J$37*($A112-Ft!J$2)^2)+Ft!J$6*EXP(Ft!J$38*($A112-Ft!J$2)^2)),Ft!J$3*((1-Ft!J$7)/(1+Ft!J$39*($A112-Ft!J$2)^2)+Ft!J$7*EXP(Ft!J$40*($A112-Ft!J$2)^2)))</f>
        <v>0</v>
      </c>
      <c r="O112" s="3">
        <f>IF(($A112-Ft!K$2)&lt;0,Ft!K$3*((1-Ft!K$6)/(1+Ft!K$37*($A112-Ft!K$2)^2)+Ft!K$6*EXP(Ft!K$38*($A112-Ft!K$2)^2)),Ft!K$3*((1-Ft!K$7)/(1+Ft!K$39*($A112-Ft!K$2)^2)+Ft!K$7*EXP(Ft!K$40*($A112-Ft!K$2)^2)))</f>
        <v>0</v>
      </c>
      <c r="P112"/>
      <c r="Q112"/>
    </row>
    <row r="113" spans="1:17">
      <c r="A113" s="20">
        <v>223</v>
      </c>
      <c r="B113" s="29">
        <v>16.125423408852519</v>
      </c>
      <c r="C113" s="7">
        <f t="shared" si="3"/>
        <v>16.148408402626401</v>
      </c>
      <c r="D113" s="3">
        <f t="shared" si="4"/>
        <v>5.2830993878539277E-4</v>
      </c>
      <c r="E113" s="3">
        <f>Ft!$B$12+Ft!$B$14*(Data!A113-Vars!$B$3)</f>
        <v>-200</v>
      </c>
      <c r="F113" s="3">
        <f>IF(($A113-Ft!B$2)&lt;0,Ft!B$3*((1-Ft!B$6)/(1+Ft!B$37*($A113-Ft!B$2)^2)+Ft!B$6*EXP(Ft!B$38*($A113-Ft!B$2)^2)),Ft!B$3*((1-Ft!B$7)/(1+Ft!B$39*($A113-Ft!B$2)^2)+Ft!B$7*EXP(Ft!B$40*($A113-Ft!B$2)^2)))</f>
        <v>112.7893385163905</v>
      </c>
      <c r="G113" s="3">
        <f>IF(($A113-Ft!C$2)&lt;0,Ft!C$3*((1-Ft!C$6)/(1+Ft!C$37*($A113-Ft!C$2)^2)+Ft!C$6*EXP(Ft!C$38*($A113-Ft!C$2)^2)),Ft!C$3*((1-Ft!C$7)/(1+Ft!C$39*($A113-Ft!C$2)^2)+Ft!C$7*EXP(Ft!C$40*($A113-Ft!C$2)^2)))</f>
        <v>33.805319333783793</v>
      </c>
      <c r="H113" s="3">
        <f>IF(($A113-Ft!D$2)&lt;0,Ft!D$3*((1-Ft!D$6)/(1+Ft!D$37*($A113-Ft!D$2)^2)+Ft!D$6*EXP(Ft!D$38*($A113-Ft!D$2)^2)),Ft!D$3*((1-Ft!D$7)/(1+Ft!D$39*($A113-Ft!D$2)^2)+Ft!D$7*EXP(Ft!D$40*($A113-Ft!D$2)^2)))</f>
        <v>7.0635109848037268E-14</v>
      </c>
      <c r="I113" s="3">
        <f>IF(($A113-Ft!E$2)&lt;0,Ft!E$3*((1-Ft!E$6)/(1+Ft!E$37*($A113-Ft!E$2)^2)+Ft!E$6*EXP(Ft!E$38*($A113-Ft!E$2)^2)),Ft!E$3*((1-Ft!E$7)/(1+Ft!E$39*($A113-Ft!E$2)^2)+Ft!E$7*EXP(Ft!E$40*($A113-Ft!E$2)^2)))</f>
        <v>18.667485739158181</v>
      </c>
      <c r="J113" s="3">
        <f>IF(($A113-Ft!F$2)&lt;0,Ft!F$3*((1-Ft!F$6)/(1+Ft!F$37*($A113-Ft!F$2)^2)+Ft!F$6*EXP(Ft!F$38*($A113-Ft!F$2)^2)),Ft!F$3*((1-Ft!F$7)/(1+Ft!F$39*($A113-Ft!F$2)^2)+Ft!F$7*EXP(Ft!F$40*($A113-Ft!F$2)^2)))</f>
        <v>11.805134468683013</v>
      </c>
      <c r="K113" s="3">
        <f>IF(($A113-Ft!G$2)&lt;0,Ft!G$3*((1-Ft!G$6)/(1+Ft!G$37*($A113-Ft!G$2)^2)+Ft!G$6*EXP(Ft!G$38*($A113-Ft!G$2)^2)),Ft!G$3*((1-Ft!G$7)/(1+Ft!G$39*($A113-Ft!G$2)^2)+Ft!G$7*EXP(Ft!G$40*($A113-Ft!G$2)^2)))</f>
        <v>39.081130344610841</v>
      </c>
      <c r="L113" s="3">
        <f>IF(($A113-Ft!H$2)&lt;0,Ft!H$3*((1-Ft!H$6)/(1+Ft!H$37*($A113-Ft!H$2)^2)+Ft!H$6*EXP(Ft!H$38*($A113-Ft!H$2)^2)),Ft!H$3*((1-Ft!H$7)/(1+Ft!H$39*($A113-Ft!H$2)^2)+Ft!H$7*EXP(Ft!H$40*($A113-Ft!H$2)^2)))</f>
        <v>0</v>
      </c>
      <c r="M113" s="3">
        <f>IF(($A113-Ft!I$2)&lt;0,Ft!I$3*((1-Ft!I$6)/(1+Ft!I$37*($A113-Ft!I$2)^2)+Ft!I$6*EXP(Ft!I$38*($A113-Ft!I$2)^2)),Ft!I$3*((1-Ft!I$7)/(1+Ft!I$39*($A113-Ft!I$2)^2)+Ft!I$7*EXP(Ft!I$40*($A113-Ft!I$2)^2)))</f>
        <v>0</v>
      </c>
      <c r="N113" s="3">
        <f>IF(($A113-Ft!J$2)&lt;0,Ft!J$3*((1-Ft!J$6)/(1+Ft!J$37*($A113-Ft!J$2)^2)+Ft!J$6*EXP(Ft!J$38*($A113-Ft!J$2)^2)),Ft!J$3*((1-Ft!J$7)/(1+Ft!J$39*($A113-Ft!J$2)^2)+Ft!J$7*EXP(Ft!J$40*($A113-Ft!J$2)^2)))</f>
        <v>0</v>
      </c>
      <c r="O113" s="3">
        <f>IF(($A113-Ft!K$2)&lt;0,Ft!K$3*((1-Ft!K$6)/(1+Ft!K$37*($A113-Ft!K$2)^2)+Ft!K$6*EXP(Ft!K$38*($A113-Ft!K$2)^2)),Ft!K$3*((1-Ft!K$7)/(1+Ft!K$39*($A113-Ft!K$2)^2)+Ft!K$7*EXP(Ft!K$40*($A113-Ft!K$2)^2)))</f>
        <v>0</v>
      </c>
      <c r="P113"/>
      <c r="Q113"/>
    </row>
    <row r="114" spans="1:17">
      <c r="A114" s="20">
        <v>225</v>
      </c>
      <c r="B114" s="29">
        <v>16.3637954964721</v>
      </c>
      <c r="C114" s="7">
        <f t="shared" si="3"/>
        <v>16.406341291609486</v>
      </c>
      <c r="D114" s="3">
        <f t="shared" si="4"/>
        <v>1.8101446838723985E-3</v>
      </c>
      <c r="E114" s="3">
        <f>Ft!$B$12+Ft!$B$14*(Data!A114-Vars!$B$3)</f>
        <v>-200</v>
      </c>
      <c r="F114" s="3">
        <f>IF(($A114-Ft!B$2)&lt;0,Ft!B$3*((1-Ft!B$6)/(1+Ft!B$37*($A114-Ft!B$2)^2)+Ft!B$6*EXP(Ft!B$38*($A114-Ft!B$2)^2)),Ft!B$3*((1-Ft!B$7)/(1+Ft!B$39*($A114-Ft!B$2)^2)+Ft!B$7*EXP(Ft!B$40*($A114-Ft!B$2)^2)))</f>
        <v>112.31051961585288</v>
      </c>
      <c r="G114" s="3">
        <f>IF(($A114-Ft!C$2)&lt;0,Ft!C$3*((1-Ft!C$6)/(1+Ft!C$37*($A114-Ft!C$2)^2)+Ft!C$6*EXP(Ft!C$38*($A114-Ft!C$2)^2)),Ft!C$3*((1-Ft!C$7)/(1+Ft!C$39*($A114-Ft!C$2)^2)+Ft!C$7*EXP(Ft!C$40*($A114-Ft!C$2)^2)))</f>
        <v>33.906752924597974</v>
      </c>
      <c r="H114" s="3">
        <f>IF(($A114-Ft!D$2)&lt;0,Ft!D$3*((1-Ft!D$6)/(1+Ft!D$37*($A114-Ft!D$2)^2)+Ft!D$6*EXP(Ft!D$38*($A114-Ft!D$2)^2)),Ft!D$3*((1-Ft!D$7)/(1+Ft!D$39*($A114-Ft!D$2)^2)+Ft!D$7*EXP(Ft!D$40*($A114-Ft!D$2)^2)))</f>
        <v>1.2628292729259836E-13</v>
      </c>
      <c r="I114" s="3">
        <f>IF(($A114-Ft!E$2)&lt;0,Ft!E$3*((1-Ft!E$6)/(1+Ft!E$37*($A114-Ft!E$2)^2)+Ft!E$6*EXP(Ft!E$38*($A114-Ft!E$2)^2)),Ft!E$3*((1-Ft!E$7)/(1+Ft!E$39*($A114-Ft!E$2)^2)+Ft!E$7*EXP(Ft!E$40*($A114-Ft!E$2)^2)))</f>
        <v>18.937772281340571</v>
      </c>
      <c r="J114" s="3">
        <f>IF(($A114-Ft!F$2)&lt;0,Ft!F$3*((1-Ft!F$6)/(1+Ft!F$37*($A114-Ft!F$2)^2)+Ft!F$6*EXP(Ft!F$38*($A114-Ft!F$2)^2)),Ft!F$3*((1-Ft!F$7)/(1+Ft!F$39*($A114-Ft!F$2)^2)+Ft!F$7*EXP(Ft!F$40*($A114-Ft!F$2)^2)))</f>
        <v>11.902238901270072</v>
      </c>
      <c r="K114" s="3">
        <f>IF(($A114-Ft!G$2)&lt;0,Ft!G$3*((1-Ft!G$6)/(1+Ft!G$37*($A114-Ft!G$2)^2)+Ft!G$6*EXP(Ft!G$38*($A114-Ft!G$2)^2)),Ft!G$3*((1-Ft!G$7)/(1+Ft!G$39*($A114-Ft!G$2)^2)+Ft!G$7*EXP(Ft!G$40*($A114-Ft!G$2)^2)))</f>
        <v>39.349057568547856</v>
      </c>
      <c r="L114" s="3">
        <f>IF(($A114-Ft!H$2)&lt;0,Ft!H$3*((1-Ft!H$6)/(1+Ft!H$37*($A114-Ft!H$2)^2)+Ft!H$6*EXP(Ft!H$38*($A114-Ft!H$2)^2)),Ft!H$3*((1-Ft!H$7)/(1+Ft!H$39*($A114-Ft!H$2)^2)+Ft!H$7*EXP(Ft!H$40*($A114-Ft!H$2)^2)))</f>
        <v>0</v>
      </c>
      <c r="M114" s="3">
        <f>IF(($A114-Ft!I$2)&lt;0,Ft!I$3*((1-Ft!I$6)/(1+Ft!I$37*($A114-Ft!I$2)^2)+Ft!I$6*EXP(Ft!I$38*($A114-Ft!I$2)^2)),Ft!I$3*((1-Ft!I$7)/(1+Ft!I$39*($A114-Ft!I$2)^2)+Ft!I$7*EXP(Ft!I$40*($A114-Ft!I$2)^2)))</f>
        <v>0</v>
      </c>
      <c r="N114" s="3">
        <f>IF(($A114-Ft!J$2)&lt;0,Ft!J$3*((1-Ft!J$6)/(1+Ft!J$37*($A114-Ft!J$2)^2)+Ft!J$6*EXP(Ft!J$38*($A114-Ft!J$2)^2)),Ft!J$3*((1-Ft!J$7)/(1+Ft!J$39*($A114-Ft!J$2)^2)+Ft!J$7*EXP(Ft!J$40*($A114-Ft!J$2)^2)))</f>
        <v>0</v>
      </c>
      <c r="O114" s="3">
        <f>IF(($A114-Ft!K$2)&lt;0,Ft!K$3*((1-Ft!K$6)/(1+Ft!K$37*($A114-Ft!K$2)^2)+Ft!K$6*EXP(Ft!K$38*($A114-Ft!K$2)^2)),Ft!K$3*((1-Ft!K$7)/(1+Ft!K$39*($A114-Ft!K$2)^2)+Ft!K$7*EXP(Ft!K$40*($A114-Ft!K$2)^2)))</f>
        <v>0</v>
      </c>
      <c r="P114"/>
      <c r="Q114"/>
    </row>
    <row r="115" spans="1:17">
      <c r="A115" s="20">
        <v>227</v>
      </c>
      <c r="B115" s="29">
        <v>16.603074090748713</v>
      </c>
      <c r="C115" s="7">
        <f t="shared" si="3"/>
        <v>16.665341152887812</v>
      </c>
      <c r="D115" s="3">
        <f t="shared" si="4"/>
        <v>3.8771870274344777E-3</v>
      </c>
      <c r="E115" s="3">
        <f>Ft!$B$12+Ft!$B$14*(Data!A115-Vars!$B$3)</f>
        <v>-200</v>
      </c>
      <c r="F115" s="3">
        <f>IF(($A115-Ft!B$2)&lt;0,Ft!B$3*((1-Ft!B$6)/(1+Ft!B$37*($A115-Ft!B$2)^2)+Ft!B$6*EXP(Ft!B$38*($A115-Ft!B$2)^2)),Ft!B$3*((1-Ft!B$7)/(1+Ft!B$39*($A115-Ft!B$2)^2)+Ft!B$7*EXP(Ft!B$40*($A115-Ft!B$2)^2)))</f>
        <v>111.83159889955796</v>
      </c>
      <c r="G115" s="3">
        <f>IF(($A115-Ft!C$2)&lt;0,Ft!C$3*((1-Ft!C$6)/(1+Ft!C$37*($A115-Ft!C$2)^2)+Ft!C$6*EXP(Ft!C$38*($A115-Ft!C$2)^2)),Ft!C$3*((1-Ft!C$7)/(1+Ft!C$39*($A115-Ft!C$2)^2)+Ft!C$7*EXP(Ft!C$40*($A115-Ft!C$2)^2)))</f>
        <v>34.008190379100114</v>
      </c>
      <c r="H115" s="3">
        <f>IF(($A115-Ft!D$2)&lt;0,Ft!D$3*((1-Ft!D$6)/(1+Ft!D$37*($A115-Ft!D$2)^2)+Ft!D$6*EXP(Ft!D$38*($A115-Ft!D$2)^2)),Ft!D$3*((1-Ft!D$7)/(1+Ft!D$39*($A115-Ft!D$2)^2)+Ft!D$7*EXP(Ft!D$40*($A115-Ft!D$2)^2)))</f>
        <v>2.245291556232005E-13</v>
      </c>
      <c r="I115" s="3">
        <f>IF(($A115-Ft!E$2)&lt;0,Ft!E$3*((1-Ft!E$6)/(1+Ft!E$37*($A115-Ft!E$2)^2)+Ft!E$6*EXP(Ft!E$38*($A115-Ft!E$2)^2)),Ft!E$3*((1-Ft!E$7)/(1+Ft!E$39*($A115-Ft!E$2)^2)+Ft!E$7*EXP(Ft!E$40*($A115-Ft!E$2)^2)))</f>
        <v>19.210858397843285</v>
      </c>
      <c r="J115" s="3">
        <f>IF(($A115-Ft!F$2)&lt;0,Ft!F$3*((1-Ft!F$6)/(1+Ft!F$37*($A115-Ft!F$2)^2)+Ft!F$6*EXP(Ft!F$38*($A115-Ft!F$2)^2)),Ft!F$3*((1-Ft!F$7)/(1+Ft!F$39*($A115-Ft!F$2)^2)+Ft!F$7*EXP(Ft!F$40*($A115-Ft!F$2)^2)))</f>
        <v>11.999984031073632</v>
      </c>
      <c r="K115" s="3">
        <f>IF(($A115-Ft!G$2)&lt;0,Ft!G$3*((1-Ft!G$6)/(1+Ft!G$37*($A115-Ft!G$2)^2)+Ft!G$6*EXP(Ft!G$38*($A115-Ft!G$2)^2)),Ft!G$3*((1-Ft!G$7)/(1+Ft!G$39*($A115-Ft!G$2)^2)+Ft!G$7*EXP(Ft!G$40*($A115-Ft!G$2)^2)))</f>
        <v>39.614709445312599</v>
      </c>
      <c r="L115" s="3">
        <f>IF(($A115-Ft!H$2)&lt;0,Ft!H$3*((1-Ft!H$6)/(1+Ft!H$37*($A115-Ft!H$2)^2)+Ft!H$6*EXP(Ft!H$38*($A115-Ft!H$2)^2)),Ft!H$3*((1-Ft!H$7)/(1+Ft!H$39*($A115-Ft!H$2)^2)+Ft!H$7*EXP(Ft!H$40*($A115-Ft!H$2)^2)))</f>
        <v>0</v>
      </c>
      <c r="M115" s="3">
        <f>IF(($A115-Ft!I$2)&lt;0,Ft!I$3*((1-Ft!I$6)/(1+Ft!I$37*($A115-Ft!I$2)^2)+Ft!I$6*EXP(Ft!I$38*($A115-Ft!I$2)^2)),Ft!I$3*((1-Ft!I$7)/(1+Ft!I$39*($A115-Ft!I$2)^2)+Ft!I$7*EXP(Ft!I$40*($A115-Ft!I$2)^2)))</f>
        <v>0</v>
      </c>
      <c r="N115" s="3">
        <f>IF(($A115-Ft!J$2)&lt;0,Ft!J$3*((1-Ft!J$6)/(1+Ft!J$37*($A115-Ft!J$2)^2)+Ft!J$6*EXP(Ft!J$38*($A115-Ft!J$2)^2)),Ft!J$3*((1-Ft!J$7)/(1+Ft!J$39*($A115-Ft!J$2)^2)+Ft!J$7*EXP(Ft!J$40*($A115-Ft!J$2)^2)))</f>
        <v>0</v>
      </c>
      <c r="O115" s="3">
        <f>IF(($A115-Ft!K$2)&lt;0,Ft!K$3*((1-Ft!K$6)/(1+Ft!K$37*($A115-Ft!K$2)^2)+Ft!K$6*EXP(Ft!K$38*($A115-Ft!K$2)^2)),Ft!K$3*((1-Ft!K$7)/(1+Ft!K$39*($A115-Ft!K$2)^2)+Ft!K$7*EXP(Ft!K$40*($A115-Ft!K$2)^2)))</f>
        <v>0</v>
      </c>
      <c r="P115"/>
      <c r="Q115"/>
    </row>
    <row r="116" spans="1:17">
      <c r="A116" s="20">
        <v>229</v>
      </c>
      <c r="B116" s="29">
        <v>16.843316091068004</v>
      </c>
      <c r="C116" s="7">
        <f t="shared" si="3"/>
        <v>16.925365338246664</v>
      </c>
      <c r="D116" s="3">
        <f t="shared" si="4"/>
        <v>6.7320789625847401E-3</v>
      </c>
      <c r="E116" s="3">
        <f>Ft!$B$12+Ft!$B$14*(Data!A116-Vars!$B$3)</f>
        <v>-200</v>
      </c>
      <c r="F116" s="3">
        <f>IF(($A116-Ft!B$2)&lt;0,Ft!B$3*((1-Ft!B$6)/(1+Ft!B$37*($A116-Ft!B$2)^2)+Ft!B$6*EXP(Ft!B$38*($A116-Ft!B$2)^2)),Ft!B$3*((1-Ft!B$7)/(1+Ft!B$39*($A116-Ft!B$2)^2)+Ft!B$7*EXP(Ft!B$40*($A116-Ft!B$2)^2)))</f>
        <v>111.35259504459506</v>
      </c>
      <c r="G116" s="3">
        <f>IF(($A116-Ft!C$2)&lt;0,Ft!C$3*((1-Ft!C$6)/(1+Ft!C$37*($A116-Ft!C$2)^2)+Ft!C$6*EXP(Ft!C$38*($A116-Ft!C$2)^2)),Ft!C$3*((1-Ft!C$7)/(1+Ft!C$39*($A116-Ft!C$2)^2)+Ft!C$7*EXP(Ft!C$40*($A116-Ft!C$2)^2)))</f>
        <v>34.10962991361891</v>
      </c>
      <c r="H116" s="3">
        <f>IF(($A116-Ft!D$2)&lt;0,Ft!D$3*((1-Ft!D$6)/(1+Ft!D$37*($A116-Ft!D$2)^2)+Ft!D$6*EXP(Ft!D$38*($A116-Ft!D$2)^2)),Ft!D$3*((1-Ft!D$7)/(1+Ft!D$39*($A116-Ft!D$2)^2)+Ft!D$7*EXP(Ft!D$40*($A116-Ft!D$2)^2)))</f>
        <v>3.9701318750546555E-13</v>
      </c>
      <c r="I116" s="3">
        <f>IF(($A116-Ft!E$2)&lt;0,Ft!E$3*((1-Ft!E$6)/(1+Ft!E$37*($A116-Ft!E$2)^2)+Ft!E$6*EXP(Ft!E$38*($A116-Ft!E$2)^2)),Ft!E$3*((1-Ft!E$7)/(1+Ft!E$39*($A116-Ft!E$2)^2)+Ft!E$7*EXP(Ft!E$40*($A116-Ft!E$2)^2)))</f>
        <v>19.486752563802586</v>
      </c>
      <c r="J116" s="3">
        <f>IF(($A116-Ft!F$2)&lt;0,Ft!F$3*((1-Ft!F$6)/(1+Ft!F$37*($A116-Ft!F$2)^2)+Ft!F$6*EXP(Ft!F$38*($A116-Ft!F$2)^2)),Ft!F$3*((1-Ft!F$7)/(1+Ft!F$39*($A116-Ft!F$2)^2)+Ft!F$7*EXP(Ft!F$40*($A116-Ft!F$2)^2)))</f>
        <v>12.098372534465868</v>
      </c>
      <c r="K116" s="3">
        <f>IF(($A116-Ft!G$2)&lt;0,Ft!G$3*((1-Ft!G$6)/(1+Ft!G$37*($A116-Ft!G$2)^2)+Ft!G$6*EXP(Ft!G$38*($A116-Ft!G$2)^2)),Ft!G$3*((1-Ft!G$7)/(1+Ft!G$39*($A116-Ft!G$2)^2)+Ft!G$7*EXP(Ft!G$40*($A116-Ft!G$2)^2)))</f>
        <v>39.878015281763837</v>
      </c>
      <c r="L116" s="3">
        <f>IF(($A116-Ft!H$2)&lt;0,Ft!H$3*((1-Ft!H$6)/(1+Ft!H$37*($A116-Ft!H$2)^2)+Ft!H$6*EXP(Ft!H$38*($A116-Ft!H$2)^2)),Ft!H$3*((1-Ft!H$7)/(1+Ft!H$39*($A116-Ft!H$2)^2)+Ft!H$7*EXP(Ft!H$40*($A116-Ft!H$2)^2)))</f>
        <v>0</v>
      </c>
      <c r="M116" s="3">
        <f>IF(($A116-Ft!I$2)&lt;0,Ft!I$3*((1-Ft!I$6)/(1+Ft!I$37*($A116-Ft!I$2)^2)+Ft!I$6*EXP(Ft!I$38*($A116-Ft!I$2)^2)),Ft!I$3*((1-Ft!I$7)/(1+Ft!I$39*($A116-Ft!I$2)^2)+Ft!I$7*EXP(Ft!I$40*($A116-Ft!I$2)^2)))</f>
        <v>0</v>
      </c>
      <c r="N116" s="3">
        <f>IF(($A116-Ft!J$2)&lt;0,Ft!J$3*((1-Ft!J$6)/(1+Ft!J$37*($A116-Ft!J$2)^2)+Ft!J$6*EXP(Ft!J$38*($A116-Ft!J$2)^2)),Ft!J$3*((1-Ft!J$7)/(1+Ft!J$39*($A116-Ft!J$2)^2)+Ft!J$7*EXP(Ft!J$40*($A116-Ft!J$2)^2)))</f>
        <v>0</v>
      </c>
      <c r="O116" s="3">
        <f>IF(($A116-Ft!K$2)&lt;0,Ft!K$3*((1-Ft!K$6)/(1+Ft!K$37*($A116-Ft!K$2)^2)+Ft!K$6*EXP(Ft!K$38*($A116-Ft!K$2)^2)),Ft!K$3*((1-Ft!K$7)/(1+Ft!K$39*($A116-Ft!K$2)^2)+Ft!K$7*EXP(Ft!K$40*($A116-Ft!K$2)^2)))</f>
        <v>0</v>
      </c>
      <c r="P116"/>
      <c r="Q116"/>
    </row>
    <row r="117" spans="1:17">
      <c r="A117" s="20">
        <v>231</v>
      </c>
      <c r="B117" s="29">
        <v>17.084581915109382</v>
      </c>
      <c r="C117" s="7">
        <f t="shared" si="3"/>
        <v>17.18637100487496</v>
      </c>
      <c r="D117" s="3">
        <f t="shared" si="4"/>
        <v>1.036101879530494E-2</v>
      </c>
      <c r="E117" s="3">
        <f>Ft!$B$12+Ft!$B$14*(Data!A117-Vars!$B$3)</f>
        <v>-200</v>
      </c>
      <c r="F117" s="3">
        <f>IF(($A117-Ft!B$2)&lt;0,Ft!B$3*((1-Ft!B$6)/(1+Ft!B$37*($A117-Ft!B$2)^2)+Ft!B$6*EXP(Ft!B$38*($A117-Ft!B$2)^2)),Ft!B$3*((1-Ft!B$7)/(1+Ft!B$39*($A117-Ft!B$2)^2)+Ft!B$7*EXP(Ft!B$40*($A117-Ft!B$2)^2)))</f>
        <v>110.87352665298278</v>
      </c>
      <c r="G117" s="3">
        <f>IF(($A117-Ft!C$2)&lt;0,Ft!C$3*((1-Ft!C$6)/(1+Ft!C$37*($A117-Ft!C$2)^2)+Ft!C$6*EXP(Ft!C$38*($A117-Ft!C$2)^2)),Ft!C$3*((1-Ft!C$7)/(1+Ft!C$39*($A117-Ft!C$2)^2)+Ft!C$7*EXP(Ft!C$40*($A117-Ft!C$2)^2)))</f>
        <v>34.211069739099585</v>
      </c>
      <c r="H117" s="3">
        <f>IF(($A117-Ft!D$2)&lt;0,Ft!D$3*((1-Ft!D$6)/(1+Ft!D$37*($A117-Ft!D$2)^2)+Ft!D$6*EXP(Ft!D$38*($A117-Ft!D$2)^2)),Ft!D$3*((1-Ft!D$7)/(1+Ft!D$39*($A117-Ft!D$2)^2)+Ft!D$7*EXP(Ft!D$40*($A117-Ft!D$2)^2)))</f>
        <v>6.9813789098204353E-13</v>
      </c>
      <c r="I117" s="3">
        <f>IF(($A117-Ft!E$2)&lt;0,Ft!E$3*((1-Ft!E$6)/(1+Ft!E$37*($A117-Ft!E$2)^2)+Ft!E$6*EXP(Ft!E$38*($A117-Ft!E$2)^2)),Ft!E$3*((1-Ft!E$7)/(1+Ft!E$39*($A117-Ft!E$2)^2)+Ft!E$7*EXP(Ft!E$40*($A117-Ft!E$2)^2)))</f>
        <v>19.765462884383361</v>
      </c>
      <c r="J117" s="3">
        <f>IF(($A117-Ft!F$2)&lt;0,Ft!F$3*((1-Ft!F$6)/(1+Ft!F$37*($A117-Ft!F$2)^2)+Ft!F$6*EXP(Ft!F$38*($A117-Ft!F$2)^2)),Ft!F$3*((1-Ft!F$7)/(1+Ft!F$39*($A117-Ft!F$2)^2)+Ft!F$7*EXP(Ft!F$40*($A117-Ft!F$2)^2)))</f>
        <v>12.197407084255875</v>
      </c>
      <c r="K117" s="3">
        <f>IF(($A117-Ft!G$2)&lt;0,Ft!G$3*((1-Ft!G$6)/(1+Ft!G$37*($A117-Ft!G$2)^2)+Ft!G$6*EXP(Ft!G$38*($A117-Ft!G$2)^2)),Ft!G$3*((1-Ft!G$7)/(1+Ft!G$39*($A117-Ft!G$2)^2)+Ft!G$7*EXP(Ft!G$40*($A117-Ft!G$2)^2)))</f>
        <v>40.138904644152667</v>
      </c>
      <c r="L117" s="3">
        <f>IF(($A117-Ft!H$2)&lt;0,Ft!H$3*((1-Ft!H$6)/(1+Ft!H$37*($A117-Ft!H$2)^2)+Ft!H$6*EXP(Ft!H$38*($A117-Ft!H$2)^2)),Ft!H$3*((1-Ft!H$7)/(1+Ft!H$39*($A117-Ft!H$2)^2)+Ft!H$7*EXP(Ft!H$40*($A117-Ft!H$2)^2)))</f>
        <v>0</v>
      </c>
      <c r="M117" s="3">
        <f>IF(($A117-Ft!I$2)&lt;0,Ft!I$3*((1-Ft!I$6)/(1+Ft!I$37*($A117-Ft!I$2)^2)+Ft!I$6*EXP(Ft!I$38*($A117-Ft!I$2)^2)),Ft!I$3*((1-Ft!I$7)/(1+Ft!I$39*($A117-Ft!I$2)^2)+Ft!I$7*EXP(Ft!I$40*($A117-Ft!I$2)^2)))</f>
        <v>0</v>
      </c>
      <c r="N117" s="3">
        <f>IF(($A117-Ft!J$2)&lt;0,Ft!J$3*((1-Ft!J$6)/(1+Ft!J$37*($A117-Ft!J$2)^2)+Ft!J$6*EXP(Ft!J$38*($A117-Ft!J$2)^2)),Ft!J$3*((1-Ft!J$7)/(1+Ft!J$39*($A117-Ft!J$2)^2)+Ft!J$7*EXP(Ft!J$40*($A117-Ft!J$2)^2)))</f>
        <v>0</v>
      </c>
      <c r="O117" s="3">
        <f>IF(($A117-Ft!K$2)&lt;0,Ft!K$3*((1-Ft!K$6)/(1+Ft!K$37*($A117-Ft!K$2)^2)+Ft!K$6*EXP(Ft!K$38*($A117-Ft!K$2)^2)),Ft!K$3*((1-Ft!K$7)/(1+Ft!K$39*($A117-Ft!K$2)^2)+Ft!K$7*EXP(Ft!K$40*($A117-Ft!K$2)^2)))</f>
        <v>0</v>
      </c>
      <c r="P117"/>
      <c r="Q117"/>
    </row>
    <row r="118" spans="1:17">
      <c r="A118" s="20">
        <v>233</v>
      </c>
      <c r="B118" s="29">
        <v>17.326935335760176</v>
      </c>
      <c r="C118" s="7">
        <f t="shared" si="3"/>
        <v>17.448315138002773</v>
      </c>
      <c r="D118" s="3">
        <f t="shared" si="4"/>
        <v>1.4733056392451937E-2</v>
      </c>
      <c r="E118" s="3">
        <f>Ft!$B$12+Ft!$B$14*(Data!A118-Vars!$B$3)</f>
        <v>-200</v>
      </c>
      <c r="F118" s="3">
        <f>IF(($A118-Ft!B$2)&lt;0,Ft!B$3*((1-Ft!B$6)/(1+Ft!B$37*($A118-Ft!B$2)^2)+Ft!B$6*EXP(Ft!B$38*($A118-Ft!B$2)^2)),Ft!B$3*((1-Ft!B$7)/(1+Ft!B$39*($A118-Ft!B$2)^2)+Ft!B$7*EXP(Ft!B$40*($A118-Ft!B$2)^2)))</f>
        <v>110.39441225057347</v>
      </c>
      <c r="G118" s="3">
        <f>IF(($A118-Ft!C$2)&lt;0,Ft!C$3*((1-Ft!C$6)/(1+Ft!C$37*($A118-Ft!C$2)^2)+Ft!C$6*EXP(Ft!C$38*($A118-Ft!C$2)^2)),Ft!C$3*((1-Ft!C$7)/(1+Ft!C$39*($A118-Ft!C$2)^2)+Ft!C$7*EXP(Ft!C$40*($A118-Ft!C$2)^2)))</f>
        <v>34.31250806115122</v>
      </c>
      <c r="H118" s="3">
        <f>IF(($A118-Ft!D$2)&lt;0,Ft!D$3*((1-Ft!D$6)/(1+Ft!D$37*($A118-Ft!D$2)^2)+Ft!D$6*EXP(Ft!D$38*($A118-Ft!D$2)^2)),Ft!D$3*((1-Ft!D$7)/(1+Ft!D$39*($A118-Ft!D$2)^2)+Ft!D$7*EXP(Ft!D$40*($A118-Ft!D$2)^2)))</f>
        <v>1.220904160255907E-12</v>
      </c>
      <c r="I118" s="3">
        <f>IF(($A118-Ft!E$2)&lt;0,Ft!E$3*((1-Ft!E$6)/(1+Ft!E$37*($A118-Ft!E$2)^2)+Ft!E$6*EXP(Ft!E$38*($A118-Ft!E$2)^2)),Ft!E$3*((1-Ft!E$7)/(1+Ft!E$39*($A118-Ft!E$2)^2)+Ft!E$7*EXP(Ft!E$40*($A118-Ft!E$2)^2)))</f>
        <v>20.046997087572681</v>
      </c>
      <c r="J118" s="3">
        <f>IF(($A118-Ft!F$2)&lt;0,Ft!F$3*((1-Ft!F$6)/(1+Ft!F$37*($A118-Ft!F$2)^2)+Ft!F$6*EXP(Ft!F$38*($A118-Ft!F$2)^2)),Ft!F$3*((1-Ft!F$7)/(1+Ft!F$39*($A118-Ft!F$2)^2)+Ft!F$7*EXP(Ft!F$40*($A118-Ft!F$2)^2)))</f>
        <v>12.297090349519113</v>
      </c>
      <c r="K118" s="3">
        <f>IF(($A118-Ft!G$2)&lt;0,Ft!G$3*((1-Ft!G$6)/(1+Ft!G$37*($A118-Ft!G$2)^2)+Ft!G$6*EXP(Ft!G$38*($A118-Ft!G$2)^2)),Ft!G$3*((1-Ft!G$7)/(1+Ft!G$39*($A118-Ft!G$2)^2)+Ft!G$7*EXP(Ft!G$40*($A118-Ft!G$2)^2)))</f>
        <v>40.397307389185073</v>
      </c>
      <c r="L118" s="3">
        <f>IF(($A118-Ft!H$2)&lt;0,Ft!H$3*((1-Ft!H$6)/(1+Ft!H$37*($A118-Ft!H$2)^2)+Ft!H$6*EXP(Ft!H$38*($A118-Ft!H$2)^2)),Ft!H$3*((1-Ft!H$7)/(1+Ft!H$39*($A118-Ft!H$2)^2)+Ft!H$7*EXP(Ft!H$40*($A118-Ft!H$2)^2)))</f>
        <v>0</v>
      </c>
      <c r="M118" s="3">
        <f>IF(($A118-Ft!I$2)&lt;0,Ft!I$3*((1-Ft!I$6)/(1+Ft!I$37*($A118-Ft!I$2)^2)+Ft!I$6*EXP(Ft!I$38*($A118-Ft!I$2)^2)),Ft!I$3*((1-Ft!I$7)/(1+Ft!I$39*($A118-Ft!I$2)^2)+Ft!I$7*EXP(Ft!I$40*($A118-Ft!I$2)^2)))</f>
        <v>0</v>
      </c>
      <c r="N118" s="3">
        <f>IF(($A118-Ft!J$2)&lt;0,Ft!J$3*((1-Ft!J$6)/(1+Ft!J$37*($A118-Ft!J$2)^2)+Ft!J$6*EXP(Ft!J$38*($A118-Ft!J$2)^2)),Ft!J$3*((1-Ft!J$7)/(1+Ft!J$39*($A118-Ft!J$2)^2)+Ft!J$7*EXP(Ft!J$40*($A118-Ft!J$2)^2)))</f>
        <v>0</v>
      </c>
      <c r="O118" s="3">
        <f>IF(($A118-Ft!K$2)&lt;0,Ft!K$3*((1-Ft!K$6)/(1+Ft!K$37*($A118-Ft!K$2)^2)+Ft!K$6*EXP(Ft!K$38*($A118-Ft!K$2)^2)),Ft!K$3*((1-Ft!K$7)/(1+Ft!K$39*($A118-Ft!K$2)^2)+Ft!K$7*EXP(Ft!K$40*($A118-Ft!K$2)^2)))</f>
        <v>0</v>
      </c>
      <c r="P118"/>
      <c r="Q118"/>
    </row>
    <row r="119" spans="1:17">
      <c r="A119" s="20">
        <v>235</v>
      </c>
      <c r="B119" s="29">
        <v>17.570443253060716</v>
      </c>
      <c r="C119" s="7">
        <f t="shared" si="3"/>
        <v>17.711154573610003</v>
      </c>
      <c r="D119" s="3">
        <f t="shared" si="4"/>
        <v>1.9799675730723987E-2</v>
      </c>
      <c r="E119" s="3">
        <f>Ft!$B$12+Ft!$B$14*(Data!A119-Vars!$B$3)</f>
        <v>-200</v>
      </c>
      <c r="F119" s="3">
        <f>IF(($A119-Ft!B$2)&lt;0,Ft!B$3*((1-Ft!B$6)/(1+Ft!B$37*($A119-Ft!B$2)^2)+Ft!B$6*EXP(Ft!B$38*($A119-Ft!B$2)^2)),Ft!B$3*((1-Ft!B$7)/(1+Ft!B$39*($A119-Ft!B$2)^2)+Ft!B$7*EXP(Ft!B$40*($A119-Ft!B$2)^2)))</f>
        <v>109.91527028596957</v>
      </c>
      <c r="G119" s="3">
        <f>IF(($A119-Ft!C$2)&lt;0,Ft!C$3*((1-Ft!C$6)/(1+Ft!C$37*($A119-Ft!C$2)^2)+Ft!C$6*EXP(Ft!C$38*($A119-Ft!C$2)^2)),Ft!C$3*((1-Ft!C$7)/(1+Ft!C$39*($A119-Ft!C$2)^2)+Ft!C$7*EXP(Ft!C$40*($A119-Ft!C$2)^2)))</f>
        <v>34.413943080094356</v>
      </c>
      <c r="H119" s="3">
        <f>IF(($A119-Ft!D$2)&lt;0,Ft!D$3*((1-Ft!D$6)/(1+Ft!D$37*($A119-Ft!D$2)^2)+Ft!D$6*EXP(Ft!D$38*($A119-Ft!D$2)^2)),Ft!D$3*((1-Ft!D$7)/(1+Ft!D$39*($A119-Ft!D$2)^2)+Ft!D$7*EXP(Ft!D$40*($A119-Ft!D$2)^2)))</f>
        <v>2.1233716987736299E-12</v>
      </c>
      <c r="I119" s="3">
        <f>IF(($A119-Ft!E$2)&lt;0,Ft!E$3*((1-Ft!E$6)/(1+Ft!E$37*($A119-Ft!E$2)^2)+Ft!E$6*EXP(Ft!E$38*($A119-Ft!E$2)^2)),Ft!E$3*((1-Ft!E$7)/(1+Ft!E$39*($A119-Ft!E$2)^2)+Ft!E$7*EXP(Ft!E$40*($A119-Ft!E$2)^2)))</f>
        <v>20.331362516980327</v>
      </c>
      <c r="J119" s="3">
        <f>IF(($A119-Ft!F$2)&lt;0,Ft!F$3*((1-Ft!F$6)/(1+Ft!F$37*($A119-Ft!F$2)^2)+Ft!F$6*EXP(Ft!F$38*($A119-Ft!F$2)^2)),Ft!F$3*((1-Ft!F$7)/(1+Ft!F$39*($A119-Ft!F$2)^2)+Ft!F$7*EXP(Ft!F$40*($A119-Ft!F$2)^2)))</f>
        <v>12.397424995425618</v>
      </c>
      <c r="K119" s="3">
        <f>IF(($A119-Ft!G$2)&lt;0,Ft!G$3*((1-Ft!G$6)/(1+Ft!G$37*($A119-Ft!G$2)^2)+Ft!G$6*EXP(Ft!G$38*($A119-Ft!G$2)^2)),Ft!G$3*((1-Ft!G$7)/(1+Ft!G$39*($A119-Ft!G$2)^2)+Ft!G$7*EXP(Ft!G$40*($A119-Ft!G$2)^2)))</f>
        <v>40.653153695138009</v>
      </c>
      <c r="L119" s="3">
        <f>IF(($A119-Ft!H$2)&lt;0,Ft!H$3*((1-Ft!H$6)/(1+Ft!H$37*($A119-Ft!H$2)^2)+Ft!H$6*EXP(Ft!H$38*($A119-Ft!H$2)^2)),Ft!H$3*((1-Ft!H$7)/(1+Ft!H$39*($A119-Ft!H$2)^2)+Ft!H$7*EXP(Ft!H$40*($A119-Ft!H$2)^2)))</f>
        <v>0</v>
      </c>
      <c r="M119" s="3">
        <f>IF(($A119-Ft!I$2)&lt;0,Ft!I$3*((1-Ft!I$6)/(1+Ft!I$37*($A119-Ft!I$2)^2)+Ft!I$6*EXP(Ft!I$38*($A119-Ft!I$2)^2)),Ft!I$3*((1-Ft!I$7)/(1+Ft!I$39*($A119-Ft!I$2)^2)+Ft!I$7*EXP(Ft!I$40*($A119-Ft!I$2)^2)))</f>
        <v>0</v>
      </c>
      <c r="N119" s="3">
        <f>IF(($A119-Ft!J$2)&lt;0,Ft!J$3*((1-Ft!J$6)/(1+Ft!J$37*($A119-Ft!J$2)^2)+Ft!J$6*EXP(Ft!J$38*($A119-Ft!J$2)^2)),Ft!J$3*((1-Ft!J$7)/(1+Ft!J$39*($A119-Ft!J$2)^2)+Ft!J$7*EXP(Ft!J$40*($A119-Ft!J$2)^2)))</f>
        <v>0</v>
      </c>
      <c r="O119" s="3">
        <f>IF(($A119-Ft!K$2)&lt;0,Ft!K$3*((1-Ft!K$6)/(1+Ft!K$37*($A119-Ft!K$2)^2)+Ft!K$6*EXP(Ft!K$38*($A119-Ft!K$2)^2)),Ft!K$3*((1-Ft!K$7)/(1+Ft!K$39*($A119-Ft!K$2)^2)+Ft!K$7*EXP(Ft!K$40*($A119-Ft!K$2)^2)))</f>
        <v>0</v>
      </c>
      <c r="P119"/>
      <c r="Q119"/>
    </row>
    <row r="120" spans="1:17">
      <c r="A120" s="20">
        <v>237</v>
      </c>
      <c r="B120" s="29">
        <v>17.815175395693331</v>
      </c>
      <c r="C120" s="7">
        <f t="shared" si="3"/>
        <v>17.974846021190672</v>
      </c>
      <c r="D120" s="3">
        <f t="shared" si="4"/>
        <v>2.5494708646712196E-2</v>
      </c>
      <c r="E120" s="3">
        <f>Ft!$B$12+Ft!$B$14*(Data!A120-Vars!$B$3)</f>
        <v>-200</v>
      </c>
      <c r="F120" s="3">
        <f>IF(($A120-Ft!B$2)&lt;0,Ft!B$3*((1-Ft!B$6)/(1+Ft!B$37*($A120-Ft!B$2)^2)+Ft!B$6*EXP(Ft!B$38*($A120-Ft!B$2)^2)),Ft!B$3*((1-Ft!B$7)/(1+Ft!B$39*($A120-Ft!B$2)^2)+Ft!B$7*EXP(Ft!B$40*($A120-Ft!B$2)^2)))</f>
        <v>109.43611912945201</v>
      </c>
      <c r="G120" s="3">
        <f>IF(($A120-Ft!C$2)&lt;0,Ft!C$3*((1-Ft!C$6)/(1+Ft!C$37*($A120-Ft!C$2)^2)+Ft!C$6*EXP(Ft!C$38*($A120-Ft!C$2)^2)),Ft!C$3*((1-Ft!C$7)/(1+Ft!C$39*($A120-Ft!C$2)^2)+Ft!C$7*EXP(Ft!C$40*($A120-Ft!C$2)^2)))</f>
        <v>34.515372991009023</v>
      </c>
      <c r="H120" s="3">
        <f>IF(($A120-Ft!D$2)&lt;0,Ft!D$3*((1-Ft!D$6)/(1+Ft!D$37*($A120-Ft!D$2)^2)+Ft!D$6*EXP(Ft!D$38*($A120-Ft!D$2)^2)),Ft!D$3*((1-Ft!D$7)/(1+Ft!D$39*($A120-Ft!D$2)^2)+Ft!D$7*EXP(Ft!D$40*($A120-Ft!D$2)^2)))</f>
        <v>3.6726078880436714E-12</v>
      </c>
      <c r="I120" s="3">
        <f>IF(($A120-Ft!E$2)&lt;0,Ft!E$3*((1-Ft!E$6)/(1+Ft!E$37*($A120-Ft!E$2)^2)+Ft!E$6*EXP(Ft!E$38*($A120-Ft!E$2)^2)),Ft!E$3*((1-Ft!E$7)/(1+Ft!E$39*($A120-Ft!E$2)^2)+Ft!E$7*EXP(Ft!E$40*($A120-Ft!E$2)^2)))</f>
        <v>20.61856612464868</v>
      </c>
      <c r="J120" s="3">
        <f>IF(($A120-Ft!F$2)&lt;0,Ft!F$3*((1-Ft!F$6)/(1+Ft!F$37*($A120-Ft!F$2)^2)+Ft!F$6*EXP(Ft!F$38*($A120-Ft!F$2)^2)),Ft!F$3*((1-Ft!F$7)/(1+Ft!F$39*($A120-Ft!F$2)^2)+Ft!F$7*EXP(Ft!F$40*($A120-Ft!F$2)^2)))</f>
        <v>12.498413683067128</v>
      </c>
      <c r="K120" s="3">
        <f>IF(($A120-Ft!G$2)&lt;0,Ft!G$3*((1-Ft!G$6)/(1+Ft!G$37*($A120-Ft!G$2)^2)+Ft!G$6*EXP(Ft!G$38*($A120-Ft!G$2)^2)),Ft!G$3*((1-Ft!G$7)/(1+Ft!G$39*($A120-Ft!G$2)^2)+Ft!G$7*EXP(Ft!G$40*($A120-Ft!G$2)^2)))</f>
        <v>40.906374093010157</v>
      </c>
      <c r="L120" s="3">
        <f>IF(($A120-Ft!H$2)&lt;0,Ft!H$3*((1-Ft!H$6)/(1+Ft!H$37*($A120-Ft!H$2)^2)+Ft!H$6*EXP(Ft!H$38*($A120-Ft!H$2)^2)),Ft!H$3*((1-Ft!H$7)/(1+Ft!H$39*($A120-Ft!H$2)^2)+Ft!H$7*EXP(Ft!H$40*($A120-Ft!H$2)^2)))</f>
        <v>0</v>
      </c>
      <c r="M120" s="3">
        <f>IF(($A120-Ft!I$2)&lt;0,Ft!I$3*((1-Ft!I$6)/(1+Ft!I$37*($A120-Ft!I$2)^2)+Ft!I$6*EXP(Ft!I$38*($A120-Ft!I$2)^2)),Ft!I$3*((1-Ft!I$7)/(1+Ft!I$39*($A120-Ft!I$2)^2)+Ft!I$7*EXP(Ft!I$40*($A120-Ft!I$2)^2)))</f>
        <v>0</v>
      </c>
      <c r="N120" s="3">
        <f>IF(($A120-Ft!J$2)&lt;0,Ft!J$3*((1-Ft!J$6)/(1+Ft!J$37*($A120-Ft!J$2)^2)+Ft!J$6*EXP(Ft!J$38*($A120-Ft!J$2)^2)),Ft!J$3*((1-Ft!J$7)/(1+Ft!J$39*($A120-Ft!J$2)^2)+Ft!J$7*EXP(Ft!J$40*($A120-Ft!J$2)^2)))</f>
        <v>0</v>
      </c>
      <c r="O120" s="3">
        <f>IF(($A120-Ft!K$2)&lt;0,Ft!K$3*((1-Ft!K$6)/(1+Ft!K$37*($A120-Ft!K$2)^2)+Ft!K$6*EXP(Ft!K$38*($A120-Ft!K$2)^2)),Ft!K$3*((1-Ft!K$7)/(1+Ft!K$39*($A120-Ft!K$2)^2)+Ft!K$7*EXP(Ft!K$40*($A120-Ft!K$2)^2)))</f>
        <v>0</v>
      </c>
      <c r="P120"/>
      <c r="Q120"/>
    </row>
    <row r="121" spans="1:17">
      <c r="A121" s="20">
        <v>239</v>
      </c>
      <c r="B121" s="29">
        <v>18.061203947011045</v>
      </c>
      <c r="C121" s="7">
        <f t="shared" si="3"/>
        <v>18.239346086555727</v>
      </c>
      <c r="D121" s="3">
        <f t="shared" si="4"/>
        <v>3.1734621881557214E-2</v>
      </c>
      <c r="E121" s="3">
        <f>Ft!$B$12+Ft!$B$14*(Data!A121-Vars!$B$3)</f>
        <v>-200</v>
      </c>
      <c r="F121" s="3">
        <f>IF(($A121-Ft!B$2)&lt;0,Ft!B$3*((1-Ft!B$6)/(1+Ft!B$37*($A121-Ft!B$2)^2)+Ft!B$6*EXP(Ft!B$38*($A121-Ft!B$2)^2)),Ft!B$3*((1-Ft!B$7)/(1+Ft!B$39*($A121-Ft!B$2)^2)+Ft!B$7*EXP(Ft!B$40*($A121-Ft!B$2)^2)))</f>
        <v>108.95697707192065</v>
      </c>
      <c r="G121" s="3">
        <f>IF(($A121-Ft!C$2)&lt;0,Ft!C$3*((1-Ft!C$6)/(1+Ft!C$37*($A121-Ft!C$2)^2)+Ft!C$6*EXP(Ft!C$38*($A121-Ft!C$2)^2)),Ft!C$3*((1-Ft!C$7)/(1+Ft!C$39*($A121-Ft!C$2)^2)+Ft!C$7*EXP(Ft!C$40*($A121-Ft!C$2)^2)))</f>
        <v>34.616795983783135</v>
      </c>
      <c r="H121" s="3">
        <f>IF(($A121-Ft!D$2)&lt;0,Ft!D$3*((1-Ft!D$6)/(1+Ft!D$37*($A121-Ft!D$2)^2)+Ft!D$6*EXP(Ft!D$38*($A121-Ft!D$2)^2)),Ft!D$3*((1-Ft!D$7)/(1+Ft!D$39*($A121-Ft!D$2)^2)+Ft!D$7*EXP(Ft!D$40*($A121-Ft!D$2)^2)))</f>
        <v>6.3172372538228946E-12</v>
      </c>
      <c r="I121" s="3">
        <f>IF(($A121-Ft!E$2)&lt;0,Ft!E$3*((1-Ft!E$6)/(1+Ft!E$37*($A121-Ft!E$2)^2)+Ft!E$6*EXP(Ft!E$38*($A121-Ft!E$2)^2)),Ft!E$3*((1-Ft!E$7)/(1+Ft!E$39*($A121-Ft!E$2)^2)+Ft!E$7*EXP(Ft!E$40*($A121-Ft!E$2)^2)))</f>
        <v>20.908614463874812</v>
      </c>
      <c r="J121" s="3">
        <f>IF(($A121-Ft!F$2)&lt;0,Ft!F$3*((1-Ft!F$6)/(1+Ft!F$37*($A121-Ft!F$2)^2)+Ft!F$6*EXP(Ft!F$38*($A121-Ft!F$2)^2)),Ft!F$3*((1-Ft!F$7)/(1+Ft!F$39*($A121-Ft!F$2)^2)+Ft!F$7*EXP(Ft!F$40*($A121-Ft!F$2)^2)))</f>
        <v>12.600059069283033</v>
      </c>
      <c r="K121" s="3">
        <f>IF(($A121-Ft!G$2)&lt;0,Ft!G$3*((1-Ft!G$6)/(1+Ft!G$37*($A121-Ft!G$2)^2)+Ft!G$6*EXP(Ft!G$38*($A121-Ft!G$2)^2)),Ft!G$3*((1-Ft!G$7)/(1+Ft!G$39*($A121-Ft!G$2)^2)+Ft!G$7*EXP(Ft!G$40*($A121-Ft!G$2)^2)))</f>
        <v>41.156899497687782</v>
      </c>
      <c r="L121" s="3">
        <f>IF(($A121-Ft!H$2)&lt;0,Ft!H$3*((1-Ft!H$6)/(1+Ft!H$37*($A121-Ft!H$2)^2)+Ft!H$6*EXP(Ft!H$38*($A121-Ft!H$2)^2)),Ft!H$3*((1-Ft!H$7)/(1+Ft!H$39*($A121-Ft!H$2)^2)+Ft!H$7*EXP(Ft!H$40*($A121-Ft!H$2)^2)))</f>
        <v>0</v>
      </c>
      <c r="M121" s="3">
        <f>IF(($A121-Ft!I$2)&lt;0,Ft!I$3*((1-Ft!I$6)/(1+Ft!I$37*($A121-Ft!I$2)^2)+Ft!I$6*EXP(Ft!I$38*($A121-Ft!I$2)^2)),Ft!I$3*((1-Ft!I$7)/(1+Ft!I$39*($A121-Ft!I$2)^2)+Ft!I$7*EXP(Ft!I$40*($A121-Ft!I$2)^2)))</f>
        <v>0</v>
      </c>
      <c r="N121" s="3">
        <f>IF(($A121-Ft!J$2)&lt;0,Ft!J$3*((1-Ft!J$6)/(1+Ft!J$37*($A121-Ft!J$2)^2)+Ft!J$6*EXP(Ft!J$38*($A121-Ft!J$2)^2)),Ft!J$3*((1-Ft!J$7)/(1+Ft!J$39*($A121-Ft!J$2)^2)+Ft!J$7*EXP(Ft!J$40*($A121-Ft!J$2)^2)))</f>
        <v>0</v>
      </c>
      <c r="O121" s="3">
        <f>IF(($A121-Ft!K$2)&lt;0,Ft!K$3*((1-Ft!K$6)/(1+Ft!K$37*($A121-Ft!K$2)^2)+Ft!K$6*EXP(Ft!K$38*($A121-Ft!K$2)^2)),Ft!K$3*((1-Ft!K$7)/(1+Ft!K$39*($A121-Ft!K$2)^2)+Ft!K$7*EXP(Ft!K$40*($A121-Ft!K$2)^2)))</f>
        <v>0</v>
      </c>
      <c r="P121"/>
      <c r="Q121"/>
    </row>
    <row r="122" spans="1:17">
      <c r="A122" s="20">
        <v>241</v>
      </c>
      <c r="B122" s="29">
        <v>18.308603091254234</v>
      </c>
      <c r="C122" s="7">
        <f t="shared" si="3"/>
        <v>18.504611294658268</v>
      </c>
      <c r="D122" s="3">
        <f t="shared" si="4"/>
        <v>3.8419215801677176E-2</v>
      </c>
      <c r="E122" s="3">
        <f>Ft!$B$12+Ft!$B$14*(Data!A122-Vars!$B$3)</f>
        <v>-200</v>
      </c>
      <c r="F122" s="3">
        <f>IF(($A122-Ft!B$2)&lt;0,Ft!B$3*((1-Ft!B$6)/(1+Ft!B$37*($A122-Ft!B$2)^2)+Ft!B$6*EXP(Ft!B$38*($A122-Ft!B$2)^2)),Ft!B$3*((1-Ft!B$7)/(1+Ft!B$39*($A122-Ft!B$2)^2)+Ft!B$7*EXP(Ft!B$40*($A122-Ft!B$2)^2)))</f>
        <v>108.47786232384701</v>
      </c>
      <c r="G122" s="3">
        <f>IF(($A122-Ft!C$2)&lt;0,Ft!C$3*((1-Ft!C$6)/(1+Ft!C$37*($A122-Ft!C$2)^2)+Ft!C$6*EXP(Ft!C$38*($A122-Ft!C$2)^2)),Ft!C$3*((1-Ft!C$7)/(1+Ft!C$39*($A122-Ft!C$2)^2)+Ft!C$7*EXP(Ft!C$40*($A122-Ft!C$2)^2)))</f>
        <v>34.718210243161266</v>
      </c>
      <c r="H122" s="3">
        <f>IF(($A122-Ft!D$2)&lt;0,Ft!D$3*((1-Ft!D$6)/(1+Ft!D$37*($A122-Ft!D$2)^2)+Ft!D$6*EXP(Ft!D$38*($A122-Ft!D$2)^2)),Ft!D$3*((1-Ft!D$7)/(1+Ft!D$39*($A122-Ft!D$2)^2)+Ft!D$7*EXP(Ft!D$40*($A122-Ft!D$2)^2)))</f>
        <v>1.0806471191873816E-11</v>
      </c>
      <c r="I122" s="3">
        <f>IF(($A122-Ft!E$2)&lt;0,Ft!E$3*((1-Ft!E$6)/(1+Ft!E$37*($A122-Ft!E$2)^2)+Ft!E$6*EXP(Ft!E$38*($A122-Ft!E$2)^2)),Ft!E$3*((1-Ft!E$7)/(1+Ft!E$39*($A122-Ft!E$2)^2)+Ft!E$7*EXP(Ft!E$40*($A122-Ft!E$2)^2)))</f>
        <v>21.201513682047349</v>
      </c>
      <c r="J122" s="3">
        <f>IF(($A122-Ft!F$2)&lt;0,Ft!F$3*((1-Ft!F$6)/(1+Ft!F$37*($A122-Ft!F$2)^2)+Ft!F$6*EXP(Ft!F$38*($A122-Ft!F$2)^2)),Ft!F$3*((1-Ft!F$7)/(1+Ft!F$39*($A122-Ft!F$2)^2)+Ft!F$7*EXP(Ft!F$40*($A122-Ft!F$2)^2)))</f>
        <v>12.702363806485231</v>
      </c>
      <c r="K122" s="3">
        <f>IF(($A122-Ft!G$2)&lt;0,Ft!G$3*((1-Ft!G$6)/(1+Ft!G$37*($A122-Ft!G$2)^2)+Ft!G$6*EXP(Ft!G$38*($A122-Ft!G$2)^2)),Ft!G$3*((1-Ft!G$7)/(1+Ft!G$39*($A122-Ft!G$2)^2)+Ft!G$7*EXP(Ft!G$40*($A122-Ft!G$2)^2)))</f>
        <v>41.404661239106609</v>
      </c>
      <c r="L122" s="3">
        <f>IF(($A122-Ft!H$2)&lt;0,Ft!H$3*((1-Ft!H$6)/(1+Ft!H$37*($A122-Ft!H$2)^2)+Ft!H$6*EXP(Ft!H$38*($A122-Ft!H$2)^2)),Ft!H$3*((1-Ft!H$7)/(1+Ft!H$39*($A122-Ft!H$2)^2)+Ft!H$7*EXP(Ft!H$40*($A122-Ft!H$2)^2)))</f>
        <v>0</v>
      </c>
      <c r="M122" s="3">
        <f>IF(($A122-Ft!I$2)&lt;0,Ft!I$3*((1-Ft!I$6)/(1+Ft!I$37*($A122-Ft!I$2)^2)+Ft!I$6*EXP(Ft!I$38*($A122-Ft!I$2)^2)),Ft!I$3*((1-Ft!I$7)/(1+Ft!I$39*($A122-Ft!I$2)^2)+Ft!I$7*EXP(Ft!I$40*($A122-Ft!I$2)^2)))</f>
        <v>0</v>
      </c>
      <c r="N122" s="3">
        <f>IF(($A122-Ft!J$2)&lt;0,Ft!J$3*((1-Ft!J$6)/(1+Ft!J$37*($A122-Ft!J$2)^2)+Ft!J$6*EXP(Ft!J$38*($A122-Ft!J$2)^2)),Ft!J$3*((1-Ft!J$7)/(1+Ft!J$39*($A122-Ft!J$2)^2)+Ft!J$7*EXP(Ft!J$40*($A122-Ft!J$2)^2)))</f>
        <v>0</v>
      </c>
      <c r="O122" s="3">
        <f>IF(($A122-Ft!K$2)&lt;0,Ft!K$3*((1-Ft!K$6)/(1+Ft!K$37*($A122-Ft!K$2)^2)+Ft!K$6*EXP(Ft!K$38*($A122-Ft!K$2)^2)),Ft!K$3*((1-Ft!K$7)/(1+Ft!K$39*($A122-Ft!K$2)^2)+Ft!K$7*EXP(Ft!K$40*($A122-Ft!K$2)^2)))</f>
        <v>0</v>
      </c>
      <c r="P122"/>
      <c r="Q122"/>
    </row>
    <row r="123" spans="1:17">
      <c r="A123" s="20">
        <v>243</v>
      </c>
      <c r="B123" s="29">
        <v>18.557448476426245</v>
      </c>
      <c r="C123" s="7">
        <f t="shared" si="3"/>
        <v>18.770598112423794</v>
      </c>
      <c r="D123" s="3">
        <f t="shared" si="4"/>
        <v>4.5432767325887774E-2</v>
      </c>
      <c r="E123" s="3">
        <f>Ft!$B$12+Ft!$B$14*(Data!A123-Vars!$B$3)</f>
        <v>-200</v>
      </c>
      <c r="F123" s="3">
        <f>IF(($A123-Ft!B$2)&lt;0,Ft!B$3*((1-Ft!B$6)/(1+Ft!B$37*($A123-Ft!B$2)^2)+Ft!B$6*EXP(Ft!B$38*($A123-Ft!B$2)^2)),Ft!B$3*((1-Ft!B$7)/(1+Ft!B$39*($A123-Ft!B$2)^2)+Ft!B$7*EXP(Ft!B$40*($A123-Ft!B$2)^2)))</f>
        <v>107.998793014239</v>
      </c>
      <c r="G123" s="3">
        <f>IF(($A123-Ft!C$2)&lt;0,Ft!C$3*((1-Ft!C$6)/(1+Ft!C$37*($A123-Ft!C$2)^2)+Ft!C$6*EXP(Ft!C$38*($A123-Ft!C$2)^2)),Ft!C$3*((1-Ft!C$7)/(1+Ft!C$39*($A123-Ft!C$2)^2)+Ft!C$7*EXP(Ft!C$40*($A123-Ft!C$2)^2)))</f>
        <v>34.819613948793744</v>
      </c>
      <c r="H123" s="3">
        <f>IF(($A123-Ft!D$2)&lt;0,Ft!D$3*((1-Ft!D$6)/(1+Ft!D$37*($A123-Ft!D$2)^2)+Ft!D$6*EXP(Ft!D$38*($A123-Ft!D$2)^2)),Ft!D$3*((1-Ft!D$7)/(1+Ft!D$39*($A123-Ft!D$2)^2)+Ft!D$7*EXP(Ft!D$40*($A123-Ft!D$2)^2)))</f>
        <v>1.8384198448451971E-11</v>
      </c>
      <c r="I123" s="3">
        <f>IF(($A123-Ft!E$2)&lt;0,Ft!E$3*((1-Ft!E$6)/(1+Ft!E$37*($A123-Ft!E$2)^2)+Ft!E$6*EXP(Ft!E$38*($A123-Ft!E$2)^2)),Ft!E$3*((1-Ft!E$7)/(1+Ft!E$39*($A123-Ft!E$2)^2)+Ft!E$7*EXP(Ft!E$40*($A123-Ft!E$2)^2)))</f>
        <v>21.497269513500793</v>
      </c>
      <c r="J123" s="3">
        <f>IF(($A123-Ft!F$2)&lt;0,Ft!F$3*((1-Ft!F$6)/(1+Ft!F$37*($A123-Ft!F$2)^2)+Ft!F$6*EXP(Ft!F$38*($A123-Ft!F$2)^2)),Ft!F$3*((1-Ft!F$7)/(1+Ft!F$39*($A123-Ft!F$2)^2)+Ft!F$7*EXP(Ft!F$40*($A123-Ft!F$2)^2)))</f>
        <v>12.805330542481794</v>
      </c>
      <c r="K123" s="3">
        <f>IF(($A123-Ft!G$2)&lt;0,Ft!G$3*((1-Ft!G$6)/(1+Ft!G$37*($A123-Ft!G$2)^2)+Ft!G$6*EXP(Ft!G$38*($A123-Ft!G$2)^2)),Ft!G$3*((1-Ft!G$7)/(1+Ft!G$39*($A123-Ft!G$2)^2)+Ft!G$7*EXP(Ft!G$40*($A123-Ft!G$2)^2)))</f>
        <v>41.649591093390086</v>
      </c>
      <c r="L123" s="3">
        <f>IF(($A123-Ft!H$2)&lt;0,Ft!H$3*((1-Ft!H$6)/(1+Ft!H$37*($A123-Ft!H$2)^2)+Ft!H$6*EXP(Ft!H$38*($A123-Ft!H$2)^2)),Ft!H$3*((1-Ft!H$7)/(1+Ft!H$39*($A123-Ft!H$2)^2)+Ft!H$7*EXP(Ft!H$40*($A123-Ft!H$2)^2)))</f>
        <v>0</v>
      </c>
      <c r="M123" s="3">
        <f>IF(($A123-Ft!I$2)&lt;0,Ft!I$3*((1-Ft!I$6)/(1+Ft!I$37*($A123-Ft!I$2)^2)+Ft!I$6*EXP(Ft!I$38*($A123-Ft!I$2)^2)),Ft!I$3*((1-Ft!I$7)/(1+Ft!I$39*($A123-Ft!I$2)^2)+Ft!I$7*EXP(Ft!I$40*($A123-Ft!I$2)^2)))</f>
        <v>0</v>
      </c>
      <c r="N123" s="3">
        <f>IF(($A123-Ft!J$2)&lt;0,Ft!J$3*((1-Ft!J$6)/(1+Ft!J$37*($A123-Ft!J$2)^2)+Ft!J$6*EXP(Ft!J$38*($A123-Ft!J$2)^2)),Ft!J$3*((1-Ft!J$7)/(1+Ft!J$39*($A123-Ft!J$2)^2)+Ft!J$7*EXP(Ft!J$40*($A123-Ft!J$2)^2)))</f>
        <v>0</v>
      </c>
      <c r="O123" s="3">
        <f>IF(($A123-Ft!K$2)&lt;0,Ft!K$3*((1-Ft!K$6)/(1+Ft!K$37*($A123-Ft!K$2)^2)+Ft!K$6*EXP(Ft!K$38*($A123-Ft!K$2)^2)),Ft!K$3*((1-Ft!K$7)/(1+Ft!K$39*($A123-Ft!K$2)^2)+Ft!K$7*EXP(Ft!K$40*($A123-Ft!K$2)^2)))</f>
        <v>0</v>
      </c>
      <c r="P123"/>
      <c r="Q123"/>
    </row>
    <row r="124" spans="1:17">
      <c r="A124" s="20">
        <v>245</v>
      </c>
      <c r="B124" s="29">
        <v>18.807816591302505</v>
      </c>
      <c r="C124" s="7">
        <f t="shared" si="3"/>
        <v>19.037262971569945</v>
      </c>
      <c r="D124" s="3">
        <f t="shared" si="4"/>
        <v>5.2645641417830687E-2</v>
      </c>
      <c r="E124" s="3">
        <f>Ft!$B$12+Ft!$B$14*(Data!A124-Vars!$B$3)</f>
        <v>-200</v>
      </c>
      <c r="F124" s="3">
        <f>IF(($A124-Ft!B$2)&lt;0,Ft!B$3*((1-Ft!B$6)/(1+Ft!B$37*($A124-Ft!B$2)^2)+Ft!B$6*EXP(Ft!B$38*($A124-Ft!B$2)^2)),Ft!B$3*((1-Ft!B$7)/(1+Ft!B$39*($A124-Ft!B$2)^2)+Ft!B$7*EXP(Ft!B$40*($A124-Ft!B$2)^2)))</f>
        <v>107.51978718961837</v>
      </c>
      <c r="G124" s="3">
        <f>IF(($A124-Ft!C$2)&lt;0,Ft!C$3*((1-Ft!C$6)/(1+Ft!C$37*($A124-Ft!C$2)^2)+Ft!C$6*EXP(Ft!C$38*($A124-Ft!C$2)^2)),Ft!C$3*((1-Ft!C$7)/(1+Ft!C$39*($A124-Ft!C$2)^2)+Ft!C$7*EXP(Ft!C$40*($A124-Ft!C$2)^2)))</f>
        <v>34.921005275286248</v>
      </c>
      <c r="H124" s="3">
        <f>IF(($A124-Ft!D$2)&lt;0,Ft!D$3*((1-Ft!D$6)/(1+Ft!D$37*($A124-Ft!D$2)^2)+Ft!D$6*EXP(Ft!D$38*($A124-Ft!D$2)^2)),Ft!D$3*((1-Ft!D$7)/(1+Ft!D$39*($A124-Ft!D$2)^2)+Ft!D$7*EXP(Ft!D$40*($A124-Ft!D$2)^2)))</f>
        <v>3.1103523197455126E-11</v>
      </c>
      <c r="I124" s="3">
        <f>IF(($A124-Ft!E$2)&lt;0,Ft!E$3*((1-Ft!E$6)/(1+Ft!E$37*($A124-Ft!E$2)^2)+Ft!E$6*EXP(Ft!E$38*($A124-Ft!E$2)^2)),Ft!E$3*((1-Ft!E$7)/(1+Ft!E$39*($A124-Ft!E$2)^2)+Ft!E$7*EXP(Ft!E$40*($A124-Ft!E$2)^2)))</f>
        <v>21.795887272390264</v>
      </c>
      <c r="J124" s="3">
        <f>IF(($A124-Ft!F$2)&lt;0,Ft!F$3*((1-Ft!F$6)/(1+Ft!F$37*($A124-Ft!F$2)^2)+Ft!F$6*EXP(Ft!F$38*($A124-Ft!F$2)^2)),Ft!F$3*((1-Ft!F$7)/(1+Ft!F$39*($A124-Ft!F$2)^2)+Ft!F$7*EXP(Ft!F$40*($A124-Ft!F$2)^2)))</f>
        <v>12.908961920299534</v>
      </c>
      <c r="K124" s="3">
        <f>IF(($A124-Ft!G$2)&lt;0,Ft!G$3*((1-Ft!G$6)/(1+Ft!G$37*($A124-Ft!G$2)^2)+Ft!G$6*EXP(Ft!G$38*($A124-Ft!G$2)^2)),Ft!G$3*((1-Ft!G$7)/(1+Ft!G$39*($A124-Ft!G$2)^2)+Ft!G$7*EXP(Ft!G$40*($A124-Ft!G$2)^2)))</f>
        <v>41.891621313944427</v>
      </c>
      <c r="L124" s="3">
        <f>IF(($A124-Ft!H$2)&lt;0,Ft!H$3*((1-Ft!H$6)/(1+Ft!H$37*($A124-Ft!H$2)^2)+Ft!H$6*EXP(Ft!H$38*($A124-Ft!H$2)^2)),Ft!H$3*((1-Ft!H$7)/(1+Ft!H$39*($A124-Ft!H$2)^2)+Ft!H$7*EXP(Ft!H$40*($A124-Ft!H$2)^2)))</f>
        <v>0</v>
      </c>
      <c r="M124" s="3">
        <f>IF(($A124-Ft!I$2)&lt;0,Ft!I$3*((1-Ft!I$6)/(1+Ft!I$37*($A124-Ft!I$2)^2)+Ft!I$6*EXP(Ft!I$38*($A124-Ft!I$2)^2)),Ft!I$3*((1-Ft!I$7)/(1+Ft!I$39*($A124-Ft!I$2)^2)+Ft!I$7*EXP(Ft!I$40*($A124-Ft!I$2)^2)))</f>
        <v>0</v>
      </c>
      <c r="N124" s="3">
        <f>IF(($A124-Ft!J$2)&lt;0,Ft!J$3*((1-Ft!J$6)/(1+Ft!J$37*($A124-Ft!J$2)^2)+Ft!J$6*EXP(Ft!J$38*($A124-Ft!J$2)^2)),Ft!J$3*((1-Ft!J$7)/(1+Ft!J$39*($A124-Ft!J$2)^2)+Ft!J$7*EXP(Ft!J$40*($A124-Ft!J$2)^2)))</f>
        <v>0</v>
      </c>
      <c r="O124" s="3">
        <f>IF(($A124-Ft!K$2)&lt;0,Ft!K$3*((1-Ft!K$6)/(1+Ft!K$37*($A124-Ft!K$2)^2)+Ft!K$6*EXP(Ft!K$38*($A124-Ft!K$2)^2)),Ft!K$3*((1-Ft!K$7)/(1+Ft!K$39*($A124-Ft!K$2)^2)+Ft!K$7*EXP(Ft!K$40*($A124-Ft!K$2)^2)))</f>
        <v>0</v>
      </c>
      <c r="P124"/>
      <c r="Q124"/>
    </row>
    <row r="125" spans="1:17">
      <c r="A125" s="20">
        <v>247</v>
      </c>
      <c r="B125" s="29">
        <v>19.059784055229613</v>
      </c>
      <c r="C125" s="7">
        <f t="shared" si="3"/>
        <v>19.304562291397335</v>
      </c>
      <c r="D125" s="3">
        <f t="shared" si="4"/>
        <v>5.9916384901381077E-2</v>
      </c>
      <c r="E125" s="3">
        <f>Ft!$B$12+Ft!$B$14*(Data!A125-Vars!$B$3)</f>
        <v>-200</v>
      </c>
      <c r="F125" s="3">
        <f>IF(($A125-Ft!B$2)&lt;0,Ft!B$3*((1-Ft!B$6)/(1+Ft!B$37*($A125-Ft!B$2)^2)+Ft!B$6*EXP(Ft!B$38*($A125-Ft!B$2)^2)),Ft!B$3*((1-Ft!B$7)/(1+Ft!B$39*($A125-Ft!B$2)^2)+Ft!B$7*EXP(Ft!B$40*($A125-Ft!B$2)^2)))</f>
        <v>107.04086281301002</v>
      </c>
      <c r="G125" s="3">
        <f>IF(($A125-Ft!C$2)&lt;0,Ft!C$3*((1-Ft!C$6)/(1+Ft!C$37*($A125-Ft!C$2)^2)+Ft!C$6*EXP(Ft!C$38*($A125-Ft!C$2)^2)),Ft!C$3*((1-Ft!C$7)/(1+Ft!C$39*($A125-Ft!C$2)^2)+Ft!C$7*EXP(Ft!C$40*($A125-Ft!C$2)^2)))</f>
        <v>35.022382392249568</v>
      </c>
      <c r="H125" s="3">
        <f>IF(($A125-Ft!D$2)&lt;0,Ft!D$3*((1-Ft!D$6)/(1+Ft!D$37*($A125-Ft!D$2)^2)+Ft!D$6*EXP(Ft!D$38*($A125-Ft!D$2)^2)),Ft!D$3*((1-Ft!D$7)/(1+Ft!D$39*($A125-Ft!D$2)^2)+Ft!D$7*EXP(Ft!D$40*($A125-Ft!D$2)^2)))</f>
        <v>5.2333352801078784E-11</v>
      </c>
      <c r="I125" s="3">
        <f>IF(($A125-Ft!E$2)&lt;0,Ft!E$3*((1-Ft!E$6)/(1+Ft!E$37*($A125-Ft!E$2)^2)+Ft!E$6*EXP(Ft!E$38*($A125-Ft!E$2)^2)),Ft!E$3*((1-Ft!E$7)/(1+Ft!E$39*($A125-Ft!E$2)^2)+Ft!E$7*EXP(Ft!E$40*($A125-Ft!E$2)^2)))</f>
        <v>22.097371845589119</v>
      </c>
      <c r="J125" s="3">
        <f>IF(($A125-Ft!F$2)&lt;0,Ft!F$3*((1-Ft!F$6)/(1+Ft!F$37*($A125-Ft!F$2)^2)+Ft!F$6*EXP(Ft!F$38*($A125-Ft!F$2)^2)),Ft!F$3*((1-Ft!F$7)/(1+Ft!F$39*($A125-Ft!F$2)^2)+Ft!F$7*EXP(Ft!F$40*($A125-Ft!F$2)^2)))</f>
        <v>13.013260578005447</v>
      </c>
      <c r="K125" s="3">
        <f>IF(($A125-Ft!G$2)&lt;0,Ft!G$3*((1-Ft!G$6)/(1+Ft!G$37*($A125-Ft!G$2)^2)+Ft!G$6*EXP(Ft!G$38*($A125-Ft!G$2)^2)),Ft!G$3*((1-Ft!G$7)/(1+Ft!G$39*($A125-Ft!G$2)^2)+Ft!G$7*EXP(Ft!G$40*($A125-Ft!G$2)^2)))</f>
        <v>42.13068466249085</v>
      </c>
      <c r="L125" s="3">
        <f>IF(($A125-Ft!H$2)&lt;0,Ft!H$3*((1-Ft!H$6)/(1+Ft!H$37*($A125-Ft!H$2)^2)+Ft!H$6*EXP(Ft!H$38*($A125-Ft!H$2)^2)),Ft!H$3*((1-Ft!H$7)/(1+Ft!H$39*($A125-Ft!H$2)^2)+Ft!H$7*EXP(Ft!H$40*($A125-Ft!H$2)^2)))</f>
        <v>0</v>
      </c>
      <c r="M125" s="3">
        <f>IF(($A125-Ft!I$2)&lt;0,Ft!I$3*((1-Ft!I$6)/(1+Ft!I$37*($A125-Ft!I$2)^2)+Ft!I$6*EXP(Ft!I$38*($A125-Ft!I$2)^2)),Ft!I$3*((1-Ft!I$7)/(1+Ft!I$39*($A125-Ft!I$2)^2)+Ft!I$7*EXP(Ft!I$40*($A125-Ft!I$2)^2)))</f>
        <v>0</v>
      </c>
      <c r="N125" s="3">
        <f>IF(($A125-Ft!J$2)&lt;0,Ft!J$3*((1-Ft!J$6)/(1+Ft!J$37*($A125-Ft!J$2)^2)+Ft!J$6*EXP(Ft!J$38*($A125-Ft!J$2)^2)),Ft!J$3*((1-Ft!J$7)/(1+Ft!J$39*($A125-Ft!J$2)^2)+Ft!J$7*EXP(Ft!J$40*($A125-Ft!J$2)^2)))</f>
        <v>0</v>
      </c>
      <c r="O125" s="3">
        <f>IF(($A125-Ft!K$2)&lt;0,Ft!K$3*((1-Ft!K$6)/(1+Ft!K$37*($A125-Ft!K$2)^2)+Ft!K$6*EXP(Ft!K$38*($A125-Ft!K$2)^2)),Ft!K$3*((1-Ft!K$7)/(1+Ft!K$39*($A125-Ft!K$2)^2)+Ft!K$7*EXP(Ft!K$40*($A125-Ft!K$2)^2)))</f>
        <v>0</v>
      </c>
      <c r="P125"/>
      <c r="Q125"/>
    </row>
    <row r="126" spans="1:17">
      <c r="A126" s="20">
        <v>249</v>
      </c>
      <c r="B126" s="29">
        <v>19.31342682072912</v>
      </c>
      <c r="C126" s="7">
        <f t="shared" si="3"/>
        <v>19.57245250153634</v>
      </c>
      <c r="D126" s="3">
        <f t="shared" si="4"/>
        <v>6.7094303317643697E-2</v>
      </c>
      <c r="E126" s="3">
        <f>Ft!$B$12+Ft!$B$14*(Data!A126-Vars!$B$3)</f>
        <v>-200</v>
      </c>
      <c r="F126" s="3">
        <f>IF(($A126-Ft!B$2)&lt;0,Ft!B$3*((1-Ft!B$6)/(1+Ft!B$37*($A126-Ft!B$2)^2)+Ft!B$6*EXP(Ft!B$38*($A126-Ft!B$2)^2)),Ft!B$3*((1-Ft!B$7)/(1+Ft!B$39*($A126-Ft!B$2)^2)+Ft!B$7*EXP(Ft!B$40*($A126-Ft!B$2)^2)))</f>
        <v>106.56203776294403</v>
      </c>
      <c r="G126" s="3">
        <f>IF(($A126-Ft!C$2)&lt;0,Ft!C$3*((1-Ft!C$6)/(1+Ft!C$37*($A126-Ft!C$2)^2)+Ft!C$6*EXP(Ft!C$38*($A126-Ft!C$2)^2)),Ft!C$3*((1-Ft!C$7)/(1+Ft!C$39*($A126-Ft!C$2)^2)+Ft!C$7*EXP(Ft!C$40*($A126-Ft!C$2)^2)))</f>
        <v>35.123743464349943</v>
      </c>
      <c r="H126" s="3">
        <f>IF(($A126-Ft!D$2)&lt;0,Ft!D$3*((1-Ft!D$6)/(1+Ft!D$37*($A126-Ft!D$2)^2)+Ft!D$6*EXP(Ft!D$38*($A126-Ft!D$2)^2)),Ft!D$3*((1-Ft!D$7)/(1+Ft!D$39*($A126-Ft!D$2)^2)+Ft!D$7*EXP(Ft!D$40*($A126-Ft!D$2)^2)))</f>
        <v>8.7569247915865062E-11</v>
      </c>
      <c r="I126" s="3">
        <f>IF(($A126-Ft!E$2)&lt;0,Ft!E$3*((1-Ft!E$6)/(1+Ft!E$37*($A126-Ft!E$2)^2)+Ft!E$6*EXP(Ft!E$38*($A126-Ft!E$2)^2)),Ft!E$3*((1-Ft!E$7)/(1+Ft!E$39*($A126-Ft!E$2)^2)+Ft!E$7*EXP(Ft!E$40*($A126-Ft!E$2)^2)))</f>
        <v>22.40172768561257</v>
      </c>
      <c r="J126" s="3">
        <f>IF(($A126-Ft!F$2)&lt;0,Ft!F$3*((1-Ft!F$6)/(1+Ft!F$37*($A126-Ft!F$2)^2)+Ft!F$6*EXP(Ft!F$38*($A126-Ft!F$2)^2)),Ft!F$3*((1-Ft!F$7)/(1+Ft!F$39*($A126-Ft!F$2)^2)+Ft!F$7*EXP(Ft!F$40*($A126-Ft!F$2)^2)))</f>
        <v>13.11822914852705</v>
      </c>
      <c r="K126" s="3">
        <f>IF(($A126-Ft!G$2)&lt;0,Ft!G$3*((1-Ft!G$6)/(1+Ft!G$37*($A126-Ft!G$2)^2)+Ft!G$6*EXP(Ft!G$38*($A126-Ft!G$2)^2)),Ft!G$3*((1-Ft!G$7)/(1+Ft!G$39*($A126-Ft!G$2)^2)+Ft!G$7*EXP(Ft!G$40*($A126-Ft!G$2)^2)))</f>
        <v>42.36671444001518</v>
      </c>
      <c r="L126" s="3">
        <f>IF(($A126-Ft!H$2)&lt;0,Ft!H$3*((1-Ft!H$6)/(1+Ft!H$37*($A126-Ft!H$2)^2)+Ft!H$6*EXP(Ft!H$38*($A126-Ft!H$2)^2)),Ft!H$3*((1-Ft!H$7)/(1+Ft!H$39*($A126-Ft!H$2)^2)+Ft!H$7*EXP(Ft!H$40*($A126-Ft!H$2)^2)))</f>
        <v>0</v>
      </c>
      <c r="M126" s="3">
        <f>IF(($A126-Ft!I$2)&lt;0,Ft!I$3*((1-Ft!I$6)/(1+Ft!I$37*($A126-Ft!I$2)^2)+Ft!I$6*EXP(Ft!I$38*($A126-Ft!I$2)^2)),Ft!I$3*((1-Ft!I$7)/(1+Ft!I$39*($A126-Ft!I$2)^2)+Ft!I$7*EXP(Ft!I$40*($A126-Ft!I$2)^2)))</f>
        <v>0</v>
      </c>
      <c r="N126" s="3">
        <f>IF(($A126-Ft!J$2)&lt;0,Ft!J$3*((1-Ft!J$6)/(1+Ft!J$37*($A126-Ft!J$2)^2)+Ft!J$6*EXP(Ft!J$38*($A126-Ft!J$2)^2)),Ft!J$3*((1-Ft!J$7)/(1+Ft!J$39*($A126-Ft!J$2)^2)+Ft!J$7*EXP(Ft!J$40*($A126-Ft!J$2)^2)))</f>
        <v>0</v>
      </c>
      <c r="O126" s="3">
        <f>IF(($A126-Ft!K$2)&lt;0,Ft!K$3*((1-Ft!K$6)/(1+Ft!K$37*($A126-Ft!K$2)^2)+Ft!K$6*EXP(Ft!K$38*($A126-Ft!K$2)^2)),Ft!K$3*((1-Ft!K$7)/(1+Ft!K$39*($A126-Ft!K$2)^2)+Ft!K$7*EXP(Ft!K$40*($A126-Ft!K$2)^2)))</f>
        <v>0</v>
      </c>
      <c r="P126"/>
      <c r="Q126"/>
    </row>
    <row r="127" spans="1:17">
      <c r="A127" s="20">
        <v>251</v>
      </c>
      <c r="B127" s="29">
        <v>19.568819290447685</v>
      </c>
      <c r="C127" s="7">
        <f t="shared" si="3"/>
        <v>19.840890064632013</v>
      </c>
      <c r="D127" s="3">
        <f t="shared" si="4"/>
        <v>7.4022506165259849E-2</v>
      </c>
      <c r="E127" s="3">
        <f>Ft!$B$12+Ft!$B$14*(Data!A127-Vars!$B$3)</f>
        <v>-200</v>
      </c>
      <c r="F127" s="3">
        <f>IF(($A127-Ft!B$2)&lt;0,Ft!B$3*((1-Ft!B$6)/(1+Ft!B$37*($A127-Ft!B$2)^2)+Ft!B$6*EXP(Ft!B$38*($A127-Ft!B$2)^2)),Ft!B$3*((1-Ft!B$7)/(1+Ft!B$39*($A127-Ft!B$2)^2)+Ft!B$7*EXP(Ft!B$40*($A127-Ft!B$2)^2)))</f>
        <v>106.0833298324702</v>
      </c>
      <c r="G127" s="3">
        <f>IF(($A127-Ft!C$2)&lt;0,Ft!C$3*((1-Ft!C$6)/(1+Ft!C$37*($A127-Ft!C$2)^2)+Ft!C$6*EXP(Ft!C$38*($A127-Ft!C$2)^2)),Ft!C$3*((1-Ft!C$7)/(1+Ft!C$39*($A127-Ft!C$2)^2)+Ft!C$7*EXP(Ft!C$40*($A127-Ft!C$2)^2)))</f>
        <v>35.225086651359582</v>
      </c>
      <c r="H127" s="3">
        <f>IF(($A127-Ft!D$2)&lt;0,Ft!D$3*((1-Ft!D$6)/(1+Ft!D$37*($A127-Ft!D$2)^2)+Ft!D$6*EXP(Ft!D$38*($A127-Ft!D$2)^2)),Ft!D$3*((1-Ft!D$7)/(1+Ft!D$39*($A127-Ft!D$2)^2)+Ft!D$7*EXP(Ft!D$40*($A127-Ft!D$2)^2)))</f>
        <v>1.4572322278739684E-10</v>
      </c>
      <c r="I127" s="3">
        <f>IF(($A127-Ft!E$2)&lt;0,Ft!E$3*((1-Ft!E$6)/(1+Ft!E$37*($A127-Ft!E$2)^2)+Ft!E$6*EXP(Ft!E$38*($A127-Ft!E$2)^2)),Ft!E$3*((1-Ft!E$7)/(1+Ft!E$39*($A127-Ft!E$2)^2)+Ft!E$7*EXP(Ft!E$40*($A127-Ft!E$2)^2)))</f>
        <v>22.708958803569935</v>
      </c>
      <c r="J127" s="3">
        <f>IF(($A127-Ft!F$2)&lt;0,Ft!F$3*((1-Ft!F$6)/(1+Ft!F$37*($A127-Ft!F$2)^2)+Ft!F$6*EXP(Ft!F$38*($A127-Ft!F$2)^2)),Ft!F$3*((1-Ft!F$7)/(1+Ft!F$39*($A127-Ft!F$2)^2)+Ft!F$7*EXP(Ft!F$40*($A127-Ft!F$2)^2)))</f>
        <v>13.22387025947158</v>
      </c>
      <c r="K127" s="3">
        <f>IF(($A127-Ft!G$2)&lt;0,Ft!G$3*((1-Ft!G$6)/(1+Ft!G$37*($A127-Ft!G$2)^2)+Ft!G$6*EXP(Ft!G$38*($A127-Ft!G$2)^2)),Ft!G$3*((1-Ft!G$7)/(1+Ft!G$39*($A127-Ft!G$2)^2)+Ft!G$7*EXP(Ft!G$40*($A127-Ft!G$2)^2)))</f>
        <v>42.59964451761499</v>
      </c>
      <c r="L127" s="3">
        <f>IF(($A127-Ft!H$2)&lt;0,Ft!H$3*((1-Ft!H$6)/(1+Ft!H$37*($A127-Ft!H$2)^2)+Ft!H$6*EXP(Ft!H$38*($A127-Ft!H$2)^2)),Ft!H$3*((1-Ft!H$7)/(1+Ft!H$39*($A127-Ft!H$2)^2)+Ft!H$7*EXP(Ft!H$40*($A127-Ft!H$2)^2)))</f>
        <v>0</v>
      </c>
      <c r="M127" s="3">
        <f>IF(($A127-Ft!I$2)&lt;0,Ft!I$3*((1-Ft!I$6)/(1+Ft!I$37*($A127-Ft!I$2)^2)+Ft!I$6*EXP(Ft!I$38*($A127-Ft!I$2)^2)),Ft!I$3*((1-Ft!I$7)/(1+Ft!I$39*($A127-Ft!I$2)^2)+Ft!I$7*EXP(Ft!I$40*($A127-Ft!I$2)^2)))</f>
        <v>0</v>
      </c>
      <c r="N127" s="3">
        <f>IF(($A127-Ft!J$2)&lt;0,Ft!J$3*((1-Ft!J$6)/(1+Ft!J$37*($A127-Ft!J$2)^2)+Ft!J$6*EXP(Ft!J$38*($A127-Ft!J$2)^2)),Ft!J$3*((1-Ft!J$7)/(1+Ft!J$39*($A127-Ft!J$2)^2)+Ft!J$7*EXP(Ft!J$40*($A127-Ft!J$2)^2)))</f>
        <v>0</v>
      </c>
      <c r="O127" s="3">
        <f>IF(($A127-Ft!K$2)&lt;0,Ft!K$3*((1-Ft!K$6)/(1+Ft!K$37*($A127-Ft!K$2)^2)+Ft!K$6*EXP(Ft!K$38*($A127-Ft!K$2)^2)),Ft!K$3*((1-Ft!K$7)/(1+Ft!K$39*($A127-Ft!K$2)^2)+Ft!K$7*EXP(Ft!K$40*($A127-Ft!K$2)^2)))</f>
        <v>0</v>
      </c>
      <c r="P127"/>
      <c r="Q127"/>
    </row>
    <row r="128" spans="1:17">
      <c r="A128" s="20">
        <v>253</v>
      </c>
      <c r="B128" s="29">
        <v>19.826033351677573</v>
      </c>
      <c r="C128" s="7">
        <f t="shared" si="3"/>
        <v>20.109831498950889</v>
      </c>
      <c r="D128" s="3">
        <f t="shared" si="4"/>
        <v>8.0541388395766869E-2</v>
      </c>
      <c r="E128" s="3">
        <f>Ft!$B$12+Ft!$B$14*(Data!A128-Vars!$B$3)</f>
        <v>-200</v>
      </c>
      <c r="F128" s="3">
        <f>IF(($A128-Ft!B$2)&lt;0,Ft!B$3*((1-Ft!B$6)/(1+Ft!B$37*($A128-Ft!B$2)^2)+Ft!B$6*EXP(Ft!B$38*($A128-Ft!B$2)^2)),Ft!B$3*((1-Ft!B$7)/(1+Ft!B$39*($A128-Ft!B$2)^2)+Ft!B$7*EXP(Ft!B$40*($A128-Ft!B$2)^2)))</f>
        <v>105.60475672818492</v>
      </c>
      <c r="G128" s="3">
        <f>IF(($A128-Ft!C$2)&lt;0,Ft!C$3*((1-Ft!C$6)/(1+Ft!C$37*($A128-Ft!C$2)^2)+Ft!C$6*EXP(Ft!C$38*($A128-Ft!C$2)^2)),Ft!C$3*((1-Ft!C$7)/(1+Ft!C$39*($A128-Ft!C$2)^2)+Ft!C$7*EXP(Ft!C$40*($A128-Ft!C$2)^2)))</f>
        <v>35.326410108207725</v>
      </c>
      <c r="H128" s="3">
        <f>IF(($A128-Ft!D$2)&lt;0,Ft!D$3*((1-Ft!D$6)/(1+Ft!D$37*($A128-Ft!D$2)^2)+Ft!D$6*EXP(Ft!D$38*($A128-Ft!D$2)^2)),Ft!D$3*((1-Ft!D$7)/(1+Ft!D$39*($A128-Ft!D$2)^2)+Ft!D$7*EXP(Ft!D$40*($A128-Ft!D$2)^2)))</f>
        <v>2.4116262486789593E-10</v>
      </c>
      <c r="I128" s="3">
        <f>IF(($A128-Ft!E$2)&lt;0,Ft!E$3*((1-Ft!E$6)/(1+Ft!E$37*($A128-Ft!E$2)^2)+Ft!E$6*EXP(Ft!E$38*($A128-Ft!E$2)^2)),Ft!E$3*((1-Ft!E$7)/(1+Ft!E$39*($A128-Ft!E$2)^2)+Ft!E$7*EXP(Ft!E$40*($A128-Ft!E$2)^2)))</f>
        <v>23.019068762148471</v>
      </c>
      <c r="J128" s="3">
        <f>IF(($A128-Ft!F$2)&lt;0,Ft!F$3*((1-Ft!F$6)/(1+Ft!F$37*($A128-Ft!F$2)^2)+Ft!F$6*EXP(Ft!F$38*($A128-Ft!F$2)^2)),Ft!F$3*((1-Ft!F$7)/(1+Ft!F$39*($A128-Ft!F$2)^2)+Ft!F$7*EXP(Ft!F$40*($A128-Ft!F$2)^2)))</f>
        <v>13.330186532944088</v>
      </c>
      <c r="K128" s="3">
        <f>IF(($A128-Ft!G$2)&lt;0,Ft!G$3*((1-Ft!G$6)/(1+Ft!G$37*($A128-Ft!G$2)^2)+Ft!G$6*EXP(Ft!G$38*($A128-Ft!G$2)^2)),Ft!G$3*((1-Ft!G$7)/(1+Ft!G$39*($A128-Ft!G$2)^2)+Ft!G$7*EXP(Ft!G$40*($A128-Ft!G$2)^2)))</f>
        <v>42.829409367224514</v>
      </c>
      <c r="L128" s="3">
        <f>IF(($A128-Ft!H$2)&lt;0,Ft!H$3*((1-Ft!H$6)/(1+Ft!H$37*($A128-Ft!H$2)^2)+Ft!H$6*EXP(Ft!H$38*($A128-Ft!H$2)^2)),Ft!H$3*((1-Ft!H$7)/(1+Ft!H$39*($A128-Ft!H$2)^2)+Ft!H$7*EXP(Ft!H$40*($A128-Ft!H$2)^2)))</f>
        <v>0</v>
      </c>
      <c r="M128" s="3">
        <f>IF(($A128-Ft!I$2)&lt;0,Ft!I$3*((1-Ft!I$6)/(1+Ft!I$37*($A128-Ft!I$2)^2)+Ft!I$6*EXP(Ft!I$38*($A128-Ft!I$2)^2)),Ft!I$3*((1-Ft!I$7)/(1+Ft!I$39*($A128-Ft!I$2)^2)+Ft!I$7*EXP(Ft!I$40*($A128-Ft!I$2)^2)))</f>
        <v>0</v>
      </c>
      <c r="N128" s="3">
        <f>IF(($A128-Ft!J$2)&lt;0,Ft!J$3*((1-Ft!J$6)/(1+Ft!J$37*($A128-Ft!J$2)^2)+Ft!J$6*EXP(Ft!J$38*($A128-Ft!J$2)^2)),Ft!J$3*((1-Ft!J$7)/(1+Ft!J$39*($A128-Ft!J$2)^2)+Ft!J$7*EXP(Ft!J$40*($A128-Ft!J$2)^2)))</f>
        <v>0</v>
      </c>
      <c r="O128" s="3">
        <f>IF(($A128-Ft!K$2)&lt;0,Ft!K$3*((1-Ft!K$6)/(1+Ft!K$37*($A128-Ft!K$2)^2)+Ft!K$6*EXP(Ft!K$38*($A128-Ft!K$2)^2)),Ft!K$3*((1-Ft!K$7)/(1+Ft!K$39*($A128-Ft!K$2)^2)+Ft!K$7*EXP(Ft!K$40*($A128-Ft!K$2)^2)))</f>
        <v>0</v>
      </c>
      <c r="P128"/>
      <c r="Q128"/>
    </row>
    <row r="129" spans="1:17">
      <c r="A129" s="20">
        <v>255</v>
      </c>
      <c r="B129" s="29">
        <v>20.08513733349136</v>
      </c>
      <c r="C129" s="7">
        <f t="shared" si="3"/>
        <v>20.379233400893195</v>
      </c>
      <c r="D129" s="3">
        <f t="shared" si="4"/>
        <v>8.6492496861224621E-2</v>
      </c>
      <c r="E129" s="3">
        <f>Ft!$B$12+Ft!$B$14*(Data!A129-Vars!$B$3)</f>
        <v>-200</v>
      </c>
      <c r="F129" s="3">
        <f>IF(($A129-Ft!B$2)&lt;0,Ft!B$3*((1-Ft!B$6)/(1+Ft!B$37*($A129-Ft!B$2)^2)+Ft!B$6*EXP(Ft!B$38*($A129-Ft!B$2)^2)),Ft!B$3*((1-Ft!B$7)/(1+Ft!B$39*($A129-Ft!B$2)^2)+Ft!B$7*EXP(Ft!B$40*($A129-Ft!B$2)^2)))</f>
        <v>105.12633606927086</v>
      </c>
      <c r="G129" s="3">
        <f>IF(($A129-Ft!C$2)&lt;0,Ft!C$3*((1-Ft!C$6)/(1+Ft!C$37*($A129-Ft!C$2)^2)+Ft!C$6*EXP(Ft!C$38*($A129-Ft!C$2)^2)),Ft!C$3*((1-Ft!C$7)/(1+Ft!C$39*($A129-Ft!C$2)^2)+Ft!C$7*EXP(Ft!C$40*($A129-Ft!C$2)^2)))</f>
        <v>35.427711985031898</v>
      </c>
      <c r="H129" s="3">
        <f>IF(($A129-Ft!D$2)&lt;0,Ft!D$3*((1-Ft!D$6)/(1+Ft!D$37*($A129-Ft!D$2)^2)+Ft!D$6*EXP(Ft!D$38*($A129-Ft!D$2)^2)),Ft!D$3*((1-Ft!D$7)/(1+Ft!D$39*($A129-Ft!D$2)^2)+Ft!D$7*EXP(Ft!D$40*($A129-Ft!D$2)^2)))</f>
        <v>3.9691300045515644E-10</v>
      </c>
      <c r="I129" s="3">
        <f>IF(($A129-Ft!E$2)&lt;0,Ft!E$3*((1-Ft!E$6)/(1+Ft!E$37*($A129-Ft!E$2)^2)+Ft!E$6*EXP(Ft!E$38*($A129-Ft!E$2)^2)),Ft!E$3*((1-Ft!E$7)/(1+Ft!E$39*($A129-Ft!E$2)^2)+Ft!E$7*EXP(Ft!E$40*($A129-Ft!E$2)^2)))</f>
        <v>23.332060668631655</v>
      </c>
      <c r="J129" s="3">
        <f>IF(($A129-Ft!F$2)&lt;0,Ft!F$3*((1-Ft!F$6)/(1+Ft!F$37*($A129-Ft!F$2)^2)+Ft!F$6*EXP(Ft!F$38*($A129-Ft!F$2)^2)),Ft!F$3*((1-Ft!F$7)/(1+Ft!F$39*($A129-Ft!F$2)^2)+Ft!F$7*EXP(Ft!F$40*($A129-Ft!F$2)^2)))</f>
        <v>13.437180585364448</v>
      </c>
      <c r="K129" s="3">
        <f>IF(($A129-Ft!G$2)&lt;0,Ft!G$3*((1-Ft!G$6)/(1+Ft!G$37*($A129-Ft!G$2)^2)+Ft!G$6*EXP(Ft!G$38*($A129-Ft!G$2)^2)),Ft!G$3*((1-Ft!G$7)/(1+Ft!G$39*($A129-Ft!G$2)^2)+Ft!G$7*EXP(Ft!G$40*($A129-Ft!G$2)^2)))</f>
        <v>43.055944092197414</v>
      </c>
      <c r="L129" s="3">
        <f>IF(($A129-Ft!H$2)&lt;0,Ft!H$3*((1-Ft!H$6)/(1+Ft!H$37*($A129-Ft!H$2)^2)+Ft!H$6*EXP(Ft!H$38*($A129-Ft!H$2)^2)),Ft!H$3*((1-Ft!H$7)/(1+Ft!H$39*($A129-Ft!H$2)^2)+Ft!H$7*EXP(Ft!H$40*($A129-Ft!H$2)^2)))</f>
        <v>0</v>
      </c>
      <c r="M129" s="3">
        <f>IF(($A129-Ft!I$2)&lt;0,Ft!I$3*((1-Ft!I$6)/(1+Ft!I$37*($A129-Ft!I$2)^2)+Ft!I$6*EXP(Ft!I$38*($A129-Ft!I$2)^2)),Ft!I$3*((1-Ft!I$7)/(1+Ft!I$39*($A129-Ft!I$2)^2)+Ft!I$7*EXP(Ft!I$40*($A129-Ft!I$2)^2)))</f>
        <v>0</v>
      </c>
      <c r="N129" s="3">
        <f>IF(($A129-Ft!J$2)&lt;0,Ft!J$3*((1-Ft!J$6)/(1+Ft!J$37*($A129-Ft!J$2)^2)+Ft!J$6*EXP(Ft!J$38*($A129-Ft!J$2)^2)),Ft!J$3*((1-Ft!J$7)/(1+Ft!J$39*($A129-Ft!J$2)^2)+Ft!J$7*EXP(Ft!J$40*($A129-Ft!J$2)^2)))</f>
        <v>0</v>
      </c>
      <c r="O129" s="3">
        <f>IF(($A129-Ft!K$2)&lt;0,Ft!K$3*((1-Ft!K$6)/(1+Ft!K$37*($A129-Ft!K$2)^2)+Ft!K$6*EXP(Ft!K$38*($A129-Ft!K$2)^2)),Ft!K$3*((1-Ft!K$7)/(1+Ft!K$39*($A129-Ft!K$2)^2)+Ft!K$7*EXP(Ft!K$40*($A129-Ft!K$2)^2)))</f>
        <v>0</v>
      </c>
      <c r="P129"/>
      <c r="Q129"/>
    </row>
    <row r="130" spans="1:17">
      <c r="A130" s="20">
        <v>257</v>
      </c>
      <c r="B130" s="29">
        <v>20.346194893469118</v>
      </c>
      <c r="C130" s="7">
        <f t="shared" si="3"/>
        <v>20.649052467394043</v>
      </c>
      <c r="D130" s="3">
        <f t="shared" si="4"/>
        <v>9.1722710083691317E-2</v>
      </c>
      <c r="E130" s="3">
        <f>Ft!$B$12+Ft!$B$14*(Data!A130-Vars!$B$3)</f>
        <v>-200</v>
      </c>
      <c r="F130" s="3">
        <f>IF(($A130-Ft!B$2)&lt;0,Ft!B$3*((1-Ft!B$6)/(1+Ft!B$37*($A130-Ft!B$2)^2)+Ft!B$6*EXP(Ft!B$38*($A130-Ft!B$2)^2)),Ft!B$3*((1-Ft!B$7)/(1+Ft!B$39*($A130-Ft!B$2)^2)+Ft!B$7*EXP(Ft!B$40*($A130-Ft!B$2)^2)))</f>
        <v>104.64808538654911</v>
      </c>
      <c r="G130" s="3">
        <f>IF(($A130-Ft!C$2)&lt;0,Ft!C$3*((1-Ft!C$6)/(1+Ft!C$37*($A130-Ft!C$2)^2)+Ft!C$6*EXP(Ft!C$38*($A130-Ft!C$2)^2)),Ft!C$3*((1-Ft!C$7)/(1+Ft!C$39*($A130-Ft!C$2)^2)+Ft!C$7*EXP(Ft!C$40*($A130-Ft!C$2)^2)))</f>
        <v>35.528990427229644</v>
      </c>
      <c r="H130" s="3">
        <f>IF(($A130-Ft!D$2)&lt;0,Ft!D$3*((1-Ft!D$6)/(1+Ft!D$37*($A130-Ft!D$2)^2)+Ft!D$6*EXP(Ft!D$38*($A130-Ft!D$2)^2)),Ft!D$3*((1-Ft!D$7)/(1+Ft!D$39*($A130-Ft!D$2)^2)+Ft!D$7*EXP(Ft!D$40*($A130-Ft!D$2)^2)))</f>
        <v>6.4965791335781542E-10</v>
      </c>
      <c r="I130" s="3">
        <f>IF(($A130-Ft!E$2)&lt;0,Ft!E$3*((1-Ft!E$6)/(1+Ft!E$37*($A130-Ft!E$2)^2)+Ft!E$6*EXP(Ft!E$38*($A130-Ft!E$2)^2)),Ft!E$3*((1-Ft!E$7)/(1+Ft!E$39*($A130-Ft!E$2)^2)+Ft!E$7*EXP(Ft!E$40*($A130-Ft!E$2)^2)))</f>
        <v>23.647937167954854</v>
      </c>
      <c r="J130" s="3">
        <f>IF(($A130-Ft!F$2)&lt;0,Ft!F$3*((1-Ft!F$6)/(1+Ft!F$37*($A130-Ft!F$2)^2)+Ft!F$6*EXP(Ft!F$38*($A130-Ft!F$2)^2)),Ft!F$3*((1-Ft!F$7)/(1+Ft!F$39*($A130-Ft!F$2)^2)+Ft!F$7*EXP(Ft!F$40*($A130-Ft!F$2)^2)))</f>
        <v>13.544855027283283</v>
      </c>
      <c r="K130" s="3">
        <f>IF(($A130-Ft!G$2)&lt;0,Ft!G$3*((1-Ft!G$6)/(1+Ft!G$37*($A130-Ft!G$2)^2)+Ft!G$6*EXP(Ft!G$38*($A130-Ft!G$2)^2)),Ft!G$3*((1-Ft!G$7)/(1+Ft!G$39*($A130-Ft!G$2)^2)+Ft!G$7*EXP(Ft!G$40*($A130-Ft!G$2)^2)))</f>
        <v>43.279184457727489</v>
      </c>
      <c r="L130" s="3">
        <f>IF(($A130-Ft!H$2)&lt;0,Ft!H$3*((1-Ft!H$6)/(1+Ft!H$37*($A130-Ft!H$2)^2)+Ft!H$6*EXP(Ft!H$38*($A130-Ft!H$2)^2)),Ft!H$3*((1-Ft!H$7)/(1+Ft!H$39*($A130-Ft!H$2)^2)+Ft!H$7*EXP(Ft!H$40*($A130-Ft!H$2)^2)))</f>
        <v>0</v>
      </c>
      <c r="M130" s="3">
        <f>IF(($A130-Ft!I$2)&lt;0,Ft!I$3*((1-Ft!I$6)/(1+Ft!I$37*($A130-Ft!I$2)^2)+Ft!I$6*EXP(Ft!I$38*($A130-Ft!I$2)^2)),Ft!I$3*((1-Ft!I$7)/(1+Ft!I$39*($A130-Ft!I$2)^2)+Ft!I$7*EXP(Ft!I$40*($A130-Ft!I$2)^2)))</f>
        <v>0</v>
      </c>
      <c r="N130" s="3">
        <f>IF(($A130-Ft!J$2)&lt;0,Ft!J$3*((1-Ft!J$6)/(1+Ft!J$37*($A130-Ft!J$2)^2)+Ft!J$6*EXP(Ft!J$38*($A130-Ft!J$2)^2)),Ft!J$3*((1-Ft!J$7)/(1+Ft!J$39*($A130-Ft!J$2)^2)+Ft!J$7*EXP(Ft!J$40*($A130-Ft!J$2)^2)))</f>
        <v>0</v>
      </c>
      <c r="O130" s="3">
        <f>IF(($A130-Ft!K$2)&lt;0,Ft!K$3*((1-Ft!K$6)/(1+Ft!K$37*($A130-Ft!K$2)^2)+Ft!K$6*EXP(Ft!K$38*($A130-Ft!K$2)^2)),Ft!K$3*((1-Ft!K$7)/(1+Ft!K$39*($A130-Ft!K$2)^2)+Ft!K$7*EXP(Ft!K$40*($A130-Ft!K$2)^2)))</f>
        <v>0</v>
      </c>
      <c r="P130"/>
      <c r="Q130"/>
    </row>
    <row r="131" spans="1:17">
      <c r="A131" s="20">
        <v>259</v>
      </c>
      <c r="B131" s="29">
        <v>20.609263843015441</v>
      </c>
      <c r="C131" s="7">
        <f t="shared" ref="C131:C194" si="5">SUM(E131:K131)</f>
        <v>20.919245518197769</v>
      </c>
      <c r="D131" s="3">
        <f t="shared" si="4"/>
        <v>9.6088638948842509E-2</v>
      </c>
      <c r="E131" s="3">
        <f>Ft!$B$12+Ft!$B$14*(Data!A131-Vars!$B$3)</f>
        <v>-200</v>
      </c>
      <c r="F131" s="3">
        <f>IF(($A131-Ft!B$2)&lt;0,Ft!B$3*((1-Ft!B$6)/(1+Ft!B$37*($A131-Ft!B$2)^2)+Ft!B$6*EXP(Ft!B$38*($A131-Ft!B$2)^2)),Ft!B$3*((1-Ft!B$7)/(1+Ft!B$39*($A131-Ft!B$2)^2)+Ft!B$7*EXP(Ft!B$40*($A131-Ft!B$2)^2)))</f>
        <v>104.17002212154419</v>
      </c>
      <c r="G131" s="3">
        <f>IF(($A131-Ft!C$2)&lt;0,Ft!C$3*((1-Ft!C$6)/(1+Ft!C$37*($A131-Ft!C$2)^2)+Ft!C$6*EXP(Ft!C$38*($A131-Ft!C$2)^2)),Ft!C$3*((1-Ft!C$7)/(1+Ft!C$39*($A131-Ft!C$2)^2)+Ft!C$7*EXP(Ft!C$40*($A131-Ft!C$2)^2)))</f>
        <v>35.630243575510548</v>
      </c>
      <c r="H131" s="3">
        <f>IF(($A131-Ft!D$2)&lt;0,Ft!D$3*((1-Ft!D$6)/(1+Ft!D$37*($A131-Ft!D$2)^2)+Ft!D$6*EXP(Ft!D$38*($A131-Ft!D$2)^2)),Ft!D$3*((1-Ft!D$7)/(1+Ft!D$39*($A131-Ft!D$2)^2)+Ft!D$7*EXP(Ft!D$40*($A131-Ft!D$2)^2)))</f>
        <v>1.0574947716155948E-9</v>
      </c>
      <c r="I131" s="3">
        <f>IF(($A131-Ft!E$2)&lt;0,Ft!E$3*((1-Ft!E$6)/(1+Ft!E$37*($A131-Ft!E$2)^2)+Ft!E$6*EXP(Ft!E$38*($A131-Ft!E$2)^2)),Ft!E$3*((1-Ft!E$7)/(1+Ft!E$39*($A131-Ft!E$2)^2)+Ft!E$7*EXP(Ft!E$40*($A131-Ft!E$2)^2)))</f>
        <v>23.96670043580129</v>
      </c>
      <c r="J131" s="3">
        <f>IF(($A131-Ft!F$2)&lt;0,Ft!F$3*((1-Ft!F$6)/(1+Ft!F$37*($A131-Ft!F$2)^2)+Ft!F$6*EXP(Ft!F$38*($A131-Ft!F$2)^2)),Ft!F$3*((1-Ft!F$7)/(1+Ft!F$39*($A131-Ft!F$2)^2)+Ft!F$7*EXP(Ft!F$40*($A131-Ft!F$2)^2)))</f>
        <v>13.653212463196725</v>
      </c>
      <c r="K131" s="3">
        <f>IF(($A131-Ft!G$2)&lt;0,Ft!G$3*((1-Ft!G$6)/(1+Ft!G$37*($A131-Ft!G$2)^2)+Ft!G$6*EXP(Ft!G$38*($A131-Ft!G$2)^2)),Ft!G$3*((1-Ft!G$7)/(1+Ft!G$39*($A131-Ft!G$2)^2)+Ft!G$7*EXP(Ft!G$40*($A131-Ft!G$2)^2)))</f>
        <v>43.499066921087518</v>
      </c>
      <c r="L131" s="3">
        <f>IF(($A131-Ft!H$2)&lt;0,Ft!H$3*((1-Ft!H$6)/(1+Ft!H$37*($A131-Ft!H$2)^2)+Ft!H$6*EXP(Ft!H$38*($A131-Ft!H$2)^2)),Ft!H$3*((1-Ft!H$7)/(1+Ft!H$39*($A131-Ft!H$2)^2)+Ft!H$7*EXP(Ft!H$40*($A131-Ft!H$2)^2)))</f>
        <v>0</v>
      </c>
      <c r="M131" s="3">
        <f>IF(($A131-Ft!I$2)&lt;0,Ft!I$3*((1-Ft!I$6)/(1+Ft!I$37*($A131-Ft!I$2)^2)+Ft!I$6*EXP(Ft!I$38*($A131-Ft!I$2)^2)),Ft!I$3*((1-Ft!I$7)/(1+Ft!I$39*($A131-Ft!I$2)^2)+Ft!I$7*EXP(Ft!I$40*($A131-Ft!I$2)^2)))</f>
        <v>0</v>
      </c>
      <c r="N131" s="3">
        <f>IF(($A131-Ft!J$2)&lt;0,Ft!J$3*((1-Ft!J$6)/(1+Ft!J$37*($A131-Ft!J$2)^2)+Ft!J$6*EXP(Ft!J$38*($A131-Ft!J$2)^2)),Ft!J$3*((1-Ft!J$7)/(1+Ft!J$39*($A131-Ft!J$2)^2)+Ft!J$7*EXP(Ft!J$40*($A131-Ft!J$2)^2)))</f>
        <v>0</v>
      </c>
      <c r="O131" s="3">
        <f>IF(($A131-Ft!K$2)&lt;0,Ft!K$3*((1-Ft!K$6)/(1+Ft!K$37*($A131-Ft!K$2)^2)+Ft!K$6*EXP(Ft!K$38*($A131-Ft!K$2)^2)),Ft!K$3*((1-Ft!K$7)/(1+Ft!K$39*($A131-Ft!K$2)^2)+Ft!K$7*EXP(Ft!K$40*($A131-Ft!K$2)^2)))</f>
        <v>0</v>
      </c>
      <c r="P131"/>
      <c r="Q131"/>
    </row>
    <row r="132" spans="1:17">
      <c r="A132" s="20">
        <v>261</v>
      </c>
      <c r="B132" s="29">
        <v>20.874394922335419</v>
      </c>
      <c r="C132" s="7">
        <f t="shared" si="5"/>
        <v>21.189769517990094</v>
      </c>
      <c r="D132" s="3">
        <f t="shared" si="4"/>
        <v>9.9461135584349311E-2</v>
      </c>
      <c r="E132" s="3">
        <f>Ft!$B$12+Ft!$B$14*(Data!A132-Vars!$B$3)</f>
        <v>-200</v>
      </c>
      <c r="F132" s="3">
        <f>IF(($A132-Ft!B$2)&lt;0,Ft!B$3*((1-Ft!B$6)/(1+Ft!B$37*($A132-Ft!B$2)^2)+Ft!B$6*EXP(Ft!B$38*($A132-Ft!B$2)^2)),Ft!B$3*((1-Ft!B$7)/(1+Ft!B$39*($A132-Ft!B$2)^2)+Ft!B$7*EXP(Ft!B$40*($A132-Ft!B$2)^2)))</f>
        <v>103.69216362556165</v>
      </c>
      <c r="G132" s="3">
        <f>IF(($A132-Ft!C$2)&lt;0,Ft!C$3*((1-Ft!C$6)/(1+Ft!C$37*($A132-Ft!C$2)^2)+Ft!C$6*EXP(Ft!C$38*($A132-Ft!C$2)^2)),Ft!C$3*((1-Ft!C$7)/(1+Ft!C$39*($A132-Ft!C$2)^2)+Ft!C$7*EXP(Ft!C$40*($A132-Ft!C$2)^2)))</f>
        <v>35.731469565948657</v>
      </c>
      <c r="H132" s="3">
        <f>IF(($A132-Ft!D$2)&lt;0,Ft!D$3*((1-Ft!D$6)/(1+Ft!D$37*($A132-Ft!D$2)^2)+Ft!D$6*EXP(Ft!D$38*($A132-Ft!D$2)^2)),Ft!D$3*((1-Ft!D$7)/(1+Ft!D$39*($A132-Ft!D$2)^2)+Ft!D$7*EXP(Ft!D$40*($A132-Ft!D$2)^2)))</f>
        <v>1.7118898300754011E-9</v>
      </c>
      <c r="I132" s="3">
        <f>IF(($A132-Ft!E$2)&lt;0,Ft!E$3*((1-Ft!E$6)/(1+Ft!E$37*($A132-Ft!E$2)^2)+Ft!E$6*EXP(Ft!E$38*($A132-Ft!E$2)^2)),Ft!E$3*((1-Ft!E$7)/(1+Ft!E$39*($A132-Ft!E$2)^2)+Ft!E$7*EXP(Ft!E$40*($A132-Ft!E$2)^2)))</f>
        <v>24.288352171741344</v>
      </c>
      <c r="J132" s="3">
        <f>IF(($A132-Ft!F$2)&lt;0,Ft!F$3*((1-Ft!F$6)/(1+Ft!F$37*($A132-Ft!F$2)^2)+Ft!F$6*EXP(Ft!F$38*($A132-Ft!F$2)^2)),Ft!F$3*((1-Ft!F$7)/(1+Ft!F$39*($A132-Ft!F$2)^2)+Ft!F$7*EXP(Ft!F$40*($A132-Ft!F$2)^2)))</f>
        <v>13.762255491360186</v>
      </c>
      <c r="K132" s="3">
        <f>IF(($A132-Ft!G$2)&lt;0,Ft!G$3*((1-Ft!G$6)/(1+Ft!G$37*($A132-Ft!G$2)^2)+Ft!G$6*EXP(Ft!G$38*($A132-Ft!G$2)^2)),Ft!G$3*((1-Ft!G$7)/(1+Ft!G$39*($A132-Ft!G$2)^2)+Ft!G$7*EXP(Ft!G$40*($A132-Ft!G$2)^2)))</f>
        <v>43.715528661666369</v>
      </c>
      <c r="L132" s="3">
        <f>IF(($A132-Ft!H$2)&lt;0,Ft!H$3*((1-Ft!H$6)/(1+Ft!H$37*($A132-Ft!H$2)^2)+Ft!H$6*EXP(Ft!H$38*($A132-Ft!H$2)^2)),Ft!H$3*((1-Ft!H$7)/(1+Ft!H$39*($A132-Ft!H$2)^2)+Ft!H$7*EXP(Ft!H$40*($A132-Ft!H$2)^2)))</f>
        <v>0</v>
      </c>
      <c r="M132" s="3">
        <f>IF(($A132-Ft!I$2)&lt;0,Ft!I$3*((1-Ft!I$6)/(1+Ft!I$37*($A132-Ft!I$2)^2)+Ft!I$6*EXP(Ft!I$38*($A132-Ft!I$2)^2)),Ft!I$3*((1-Ft!I$7)/(1+Ft!I$39*($A132-Ft!I$2)^2)+Ft!I$7*EXP(Ft!I$40*($A132-Ft!I$2)^2)))</f>
        <v>0</v>
      </c>
      <c r="N132" s="3">
        <f>IF(($A132-Ft!J$2)&lt;0,Ft!J$3*((1-Ft!J$6)/(1+Ft!J$37*($A132-Ft!J$2)^2)+Ft!J$6*EXP(Ft!J$38*($A132-Ft!J$2)^2)),Ft!J$3*((1-Ft!J$7)/(1+Ft!J$39*($A132-Ft!J$2)^2)+Ft!J$7*EXP(Ft!J$40*($A132-Ft!J$2)^2)))</f>
        <v>0</v>
      </c>
      <c r="O132" s="3">
        <f>IF(($A132-Ft!K$2)&lt;0,Ft!K$3*((1-Ft!K$6)/(1+Ft!K$37*($A132-Ft!K$2)^2)+Ft!K$6*EXP(Ft!K$38*($A132-Ft!K$2)^2)),Ft!K$3*((1-Ft!K$7)/(1+Ft!K$39*($A132-Ft!K$2)^2)+Ft!K$7*EXP(Ft!K$40*($A132-Ft!K$2)^2)))</f>
        <v>0</v>
      </c>
      <c r="P132"/>
      <c r="Q132"/>
    </row>
    <row r="133" spans="1:17">
      <c r="A133" s="20">
        <v>263</v>
      </c>
      <c r="B133" s="29">
        <v>21.141630538222572</v>
      </c>
      <c r="C133" s="7">
        <f t="shared" si="5"/>
        <v>21.46058159837337</v>
      </c>
      <c r="D133" s="3">
        <f t="shared" si="4"/>
        <v>0.10172977877131817</v>
      </c>
      <c r="E133" s="3">
        <f>Ft!$B$12+Ft!$B$14*(Data!A133-Vars!$B$3)</f>
        <v>-200</v>
      </c>
      <c r="F133" s="3">
        <f>IF(($A133-Ft!B$2)&lt;0,Ft!B$3*((1-Ft!B$6)/(1+Ft!B$37*($A133-Ft!B$2)^2)+Ft!B$6*EXP(Ft!B$38*($A133-Ft!B$2)^2)),Ft!B$3*((1-Ft!B$7)/(1+Ft!B$39*($A133-Ft!B$2)^2)+Ft!B$7*EXP(Ft!B$40*($A133-Ft!B$2)^2)))</f>
        <v>103.21452715877859</v>
      </c>
      <c r="G133" s="3">
        <f>IF(($A133-Ft!C$2)&lt;0,Ft!C$3*((1-Ft!C$6)/(1+Ft!C$37*($A133-Ft!C$2)^2)+Ft!C$6*EXP(Ft!C$38*($A133-Ft!C$2)^2)),Ft!C$3*((1-Ft!C$7)/(1+Ft!C$39*($A133-Ft!C$2)^2)+Ft!C$7*EXP(Ft!C$40*($A133-Ft!C$2)^2)))</f>
        <v>35.832666530035219</v>
      </c>
      <c r="H133" s="3">
        <f>IF(($A133-Ft!D$2)&lt;0,Ft!D$3*((1-Ft!D$6)/(1+Ft!D$37*($A133-Ft!D$2)^2)+Ft!D$6*EXP(Ft!D$38*($A133-Ft!D$2)^2)),Ft!D$3*((1-Ft!D$7)/(1+Ft!D$39*($A133-Ft!D$2)^2)+Ft!D$7*EXP(Ft!D$40*($A133-Ft!D$2)^2)))</f>
        <v>2.7559890139633925E-9</v>
      </c>
      <c r="I133" s="3">
        <f>IF(($A133-Ft!E$2)&lt;0,Ft!E$3*((1-Ft!E$6)/(1+Ft!E$37*($A133-Ft!E$2)^2)+Ft!E$6*EXP(Ft!E$38*($A133-Ft!E$2)^2)),Ft!E$3*((1-Ft!E$7)/(1+Ft!E$39*($A133-Ft!E$2)^2)+Ft!E$7*EXP(Ft!E$40*($A133-Ft!E$2)^2)))</f>
        <v>24.612893592418022</v>
      </c>
      <c r="J133" s="3">
        <f>IF(($A133-Ft!F$2)&lt;0,Ft!F$3*((1-Ft!F$6)/(1+Ft!F$37*($A133-Ft!F$2)^2)+Ft!F$6*EXP(Ft!F$38*($A133-Ft!F$2)^2)),Ft!F$3*((1-Ft!F$7)/(1+Ft!F$39*($A133-Ft!F$2)^2)+Ft!F$7*EXP(Ft!F$40*($A133-Ft!F$2)^2)))</f>
        <v>13.871986703600992</v>
      </c>
      <c r="K133" s="3">
        <f>IF(($A133-Ft!G$2)&lt;0,Ft!G$3*((1-Ft!G$6)/(1+Ft!G$37*($A133-Ft!G$2)^2)+Ft!G$6*EXP(Ft!G$38*($A133-Ft!G$2)^2)),Ft!G$3*((1-Ft!G$7)/(1+Ft!G$39*($A133-Ft!G$2)^2)+Ft!G$7*EXP(Ft!G$40*($A133-Ft!G$2)^2)))</f>
        <v>43.928507610784557</v>
      </c>
      <c r="L133" s="3">
        <f>IF(($A133-Ft!H$2)&lt;0,Ft!H$3*((1-Ft!H$6)/(1+Ft!H$37*($A133-Ft!H$2)^2)+Ft!H$6*EXP(Ft!H$38*($A133-Ft!H$2)^2)),Ft!H$3*((1-Ft!H$7)/(1+Ft!H$39*($A133-Ft!H$2)^2)+Ft!H$7*EXP(Ft!H$40*($A133-Ft!H$2)^2)))</f>
        <v>0</v>
      </c>
      <c r="M133" s="3">
        <f>IF(($A133-Ft!I$2)&lt;0,Ft!I$3*((1-Ft!I$6)/(1+Ft!I$37*($A133-Ft!I$2)^2)+Ft!I$6*EXP(Ft!I$38*($A133-Ft!I$2)^2)),Ft!I$3*((1-Ft!I$7)/(1+Ft!I$39*($A133-Ft!I$2)^2)+Ft!I$7*EXP(Ft!I$40*($A133-Ft!I$2)^2)))</f>
        <v>0</v>
      </c>
      <c r="N133" s="3">
        <f>IF(($A133-Ft!J$2)&lt;0,Ft!J$3*((1-Ft!J$6)/(1+Ft!J$37*($A133-Ft!J$2)^2)+Ft!J$6*EXP(Ft!J$38*($A133-Ft!J$2)^2)),Ft!J$3*((1-Ft!J$7)/(1+Ft!J$39*($A133-Ft!J$2)^2)+Ft!J$7*EXP(Ft!J$40*($A133-Ft!J$2)^2)))</f>
        <v>0</v>
      </c>
      <c r="O133" s="3">
        <f>IF(($A133-Ft!K$2)&lt;0,Ft!K$3*((1-Ft!K$6)/(1+Ft!K$37*($A133-Ft!K$2)^2)+Ft!K$6*EXP(Ft!K$38*($A133-Ft!K$2)^2)),Ft!K$3*((1-Ft!K$7)/(1+Ft!K$39*($A133-Ft!K$2)^2)+Ft!K$7*EXP(Ft!K$40*($A133-Ft!K$2)^2)))</f>
        <v>0</v>
      </c>
      <c r="P133"/>
      <c r="Q133"/>
    </row>
    <row r="134" spans="1:17">
      <c r="A134" s="20">
        <v>265</v>
      </c>
      <c r="B134" s="29">
        <v>21.411003479866721</v>
      </c>
      <c r="C134" s="7">
        <f t="shared" si="5"/>
        <v>21.731639079671734</v>
      </c>
      <c r="D134" s="3">
        <f t="shared" si="4"/>
        <v>0.10280718786231988</v>
      </c>
      <c r="E134" s="3">
        <f>Ft!$B$12+Ft!$B$14*(Data!A134-Vars!$B$3)</f>
        <v>-200</v>
      </c>
      <c r="F134" s="3">
        <f>IF(($A134-Ft!B$2)&lt;0,Ft!B$3*((1-Ft!B$6)/(1+Ft!B$37*($A134-Ft!B$2)^2)+Ft!B$6*EXP(Ft!B$38*($A134-Ft!B$2)^2)),Ft!B$3*((1-Ft!B$7)/(1+Ft!B$39*($A134-Ft!B$2)^2)+Ft!B$7*EXP(Ft!B$40*($A134-Ft!B$2)^2)))</f>
        <v>102.737129889347</v>
      </c>
      <c r="G134" s="3">
        <f>IF(($A134-Ft!C$2)&lt;0,Ft!C$3*((1-Ft!C$6)/(1+Ft!C$37*($A134-Ft!C$2)^2)+Ft!C$6*EXP(Ft!C$38*($A134-Ft!C$2)^2)),Ft!C$3*((1-Ft!C$7)/(1+Ft!C$39*($A134-Ft!C$2)^2)+Ft!C$7*EXP(Ft!C$40*($A134-Ft!C$2)^2)))</f>
        <v>35.933832594731861</v>
      </c>
      <c r="H134" s="3">
        <f>IF(($A134-Ft!D$2)&lt;0,Ft!D$3*((1-Ft!D$6)/(1+Ft!D$37*($A134-Ft!D$2)^2)+Ft!D$6*EXP(Ft!D$38*($A134-Ft!D$2)^2)),Ft!D$3*((1-Ft!D$7)/(1+Ft!D$39*($A134-Ft!D$2)^2)+Ft!D$7*EXP(Ft!D$40*($A134-Ft!D$2)^2)))</f>
        <v>4.4124849717146565E-9</v>
      </c>
      <c r="I134" s="3">
        <f>IF(($A134-Ft!E$2)&lt;0,Ft!E$3*((1-Ft!E$6)/(1+Ft!E$37*($A134-Ft!E$2)^2)+Ft!E$6*EXP(Ft!E$38*($A134-Ft!E$2)^2)),Ft!E$3*((1-Ft!E$7)/(1+Ft!E$39*($A134-Ft!E$2)^2)+Ft!E$7*EXP(Ft!E$40*($A134-Ft!E$2)^2)))</f>
        <v>24.940325424781847</v>
      </c>
      <c r="J134" s="3">
        <f>IF(($A134-Ft!F$2)&lt;0,Ft!F$3*((1-Ft!F$6)/(1+Ft!F$37*($A134-Ft!F$2)^2)+Ft!F$6*EXP(Ft!F$38*($A134-Ft!F$2)^2)),Ft!F$3*((1-Ft!F$7)/(1+Ft!F$39*($A134-Ft!F$2)^2)+Ft!F$7*EXP(Ft!F$40*($A134-Ft!F$2)^2)))</f>
        <v>13.982408685129972</v>
      </c>
      <c r="K134" s="3">
        <f>IF(($A134-Ft!G$2)&lt;0,Ft!G$3*((1-Ft!G$6)/(1+Ft!G$37*($A134-Ft!G$2)^2)+Ft!G$6*EXP(Ft!G$38*($A134-Ft!G$2)^2)),Ft!G$3*((1-Ft!G$7)/(1+Ft!G$39*($A134-Ft!G$2)^2)+Ft!G$7*EXP(Ft!G$40*($A134-Ft!G$2)^2)))</f>
        <v>44.137942481268567</v>
      </c>
      <c r="L134" s="3">
        <f>IF(($A134-Ft!H$2)&lt;0,Ft!H$3*((1-Ft!H$6)/(1+Ft!H$37*($A134-Ft!H$2)^2)+Ft!H$6*EXP(Ft!H$38*($A134-Ft!H$2)^2)),Ft!H$3*((1-Ft!H$7)/(1+Ft!H$39*($A134-Ft!H$2)^2)+Ft!H$7*EXP(Ft!H$40*($A134-Ft!H$2)^2)))</f>
        <v>0</v>
      </c>
      <c r="M134" s="3">
        <f>IF(($A134-Ft!I$2)&lt;0,Ft!I$3*((1-Ft!I$6)/(1+Ft!I$37*($A134-Ft!I$2)^2)+Ft!I$6*EXP(Ft!I$38*($A134-Ft!I$2)^2)),Ft!I$3*((1-Ft!I$7)/(1+Ft!I$39*($A134-Ft!I$2)^2)+Ft!I$7*EXP(Ft!I$40*($A134-Ft!I$2)^2)))</f>
        <v>0</v>
      </c>
      <c r="N134" s="3">
        <f>IF(($A134-Ft!J$2)&lt;0,Ft!J$3*((1-Ft!J$6)/(1+Ft!J$37*($A134-Ft!J$2)^2)+Ft!J$6*EXP(Ft!J$38*($A134-Ft!J$2)^2)),Ft!J$3*((1-Ft!J$7)/(1+Ft!J$39*($A134-Ft!J$2)^2)+Ft!J$7*EXP(Ft!J$40*($A134-Ft!J$2)^2)))</f>
        <v>0</v>
      </c>
      <c r="O134" s="3">
        <f>IF(($A134-Ft!K$2)&lt;0,Ft!K$3*((1-Ft!K$6)/(1+Ft!K$37*($A134-Ft!K$2)^2)+Ft!K$6*EXP(Ft!K$38*($A134-Ft!K$2)^2)),Ft!K$3*((1-Ft!K$7)/(1+Ft!K$39*($A134-Ft!K$2)^2)+Ft!K$7*EXP(Ft!K$40*($A134-Ft!K$2)^2)))</f>
        <v>0</v>
      </c>
      <c r="P134"/>
      <c r="Q134"/>
    </row>
    <row r="135" spans="1:17">
      <c r="A135" s="20">
        <v>267</v>
      </c>
      <c r="B135" s="29">
        <v>21.682535629867225</v>
      </c>
      <c r="C135" s="7">
        <f t="shared" si="5"/>
        <v>22.00289949255361</v>
      </c>
      <c r="D135" s="3">
        <f t="shared" si="4"/>
        <v>0.10263300451534091</v>
      </c>
      <c r="E135" s="3">
        <f>Ft!$B$12+Ft!$B$14*(Data!A135-Vars!$B$3)</f>
        <v>-200</v>
      </c>
      <c r="F135" s="3">
        <f>IF(($A135-Ft!B$2)&lt;0,Ft!B$3*((1-Ft!B$6)/(1+Ft!B$37*($A135-Ft!B$2)^2)+Ft!B$6*EXP(Ft!B$38*($A135-Ft!B$2)^2)),Ft!B$3*((1-Ft!B$7)/(1+Ft!B$39*($A135-Ft!B$2)^2)+Ft!B$7*EXP(Ft!B$40*($A135-Ft!B$2)^2)))</f>
        <v>102.25998889250987</v>
      </c>
      <c r="G135" s="3">
        <f>IF(($A135-Ft!C$2)&lt;0,Ft!C$3*((1-Ft!C$6)/(1+Ft!C$37*($A135-Ft!C$2)^2)+Ft!C$6*EXP(Ft!C$38*($A135-Ft!C$2)^2)),Ft!C$3*((1-Ft!C$7)/(1+Ft!C$39*($A135-Ft!C$2)^2)+Ft!C$7*EXP(Ft!C$40*($A135-Ft!C$2)^2)))</f>
        <v>36.034965882523942</v>
      </c>
      <c r="H135" s="3">
        <f>IF(($A135-Ft!D$2)&lt;0,Ft!D$3*((1-Ft!D$6)/(1+Ft!D$37*($A135-Ft!D$2)^2)+Ft!D$6*EXP(Ft!D$38*($A135-Ft!D$2)^2)),Ft!D$3*((1-Ft!D$7)/(1+Ft!D$39*($A135-Ft!D$2)^2)+Ft!D$7*EXP(Ft!D$40*($A135-Ft!D$2)^2)))</f>
        <v>7.0257563333320514E-9</v>
      </c>
      <c r="I135" s="3">
        <f>IF(($A135-Ft!E$2)&lt;0,Ft!E$3*((1-Ft!E$6)/(1+Ft!E$37*($A135-Ft!E$2)^2)+Ft!E$6*EXP(Ft!E$38*($A135-Ft!E$2)^2)),Ft!E$3*((1-Ft!E$7)/(1+Ft!E$39*($A135-Ft!E$2)^2)+Ft!E$7*EXP(Ft!E$40*($A135-Ft!E$2)^2)))</f>
        <v>25.270647899377952</v>
      </c>
      <c r="J135" s="3">
        <f>IF(($A135-Ft!F$2)&lt;0,Ft!F$3*((1-Ft!F$6)/(1+Ft!F$37*($A135-Ft!F$2)^2)+Ft!F$6*EXP(Ft!F$38*($A135-Ft!F$2)^2)),Ft!F$3*((1-Ft!F$7)/(1+Ft!F$39*($A135-Ft!F$2)^2)+Ft!F$7*EXP(Ft!F$40*($A135-Ft!F$2)^2)))</f>
        <v>14.093524014351935</v>
      </c>
      <c r="K135" s="3">
        <f>IF(($A135-Ft!G$2)&lt;0,Ft!G$3*((1-Ft!G$6)/(1+Ft!G$37*($A135-Ft!G$2)^2)+Ft!G$6*EXP(Ft!G$38*($A135-Ft!G$2)^2)),Ft!G$3*((1-Ft!G$7)/(1+Ft!G$39*($A135-Ft!G$2)^2)+Ft!G$7*EXP(Ft!G$40*($A135-Ft!G$2)^2)))</f>
        <v>44.343772796764164</v>
      </c>
      <c r="L135" s="3">
        <f>IF(($A135-Ft!H$2)&lt;0,Ft!H$3*((1-Ft!H$6)/(1+Ft!H$37*($A135-Ft!H$2)^2)+Ft!H$6*EXP(Ft!H$38*($A135-Ft!H$2)^2)),Ft!H$3*((1-Ft!H$7)/(1+Ft!H$39*($A135-Ft!H$2)^2)+Ft!H$7*EXP(Ft!H$40*($A135-Ft!H$2)^2)))</f>
        <v>0</v>
      </c>
      <c r="M135" s="3">
        <f>IF(($A135-Ft!I$2)&lt;0,Ft!I$3*((1-Ft!I$6)/(1+Ft!I$37*($A135-Ft!I$2)^2)+Ft!I$6*EXP(Ft!I$38*($A135-Ft!I$2)^2)),Ft!I$3*((1-Ft!I$7)/(1+Ft!I$39*($A135-Ft!I$2)^2)+Ft!I$7*EXP(Ft!I$40*($A135-Ft!I$2)^2)))</f>
        <v>0</v>
      </c>
      <c r="N135" s="3">
        <f>IF(($A135-Ft!J$2)&lt;0,Ft!J$3*((1-Ft!J$6)/(1+Ft!J$37*($A135-Ft!J$2)^2)+Ft!J$6*EXP(Ft!J$38*($A135-Ft!J$2)^2)),Ft!J$3*((1-Ft!J$7)/(1+Ft!J$39*($A135-Ft!J$2)^2)+Ft!J$7*EXP(Ft!J$40*($A135-Ft!J$2)^2)))</f>
        <v>0</v>
      </c>
      <c r="O135" s="3">
        <f>IF(($A135-Ft!K$2)&lt;0,Ft!K$3*((1-Ft!K$6)/(1+Ft!K$37*($A135-Ft!K$2)^2)+Ft!K$6*EXP(Ft!K$38*($A135-Ft!K$2)^2)),Ft!K$3*((1-Ft!K$7)/(1+Ft!K$39*($A135-Ft!K$2)^2)+Ft!K$7*EXP(Ft!K$40*($A135-Ft!K$2)^2)))</f>
        <v>0</v>
      </c>
      <c r="P135"/>
      <c r="Q135"/>
    </row>
    <row r="136" spans="1:17">
      <c r="A136" s="20">
        <v>269</v>
      </c>
      <c r="B136" s="29">
        <v>21.956236689490318</v>
      </c>
      <c r="C136" s="7">
        <f t="shared" si="5"/>
        <v>22.274320599463053</v>
      </c>
      <c r="D136" s="3">
        <f t="shared" si="4"/>
        <v>0.10117737378354302</v>
      </c>
      <c r="E136" s="3">
        <f>Ft!$B$12+Ft!$B$14*(Data!A136-Vars!$B$3)</f>
        <v>-200</v>
      </c>
      <c r="F136" s="3">
        <f>IF(($A136-Ft!B$2)&lt;0,Ft!B$3*((1-Ft!B$6)/(1+Ft!B$37*($A136-Ft!B$2)^2)+Ft!B$6*EXP(Ft!B$38*($A136-Ft!B$2)^2)),Ft!B$3*((1-Ft!B$7)/(1+Ft!B$39*($A136-Ft!B$2)^2)+Ft!B$7*EXP(Ft!B$40*($A136-Ft!B$2)^2)))</f>
        <v>101.78312114973033</v>
      </c>
      <c r="G136" s="3">
        <f>IF(($A136-Ft!C$2)&lt;0,Ft!C$3*((1-Ft!C$6)/(1+Ft!C$37*($A136-Ft!C$2)^2)+Ft!C$6*EXP(Ft!C$38*($A136-Ft!C$2)^2)),Ft!C$3*((1-Ft!C$7)/(1+Ft!C$39*($A136-Ft!C$2)^2)+Ft!C$7*EXP(Ft!C$40*($A136-Ft!C$2)^2)))</f>
        <v>36.136064511474466</v>
      </c>
      <c r="H136" s="3">
        <f>IF(($A136-Ft!D$2)&lt;0,Ft!D$3*((1-Ft!D$6)/(1+Ft!D$37*($A136-Ft!D$2)^2)+Ft!D$6*EXP(Ft!D$38*($A136-Ft!D$2)^2)),Ft!D$3*((1-Ft!D$7)/(1+Ft!D$39*($A136-Ft!D$2)^2)+Ft!D$7*EXP(Ft!D$40*($A136-Ft!D$2)^2)))</f>
        <v>1.1125179194412476E-8</v>
      </c>
      <c r="I136" s="3">
        <f>IF(($A136-Ft!E$2)&lt;0,Ft!E$3*((1-Ft!E$6)/(1+Ft!E$37*($A136-Ft!E$2)^2)+Ft!E$6*EXP(Ft!E$38*($A136-Ft!E$2)^2)),Ft!E$3*((1-Ft!E$7)/(1+Ft!E$39*($A136-Ft!E$2)^2)+Ft!E$7*EXP(Ft!E$40*($A136-Ft!E$2)^2)))</f>
        <v>25.603860743688571</v>
      </c>
      <c r="J136" s="3">
        <f>IF(($A136-Ft!F$2)&lt;0,Ft!F$3*((1-Ft!F$6)/(1+Ft!F$37*($A136-Ft!F$2)^2)+Ft!F$6*EXP(Ft!F$38*($A136-Ft!F$2)^2)),Ft!F$3*((1-Ft!F$7)/(1+Ft!F$39*($A136-Ft!F$2)^2)+Ft!F$7*EXP(Ft!F$40*($A136-Ft!F$2)^2)))</f>
        <v>14.205335262675163</v>
      </c>
      <c r="K136" s="3">
        <f>IF(($A136-Ft!G$2)&lt;0,Ft!G$3*((1-Ft!G$6)/(1+Ft!G$37*($A136-Ft!G$2)^2)+Ft!G$6*EXP(Ft!G$38*($A136-Ft!G$2)^2)),Ft!G$3*((1-Ft!G$7)/(1+Ft!G$39*($A136-Ft!G$2)^2)+Ft!G$7*EXP(Ft!G$40*($A136-Ft!G$2)^2)))</f>
        <v>44.545938920769338</v>
      </c>
      <c r="L136" s="3">
        <f>IF(($A136-Ft!H$2)&lt;0,Ft!H$3*((1-Ft!H$6)/(1+Ft!H$37*($A136-Ft!H$2)^2)+Ft!H$6*EXP(Ft!H$38*($A136-Ft!H$2)^2)),Ft!H$3*((1-Ft!H$7)/(1+Ft!H$39*($A136-Ft!H$2)^2)+Ft!H$7*EXP(Ft!H$40*($A136-Ft!H$2)^2)))</f>
        <v>0</v>
      </c>
      <c r="M136" s="3">
        <f>IF(($A136-Ft!I$2)&lt;0,Ft!I$3*((1-Ft!I$6)/(1+Ft!I$37*($A136-Ft!I$2)^2)+Ft!I$6*EXP(Ft!I$38*($A136-Ft!I$2)^2)),Ft!I$3*((1-Ft!I$7)/(1+Ft!I$39*($A136-Ft!I$2)^2)+Ft!I$7*EXP(Ft!I$40*($A136-Ft!I$2)^2)))</f>
        <v>0</v>
      </c>
      <c r="N136" s="3">
        <f>IF(($A136-Ft!J$2)&lt;0,Ft!J$3*((1-Ft!J$6)/(1+Ft!J$37*($A136-Ft!J$2)^2)+Ft!J$6*EXP(Ft!J$38*($A136-Ft!J$2)^2)),Ft!J$3*((1-Ft!J$7)/(1+Ft!J$39*($A136-Ft!J$2)^2)+Ft!J$7*EXP(Ft!J$40*($A136-Ft!J$2)^2)))</f>
        <v>0</v>
      </c>
      <c r="O136" s="3">
        <f>IF(($A136-Ft!K$2)&lt;0,Ft!K$3*((1-Ft!K$6)/(1+Ft!K$37*($A136-Ft!K$2)^2)+Ft!K$6*EXP(Ft!K$38*($A136-Ft!K$2)^2)),Ft!K$3*((1-Ft!K$7)/(1+Ft!K$39*($A136-Ft!K$2)^2)+Ft!K$7*EXP(Ft!K$40*($A136-Ft!K$2)^2)))</f>
        <v>0</v>
      </c>
      <c r="P136"/>
      <c r="Q136"/>
    </row>
    <row r="137" spans="1:17">
      <c r="A137" s="20">
        <v>271</v>
      </c>
      <c r="B137" s="29">
        <v>22.232102938884921</v>
      </c>
      <c r="C137" s="7">
        <f t="shared" si="5"/>
        <v>22.54586041585257</v>
      </c>
      <c r="D137" s="3">
        <f t="shared" si="4"/>
        <v>9.8443754353104374E-2</v>
      </c>
      <c r="E137" s="3">
        <f>Ft!$B$12+Ft!$B$14*(Data!A137-Vars!$B$3)</f>
        <v>-200</v>
      </c>
      <c r="F137" s="3">
        <f>IF(($A137-Ft!B$2)&lt;0,Ft!B$3*((1-Ft!B$6)/(1+Ft!B$37*($A137-Ft!B$2)^2)+Ft!B$6*EXP(Ft!B$38*($A137-Ft!B$2)^2)),Ft!B$3*((1-Ft!B$7)/(1+Ft!B$39*($A137-Ft!B$2)^2)+Ft!B$7*EXP(Ft!B$40*($A137-Ft!B$2)^2)))</f>
        <v>101.30654354783388</v>
      </c>
      <c r="G137" s="3">
        <f>IF(($A137-Ft!C$2)&lt;0,Ft!C$3*((1-Ft!C$6)/(1+Ft!C$37*($A137-Ft!C$2)^2)+Ft!C$6*EXP(Ft!C$38*($A137-Ft!C$2)^2)),Ft!C$3*((1-Ft!C$7)/(1+Ft!C$39*($A137-Ft!C$2)^2)+Ft!C$7*EXP(Ft!C$40*($A137-Ft!C$2)^2)))</f>
        <v>36.237126595278184</v>
      </c>
      <c r="H137" s="3">
        <f>IF(($A137-Ft!D$2)&lt;0,Ft!D$3*((1-Ft!D$6)/(1+Ft!D$37*($A137-Ft!D$2)^2)+Ft!D$6*EXP(Ft!D$38*($A137-Ft!D$2)^2)),Ft!D$3*((1-Ft!D$7)/(1+Ft!D$39*($A137-Ft!D$2)^2)+Ft!D$7*EXP(Ft!D$40*($A137-Ft!D$2)^2)))</f>
        <v>1.7519634171523814E-8</v>
      </c>
      <c r="I137" s="3">
        <f>IF(($A137-Ft!E$2)&lt;0,Ft!E$3*((1-Ft!E$6)/(1+Ft!E$37*($A137-Ft!E$2)^2)+Ft!E$6*EXP(Ft!E$38*($A137-Ft!E$2)^2)),Ft!E$3*((1-Ft!E$7)/(1+Ft!E$39*($A137-Ft!E$2)^2)+Ft!E$7*EXP(Ft!E$40*($A137-Ft!E$2)^2)))</f>
        <v>25.939963175533979</v>
      </c>
      <c r="J137" s="3">
        <f>IF(($A137-Ft!F$2)&lt;0,Ft!F$3*((1-Ft!F$6)/(1+Ft!F$37*($A137-Ft!F$2)^2)+Ft!F$6*EXP(Ft!F$38*($A137-Ft!F$2)^2)),Ft!F$3*((1-Ft!F$7)/(1+Ft!F$39*($A137-Ft!F$2)^2)+Ft!F$7*EXP(Ft!F$40*($A137-Ft!F$2)^2)))</f>
        <v>14.317844994319781</v>
      </c>
      <c r="K137" s="3">
        <f>IF(($A137-Ft!G$2)&lt;0,Ft!G$3*((1-Ft!G$6)/(1+Ft!G$37*($A137-Ft!G$2)^2)+Ft!G$6*EXP(Ft!G$38*($A137-Ft!G$2)^2)),Ft!G$3*((1-Ft!G$7)/(1+Ft!G$39*($A137-Ft!G$2)^2)+Ft!G$7*EXP(Ft!G$40*($A137-Ft!G$2)^2)))</f>
        <v>44.744382085367107</v>
      </c>
      <c r="L137" s="3">
        <f>IF(($A137-Ft!H$2)&lt;0,Ft!H$3*((1-Ft!H$6)/(1+Ft!H$37*($A137-Ft!H$2)^2)+Ft!H$6*EXP(Ft!H$38*($A137-Ft!H$2)^2)),Ft!H$3*((1-Ft!H$7)/(1+Ft!H$39*($A137-Ft!H$2)^2)+Ft!H$7*EXP(Ft!H$40*($A137-Ft!H$2)^2)))</f>
        <v>0</v>
      </c>
      <c r="M137" s="3">
        <f>IF(($A137-Ft!I$2)&lt;0,Ft!I$3*((1-Ft!I$6)/(1+Ft!I$37*($A137-Ft!I$2)^2)+Ft!I$6*EXP(Ft!I$38*($A137-Ft!I$2)^2)),Ft!I$3*((1-Ft!I$7)/(1+Ft!I$39*($A137-Ft!I$2)^2)+Ft!I$7*EXP(Ft!I$40*($A137-Ft!I$2)^2)))</f>
        <v>0</v>
      </c>
      <c r="N137" s="3">
        <f>IF(($A137-Ft!J$2)&lt;0,Ft!J$3*((1-Ft!J$6)/(1+Ft!J$37*($A137-Ft!J$2)^2)+Ft!J$6*EXP(Ft!J$38*($A137-Ft!J$2)^2)),Ft!J$3*((1-Ft!J$7)/(1+Ft!J$39*($A137-Ft!J$2)^2)+Ft!J$7*EXP(Ft!J$40*($A137-Ft!J$2)^2)))</f>
        <v>0</v>
      </c>
      <c r="O137" s="3">
        <f>IF(($A137-Ft!K$2)&lt;0,Ft!K$3*((1-Ft!K$6)/(1+Ft!K$37*($A137-Ft!K$2)^2)+Ft!K$6*EXP(Ft!K$38*($A137-Ft!K$2)^2)),Ft!K$3*((1-Ft!K$7)/(1+Ft!K$39*($A137-Ft!K$2)^2)+Ft!K$7*EXP(Ft!K$40*($A137-Ft!K$2)^2)))</f>
        <v>0</v>
      </c>
      <c r="P137"/>
      <c r="Q137"/>
    </row>
    <row r="138" spans="1:17">
      <c r="A138" s="20">
        <v>273</v>
      </c>
      <c r="B138" s="29">
        <v>22.510116054419669</v>
      </c>
      <c r="C138" s="7">
        <f t="shared" si="5"/>
        <v>22.817477231216252</v>
      </c>
      <c r="D138" s="3">
        <f t="shared" si="4"/>
        <v>9.4470893001780312E-2</v>
      </c>
      <c r="E138" s="3">
        <f>Ft!$B$12+Ft!$B$14*(Data!A138-Vars!$B$3)</f>
        <v>-200</v>
      </c>
      <c r="F138" s="3">
        <f>IF(($A138-Ft!B$2)&lt;0,Ft!B$3*((1-Ft!B$6)/(1+Ft!B$37*($A138-Ft!B$2)^2)+Ft!B$6*EXP(Ft!B$38*($A138-Ft!B$2)^2)),Ft!B$3*((1-Ft!B$7)/(1+Ft!B$39*($A138-Ft!B$2)^2)+Ft!B$7*EXP(Ft!B$40*($A138-Ft!B$2)^2)))</f>
        <v>100.83027287816323</v>
      </c>
      <c r="G138" s="3">
        <f>IF(($A138-Ft!C$2)&lt;0,Ft!C$3*((1-Ft!C$6)/(1+Ft!C$37*($A138-Ft!C$2)^2)+Ft!C$6*EXP(Ft!C$38*($A138-Ft!C$2)^2)),Ft!C$3*((1-Ft!C$7)/(1+Ft!C$39*($A138-Ft!C$2)^2)+Ft!C$7*EXP(Ft!C$40*($A138-Ft!C$2)^2)))</f>
        <v>36.338150243316143</v>
      </c>
      <c r="H138" s="3">
        <f>IF(($A138-Ft!D$2)&lt;0,Ft!D$3*((1-Ft!D$6)/(1+Ft!D$37*($A138-Ft!D$2)^2)+Ft!D$6*EXP(Ft!D$38*($A138-Ft!D$2)^2)),Ft!D$3*((1-Ft!D$7)/(1+Ft!D$39*($A138-Ft!D$2)^2)+Ft!D$7*EXP(Ft!D$40*($A138-Ft!D$2)^2)))</f>
        <v>2.7437664346968524E-8</v>
      </c>
      <c r="I138" s="3">
        <f>IF(($A138-Ft!E$2)&lt;0,Ft!E$3*((1-Ft!E$6)/(1+Ft!E$37*($A138-Ft!E$2)^2)+Ft!E$6*EXP(Ft!E$38*($A138-Ft!E$2)^2)),Ft!E$3*((1-Ft!E$7)/(1+Ft!E$39*($A138-Ft!E$2)^2)+Ft!E$7*EXP(Ft!E$40*($A138-Ft!E$2)^2)))</f>
        <v>26.278953896534933</v>
      </c>
      <c r="J138" s="3">
        <f>IF(($A138-Ft!F$2)&lt;0,Ft!F$3*((1-Ft!F$6)/(1+Ft!F$37*($A138-Ft!F$2)^2)+Ft!F$6*EXP(Ft!F$38*($A138-Ft!F$2)^2)),Ft!F$3*((1-Ft!F$7)/(1+Ft!F$39*($A138-Ft!F$2)^2)+Ft!F$7*EXP(Ft!F$40*($A138-Ft!F$2)^2)))</f>
        <v>14.431055766125121</v>
      </c>
      <c r="K138" s="3">
        <f>IF(($A138-Ft!G$2)&lt;0,Ft!G$3*((1-Ft!G$6)/(1+Ft!G$37*($A138-Ft!G$2)^2)+Ft!G$6*EXP(Ft!G$38*($A138-Ft!G$2)^2)),Ft!G$3*((1-Ft!G$7)/(1+Ft!G$39*($A138-Ft!G$2)^2)+Ft!G$7*EXP(Ft!G$40*($A138-Ft!G$2)^2)))</f>
        <v>44.93904441963916</v>
      </c>
      <c r="L138" s="3">
        <f>IF(($A138-Ft!H$2)&lt;0,Ft!H$3*((1-Ft!H$6)/(1+Ft!H$37*($A138-Ft!H$2)^2)+Ft!H$6*EXP(Ft!H$38*($A138-Ft!H$2)^2)),Ft!H$3*((1-Ft!H$7)/(1+Ft!H$39*($A138-Ft!H$2)^2)+Ft!H$7*EXP(Ft!H$40*($A138-Ft!H$2)^2)))</f>
        <v>0</v>
      </c>
      <c r="M138" s="3">
        <f>IF(($A138-Ft!I$2)&lt;0,Ft!I$3*((1-Ft!I$6)/(1+Ft!I$37*($A138-Ft!I$2)^2)+Ft!I$6*EXP(Ft!I$38*($A138-Ft!I$2)^2)),Ft!I$3*((1-Ft!I$7)/(1+Ft!I$39*($A138-Ft!I$2)^2)+Ft!I$7*EXP(Ft!I$40*($A138-Ft!I$2)^2)))</f>
        <v>0</v>
      </c>
      <c r="N138" s="3">
        <f>IF(($A138-Ft!J$2)&lt;0,Ft!J$3*((1-Ft!J$6)/(1+Ft!J$37*($A138-Ft!J$2)^2)+Ft!J$6*EXP(Ft!J$38*($A138-Ft!J$2)^2)),Ft!J$3*((1-Ft!J$7)/(1+Ft!J$39*($A138-Ft!J$2)^2)+Ft!J$7*EXP(Ft!J$40*($A138-Ft!J$2)^2)))</f>
        <v>0</v>
      </c>
      <c r="O138" s="3">
        <f>IF(($A138-Ft!K$2)&lt;0,Ft!K$3*((1-Ft!K$6)/(1+Ft!K$37*($A138-Ft!K$2)^2)+Ft!K$6*EXP(Ft!K$38*($A138-Ft!K$2)^2)),Ft!K$3*((1-Ft!K$7)/(1+Ft!K$39*($A138-Ft!K$2)^2)+Ft!K$7*EXP(Ft!K$40*($A138-Ft!K$2)^2)))</f>
        <v>0</v>
      </c>
      <c r="P138"/>
      <c r="Q138"/>
    </row>
    <row r="139" spans="1:17">
      <c r="A139" s="20">
        <v>275</v>
      </c>
      <c r="B139" s="29">
        <v>22.790242006472809</v>
      </c>
      <c r="C139" s="7">
        <f t="shared" si="5"/>
        <v>23.089129629927779</v>
      </c>
      <c r="D139" s="3">
        <f t="shared" si="4"/>
        <v>8.933381145455993E-2</v>
      </c>
      <c r="E139" s="3">
        <f>Ft!$B$12+Ft!$B$14*(Data!A139-Vars!$B$3)</f>
        <v>-200</v>
      </c>
      <c r="F139" s="3">
        <f>IF(($A139-Ft!B$2)&lt;0,Ft!B$3*((1-Ft!B$6)/(1+Ft!B$37*($A139-Ft!B$2)^2)+Ft!B$6*EXP(Ft!B$38*($A139-Ft!B$2)^2)),Ft!B$3*((1-Ft!B$7)/(1+Ft!B$39*($A139-Ft!B$2)^2)+Ft!B$7*EXP(Ft!B$40*($A139-Ft!B$2)^2)))</f>
        <v>100.35432583574664</v>
      </c>
      <c r="G139" s="3">
        <f>IF(($A139-Ft!C$2)&lt;0,Ft!C$3*((1-Ft!C$6)/(1+Ft!C$37*($A139-Ft!C$2)^2)+Ft!C$6*EXP(Ft!C$38*($A139-Ft!C$2)^2)),Ft!C$3*((1-Ft!C$7)/(1+Ft!C$39*($A139-Ft!C$2)^2)+Ft!C$7*EXP(Ft!C$40*($A139-Ft!C$2)^2)))</f>
        <v>36.439133560710474</v>
      </c>
      <c r="H139" s="3">
        <f>IF(($A139-Ft!D$2)&lt;0,Ft!D$3*((1-Ft!D$6)/(1+Ft!D$37*($A139-Ft!D$2)^2)+Ft!D$6*EXP(Ft!D$38*($A139-Ft!D$2)^2)),Ft!D$3*((1-Ft!D$7)/(1+Ft!D$39*($A139-Ft!D$2)^2)+Ft!D$7*EXP(Ft!D$40*($A139-Ft!D$2)^2)))</f>
        <v>4.2733978932523265E-8</v>
      </c>
      <c r="I139" s="3">
        <f>IF(($A139-Ft!E$2)&lt;0,Ft!E$3*((1-Ft!E$6)/(1+Ft!E$37*($A139-Ft!E$2)^2)+Ft!E$6*EXP(Ft!E$38*($A139-Ft!E$2)^2)),Ft!E$3*((1-Ft!E$7)/(1+Ft!E$39*($A139-Ft!E$2)^2)+Ft!E$7*EXP(Ft!E$40*($A139-Ft!E$2)^2)))</f>
        <v>26.620831085639722</v>
      </c>
      <c r="J139" s="3">
        <f>IF(($A139-Ft!F$2)&lt;0,Ft!F$3*((1-Ft!F$6)/(1+Ft!F$37*($A139-Ft!F$2)^2)+Ft!F$6*EXP(Ft!F$38*($A139-Ft!F$2)^2)),Ft!F$3*((1-Ft!F$7)/(1+Ft!F$39*($A139-Ft!F$2)^2)+Ft!F$7*EXP(Ft!F$40*($A139-Ft!F$2)^2)))</f>
        <v>14.544970127356027</v>
      </c>
      <c r="K139" s="3">
        <f>IF(($A139-Ft!G$2)&lt;0,Ft!G$3*((1-Ft!G$6)/(1+Ft!G$37*($A139-Ft!G$2)^2)+Ft!G$6*EXP(Ft!G$38*($A139-Ft!G$2)^2)),Ft!G$3*((1-Ft!G$7)/(1+Ft!G$39*($A139-Ft!G$2)^2)+Ft!G$7*EXP(Ft!G$40*($A139-Ft!G$2)^2)))</f>
        <v>45.129868977740941</v>
      </c>
      <c r="L139" s="3">
        <f>IF(($A139-Ft!H$2)&lt;0,Ft!H$3*((1-Ft!H$6)/(1+Ft!H$37*($A139-Ft!H$2)^2)+Ft!H$6*EXP(Ft!H$38*($A139-Ft!H$2)^2)),Ft!H$3*((1-Ft!H$7)/(1+Ft!H$39*($A139-Ft!H$2)^2)+Ft!H$7*EXP(Ft!H$40*($A139-Ft!H$2)^2)))</f>
        <v>0</v>
      </c>
      <c r="M139" s="3">
        <f>IF(($A139-Ft!I$2)&lt;0,Ft!I$3*((1-Ft!I$6)/(1+Ft!I$37*($A139-Ft!I$2)^2)+Ft!I$6*EXP(Ft!I$38*($A139-Ft!I$2)^2)),Ft!I$3*((1-Ft!I$7)/(1+Ft!I$39*($A139-Ft!I$2)^2)+Ft!I$7*EXP(Ft!I$40*($A139-Ft!I$2)^2)))</f>
        <v>0</v>
      </c>
      <c r="N139" s="3">
        <f>IF(($A139-Ft!J$2)&lt;0,Ft!J$3*((1-Ft!J$6)/(1+Ft!J$37*($A139-Ft!J$2)^2)+Ft!J$6*EXP(Ft!J$38*($A139-Ft!J$2)^2)),Ft!J$3*((1-Ft!J$7)/(1+Ft!J$39*($A139-Ft!J$2)^2)+Ft!J$7*EXP(Ft!J$40*($A139-Ft!J$2)^2)))</f>
        <v>0</v>
      </c>
      <c r="O139" s="3">
        <f>IF(($A139-Ft!K$2)&lt;0,Ft!K$3*((1-Ft!K$6)/(1+Ft!K$37*($A139-Ft!K$2)^2)+Ft!K$6*EXP(Ft!K$38*($A139-Ft!K$2)^2)),Ft!K$3*((1-Ft!K$7)/(1+Ft!K$39*($A139-Ft!K$2)^2)+Ft!K$7*EXP(Ft!K$40*($A139-Ft!K$2)^2)))</f>
        <v>0</v>
      </c>
      <c r="P139"/>
      <c r="Q139"/>
    </row>
    <row r="140" spans="1:17">
      <c r="A140" s="20">
        <v>277</v>
      </c>
      <c r="B140" s="29">
        <v>23.072430061848031</v>
      </c>
      <c r="C140" s="7">
        <f t="shared" si="5"/>
        <v>23.360776511896727</v>
      </c>
      <c r="D140" s="3">
        <f t="shared" si="4"/>
        <v>8.3143675255685057E-2</v>
      </c>
      <c r="E140" s="3">
        <f>Ft!$B$12+Ft!$B$14*(Data!A140-Vars!$B$3)</f>
        <v>-200</v>
      </c>
      <c r="F140" s="3">
        <f>IF(($A140-Ft!B$2)&lt;0,Ft!B$3*((1-Ft!B$6)/(1+Ft!B$37*($A140-Ft!B$2)^2)+Ft!B$6*EXP(Ft!B$38*($A140-Ft!B$2)^2)),Ft!B$3*((1-Ft!B$7)/(1+Ft!B$39*($A140-Ft!B$2)^2)+Ft!B$7*EXP(Ft!B$40*($A140-Ft!B$2)^2)))</f>
        <v>99.878719018478989</v>
      </c>
      <c r="G140" s="3">
        <f>IF(($A140-Ft!C$2)&lt;0,Ft!C$3*((1-Ft!C$6)/(1+Ft!C$37*($A140-Ft!C$2)^2)+Ft!C$6*EXP(Ft!C$38*($A140-Ft!C$2)^2)),Ft!C$3*((1-Ft!C$7)/(1+Ft!C$39*($A140-Ft!C$2)^2)+Ft!C$7*EXP(Ft!C$40*($A140-Ft!C$2)^2)))</f>
        <v>36.540074648379658</v>
      </c>
      <c r="H140" s="3">
        <f>IF(($A140-Ft!D$2)&lt;0,Ft!D$3*((1-Ft!D$6)/(1+Ft!D$37*($A140-Ft!D$2)^2)+Ft!D$6*EXP(Ft!D$38*($A140-Ft!D$2)^2)),Ft!D$3*((1-Ft!D$7)/(1+Ft!D$39*($A140-Ft!D$2)^2)+Ft!D$7*EXP(Ft!D$40*($A140-Ft!D$2)^2)))</f>
        <v>6.6191711594598996E-8</v>
      </c>
      <c r="I140" s="3">
        <f>IF(($A140-Ft!E$2)&lt;0,Ft!E$3*((1-Ft!E$6)/(1+Ft!E$37*($A140-Ft!E$2)^2)+Ft!E$6*EXP(Ft!E$38*($A140-Ft!E$2)^2)),Ft!E$3*((1-Ft!E$7)/(1+Ft!E$39*($A140-Ft!E$2)^2)+Ft!E$7*EXP(Ft!E$40*($A140-Ft!E$2)^2)))</f>
        <v>26.96559239271895</v>
      </c>
      <c r="J140" s="3">
        <f>IF(($A140-Ft!F$2)&lt;0,Ft!F$3*((1-Ft!F$6)/(1+Ft!F$37*($A140-Ft!F$2)^2)+Ft!F$6*EXP(Ft!F$38*($A140-Ft!F$2)^2)),Ft!F$3*((1-Ft!F$7)/(1+Ft!F$39*($A140-Ft!F$2)^2)+Ft!F$7*EXP(Ft!F$40*($A140-Ft!F$2)^2)))</f>
        <v>14.659590619508133</v>
      </c>
      <c r="K140" s="3">
        <f>IF(($A140-Ft!G$2)&lt;0,Ft!G$3*((1-Ft!G$6)/(1+Ft!G$37*($A140-Ft!G$2)^2)+Ft!G$6*EXP(Ft!G$38*($A140-Ft!G$2)^2)),Ft!G$3*((1-Ft!G$7)/(1+Ft!G$39*($A140-Ft!G$2)^2)+Ft!G$7*EXP(Ft!G$40*($A140-Ft!G$2)^2)))</f>
        <v>45.316799766619283</v>
      </c>
      <c r="L140" s="3">
        <f>IF(($A140-Ft!H$2)&lt;0,Ft!H$3*((1-Ft!H$6)/(1+Ft!H$37*($A140-Ft!H$2)^2)+Ft!H$6*EXP(Ft!H$38*($A140-Ft!H$2)^2)),Ft!H$3*((1-Ft!H$7)/(1+Ft!H$39*($A140-Ft!H$2)^2)+Ft!H$7*EXP(Ft!H$40*($A140-Ft!H$2)^2)))</f>
        <v>0</v>
      </c>
      <c r="M140" s="3">
        <f>IF(($A140-Ft!I$2)&lt;0,Ft!I$3*((1-Ft!I$6)/(1+Ft!I$37*($A140-Ft!I$2)^2)+Ft!I$6*EXP(Ft!I$38*($A140-Ft!I$2)^2)),Ft!I$3*((1-Ft!I$7)/(1+Ft!I$39*($A140-Ft!I$2)^2)+Ft!I$7*EXP(Ft!I$40*($A140-Ft!I$2)^2)))</f>
        <v>0</v>
      </c>
      <c r="N140" s="3">
        <f>IF(($A140-Ft!J$2)&lt;0,Ft!J$3*((1-Ft!J$6)/(1+Ft!J$37*($A140-Ft!J$2)^2)+Ft!J$6*EXP(Ft!J$38*($A140-Ft!J$2)^2)),Ft!J$3*((1-Ft!J$7)/(1+Ft!J$39*($A140-Ft!J$2)^2)+Ft!J$7*EXP(Ft!J$40*($A140-Ft!J$2)^2)))</f>
        <v>0</v>
      </c>
      <c r="O140" s="3">
        <f>IF(($A140-Ft!K$2)&lt;0,Ft!K$3*((1-Ft!K$6)/(1+Ft!K$37*($A140-Ft!K$2)^2)+Ft!K$6*EXP(Ft!K$38*($A140-Ft!K$2)^2)),Ft!K$3*((1-Ft!K$7)/(1+Ft!K$39*($A140-Ft!K$2)^2)+Ft!K$7*EXP(Ft!K$40*($A140-Ft!K$2)^2)))</f>
        <v>0</v>
      </c>
      <c r="P140"/>
      <c r="Q140"/>
    </row>
    <row r="141" spans="1:17">
      <c r="A141" s="20">
        <v>279</v>
      </c>
      <c r="B141" s="29">
        <v>23.356611915457059</v>
      </c>
      <c r="C141" s="7">
        <f t="shared" si="5"/>
        <v>23.632377113068941</v>
      </c>
      <c r="D141" s="3">
        <f t="shared" si="4"/>
        <v>7.6046444213920456E-2</v>
      </c>
      <c r="E141" s="3">
        <f>Ft!$B$12+Ft!$B$14*(Data!A141-Vars!$B$3)</f>
        <v>-200</v>
      </c>
      <c r="F141" s="3">
        <f>IF(($A141-Ft!B$2)&lt;0,Ft!B$3*((1-Ft!B$6)/(1+Ft!B$37*($A141-Ft!B$2)^2)+Ft!B$6*EXP(Ft!B$38*($A141-Ft!B$2)^2)),Ft!B$3*((1-Ft!B$7)/(1+Ft!B$39*($A141-Ft!B$2)^2)+Ft!B$7*EXP(Ft!B$40*($A141-Ft!B$2)^2)))</f>
        <v>99.403468926316179</v>
      </c>
      <c r="G141" s="3">
        <f>IF(($A141-Ft!C$2)&lt;0,Ft!C$3*((1-Ft!C$6)/(1+Ft!C$37*($A141-Ft!C$2)^2)+Ft!C$6*EXP(Ft!C$38*($A141-Ft!C$2)^2)),Ft!C$3*((1-Ft!C$7)/(1+Ft!C$39*($A141-Ft!C$2)^2)+Ft!C$7*EXP(Ft!C$40*($A141-Ft!C$2)^2)))</f>
        <v>36.64097160309398</v>
      </c>
      <c r="H141" s="3">
        <f>IF(($A141-Ft!D$2)&lt;0,Ft!D$3*((1-Ft!D$6)/(1+Ft!D$37*($A141-Ft!D$2)^2)+Ft!D$6*EXP(Ft!D$38*($A141-Ft!D$2)^2)),Ft!D$3*((1-Ft!D$7)/(1+Ft!D$39*($A141-Ft!D$2)^2)+Ft!D$7*EXP(Ft!D$40*($A141-Ft!D$2)^2)))</f>
        <v>1.0196191370572035E-7</v>
      </c>
      <c r="I141" s="3">
        <f>IF(($A141-Ft!E$2)&lt;0,Ft!E$3*((1-Ft!E$6)/(1+Ft!E$37*($A141-Ft!E$2)^2)+Ft!E$6*EXP(Ft!E$38*($A141-Ft!E$2)^2)),Ft!E$3*((1-Ft!E$7)/(1+Ft!E$39*($A141-Ft!E$2)^2)+Ft!E$7*EXP(Ft!E$40*($A141-Ft!E$2)^2)))</f>
        <v>27.313234932231172</v>
      </c>
      <c r="J141" s="3">
        <f>IF(($A141-Ft!F$2)&lt;0,Ft!F$3*((1-Ft!F$6)/(1+Ft!F$37*($A141-Ft!F$2)^2)+Ft!F$6*EXP(Ft!F$38*($A141-Ft!F$2)^2)),Ft!F$3*((1-Ft!F$7)/(1+Ft!F$39*($A141-Ft!F$2)^2)+Ft!F$7*EXP(Ft!F$40*($A141-Ft!F$2)^2)))</f>
        <v>14.774919776112133</v>
      </c>
      <c r="K141" s="3">
        <f>IF(($A141-Ft!G$2)&lt;0,Ft!G$3*((1-Ft!G$6)/(1+Ft!G$37*($A141-Ft!G$2)^2)+Ft!G$6*EXP(Ft!G$38*($A141-Ft!G$2)^2)),Ft!G$3*((1-Ft!G$7)/(1+Ft!G$39*($A141-Ft!G$2)^2)+Ft!G$7*EXP(Ft!G$40*($A141-Ft!G$2)^2)))</f>
        <v>45.499781773353554</v>
      </c>
      <c r="L141" s="3">
        <f>IF(($A141-Ft!H$2)&lt;0,Ft!H$3*((1-Ft!H$6)/(1+Ft!H$37*($A141-Ft!H$2)^2)+Ft!H$6*EXP(Ft!H$38*($A141-Ft!H$2)^2)),Ft!H$3*((1-Ft!H$7)/(1+Ft!H$39*($A141-Ft!H$2)^2)+Ft!H$7*EXP(Ft!H$40*($A141-Ft!H$2)^2)))</f>
        <v>0</v>
      </c>
      <c r="M141" s="3">
        <f>IF(($A141-Ft!I$2)&lt;0,Ft!I$3*((1-Ft!I$6)/(1+Ft!I$37*($A141-Ft!I$2)^2)+Ft!I$6*EXP(Ft!I$38*($A141-Ft!I$2)^2)),Ft!I$3*((1-Ft!I$7)/(1+Ft!I$39*($A141-Ft!I$2)^2)+Ft!I$7*EXP(Ft!I$40*($A141-Ft!I$2)^2)))</f>
        <v>0</v>
      </c>
      <c r="N141" s="3">
        <f>IF(($A141-Ft!J$2)&lt;0,Ft!J$3*((1-Ft!J$6)/(1+Ft!J$37*($A141-Ft!J$2)^2)+Ft!J$6*EXP(Ft!J$38*($A141-Ft!J$2)^2)),Ft!J$3*((1-Ft!J$7)/(1+Ft!J$39*($A141-Ft!J$2)^2)+Ft!J$7*EXP(Ft!J$40*($A141-Ft!J$2)^2)))</f>
        <v>0</v>
      </c>
      <c r="O141" s="3">
        <f>IF(($A141-Ft!K$2)&lt;0,Ft!K$3*((1-Ft!K$6)/(1+Ft!K$37*($A141-Ft!K$2)^2)+Ft!K$6*EXP(Ft!K$38*($A141-Ft!K$2)^2)),Ft!K$3*((1-Ft!K$7)/(1+Ft!K$39*($A141-Ft!K$2)^2)+Ft!K$7*EXP(Ft!K$40*($A141-Ft!K$2)^2)))</f>
        <v>0</v>
      </c>
      <c r="P141"/>
      <c r="Q141"/>
    </row>
    <row r="142" spans="1:17">
      <c r="A142" s="20">
        <v>281</v>
      </c>
      <c r="B142" s="29">
        <v>23.642700975963059</v>
      </c>
      <c r="C142" s="7">
        <f t="shared" si="5"/>
        <v>23.903891025813866</v>
      </c>
      <c r="D142" s="3">
        <f t="shared" si="4"/>
        <v>6.8220242141067089E-2</v>
      </c>
      <c r="E142" s="3">
        <f>Ft!$B$12+Ft!$B$14*(Data!A142-Vars!$B$3)</f>
        <v>-200</v>
      </c>
      <c r="F142" s="3">
        <f>IF(($A142-Ft!B$2)&lt;0,Ft!B$3*((1-Ft!B$6)/(1+Ft!B$37*($A142-Ft!B$2)^2)+Ft!B$6*EXP(Ft!B$38*($A142-Ft!B$2)^2)),Ft!B$3*((1-Ft!B$7)/(1+Ft!B$39*($A142-Ft!B$2)^2)+Ft!B$7*EXP(Ft!B$40*($A142-Ft!B$2)^2)))</f>
        <v>98.928591960482535</v>
      </c>
      <c r="G142" s="3">
        <f>IF(($A142-Ft!C$2)&lt;0,Ft!C$3*((1-Ft!C$6)/(1+Ft!C$37*($A142-Ft!C$2)^2)+Ft!C$6*EXP(Ft!C$38*($A142-Ft!C$2)^2)),Ft!C$3*((1-Ft!C$7)/(1+Ft!C$39*($A142-Ft!C$2)^2)+Ft!C$7*EXP(Ft!C$40*($A142-Ft!C$2)^2)))</f>
        <v>36.741822517531482</v>
      </c>
      <c r="H142" s="3">
        <f>IF(($A142-Ft!D$2)&lt;0,Ft!D$3*((1-Ft!D$6)/(1+Ft!D$37*($A142-Ft!D$2)^2)+Ft!D$6*EXP(Ft!D$38*($A142-Ft!D$2)^2)),Ft!D$3*((1-Ft!D$7)/(1+Ft!D$39*($A142-Ft!D$2)^2)+Ft!D$7*EXP(Ft!D$40*($A142-Ft!D$2)^2)))</f>
        <v>1.5619834642014429E-7</v>
      </c>
      <c r="I142" s="3">
        <f>IF(($A142-Ft!E$2)&lt;0,Ft!E$3*((1-Ft!E$6)/(1+Ft!E$37*($A142-Ft!E$2)^2)+Ft!E$6*EXP(Ft!E$38*($A142-Ft!E$2)^2)),Ft!E$3*((1-Ft!E$7)/(1+Ft!E$39*($A142-Ft!E$2)^2)+Ft!E$7*EXP(Ft!E$40*($A142-Ft!E$2)^2)))</f>
        <v>27.663755276962572</v>
      </c>
      <c r="J142" s="3">
        <f>IF(($A142-Ft!F$2)&lt;0,Ft!F$3*((1-Ft!F$6)/(1+Ft!F$37*($A142-Ft!F$2)^2)+Ft!F$6*EXP(Ft!F$38*($A142-Ft!F$2)^2)),Ft!F$3*((1-Ft!F$7)/(1+Ft!F$39*($A142-Ft!F$2)^2)+Ft!F$7*EXP(Ft!F$40*($A142-Ft!F$2)^2)))</f>
        <v>14.89096012253702</v>
      </c>
      <c r="K142" s="3">
        <f>IF(($A142-Ft!G$2)&lt;0,Ft!G$3*((1-Ft!G$6)/(1+Ft!G$37*($A142-Ft!G$2)^2)+Ft!G$6*EXP(Ft!G$38*($A142-Ft!G$2)^2)),Ft!G$3*((1-Ft!G$7)/(1+Ft!G$39*($A142-Ft!G$2)^2)+Ft!G$7*EXP(Ft!G$40*($A142-Ft!G$2)^2)))</f>
        <v>45.678760992101921</v>
      </c>
      <c r="L142" s="3">
        <f>IF(($A142-Ft!H$2)&lt;0,Ft!H$3*((1-Ft!H$6)/(1+Ft!H$37*($A142-Ft!H$2)^2)+Ft!H$6*EXP(Ft!H$38*($A142-Ft!H$2)^2)),Ft!H$3*((1-Ft!H$7)/(1+Ft!H$39*($A142-Ft!H$2)^2)+Ft!H$7*EXP(Ft!H$40*($A142-Ft!H$2)^2)))</f>
        <v>0</v>
      </c>
      <c r="M142" s="3">
        <f>IF(($A142-Ft!I$2)&lt;0,Ft!I$3*((1-Ft!I$6)/(1+Ft!I$37*($A142-Ft!I$2)^2)+Ft!I$6*EXP(Ft!I$38*($A142-Ft!I$2)^2)),Ft!I$3*((1-Ft!I$7)/(1+Ft!I$39*($A142-Ft!I$2)^2)+Ft!I$7*EXP(Ft!I$40*($A142-Ft!I$2)^2)))</f>
        <v>0</v>
      </c>
      <c r="N142" s="3">
        <f>IF(($A142-Ft!J$2)&lt;0,Ft!J$3*((1-Ft!J$6)/(1+Ft!J$37*($A142-Ft!J$2)^2)+Ft!J$6*EXP(Ft!J$38*($A142-Ft!J$2)^2)),Ft!J$3*((1-Ft!J$7)/(1+Ft!J$39*($A142-Ft!J$2)^2)+Ft!J$7*EXP(Ft!J$40*($A142-Ft!J$2)^2)))</f>
        <v>0</v>
      </c>
      <c r="O142" s="3">
        <f>IF(($A142-Ft!K$2)&lt;0,Ft!K$3*((1-Ft!K$6)/(1+Ft!K$37*($A142-Ft!K$2)^2)+Ft!K$6*EXP(Ft!K$38*($A142-Ft!K$2)^2)),Ft!K$3*((1-Ft!K$7)/(1+Ft!K$39*($A142-Ft!K$2)^2)+Ft!K$7*EXP(Ft!K$40*($A142-Ft!K$2)^2)))</f>
        <v>0</v>
      </c>
      <c r="P142"/>
      <c r="Q142"/>
    </row>
    <row r="143" spans="1:17">
      <c r="A143" s="20">
        <v>283</v>
      </c>
      <c r="B143" s="29">
        <v>23.930591829682918</v>
      </c>
      <c r="C143" s="7">
        <f t="shared" si="5"/>
        <v>24.175278219263578</v>
      </c>
      <c r="D143" s="3">
        <f t="shared" si="4"/>
        <v>5.987142924601891E-2</v>
      </c>
      <c r="E143" s="3">
        <f>Ft!$B$12+Ft!$B$14*(Data!A143-Vars!$B$3)</f>
        <v>-200</v>
      </c>
      <c r="F143" s="3">
        <f>IF(($A143-Ft!B$2)&lt;0,Ft!B$3*((1-Ft!B$6)/(1+Ft!B$37*($A143-Ft!B$2)^2)+Ft!B$6*EXP(Ft!B$38*($A143-Ft!B$2)^2)),Ft!B$3*((1-Ft!B$7)/(1+Ft!B$39*($A143-Ft!B$2)^2)+Ft!B$7*EXP(Ft!B$40*($A143-Ft!B$2)^2)))</f>
        <v>98.454104422691316</v>
      </c>
      <c r="G143" s="3">
        <f>IF(($A143-Ft!C$2)&lt;0,Ft!C$3*((1-Ft!C$6)/(1+Ft!C$37*($A143-Ft!C$2)^2)+Ft!C$6*EXP(Ft!C$38*($A143-Ft!C$2)^2)),Ft!C$3*((1-Ft!C$7)/(1+Ft!C$39*($A143-Ft!C$2)^2)+Ft!C$7*EXP(Ft!C$40*($A143-Ft!C$2)^2)))</f>
        <v>36.842625480334057</v>
      </c>
      <c r="H143" s="3">
        <f>IF(($A143-Ft!D$2)&lt;0,Ft!D$3*((1-Ft!D$6)/(1+Ft!D$37*($A143-Ft!D$2)^2)+Ft!D$6*EXP(Ft!D$38*($A143-Ft!D$2)^2)),Ft!D$3*((1-Ft!D$7)/(1+Ft!D$39*($A143-Ft!D$2)^2)+Ft!D$7*EXP(Ft!D$40*($A143-Ft!D$2)^2)))</f>
        <v>2.3796822591960162E-7</v>
      </c>
      <c r="I143" s="3">
        <f>IF(($A143-Ft!E$2)&lt;0,Ft!E$3*((1-Ft!E$6)/(1+Ft!E$37*($A143-Ft!E$2)^2)+Ft!E$6*EXP(Ft!E$38*($A143-Ft!E$2)^2)),Ft!E$3*((1-Ft!E$7)/(1+Ft!E$39*($A143-Ft!E$2)^2)+Ft!E$7*EXP(Ft!E$40*($A143-Ft!E$2)^2)))</f>
        <v>28.017149451843704</v>
      </c>
      <c r="J143" s="3">
        <f>IF(($A143-Ft!F$2)&lt;0,Ft!F$3*((1-Ft!F$6)/(1+Ft!F$37*($A143-Ft!F$2)^2)+Ft!F$6*EXP(Ft!F$38*($A143-Ft!F$2)^2)),Ft!F$3*((1-Ft!F$7)/(1+Ft!F$39*($A143-Ft!F$2)^2)+Ft!F$7*EXP(Ft!F$40*($A143-Ft!F$2)^2)))</f>
        <v>15.007714175792277</v>
      </c>
      <c r="K143" s="3">
        <f>IF(($A143-Ft!G$2)&lt;0,Ft!G$3*((1-Ft!G$6)/(1+Ft!G$37*($A143-Ft!G$2)^2)+Ft!G$6*EXP(Ft!G$38*($A143-Ft!G$2)^2)),Ft!G$3*((1-Ft!G$7)/(1+Ft!G$39*($A143-Ft!G$2)^2)+Ft!G$7*EXP(Ft!G$40*($A143-Ft!G$2)^2)))</f>
        <v>45.853684450633992</v>
      </c>
      <c r="L143" s="3">
        <f>IF(($A143-Ft!H$2)&lt;0,Ft!H$3*((1-Ft!H$6)/(1+Ft!H$37*($A143-Ft!H$2)^2)+Ft!H$6*EXP(Ft!H$38*($A143-Ft!H$2)^2)),Ft!H$3*((1-Ft!H$7)/(1+Ft!H$39*($A143-Ft!H$2)^2)+Ft!H$7*EXP(Ft!H$40*($A143-Ft!H$2)^2)))</f>
        <v>0</v>
      </c>
      <c r="M143" s="3">
        <f>IF(($A143-Ft!I$2)&lt;0,Ft!I$3*((1-Ft!I$6)/(1+Ft!I$37*($A143-Ft!I$2)^2)+Ft!I$6*EXP(Ft!I$38*($A143-Ft!I$2)^2)),Ft!I$3*((1-Ft!I$7)/(1+Ft!I$39*($A143-Ft!I$2)^2)+Ft!I$7*EXP(Ft!I$40*($A143-Ft!I$2)^2)))</f>
        <v>0</v>
      </c>
      <c r="N143" s="3">
        <f>IF(($A143-Ft!J$2)&lt;0,Ft!J$3*((1-Ft!J$6)/(1+Ft!J$37*($A143-Ft!J$2)^2)+Ft!J$6*EXP(Ft!J$38*($A143-Ft!J$2)^2)),Ft!J$3*((1-Ft!J$7)/(1+Ft!J$39*($A143-Ft!J$2)^2)+Ft!J$7*EXP(Ft!J$40*($A143-Ft!J$2)^2)))</f>
        <v>0</v>
      </c>
      <c r="O143" s="3">
        <f>IF(($A143-Ft!K$2)&lt;0,Ft!K$3*((1-Ft!K$6)/(1+Ft!K$37*($A143-Ft!K$2)^2)+Ft!K$6*EXP(Ft!K$38*($A143-Ft!K$2)^2)),Ft!K$3*((1-Ft!K$7)/(1+Ft!K$39*($A143-Ft!K$2)^2)+Ft!K$7*EXP(Ft!K$40*($A143-Ft!K$2)^2)))</f>
        <v>0</v>
      </c>
      <c r="P143"/>
      <c r="Q143"/>
    </row>
    <row r="144" spans="1:17">
      <c r="A144" s="20">
        <v>285</v>
      </c>
      <c r="B144" s="29">
        <v>24.220159906173834</v>
      </c>
      <c r="C144" s="7">
        <f t="shared" si="5"/>
        <v>24.44649905970055</v>
      </c>
      <c r="D144" s="3">
        <f t="shared" si="4"/>
        <v>5.1229412419190351E-2</v>
      </c>
      <c r="E144" s="3">
        <f>Ft!$B$12+Ft!$B$14*(Data!A144-Vars!$B$3)</f>
        <v>-200</v>
      </c>
      <c r="F144" s="3">
        <f>IF(($A144-Ft!B$2)&lt;0,Ft!B$3*((1-Ft!B$6)/(1+Ft!B$37*($A144-Ft!B$2)^2)+Ft!B$6*EXP(Ft!B$38*($A144-Ft!B$2)^2)),Ft!B$3*((1-Ft!B$7)/(1+Ft!B$39*($A144-Ft!B$2)^2)+Ft!B$7*EXP(Ft!B$40*($A144-Ft!B$2)^2)))</f>
        <v>97.980022514378689</v>
      </c>
      <c r="G144" s="3">
        <f>IF(($A144-Ft!C$2)&lt;0,Ft!C$3*((1-Ft!C$6)/(1+Ft!C$37*($A144-Ft!C$2)^2)+Ft!C$6*EXP(Ft!C$38*($A144-Ft!C$2)^2)),Ft!C$3*((1-Ft!C$7)/(1+Ft!C$39*($A144-Ft!C$2)^2)+Ft!C$7*EXP(Ft!C$40*($A144-Ft!C$2)^2)))</f>
        <v>36.943378576164108</v>
      </c>
      <c r="H144" s="3">
        <f>IF(($A144-Ft!D$2)&lt;0,Ft!D$3*((1-Ft!D$6)/(1+Ft!D$37*($A144-Ft!D$2)^2)+Ft!D$6*EXP(Ft!D$38*($A144-Ft!D$2)^2)),Ft!D$3*((1-Ft!D$7)/(1+Ft!D$39*($A144-Ft!D$2)^2)+Ft!D$7*EXP(Ft!D$40*($A144-Ft!D$2)^2)))</f>
        <v>3.6055008388415757E-7</v>
      </c>
      <c r="I144" s="3">
        <f>IF(($A144-Ft!E$2)&lt;0,Ft!E$3*((1-Ft!E$6)/(1+Ft!E$37*($A144-Ft!E$2)^2)+Ft!E$6*EXP(Ft!E$38*($A144-Ft!E$2)^2)),Ft!E$3*((1-Ft!E$7)/(1+Ft!E$39*($A144-Ft!E$2)^2)+Ft!E$7*EXP(Ft!E$40*($A144-Ft!E$2)^2)))</f>
        <v>28.373412927846633</v>
      </c>
      <c r="J144" s="3">
        <f>IF(($A144-Ft!F$2)&lt;0,Ft!F$3*((1-Ft!F$6)/(1+Ft!F$37*($A144-Ft!F$2)^2)+Ft!F$6*EXP(Ft!F$38*($A144-Ft!F$2)^2)),Ft!F$3*((1-Ft!F$7)/(1+Ft!F$39*($A144-Ft!F$2)^2)+Ft!F$7*EXP(Ft!F$40*($A144-Ft!F$2)^2)))</f>
        <v>15.12518444432915</v>
      </c>
      <c r="K144" s="3">
        <f>IF(($A144-Ft!G$2)&lt;0,Ft!G$3*((1-Ft!G$6)/(1+Ft!G$37*($A144-Ft!G$2)^2)+Ft!G$6*EXP(Ft!G$38*($A144-Ft!G$2)^2)),Ft!G$3*((1-Ft!G$7)/(1+Ft!G$39*($A144-Ft!G$2)^2)+Ft!G$7*EXP(Ft!G$40*($A144-Ft!G$2)^2)))</f>
        <v>46.024500236431884</v>
      </c>
      <c r="L144" s="3">
        <f>IF(($A144-Ft!H$2)&lt;0,Ft!H$3*((1-Ft!H$6)/(1+Ft!H$37*($A144-Ft!H$2)^2)+Ft!H$6*EXP(Ft!H$38*($A144-Ft!H$2)^2)),Ft!H$3*((1-Ft!H$7)/(1+Ft!H$39*($A144-Ft!H$2)^2)+Ft!H$7*EXP(Ft!H$40*($A144-Ft!H$2)^2)))</f>
        <v>0</v>
      </c>
      <c r="M144" s="3">
        <f>IF(($A144-Ft!I$2)&lt;0,Ft!I$3*((1-Ft!I$6)/(1+Ft!I$37*($A144-Ft!I$2)^2)+Ft!I$6*EXP(Ft!I$38*($A144-Ft!I$2)^2)),Ft!I$3*((1-Ft!I$7)/(1+Ft!I$39*($A144-Ft!I$2)^2)+Ft!I$7*EXP(Ft!I$40*($A144-Ft!I$2)^2)))</f>
        <v>0</v>
      </c>
      <c r="N144" s="3">
        <f>IF(($A144-Ft!J$2)&lt;0,Ft!J$3*((1-Ft!J$6)/(1+Ft!J$37*($A144-Ft!J$2)^2)+Ft!J$6*EXP(Ft!J$38*($A144-Ft!J$2)^2)),Ft!J$3*((1-Ft!J$7)/(1+Ft!J$39*($A144-Ft!J$2)^2)+Ft!J$7*EXP(Ft!J$40*($A144-Ft!J$2)^2)))</f>
        <v>0</v>
      </c>
      <c r="O144" s="3">
        <f>IF(($A144-Ft!K$2)&lt;0,Ft!K$3*((1-Ft!K$6)/(1+Ft!K$37*($A144-Ft!K$2)^2)+Ft!K$6*EXP(Ft!K$38*($A144-Ft!K$2)^2)),Ft!K$3*((1-Ft!K$7)/(1+Ft!K$39*($A144-Ft!K$2)^2)+Ft!K$7*EXP(Ft!K$40*($A144-Ft!K$2)^2)))</f>
        <v>0</v>
      </c>
      <c r="P144"/>
      <c r="Q144"/>
    </row>
    <row r="145" spans="1:17">
      <c r="A145" s="20">
        <v>287</v>
      </c>
      <c r="B145" s="29">
        <v>24.511261367559626</v>
      </c>
      <c r="C145" s="7">
        <f t="shared" si="5"/>
        <v>24.717514331130459</v>
      </c>
      <c r="D145" s="3">
        <f t="shared" si="4"/>
        <v>4.2540284981751365E-2</v>
      </c>
      <c r="E145" s="3">
        <f>Ft!$B$12+Ft!$B$14*(Data!A145-Vars!$B$3)</f>
        <v>-200</v>
      </c>
      <c r="F145" s="3">
        <f>IF(($A145-Ft!B$2)&lt;0,Ft!B$3*((1-Ft!B$6)/(1+Ft!B$37*($A145-Ft!B$2)^2)+Ft!B$6*EXP(Ft!B$38*($A145-Ft!B$2)^2)),Ft!B$3*((1-Ft!B$7)/(1+Ft!B$39*($A145-Ft!B$2)^2)+Ft!B$7*EXP(Ft!B$40*($A145-Ft!B$2)^2)))</f>
        <v>97.506362335950627</v>
      </c>
      <c r="G145" s="3">
        <f>IF(($A145-Ft!C$2)&lt;0,Ft!C$3*((1-Ft!C$6)/(1+Ft!C$37*($A145-Ft!C$2)^2)+Ft!C$6*EXP(Ft!C$38*($A145-Ft!C$2)^2)),Ft!C$3*((1-Ft!C$7)/(1+Ft!C$39*($A145-Ft!C$2)^2)+Ft!C$7*EXP(Ft!C$40*($A145-Ft!C$2)^2)))</f>
        <v>37.044079885761313</v>
      </c>
      <c r="H145" s="3">
        <f>IF(($A145-Ft!D$2)&lt;0,Ft!D$3*((1-Ft!D$6)/(1+Ft!D$37*($A145-Ft!D$2)^2)+Ft!D$6*EXP(Ft!D$38*($A145-Ft!D$2)^2)),Ft!D$3*((1-Ft!D$7)/(1+Ft!D$39*($A145-Ft!D$2)^2)+Ft!D$7*EXP(Ft!D$40*($A145-Ft!D$2)^2)))</f>
        <v>5.432707413074358E-7</v>
      </c>
      <c r="I145" s="3">
        <f>IF(($A145-Ft!E$2)&lt;0,Ft!E$3*((1-Ft!E$6)/(1+Ft!E$37*($A145-Ft!E$2)^2)+Ft!E$6*EXP(Ft!E$38*($A145-Ft!E$2)^2)),Ft!E$3*((1-Ft!E$7)/(1+Ft!E$39*($A145-Ft!E$2)^2)+Ft!E$7*EXP(Ft!E$40*($A145-Ft!E$2)^2)))</f>
        <v>28.732540615965462</v>
      </c>
      <c r="J145" s="3">
        <f>IF(($A145-Ft!F$2)&lt;0,Ft!F$3*((1-Ft!F$6)/(1+Ft!F$37*($A145-Ft!F$2)^2)+Ft!F$6*EXP(Ft!F$38*($A145-Ft!F$2)^2)),Ft!F$3*((1-Ft!F$7)/(1+Ft!F$39*($A145-Ft!F$2)^2)+Ft!F$7*EXP(Ft!F$40*($A145-Ft!F$2)^2)))</f>
        <v>15.243373427840872</v>
      </c>
      <c r="K145" s="3">
        <f>IF(($A145-Ft!G$2)&lt;0,Ft!G$3*((1-Ft!G$6)/(1+Ft!G$37*($A145-Ft!G$2)^2)+Ft!G$6*EXP(Ft!G$38*($A145-Ft!G$2)^2)),Ft!G$3*((1-Ft!G$7)/(1+Ft!G$39*($A145-Ft!G$2)^2)+Ft!G$7*EXP(Ft!G$40*($A145-Ft!G$2)^2)))</f>
        <v>46.191157522341449</v>
      </c>
      <c r="L145" s="3">
        <f>IF(($A145-Ft!H$2)&lt;0,Ft!H$3*((1-Ft!H$6)/(1+Ft!H$37*($A145-Ft!H$2)^2)+Ft!H$6*EXP(Ft!H$38*($A145-Ft!H$2)^2)),Ft!H$3*((1-Ft!H$7)/(1+Ft!H$39*($A145-Ft!H$2)^2)+Ft!H$7*EXP(Ft!H$40*($A145-Ft!H$2)^2)))</f>
        <v>0</v>
      </c>
      <c r="M145" s="3">
        <f>IF(($A145-Ft!I$2)&lt;0,Ft!I$3*((1-Ft!I$6)/(1+Ft!I$37*($A145-Ft!I$2)^2)+Ft!I$6*EXP(Ft!I$38*($A145-Ft!I$2)^2)),Ft!I$3*((1-Ft!I$7)/(1+Ft!I$39*($A145-Ft!I$2)^2)+Ft!I$7*EXP(Ft!I$40*($A145-Ft!I$2)^2)))</f>
        <v>0</v>
      </c>
      <c r="N145" s="3">
        <f>IF(($A145-Ft!J$2)&lt;0,Ft!J$3*((1-Ft!J$6)/(1+Ft!J$37*($A145-Ft!J$2)^2)+Ft!J$6*EXP(Ft!J$38*($A145-Ft!J$2)^2)),Ft!J$3*((1-Ft!J$7)/(1+Ft!J$39*($A145-Ft!J$2)^2)+Ft!J$7*EXP(Ft!J$40*($A145-Ft!J$2)^2)))</f>
        <v>0</v>
      </c>
      <c r="O145" s="3">
        <f>IF(($A145-Ft!K$2)&lt;0,Ft!K$3*((1-Ft!K$6)/(1+Ft!K$37*($A145-Ft!K$2)^2)+Ft!K$6*EXP(Ft!K$38*($A145-Ft!K$2)^2)),Ft!K$3*((1-Ft!K$7)/(1+Ft!K$39*($A145-Ft!K$2)^2)+Ft!K$7*EXP(Ft!K$40*($A145-Ft!K$2)^2)))</f>
        <v>0</v>
      </c>
      <c r="P145"/>
      <c r="Q145"/>
    </row>
    <row r="146" spans="1:17">
      <c r="A146" s="20">
        <v>289</v>
      </c>
      <c r="B146" s="29">
        <v>24.803733241777337</v>
      </c>
      <c r="C146" s="7">
        <f t="shared" si="5"/>
        <v>24.988285256232331</v>
      </c>
      <c r="D146" s="3">
        <f t="shared" si="4"/>
        <v>3.4059446039396202E-2</v>
      </c>
      <c r="E146" s="3">
        <f>Ft!$B$12+Ft!$B$14*(Data!A146-Vars!$B$3)</f>
        <v>-200</v>
      </c>
      <c r="F146" s="3">
        <f>IF(($A146-Ft!B$2)&lt;0,Ft!B$3*((1-Ft!B$6)/(1+Ft!B$37*($A146-Ft!B$2)^2)+Ft!B$6*EXP(Ft!B$38*($A146-Ft!B$2)^2)),Ft!B$3*((1-Ft!B$7)/(1+Ft!B$39*($A146-Ft!B$2)^2)+Ft!B$7*EXP(Ft!B$40*($A146-Ft!B$2)^2)))</f>
        <v>97.033139886043145</v>
      </c>
      <c r="G146" s="3">
        <f>IF(($A146-Ft!C$2)&lt;0,Ft!C$3*((1-Ft!C$6)/(1+Ft!C$37*($A146-Ft!C$2)^2)+Ft!C$6*EXP(Ft!C$38*($A146-Ft!C$2)^2)),Ft!C$3*((1-Ft!C$7)/(1+Ft!C$39*($A146-Ft!C$2)^2)+Ft!C$7*EXP(Ft!C$40*($A146-Ft!C$2)^2)))</f>
        <v>37.144727485999887</v>
      </c>
      <c r="H146" s="3">
        <f>IF(($A146-Ft!D$2)&lt;0,Ft!D$3*((1-Ft!D$6)/(1+Ft!D$37*($A146-Ft!D$2)^2)+Ft!D$6*EXP(Ft!D$38*($A146-Ft!D$2)^2)),Ft!D$3*((1-Ft!D$7)/(1+Ft!D$39*($A146-Ft!D$2)^2)+Ft!D$7*EXP(Ft!D$40*($A146-Ft!D$2)^2)))</f>
        <v>8.1408755977596026E-7</v>
      </c>
      <c r="I146" s="3">
        <f>IF(($A146-Ft!E$2)&lt;0,Ft!E$3*((1-Ft!E$6)/(1+Ft!E$37*($A146-Ft!E$2)^2)+Ft!E$6*EXP(Ft!E$38*($A146-Ft!E$2)^2)),Ft!E$3*((1-Ft!E$7)/(1+Ft!E$39*($A146-Ft!E$2)^2)+Ft!E$7*EXP(Ft!E$40*($A146-Ft!E$2)^2)))</f>
        <v>29.094526861283594</v>
      </c>
      <c r="J146" s="3">
        <f>IF(($A146-Ft!F$2)&lt;0,Ft!F$3*((1-Ft!F$6)/(1+Ft!F$37*($A146-Ft!F$2)^2)+Ft!F$6*EXP(Ft!F$38*($A146-Ft!F$2)^2)),Ft!F$3*((1-Ft!F$7)/(1+Ft!F$39*($A146-Ft!F$2)^2)+Ft!F$7*EXP(Ft!F$40*($A146-Ft!F$2)^2)))</f>
        <v>15.362283617061886</v>
      </c>
      <c r="K146" s="3">
        <f>IF(($A146-Ft!G$2)&lt;0,Ft!G$3*((1-Ft!G$6)/(1+Ft!G$37*($A146-Ft!G$2)^2)+Ft!G$6*EXP(Ft!G$38*($A146-Ft!G$2)^2)),Ft!G$3*((1-Ft!G$7)/(1+Ft!G$39*($A146-Ft!G$2)^2)+Ft!G$7*EXP(Ft!G$40*($A146-Ft!G$2)^2)))</f>
        <v>46.353606591756254</v>
      </c>
      <c r="L146" s="3">
        <f>IF(($A146-Ft!H$2)&lt;0,Ft!H$3*((1-Ft!H$6)/(1+Ft!H$37*($A146-Ft!H$2)^2)+Ft!H$6*EXP(Ft!H$38*($A146-Ft!H$2)^2)),Ft!H$3*((1-Ft!H$7)/(1+Ft!H$39*($A146-Ft!H$2)^2)+Ft!H$7*EXP(Ft!H$40*($A146-Ft!H$2)^2)))</f>
        <v>0</v>
      </c>
      <c r="M146" s="3">
        <f>IF(($A146-Ft!I$2)&lt;0,Ft!I$3*((1-Ft!I$6)/(1+Ft!I$37*($A146-Ft!I$2)^2)+Ft!I$6*EXP(Ft!I$38*($A146-Ft!I$2)^2)),Ft!I$3*((1-Ft!I$7)/(1+Ft!I$39*($A146-Ft!I$2)^2)+Ft!I$7*EXP(Ft!I$40*($A146-Ft!I$2)^2)))</f>
        <v>0</v>
      </c>
      <c r="N146" s="3">
        <f>IF(($A146-Ft!J$2)&lt;0,Ft!J$3*((1-Ft!J$6)/(1+Ft!J$37*($A146-Ft!J$2)^2)+Ft!J$6*EXP(Ft!J$38*($A146-Ft!J$2)^2)),Ft!J$3*((1-Ft!J$7)/(1+Ft!J$39*($A146-Ft!J$2)^2)+Ft!J$7*EXP(Ft!J$40*($A146-Ft!J$2)^2)))</f>
        <v>0</v>
      </c>
      <c r="O146" s="3">
        <f>IF(($A146-Ft!K$2)&lt;0,Ft!K$3*((1-Ft!K$6)/(1+Ft!K$37*($A146-Ft!K$2)^2)+Ft!K$6*EXP(Ft!K$38*($A146-Ft!K$2)^2)),Ft!K$3*((1-Ft!K$7)/(1+Ft!K$39*($A146-Ft!K$2)^2)+Ft!K$7*EXP(Ft!K$40*($A146-Ft!K$2)^2)))</f>
        <v>0</v>
      </c>
      <c r="P146"/>
      <c r="Q146"/>
    </row>
    <row r="147" spans="1:17">
      <c r="A147" s="20">
        <v>291</v>
      </c>
      <c r="B147" s="29">
        <v>25.097393817541743</v>
      </c>
      <c r="C147" s="7">
        <f t="shared" si="5"/>
        <v>25.258773517948626</v>
      </c>
      <c r="D147" s="3">
        <f t="shared" si="4"/>
        <v>2.6043407703415272E-2</v>
      </c>
      <c r="E147" s="3">
        <f>Ft!$B$12+Ft!$B$14*(Data!A147-Vars!$B$3)</f>
        <v>-200</v>
      </c>
      <c r="F147" s="3">
        <f>IF(($A147-Ft!B$2)&lt;0,Ft!B$3*((1-Ft!B$6)/(1+Ft!B$37*($A147-Ft!B$2)^2)+Ft!B$6*EXP(Ft!B$38*($A147-Ft!B$2)^2)),Ft!B$3*((1-Ft!B$7)/(1+Ft!B$39*($A147-Ft!B$2)^2)+Ft!B$7*EXP(Ft!B$40*($A147-Ft!B$2)^2)))</f>
        <v>96.560371060795845</v>
      </c>
      <c r="G147" s="3">
        <f>IF(($A147-Ft!C$2)&lt;0,Ft!C$3*((1-Ft!C$6)/(1+Ft!C$37*($A147-Ft!C$2)^2)+Ft!C$6*EXP(Ft!C$38*($A147-Ft!C$2)^2)),Ft!C$3*((1-Ft!C$7)/(1+Ft!C$39*($A147-Ft!C$2)^2)+Ft!C$7*EXP(Ft!C$40*($A147-Ft!C$2)^2)))</f>
        <v>37.245319449946081</v>
      </c>
      <c r="H147" s="3">
        <f>IF(($A147-Ft!D$2)&lt;0,Ft!D$3*((1-Ft!D$6)/(1+Ft!D$37*($A147-Ft!D$2)^2)+Ft!D$6*EXP(Ft!D$38*($A147-Ft!D$2)^2)),Ft!D$3*((1-Ft!D$7)/(1+Ft!D$39*($A147-Ft!D$2)^2)+Ft!D$7*EXP(Ft!D$40*($A147-Ft!D$2)^2)))</f>
        <v>1.2131933121165934E-6</v>
      </c>
      <c r="I147" s="3">
        <f>IF(($A147-Ft!E$2)&lt;0,Ft!E$3*((1-Ft!E$6)/(1+Ft!E$37*($A147-Ft!E$2)^2)+Ft!E$6*EXP(Ft!E$38*($A147-Ft!E$2)^2)),Ft!E$3*((1-Ft!E$7)/(1+Ft!E$39*($A147-Ft!E$2)^2)+Ft!E$7*EXP(Ft!E$40*($A147-Ft!E$2)^2)))</f>
        <v>29.459365437130721</v>
      </c>
      <c r="J147" s="3">
        <f>IF(($A147-Ft!F$2)&lt;0,Ft!F$3*((1-Ft!F$6)/(1+Ft!F$37*($A147-Ft!F$2)^2)+Ft!F$6*EXP(Ft!F$38*($A147-Ft!F$2)^2)),Ft!F$3*((1-Ft!F$7)/(1+Ft!F$39*($A147-Ft!F$2)^2)+Ft!F$7*EXP(Ft!F$40*($A147-Ft!F$2)^2)))</f>
        <v>15.481917493566135</v>
      </c>
      <c r="K147" s="3">
        <f>IF(($A147-Ft!G$2)&lt;0,Ft!G$3*((1-Ft!G$6)/(1+Ft!G$37*($A147-Ft!G$2)^2)+Ft!G$6*EXP(Ft!G$38*($A147-Ft!G$2)^2)),Ft!G$3*((1-Ft!G$7)/(1+Ft!G$39*($A147-Ft!G$2)^2)+Ft!G$7*EXP(Ft!G$40*($A147-Ft!G$2)^2)))</f>
        <v>46.511798863316528</v>
      </c>
      <c r="L147" s="3">
        <f>IF(($A147-Ft!H$2)&lt;0,Ft!H$3*((1-Ft!H$6)/(1+Ft!H$37*($A147-Ft!H$2)^2)+Ft!H$6*EXP(Ft!H$38*($A147-Ft!H$2)^2)),Ft!H$3*((1-Ft!H$7)/(1+Ft!H$39*($A147-Ft!H$2)^2)+Ft!H$7*EXP(Ft!H$40*($A147-Ft!H$2)^2)))</f>
        <v>0</v>
      </c>
      <c r="M147" s="3">
        <f>IF(($A147-Ft!I$2)&lt;0,Ft!I$3*((1-Ft!I$6)/(1+Ft!I$37*($A147-Ft!I$2)^2)+Ft!I$6*EXP(Ft!I$38*($A147-Ft!I$2)^2)),Ft!I$3*((1-Ft!I$7)/(1+Ft!I$39*($A147-Ft!I$2)^2)+Ft!I$7*EXP(Ft!I$40*($A147-Ft!I$2)^2)))</f>
        <v>0</v>
      </c>
      <c r="N147" s="3">
        <f>IF(($A147-Ft!J$2)&lt;0,Ft!J$3*((1-Ft!J$6)/(1+Ft!J$37*($A147-Ft!J$2)^2)+Ft!J$6*EXP(Ft!J$38*($A147-Ft!J$2)^2)),Ft!J$3*((1-Ft!J$7)/(1+Ft!J$39*($A147-Ft!J$2)^2)+Ft!J$7*EXP(Ft!J$40*($A147-Ft!J$2)^2)))</f>
        <v>0</v>
      </c>
      <c r="O147" s="3">
        <f>IF(($A147-Ft!K$2)&lt;0,Ft!K$3*((1-Ft!K$6)/(1+Ft!K$37*($A147-Ft!K$2)^2)+Ft!K$6*EXP(Ft!K$38*($A147-Ft!K$2)^2)),Ft!K$3*((1-Ft!K$7)/(1+Ft!K$39*($A147-Ft!K$2)^2)+Ft!K$7*EXP(Ft!K$40*($A147-Ft!K$2)^2)))</f>
        <v>0</v>
      </c>
      <c r="P147"/>
      <c r="Q147"/>
    </row>
    <row r="148" spans="1:17">
      <c r="A148" s="20">
        <v>293</v>
      </c>
      <c r="B148" s="29">
        <v>25.392043315947589</v>
      </c>
      <c r="C148" s="7">
        <f t="shared" si="5"/>
        <v>25.528941282071862</v>
      </c>
      <c r="D148" s="3">
        <f t="shared" si="4"/>
        <v>1.8741053128962678E-2</v>
      </c>
      <c r="E148" s="3">
        <f>Ft!$B$12+Ft!$B$14*(Data!A148-Vars!$B$3)</f>
        <v>-200</v>
      </c>
      <c r="F148" s="3">
        <f>IF(($A148-Ft!B$2)&lt;0,Ft!B$3*((1-Ft!B$6)/(1+Ft!B$37*($A148-Ft!B$2)^2)+Ft!B$6*EXP(Ft!B$38*($A148-Ft!B$2)^2)),Ft!B$3*((1-Ft!B$7)/(1+Ft!B$39*($A148-Ft!B$2)^2)+Ft!B$7*EXP(Ft!B$40*($A148-Ft!B$2)^2)))</f>
        <v>96.088071653138655</v>
      </c>
      <c r="G148" s="3">
        <f>IF(($A148-Ft!C$2)&lt;0,Ft!C$3*((1-Ft!C$6)/(1+Ft!C$37*($A148-Ft!C$2)^2)+Ft!C$6*EXP(Ft!C$38*($A148-Ft!C$2)^2)),Ft!C$3*((1-Ft!C$7)/(1+Ft!C$39*($A148-Ft!C$2)^2)+Ft!C$7*EXP(Ft!C$40*($A148-Ft!C$2)^2)))</f>
        <v>37.345853846916029</v>
      </c>
      <c r="H148" s="3">
        <f>IF(($A148-Ft!D$2)&lt;0,Ft!D$3*((1-Ft!D$6)/(1+Ft!D$37*($A148-Ft!D$2)^2)+Ft!D$6*EXP(Ft!D$38*($A148-Ft!D$2)^2)),Ft!D$3*((1-Ft!D$7)/(1+Ft!D$39*($A148-Ft!D$2)^2)+Ft!D$7*EXP(Ft!D$40*($A148-Ft!D$2)^2)))</f>
        <v>1.7980136477573942E-6</v>
      </c>
      <c r="I148" s="3">
        <f>IF(($A148-Ft!E$2)&lt;0,Ft!E$3*((1-Ft!E$6)/(1+Ft!E$37*($A148-Ft!E$2)^2)+Ft!E$6*EXP(Ft!E$38*($A148-Ft!E$2)^2)),Ft!E$3*((1-Ft!E$7)/(1+Ft!E$39*($A148-Ft!E$2)^2)+Ft!E$7*EXP(Ft!E$40*($A148-Ft!E$2)^2)))</f>
        <v>29.827049539332954</v>
      </c>
      <c r="J148" s="3">
        <f>IF(($A148-Ft!F$2)&lt;0,Ft!F$3*((1-Ft!F$6)/(1+Ft!F$37*($A148-Ft!F$2)^2)+Ft!F$6*EXP(Ft!F$38*($A148-Ft!F$2)^2)),Ft!F$3*((1-Ft!F$7)/(1+Ft!F$39*($A148-Ft!F$2)^2)+Ft!F$7*EXP(Ft!F$40*($A148-Ft!F$2)^2)))</f>
        <v>15.602277529564354</v>
      </c>
      <c r="K148" s="3">
        <f>IF(($A148-Ft!G$2)&lt;0,Ft!G$3*((1-Ft!G$6)/(1+Ft!G$37*($A148-Ft!G$2)^2)+Ft!G$6*EXP(Ft!G$38*($A148-Ft!G$2)^2)),Ft!G$3*((1-Ft!G$7)/(1+Ft!G$39*($A148-Ft!G$2)^2)+Ft!G$7*EXP(Ft!G$40*($A148-Ft!G$2)^2)))</f>
        <v>46.665686915106228</v>
      </c>
      <c r="L148" s="3">
        <f>IF(($A148-Ft!H$2)&lt;0,Ft!H$3*((1-Ft!H$6)/(1+Ft!H$37*($A148-Ft!H$2)^2)+Ft!H$6*EXP(Ft!H$38*($A148-Ft!H$2)^2)),Ft!H$3*((1-Ft!H$7)/(1+Ft!H$39*($A148-Ft!H$2)^2)+Ft!H$7*EXP(Ft!H$40*($A148-Ft!H$2)^2)))</f>
        <v>0</v>
      </c>
      <c r="M148" s="3">
        <f>IF(($A148-Ft!I$2)&lt;0,Ft!I$3*((1-Ft!I$6)/(1+Ft!I$37*($A148-Ft!I$2)^2)+Ft!I$6*EXP(Ft!I$38*($A148-Ft!I$2)^2)),Ft!I$3*((1-Ft!I$7)/(1+Ft!I$39*($A148-Ft!I$2)^2)+Ft!I$7*EXP(Ft!I$40*($A148-Ft!I$2)^2)))</f>
        <v>0</v>
      </c>
      <c r="N148" s="3">
        <f>IF(($A148-Ft!J$2)&lt;0,Ft!J$3*((1-Ft!J$6)/(1+Ft!J$37*($A148-Ft!J$2)^2)+Ft!J$6*EXP(Ft!J$38*($A148-Ft!J$2)^2)),Ft!J$3*((1-Ft!J$7)/(1+Ft!J$39*($A148-Ft!J$2)^2)+Ft!J$7*EXP(Ft!J$40*($A148-Ft!J$2)^2)))</f>
        <v>0</v>
      </c>
      <c r="O148" s="3">
        <f>IF(($A148-Ft!K$2)&lt;0,Ft!K$3*((1-Ft!K$6)/(1+Ft!K$37*($A148-Ft!K$2)^2)+Ft!K$6*EXP(Ft!K$38*($A148-Ft!K$2)^2)),Ft!K$3*((1-Ft!K$7)/(1+Ft!K$39*($A148-Ft!K$2)^2)+Ft!K$7*EXP(Ft!K$40*($A148-Ft!K$2)^2)))</f>
        <v>0</v>
      </c>
      <c r="P148"/>
      <c r="Q148"/>
    </row>
    <row r="149" spans="1:17">
      <c r="A149" s="20">
        <v>295</v>
      </c>
      <c r="B149" s="29">
        <v>25.687464850275518</v>
      </c>
      <c r="C149" s="7">
        <f t="shared" si="5"/>
        <v>25.798751221302858</v>
      </c>
      <c r="D149" s="3">
        <f t="shared" si="4"/>
        <v>1.238465637643482E-2</v>
      </c>
      <c r="E149" s="3">
        <f>Ft!$B$12+Ft!$B$14*(Data!A149-Vars!$B$3)</f>
        <v>-200</v>
      </c>
      <c r="F149" s="3">
        <f>IF(($A149-Ft!B$2)&lt;0,Ft!B$3*((1-Ft!B$6)/(1+Ft!B$37*($A149-Ft!B$2)^2)+Ft!B$6*EXP(Ft!B$38*($A149-Ft!B$2)^2)),Ft!B$3*((1-Ft!B$7)/(1+Ft!B$39*($A149-Ft!B$2)^2)+Ft!B$7*EXP(Ft!B$40*($A149-Ft!B$2)^2)))</f>
        <v>95.616257352091978</v>
      </c>
      <c r="G149" s="3">
        <f>IF(($A149-Ft!C$2)&lt;0,Ft!C$3*((1-Ft!C$6)/(1+Ft!C$37*($A149-Ft!C$2)^2)+Ft!C$6*EXP(Ft!C$38*($A149-Ft!C$2)^2)),Ft!C$3*((1-Ft!C$7)/(1+Ft!C$39*($A149-Ft!C$2)^2)+Ft!C$7*EXP(Ft!C$40*($A149-Ft!C$2)^2)))</f>
        <v>37.446328742533943</v>
      </c>
      <c r="H149" s="3">
        <f>IF(($A149-Ft!D$2)&lt;0,Ft!D$3*((1-Ft!D$6)/(1+Ft!D$37*($A149-Ft!D$2)^2)+Ft!D$6*EXP(Ft!D$38*($A149-Ft!D$2)^2)),Ft!D$3*((1-Ft!D$7)/(1+Ft!D$39*($A149-Ft!D$2)^2)+Ft!D$7*EXP(Ft!D$40*($A149-Ft!D$2)^2)))</f>
        <v>2.6500864854785531E-6</v>
      </c>
      <c r="I149" s="3">
        <f>IF(($A149-Ft!E$2)&lt;0,Ft!E$3*((1-Ft!E$6)/(1+Ft!E$37*($A149-Ft!E$2)^2)+Ft!E$6*EXP(Ft!E$38*($A149-Ft!E$2)^2)),Ft!E$3*((1-Ft!E$7)/(1+Ft!E$39*($A149-Ft!E$2)^2)+Ft!E$7*EXP(Ft!E$40*($A149-Ft!E$2)^2)))</f>
        <v>30.197571780558988</v>
      </c>
      <c r="J149" s="3">
        <f>IF(($A149-Ft!F$2)&lt;0,Ft!F$3*((1-Ft!F$6)/(1+Ft!F$37*($A149-Ft!F$2)^2)+Ft!F$6*EXP(Ft!F$38*($A149-Ft!F$2)^2)),Ft!F$3*((1-Ft!F$7)/(1+Ft!F$39*($A149-Ft!F$2)^2)+Ft!F$7*EXP(Ft!F$40*($A149-Ft!F$2)^2)))</f>
        <v>15.723366187700423</v>
      </c>
      <c r="K149" s="3">
        <f>IF(($A149-Ft!G$2)&lt;0,Ft!G$3*((1-Ft!G$6)/(1+Ft!G$37*($A149-Ft!G$2)^2)+Ft!G$6*EXP(Ft!G$38*($A149-Ft!G$2)^2)),Ft!G$3*((1-Ft!G$7)/(1+Ft!G$39*($A149-Ft!G$2)^2)+Ft!G$7*EXP(Ft!G$40*($A149-Ft!G$2)^2)))</f>
        <v>46.815224508331049</v>
      </c>
      <c r="L149" s="3">
        <f>IF(($A149-Ft!H$2)&lt;0,Ft!H$3*((1-Ft!H$6)/(1+Ft!H$37*($A149-Ft!H$2)^2)+Ft!H$6*EXP(Ft!H$38*($A149-Ft!H$2)^2)),Ft!H$3*((1-Ft!H$7)/(1+Ft!H$39*($A149-Ft!H$2)^2)+Ft!H$7*EXP(Ft!H$40*($A149-Ft!H$2)^2)))</f>
        <v>0</v>
      </c>
      <c r="M149" s="3">
        <f>IF(($A149-Ft!I$2)&lt;0,Ft!I$3*((1-Ft!I$6)/(1+Ft!I$37*($A149-Ft!I$2)^2)+Ft!I$6*EXP(Ft!I$38*($A149-Ft!I$2)^2)),Ft!I$3*((1-Ft!I$7)/(1+Ft!I$39*($A149-Ft!I$2)^2)+Ft!I$7*EXP(Ft!I$40*($A149-Ft!I$2)^2)))</f>
        <v>0</v>
      </c>
      <c r="N149" s="3">
        <f>IF(($A149-Ft!J$2)&lt;0,Ft!J$3*((1-Ft!J$6)/(1+Ft!J$37*($A149-Ft!J$2)^2)+Ft!J$6*EXP(Ft!J$38*($A149-Ft!J$2)^2)),Ft!J$3*((1-Ft!J$7)/(1+Ft!J$39*($A149-Ft!J$2)^2)+Ft!J$7*EXP(Ft!J$40*($A149-Ft!J$2)^2)))</f>
        <v>0</v>
      </c>
      <c r="O149" s="3">
        <f>IF(($A149-Ft!K$2)&lt;0,Ft!K$3*((1-Ft!K$6)/(1+Ft!K$37*($A149-Ft!K$2)^2)+Ft!K$6*EXP(Ft!K$38*($A149-Ft!K$2)^2)),Ft!K$3*((1-Ft!K$7)/(1+Ft!K$39*($A149-Ft!K$2)^2)+Ft!K$7*EXP(Ft!K$40*($A149-Ft!K$2)^2)))</f>
        <v>0</v>
      </c>
      <c r="P149"/>
      <c r="Q149"/>
    </row>
    <row r="150" spans="1:17">
      <c r="A150" s="20">
        <v>297</v>
      </c>
      <c r="B150" s="29">
        <v>25.983425681770939</v>
      </c>
      <c r="C150" s="7">
        <f t="shared" si="5"/>
        <v>26.06816654140912</v>
      </c>
      <c r="D150" s="3">
        <f t="shared" si="4"/>
        <v>7.1810132922179139E-3</v>
      </c>
      <c r="E150" s="3">
        <f>Ft!$B$12+Ft!$B$14*(Data!A150-Vars!$B$3)</f>
        <v>-200</v>
      </c>
      <c r="F150" s="3">
        <f>IF(($A150-Ft!B$2)&lt;0,Ft!B$3*((1-Ft!B$6)/(1+Ft!B$37*($A150-Ft!B$2)^2)+Ft!B$6*EXP(Ft!B$38*($A150-Ft!B$2)^2)),Ft!B$3*((1-Ft!B$7)/(1+Ft!B$39*($A150-Ft!B$2)^2)+Ft!B$7*EXP(Ft!B$40*($A150-Ft!B$2)^2)))</f>
        <v>95.144943742079988</v>
      </c>
      <c r="G150" s="3">
        <f>IF(($A150-Ft!C$2)&lt;0,Ft!C$3*((1-Ft!C$6)/(1+Ft!C$37*($A150-Ft!C$2)^2)+Ft!C$6*EXP(Ft!C$38*($A150-Ft!C$2)^2)),Ft!C$3*((1-Ft!C$7)/(1+Ft!C$39*($A150-Ft!C$2)^2)+Ft!C$7*EXP(Ft!C$40*($A150-Ft!C$2)^2)))</f>
        <v>37.546742198790575</v>
      </c>
      <c r="H150" s="3">
        <f>IF(($A150-Ft!D$2)&lt;0,Ft!D$3*((1-Ft!D$6)/(1+Ft!D$37*($A150-Ft!D$2)^2)+Ft!D$6*EXP(Ft!D$38*($A150-Ft!D$2)^2)),Ft!D$3*((1-Ft!D$7)/(1+Ft!D$39*($A150-Ft!D$2)^2)+Ft!D$7*EXP(Ft!D$40*($A150-Ft!D$2)^2)))</f>
        <v>3.8844648674625668E-6</v>
      </c>
      <c r="I150" s="3">
        <f>IF(($A150-Ft!E$2)&lt;0,Ft!E$3*((1-Ft!E$6)/(1+Ft!E$37*($A150-Ft!E$2)^2)+Ft!E$6*EXP(Ft!E$38*($A150-Ft!E$2)^2)),Ft!E$3*((1-Ft!E$7)/(1+Ft!E$39*($A150-Ft!E$2)^2)+Ft!E$7*EXP(Ft!E$40*($A150-Ft!E$2)^2)))</f>
        <v>30.570924184765801</v>
      </c>
      <c r="J150" s="3">
        <f>IF(($A150-Ft!F$2)&lt;0,Ft!F$3*((1-Ft!F$6)/(1+Ft!F$37*($A150-Ft!F$2)^2)+Ft!F$6*EXP(Ft!F$38*($A150-Ft!F$2)^2)),Ft!F$3*((1-Ft!F$7)/(1+Ft!F$39*($A150-Ft!F$2)^2)+Ft!F$7*EXP(Ft!F$40*($A150-Ft!F$2)^2)))</f>
        <v>15.845185920846719</v>
      </c>
      <c r="K150" s="3">
        <f>IF(($A150-Ft!G$2)&lt;0,Ft!G$3*((1-Ft!G$6)/(1+Ft!G$37*($A150-Ft!G$2)^2)+Ft!G$6*EXP(Ft!G$38*($A150-Ft!G$2)^2)),Ft!G$3*((1-Ft!G$7)/(1+Ft!G$39*($A150-Ft!G$2)^2)+Ft!G$7*EXP(Ft!G$40*($A150-Ft!G$2)^2)))</f>
        <v>46.960366610461158</v>
      </c>
      <c r="L150" s="3">
        <f>IF(($A150-Ft!H$2)&lt;0,Ft!H$3*((1-Ft!H$6)/(1+Ft!H$37*($A150-Ft!H$2)^2)+Ft!H$6*EXP(Ft!H$38*($A150-Ft!H$2)^2)),Ft!H$3*((1-Ft!H$7)/(1+Ft!H$39*($A150-Ft!H$2)^2)+Ft!H$7*EXP(Ft!H$40*($A150-Ft!H$2)^2)))</f>
        <v>0</v>
      </c>
      <c r="M150" s="3">
        <f>IF(($A150-Ft!I$2)&lt;0,Ft!I$3*((1-Ft!I$6)/(1+Ft!I$37*($A150-Ft!I$2)^2)+Ft!I$6*EXP(Ft!I$38*($A150-Ft!I$2)^2)),Ft!I$3*((1-Ft!I$7)/(1+Ft!I$39*($A150-Ft!I$2)^2)+Ft!I$7*EXP(Ft!I$40*($A150-Ft!I$2)^2)))</f>
        <v>0</v>
      </c>
      <c r="N150" s="3">
        <f>IF(($A150-Ft!J$2)&lt;0,Ft!J$3*((1-Ft!J$6)/(1+Ft!J$37*($A150-Ft!J$2)^2)+Ft!J$6*EXP(Ft!J$38*($A150-Ft!J$2)^2)),Ft!J$3*((1-Ft!J$7)/(1+Ft!J$39*($A150-Ft!J$2)^2)+Ft!J$7*EXP(Ft!J$40*($A150-Ft!J$2)^2)))</f>
        <v>0</v>
      </c>
      <c r="O150" s="3">
        <f>IF(($A150-Ft!K$2)&lt;0,Ft!K$3*((1-Ft!K$6)/(1+Ft!K$37*($A150-Ft!K$2)^2)+Ft!K$6*EXP(Ft!K$38*($A150-Ft!K$2)^2)),Ft!K$3*((1-Ft!K$7)/(1+Ft!K$39*($A150-Ft!K$2)^2)+Ft!K$7*EXP(Ft!K$40*($A150-Ft!K$2)^2)))</f>
        <v>0</v>
      </c>
      <c r="P150"/>
      <c r="Q150"/>
    </row>
    <row r="151" spans="1:17">
      <c r="A151" s="20">
        <v>299</v>
      </c>
      <c r="B151" s="29">
        <v>26.279678774966285</v>
      </c>
      <c r="C151" s="7">
        <f t="shared" si="5"/>
        <v>26.337151010303735</v>
      </c>
      <c r="D151" s="3">
        <f t="shared" si="4"/>
        <v>3.3030578346832039E-3</v>
      </c>
      <c r="E151" s="3">
        <f>Ft!$B$12+Ft!$B$14*(Data!A151-Vars!$B$3)</f>
        <v>-200</v>
      </c>
      <c r="F151" s="3">
        <f>IF(($A151-Ft!B$2)&lt;0,Ft!B$3*((1-Ft!B$6)/(1+Ft!B$37*($A151-Ft!B$2)^2)+Ft!B$6*EXP(Ft!B$38*($A151-Ft!B$2)^2)),Ft!B$3*((1-Ft!B$7)/(1+Ft!B$39*($A151-Ft!B$2)^2)+Ft!B$7*EXP(Ft!B$40*($A151-Ft!B$2)^2)))</f>
        <v>94.67414630225737</v>
      </c>
      <c r="G151" s="3">
        <f>IF(($A151-Ft!C$2)&lt;0,Ft!C$3*((1-Ft!C$6)/(1+Ft!C$37*($A151-Ft!C$2)^2)+Ft!C$6*EXP(Ft!C$38*($A151-Ft!C$2)^2)),Ft!C$3*((1-Ft!C$7)/(1+Ft!C$39*($A151-Ft!C$2)^2)+Ft!C$7*EXP(Ft!C$40*($A151-Ft!C$2)^2)))</f>
        <v>37.647092274102036</v>
      </c>
      <c r="H151" s="3">
        <f>IF(($A151-Ft!D$2)&lt;0,Ft!D$3*((1-Ft!D$6)/(1+Ft!D$37*($A151-Ft!D$2)^2)+Ft!D$6*EXP(Ft!D$38*($A151-Ft!D$2)^2)),Ft!D$3*((1-Ft!D$7)/(1+Ft!D$39*($A151-Ft!D$2)^2)+Ft!D$7*EXP(Ft!D$40*($A151-Ft!D$2)^2)))</f>
        <v>5.6624767978683443E-6</v>
      </c>
      <c r="I151" s="3">
        <f>IF(($A151-Ft!E$2)&lt;0,Ft!E$3*((1-Ft!E$6)/(1+Ft!E$37*($A151-Ft!E$2)^2)+Ft!E$6*EXP(Ft!E$38*($A151-Ft!E$2)^2)),Ft!E$3*((1-Ft!E$7)/(1+Ft!E$39*($A151-Ft!E$2)^2)+Ft!E$7*EXP(Ft!E$40*($A151-Ft!E$2)^2)))</f>
        <v>30.947098181746767</v>
      </c>
      <c r="J151" s="3">
        <f>IF(($A151-Ft!F$2)&lt;0,Ft!F$3*((1-Ft!F$6)/(1+Ft!F$37*($A151-Ft!F$2)^2)+Ft!F$6*EXP(Ft!F$38*($A151-Ft!F$2)^2)),Ft!F$3*((1-Ft!F$7)/(1+Ft!F$39*($A151-Ft!F$2)^2)+Ft!F$7*EXP(Ft!F$40*($A151-Ft!F$2)^2)))</f>
        <v>15.9677391718986</v>
      </c>
      <c r="K151" s="3">
        <f>IF(($A151-Ft!G$2)&lt;0,Ft!G$3*((1-Ft!G$6)/(1+Ft!G$37*($A151-Ft!G$2)^2)+Ft!G$6*EXP(Ft!G$38*($A151-Ft!G$2)^2)),Ft!G$3*((1-Ft!G$7)/(1+Ft!G$39*($A151-Ft!G$2)^2)+Ft!G$7*EXP(Ft!G$40*($A151-Ft!G$2)^2)))</f>
        <v>47.101069417822167</v>
      </c>
      <c r="L151" s="3">
        <f>IF(($A151-Ft!H$2)&lt;0,Ft!H$3*((1-Ft!H$6)/(1+Ft!H$37*($A151-Ft!H$2)^2)+Ft!H$6*EXP(Ft!H$38*($A151-Ft!H$2)^2)),Ft!H$3*((1-Ft!H$7)/(1+Ft!H$39*($A151-Ft!H$2)^2)+Ft!H$7*EXP(Ft!H$40*($A151-Ft!H$2)^2)))</f>
        <v>0</v>
      </c>
      <c r="M151" s="3">
        <f>IF(($A151-Ft!I$2)&lt;0,Ft!I$3*((1-Ft!I$6)/(1+Ft!I$37*($A151-Ft!I$2)^2)+Ft!I$6*EXP(Ft!I$38*($A151-Ft!I$2)^2)),Ft!I$3*((1-Ft!I$7)/(1+Ft!I$39*($A151-Ft!I$2)^2)+Ft!I$7*EXP(Ft!I$40*($A151-Ft!I$2)^2)))</f>
        <v>0</v>
      </c>
      <c r="N151" s="3">
        <f>IF(($A151-Ft!J$2)&lt;0,Ft!J$3*((1-Ft!J$6)/(1+Ft!J$37*($A151-Ft!J$2)^2)+Ft!J$6*EXP(Ft!J$38*($A151-Ft!J$2)^2)),Ft!J$3*((1-Ft!J$7)/(1+Ft!J$39*($A151-Ft!J$2)^2)+Ft!J$7*EXP(Ft!J$40*($A151-Ft!J$2)^2)))</f>
        <v>0</v>
      </c>
      <c r="O151" s="3">
        <f>IF(($A151-Ft!K$2)&lt;0,Ft!K$3*((1-Ft!K$6)/(1+Ft!K$37*($A151-Ft!K$2)^2)+Ft!K$6*EXP(Ft!K$38*($A151-Ft!K$2)^2)),Ft!K$3*((1-Ft!K$7)/(1+Ft!K$39*($A151-Ft!K$2)^2)+Ft!K$7*EXP(Ft!K$40*($A151-Ft!K$2)^2)))</f>
        <v>0</v>
      </c>
      <c r="P151"/>
      <c r="Q151"/>
    </row>
    <row r="152" spans="1:17">
      <c r="A152" s="20">
        <v>301</v>
      </c>
      <c r="B152" s="29">
        <v>26.57596465156827</v>
      </c>
      <c r="C152" s="7">
        <f t="shared" si="5"/>
        <v>26.605668991105642</v>
      </c>
      <c r="D152" s="3">
        <f t="shared" si="4"/>
        <v>8.8234778735143884E-4</v>
      </c>
      <c r="E152" s="3">
        <f>Ft!$B$12+Ft!$B$14*(Data!A152-Vars!$B$3)</f>
        <v>-200</v>
      </c>
      <c r="F152" s="3">
        <f>IF(($A152-Ft!B$2)&lt;0,Ft!B$3*((1-Ft!B$6)/(1+Ft!B$37*($A152-Ft!B$2)^2)+Ft!B$6*EXP(Ft!B$38*($A152-Ft!B$2)^2)),Ft!B$3*((1-Ft!B$7)/(1+Ft!B$39*($A152-Ft!B$2)^2)+Ft!B$7*EXP(Ft!B$40*($A152-Ft!B$2)^2)))</f>
        <v>94.203880405849375</v>
      </c>
      <c r="G152" s="3">
        <f>IF(($A152-Ft!C$2)&lt;0,Ft!C$3*((1-Ft!C$6)/(1+Ft!C$37*($A152-Ft!C$2)^2)+Ft!C$6*EXP(Ft!C$38*($A152-Ft!C$2)^2)),Ft!C$3*((1-Ft!C$7)/(1+Ft!C$39*($A152-Ft!C$2)^2)+Ft!C$7*EXP(Ft!C$40*($A152-Ft!C$2)^2)))</f>
        <v>37.747377023368962</v>
      </c>
      <c r="H152" s="3">
        <f>IF(($A152-Ft!D$2)&lt;0,Ft!D$3*((1-Ft!D$6)/(1+Ft!D$37*($A152-Ft!D$2)^2)+Ft!D$6*EXP(Ft!D$38*($A152-Ft!D$2)^2)),Ft!D$3*((1-Ft!D$7)/(1+Ft!D$39*($A152-Ft!D$2)^2)+Ft!D$7*EXP(Ft!D$40*($A152-Ft!D$2)^2)))</f>
        <v>8.2089150272215498E-6</v>
      </c>
      <c r="I152" s="3">
        <f>IF(($A152-Ft!E$2)&lt;0,Ft!E$3*((1-Ft!E$6)/(1+Ft!E$37*($A152-Ft!E$2)^2)+Ft!E$6*EXP(Ft!E$38*($A152-Ft!E$2)^2)),Ft!E$3*((1-Ft!E$7)/(1+Ft!E$39*($A152-Ft!E$2)^2)+Ft!E$7*EXP(Ft!E$40*($A152-Ft!E$2)^2)))</f>
        <v>31.326084601785674</v>
      </c>
      <c r="J152" s="3">
        <f>IF(($A152-Ft!F$2)&lt;0,Ft!F$3*((1-Ft!F$6)/(1+Ft!F$37*($A152-Ft!F$2)^2)+Ft!F$6*EXP(Ft!F$38*($A152-Ft!F$2)^2)),Ft!F$3*((1-Ft!F$7)/(1+Ft!F$39*($A152-Ft!F$2)^2)+Ft!F$7*EXP(Ft!F$40*($A152-Ft!F$2)^2)))</f>
        <v>16.091028373567898</v>
      </c>
      <c r="K152" s="3">
        <f>IF(($A152-Ft!G$2)&lt;0,Ft!G$3*((1-Ft!G$6)/(1+Ft!G$37*($A152-Ft!G$2)^2)+Ft!G$6*EXP(Ft!G$38*($A152-Ft!G$2)^2)),Ft!G$3*((1-Ft!G$7)/(1+Ft!G$39*($A152-Ft!G$2)^2)+Ft!G$7*EXP(Ft!G$40*($A152-Ft!G$2)^2)))</f>
        <v>47.237290377618692</v>
      </c>
      <c r="L152" s="3">
        <f>IF(($A152-Ft!H$2)&lt;0,Ft!H$3*((1-Ft!H$6)/(1+Ft!H$37*($A152-Ft!H$2)^2)+Ft!H$6*EXP(Ft!H$38*($A152-Ft!H$2)^2)),Ft!H$3*((1-Ft!H$7)/(1+Ft!H$39*($A152-Ft!H$2)^2)+Ft!H$7*EXP(Ft!H$40*($A152-Ft!H$2)^2)))</f>
        <v>0</v>
      </c>
      <c r="M152" s="3">
        <f>IF(($A152-Ft!I$2)&lt;0,Ft!I$3*((1-Ft!I$6)/(1+Ft!I$37*($A152-Ft!I$2)^2)+Ft!I$6*EXP(Ft!I$38*($A152-Ft!I$2)^2)),Ft!I$3*((1-Ft!I$7)/(1+Ft!I$39*($A152-Ft!I$2)^2)+Ft!I$7*EXP(Ft!I$40*($A152-Ft!I$2)^2)))</f>
        <v>0</v>
      </c>
      <c r="N152" s="3">
        <f>IF(($A152-Ft!J$2)&lt;0,Ft!J$3*((1-Ft!J$6)/(1+Ft!J$37*($A152-Ft!J$2)^2)+Ft!J$6*EXP(Ft!J$38*($A152-Ft!J$2)^2)),Ft!J$3*((1-Ft!J$7)/(1+Ft!J$39*($A152-Ft!J$2)^2)+Ft!J$7*EXP(Ft!J$40*($A152-Ft!J$2)^2)))</f>
        <v>0</v>
      </c>
      <c r="O152" s="3">
        <f>IF(($A152-Ft!K$2)&lt;0,Ft!K$3*((1-Ft!K$6)/(1+Ft!K$37*($A152-Ft!K$2)^2)+Ft!K$6*EXP(Ft!K$38*($A152-Ft!K$2)^2)),Ft!K$3*((1-Ft!K$7)/(1+Ft!K$39*($A152-Ft!K$2)^2)+Ft!K$7*EXP(Ft!K$40*($A152-Ft!K$2)^2)))</f>
        <v>0</v>
      </c>
      <c r="P152"/>
      <c r="Q152"/>
    </row>
    <row r="153" spans="1:17">
      <c r="A153" s="20">
        <v>303</v>
      </c>
      <c r="B153" s="29">
        <v>26.872013537092414</v>
      </c>
      <c r="C153" s="7">
        <f t="shared" si="5"/>
        <v>26.873685480535716</v>
      </c>
      <c r="D153" s="3">
        <f t="shared" si="4"/>
        <v>2.7953948776009706E-6</v>
      </c>
      <c r="E153" s="3">
        <f>Ft!$B$12+Ft!$B$14*(Data!A153-Vars!$B$3)</f>
        <v>-200</v>
      </c>
      <c r="F153" s="3">
        <f>IF(($A153-Ft!B$2)&lt;0,Ft!B$3*((1-Ft!B$6)/(1+Ft!B$37*($A153-Ft!B$2)^2)+Ft!B$6*EXP(Ft!B$38*($A153-Ft!B$2)^2)),Ft!B$3*((1-Ft!B$7)/(1+Ft!B$39*($A153-Ft!B$2)^2)+Ft!B$7*EXP(Ft!B$40*($A153-Ft!B$2)^2)))</f>
        <v>93.734161319505191</v>
      </c>
      <c r="G153" s="3">
        <f>IF(($A153-Ft!C$2)&lt;0,Ft!C$3*((1-Ft!C$6)/(1+Ft!C$37*($A153-Ft!C$2)^2)+Ft!C$6*EXP(Ft!C$38*($A153-Ft!C$2)^2)),Ft!C$3*((1-Ft!C$7)/(1+Ft!C$39*($A153-Ft!C$2)^2)+Ft!C$7*EXP(Ft!C$40*($A153-Ft!C$2)^2)))</f>
        <v>37.84759449803591</v>
      </c>
      <c r="H153" s="3">
        <f>IF(($A153-Ft!D$2)&lt;0,Ft!D$3*((1-Ft!D$6)/(1+Ft!D$37*($A153-Ft!D$2)^2)+Ft!D$6*EXP(Ft!D$38*($A153-Ft!D$2)^2)),Ft!D$3*((1-Ft!D$7)/(1+Ft!D$39*($A153-Ft!D$2)^2)+Ft!D$7*EXP(Ft!D$40*($A153-Ft!D$2)^2)))</f>
        <v>1.1835024790209278E-5</v>
      </c>
      <c r="I153" s="3">
        <f>IF(($A153-Ft!E$2)&lt;0,Ft!E$3*((1-Ft!E$6)/(1+Ft!E$37*($A153-Ft!E$2)^2)+Ft!E$6*EXP(Ft!E$38*($A153-Ft!E$2)^2)),Ft!E$3*((1-Ft!E$7)/(1+Ft!E$39*($A153-Ft!E$2)^2)+Ft!E$7*EXP(Ft!E$40*($A153-Ft!E$2)^2)))</f>
        <v>31.707873670419492</v>
      </c>
      <c r="J153" s="3">
        <f>IF(($A153-Ft!F$2)&lt;0,Ft!F$3*((1-Ft!F$6)/(1+Ft!F$37*($A153-Ft!F$2)^2)+Ft!F$6*EXP(Ft!F$38*($A153-Ft!F$2)^2)),Ft!F$3*((1-Ft!F$7)/(1+Ft!F$39*($A153-Ft!F$2)^2)+Ft!F$7*EXP(Ft!F$40*($A153-Ft!F$2)^2)))</f>
        <v>16.215055948175479</v>
      </c>
      <c r="K153" s="3">
        <f>IF(($A153-Ft!G$2)&lt;0,Ft!G$3*((1-Ft!G$6)/(1+Ft!G$37*($A153-Ft!G$2)^2)+Ft!G$6*EXP(Ft!G$38*($A153-Ft!G$2)^2)),Ft!G$3*((1-Ft!G$7)/(1+Ft!G$39*($A153-Ft!G$2)^2)+Ft!G$7*EXP(Ft!G$40*($A153-Ft!G$2)^2)))</f>
        <v>47.368988209374848</v>
      </c>
      <c r="L153" s="3">
        <f>IF(($A153-Ft!H$2)&lt;0,Ft!H$3*((1-Ft!H$6)/(1+Ft!H$37*($A153-Ft!H$2)^2)+Ft!H$6*EXP(Ft!H$38*($A153-Ft!H$2)^2)),Ft!H$3*((1-Ft!H$7)/(1+Ft!H$39*($A153-Ft!H$2)^2)+Ft!H$7*EXP(Ft!H$40*($A153-Ft!H$2)^2)))</f>
        <v>0</v>
      </c>
      <c r="M153" s="3">
        <f>IF(($A153-Ft!I$2)&lt;0,Ft!I$3*((1-Ft!I$6)/(1+Ft!I$37*($A153-Ft!I$2)^2)+Ft!I$6*EXP(Ft!I$38*($A153-Ft!I$2)^2)),Ft!I$3*((1-Ft!I$7)/(1+Ft!I$39*($A153-Ft!I$2)^2)+Ft!I$7*EXP(Ft!I$40*($A153-Ft!I$2)^2)))</f>
        <v>0</v>
      </c>
      <c r="N153" s="3">
        <f>IF(($A153-Ft!J$2)&lt;0,Ft!J$3*((1-Ft!J$6)/(1+Ft!J$37*($A153-Ft!J$2)^2)+Ft!J$6*EXP(Ft!J$38*($A153-Ft!J$2)^2)),Ft!J$3*((1-Ft!J$7)/(1+Ft!J$39*($A153-Ft!J$2)^2)+Ft!J$7*EXP(Ft!J$40*($A153-Ft!J$2)^2)))</f>
        <v>0</v>
      </c>
      <c r="O153" s="3">
        <f>IF(($A153-Ft!K$2)&lt;0,Ft!K$3*((1-Ft!K$6)/(1+Ft!K$37*($A153-Ft!K$2)^2)+Ft!K$6*EXP(Ft!K$38*($A153-Ft!K$2)^2)),Ft!K$3*((1-Ft!K$7)/(1+Ft!K$39*($A153-Ft!K$2)^2)+Ft!K$7*EXP(Ft!K$40*($A153-Ft!K$2)^2)))</f>
        <v>0</v>
      </c>
      <c r="P153"/>
      <c r="Q153"/>
    </row>
    <row r="154" spans="1:17">
      <c r="A154" s="20">
        <v>305</v>
      </c>
      <c r="B154" s="29">
        <v>27.167547789366864</v>
      </c>
      <c r="C154" s="7">
        <f t="shared" si="5"/>
        <v>27.141166154365244</v>
      </c>
      <c r="D154" s="3">
        <f t="shared" si="4"/>
        <v>6.9599066535869832E-4</v>
      </c>
      <c r="E154" s="3">
        <f>Ft!$B$12+Ft!$B$14*(Data!A154-Vars!$B$3)</f>
        <v>-200</v>
      </c>
      <c r="F154" s="3">
        <f>IF(($A154-Ft!B$2)&lt;0,Ft!B$3*((1-Ft!B$6)/(1+Ft!B$37*($A154-Ft!B$2)^2)+Ft!B$6*EXP(Ft!B$38*($A154-Ft!B$2)^2)),Ft!B$3*((1-Ft!B$7)/(1+Ft!B$39*($A154-Ft!B$2)^2)+Ft!B$7*EXP(Ft!B$40*($A154-Ft!B$2)^2)))</f>
        <v>93.265004202664642</v>
      </c>
      <c r="G154" s="3">
        <f>IF(($A154-Ft!C$2)&lt;0,Ft!C$3*((1-Ft!C$6)/(1+Ft!C$37*($A154-Ft!C$2)^2)+Ft!C$6*EXP(Ft!C$38*($A154-Ft!C$2)^2)),Ft!C$3*((1-Ft!C$7)/(1+Ft!C$39*($A154-Ft!C$2)^2)+Ft!C$7*EXP(Ft!C$40*($A154-Ft!C$2)^2)))</f>
        <v>37.947742746151114</v>
      </c>
      <c r="H154" s="3">
        <f>IF(($A154-Ft!D$2)&lt;0,Ft!D$3*((1-Ft!D$6)/(1+Ft!D$37*($A154-Ft!D$2)^2)+Ft!D$6*EXP(Ft!D$38*($A154-Ft!D$2)^2)),Ft!D$3*((1-Ft!D$7)/(1+Ft!D$39*($A154-Ft!D$2)^2)+Ft!D$7*EXP(Ft!D$40*($A154-Ft!D$2)^2)))</f>
        <v>1.6969016455397666E-5</v>
      </c>
      <c r="I154" s="3">
        <f>IF(($A154-Ft!E$2)&lt;0,Ft!E$3*((1-Ft!E$6)/(1+Ft!E$37*($A154-Ft!E$2)^2)+Ft!E$6*EXP(Ft!E$38*($A154-Ft!E$2)^2)),Ft!E$3*((1-Ft!E$7)/(1+Ft!E$39*($A154-Ft!E$2)^2)+Ft!E$7*EXP(Ft!E$40*($A154-Ft!E$2)^2)))</f>
        <v>32.092455003313425</v>
      </c>
      <c r="J154" s="3">
        <f>IF(($A154-Ft!F$2)&lt;0,Ft!F$3*((1-Ft!F$6)/(1+Ft!F$37*($A154-Ft!F$2)^2)+Ft!F$6*EXP(Ft!F$38*($A154-Ft!F$2)^2)),Ft!F$3*((1-Ft!F$7)/(1+Ft!F$39*($A154-Ft!F$2)^2)+Ft!F$7*EXP(Ft!F$40*($A154-Ft!F$2)^2)))</f>
        <v>16.339824307442946</v>
      </c>
      <c r="K154" s="3">
        <f>IF(($A154-Ft!G$2)&lt;0,Ft!G$3*((1-Ft!G$6)/(1+Ft!G$37*($A154-Ft!G$2)^2)+Ft!G$6*EXP(Ft!G$38*($A154-Ft!G$2)^2)),Ft!G$3*((1-Ft!G$7)/(1+Ft!G$39*($A154-Ft!G$2)^2)+Ft!G$7*EXP(Ft!G$40*($A154-Ft!G$2)^2)))</f>
        <v>47.496122925776668</v>
      </c>
      <c r="L154" s="3">
        <f>IF(($A154-Ft!H$2)&lt;0,Ft!H$3*((1-Ft!H$6)/(1+Ft!H$37*($A154-Ft!H$2)^2)+Ft!H$6*EXP(Ft!H$38*($A154-Ft!H$2)^2)),Ft!H$3*((1-Ft!H$7)/(1+Ft!H$39*($A154-Ft!H$2)^2)+Ft!H$7*EXP(Ft!H$40*($A154-Ft!H$2)^2)))</f>
        <v>0</v>
      </c>
      <c r="M154" s="3">
        <f>IF(($A154-Ft!I$2)&lt;0,Ft!I$3*((1-Ft!I$6)/(1+Ft!I$37*($A154-Ft!I$2)^2)+Ft!I$6*EXP(Ft!I$38*($A154-Ft!I$2)^2)),Ft!I$3*((1-Ft!I$7)/(1+Ft!I$39*($A154-Ft!I$2)^2)+Ft!I$7*EXP(Ft!I$40*($A154-Ft!I$2)^2)))</f>
        <v>0</v>
      </c>
      <c r="N154" s="3">
        <f>IF(($A154-Ft!J$2)&lt;0,Ft!J$3*((1-Ft!J$6)/(1+Ft!J$37*($A154-Ft!J$2)^2)+Ft!J$6*EXP(Ft!J$38*($A154-Ft!J$2)^2)),Ft!J$3*((1-Ft!J$7)/(1+Ft!J$39*($A154-Ft!J$2)^2)+Ft!J$7*EXP(Ft!J$40*($A154-Ft!J$2)^2)))</f>
        <v>0</v>
      </c>
      <c r="O154" s="3">
        <f>IF(($A154-Ft!K$2)&lt;0,Ft!K$3*((1-Ft!K$6)/(1+Ft!K$37*($A154-Ft!K$2)^2)+Ft!K$6*EXP(Ft!K$38*($A154-Ft!K$2)^2)),Ft!K$3*((1-Ft!K$7)/(1+Ft!K$39*($A154-Ft!K$2)^2)+Ft!K$7*EXP(Ft!K$40*($A154-Ft!K$2)^2)))</f>
        <v>0</v>
      </c>
      <c r="P154"/>
      <c r="Q154"/>
    </row>
    <row r="155" spans="1:17">
      <c r="A155" s="20">
        <v>307</v>
      </c>
      <c r="B155" s="29">
        <v>27.462284592816786</v>
      </c>
      <c r="C155" s="7">
        <f t="shared" si="5"/>
        <v>27.408077422061865</v>
      </c>
      <c r="D155" s="3">
        <f t="shared" si="4"/>
        <v>2.9384173612531849E-3</v>
      </c>
      <c r="E155" s="3">
        <f>Ft!$B$12+Ft!$B$14*(Data!A155-Vars!$B$3)</f>
        <v>-200</v>
      </c>
      <c r="F155" s="3">
        <f>IF(($A155-Ft!B$2)&lt;0,Ft!B$3*((1-Ft!B$6)/(1+Ft!B$37*($A155-Ft!B$2)^2)+Ft!B$6*EXP(Ft!B$38*($A155-Ft!B$2)^2)),Ft!B$3*((1-Ft!B$7)/(1+Ft!B$39*($A155-Ft!B$2)^2)+Ft!B$7*EXP(Ft!B$40*($A155-Ft!B$2)^2)))</f>
        <v>92.796424106938346</v>
      </c>
      <c r="G155" s="3">
        <f>IF(($A155-Ft!C$2)&lt;0,Ft!C$3*((1-Ft!C$6)/(1+Ft!C$37*($A155-Ft!C$2)^2)+Ft!C$6*EXP(Ft!C$38*($A155-Ft!C$2)^2)),Ft!C$3*((1-Ft!C$7)/(1+Ft!C$39*($A155-Ft!C$2)^2)+Ft!C$7*EXP(Ft!C$40*($A155-Ft!C$2)^2)))</f>
        <v>38.047819812426582</v>
      </c>
      <c r="H155" s="3">
        <f>IF(($A155-Ft!D$2)&lt;0,Ft!D$3*((1-Ft!D$6)/(1+Ft!D$37*($A155-Ft!D$2)^2)+Ft!D$6*EXP(Ft!D$38*($A155-Ft!D$2)^2)),Ft!D$3*((1-Ft!D$7)/(1+Ft!D$39*($A155-Ft!D$2)^2)+Ft!D$7*EXP(Ft!D$40*($A155-Ft!D$2)^2)))</f>
        <v>2.4196260791128483E-5</v>
      </c>
      <c r="I155" s="3">
        <f>IF(($A155-Ft!E$2)&lt;0,Ft!E$3*((1-Ft!E$6)/(1+Ft!E$37*($A155-Ft!E$2)^2)+Ft!E$6*EXP(Ft!E$38*($A155-Ft!E$2)^2)),Ft!E$3*((1-Ft!E$7)/(1+Ft!E$39*($A155-Ft!E$2)^2)+Ft!E$7*EXP(Ft!E$40*($A155-Ft!E$2)^2)))</f>
        <v>32.47981760125105</v>
      </c>
      <c r="J155" s="3">
        <f>IF(($A155-Ft!F$2)&lt;0,Ft!F$3*((1-Ft!F$6)/(1+Ft!F$37*($A155-Ft!F$2)^2)+Ft!F$6*EXP(Ft!F$38*($A155-Ft!F$2)^2)),Ft!F$3*((1-Ft!F$7)/(1+Ft!F$39*($A155-Ft!F$2)^2)+Ft!F$7*EXP(Ft!F$40*($A155-Ft!F$2)^2)))</f>
        <v>16.465335852283395</v>
      </c>
      <c r="K155" s="3">
        <f>IF(($A155-Ft!G$2)&lt;0,Ft!G$3*((1-Ft!G$6)/(1+Ft!G$37*($A155-Ft!G$2)^2)+Ft!G$6*EXP(Ft!G$38*($A155-Ft!G$2)^2)),Ft!G$3*((1-Ft!G$7)/(1+Ft!G$39*($A155-Ft!G$2)^2)+Ft!G$7*EXP(Ft!G$40*($A155-Ft!G$2)^2)))</f>
        <v>47.618655852901696</v>
      </c>
      <c r="L155" s="3">
        <f>IF(($A155-Ft!H$2)&lt;0,Ft!H$3*((1-Ft!H$6)/(1+Ft!H$37*($A155-Ft!H$2)^2)+Ft!H$6*EXP(Ft!H$38*($A155-Ft!H$2)^2)),Ft!H$3*((1-Ft!H$7)/(1+Ft!H$39*($A155-Ft!H$2)^2)+Ft!H$7*EXP(Ft!H$40*($A155-Ft!H$2)^2)))</f>
        <v>0</v>
      </c>
      <c r="M155" s="3">
        <f>IF(($A155-Ft!I$2)&lt;0,Ft!I$3*((1-Ft!I$6)/(1+Ft!I$37*($A155-Ft!I$2)^2)+Ft!I$6*EXP(Ft!I$38*($A155-Ft!I$2)^2)),Ft!I$3*((1-Ft!I$7)/(1+Ft!I$39*($A155-Ft!I$2)^2)+Ft!I$7*EXP(Ft!I$40*($A155-Ft!I$2)^2)))</f>
        <v>0</v>
      </c>
      <c r="N155" s="3">
        <f>IF(($A155-Ft!J$2)&lt;0,Ft!J$3*((1-Ft!J$6)/(1+Ft!J$37*($A155-Ft!J$2)^2)+Ft!J$6*EXP(Ft!J$38*($A155-Ft!J$2)^2)),Ft!J$3*((1-Ft!J$7)/(1+Ft!J$39*($A155-Ft!J$2)^2)+Ft!J$7*EXP(Ft!J$40*($A155-Ft!J$2)^2)))</f>
        <v>0</v>
      </c>
      <c r="O155" s="3">
        <f>IF(($A155-Ft!K$2)&lt;0,Ft!K$3*((1-Ft!K$6)/(1+Ft!K$37*($A155-Ft!K$2)^2)+Ft!K$6*EXP(Ft!K$38*($A155-Ft!K$2)^2)),Ft!K$3*((1-Ft!K$7)/(1+Ft!K$39*($A155-Ft!K$2)^2)+Ft!K$7*EXP(Ft!K$40*($A155-Ft!K$2)^2)))</f>
        <v>0</v>
      </c>
      <c r="P155"/>
      <c r="Q155"/>
    </row>
    <row r="156" spans="1:17">
      <c r="A156" s="20">
        <v>309</v>
      </c>
      <c r="B156" s="29">
        <v>27.75593889716464</v>
      </c>
      <c r="C156" s="7">
        <f t="shared" si="5"/>
        <v>27.674386493288949</v>
      </c>
      <c r="D156" s="3">
        <f t="shared" si="4"/>
        <v>6.6507945779037412E-3</v>
      </c>
      <c r="E156" s="3">
        <f>Ft!$B$12+Ft!$B$14*(Data!A156-Vars!$B$3)</f>
        <v>-200</v>
      </c>
      <c r="F156" s="3">
        <f>IF(($A156-Ft!B$2)&lt;0,Ft!B$3*((1-Ft!B$6)/(1+Ft!B$37*($A156-Ft!B$2)^2)+Ft!B$6*EXP(Ft!B$38*($A156-Ft!B$2)^2)),Ft!B$3*((1-Ft!B$7)/(1+Ft!B$39*($A156-Ft!B$2)^2)+Ft!B$7*EXP(Ft!B$40*($A156-Ft!B$2)^2)))</f>
        <v>92.328435975501122</v>
      </c>
      <c r="G156" s="3">
        <f>IF(($A156-Ft!C$2)&lt;0,Ft!C$3*((1-Ft!C$6)/(1+Ft!C$37*($A156-Ft!C$2)^2)+Ft!C$6*EXP(Ft!C$38*($A156-Ft!C$2)^2)),Ft!C$3*((1-Ft!C$7)/(1+Ft!C$39*($A156-Ft!C$2)^2)+Ft!C$7*EXP(Ft!C$40*($A156-Ft!C$2)^2)))</f>
        <v>38.147823738298428</v>
      </c>
      <c r="H156" s="3">
        <f>IF(($A156-Ft!D$2)&lt;0,Ft!D$3*((1-Ft!D$6)/(1+Ft!D$37*($A156-Ft!D$2)^2)+Ft!D$6*EXP(Ft!D$38*($A156-Ft!D$2)^2)),Ft!D$3*((1-Ft!D$7)/(1+Ft!D$39*($A156-Ft!D$2)^2)+Ft!D$7*EXP(Ft!D$40*($A156-Ft!D$2)^2)))</f>
        <v>3.431183381418073E-5</v>
      </c>
      <c r="I156" s="3">
        <f>IF(($A156-Ft!E$2)&lt;0,Ft!E$3*((1-Ft!E$6)/(1+Ft!E$37*($A156-Ft!E$2)^2)+Ft!E$6*EXP(Ft!E$38*($A156-Ft!E$2)^2)),Ft!E$3*((1-Ft!E$7)/(1+Ft!E$39*($A156-Ft!E$2)^2)+Ft!E$7*EXP(Ft!E$40*($A156-Ft!E$2)^2)))</f>
        <v>32.869949845242964</v>
      </c>
      <c r="J156" s="3">
        <f>IF(($A156-Ft!F$2)&lt;0,Ft!F$3*((1-Ft!F$6)/(1+Ft!F$37*($A156-Ft!F$2)^2)+Ft!F$6*EXP(Ft!F$38*($A156-Ft!F$2)^2)),Ft!F$3*((1-Ft!F$7)/(1+Ft!F$39*($A156-Ft!F$2)^2)+Ft!F$7*EXP(Ft!F$40*($A156-Ft!F$2)^2)))</f>
        <v>16.591592972591243</v>
      </c>
      <c r="K156" s="3">
        <f>IF(($A156-Ft!G$2)&lt;0,Ft!G$3*((1-Ft!G$6)/(1+Ft!G$37*($A156-Ft!G$2)^2)+Ft!G$6*EXP(Ft!G$38*($A156-Ft!G$2)^2)),Ft!G$3*((1-Ft!G$7)/(1+Ft!G$39*($A156-Ft!G$2)^2)+Ft!G$7*EXP(Ft!G$40*($A156-Ft!G$2)^2)))</f>
        <v>47.736549649821377</v>
      </c>
      <c r="L156" s="3">
        <f>IF(($A156-Ft!H$2)&lt;0,Ft!H$3*((1-Ft!H$6)/(1+Ft!H$37*($A156-Ft!H$2)^2)+Ft!H$6*EXP(Ft!H$38*($A156-Ft!H$2)^2)),Ft!H$3*((1-Ft!H$7)/(1+Ft!H$39*($A156-Ft!H$2)^2)+Ft!H$7*EXP(Ft!H$40*($A156-Ft!H$2)^2)))</f>
        <v>0</v>
      </c>
      <c r="M156" s="3">
        <f>IF(($A156-Ft!I$2)&lt;0,Ft!I$3*((1-Ft!I$6)/(1+Ft!I$37*($A156-Ft!I$2)^2)+Ft!I$6*EXP(Ft!I$38*($A156-Ft!I$2)^2)),Ft!I$3*((1-Ft!I$7)/(1+Ft!I$39*($A156-Ft!I$2)^2)+Ft!I$7*EXP(Ft!I$40*($A156-Ft!I$2)^2)))</f>
        <v>0</v>
      </c>
      <c r="N156" s="3">
        <f>IF(($A156-Ft!J$2)&lt;0,Ft!J$3*((1-Ft!J$6)/(1+Ft!J$37*($A156-Ft!J$2)^2)+Ft!J$6*EXP(Ft!J$38*($A156-Ft!J$2)^2)),Ft!J$3*((1-Ft!J$7)/(1+Ft!J$39*($A156-Ft!J$2)^2)+Ft!J$7*EXP(Ft!J$40*($A156-Ft!J$2)^2)))</f>
        <v>0</v>
      </c>
      <c r="O156" s="3">
        <f>IF(($A156-Ft!K$2)&lt;0,Ft!K$3*((1-Ft!K$6)/(1+Ft!K$37*($A156-Ft!K$2)^2)+Ft!K$6*EXP(Ft!K$38*($A156-Ft!K$2)^2)),Ft!K$3*((1-Ft!K$7)/(1+Ft!K$39*($A156-Ft!K$2)^2)+Ft!K$7*EXP(Ft!K$40*($A156-Ft!K$2)^2)))</f>
        <v>0</v>
      </c>
      <c r="P156"/>
      <c r="Q156"/>
    </row>
    <row r="157" spans="1:17">
      <c r="A157" s="20">
        <v>311</v>
      </c>
      <c r="B157" s="29">
        <v>28.048226573916224</v>
      </c>
      <c r="C157" s="7">
        <f t="shared" si="5"/>
        <v>27.940061459507589</v>
      </c>
      <c r="D157" s="3">
        <f t="shared" si="4"/>
        <v>1.1699691975033115E-2</v>
      </c>
      <c r="E157" s="3">
        <f>Ft!$B$12+Ft!$B$14*(Data!A157-Vars!$B$3)</f>
        <v>-200</v>
      </c>
      <c r="F157" s="3">
        <f>IF(($A157-Ft!B$2)&lt;0,Ft!B$3*((1-Ft!B$6)/(1+Ft!B$37*($A157-Ft!B$2)^2)+Ft!B$6*EXP(Ft!B$38*($A157-Ft!B$2)^2)),Ft!B$3*((1-Ft!B$7)/(1+Ft!B$39*($A157-Ft!B$2)^2)+Ft!B$7*EXP(Ft!B$40*($A157-Ft!B$2)^2)))</f>
        <v>91.861054642498758</v>
      </c>
      <c r="G157" s="3">
        <f>IF(($A157-Ft!C$2)&lt;0,Ft!C$3*((1-Ft!C$6)/(1+Ft!C$37*($A157-Ft!C$2)^2)+Ft!C$6*EXP(Ft!C$38*($A157-Ft!C$2)^2)),Ft!C$3*((1-Ft!C$7)/(1+Ft!C$39*($A157-Ft!C$2)^2)+Ft!C$7*EXP(Ft!C$40*($A157-Ft!C$2)^2)))</f>
        <v>38.247752561987546</v>
      </c>
      <c r="H157" s="3">
        <f>IF(($A157-Ft!D$2)&lt;0,Ft!D$3*((1-Ft!D$6)/(1+Ft!D$37*($A157-Ft!D$2)^2)+Ft!D$6*EXP(Ft!D$38*($A157-Ft!D$2)^2)),Ft!D$3*((1-Ft!D$7)/(1+Ft!D$39*($A157-Ft!D$2)^2)+Ft!D$7*EXP(Ft!D$40*($A157-Ft!D$2)^2)))</f>
        <v>4.8388670504172175E-5</v>
      </c>
      <c r="I157" s="3">
        <f>IF(($A157-Ft!E$2)&lt;0,Ft!E$3*((1-Ft!E$6)/(1+Ft!E$37*($A157-Ft!E$2)^2)+Ft!E$6*EXP(Ft!E$38*($A157-Ft!E$2)^2)),Ft!E$3*((1-Ft!E$7)/(1+Ft!E$39*($A157-Ft!E$2)^2)+Ft!E$7*EXP(Ft!E$40*($A157-Ft!E$2)^2)))</f>
        <v>33.262839491757077</v>
      </c>
      <c r="J157" s="3">
        <f>IF(($A157-Ft!F$2)&lt;0,Ft!F$3*((1-Ft!F$6)/(1+Ft!F$37*($A157-Ft!F$2)^2)+Ft!F$6*EXP(Ft!F$38*($A157-Ft!F$2)^2)),Ft!F$3*((1-Ft!F$7)/(1+Ft!F$39*($A157-Ft!F$2)^2)+Ft!F$7*EXP(Ft!F$40*($A157-Ft!F$2)^2)))</f>
        <v>16.718598047031271</v>
      </c>
      <c r="K157" s="3">
        <f>IF(($A157-Ft!G$2)&lt;0,Ft!G$3*((1-Ft!G$6)/(1+Ft!G$37*($A157-Ft!G$2)^2)+Ft!G$6*EXP(Ft!G$38*($A157-Ft!G$2)^2)),Ft!G$3*((1-Ft!G$7)/(1+Ft!G$39*($A157-Ft!G$2)^2)+Ft!G$7*EXP(Ft!G$40*($A157-Ft!G$2)^2)))</f>
        <v>47.849768327562423</v>
      </c>
      <c r="L157" s="3">
        <f>IF(($A157-Ft!H$2)&lt;0,Ft!H$3*((1-Ft!H$6)/(1+Ft!H$37*($A157-Ft!H$2)^2)+Ft!H$6*EXP(Ft!H$38*($A157-Ft!H$2)^2)),Ft!H$3*((1-Ft!H$7)/(1+Ft!H$39*($A157-Ft!H$2)^2)+Ft!H$7*EXP(Ft!H$40*($A157-Ft!H$2)^2)))</f>
        <v>0</v>
      </c>
      <c r="M157" s="3">
        <f>IF(($A157-Ft!I$2)&lt;0,Ft!I$3*((1-Ft!I$6)/(1+Ft!I$37*($A157-Ft!I$2)^2)+Ft!I$6*EXP(Ft!I$38*($A157-Ft!I$2)^2)),Ft!I$3*((1-Ft!I$7)/(1+Ft!I$39*($A157-Ft!I$2)^2)+Ft!I$7*EXP(Ft!I$40*($A157-Ft!I$2)^2)))</f>
        <v>0</v>
      </c>
      <c r="N157" s="3">
        <f>IF(($A157-Ft!J$2)&lt;0,Ft!J$3*((1-Ft!J$6)/(1+Ft!J$37*($A157-Ft!J$2)^2)+Ft!J$6*EXP(Ft!J$38*($A157-Ft!J$2)^2)),Ft!J$3*((1-Ft!J$7)/(1+Ft!J$39*($A157-Ft!J$2)^2)+Ft!J$7*EXP(Ft!J$40*($A157-Ft!J$2)^2)))</f>
        <v>0</v>
      </c>
      <c r="O157" s="3">
        <f>IF(($A157-Ft!K$2)&lt;0,Ft!K$3*((1-Ft!K$6)/(1+Ft!K$37*($A157-Ft!K$2)^2)+Ft!K$6*EXP(Ft!K$38*($A157-Ft!K$2)^2)),Ft!K$3*((1-Ft!K$7)/(1+Ft!K$39*($A157-Ft!K$2)^2)+Ft!K$7*EXP(Ft!K$40*($A157-Ft!K$2)^2)))</f>
        <v>0</v>
      </c>
      <c r="P157"/>
      <c r="Q157"/>
    </row>
    <row r="158" spans="1:17">
      <c r="A158" s="20">
        <v>313</v>
      </c>
      <c r="B158" s="29">
        <v>28.33886775883893</v>
      </c>
      <c r="C158" s="7">
        <f t="shared" si="5"/>
        <v>28.205071394605664</v>
      </c>
      <c r="D158" s="3">
        <f t="shared" si="4"/>
        <v>1.7901467082040785E-2</v>
      </c>
      <c r="E158" s="3">
        <f>Ft!$B$12+Ft!$B$14*(Data!A158-Vars!$B$3)</f>
        <v>-200</v>
      </c>
      <c r="F158" s="3">
        <f>IF(($A158-Ft!B$2)&lt;0,Ft!B$3*((1-Ft!B$6)/(1+Ft!B$37*($A158-Ft!B$2)^2)+Ft!B$6*EXP(Ft!B$38*($A158-Ft!B$2)^2)),Ft!B$3*((1-Ft!B$7)/(1+Ft!B$39*($A158-Ft!B$2)^2)+Ft!B$7*EXP(Ft!B$40*($A158-Ft!B$2)^2)))</f>
        <v>91.394294832468319</v>
      </c>
      <c r="G158" s="3">
        <f>IF(($A158-Ft!C$2)&lt;0,Ft!C$3*((1-Ft!C$6)/(1+Ft!C$37*($A158-Ft!C$2)^2)+Ft!C$6*EXP(Ft!C$38*($A158-Ft!C$2)^2)),Ft!C$3*((1-Ft!C$7)/(1+Ft!C$39*($A158-Ft!C$2)^2)+Ft!C$7*EXP(Ft!C$40*($A158-Ft!C$2)^2)))</f>
        <v>38.347604318560634</v>
      </c>
      <c r="H158" s="3">
        <f>IF(($A158-Ft!D$2)&lt;0,Ft!D$3*((1-Ft!D$6)/(1+Ft!D$37*($A158-Ft!D$2)^2)+Ft!D$6*EXP(Ft!D$38*($A158-Ft!D$2)^2)),Ft!D$3*((1-Ft!D$7)/(1+Ft!D$39*($A158-Ft!D$2)^2)+Ft!D$7*EXP(Ft!D$40*($A158-Ft!D$2)^2)))</f>
        <v>6.7865263093397547E-5</v>
      </c>
      <c r="I158" s="3">
        <f>IF(($A158-Ft!E$2)&lt;0,Ft!E$3*((1-Ft!E$6)/(1+Ft!E$37*($A158-Ft!E$2)^2)+Ft!E$6*EXP(Ft!E$38*($A158-Ft!E$2)^2)),Ft!E$3*((1-Ft!E$7)/(1+Ft!E$39*($A158-Ft!E$2)^2)+Ft!E$7*EXP(Ft!E$40*($A158-Ft!E$2)^2)))</f>
        <v>33.65847366807342</v>
      </c>
      <c r="J158" s="3">
        <f>IF(($A158-Ft!F$2)&lt;0,Ft!F$3*((1-Ft!F$6)/(1+Ft!F$37*($A158-Ft!F$2)^2)+Ft!F$6*EXP(Ft!F$38*($A158-Ft!F$2)^2)),Ft!F$3*((1-Ft!F$7)/(1+Ft!F$39*($A158-Ft!F$2)^2)+Ft!F$7*EXP(Ft!F$40*($A158-Ft!F$2)^2)))</f>
        <v>16.846353442826643</v>
      </c>
      <c r="K158" s="3">
        <f>IF(($A158-Ft!G$2)&lt;0,Ft!G$3*((1-Ft!G$6)/(1+Ft!G$37*($A158-Ft!G$2)^2)+Ft!G$6*EXP(Ft!G$38*($A158-Ft!G$2)^2)),Ft!G$3*((1-Ft!G$7)/(1+Ft!G$39*($A158-Ft!G$2)^2)+Ft!G$7*EXP(Ft!G$40*($A158-Ft!G$2)^2)))</f>
        <v>47.958277267413564</v>
      </c>
      <c r="L158" s="3">
        <f>IF(($A158-Ft!H$2)&lt;0,Ft!H$3*((1-Ft!H$6)/(1+Ft!H$37*($A158-Ft!H$2)^2)+Ft!H$6*EXP(Ft!H$38*($A158-Ft!H$2)^2)),Ft!H$3*((1-Ft!H$7)/(1+Ft!H$39*($A158-Ft!H$2)^2)+Ft!H$7*EXP(Ft!H$40*($A158-Ft!H$2)^2)))</f>
        <v>0</v>
      </c>
      <c r="M158" s="3">
        <f>IF(($A158-Ft!I$2)&lt;0,Ft!I$3*((1-Ft!I$6)/(1+Ft!I$37*($A158-Ft!I$2)^2)+Ft!I$6*EXP(Ft!I$38*($A158-Ft!I$2)^2)),Ft!I$3*((1-Ft!I$7)/(1+Ft!I$39*($A158-Ft!I$2)^2)+Ft!I$7*EXP(Ft!I$40*($A158-Ft!I$2)^2)))</f>
        <v>0</v>
      </c>
      <c r="N158" s="3">
        <f>IF(($A158-Ft!J$2)&lt;0,Ft!J$3*((1-Ft!J$6)/(1+Ft!J$37*($A158-Ft!J$2)^2)+Ft!J$6*EXP(Ft!J$38*($A158-Ft!J$2)^2)),Ft!J$3*((1-Ft!J$7)/(1+Ft!J$39*($A158-Ft!J$2)^2)+Ft!J$7*EXP(Ft!J$40*($A158-Ft!J$2)^2)))</f>
        <v>0</v>
      </c>
      <c r="O158" s="3">
        <f>IF(($A158-Ft!K$2)&lt;0,Ft!K$3*((1-Ft!K$6)/(1+Ft!K$37*($A158-Ft!K$2)^2)+Ft!K$6*EXP(Ft!K$38*($A158-Ft!K$2)^2)),Ft!K$3*((1-Ft!K$7)/(1+Ft!K$39*($A158-Ft!K$2)^2)+Ft!K$7*EXP(Ft!K$40*($A158-Ft!K$2)^2)))</f>
        <v>0</v>
      </c>
      <c r="P158"/>
      <c r="Q158"/>
    </row>
    <row r="159" spans="1:17">
      <c r="A159" s="20">
        <v>315</v>
      </c>
      <c r="B159" s="29">
        <v>28.627590343657758</v>
      </c>
      <c r="C159" s="7">
        <f t="shared" si="5"/>
        <v>28.469386479237112</v>
      </c>
      <c r="D159" s="3">
        <f t="shared" si="4"/>
        <v>2.5028462717626015E-2</v>
      </c>
      <c r="E159" s="3">
        <f>Ft!$B$12+Ft!$B$14*(Data!A159-Vars!$B$3)</f>
        <v>-200</v>
      </c>
      <c r="F159" s="3">
        <f>IF(($A159-Ft!B$2)&lt;0,Ft!B$3*((1-Ft!B$6)/(1+Ft!B$37*($A159-Ft!B$2)^2)+Ft!B$6*EXP(Ft!B$38*($A159-Ft!B$2)^2)),Ft!B$3*((1-Ft!B$7)/(1+Ft!B$39*($A159-Ft!B$2)^2)+Ft!B$7*EXP(Ft!B$40*($A159-Ft!B$2)^2)))</f>
        <v>90.928171159771594</v>
      </c>
      <c r="G159" s="3">
        <f>IF(($A159-Ft!C$2)&lt;0,Ft!C$3*((1-Ft!C$6)/(1+Ft!C$37*($A159-Ft!C$2)^2)+Ft!C$6*EXP(Ft!C$38*($A159-Ft!C$2)^2)),Ft!C$3*((1-Ft!C$7)/(1+Ft!C$39*($A159-Ft!C$2)^2)+Ft!C$7*EXP(Ft!C$40*($A159-Ft!C$2)^2)))</f>
        <v>38.447377039991402</v>
      </c>
      <c r="H159" s="3">
        <f>IF(($A159-Ft!D$2)&lt;0,Ft!D$3*((1-Ft!D$6)/(1+Ft!D$37*($A159-Ft!D$2)^2)+Ft!D$6*EXP(Ft!D$38*($A159-Ft!D$2)^2)),Ft!D$3*((1-Ft!D$7)/(1+Ft!D$39*($A159-Ft!D$2)^2)+Ft!D$7*EXP(Ft!D$40*($A159-Ft!D$2)^2)))</f>
        <v>9.4657596162757871E-5</v>
      </c>
      <c r="I159" s="3">
        <f>IF(($A159-Ft!E$2)&lt;0,Ft!E$3*((1-Ft!E$6)/(1+Ft!E$37*($A159-Ft!E$2)^2)+Ft!E$6*EXP(Ft!E$38*($A159-Ft!E$2)^2)),Ft!E$3*((1-Ft!E$7)/(1+Ft!E$39*($A159-Ft!E$2)^2)+Ft!E$7*EXP(Ft!E$40*($A159-Ft!E$2)^2)))</f>
        <v>34.056838867766963</v>
      </c>
      <c r="J159" s="3">
        <f>IF(($A159-Ft!F$2)&lt;0,Ft!F$3*((1-Ft!F$6)/(1+Ft!F$37*($A159-Ft!F$2)^2)+Ft!F$6*EXP(Ft!F$38*($A159-Ft!F$2)^2)),Ft!F$3*((1-Ft!F$7)/(1+Ft!F$39*($A159-Ft!F$2)^2)+Ft!F$7*EXP(Ft!F$40*($A159-Ft!F$2)^2)))</f>
        <v>16.974861515546198</v>
      </c>
      <c r="K159" s="3">
        <f>IF(($A159-Ft!G$2)&lt;0,Ft!G$3*((1-Ft!G$6)/(1+Ft!G$37*($A159-Ft!G$2)^2)+Ft!G$6*EXP(Ft!G$38*($A159-Ft!G$2)^2)),Ft!G$3*((1-Ft!G$7)/(1+Ft!G$39*($A159-Ft!G$2)^2)+Ft!G$7*EXP(Ft!G$40*($A159-Ft!G$2)^2)))</f>
        <v>48.062043238564797</v>
      </c>
      <c r="L159" s="3">
        <f>IF(($A159-Ft!H$2)&lt;0,Ft!H$3*((1-Ft!H$6)/(1+Ft!H$37*($A159-Ft!H$2)^2)+Ft!H$6*EXP(Ft!H$38*($A159-Ft!H$2)^2)),Ft!H$3*((1-Ft!H$7)/(1+Ft!H$39*($A159-Ft!H$2)^2)+Ft!H$7*EXP(Ft!H$40*($A159-Ft!H$2)^2)))</f>
        <v>0</v>
      </c>
      <c r="M159" s="3">
        <f>IF(($A159-Ft!I$2)&lt;0,Ft!I$3*((1-Ft!I$6)/(1+Ft!I$37*($A159-Ft!I$2)^2)+Ft!I$6*EXP(Ft!I$38*($A159-Ft!I$2)^2)),Ft!I$3*((1-Ft!I$7)/(1+Ft!I$39*($A159-Ft!I$2)^2)+Ft!I$7*EXP(Ft!I$40*($A159-Ft!I$2)^2)))</f>
        <v>0</v>
      </c>
      <c r="N159" s="3">
        <f>IF(($A159-Ft!J$2)&lt;0,Ft!J$3*((1-Ft!J$6)/(1+Ft!J$37*($A159-Ft!J$2)^2)+Ft!J$6*EXP(Ft!J$38*($A159-Ft!J$2)^2)),Ft!J$3*((1-Ft!J$7)/(1+Ft!J$39*($A159-Ft!J$2)^2)+Ft!J$7*EXP(Ft!J$40*($A159-Ft!J$2)^2)))</f>
        <v>0</v>
      </c>
      <c r="O159" s="3">
        <f>IF(($A159-Ft!K$2)&lt;0,Ft!K$3*((1-Ft!K$6)/(1+Ft!K$37*($A159-Ft!K$2)^2)+Ft!K$6*EXP(Ft!K$38*($A159-Ft!K$2)^2)),Ft!K$3*((1-Ft!K$7)/(1+Ft!K$39*($A159-Ft!K$2)^2)+Ft!K$7*EXP(Ft!K$40*($A159-Ft!K$2)^2)))</f>
        <v>0</v>
      </c>
      <c r="P159"/>
      <c r="Q159"/>
    </row>
    <row r="160" spans="1:17">
      <c r="A160" s="20">
        <v>317</v>
      </c>
      <c r="B160" s="29">
        <v>28.914133575485323</v>
      </c>
      <c r="C160" s="7">
        <f t="shared" si="5"/>
        <v>28.732978154379179</v>
      </c>
      <c r="D160" s="3">
        <f t="shared" si="4"/>
        <v>3.2817286596144413E-2</v>
      </c>
      <c r="E160" s="3">
        <f>Ft!$B$12+Ft!$B$14*(Data!A160-Vars!$B$3)</f>
        <v>-200</v>
      </c>
      <c r="F160" s="3">
        <f>IF(($A160-Ft!B$2)&lt;0,Ft!B$3*((1-Ft!B$6)/(1+Ft!B$37*($A160-Ft!B$2)^2)+Ft!B$6*EXP(Ft!B$38*($A160-Ft!B$2)^2)),Ft!B$3*((1-Ft!B$7)/(1+Ft!B$39*($A160-Ft!B$2)^2)+Ft!B$7*EXP(Ft!B$40*($A160-Ft!B$2)^2)))</f>
        <v>90.462698128042007</v>
      </c>
      <c r="G160" s="3">
        <f>IF(($A160-Ft!C$2)&lt;0,Ft!C$3*((1-Ft!C$6)/(1+Ft!C$37*($A160-Ft!C$2)^2)+Ft!C$6*EXP(Ft!C$38*($A160-Ft!C$2)^2)),Ft!C$3*((1-Ft!C$7)/(1+Ft!C$39*($A160-Ft!C$2)^2)+Ft!C$7*EXP(Ft!C$40*($A160-Ft!C$2)^2)))</f>
        <v>38.547068755222199</v>
      </c>
      <c r="H160" s="3">
        <f>IF(($A160-Ft!D$2)&lt;0,Ft!D$3*((1-Ft!D$6)/(1+Ft!D$37*($A160-Ft!D$2)^2)+Ft!D$6*EXP(Ft!D$38*($A160-Ft!D$2)^2)),Ft!D$3*((1-Ft!D$7)/(1+Ft!D$39*($A160-Ft!D$2)^2)+Ft!D$7*EXP(Ft!D$40*($A160-Ft!D$2)^2)))</f>
        <v>1.3130083642350326E-4</v>
      </c>
      <c r="I160" s="3">
        <f>IF(($A160-Ft!E$2)&lt;0,Ft!E$3*((1-Ft!E$6)/(1+Ft!E$37*($A160-Ft!E$2)^2)+Ft!E$6*EXP(Ft!E$38*($A160-Ft!E$2)^2)),Ft!E$3*((1-Ft!E$7)/(1+Ft!E$39*($A160-Ft!E$2)^2)+Ft!E$7*EXP(Ft!E$40*($A160-Ft!E$2)^2)))</f>
        <v>34.457920946321266</v>
      </c>
      <c r="J160" s="3">
        <f>IF(($A160-Ft!F$2)&lt;0,Ft!F$3*((1-Ft!F$6)/(1+Ft!F$37*($A160-Ft!F$2)^2)+Ft!F$6*EXP(Ft!F$38*($A160-Ft!F$2)^2)),Ft!F$3*((1-Ft!F$7)/(1+Ft!F$39*($A160-Ft!F$2)^2)+Ft!F$7*EXP(Ft!F$40*($A160-Ft!F$2)^2)))</f>
        <v>17.104124608890839</v>
      </c>
      <c r="K160" s="3">
        <f>IF(($A160-Ft!G$2)&lt;0,Ft!G$3*((1-Ft!G$6)/(1+Ft!G$37*($A160-Ft!G$2)^2)+Ft!G$6*EXP(Ft!G$38*($A160-Ft!G$2)^2)),Ft!G$3*((1-Ft!G$7)/(1+Ft!G$39*($A160-Ft!G$2)^2)+Ft!G$7*EXP(Ft!G$40*($A160-Ft!G$2)^2)))</f>
        <v>48.161034415066439</v>
      </c>
      <c r="L160" s="3">
        <f>IF(($A160-Ft!H$2)&lt;0,Ft!H$3*((1-Ft!H$6)/(1+Ft!H$37*($A160-Ft!H$2)^2)+Ft!H$6*EXP(Ft!H$38*($A160-Ft!H$2)^2)),Ft!H$3*((1-Ft!H$7)/(1+Ft!H$39*($A160-Ft!H$2)^2)+Ft!H$7*EXP(Ft!H$40*($A160-Ft!H$2)^2)))</f>
        <v>0</v>
      </c>
      <c r="M160" s="3">
        <f>IF(($A160-Ft!I$2)&lt;0,Ft!I$3*((1-Ft!I$6)/(1+Ft!I$37*($A160-Ft!I$2)^2)+Ft!I$6*EXP(Ft!I$38*($A160-Ft!I$2)^2)),Ft!I$3*((1-Ft!I$7)/(1+Ft!I$39*($A160-Ft!I$2)^2)+Ft!I$7*EXP(Ft!I$40*($A160-Ft!I$2)^2)))</f>
        <v>0</v>
      </c>
      <c r="N160" s="3">
        <f>IF(($A160-Ft!J$2)&lt;0,Ft!J$3*((1-Ft!J$6)/(1+Ft!J$37*($A160-Ft!J$2)^2)+Ft!J$6*EXP(Ft!J$38*($A160-Ft!J$2)^2)),Ft!J$3*((1-Ft!J$7)/(1+Ft!J$39*($A160-Ft!J$2)^2)+Ft!J$7*EXP(Ft!J$40*($A160-Ft!J$2)^2)))</f>
        <v>0</v>
      </c>
      <c r="O160" s="3">
        <f>IF(($A160-Ft!K$2)&lt;0,Ft!K$3*((1-Ft!K$6)/(1+Ft!K$37*($A160-Ft!K$2)^2)+Ft!K$6*EXP(Ft!K$38*($A160-Ft!K$2)^2)),Ft!K$3*((1-Ft!K$7)/(1+Ft!K$39*($A160-Ft!K$2)^2)+Ft!K$7*EXP(Ft!K$40*($A160-Ft!K$2)^2)))</f>
        <v>0</v>
      </c>
      <c r="P160"/>
      <c r="Q160"/>
    </row>
    <row r="161" spans="1:17">
      <c r="A161" s="20">
        <v>319</v>
      </c>
      <c r="B161" s="29">
        <v>29.198251718143894</v>
      </c>
      <c r="C161" s="7">
        <f t="shared" si="5"/>
        <v>28.995819310491612</v>
      </c>
      <c r="D161" s="3">
        <f t="shared" si="4"/>
        <v>4.0978879667899537E-2</v>
      </c>
      <c r="E161" s="3">
        <f>Ft!$B$12+Ft!$B$14*(Data!A161-Vars!$B$3)</f>
        <v>-200</v>
      </c>
      <c r="F161" s="3">
        <f>IF(($A161-Ft!B$2)&lt;0,Ft!B$3*((1-Ft!B$6)/(1+Ft!B$37*($A161-Ft!B$2)^2)+Ft!B$6*EXP(Ft!B$38*($A161-Ft!B$2)^2)),Ft!B$3*((1-Ft!B$7)/(1+Ft!B$39*($A161-Ft!B$2)^2)+Ft!B$7*EXP(Ft!B$40*($A161-Ft!B$2)^2)))</f>
        <v>89.997890129644915</v>
      </c>
      <c r="G161" s="3">
        <f>IF(($A161-Ft!C$2)&lt;0,Ft!C$3*((1-Ft!C$6)/(1+Ft!C$37*($A161-Ft!C$2)^2)+Ft!C$6*EXP(Ft!C$38*($A161-Ft!C$2)^2)),Ft!C$3*((1-Ft!C$7)/(1+Ft!C$39*($A161-Ft!C$2)^2)+Ft!C$7*EXP(Ft!C$40*($A161-Ft!C$2)^2)))</f>
        <v>38.646677490225834</v>
      </c>
      <c r="H161" s="3">
        <f>IF(($A161-Ft!D$2)&lt;0,Ft!D$3*((1-Ft!D$6)/(1+Ft!D$37*($A161-Ft!D$2)^2)+Ft!D$6*EXP(Ft!D$38*($A161-Ft!D$2)^2)),Ft!D$3*((1-Ft!D$7)/(1+Ft!D$39*($A161-Ft!D$2)^2)+Ft!D$7*EXP(Ft!D$40*($A161-Ft!D$2)^2)))</f>
        <v>1.8112716979882512E-4</v>
      </c>
      <c r="I161" s="3">
        <f>IF(($A161-Ft!E$2)&lt;0,Ft!E$3*((1-Ft!E$6)/(1+Ft!E$37*($A161-Ft!E$2)^2)+Ft!E$6*EXP(Ft!E$38*($A161-Ft!E$2)^2)),Ft!E$3*((1-Ft!E$7)/(1+Ft!E$39*($A161-Ft!E$2)^2)+Ft!E$7*EXP(Ft!E$40*($A161-Ft!E$2)^2)))</f>
        <v>34.861705116876223</v>
      </c>
      <c r="J161" s="3">
        <f>IF(($A161-Ft!F$2)&lt;0,Ft!F$3*((1-Ft!F$6)/(1+Ft!F$37*($A161-Ft!F$2)^2)+Ft!F$6*EXP(Ft!F$38*($A161-Ft!F$2)^2)),Ft!F$3*((1-Ft!F$7)/(1+Ft!F$39*($A161-Ft!F$2)^2)+Ft!F$7*EXP(Ft!F$40*($A161-Ft!F$2)^2)))</f>
        <v>17.234145054478972</v>
      </c>
      <c r="K161" s="3">
        <f>IF(($A161-Ft!G$2)&lt;0,Ft!G$3*((1-Ft!G$6)/(1+Ft!G$37*($A161-Ft!G$2)^2)+Ft!G$6*EXP(Ft!G$38*($A161-Ft!G$2)^2)),Ft!G$3*((1-Ft!G$7)/(1+Ft!G$39*($A161-Ft!G$2)^2)+Ft!G$7*EXP(Ft!G$40*($A161-Ft!G$2)^2)))</f>
        <v>48.255220392095879</v>
      </c>
      <c r="L161" s="3">
        <f>IF(($A161-Ft!H$2)&lt;0,Ft!H$3*((1-Ft!H$6)/(1+Ft!H$37*($A161-Ft!H$2)^2)+Ft!H$6*EXP(Ft!H$38*($A161-Ft!H$2)^2)),Ft!H$3*((1-Ft!H$7)/(1+Ft!H$39*($A161-Ft!H$2)^2)+Ft!H$7*EXP(Ft!H$40*($A161-Ft!H$2)^2)))</f>
        <v>0</v>
      </c>
      <c r="M161" s="3">
        <f>IF(($A161-Ft!I$2)&lt;0,Ft!I$3*((1-Ft!I$6)/(1+Ft!I$37*($A161-Ft!I$2)^2)+Ft!I$6*EXP(Ft!I$38*($A161-Ft!I$2)^2)),Ft!I$3*((1-Ft!I$7)/(1+Ft!I$39*($A161-Ft!I$2)^2)+Ft!I$7*EXP(Ft!I$40*($A161-Ft!I$2)^2)))</f>
        <v>0</v>
      </c>
      <c r="N161" s="3">
        <f>IF(($A161-Ft!J$2)&lt;0,Ft!J$3*((1-Ft!J$6)/(1+Ft!J$37*($A161-Ft!J$2)^2)+Ft!J$6*EXP(Ft!J$38*($A161-Ft!J$2)^2)),Ft!J$3*((1-Ft!J$7)/(1+Ft!J$39*($A161-Ft!J$2)^2)+Ft!J$7*EXP(Ft!J$40*($A161-Ft!J$2)^2)))</f>
        <v>0</v>
      </c>
      <c r="O161" s="3">
        <f>IF(($A161-Ft!K$2)&lt;0,Ft!K$3*((1-Ft!K$6)/(1+Ft!K$37*($A161-Ft!K$2)^2)+Ft!K$6*EXP(Ft!K$38*($A161-Ft!K$2)^2)),Ft!K$3*((1-Ft!K$7)/(1+Ft!K$39*($A161-Ft!K$2)^2)+Ft!K$7*EXP(Ft!K$40*($A161-Ft!K$2)^2)))</f>
        <v>0</v>
      </c>
      <c r="P161"/>
      <c r="Q161"/>
    </row>
    <row r="162" spans="1:17">
      <c r="A162" s="20">
        <v>321</v>
      </c>
      <c r="B162" s="29">
        <v>29.479717725616098</v>
      </c>
      <c r="C162" s="7">
        <f t="shared" si="5"/>
        <v>29.257884519554324</v>
      </c>
      <c r="D162" s="3">
        <f t="shared" si="4"/>
        <v>4.9209971311645499E-2</v>
      </c>
      <c r="E162" s="3">
        <f>Ft!$B$12+Ft!$B$14*(Data!A162-Vars!$B$3)</f>
        <v>-200</v>
      </c>
      <c r="F162" s="3">
        <f>IF(($A162-Ft!B$2)&lt;0,Ft!B$3*((1-Ft!B$6)/(1+Ft!B$37*($A162-Ft!B$2)^2)+Ft!B$6*EXP(Ft!B$38*($A162-Ft!B$2)^2)),Ft!B$3*((1-Ft!B$7)/(1+Ft!B$39*($A162-Ft!B$2)^2)+Ft!B$7*EXP(Ft!B$40*($A162-Ft!B$2)^2)))</f>
        <v>89.533761445151143</v>
      </c>
      <c r="G162" s="3">
        <f>IF(($A162-Ft!C$2)&lt;0,Ft!C$3*((1-Ft!C$6)/(1+Ft!C$37*($A162-Ft!C$2)^2)+Ft!C$6*EXP(Ft!C$38*($A162-Ft!C$2)^2)),Ft!C$3*((1-Ft!C$7)/(1+Ft!C$39*($A162-Ft!C$2)^2)+Ft!C$7*EXP(Ft!C$40*($A162-Ft!C$2)^2)))</f>
        <v>38.746201268067765</v>
      </c>
      <c r="H162" s="3">
        <f>IF(($A162-Ft!D$2)&lt;0,Ft!D$3*((1-Ft!D$6)/(1+Ft!D$37*($A162-Ft!D$2)^2)+Ft!D$6*EXP(Ft!D$38*($A162-Ft!D$2)^2)),Ft!D$3*((1-Ft!D$7)/(1+Ft!D$39*($A162-Ft!D$2)^2)+Ft!D$7*EXP(Ft!D$40*($A162-Ft!D$2)^2)))</f>
        <v>2.4848707081957236E-4</v>
      </c>
      <c r="I162" s="3">
        <f>IF(($A162-Ft!E$2)&lt;0,Ft!E$3*((1-Ft!E$6)/(1+Ft!E$37*($A162-Ft!E$2)^2)+Ft!E$6*EXP(Ft!E$38*($A162-Ft!E$2)^2)),Ft!E$3*((1-Ft!E$7)/(1+Ft!E$39*($A162-Ft!E$2)^2)+Ft!E$7*EXP(Ft!E$40*($A162-Ft!E$2)^2)))</f>
        <v>35.268175946112855</v>
      </c>
      <c r="J162" s="3">
        <f>IF(($A162-Ft!F$2)&lt;0,Ft!F$3*((1-Ft!F$6)/(1+Ft!F$37*($A162-Ft!F$2)^2)+Ft!F$6*EXP(Ft!F$38*($A162-Ft!F$2)^2)),Ft!F$3*((1-Ft!F$7)/(1+Ft!F$39*($A162-Ft!F$2)^2)+Ft!F$7*EXP(Ft!F$40*($A162-Ft!F$2)^2)))</f>
        <v>17.364925171631299</v>
      </c>
      <c r="K162" s="3">
        <f>IF(($A162-Ft!G$2)&lt;0,Ft!G$3*((1-Ft!G$6)/(1+Ft!G$37*($A162-Ft!G$2)^2)+Ft!G$6*EXP(Ft!G$38*($A162-Ft!G$2)^2)),Ft!G$3*((1-Ft!G$7)/(1+Ft!G$39*($A162-Ft!G$2)^2)+Ft!G$7*EXP(Ft!G$40*($A162-Ft!G$2)^2)))</f>
        <v>48.344572201520442</v>
      </c>
      <c r="L162" s="3">
        <f>IF(($A162-Ft!H$2)&lt;0,Ft!H$3*((1-Ft!H$6)/(1+Ft!H$37*($A162-Ft!H$2)^2)+Ft!H$6*EXP(Ft!H$38*($A162-Ft!H$2)^2)),Ft!H$3*((1-Ft!H$7)/(1+Ft!H$39*($A162-Ft!H$2)^2)+Ft!H$7*EXP(Ft!H$40*($A162-Ft!H$2)^2)))</f>
        <v>0</v>
      </c>
      <c r="M162" s="3">
        <f>IF(($A162-Ft!I$2)&lt;0,Ft!I$3*((1-Ft!I$6)/(1+Ft!I$37*($A162-Ft!I$2)^2)+Ft!I$6*EXP(Ft!I$38*($A162-Ft!I$2)^2)),Ft!I$3*((1-Ft!I$7)/(1+Ft!I$39*($A162-Ft!I$2)^2)+Ft!I$7*EXP(Ft!I$40*($A162-Ft!I$2)^2)))</f>
        <v>0</v>
      </c>
      <c r="N162" s="3">
        <f>IF(($A162-Ft!J$2)&lt;0,Ft!J$3*((1-Ft!J$6)/(1+Ft!J$37*($A162-Ft!J$2)^2)+Ft!J$6*EXP(Ft!J$38*($A162-Ft!J$2)^2)),Ft!J$3*((1-Ft!J$7)/(1+Ft!J$39*($A162-Ft!J$2)^2)+Ft!J$7*EXP(Ft!J$40*($A162-Ft!J$2)^2)))</f>
        <v>0</v>
      </c>
      <c r="O162" s="3">
        <f>IF(($A162-Ft!K$2)&lt;0,Ft!K$3*((1-Ft!K$6)/(1+Ft!K$37*($A162-Ft!K$2)^2)+Ft!K$6*EXP(Ft!K$38*($A162-Ft!K$2)^2)),Ft!K$3*((1-Ft!K$7)/(1+Ft!K$39*($A162-Ft!K$2)^2)+Ft!K$7*EXP(Ft!K$40*($A162-Ft!K$2)^2)))</f>
        <v>0</v>
      </c>
      <c r="P162"/>
      <c r="Q162"/>
    </row>
    <row r="163" spans="1:17">
      <c r="A163" s="20">
        <v>323</v>
      </c>
      <c r="B163" s="29">
        <v>29.758326874447121</v>
      </c>
      <c r="C163" s="7">
        <f t="shared" si="5"/>
        <v>29.519150318125064</v>
      </c>
      <c r="D163" s="3">
        <f t="shared" si="4"/>
        <v>5.7205425094078277E-2</v>
      </c>
      <c r="E163" s="3">
        <f>Ft!$B$12+Ft!$B$14*(Data!A163-Vars!$B$3)</f>
        <v>-200</v>
      </c>
      <c r="F163" s="3">
        <f>IF(($A163-Ft!B$2)&lt;0,Ft!B$3*((1-Ft!B$6)/(1+Ft!B$37*($A163-Ft!B$2)^2)+Ft!B$6*EXP(Ft!B$38*($A163-Ft!B$2)^2)),Ft!B$3*((1-Ft!B$7)/(1+Ft!B$39*($A163-Ft!B$2)^2)+Ft!B$7*EXP(Ft!B$40*($A163-Ft!B$2)^2)))</f>
        <v>89.070326242824081</v>
      </c>
      <c r="G163" s="3">
        <f>IF(($A163-Ft!C$2)&lt;0,Ft!C$3*((1-Ft!C$6)/(1+Ft!C$37*($A163-Ft!C$2)^2)+Ft!C$6*EXP(Ft!C$38*($A163-Ft!C$2)^2)),Ft!C$3*((1-Ft!C$7)/(1+Ft!C$39*($A163-Ft!C$2)^2)+Ft!C$7*EXP(Ft!C$40*($A163-Ft!C$2)^2)))</f>
        <v>38.845638108968537</v>
      </c>
      <c r="H163" s="3">
        <f>IF(($A163-Ft!D$2)&lt;0,Ft!D$3*((1-Ft!D$6)/(1+Ft!D$37*($A163-Ft!D$2)^2)+Ft!D$6*EXP(Ft!D$38*($A163-Ft!D$2)^2)),Ft!D$3*((1-Ft!D$7)/(1+Ft!D$39*($A163-Ft!D$2)^2)+Ft!D$7*EXP(Ft!D$40*($A163-Ft!D$2)^2)))</f>
        <v>3.3902215426936716E-4</v>
      </c>
      <c r="I163" s="3">
        <f>IF(($A163-Ft!E$2)&lt;0,Ft!E$3*((1-Ft!E$6)/(1+Ft!E$37*($A163-Ft!E$2)^2)+Ft!E$6*EXP(Ft!E$38*($A163-Ft!E$2)^2)),Ft!E$3*((1-Ft!E$7)/(1+Ft!E$39*($A163-Ft!E$2)^2)+Ft!E$7*EXP(Ft!E$40*($A163-Ft!E$2)^2)))</f>
        <v>35.677317350278329</v>
      </c>
      <c r="J163" s="3">
        <f>IF(($A163-Ft!F$2)&lt;0,Ft!F$3*((1-Ft!F$6)/(1+Ft!F$37*($A163-Ft!F$2)^2)+Ft!F$6*EXP(Ft!F$38*($A163-Ft!F$2)^2)),Ft!F$3*((1-Ft!F$7)/(1+Ft!F$39*($A163-Ft!F$2)^2)+Ft!F$7*EXP(Ft!F$40*($A163-Ft!F$2)^2)))</f>
        <v>17.49646726715465</v>
      </c>
      <c r="K163" s="3">
        <f>IF(($A163-Ft!G$2)&lt;0,Ft!G$3*((1-Ft!G$6)/(1+Ft!G$37*($A163-Ft!G$2)^2)+Ft!G$6*EXP(Ft!G$38*($A163-Ft!G$2)^2)),Ft!G$3*((1-Ft!G$7)/(1+Ft!G$39*($A163-Ft!G$2)^2)+Ft!G$7*EXP(Ft!G$40*($A163-Ft!G$2)^2)))</f>
        <v>48.42906232674521</v>
      </c>
      <c r="L163" s="3">
        <f>IF(($A163-Ft!H$2)&lt;0,Ft!H$3*((1-Ft!H$6)/(1+Ft!H$37*($A163-Ft!H$2)^2)+Ft!H$6*EXP(Ft!H$38*($A163-Ft!H$2)^2)),Ft!H$3*((1-Ft!H$7)/(1+Ft!H$39*($A163-Ft!H$2)^2)+Ft!H$7*EXP(Ft!H$40*($A163-Ft!H$2)^2)))</f>
        <v>0</v>
      </c>
      <c r="M163" s="3">
        <f>IF(($A163-Ft!I$2)&lt;0,Ft!I$3*((1-Ft!I$6)/(1+Ft!I$37*($A163-Ft!I$2)^2)+Ft!I$6*EXP(Ft!I$38*($A163-Ft!I$2)^2)),Ft!I$3*((1-Ft!I$7)/(1+Ft!I$39*($A163-Ft!I$2)^2)+Ft!I$7*EXP(Ft!I$40*($A163-Ft!I$2)^2)))</f>
        <v>0</v>
      </c>
      <c r="N163" s="3">
        <f>IF(($A163-Ft!J$2)&lt;0,Ft!J$3*((1-Ft!J$6)/(1+Ft!J$37*($A163-Ft!J$2)^2)+Ft!J$6*EXP(Ft!J$38*($A163-Ft!J$2)^2)),Ft!J$3*((1-Ft!J$7)/(1+Ft!J$39*($A163-Ft!J$2)^2)+Ft!J$7*EXP(Ft!J$40*($A163-Ft!J$2)^2)))</f>
        <v>0</v>
      </c>
      <c r="O163" s="3">
        <f>IF(($A163-Ft!K$2)&lt;0,Ft!K$3*((1-Ft!K$6)/(1+Ft!K$37*($A163-Ft!K$2)^2)+Ft!K$6*EXP(Ft!K$38*($A163-Ft!K$2)^2)),Ft!K$3*((1-Ft!K$7)/(1+Ft!K$39*($A163-Ft!K$2)^2)+Ft!K$7*EXP(Ft!K$40*($A163-Ft!K$2)^2)))</f>
        <v>0</v>
      </c>
      <c r="P163"/>
      <c r="Q163"/>
    </row>
    <row r="164" spans="1:17">
      <c r="A164" s="20">
        <v>325</v>
      </c>
      <c r="B164" s="29">
        <v>30.033900299096331</v>
      </c>
      <c r="C164" s="7">
        <f t="shared" si="5"/>
        <v>29.779595550335817</v>
      </c>
      <c r="D164" s="3">
        <f t="shared" si="4"/>
        <v>6.4670905242148316E-2</v>
      </c>
      <c r="E164" s="3">
        <f>Ft!$B$12+Ft!$B$14*(Data!A164-Vars!$B$3)</f>
        <v>-200</v>
      </c>
      <c r="F164" s="3">
        <f>IF(($A164-Ft!B$2)&lt;0,Ft!B$3*((1-Ft!B$6)/(1+Ft!B$37*($A164-Ft!B$2)^2)+Ft!B$6*EXP(Ft!B$38*($A164-Ft!B$2)^2)),Ft!B$3*((1-Ft!B$7)/(1+Ft!B$39*($A164-Ft!B$2)^2)+Ft!B$7*EXP(Ft!B$40*($A164-Ft!B$2)^2)))</f>
        <v>88.60759857811982</v>
      </c>
      <c r="G164" s="3">
        <f>IF(($A164-Ft!C$2)&lt;0,Ft!C$3*((1-Ft!C$6)/(1+Ft!C$37*($A164-Ft!C$2)^2)+Ft!C$6*EXP(Ft!C$38*($A164-Ft!C$2)^2)),Ft!C$3*((1-Ft!C$7)/(1+Ft!C$39*($A164-Ft!C$2)^2)+Ft!C$7*EXP(Ft!C$40*($A164-Ft!C$2)^2)))</f>
        <v>38.944986030366522</v>
      </c>
      <c r="H164" s="3">
        <f>IF(($A164-Ft!D$2)&lt;0,Ft!D$3*((1-Ft!D$6)/(1+Ft!D$37*($A164-Ft!D$2)^2)+Ft!D$6*EXP(Ft!D$38*($A164-Ft!D$2)^2)),Ft!D$3*((1-Ft!D$7)/(1+Ft!D$39*($A164-Ft!D$2)^2)+Ft!D$7*EXP(Ft!D$40*($A164-Ft!D$2)^2)))</f>
        <v>4.5999853536412237E-4</v>
      </c>
      <c r="I164" s="3">
        <f>IF(($A164-Ft!E$2)&lt;0,Ft!E$3*((1-Ft!E$6)/(1+Ft!E$37*($A164-Ft!E$2)^2)+Ft!E$6*EXP(Ft!E$38*($A164-Ft!E$2)^2)),Ft!E$3*((1-Ft!E$7)/(1+Ft!E$39*($A164-Ft!E$2)^2)+Ft!E$7*EXP(Ft!E$40*($A164-Ft!E$2)^2)))</f>
        <v>36.089112591354059</v>
      </c>
      <c r="J164" s="3">
        <f>IF(($A164-Ft!F$2)&lt;0,Ft!F$3*((1-Ft!F$6)/(1+Ft!F$37*($A164-Ft!F$2)^2)+Ft!F$6*EXP(Ft!F$38*($A164-Ft!F$2)^2)),Ft!F$3*((1-Ft!F$7)/(1+Ft!F$39*($A164-Ft!F$2)^2)+Ft!F$7*EXP(Ft!F$40*($A164-Ft!F$2)^2)))</f>
        <v>17.628773635125011</v>
      </c>
      <c r="K164" s="3">
        <f>IF(($A164-Ft!G$2)&lt;0,Ft!G$3*((1-Ft!G$6)/(1+Ft!G$37*($A164-Ft!G$2)^2)+Ft!G$6*EXP(Ft!G$38*($A164-Ft!G$2)^2)),Ft!G$3*((1-Ft!G$7)/(1+Ft!G$39*($A164-Ft!G$2)^2)+Ft!G$7*EXP(Ft!G$40*($A164-Ft!G$2)^2)))</f>
        <v>48.508664716835042</v>
      </c>
      <c r="L164" s="3">
        <f>IF(($A164-Ft!H$2)&lt;0,Ft!H$3*((1-Ft!H$6)/(1+Ft!H$37*($A164-Ft!H$2)^2)+Ft!H$6*EXP(Ft!H$38*($A164-Ft!H$2)^2)),Ft!H$3*((1-Ft!H$7)/(1+Ft!H$39*($A164-Ft!H$2)^2)+Ft!H$7*EXP(Ft!H$40*($A164-Ft!H$2)^2)))</f>
        <v>0</v>
      </c>
      <c r="M164" s="3">
        <f>IF(($A164-Ft!I$2)&lt;0,Ft!I$3*((1-Ft!I$6)/(1+Ft!I$37*($A164-Ft!I$2)^2)+Ft!I$6*EXP(Ft!I$38*($A164-Ft!I$2)^2)),Ft!I$3*((1-Ft!I$7)/(1+Ft!I$39*($A164-Ft!I$2)^2)+Ft!I$7*EXP(Ft!I$40*($A164-Ft!I$2)^2)))</f>
        <v>0</v>
      </c>
      <c r="N164" s="3">
        <f>IF(($A164-Ft!J$2)&lt;0,Ft!J$3*((1-Ft!J$6)/(1+Ft!J$37*($A164-Ft!J$2)^2)+Ft!J$6*EXP(Ft!J$38*($A164-Ft!J$2)^2)),Ft!J$3*((1-Ft!J$7)/(1+Ft!J$39*($A164-Ft!J$2)^2)+Ft!J$7*EXP(Ft!J$40*($A164-Ft!J$2)^2)))</f>
        <v>0</v>
      </c>
      <c r="O164" s="3">
        <f>IF(($A164-Ft!K$2)&lt;0,Ft!K$3*((1-Ft!K$6)/(1+Ft!K$37*($A164-Ft!K$2)^2)+Ft!K$6*EXP(Ft!K$38*($A164-Ft!K$2)^2)),Ft!K$3*((1-Ft!K$7)/(1+Ft!K$39*($A164-Ft!K$2)^2)+Ft!K$7*EXP(Ft!K$40*($A164-Ft!K$2)^2)))</f>
        <v>0</v>
      </c>
      <c r="P164"/>
      <c r="Q164"/>
    </row>
    <row r="165" spans="1:17">
      <c r="A165" s="20">
        <v>327</v>
      </c>
      <c r="B165" s="29">
        <v>30.306288372062696</v>
      </c>
      <c r="C165" s="7">
        <f t="shared" si="5"/>
        <v>30.03920178035618</v>
      </c>
      <c r="D165" s="3">
        <f t="shared" si="4"/>
        <v>7.1335247469403035E-2</v>
      </c>
      <c r="E165" s="3">
        <f>Ft!$B$12+Ft!$B$14*(Data!A165-Vars!$B$3)</f>
        <v>-200</v>
      </c>
      <c r="F165" s="3">
        <f>IF(($A165-Ft!B$2)&lt;0,Ft!B$3*((1-Ft!B$6)/(1+Ft!B$37*($A165-Ft!B$2)^2)+Ft!B$6*EXP(Ft!B$38*($A165-Ft!B$2)^2)),Ft!B$3*((1-Ft!B$7)/(1+Ft!B$39*($A165-Ft!B$2)^2)+Ft!B$7*EXP(Ft!B$40*($A165-Ft!B$2)^2)))</f>
        <v>88.145592393200729</v>
      </c>
      <c r="G165" s="3">
        <f>IF(($A165-Ft!C$2)&lt;0,Ft!C$3*((1-Ft!C$6)/(1+Ft!C$37*($A165-Ft!C$2)^2)+Ft!C$6*EXP(Ft!C$38*($A165-Ft!C$2)^2)),Ft!C$3*((1-Ft!C$7)/(1+Ft!C$39*($A165-Ft!C$2)^2)+Ft!C$7*EXP(Ft!C$40*($A165-Ft!C$2)^2)))</f>
        <v>39.044243046980938</v>
      </c>
      <c r="H165" s="3">
        <f>IF(($A165-Ft!D$2)&lt;0,Ft!D$3*((1-Ft!D$6)/(1+Ft!D$37*($A165-Ft!D$2)^2)+Ft!D$6*EXP(Ft!D$38*($A165-Ft!D$2)^2)),Ft!D$3*((1-Ft!D$7)/(1+Ft!D$39*($A165-Ft!D$2)^2)+Ft!D$7*EXP(Ft!D$40*($A165-Ft!D$2)^2)))</f>
        <v>6.2071023363544965E-4</v>
      </c>
      <c r="I165" s="3">
        <f>IF(($A165-Ft!E$2)&lt;0,Ft!E$3*((1-Ft!E$6)/(1+Ft!E$37*($A165-Ft!E$2)^2)+Ft!E$6*EXP(Ft!E$38*($A165-Ft!E$2)^2)),Ft!E$3*((1-Ft!E$7)/(1+Ft!E$39*($A165-Ft!E$2)^2)+Ft!E$7*EXP(Ft!E$40*($A165-Ft!E$2)^2)))</f>
        <v>36.503544273370196</v>
      </c>
      <c r="J165" s="3">
        <f>IF(($A165-Ft!F$2)&lt;0,Ft!F$3*((1-Ft!F$6)/(1+Ft!F$37*($A165-Ft!F$2)^2)+Ft!F$6*EXP(Ft!F$38*($A165-Ft!F$2)^2)),Ft!F$3*((1-Ft!F$7)/(1+Ft!F$39*($A165-Ft!F$2)^2)+Ft!F$7*EXP(Ft!F$40*($A165-Ft!F$2)^2)))</f>
        <v>17.761846556669823</v>
      </c>
      <c r="K165" s="3">
        <f>IF(($A165-Ft!G$2)&lt;0,Ft!G$3*((1-Ft!G$6)/(1+Ft!G$37*($A165-Ft!G$2)^2)+Ft!G$6*EXP(Ft!G$38*($A165-Ft!G$2)^2)),Ft!G$3*((1-Ft!G$7)/(1+Ft!G$39*($A165-Ft!G$2)^2)+Ft!G$7*EXP(Ft!G$40*($A165-Ft!G$2)^2)))</f>
        <v>48.58335479990086</v>
      </c>
      <c r="L165" s="3">
        <f>IF(($A165-Ft!H$2)&lt;0,Ft!H$3*((1-Ft!H$6)/(1+Ft!H$37*($A165-Ft!H$2)^2)+Ft!H$6*EXP(Ft!H$38*($A165-Ft!H$2)^2)),Ft!H$3*((1-Ft!H$7)/(1+Ft!H$39*($A165-Ft!H$2)^2)+Ft!H$7*EXP(Ft!H$40*($A165-Ft!H$2)^2)))</f>
        <v>0</v>
      </c>
      <c r="M165" s="3">
        <f>IF(($A165-Ft!I$2)&lt;0,Ft!I$3*((1-Ft!I$6)/(1+Ft!I$37*($A165-Ft!I$2)^2)+Ft!I$6*EXP(Ft!I$38*($A165-Ft!I$2)^2)),Ft!I$3*((1-Ft!I$7)/(1+Ft!I$39*($A165-Ft!I$2)^2)+Ft!I$7*EXP(Ft!I$40*($A165-Ft!I$2)^2)))</f>
        <v>0</v>
      </c>
      <c r="N165" s="3">
        <f>IF(($A165-Ft!J$2)&lt;0,Ft!J$3*((1-Ft!J$6)/(1+Ft!J$37*($A165-Ft!J$2)^2)+Ft!J$6*EXP(Ft!J$38*($A165-Ft!J$2)^2)),Ft!J$3*((1-Ft!J$7)/(1+Ft!J$39*($A165-Ft!J$2)^2)+Ft!J$7*EXP(Ft!J$40*($A165-Ft!J$2)^2)))</f>
        <v>0</v>
      </c>
      <c r="O165" s="3">
        <f>IF(($A165-Ft!K$2)&lt;0,Ft!K$3*((1-Ft!K$6)/(1+Ft!K$37*($A165-Ft!K$2)^2)+Ft!K$6*EXP(Ft!K$38*($A165-Ft!K$2)^2)),Ft!K$3*((1-Ft!K$7)/(1+Ft!K$39*($A165-Ft!K$2)^2)+Ft!K$7*EXP(Ft!K$40*($A165-Ft!K$2)^2)))</f>
        <v>0</v>
      </c>
      <c r="P165"/>
      <c r="Q165"/>
    </row>
    <row r="166" spans="1:17">
      <c r="A166" s="20">
        <v>329</v>
      </c>
      <c r="B166" s="29">
        <v>30.575373869156593</v>
      </c>
      <c r="C166" s="7">
        <f t="shared" si="5"/>
        <v>30.297953784195641</v>
      </c>
      <c r="D166" s="3">
        <f t="shared" ref="D166:D229" si="6">(C166-B166)^2</f>
        <v>7.6961903539741486E-2</v>
      </c>
      <c r="E166" s="3">
        <f>Ft!$B$12+Ft!$B$14*(Data!A166-Vars!$B$3)</f>
        <v>-200</v>
      </c>
      <c r="F166" s="3">
        <f>IF(($A166-Ft!B$2)&lt;0,Ft!B$3*((1-Ft!B$6)/(1+Ft!B$37*($A166-Ft!B$2)^2)+Ft!B$6*EXP(Ft!B$38*($A166-Ft!B$2)^2)),Ft!B$3*((1-Ft!B$7)/(1+Ft!B$39*($A166-Ft!B$2)^2)+Ft!B$7*EXP(Ft!B$40*($A166-Ft!B$2)^2)))</f>
        <v>87.684321516462589</v>
      </c>
      <c r="G166" s="3">
        <f>IF(($A166-Ft!C$2)&lt;0,Ft!C$3*((1-Ft!C$6)/(1+Ft!C$37*($A166-Ft!C$2)^2)+Ft!C$6*EXP(Ft!C$38*($A166-Ft!C$2)^2)),Ft!C$3*((1-Ft!C$7)/(1+Ft!C$39*($A166-Ft!C$2)^2)+Ft!C$7*EXP(Ft!C$40*($A166-Ft!C$2)^2)))</f>
        <v>39.143407170875129</v>
      </c>
      <c r="H166" s="3">
        <f>IF(($A166-Ft!D$2)&lt;0,Ft!D$3*((1-Ft!D$6)/(1+Ft!D$37*($A166-Ft!D$2)^2)+Ft!D$6*EXP(Ft!D$38*($A166-Ft!D$2)^2)),Ft!D$3*((1-Ft!D$7)/(1+Ft!D$39*($A166-Ft!D$2)^2)+Ft!D$7*EXP(Ft!D$40*($A166-Ft!D$2)^2)))</f>
        <v>8.3296249921935978E-4</v>
      </c>
      <c r="I166" s="3">
        <f>IF(($A166-Ft!E$2)&lt;0,Ft!E$3*((1-Ft!E$6)/(1+Ft!E$37*($A166-Ft!E$2)^2)+Ft!E$6*EXP(Ft!E$38*($A166-Ft!E$2)^2)),Ft!E$3*((1-Ft!E$7)/(1+Ft!E$39*($A166-Ft!E$2)^2)+Ft!E$7*EXP(Ft!E$40*($A166-Ft!E$2)^2)))</f>
        <v>36.920594338869059</v>
      </c>
      <c r="J166" s="3">
        <f>IF(($A166-Ft!F$2)&lt;0,Ft!F$3*((1-Ft!F$6)/(1+Ft!F$37*($A166-Ft!F$2)^2)+Ft!F$6*EXP(Ft!F$38*($A166-Ft!F$2)^2)),Ft!F$3*((1-Ft!F$7)/(1+Ft!F$39*($A166-Ft!F$2)^2)+Ft!F$7*EXP(Ft!F$40*($A166-Ft!F$2)^2)))</f>
        <v>17.895688299749374</v>
      </c>
      <c r="K166" s="3">
        <f>IF(($A166-Ft!G$2)&lt;0,Ft!G$3*((1-Ft!G$6)/(1+Ft!G$37*($A166-Ft!G$2)^2)+Ft!G$6*EXP(Ft!G$38*($A166-Ft!G$2)^2)),Ft!G$3*((1-Ft!G$7)/(1+Ft!G$39*($A166-Ft!G$2)^2)+Ft!G$7*EXP(Ft!G$40*($A166-Ft!G$2)^2)))</f>
        <v>48.653109495740267</v>
      </c>
      <c r="L166" s="3">
        <f>IF(($A166-Ft!H$2)&lt;0,Ft!H$3*((1-Ft!H$6)/(1+Ft!H$37*($A166-Ft!H$2)^2)+Ft!H$6*EXP(Ft!H$38*($A166-Ft!H$2)^2)),Ft!H$3*((1-Ft!H$7)/(1+Ft!H$39*($A166-Ft!H$2)^2)+Ft!H$7*EXP(Ft!H$40*($A166-Ft!H$2)^2)))</f>
        <v>0</v>
      </c>
      <c r="M166" s="3">
        <f>IF(($A166-Ft!I$2)&lt;0,Ft!I$3*((1-Ft!I$6)/(1+Ft!I$37*($A166-Ft!I$2)^2)+Ft!I$6*EXP(Ft!I$38*($A166-Ft!I$2)^2)),Ft!I$3*((1-Ft!I$7)/(1+Ft!I$39*($A166-Ft!I$2)^2)+Ft!I$7*EXP(Ft!I$40*($A166-Ft!I$2)^2)))</f>
        <v>0</v>
      </c>
      <c r="N166" s="3">
        <f>IF(($A166-Ft!J$2)&lt;0,Ft!J$3*((1-Ft!J$6)/(1+Ft!J$37*($A166-Ft!J$2)^2)+Ft!J$6*EXP(Ft!J$38*($A166-Ft!J$2)^2)),Ft!J$3*((1-Ft!J$7)/(1+Ft!J$39*($A166-Ft!J$2)^2)+Ft!J$7*EXP(Ft!J$40*($A166-Ft!J$2)^2)))</f>
        <v>0</v>
      </c>
      <c r="O166" s="3">
        <f>IF(($A166-Ft!K$2)&lt;0,Ft!K$3*((1-Ft!K$6)/(1+Ft!K$37*($A166-Ft!K$2)^2)+Ft!K$6*EXP(Ft!K$38*($A166-Ft!K$2)^2)),Ft!K$3*((1-Ft!K$7)/(1+Ft!K$39*($A166-Ft!K$2)^2)+Ft!K$7*EXP(Ft!K$40*($A166-Ft!K$2)^2)))</f>
        <v>0</v>
      </c>
      <c r="P166"/>
      <c r="Q166"/>
    </row>
    <row r="167" spans="1:17">
      <c r="A167" s="20">
        <v>331</v>
      </c>
      <c r="B167" s="29">
        <v>30.841074859617692</v>
      </c>
      <c r="C167" s="7">
        <f t="shared" si="5"/>
        <v>30.555840130678384</v>
      </c>
      <c r="D167" s="3">
        <f t="shared" si="6"/>
        <v>8.1358850593080512E-2</v>
      </c>
      <c r="E167" s="3">
        <f>Ft!$B$12+Ft!$B$14*(Data!A167-Vars!$B$3)</f>
        <v>-200</v>
      </c>
      <c r="F167" s="3">
        <f>IF(($A167-Ft!B$2)&lt;0,Ft!B$3*((1-Ft!B$6)/(1+Ft!B$37*($A167-Ft!B$2)^2)+Ft!B$6*EXP(Ft!B$38*($A167-Ft!B$2)^2)),Ft!B$3*((1-Ft!B$7)/(1+Ft!B$39*($A167-Ft!B$2)^2)+Ft!B$7*EXP(Ft!B$40*($A167-Ft!B$2)^2)))</f>
        <v>87.223799662074526</v>
      </c>
      <c r="G167" s="3">
        <f>IF(($A167-Ft!C$2)&lt;0,Ft!C$3*((1-Ft!C$6)/(1+Ft!C$37*($A167-Ft!C$2)^2)+Ft!C$6*EXP(Ft!C$38*($A167-Ft!C$2)^2)),Ft!C$3*((1-Ft!C$7)/(1+Ft!C$39*($A167-Ft!C$2)^2)+Ft!C$7*EXP(Ft!C$40*($A167-Ft!C$2)^2)))</f>
        <v>39.242476411520173</v>
      </c>
      <c r="H167" s="3">
        <f>IF(($A167-Ft!D$2)&lt;0,Ft!D$3*((1-Ft!D$6)/(1+Ft!D$37*($A167-Ft!D$2)^2)+Ft!D$6*EXP(Ft!D$38*($A167-Ft!D$2)^2)),Ft!D$3*((1-Ft!D$7)/(1+Ft!D$39*($A167-Ft!D$2)^2)+Ft!D$7*EXP(Ft!D$40*($A167-Ft!D$2)^2)))</f>
        <v>1.1116449013743174E-3</v>
      </c>
      <c r="I167" s="3">
        <f>IF(($A167-Ft!E$2)&lt;0,Ft!E$3*((1-Ft!E$6)/(1+Ft!E$37*($A167-Ft!E$2)^2)+Ft!E$6*EXP(Ft!E$38*($A167-Ft!E$2)^2)),Ft!E$3*((1-Ft!E$7)/(1+Ft!E$39*($A167-Ft!E$2)^2)+Ft!E$7*EXP(Ft!E$40*($A167-Ft!E$2)^2)))</f>
        <v>37.340244065520992</v>
      </c>
      <c r="J167" s="3">
        <f>IF(($A167-Ft!F$2)&lt;0,Ft!F$3*((1-Ft!F$6)/(1+Ft!F$37*($A167-Ft!F$2)^2)+Ft!F$6*EXP(Ft!F$38*($A167-Ft!F$2)^2)),Ft!F$3*((1-Ft!F$7)/(1+Ft!F$39*($A167-Ft!F$2)^2)+Ft!F$7*EXP(Ft!F$40*($A167-Ft!F$2)^2)))</f>
        <v>18.030301118937565</v>
      </c>
      <c r="K167" s="3">
        <f>IF(($A167-Ft!G$2)&lt;0,Ft!G$3*((1-Ft!G$6)/(1+Ft!G$37*($A167-Ft!G$2)^2)+Ft!G$6*EXP(Ft!G$38*($A167-Ft!G$2)^2)),Ft!G$3*((1-Ft!G$7)/(1+Ft!G$39*($A167-Ft!G$2)^2)+Ft!G$7*EXP(Ft!G$40*($A167-Ft!G$2)^2)))</f>
        <v>48.717907227723757</v>
      </c>
      <c r="L167" s="3">
        <f>IF(($A167-Ft!H$2)&lt;0,Ft!H$3*((1-Ft!H$6)/(1+Ft!H$37*($A167-Ft!H$2)^2)+Ft!H$6*EXP(Ft!H$38*($A167-Ft!H$2)^2)),Ft!H$3*((1-Ft!H$7)/(1+Ft!H$39*($A167-Ft!H$2)^2)+Ft!H$7*EXP(Ft!H$40*($A167-Ft!H$2)^2)))</f>
        <v>0</v>
      </c>
      <c r="M167" s="3">
        <f>IF(($A167-Ft!I$2)&lt;0,Ft!I$3*((1-Ft!I$6)/(1+Ft!I$37*($A167-Ft!I$2)^2)+Ft!I$6*EXP(Ft!I$38*($A167-Ft!I$2)^2)),Ft!I$3*((1-Ft!I$7)/(1+Ft!I$39*($A167-Ft!I$2)^2)+Ft!I$7*EXP(Ft!I$40*($A167-Ft!I$2)^2)))</f>
        <v>0</v>
      </c>
      <c r="N167" s="3">
        <f>IF(($A167-Ft!J$2)&lt;0,Ft!J$3*((1-Ft!J$6)/(1+Ft!J$37*($A167-Ft!J$2)^2)+Ft!J$6*EXP(Ft!J$38*($A167-Ft!J$2)^2)),Ft!J$3*((1-Ft!J$7)/(1+Ft!J$39*($A167-Ft!J$2)^2)+Ft!J$7*EXP(Ft!J$40*($A167-Ft!J$2)^2)))</f>
        <v>0</v>
      </c>
      <c r="O167" s="3">
        <f>IF(($A167-Ft!K$2)&lt;0,Ft!K$3*((1-Ft!K$6)/(1+Ft!K$37*($A167-Ft!K$2)^2)+Ft!K$6*EXP(Ft!K$38*($A167-Ft!K$2)^2)),Ft!K$3*((1-Ft!K$7)/(1+Ft!K$39*($A167-Ft!K$2)^2)+Ft!K$7*EXP(Ft!K$40*($A167-Ft!K$2)^2)))</f>
        <v>0</v>
      </c>
      <c r="P167"/>
      <c r="Q167"/>
    </row>
    <row r="168" spans="1:17">
      <c r="A168" s="20">
        <v>333</v>
      </c>
      <c r="B168" s="29">
        <v>31.1033472609451</v>
      </c>
      <c r="C168" s="7">
        <f t="shared" si="5"/>
        <v>30.812853860868458</v>
      </c>
      <c r="D168" s="3">
        <f t="shared" si="6"/>
        <v>8.4386415488087813E-2</v>
      </c>
      <c r="E168" s="3">
        <f>Ft!$B$12+Ft!$B$14*(Data!A168-Vars!$B$3)</f>
        <v>-200</v>
      </c>
      <c r="F168" s="3">
        <f>IF(($A168-Ft!B$2)&lt;0,Ft!B$3*((1-Ft!B$6)/(1+Ft!B$37*($A168-Ft!B$2)^2)+Ft!B$6*EXP(Ft!B$38*($A168-Ft!B$2)^2)),Ft!B$3*((1-Ft!B$7)/(1+Ft!B$39*($A168-Ft!B$2)^2)+Ft!B$7*EXP(Ft!B$40*($A168-Ft!B$2)^2)))</f>
        <v>86.764040429532628</v>
      </c>
      <c r="G168" s="3">
        <f>IF(($A168-Ft!C$2)&lt;0,Ft!C$3*((1-Ft!C$6)/(1+Ft!C$37*($A168-Ft!C$2)^2)+Ft!C$6*EXP(Ft!C$38*($A168-Ft!C$2)^2)),Ft!C$3*((1-Ft!C$7)/(1+Ft!C$39*($A168-Ft!C$2)^2)+Ft!C$7*EXP(Ft!C$40*($A168-Ft!C$2)^2)))</f>
        <v>39.341448775858737</v>
      </c>
      <c r="H168" s="3">
        <f>IF(($A168-Ft!D$2)&lt;0,Ft!D$3*((1-Ft!D$6)/(1+Ft!D$37*($A168-Ft!D$2)^2)+Ft!D$6*EXP(Ft!D$38*($A168-Ft!D$2)^2)),Ft!D$3*((1-Ft!D$7)/(1+Ft!D$39*($A168-Ft!D$2)^2)+Ft!D$7*EXP(Ft!D$40*($A168-Ft!D$2)^2)))</f>
        <v>1.4754034627739001E-3</v>
      </c>
      <c r="I168" s="3">
        <f>IF(($A168-Ft!E$2)&lt;0,Ft!E$3*((1-Ft!E$6)/(1+Ft!E$37*($A168-Ft!E$2)^2)+Ft!E$6*EXP(Ft!E$38*($A168-Ft!E$2)^2)),Ft!E$3*((1-Ft!E$7)/(1+Ft!E$39*($A168-Ft!E$2)^2)+Ft!E$7*EXP(Ft!E$40*($A168-Ft!E$2)^2)))</f>
        <v>37.762474062895009</v>
      </c>
      <c r="J168" s="3">
        <f>IF(($A168-Ft!F$2)&lt;0,Ft!F$3*((1-Ft!F$6)/(1+Ft!F$37*($A168-Ft!F$2)^2)+Ft!F$6*EXP(Ft!F$38*($A168-Ft!F$2)^2)),Ft!F$3*((1-Ft!F$7)/(1+Ft!F$39*($A168-Ft!F$2)^2)+Ft!F$7*EXP(Ft!F$40*($A168-Ft!F$2)^2)))</f>
        <v>18.165687255201739</v>
      </c>
      <c r="K168" s="3">
        <f>IF(($A168-Ft!G$2)&lt;0,Ft!G$3*((1-Ft!G$6)/(1+Ft!G$37*($A168-Ft!G$2)^2)+Ft!G$6*EXP(Ft!G$38*($A168-Ft!G$2)^2)),Ft!G$3*((1-Ft!G$7)/(1+Ft!G$39*($A168-Ft!G$2)^2)+Ft!G$7*EXP(Ft!G$40*($A168-Ft!G$2)^2)))</f>
        <v>48.777727933917568</v>
      </c>
      <c r="L168" s="3">
        <f>IF(($A168-Ft!H$2)&lt;0,Ft!H$3*((1-Ft!H$6)/(1+Ft!H$37*($A168-Ft!H$2)^2)+Ft!H$6*EXP(Ft!H$38*($A168-Ft!H$2)^2)),Ft!H$3*((1-Ft!H$7)/(1+Ft!H$39*($A168-Ft!H$2)^2)+Ft!H$7*EXP(Ft!H$40*($A168-Ft!H$2)^2)))</f>
        <v>0</v>
      </c>
      <c r="M168" s="3">
        <f>IF(($A168-Ft!I$2)&lt;0,Ft!I$3*((1-Ft!I$6)/(1+Ft!I$37*($A168-Ft!I$2)^2)+Ft!I$6*EXP(Ft!I$38*($A168-Ft!I$2)^2)),Ft!I$3*((1-Ft!I$7)/(1+Ft!I$39*($A168-Ft!I$2)^2)+Ft!I$7*EXP(Ft!I$40*($A168-Ft!I$2)^2)))</f>
        <v>0</v>
      </c>
      <c r="N168" s="3">
        <f>IF(($A168-Ft!J$2)&lt;0,Ft!J$3*((1-Ft!J$6)/(1+Ft!J$37*($A168-Ft!J$2)^2)+Ft!J$6*EXP(Ft!J$38*($A168-Ft!J$2)^2)),Ft!J$3*((1-Ft!J$7)/(1+Ft!J$39*($A168-Ft!J$2)^2)+Ft!J$7*EXP(Ft!J$40*($A168-Ft!J$2)^2)))</f>
        <v>0</v>
      </c>
      <c r="O168" s="3">
        <f>IF(($A168-Ft!K$2)&lt;0,Ft!K$3*((1-Ft!K$6)/(1+Ft!K$37*($A168-Ft!K$2)^2)+Ft!K$6*EXP(Ft!K$38*($A168-Ft!K$2)^2)),Ft!K$3*((1-Ft!K$7)/(1+Ft!K$39*($A168-Ft!K$2)^2)+Ft!K$7*EXP(Ft!K$40*($A168-Ft!K$2)^2)))</f>
        <v>0</v>
      </c>
      <c r="P168"/>
      <c r="Q168"/>
    </row>
    <row r="169" spans="1:17">
      <c r="A169" s="20">
        <v>335</v>
      </c>
      <c r="B169" s="29">
        <v>31.362186999360915</v>
      </c>
      <c r="C169" s="7">
        <f t="shared" si="5"/>
        <v>31.068993274000462</v>
      </c>
      <c r="D169" s="3">
        <f t="shared" si="6"/>
        <v>8.5962560590740783E-2</v>
      </c>
      <c r="E169" s="3">
        <f>Ft!$B$12+Ft!$B$14*(Data!A169-Vars!$B$3)</f>
        <v>-200</v>
      </c>
      <c r="F169" s="3">
        <f>IF(($A169-Ft!B$2)&lt;0,Ft!B$3*((1-Ft!B$6)/(1+Ft!B$37*($A169-Ft!B$2)^2)+Ft!B$6*EXP(Ft!B$38*($A169-Ft!B$2)^2)),Ft!B$3*((1-Ft!B$7)/(1+Ft!B$39*($A169-Ft!B$2)^2)+Ft!B$7*EXP(Ft!B$40*($A169-Ft!B$2)^2)))</f>
        <v>86.305057303226619</v>
      </c>
      <c r="G169" s="3">
        <f>IF(($A169-Ft!C$2)&lt;0,Ft!C$3*((1-Ft!C$6)/(1+Ft!C$37*($A169-Ft!C$2)^2)+Ft!C$6*EXP(Ft!C$38*($A169-Ft!C$2)^2)),Ft!C$3*((1-Ft!C$7)/(1+Ft!C$39*($A169-Ft!C$2)^2)+Ft!C$7*EXP(Ft!C$40*($A169-Ft!C$2)^2)))</f>
        <v>39.440322268369165</v>
      </c>
      <c r="H169" s="3">
        <f>IF(($A169-Ft!D$2)&lt;0,Ft!D$3*((1-Ft!D$6)/(1+Ft!D$37*($A169-Ft!D$2)^2)+Ft!D$6*EXP(Ft!D$38*($A169-Ft!D$2)^2)),Ft!D$3*((1-Ft!D$7)/(1+Ft!D$39*($A169-Ft!D$2)^2)+Ft!D$7*EXP(Ft!D$40*($A169-Ft!D$2)^2)))</f>
        <v>1.9474198995664866E-3</v>
      </c>
      <c r="I169" s="3">
        <f>IF(($A169-Ft!E$2)&lt;0,Ft!E$3*((1-Ft!E$6)/(1+Ft!E$37*($A169-Ft!E$2)^2)+Ft!E$6*EXP(Ft!E$38*($A169-Ft!E$2)^2)),Ft!E$3*((1-Ft!E$7)/(1+Ft!E$39*($A169-Ft!E$2)^2)+Ft!E$7*EXP(Ft!E$40*($A169-Ft!E$2)^2)))</f>
        <v>38.187264269387711</v>
      </c>
      <c r="J169" s="3">
        <f>IF(($A169-Ft!F$2)&lt;0,Ft!F$3*((1-Ft!F$6)/(1+Ft!F$37*($A169-Ft!F$2)^2)+Ft!F$6*EXP(Ft!F$38*($A169-Ft!F$2)^2)),Ft!F$3*((1-Ft!F$7)/(1+Ft!F$39*($A169-Ft!F$2)^2)+Ft!F$7*EXP(Ft!F$40*($A169-Ft!F$2)^2)))</f>
        <v>18.301848935681882</v>
      </c>
      <c r="K169" s="3">
        <f>IF(($A169-Ft!G$2)&lt;0,Ft!G$3*((1-Ft!G$6)/(1+Ft!G$37*($A169-Ft!G$2)^2)+Ft!G$6*EXP(Ft!G$38*($A169-Ft!G$2)^2)),Ft!G$3*((1-Ft!G$7)/(1+Ft!G$39*($A169-Ft!G$2)^2)+Ft!G$7*EXP(Ft!G$40*($A169-Ft!G$2)^2)))</f>
        <v>48.832553077435527</v>
      </c>
      <c r="L169" s="3">
        <f>IF(($A169-Ft!H$2)&lt;0,Ft!H$3*((1-Ft!H$6)/(1+Ft!H$37*($A169-Ft!H$2)^2)+Ft!H$6*EXP(Ft!H$38*($A169-Ft!H$2)^2)),Ft!H$3*((1-Ft!H$7)/(1+Ft!H$39*($A169-Ft!H$2)^2)+Ft!H$7*EXP(Ft!H$40*($A169-Ft!H$2)^2)))</f>
        <v>0</v>
      </c>
      <c r="M169" s="3">
        <f>IF(($A169-Ft!I$2)&lt;0,Ft!I$3*((1-Ft!I$6)/(1+Ft!I$37*($A169-Ft!I$2)^2)+Ft!I$6*EXP(Ft!I$38*($A169-Ft!I$2)^2)),Ft!I$3*((1-Ft!I$7)/(1+Ft!I$39*($A169-Ft!I$2)^2)+Ft!I$7*EXP(Ft!I$40*($A169-Ft!I$2)^2)))</f>
        <v>0</v>
      </c>
      <c r="N169" s="3">
        <f>IF(($A169-Ft!J$2)&lt;0,Ft!J$3*((1-Ft!J$6)/(1+Ft!J$37*($A169-Ft!J$2)^2)+Ft!J$6*EXP(Ft!J$38*($A169-Ft!J$2)^2)),Ft!J$3*((1-Ft!J$7)/(1+Ft!J$39*($A169-Ft!J$2)^2)+Ft!J$7*EXP(Ft!J$40*($A169-Ft!J$2)^2)))</f>
        <v>0</v>
      </c>
      <c r="O169" s="3">
        <f>IF(($A169-Ft!K$2)&lt;0,Ft!K$3*((1-Ft!K$6)/(1+Ft!K$37*($A169-Ft!K$2)^2)+Ft!K$6*EXP(Ft!K$38*($A169-Ft!K$2)^2)),Ft!K$3*((1-Ft!K$7)/(1+Ft!K$39*($A169-Ft!K$2)^2)+Ft!K$7*EXP(Ft!K$40*($A169-Ft!K$2)^2)))</f>
        <v>0</v>
      </c>
      <c r="P169"/>
      <c r="Q169"/>
    </row>
    <row r="170" spans="1:17">
      <c r="A170" s="20">
        <v>337</v>
      </c>
      <c r="B170" s="29">
        <v>31.617631718822182</v>
      </c>
      <c r="C170" s="7">
        <f t="shared" si="5"/>
        <v>31.324262825920556</v>
      </c>
      <c r="D170" s="3">
        <f t="shared" si="6"/>
        <v>8.6065307322325466E-2</v>
      </c>
      <c r="E170" s="3">
        <f>Ft!$B$12+Ft!$B$14*(Data!A170-Vars!$B$3)</f>
        <v>-200</v>
      </c>
      <c r="F170" s="3">
        <f>IF(($A170-Ft!B$2)&lt;0,Ft!B$3*((1-Ft!B$6)/(1+Ft!B$37*($A170-Ft!B$2)^2)+Ft!B$6*EXP(Ft!B$38*($A170-Ft!B$2)^2)),Ft!B$3*((1-Ft!B$7)/(1+Ft!B$39*($A170-Ft!B$2)^2)+Ft!B$7*EXP(Ft!B$40*($A170-Ft!B$2)^2)))</f>
        <v>85.846863652019863</v>
      </c>
      <c r="G170" s="3">
        <f>IF(($A170-Ft!C$2)&lt;0,Ft!C$3*((1-Ft!C$6)/(1+Ft!C$37*($A170-Ft!C$2)^2)+Ft!C$6*EXP(Ft!C$38*($A170-Ft!C$2)^2)),Ft!C$3*((1-Ft!C$7)/(1+Ft!C$39*($A170-Ft!C$2)^2)+Ft!C$7*EXP(Ft!C$40*($A170-Ft!C$2)^2)))</f>
        <v>39.539094891129956</v>
      </c>
      <c r="H170" s="3">
        <f>IF(($A170-Ft!D$2)&lt;0,Ft!D$3*((1-Ft!D$6)/(1+Ft!D$37*($A170-Ft!D$2)^2)+Ft!D$6*EXP(Ft!D$38*($A170-Ft!D$2)^2)),Ft!D$3*((1-Ft!D$7)/(1+Ft!D$39*($A170-Ft!D$2)^2)+Ft!D$7*EXP(Ft!D$40*($A170-Ft!D$2)^2)))</f>
        <v>2.5563039768915405E-3</v>
      </c>
      <c r="I170" s="3">
        <f>IF(($A170-Ft!E$2)&lt;0,Ft!E$3*((1-Ft!E$6)/(1+Ft!E$37*($A170-Ft!E$2)^2)+Ft!E$6*EXP(Ft!E$38*($A170-Ft!E$2)^2)),Ft!E$3*((1-Ft!E$7)/(1+Ft!E$39*($A170-Ft!E$2)^2)+Ft!E$7*EXP(Ft!E$40*($A170-Ft!E$2)^2)))</f>
        <v>38.614593949312784</v>
      </c>
      <c r="J170" s="3">
        <f>IF(($A170-Ft!F$2)&lt;0,Ft!F$3*((1-Ft!F$6)/(1+Ft!F$37*($A170-Ft!F$2)^2)+Ft!F$6*EXP(Ft!F$38*($A170-Ft!F$2)^2)),Ft!F$3*((1-Ft!F$7)/(1+Ft!F$39*($A170-Ft!F$2)^2)+Ft!F$7*EXP(Ft!F$40*($A170-Ft!F$2)^2)))</f>
        <v>18.438788373468981</v>
      </c>
      <c r="K170" s="3">
        <f>IF(($A170-Ft!G$2)&lt;0,Ft!G$3*((1-Ft!G$6)/(1+Ft!G$37*($A170-Ft!G$2)^2)+Ft!G$6*EXP(Ft!G$38*($A170-Ft!G$2)^2)),Ft!G$3*((1-Ft!G$7)/(1+Ft!G$39*($A170-Ft!G$2)^2)+Ft!G$7*EXP(Ft!G$40*($A170-Ft!G$2)^2)))</f>
        <v>48.882365656012077</v>
      </c>
      <c r="L170" s="3">
        <f>IF(($A170-Ft!H$2)&lt;0,Ft!H$3*((1-Ft!H$6)/(1+Ft!H$37*($A170-Ft!H$2)^2)+Ft!H$6*EXP(Ft!H$38*($A170-Ft!H$2)^2)),Ft!H$3*((1-Ft!H$7)/(1+Ft!H$39*($A170-Ft!H$2)^2)+Ft!H$7*EXP(Ft!H$40*($A170-Ft!H$2)^2)))</f>
        <v>0</v>
      </c>
      <c r="M170" s="3">
        <f>IF(($A170-Ft!I$2)&lt;0,Ft!I$3*((1-Ft!I$6)/(1+Ft!I$37*($A170-Ft!I$2)^2)+Ft!I$6*EXP(Ft!I$38*($A170-Ft!I$2)^2)),Ft!I$3*((1-Ft!I$7)/(1+Ft!I$39*($A170-Ft!I$2)^2)+Ft!I$7*EXP(Ft!I$40*($A170-Ft!I$2)^2)))</f>
        <v>0</v>
      </c>
      <c r="N170" s="3">
        <f>IF(($A170-Ft!J$2)&lt;0,Ft!J$3*((1-Ft!J$6)/(1+Ft!J$37*($A170-Ft!J$2)^2)+Ft!J$6*EXP(Ft!J$38*($A170-Ft!J$2)^2)),Ft!J$3*((1-Ft!J$7)/(1+Ft!J$39*($A170-Ft!J$2)^2)+Ft!J$7*EXP(Ft!J$40*($A170-Ft!J$2)^2)))</f>
        <v>0</v>
      </c>
      <c r="O170" s="3">
        <f>IF(($A170-Ft!K$2)&lt;0,Ft!K$3*((1-Ft!K$6)/(1+Ft!K$37*($A170-Ft!K$2)^2)+Ft!K$6*EXP(Ft!K$38*($A170-Ft!K$2)^2)),Ft!K$3*((1-Ft!K$7)/(1+Ft!K$39*($A170-Ft!K$2)^2)+Ft!K$7*EXP(Ft!K$40*($A170-Ft!K$2)^2)))</f>
        <v>0</v>
      </c>
      <c r="P170"/>
      <c r="Q170"/>
    </row>
    <row r="171" spans="1:17">
      <c r="A171" s="20">
        <v>339</v>
      </c>
      <c r="B171" s="29">
        <v>31.869761984471012</v>
      </c>
      <c r="C171" s="7">
        <f t="shared" si="5"/>
        <v>31.578674143005067</v>
      </c>
      <c r="D171" s="3">
        <f t="shared" si="6"/>
        <v>8.4732131449303139E-2</v>
      </c>
      <c r="E171" s="3">
        <f>Ft!$B$12+Ft!$B$14*(Data!A171-Vars!$B$3)</f>
        <v>-200</v>
      </c>
      <c r="F171" s="3">
        <f>IF(($A171-Ft!B$2)&lt;0,Ft!B$3*((1-Ft!B$6)/(1+Ft!B$37*($A171-Ft!B$2)^2)+Ft!B$6*EXP(Ft!B$38*($A171-Ft!B$2)^2)),Ft!B$3*((1-Ft!B$7)/(1+Ft!B$39*($A171-Ft!B$2)^2)+Ft!B$7*EXP(Ft!B$40*($A171-Ft!B$2)^2)))</f>
        <v>85.389472728842549</v>
      </c>
      <c r="G171" s="3">
        <f>IF(($A171-Ft!C$2)&lt;0,Ft!C$3*((1-Ft!C$6)/(1+Ft!C$37*($A171-Ft!C$2)^2)+Ft!C$6*EXP(Ft!C$38*($A171-Ft!C$2)^2)),Ft!C$3*((1-Ft!C$7)/(1+Ft!C$39*($A171-Ft!C$2)^2)+Ft!C$7*EXP(Ft!C$40*($A171-Ft!C$2)^2)))</f>
        <v>39.637764643884353</v>
      </c>
      <c r="H171" s="3">
        <f>IF(($A171-Ft!D$2)&lt;0,Ft!D$3*((1-Ft!D$6)/(1+Ft!D$37*($A171-Ft!D$2)^2)+Ft!D$6*EXP(Ft!D$38*($A171-Ft!D$2)^2)),Ft!D$3*((1-Ft!D$7)/(1+Ft!D$39*($A171-Ft!D$2)^2)+Ft!D$7*EXP(Ft!D$40*($A171-Ft!D$2)^2)))</f>
        <v>3.3371019512504706E-3</v>
      </c>
      <c r="I171" s="3">
        <f>IF(($A171-Ft!E$2)&lt;0,Ft!E$3*((1-Ft!E$6)/(1+Ft!E$37*($A171-Ft!E$2)^2)+Ft!E$6*EXP(Ft!E$38*($A171-Ft!E$2)^2)),Ft!E$3*((1-Ft!E$7)/(1+Ft!E$39*($A171-Ft!E$2)^2)+Ft!E$7*EXP(Ft!E$40*($A171-Ft!E$2)^2)))</f>
        <v>39.0444416901544</v>
      </c>
      <c r="J171" s="3">
        <f>IF(($A171-Ft!F$2)&lt;0,Ft!F$3*((1-Ft!F$6)/(1+Ft!F$37*($A171-Ft!F$2)^2)+Ft!F$6*EXP(Ft!F$38*($A171-Ft!F$2)^2)),Ft!F$3*((1-Ft!F$7)/(1+Ft!F$39*($A171-Ft!F$2)^2)+Ft!F$7*EXP(Ft!F$40*($A171-Ft!F$2)^2)))</f>
        <v>18.576507767382765</v>
      </c>
      <c r="K171" s="3">
        <f>IF(($A171-Ft!G$2)&lt;0,Ft!G$3*((1-Ft!G$6)/(1+Ft!G$37*($A171-Ft!G$2)^2)+Ft!G$6*EXP(Ft!G$38*($A171-Ft!G$2)^2)),Ft!G$3*((1-Ft!G$7)/(1+Ft!G$39*($A171-Ft!G$2)^2)+Ft!G$7*EXP(Ft!G$40*($A171-Ft!G$2)^2)))</f>
        <v>48.927150210789755</v>
      </c>
      <c r="L171" s="3">
        <f>IF(($A171-Ft!H$2)&lt;0,Ft!H$3*((1-Ft!H$6)/(1+Ft!H$37*($A171-Ft!H$2)^2)+Ft!H$6*EXP(Ft!H$38*($A171-Ft!H$2)^2)),Ft!H$3*((1-Ft!H$7)/(1+Ft!H$39*($A171-Ft!H$2)^2)+Ft!H$7*EXP(Ft!H$40*($A171-Ft!H$2)^2)))</f>
        <v>0</v>
      </c>
      <c r="M171" s="3">
        <f>IF(($A171-Ft!I$2)&lt;0,Ft!I$3*((1-Ft!I$6)/(1+Ft!I$37*($A171-Ft!I$2)^2)+Ft!I$6*EXP(Ft!I$38*($A171-Ft!I$2)^2)),Ft!I$3*((1-Ft!I$7)/(1+Ft!I$39*($A171-Ft!I$2)^2)+Ft!I$7*EXP(Ft!I$40*($A171-Ft!I$2)^2)))</f>
        <v>0</v>
      </c>
      <c r="N171" s="3">
        <f>IF(($A171-Ft!J$2)&lt;0,Ft!J$3*((1-Ft!J$6)/(1+Ft!J$37*($A171-Ft!J$2)^2)+Ft!J$6*EXP(Ft!J$38*($A171-Ft!J$2)^2)),Ft!J$3*((1-Ft!J$7)/(1+Ft!J$39*($A171-Ft!J$2)^2)+Ft!J$7*EXP(Ft!J$40*($A171-Ft!J$2)^2)))</f>
        <v>0</v>
      </c>
      <c r="O171" s="3">
        <f>IF(($A171-Ft!K$2)&lt;0,Ft!K$3*((1-Ft!K$6)/(1+Ft!K$37*($A171-Ft!K$2)^2)+Ft!K$6*EXP(Ft!K$38*($A171-Ft!K$2)^2)),Ft!K$3*((1-Ft!K$7)/(1+Ft!K$39*($A171-Ft!K$2)^2)+Ft!K$7*EXP(Ft!K$40*($A171-Ft!K$2)^2)))</f>
        <v>0</v>
      </c>
      <c r="P171"/>
      <c r="Q171"/>
    </row>
    <row r="172" spans="1:17">
      <c r="A172" s="20">
        <v>341</v>
      </c>
      <c r="B172" s="29">
        <v>32.118701930405948</v>
      </c>
      <c r="C172" s="7">
        <f t="shared" si="5"/>
        <v>31.83224715034611</v>
      </c>
      <c r="D172" s="3">
        <f t="shared" si="6"/>
        <v>8.2056341019130188E-2</v>
      </c>
      <c r="E172" s="3">
        <f>Ft!$B$12+Ft!$B$14*(Data!A172-Vars!$B$3)</f>
        <v>-200</v>
      </c>
      <c r="F172" s="3">
        <f>IF(($A172-Ft!B$2)&lt;0,Ft!B$3*((1-Ft!B$6)/(1+Ft!B$37*($A172-Ft!B$2)^2)+Ft!B$6*EXP(Ft!B$38*($A172-Ft!B$2)^2)),Ft!B$3*((1-Ft!B$7)/(1+Ft!B$39*($A172-Ft!B$2)^2)+Ft!B$7*EXP(Ft!B$40*($A172-Ft!B$2)^2)))</f>
        <v>84.932897670297962</v>
      </c>
      <c r="G172" s="3">
        <f>IF(($A172-Ft!C$2)&lt;0,Ft!C$3*((1-Ft!C$6)/(1+Ft!C$37*($A172-Ft!C$2)^2)+Ft!C$6*EXP(Ft!C$38*($A172-Ft!C$2)^2)),Ft!C$3*((1-Ft!C$7)/(1+Ft!C$39*($A172-Ft!C$2)^2)+Ft!C$7*EXP(Ft!C$40*($A172-Ft!C$2)^2)))</f>
        <v>39.736329524105329</v>
      </c>
      <c r="H172" s="3">
        <f>IF(($A172-Ft!D$2)&lt;0,Ft!D$3*((1-Ft!D$6)/(1+Ft!D$37*($A172-Ft!D$2)^2)+Ft!D$6*EXP(Ft!D$38*($A172-Ft!D$2)^2)),Ft!D$3*((1-Ft!D$7)/(1+Ft!D$39*($A172-Ft!D$2)^2)+Ft!D$7*EXP(Ft!D$40*($A172-Ft!D$2)^2)))</f>
        <v>4.3324198924871568E-3</v>
      </c>
      <c r="I172" s="3">
        <f>IF(($A172-Ft!E$2)&lt;0,Ft!E$3*((1-Ft!E$6)/(1+Ft!E$37*($A172-Ft!E$2)^2)+Ft!E$6*EXP(Ft!E$38*($A172-Ft!E$2)^2)),Ft!E$3*((1-Ft!E$7)/(1+Ft!E$39*($A172-Ft!E$2)^2)+Ft!E$7*EXP(Ft!E$40*($A172-Ft!E$2)^2)))</f>
        <v>39.476785399986966</v>
      </c>
      <c r="J172" s="3">
        <f>IF(($A172-Ft!F$2)&lt;0,Ft!F$3*((1-Ft!F$6)/(1+Ft!F$37*($A172-Ft!F$2)^2)+Ft!F$6*EXP(Ft!F$38*($A172-Ft!F$2)^2)),Ft!F$3*((1-Ft!F$7)/(1+Ft!F$39*($A172-Ft!F$2)^2)+Ft!F$7*EXP(Ft!F$40*($A172-Ft!F$2)^2)))</f>
        <v>18.715009301748577</v>
      </c>
      <c r="K172" s="3">
        <f>IF(($A172-Ft!G$2)&lt;0,Ft!G$3*((1-Ft!G$6)/(1+Ft!G$37*($A172-Ft!G$2)^2)+Ft!G$6*EXP(Ft!G$38*($A172-Ft!G$2)^2)),Ft!G$3*((1-Ft!G$7)/(1+Ft!G$39*($A172-Ft!G$2)^2)+Ft!G$7*EXP(Ft!G$40*($A172-Ft!G$2)^2)))</f>
        <v>48.966892834314784</v>
      </c>
      <c r="L172" s="3">
        <f>IF(($A172-Ft!H$2)&lt;0,Ft!H$3*((1-Ft!H$6)/(1+Ft!H$37*($A172-Ft!H$2)^2)+Ft!H$6*EXP(Ft!H$38*($A172-Ft!H$2)^2)),Ft!H$3*((1-Ft!H$7)/(1+Ft!H$39*($A172-Ft!H$2)^2)+Ft!H$7*EXP(Ft!H$40*($A172-Ft!H$2)^2)))</f>
        <v>0</v>
      </c>
      <c r="M172" s="3">
        <f>IF(($A172-Ft!I$2)&lt;0,Ft!I$3*((1-Ft!I$6)/(1+Ft!I$37*($A172-Ft!I$2)^2)+Ft!I$6*EXP(Ft!I$38*($A172-Ft!I$2)^2)),Ft!I$3*((1-Ft!I$7)/(1+Ft!I$39*($A172-Ft!I$2)^2)+Ft!I$7*EXP(Ft!I$40*($A172-Ft!I$2)^2)))</f>
        <v>0</v>
      </c>
      <c r="N172" s="3">
        <f>IF(($A172-Ft!J$2)&lt;0,Ft!J$3*((1-Ft!J$6)/(1+Ft!J$37*($A172-Ft!J$2)^2)+Ft!J$6*EXP(Ft!J$38*($A172-Ft!J$2)^2)),Ft!J$3*((1-Ft!J$7)/(1+Ft!J$39*($A172-Ft!J$2)^2)+Ft!J$7*EXP(Ft!J$40*($A172-Ft!J$2)^2)))</f>
        <v>0</v>
      </c>
      <c r="O172" s="3">
        <f>IF(($A172-Ft!K$2)&lt;0,Ft!K$3*((1-Ft!K$6)/(1+Ft!K$37*($A172-Ft!K$2)^2)+Ft!K$6*EXP(Ft!K$38*($A172-Ft!K$2)^2)),Ft!K$3*((1-Ft!K$7)/(1+Ft!K$39*($A172-Ft!K$2)^2)+Ft!K$7*EXP(Ft!K$40*($A172-Ft!K$2)^2)))</f>
        <v>0</v>
      </c>
      <c r="P172"/>
      <c r="Q172"/>
    </row>
    <row r="173" spans="1:17">
      <c r="A173" s="20">
        <v>343</v>
      </c>
      <c r="B173" s="29">
        <v>32.36461930670086</v>
      </c>
      <c r="C173" s="7">
        <f t="shared" si="5"/>
        <v>32.085011307544747</v>
      </c>
      <c r="D173" s="3">
        <f t="shared" si="6"/>
        <v>7.8180633192084834E-2</v>
      </c>
      <c r="E173" s="3">
        <f>Ft!$B$12+Ft!$B$14*(Data!A173-Vars!$B$3)</f>
        <v>-200</v>
      </c>
      <c r="F173" s="3">
        <f>IF(($A173-Ft!B$2)&lt;0,Ft!B$3*((1-Ft!B$6)/(1+Ft!B$37*($A173-Ft!B$2)^2)+Ft!B$6*EXP(Ft!B$38*($A173-Ft!B$2)^2)),Ft!B$3*((1-Ft!B$7)/(1+Ft!B$39*($A173-Ft!B$2)^2)+Ft!B$7*EXP(Ft!B$40*($A173-Ft!B$2)^2)))</f>
        <v>84.477151496282119</v>
      </c>
      <c r="G173" s="3">
        <f>IF(($A173-Ft!C$2)&lt;0,Ft!C$3*((1-Ft!C$6)/(1+Ft!C$37*($A173-Ft!C$2)^2)+Ft!C$6*EXP(Ft!C$38*($A173-Ft!C$2)^2)),Ft!C$3*((1-Ft!C$7)/(1+Ft!C$39*($A173-Ft!C$2)^2)+Ft!C$7*EXP(Ft!C$40*($A173-Ft!C$2)^2)))</f>
        <v>39.834787527060783</v>
      </c>
      <c r="H173" s="3">
        <f>IF(($A173-Ft!D$2)&lt;0,Ft!D$3*((1-Ft!D$6)/(1+Ft!D$37*($A173-Ft!D$2)^2)+Ft!D$6*EXP(Ft!D$38*($A173-Ft!D$2)^2)),Ft!D$3*((1-Ft!D$7)/(1+Ft!D$39*($A173-Ft!D$2)^2)+Ft!D$7*EXP(Ft!D$40*($A173-Ft!D$2)^2)))</f>
        <v>5.5936552291557078E-3</v>
      </c>
      <c r="I173" s="3">
        <f>IF(($A173-Ft!E$2)&lt;0,Ft!E$3*((1-Ft!E$6)/(1+Ft!E$37*($A173-Ft!E$2)^2)+Ft!E$6*EXP(Ft!E$38*($A173-Ft!E$2)^2)),Ft!E$3*((1-Ft!E$7)/(1+Ft!E$39*($A173-Ft!E$2)^2)+Ft!E$7*EXP(Ft!E$40*($A173-Ft!E$2)^2)))</f>
        <v>39.911602305064228</v>
      </c>
      <c r="J173" s="3">
        <f>IF(($A173-Ft!F$2)&lt;0,Ft!F$3*((1-Ft!F$6)/(1+Ft!F$37*($A173-Ft!F$2)^2)+Ft!F$6*EXP(Ft!F$38*($A173-Ft!F$2)^2)),Ft!F$3*((1-Ft!F$7)/(1+Ft!F$39*($A173-Ft!F$2)^2)+Ft!F$7*EXP(Ft!F$40*($A173-Ft!F$2)^2)))</f>
        <v>18.854295146173659</v>
      </c>
      <c r="K173" s="3">
        <f>IF(($A173-Ft!G$2)&lt;0,Ft!G$3*((1-Ft!G$6)/(1+Ft!G$37*($A173-Ft!G$2)^2)+Ft!G$6*EXP(Ft!G$38*($A173-Ft!G$2)^2)),Ft!G$3*((1-Ft!G$7)/(1+Ft!G$39*($A173-Ft!G$2)^2)+Ft!G$7*EXP(Ft!G$40*($A173-Ft!G$2)^2)))</f>
        <v>49.001581177734799</v>
      </c>
      <c r="L173" s="3">
        <f>IF(($A173-Ft!H$2)&lt;0,Ft!H$3*((1-Ft!H$6)/(1+Ft!H$37*($A173-Ft!H$2)^2)+Ft!H$6*EXP(Ft!H$38*($A173-Ft!H$2)^2)),Ft!H$3*((1-Ft!H$7)/(1+Ft!H$39*($A173-Ft!H$2)^2)+Ft!H$7*EXP(Ft!H$40*($A173-Ft!H$2)^2)))</f>
        <v>0</v>
      </c>
      <c r="M173" s="3">
        <f>IF(($A173-Ft!I$2)&lt;0,Ft!I$3*((1-Ft!I$6)/(1+Ft!I$37*($A173-Ft!I$2)^2)+Ft!I$6*EXP(Ft!I$38*($A173-Ft!I$2)^2)),Ft!I$3*((1-Ft!I$7)/(1+Ft!I$39*($A173-Ft!I$2)^2)+Ft!I$7*EXP(Ft!I$40*($A173-Ft!I$2)^2)))</f>
        <v>0</v>
      </c>
      <c r="N173" s="3">
        <f>IF(($A173-Ft!J$2)&lt;0,Ft!J$3*((1-Ft!J$6)/(1+Ft!J$37*($A173-Ft!J$2)^2)+Ft!J$6*EXP(Ft!J$38*($A173-Ft!J$2)^2)),Ft!J$3*((1-Ft!J$7)/(1+Ft!J$39*($A173-Ft!J$2)^2)+Ft!J$7*EXP(Ft!J$40*($A173-Ft!J$2)^2)))</f>
        <v>0</v>
      </c>
      <c r="O173" s="3">
        <f>IF(($A173-Ft!K$2)&lt;0,Ft!K$3*((1-Ft!K$6)/(1+Ft!K$37*($A173-Ft!K$2)^2)+Ft!K$6*EXP(Ft!K$38*($A173-Ft!K$2)^2)),Ft!K$3*((1-Ft!K$7)/(1+Ft!K$39*($A173-Ft!K$2)^2)+Ft!K$7*EXP(Ft!K$40*($A173-Ft!K$2)^2)))</f>
        <v>0</v>
      </c>
      <c r="P173"/>
      <c r="Q173"/>
    </row>
    <row r="174" spans="1:17">
      <c r="A174" s="20">
        <v>345</v>
      </c>
      <c r="B174" s="29">
        <v>32.607724886710344</v>
      </c>
      <c r="C174" s="7">
        <f t="shared" si="5"/>
        <v>32.337006938642382</v>
      </c>
      <c r="D174" s="3">
        <f t="shared" si="6"/>
        <v>7.3288207406127417E-2</v>
      </c>
      <c r="E174" s="3">
        <f>Ft!$B$12+Ft!$B$14*(Data!A174-Vars!$B$3)</f>
        <v>-200</v>
      </c>
      <c r="F174" s="3">
        <f>IF(($A174-Ft!B$2)&lt;0,Ft!B$3*((1-Ft!B$6)/(1+Ft!B$37*($A174-Ft!B$2)^2)+Ft!B$6*EXP(Ft!B$38*($A174-Ft!B$2)^2)),Ft!B$3*((1-Ft!B$7)/(1+Ft!B$39*($A174-Ft!B$2)^2)+Ft!B$7*EXP(Ft!B$40*($A174-Ft!B$2)^2)))</f>
        <v>84.022247109616416</v>
      </c>
      <c r="G174" s="3">
        <f>IF(($A174-Ft!C$2)&lt;0,Ft!C$3*((1-Ft!C$6)/(1+Ft!C$37*($A174-Ft!C$2)^2)+Ft!C$6*EXP(Ft!C$38*($A174-Ft!C$2)^2)),Ft!C$3*((1-Ft!C$7)/(1+Ft!C$39*($A174-Ft!C$2)^2)+Ft!C$7*EXP(Ft!C$40*($A174-Ft!C$2)^2)))</f>
        <v>39.933136645878953</v>
      </c>
      <c r="H174" s="3">
        <f>IF(($A174-Ft!D$2)&lt;0,Ft!D$3*((1-Ft!D$6)/(1+Ft!D$37*($A174-Ft!D$2)^2)+Ft!D$6*EXP(Ft!D$38*($A174-Ft!D$2)^2)),Ft!D$3*((1-Ft!D$7)/(1+Ft!D$39*($A174-Ft!D$2)^2)+Ft!D$7*EXP(Ft!D$40*($A174-Ft!D$2)^2)))</f>
        <v>7.1823230503388069E-3</v>
      </c>
      <c r="I174" s="3">
        <f>IF(($A174-Ft!E$2)&lt;0,Ft!E$3*((1-Ft!E$6)/(1+Ft!E$37*($A174-Ft!E$2)^2)+Ft!E$6*EXP(Ft!E$38*($A174-Ft!E$2)^2)),Ft!E$3*((1-Ft!E$7)/(1+Ft!E$39*($A174-Ft!E$2)^2)+Ft!E$7*EXP(Ft!E$40*($A174-Ft!E$2)^2)))</f>
        <v>40.348868947580222</v>
      </c>
      <c r="J174" s="3">
        <f>IF(($A174-Ft!F$2)&lt;0,Ft!F$3*((1-Ft!F$6)/(1+Ft!F$37*($A174-Ft!F$2)^2)+Ft!F$6*EXP(Ft!F$38*($A174-Ft!F$2)^2)),Ft!F$3*((1-Ft!F$7)/(1+Ft!F$39*($A174-Ft!F$2)^2)+Ft!F$7*EXP(Ft!F$40*($A174-Ft!F$2)^2)))</f>
        <v>18.994367455322703</v>
      </c>
      <c r="K174" s="3">
        <f>IF(($A174-Ft!G$2)&lt;0,Ft!G$3*((1-Ft!G$6)/(1+Ft!G$37*($A174-Ft!G$2)^2)+Ft!G$6*EXP(Ft!G$38*($A174-Ft!G$2)^2)),Ft!G$3*((1-Ft!G$7)/(1+Ft!G$39*($A174-Ft!G$2)^2)+Ft!G$7*EXP(Ft!G$40*($A174-Ft!G$2)^2)))</f>
        <v>49.031204457193738</v>
      </c>
      <c r="L174" s="3">
        <f>IF(($A174-Ft!H$2)&lt;0,Ft!H$3*((1-Ft!H$6)/(1+Ft!H$37*($A174-Ft!H$2)^2)+Ft!H$6*EXP(Ft!H$38*($A174-Ft!H$2)^2)),Ft!H$3*((1-Ft!H$7)/(1+Ft!H$39*($A174-Ft!H$2)^2)+Ft!H$7*EXP(Ft!H$40*($A174-Ft!H$2)^2)))</f>
        <v>0</v>
      </c>
      <c r="M174" s="3">
        <f>IF(($A174-Ft!I$2)&lt;0,Ft!I$3*((1-Ft!I$6)/(1+Ft!I$37*($A174-Ft!I$2)^2)+Ft!I$6*EXP(Ft!I$38*($A174-Ft!I$2)^2)),Ft!I$3*((1-Ft!I$7)/(1+Ft!I$39*($A174-Ft!I$2)^2)+Ft!I$7*EXP(Ft!I$40*($A174-Ft!I$2)^2)))</f>
        <v>0</v>
      </c>
      <c r="N174" s="3">
        <f>IF(($A174-Ft!J$2)&lt;0,Ft!J$3*((1-Ft!J$6)/(1+Ft!J$37*($A174-Ft!J$2)^2)+Ft!J$6*EXP(Ft!J$38*($A174-Ft!J$2)^2)),Ft!J$3*((1-Ft!J$7)/(1+Ft!J$39*($A174-Ft!J$2)^2)+Ft!J$7*EXP(Ft!J$40*($A174-Ft!J$2)^2)))</f>
        <v>0</v>
      </c>
      <c r="O174" s="3">
        <f>IF(($A174-Ft!K$2)&lt;0,Ft!K$3*((1-Ft!K$6)/(1+Ft!K$37*($A174-Ft!K$2)^2)+Ft!K$6*EXP(Ft!K$38*($A174-Ft!K$2)^2)),Ft!K$3*((1-Ft!K$7)/(1+Ft!K$39*($A174-Ft!K$2)^2)+Ft!K$7*EXP(Ft!K$40*($A174-Ft!K$2)^2)))</f>
        <v>0</v>
      </c>
      <c r="P174"/>
      <c r="Q174"/>
    </row>
    <row r="175" spans="1:17">
      <c r="A175" s="20">
        <v>347</v>
      </c>
      <c r="B175" s="29">
        <v>32.848271202896825</v>
      </c>
      <c r="C175" s="7">
        <f t="shared" si="5"/>
        <v>32.588286634514553</v>
      </c>
      <c r="D175" s="3">
        <f t="shared" si="6"/>
        <v>6.7591975796916337E-2</v>
      </c>
      <c r="E175" s="3">
        <f>Ft!$B$12+Ft!$B$14*(Data!A175-Vars!$B$3)</f>
        <v>-200</v>
      </c>
      <c r="F175" s="3">
        <f>IF(($A175-Ft!B$2)&lt;0,Ft!B$3*((1-Ft!B$6)/(1+Ft!B$37*($A175-Ft!B$2)^2)+Ft!B$6*EXP(Ft!B$38*($A175-Ft!B$2)^2)),Ft!B$3*((1-Ft!B$7)/(1+Ft!B$39*($A175-Ft!B$2)^2)+Ft!B$7*EXP(Ft!B$40*($A175-Ft!B$2)^2)))</f>
        <v>83.568197295693352</v>
      </c>
      <c r="G175" s="3">
        <f>IF(($A175-Ft!C$2)&lt;0,Ft!C$3*((1-Ft!C$6)/(1+Ft!C$37*($A175-Ft!C$2)^2)+Ft!C$6*EXP(Ft!C$38*($A175-Ft!C$2)^2)),Ft!C$3*((1-Ft!C$7)/(1+Ft!C$39*($A175-Ft!C$2)^2)+Ft!C$7*EXP(Ft!C$40*($A175-Ft!C$2)^2)))</f>
        <v>40.031374871614197</v>
      </c>
      <c r="H175" s="3">
        <f>IF(($A175-Ft!D$2)&lt;0,Ft!D$3*((1-Ft!D$6)/(1+Ft!D$37*($A175-Ft!D$2)^2)+Ft!D$6*EXP(Ft!D$38*($A175-Ft!D$2)^2)),Ft!D$3*((1-Ft!D$7)/(1+Ft!D$39*($A175-Ft!D$2)^2)+Ft!D$7*EXP(Ft!D$40*($A175-Ft!D$2)^2)))</f>
        <v>9.1714554901528942E-3</v>
      </c>
      <c r="I175" s="3">
        <f>IF(($A175-Ft!E$2)&lt;0,Ft!E$3*((1-Ft!E$6)/(1+Ft!E$37*($A175-Ft!E$2)^2)+Ft!E$6*EXP(Ft!E$38*($A175-Ft!E$2)^2)),Ft!E$3*((1-Ft!E$7)/(1+Ft!E$39*($A175-Ft!E$2)^2)+Ft!E$7*EXP(Ft!E$40*($A175-Ft!E$2)^2)))</f>
        <v>40.788561183605111</v>
      </c>
      <c r="J175" s="3">
        <f>IF(($A175-Ft!F$2)&lt;0,Ft!F$3*((1-Ft!F$6)/(1+Ft!F$37*($A175-Ft!F$2)^2)+Ft!F$6*EXP(Ft!F$38*($A175-Ft!F$2)^2)),Ft!F$3*((1-Ft!F$7)/(1+Ft!F$39*($A175-Ft!F$2)^2)+Ft!F$7*EXP(Ft!F$40*($A175-Ft!F$2)^2)))</f>
        <v>19.13522836869268</v>
      </c>
      <c r="K175" s="3">
        <f>IF(($A175-Ft!G$2)&lt;0,Ft!G$3*((1-Ft!G$6)/(1+Ft!G$37*($A175-Ft!G$2)^2)+Ft!G$6*EXP(Ft!G$38*($A175-Ft!G$2)^2)),Ft!G$3*((1-Ft!G$7)/(1+Ft!G$39*($A175-Ft!G$2)^2)+Ft!G$7*EXP(Ft!G$40*($A175-Ft!G$2)^2)))</f>
        <v>49.055753459419073</v>
      </c>
      <c r="L175" s="3">
        <f>IF(($A175-Ft!H$2)&lt;0,Ft!H$3*((1-Ft!H$6)/(1+Ft!H$37*($A175-Ft!H$2)^2)+Ft!H$6*EXP(Ft!H$38*($A175-Ft!H$2)^2)),Ft!H$3*((1-Ft!H$7)/(1+Ft!H$39*($A175-Ft!H$2)^2)+Ft!H$7*EXP(Ft!H$40*($A175-Ft!H$2)^2)))</f>
        <v>0</v>
      </c>
      <c r="M175" s="3">
        <f>IF(($A175-Ft!I$2)&lt;0,Ft!I$3*((1-Ft!I$6)/(1+Ft!I$37*($A175-Ft!I$2)^2)+Ft!I$6*EXP(Ft!I$38*($A175-Ft!I$2)^2)),Ft!I$3*((1-Ft!I$7)/(1+Ft!I$39*($A175-Ft!I$2)^2)+Ft!I$7*EXP(Ft!I$40*($A175-Ft!I$2)^2)))</f>
        <v>0</v>
      </c>
      <c r="N175" s="3">
        <f>IF(($A175-Ft!J$2)&lt;0,Ft!J$3*((1-Ft!J$6)/(1+Ft!J$37*($A175-Ft!J$2)^2)+Ft!J$6*EXP(Ft!J$38*($A175-Ft!J$2)^2)),Ft!J$3*((1-Ft!J$7)/(1+Ft!J$39*($A175-Ft!J$2)^2)+Ft!J$7*EXP(Ft!J$40*($A175-Ft!J$2)^2)))</f>
        <v>0</v>
      </c>
      <c r="O175" s="3">
        <f>IF(($A175-Ft!K$2)&lt;0,Ft!K$3*((1-Ft!K$6)/(1+Ft!K$37*($A175-Ft!K$2)^2)+Ft!K$6*EXP(Ft!K$38*($A175-Ft!K$2)^2)),Ft!K$3*((1-Ft!K$7)/(1+Ft!K$39*($A175-Ft!K$2)^2)+Ft!K$7*EXP(Ft!K$40*($A175-Ft!K$2)^2)))</f>
        <v>0</v>
      </c>
      <c r="P175"/>
      <c r="Q175"/>
    </row>
    <row r="176" spans="1:17">
      <c r="A176" s="20">
        <v>349</v>
      </c>
      <c r="B176" s="29">
        <v>33.086550587686801</v>
      </c>
      <c r="C176" s="7">
        <f t="shared" si="5"/>
        <v>32.838916696491665</v>
      </c>
      <c r="D176" s="3">
        <f t="shared" si="6"/>
        <v>6.132254406844441E-2</v>
      </c>
      <c r="E176" s="3">
        <f>Ft!$B$12+Ft!$B$14*(Data!A176-Vars!$B$3)</f>
        <v>-200</v>
      </c>
      <c r="F176" s="3">
        <f>IF(($A176-Ft!B$2)&lt;0,Ft!B$3*((1-Ft!B$6)/(1+Ft!B$37*($A176-Ft!B$2)^2)+Ft!B$6*EXP(Ft!B$38*($A176-Ft!B$2)^2)),Ft!B$3*((1-Ft!B$7)/(1+Ft!B$39*($A176-Ft!B$2)^2)+Ft!B$7*EXP(Ft!B$40*($A176-Ft!B$2)^2)))</f>
        <v>83.115014722135498</v>
      </c>
      <c r="G176" s="3">
        <f>IF(($A176-Ft!C$2)&lt;0,Ft!C$3*((1-Ft!C$6)/(1+Ft!C$37*($A176-Ft!C$2)^2)+Ft!C$6*EXP(Ft!C$38*($A176-Ft!C$2)^2)),Ft!C$3*((1-Ft!C$7)/(1+Ft!C$39*($A176-Ft!C$2)^2)+Ft!C$7*EXP(Ft!C$40*($A176-Ft!C$2)^2)))</f>
        <v>40.129500193312907</v>
      </c>
      <c r="H176" s="3">
        <f>IF(($A176-Ft!D$2)&lt;0,Ft!D$3*((1-Ft!D$6)/(1+Ft!D$37*($A176-Ft!D$2)^2)+Ft!D$6*EXP(Ft!D$38*($A176-Ft!D$2)^2)),Ft!D$3*((1-Ft!D$7)/(1+Ft!D$39*($A176-Ft!D$2)^2)+Ft!D$7*EXP(Ft!D$40*($A176-Ft!D$2)^2)))</f>
        <v>1.1647042960776642E-2</v>
      </c>
      <c r="I176" s="3">
        <f>IF(($A176-Ft!E$2)&lt;0,Ft!E$3*((1-Ft!E$6)/(1+Ft!E$37*($A176-Ft!E$2)^2)+Ft!E$6*EXP(Ft!E$38*($A176-Ft!E$2)^2)),Ft!E$3*((1-Ft!E$7)/(1+Ft!E$39*($A176-Ft!E$2)^2)+Ft!E$7*EXP(Ft!E$40*($A176-Ft!E$2)^2)))</f>
        <v>41.230654181198069</v>
      </c>
      <c r="J176" s="3">
        <f>IF(($A176-Ft!F$2)&lt;0,Ft!F$3*((1-Ft!F$6)/(1+Ft!F$37*($A176-Ft!F$2)^2)+Ft!F$6*EXP(Ft!F$38*($A176-Ft!F$2)^2)),Ft!F$3*((1-Ft!F$7)/(1+Ft!F$39*($A176-Ft!F$2)^2)+Ft!F$7*EXP(Ft!F$40*($A176-Ft!F$2)^2)))</f>
        <v>19.276880010387021</v>
      </c>
      <c r="K176" s="3">
        <f>IF(($A176-Ft!G$2)&lt;0,Ft!G$3*((1-Ft!G$6)/(1+Ft!G$37*($A176-Ft!G$2)^2)+Ft!G$6*EXP(Ft!G$38*($A176-Ft!G$2)^2)),Ft!G$3*((1-Ft!G$7)/(1+Ft!G$39*($A176-Ft!G$2)^2)+Ft!G$7*EXP(Ft!G$40*($A176-Ft!G$2)^2)))</f>
        <v>49.075220546497398</v>
      </c>
      <c r="L176" s="3">
        <f>IF(($A176-Ft!H$2)&lt;0,Ft!H$3*((1-Ft!H$6)/(1+Ft!H$37*($A176-Ft!H$2)^2)+Ft!H$6*EXP(Ft!H$38*($A176-Ft!H$2)^2)),Ft!H$3*((1-Ft!H$7)/(1+Ft!H$39*($A176-Ft!H$2)^2)+Ft!H$7*EXP(Ft!H$40*($A176-Ft!H$2)^2)))</f>
        <v>0</v>
      </c>
      <c r="M176" s="3">
        <f>IF(($A176-Ft!I$2)&lt;0,Ft!I$3*((1-Ft!I$6)/(1+Ft!I$37*($A176-Ft!I$2)^2)+Ft!I$6*EXP(Ft!I$38*($A176-Ft!I$2)^2)),Ft!I$3*((1-Ft!I$7)/(1+Ft!I$39*($A176-Ft!I$2)^2)+Ft!I$7*EXP(Ft!I$40*($A176-Ft!I$2)^2)))</f>
        <v>0</v>
      </c>
      <c r="N176" s="3">
        <f>IF(($A176-Ft!J$2)&lt;0,Ft!J$3*((1-Ft!J$6)/(1+Ft!J$37*($A176-Ft!J$2)^2)+Ft!J$6*EXP(Ft!J$38*($A176-Ft!J$2)^2)),Ft!J$3*((1-Ft!J$7)/(1+Ft!J$39*($A176-Ft!J$2)^2)+Ft!J$7*EXP(Ft!J$40*($A176-Ft!J$2)^2)))</f>
        <v>0</v>
      </c>
      <c r="O176" s="3">
        <f>IF(($A176-Ft!K$2)&lt;0,Ft!K$3*((1-Ft!K$6)/(1+Ft!K$37*($A176-Ft!K$2)^2)+Ft!K$6*EXP(Ft!K$38*($A176-Ft!K$2)^2)),Ft!K$3*((1-Ft!K$7)/(1+Ft!K$39*($A176-Ft!K$2)^2)+Ft!K$7*EXP(Ft!K$40*($A176-Ft!K$2)^2)))</f>
        <v>0</v>
      </c>
      <c r="P176"/>
      <c r="Q176"/>
    </row>
    <row r="177" spans="1:17">
      <c r="A177" s="20">
        <v>351</v>
      </c>
      <c r="B177" s="29">
        <v>33.32289250519716</v>
      </c>
      <c r="C177" s="7">
        <f t="shared" si="5"/>
        <v>33.088978579197033</v>
      </c>
      <c r="D177" s="3">
        <f t="shared" si="6"/>
        <v>5.4715724776793123E-2</v>
      </c>
      <c r="E177" s="3">
        <f>Ft!$B$12+Ft!$B$14*(Data!A177-Vars!$B$3)</f>
        <v>-200</v>
      </c>
      <c r="F177" s="3">
        <f>IF(($A177-Ft!B$2)&lt;0,Ft!B$3*((1-Ft!B$6)/(1+Ft!B$37*($A177-Ft!B$2)^2)+Ft!B$6*EXP(Ft!B$38*($A177-Ft!B$2)^2)),Ft!B$3*((1-Ft!B$7)/(1+Ft!B$39*($A177-Ft!B$2)^2)+Ft!B$7*EXP(Ft!B$40*($A177-Ft!B$2)^2)))</f>
        <v>82.662711938467282</v>
      </c>
      <c r="G177" s="3">
        <f>IF(($A177-Ft!C$2)&lt;0,Ft!C$3*((1-Ft!C$6)/(1+Ft!C$37*($A177-Ft!C$2)^2)+Ft!C$6*EXP(Ft!C$38*($A177-Ft!C$2)^2)),Ft!C$3*((1-Ft!C$7)/(1+Ft!C$39*($A177-Ft!C$2)^2)+Ft!C$7*EXP(Ft!C$40*($A177-Ft!C$2)^2)))</f>
        <v>40.227510598079753</v>
      </c>
      <c r="H177" s="3">
        <f>IF(($A177-Ft!D$2)&lt;0,Ft!D$3*((1-Ft!D$6)/(1+Ft!D$37*($A177-Ft!D$2)^2)+Ft!D$6*EXP(Ft!D$38*($A177-Ft!D$2)^2)),Ft!D$3*((1-Ft!D$7)/(1+Ft!D$39*($A177-Ft!D$2)^2)+Ft!D$7*EXP(Ft!D$40*($A177-Ft!D$2)^2)))</f>
        <v>1.4709475225484159E-2</v>
      </c>
      <c r="I177" s="3">
        <f>IF(($A177-Ft!E$2)&lt;0,Ft!E$3*((1-Ft!E$6)/(1+Ft!E$37*($A177-Ft!E$2)^2)+Ft!E$6*EXP(Ft!E$38*($A177-Ft!E$2)^2)),Ft!E$3*((1-Ft!E$7)/(1+Ft!E$39*($A177-Ft!E$2)^2)+Ft!E$7*EXP(Ft!E$40*($A177-Ft!E$2)^2)))</f>
        <v>41.675122418700354</v>
      </c>
      <c r="J177" s="3">
        <f>IF(($A177-Ft!F$2)&lt;0,Ft!F$3*((1-Ft!F$6)/(1+Ft!F$37*($A177-Ft!F$2)^2)+Ft!F$6*EXP(Ft!F$38*($A177-Ft!F$2)^2)),Ft!F$3*((1-Ft!F$7)/(1+Ft!F$39*($A177-Ft!F$2)^2)+Ft!F$7*EXP(Ft!F$40*($A177-Ft!F$2)^2)))</f>
        <v>19.419324488889192</v>
      </c>
      <c r="K177" s="3">
        <f>IF(($A177-Ft!G$2)&lt;0,Ft!G$3*((1-Ft!G$6)/(1+Ft!G$37*($A177-Ft!G$2)^2)+Ft!G$6*EXP(Ft!G$38*($A177-Ft!G$2)^2)),Ft!G$3*((1-Ft!G$7)/(1+Ft!G$39*($A177-Ft!G$2)^2)+Ft!G$7*EXP(Ft!G$40*($A177-Ft!G$2)^2)))</f>
        <v>49.089599659834953</v>
      </c>
      <c r="L177" s="3">
        <f>IF(($A177-Ft!H$2)&lt;0,Ft!H$3*((1-Ft!H$6)/(1+Ft!H$37*($A177-Ft!H$2)^2)+Ft!H$6*EXP(Ft!H$38*($A177-Ft!H$2)^2)),Ft!H$3*((1-Ft!H$7)/(1+Ft!H$39*($A177-Ft!H$2)^2)+Ft!H$7*EXP(Ft!H$40*($A177-Ft!H$2)^2)))</f>
        <v>0</v>
      </c>
      <c r="M177" s="3">
        <f>IF(($A177-Ft!I$2)&lt;0,Ft!I$3*((1-Ft!I$6)/(1+Ft!I$37*($A177-Ft!I$2)^2)+Ft!I$6*EXP(Ft!I$38*($A177-Ft!I$2)^2)),Ft!I$3*((1-Ft!I$7)/(1+Ft!I$39*($A177-Ft!I$2)^2)+Ft!I$7*EXP(Ft!I$40*($A177-Ft!I$2)^2)))</f>
        <v>0</v>
      </c>
      <c r="N177" s="3">
        <f>IF(($A177-Ft!J$2)&lt;0,Ft!J$3*((1-Ft!J$6)/(1+Ft!J$37*($A177-Ft!J$2)^2)+Ft!J$6*EXP(Ft!J$38*($A177-Ft!J$2)^2)),Ft!J$3*((1-Ft!J$7)/(1+Ft!J$39*($A177-Ft!J$2)^2)+Ft!J$7*EXP(Ft!J$40*($A177-Ft!J$2)^2)))</f>
        <v>0</v>
      </c>
      <c r="O177" s="3">
        <f>IF(($A177-Ft!K$2)&lt;0,Ft!K$3*((1-Ft!K$6)/(1+Ft!K$37*($A177-Ft!K$2)^2)+Ft!K$6*EXP(Ft!K$38*($A177-Ft!K$2)^2)),Ft!K$3*((1-Ft!K$7)/(1+Ft!K$39*($A177-Ft!K$2)^2)+Ft!K$7*EXP(Ft!K$40*($A177-Ft!K$2)^2)))</f>
        <v>0</v>
      </c>
      <c r="P177"/>
      <c r="Q177"/>
    </row>
    <row r="178" spans="1:17">
      <c r="A178" s="20">
        <v>353</v>
      </c>
      <c r="B178" s="29">
        <v>33.557660170019815</v>
      </c>
      <c r="C178" s="7">
        <f t="shared" si="5"/>
        <v>33.338570278860857</v>
      </c>
      <c r="D178" s="3">
        <f t="shared" si="6"/>
        <v>4.8000380408044281E-2</v>
      </c>
      <c r="E178" s="3">
        <f>Ft!$B$12+Ft!$B$14*(Data!A178-Vars!$B$3)</f>
        <v>-200</v>
      </c>
      <c r="F178" s="3">
        <f>IF(($A178-Ft!B$2)&lt;0,Ft!B$3*((1-Ft!B$6)/(1+Ft!B$37*($A178-Ft!B$2)^2)+Ft!B$6*EXP(Ft!B$38*($A178-Ft!B$2)^2)),Ft!B$3*((1-Ft!B$7)/(1+Ft!B$39*($A178-Ft!B$2)^2)+Ft!B$7*EXP(Ft!B$40*($A178-Ft!B$2)^2)))</f>
        <v>82.211301375800005</v>
      </c>
      <c r="G178" s="3">
        <f>IF(($A178-Ft!C$2)&lt;0,Ft!C$3*((1-Ft!C$6)/(1+Ft!C$37*($A178-Ft!C$2)^2)+Ft!C$6*EXP(Ft!C$38*($A178-Ft!C$2)^2)),Ft!C$3*((1-Ft!C$7)/(1+Ft!C$39*($A178-Ft!C$2)^2)+Ft!C$7*EXP(Ft!C$40*($A178-Ft!C$2)^2)))</f>
        <v>40.325404071144156</v>
      </c>
      <c r="H178" s="3">
        <f>IF(($A178-Ft!D$2)&lt;0,Ft!D$3*((1-Ft!D$6)/(1+Ft!D$37*($A178-Ft!D$2)^2)+Ft!D$6*EXP(Ft!D$38*($A178-Ft!D$2)^2)),Ft!D$3*((1-Ft!D$7)/(1+Ft!D$39*($A178-Ft!D$2)^2)+Ft!D$7*EXP(Ft!D$40*($A178-Ft!D$2)^2)))</f>
        <v>1.8474928570435572E-2</v>
      </c>
      <c r="I178" s="3">
        <f>IF(($A178-Ft!E$2)&lt;0,Ft!E$3*((1-Ft!E$6)/(1+Ft!E$37*($A178-Ft!E$2)^2)+Ft!E$6*EXP(Ft!E$38*($A178-Ft!E$2)^2)),Ft!E$3*((1-Ft!E$7)/(1+Ft!E$39*($A178-Ft!E$2)^2)+Ft!E$7*EXP(Ft!E$40*($A178-Ft!E$2)^2)))</f>
        <v>42.121939683210606</v>
      </c>
      <c r="J178" s="3">
        <f>IF(($A178-Ft!F$2)&lt;0,Ft!F$3*((1-Ft!F$6)/(1+Ft!F$37*($A178-Ft!F$2)^2)+Ft!F$6*EXP(Ft!F$38*($A178-Ft!F$2)^2)),Ft!F$3*((1-Ft!F$7)/(1+Ft!F$39*($A178-Ft!F$2)^2)+Ft!F$7*EXP(Ft!F$40*($A178-Ft!F$2)^2)))</f>
        <v>19.562563896835549</v>
      </c>
      <c r="K178" s="3">
        <f>IF(($A178-Ft!G$2)&lt;0,Ft!G$3*((1-Ft!G$6)/(1+Ft!G$37*($A178-Ft!G$2)^2)+Ft!G$6*EXP(Ft!G$38*($A178-Ft!G$2)^2)),Ft!G$3*((1-Ft!G$7)/(1+Ft!G$39*($A178-Ft!G$2)^2)+Ft!G$7*EXP(Ft!G$40*($A178-Ft!G$2)^2)))</f>
        <v>49.098886323300107</v>
      </c>
      <c r="L178" s="3">
        <f>IF(($A178-Ft!H$2)&lt;0,Ft!H$3*((1-Ft!H$6)/(1+Ft!H$37*($A178-Ft!H$2)^2)+Ft!H$6*EXP(Ft!H$38*($A178-Ft!H$2)^2)),Ft!H$3*((1-Ft!H$7)/(1+Ft!H$39*($A178-Ft!H$2)^2)+Ft!H$7*EXP(Ft!H$40*($A178-Ft!H$2)^2)))</f>
        <v>0</v>
      </c>
      <c r="M178" s="3">
        <f>IF(($A178-Ft!I$2)&lt;0,Ft!I$3*((1-Ft!I$6)/(1+Ft!I$37*($A178-Ft!I$2)^2)+Ft!I$6*EXP(Ft!I$38*($A178-Ft!I$2)^2)),Ft!I$3*((1-Ft!I$7)/(1+Ft!I$39*($A178-Ft!I$2)^2)+Ft!I$7*EXP(Ft!I$40*($A178-Ft!I$2)^2)))</f>
        <v>0</v>
      </c>
      <c r="N178" s="3">
        <f>IF(($A178-Ft!J$2)&lt;0,Ft!J$3*((1-Ft!J$6)/(1+Ft!J$37*($A178-Ft!J$2)^2)+Ft!J$6*EXP(Ft!J$38*($A178-Ft!J$2)^2)),Ft!J$3*((1-Ft!J$7)/(1+Ft!J$39*($A178-Ft!J$2)^2)+Ft!J$7*EXP(Ft!J$40*($A178-Ft!J$2)^2)))</f>
        <v>0</v>
      </c>
      <c r="O178" s="3">
        <f>IF(($A178-Ft!K$2)&lt;0,Ft!K$3*((1-Ft!K$6)/(1+Ft!K$37*($A178-Ft!K$2)^2)+Ft!K$6*EXP(Ft!K$38*($A178-Ft!K$2)^2)),Ft!K$3*((1-Ft!K$7)/(1+Ft!K$39*($A178-Ft!K$2)^2)+Ft!K$7*EXP(Ft!K$40*($A178-Ft!K$2)^2)))</f>
        <v>0</v>
      </c>
      <c r="P178"/>
      <c r="Q178"/>
    </row>
    <row r="179" spans="1:17">
      <c r="A179" s="20">
        <v>355</v>
      </c>
      <c r="B179" s="29">
        <v>33.791246460554035</v>
      </c>
      <c r="C179" s="7">
        <f t="shared" si="5"/>
        <v>33.587807601065393</v>
      </c>
      <c r="D179" s="3">
        <f t="shared" si="6"/>
        <v>4.1387369550039528E-2</v>
      </c>
      <c r="E179" s="3">
        <f>Ft!$B$12+Ft!$B$14*(Data!A179-Vars!$B$3)</f>
        <v>-200</v>
      </c>
      <c r="F179" s="3">
        <f>IF(($A179-Ft!B$2)&lt;0,Ft!B$3*((1-Ft!B$6)/(1+Ft!B$37*($A179-Ft!B$2)^2)+Ft!B$6*EXP(Ft!B$38*($A179-Ft!B$2)^2)),Ft!B$3*((1-Ft!B$7)/(1+Ft!B$39*($A179-Ft!B$2)^2)+Ft!B$7*EXP(Ft!B$40*($A179-Ft!B$2)^2)))</f>
        <v>81.760795346529719</v>
      </c>
      <c r="G179" s="3">
        <f>IF(($A179-Ft!C$2)&lt;0,Ft!C$3*((1-Ft!C$6)/(1+Ft!C$37*($A179-Ft!C$2)^2)+Ft!C$6*EXP(Ft!C$38*($A179-Ft!C$2)^2)),Ft!C$3*((1-Ft!C$7)/(1+Ft!C$39*($A179-Ft!C$2)^2)+Ft!C$7*EXP(Ft!C$40*($A179-Ft!C$2)^2)))</f>
        <v>40.423178595926991</v>
      </c>
      <c r="H179" s="3">
        <f>IF(($A179-Ft!D$2)&lt;0,Ft!D$3*((1-Ft!D$6)/(1+Ft!D$37*($A179-Ft!D$2)^2)+Ft!D$6*EXP(Ft!D$38*($A179-Ft!D$2)^2)),Ft!D$3*((1-Ft!D$7)/(1+Ft!D$39*($A179-Ft!D$2)^2)+Ft!D$7*EXP(Ft!D$40*($A179-Ft!D$2)^2)))</f>
        <v>2.3076633030123975E-2</v>
      </c>
      <c r="I179" s="3">
        <f>IF(($A179-Ft!E$2)&lt;0,Ft!E$3*((1-Ft!E$6)/(1+Ft!E$37*($A179-Ft!E$2)^2)+Ft!E$6*EXP(Ft!E$38*($A179-Ft!E$2)^2)),Ft!E$3*((1-Ft!E$7)/(1+Ft!E$39*($A179-Ft!E$2)^2)+Ft!E$7*EXP(Ft!E$40*($A179-Ft!E$2)^2)))</f>
        <v>42.571079069245371</v>
      </c>
      <c r="J179" s="3">
        <f>IF(($A179-Ft!F$2)&lt;0,Ft!F$3*((1-Ft!F$6)/(1+Ft!F$37*($A179-Ft!F$2)^2)+Ft!F$6*EXP(Ft!F$38*($A179-Ft!F$2)^2)),Ft!F$3*((1-Ft!F$7)/(1+Ft!F$39*($A179-Ft!F$2)^2)+Ft!F$7*EXP(Ft!F$40*($A179-Ft!F$2)^2)))</f>
        <v>19.706600310787586</v>
      </c>
      <c r="K179" s="3">
        <f>IF(($A179-Ft!G$2)&lt;0,Ft!G$3*((1-Ft!G$6)/(1+Ft!G$37*($A179-Ft!G$2)^2)+Ft!G$6*EXP(Ft!G$38*($A179-Ft!G$2)^2)),Ft!G$3*((1-Ft!G$7)/(1+Ft!G$39*($A179-Ft!G$2)^2)+Ft!G$7*EXP(Ft!G$40*($A179-Ft!G$2)^2)))</f>
        <v>49.103077645545604</v>
      </c>
      <c r="L179" s="3">
        <f>IF(($A179-Ft!H$2)&lt;0,Ft!H$3*((1-Ft!H$6)/(1+Ft!H$37*($A179-Ft!H$2)^2)+Ft!H$6*EXP(Ft!H$38*($A179-Ft!H$2)^2)),Ft!H$3*((1-Ft!H$7)/(1+Ft!H$39*($A179-Ft!H$2)^2)+Ft!H$7*EXP(Ft!H$40*($A179-Ft!H$2)^2)))</f>
        <v>0</v>
      </c>
      <c r="M179" s="3">
        <f>IF(($A179-Ft!I$2)&lt;0,Ft!I$3*((1-Ft!I$6)/(1+Ft!I$37*($A179-Ft!I$2)^2)+Ft!I$6*EXP(Ft!I$38*($A179-Ft!I$2)^2)),Ft!I$3*((1-Ft!I$7)/(1+Ft!I$39*($A179-Ft!I$2)^2)+Ft!I$7*EXP(Ft!I$40*($A179-Ft!I$2)^2)))</f>
        <v>0</v>
      </c>
      <c r="N179" s="3">
        <f>IF(($A179-Ft!J$2)&lt;0,Ft!J$3*((1-Ft!J$6)/(1+Ft!J$37*($A179-Ft!J$2)^2)+Ft!J$6*EXP(Ft!J$38*($A179-Ft!J$2)^2)),Ft!J$3*((1-Ft!J$7)/(1+Ft!J$39*($A179-Ft!J$2)^2)+Ft!J$7*EXP(Ft!J$40*($A179-Ft!J$2)^2)))</f>
        <v>0</v>
      </c>
      <c r="O179" s="3">
        <f>IF(($A179-Ft!K$2)&lt;0,Ft!K$3*((1-Ft!K$6)/(1+Ft!K$37*($A179-Ft!K$2)^2)+Ft!K$6*EXP(Ft!K$38*($A179-Ft!K$2)^2)),Ft!K$3*((1-Ft!K$7)/(1+Ft!K$39*($A179-Ft!K$2)^2)+Ft!K$7*EXP(Ft!K$40*($A179-Ft!K$2)^2)))</f>
        <v>0</v>
      </c>
      <c r="P179"/>
      <c r="Q179"/>
    </row>
    <row r="180" spans="1:17">
      <c r="A180" s="20">
        <v>357</v>
      </c>
      <c r="B180" s="29">
        <v>34.024069146532625</v>
      </c>
      <c r="C180" s="7">
        <f t="shared" si="5"/>
        <v>33.836825229530604</v>
      </c>
      <c r="D180" s="3">
        <f t="shared" si="6"/>
        <v>3.5060284454259905E-2</v>
      </c>
      <c r="E180" s="3">
        <f>Ft!$B$12+Ft!$B$14*(Data!A180-Vars!$B$3)</f>
        <v>-200</v>
      </c>
      <c r="F180" s="3">
        <f>IF(($A180-Ft!B$2)&lt;0,Ft!B$3*((1-Ft!B$6)/(1+Ft!B$37*($A180-Ft!B$2)^2)+Ft!B$6*EXP(Ft!B$38*($A180-Ft!B$2)^2)),Ft!B$3*((1-Ft!B$7)/(1+Ft!B$39*($A180-Ft!B$2)^2)+Ft!B$7*EXP(Ft!B$40*($A180-Ft!B$2)^2)))</f>
        <v>81.31120604404812</v>
      </c>
      <c r="G180" s="3">
        <f>IF(($A180-Ft!C$2)&lt;0,Ft!C$3*((1-Ft!C$6)/(1+Ft!C$37*($A180-Ft!C$2)^2)+Ft!C$6*EXP(Ft!C$38*($A180-Ft!C$2)^2)),Ft!C$3*((1-Ft!C$7)/(1+Ft!C$39*($A180-Ft!C$2)^2)+Ft!C$7*EXP(Ft!C$40*($A180-Ft!C$2)^2)))</f>
        <v>40.520832154107566</v>
      </c>
      <c r="H180" s="3">
        <f>IF(($A180-Ft!D$2)&lt;0,Ft!D$3*((1-Ft!D$6)/(1+Ft!D$37*($A180-Ft!D$2)^2)+Ft!D$6*EXP(Ft!D$38*($A180-Ft!D$2)^2)),Ft!D$3*((1-Ft!D$7)/(1+Ft!D$39*($A180-Ft!D$2)^2)+Ft!D$7*EXP(Ft!D$40*($A180-Ft!D$2)^2)))</f>
        <v>2.8665941275675202E-2</v>
      </c>
      <c r="I180" s="3">
        <f>IF(($A180-Ft!E$2)&lt;0,Ft!E$3*((1-Ft!E$6)/(1+Ft!E$37*($A180-Ft!E$2)^2)+Ft!E$6*EXP(Ft!E$38*($A180-Ft!E$2)^2)),Ft!E$3*((1-Ft!E$7)/(1+Ft!E$39*($A180-Ft!E$2)^2)+Ft!E$7*EXP(Ft!E$40*($A180-Ft!E$2)^2)))</f>
        <v>43.022512977586857</v>
      </c>
      <c r="J180" s="3">
        <f>IF(($A180-Ft!F$2)&lt;0,Ft!F$3*((1-Ft!F$6)/(1+Ft!F$37*($A180-Ft!F$2)^2)+Ft!F$6*EXP(Ft!F$38*($A180-Ft!F$2)^2)),Ft!F$3*((1-Ft!F$7)/(1+Ft!F$39*($A180-Ft!F$2)^2)+Ft!F$7*EXP(Ft!F$40*($A180-Ft!F$2)^2)))</f>
        <v>19.851435791003535</v>
      </c>
      <c r="K180" s="3">
        <f>IF(($A180-Ft!G$2)&lt;0,Ft!G$3*((1-Ft!G$6)/(1+Ft!G$37*($A180-Ft!G$2)^2)+Ft!G$6*EXP(Ft!G$38*($A180-Ft!G$2)^2)),Ft!G$3*((1-Ft!G$7)/(1+Ft!G$39*($A180-Ft!G$2)^2)+Ft!G$7*EXP(Ft!G$40*($A180-Ft!G$2)^2)))</f>
        <v>49.102172321508846</v>
      </c>
      <c r="L180" s="3">
        <f>IF(($A180-Ft!H$2)&lt;0,Ft!H$3*((1-Ft!H$6)/(1+Ft!H$37*($A180-Ft!H$2)^2)+Ft!H$6*EXP(Ft!H$38*($A180-Ft!H$2)^2)),Ft!H$3*((1-Ft!H$7)/(1+Ft!H$39*($A180-Ft!H$2)^2)+Ft!H$7*EXP(Ft!H$40*($A180-Ft!H$2)^2)))</f>
        <v>0</v>
      </c>
      <c r="M180" s="3">
        <f>IF(($A180-Ft!I$2)&lt;0,Ft!I$3*((1-Ft!I$6)/(1+Ft!I$37*($A180-Ft!I$2)^2)+Ft!I$6*EXP(Ft!I$38*($A180-Ft!I$2)^2)),Ft!I$3*((1-Ft!I$7)/(1+Ft!I$39*($A180-Ft!I$2)^2)+Ft!I$7*EXP(Ft!I$40*($A180-Ft!I$2)^2)))</f>
        <v>0</v>
      </c>
      <c r="N180" s="3">
        <f>IF(($A180-Ft!J$2)&lt;0,Ft!J$3*((1-Ft!J$6)/(1+Ft!J$37*($A180-Ft!J$2)^2)+Ft!J$6*EXP(Ft!J$38*($A180-Ft!J$2)^2)),Ft!J$3*((1-Ft!J$7)/(1+Ft!J$39*($A180-Ft!J$2)^2)+Ft!J$7*EXP(Ft!J$40*($A180-Ft!J$2)^2)))</f>
        <v>0</v>
      </c>
      <c r="O180" s="3">
        <f>IF(($A180-Ft!K$2)&lt;0,Ft!K$3*((1-Ft!K$6)/(1+Ft!K$37*($A180-Ft!K$2)^2)+Ft!K$6*EXP(Ft!K$38*($A180-Ft!K$2)^2)),Ft!K$3*((1-Ft!K$7)/(1+Ft!K$39*($A180-Ft!K$2)^2)+Ft!K$7*EXP(Ft!K$40*($A180-Ft!K$2)^2)))</f>
        <v>0</v>
      </c>
      <c r="P180"/>
      <c r="Q180"/>
    </row>
    <row r="181" spans="1:17">
      <c r="A181" s="20">
        <v>359</v>
      </c>
      <c r="B181" s="29">
        <v>34.256565463274612</v>
      </c>
      <c r="C181" s="7">
        <f t="shared" si="5"/>
        <v>34.085777505837939</v>
      </c>
      <c r="D181" s="3">
        <f t="shared" si="6"/>
        <v>2.916852640539078E-2</v>
      </c>
      <c r="E181" s="3">
        <f>Ft!$B$12+Ft!$B$14*(Data!A181-Vars!$B$3)</f>
        <v>-200</v>
      </c>
      <c r="F181" s="3">
        <f>IF(($A181-Ft!B$2)&lt;0,Ft!B$3*((1-Ft!B$6)/(1+Ft!B$37*($A181-Ft!B$2)^2)+Ft!B$6*EXP(Ft!B$38*($A181-Ft!B$2)^2)),Ft!B$3*((1-Ft!B$7)/(1+Ft!B$39*($A181-Ft!B$2)^2)+Ft!B$7*EXP(Ft!B$40*($A181-Ft!B$2)^2)))</f>
        <v>80.862545542466194</v>
      </c>
      <c r="G181" s="3">
        <f>IF(($A181-Ft!C$2)&lt;0,Ft!C$3*((1-Ft!C$6)/(1+Ft!C$37*($A181-Ft!C$2)^2)+Ft!C$6*EXP(Ft!C$38*($A181-Ft!C$2)^2)),Ft!C$3*((1-Ft!C$7)/(1+Ft!C$39*($A181-Ft!C$2)^2)+Ft!C$7*EXP(Ft!C$40*($A181-Ft!C$2)^2)))</f>
        <v>40.618362725690773</v>
      </c>
      <c r="H181" s="3">
        <f>IF(($A181-Ft!D$2)&lt;0,Ft!D$3*((1-Ft!D$6)/(1+Ft!D$37*($A181-Ft!D$2)^2)+Ft!D$6*EXP(Ft!D$38*($A181-Ft!D$2)^2)),Ft!D$3*((1-Ft!D$7)/(1+Ft!D$39*($A181-Ft!D$2)^2)+Ft!D$7*EXP(Ft!D$40*($A181-Ft!D$2)^2)))</f>
        <v>3.5413109061628818E-2</v>
      </c>
      <c r="I181" s="3">
        <f>IF(($A181-Ft!E$2)&lt;0,Ft!E$3*((1-Ft!E$6)/(1+Ft!E$37*($A181-Ft!E$2)^2)+Ft!E$6*EXP(Ft!E$38*($A181-Ft!E$2)^2)),Ft!E$3*((1-Ft!E$7)/(1+Ft!E$39*($A181-Ft!E$2)^2)+Ft!E$7*EXP(Ft!E$40*($A181-Ft!E$2)^2)))</f>
        <v>43.476213114320721</v>
      </c>
      <c r="J181" s="3">
        <f>IF(($A181-Ft!F$2)&lt;0,Ft!F$3*((1-Ft!F$6)/(1+Ft!F$37*($A181-Ft!F$2)^2)+Ft!F$6*EXP(Ft!F$38*($A181-Ft!F$2)^2)),Ft!F$3*((1-Ft!F$7)/(1+Ft!F$39*($A181-Ft!F$2)^2)+Ft!F$7*EXP(Ft!F$40*($A181-Ft!F$2)^2)))</f>
        <v>19.997072381209474</v>
      </c>
      <c r="K181" s="3">
        <f>IF(($A181-Ft!G$2)&lt;0,Ft!G$3*((1-Ft!G$6)/(1+Ft!G$37*($A181-Ft!G$2)^2)+Ft!G$6*EXP(Ft!G$38*($A181-Ft!G$2)^2)),Ft!G$3*((1-Ft!G$7)/(1+Ft!G$39*($A181-Ft!G$2)^2)+Ft!G$7*EXP(Ft!G$40*($A181-Ft!G$2)^2)))</f>
        <v>49.096170633089159</v>
      </c>
      <c r="L181" s="3">
        <f>IF(($A181-Ft!H$2)&lt;0,Ft!H$3*((1-Ft!H$6)/(1+Ft!H$37*($A181-Ft!H$2)^2)+Ft!H$6*EXP(Ft!H$38*($A181-Ft!H$2)^2)),Ft!H$3*((1-Ft!H$7)/(1+Ft!H$39*($A181-Ft!H$2)^2)+Ft!H$7*EXP(Ft!H$40*($A181-Ft!H$2)^2)))</f>
        <v>0</v>
      </c>
      <c r="M181" s="3">
        <f>IF(($A181-Ft!I$2)&lt;0,Ft!I$3*((1-Ft!I$6)/(1+Ft!I$37*($A181-Ft!I$2)^2)+Ft!I$6*EXP(Ft!I$38*($A181-Ft!I$2)^2)),Ft!I$3*((1-Ft!I$7)/(1+Ft!I$39*($A181-Ft!I$2)^2)+Ft!I$7*EXP(Ft!I$40*($A181-Ft!I$2)^2)))</f>
        <v>0</v>
      </c>
      <c r="N181" s="3">
        <f>IF(($A181-Ft!J$2)&lt;0,Ft!J$3*((1-Ft!J$6)/(1+Ft!J$37*($A181-Ft!J$2)^2)+Ft!J$6*EXP(Ft!J$38*($A181-Ft!J$2)^2)),Ft!J$3*((1-Ft!J$7)/(1+Ft!J$39*($A181-Ft!J$2)^2)+Ft!J$7*EXP(Ft!J$40*($A181-Ft!J$2)^2)))</f>
        <v>0</v>
      </c>
      <c r="O181" s="3">
        <f>IF(($A181-Ft!K$2)&lt;0,Ft!K$3*((1-Ft!K$6)/(1+Ft!K$37*($A181-Ft!K$2)^2)+Ft!K$6*EXP(Ft!K$38*($A181-Ft!K$2)^2)),Ft!K$3*((1-Ft!K$7)/(1+Ft!K$39*($A181-Ft!K$2)^2)+Ft!K$7*EXP(Ft!K$40*($A181-Ft!K$2)^2)))</f>
        <v>0</v>
      </c>
      <c r="P181"/>
      <c r="Q181"/>
    </row>
    <row r="182" spans="1:17">
      <c r="A182" s="20">
        <v>361</v>
      </c>
      <c r="B182" s="29">
        <v>34.489186078652537</v>
      </c>
      <c r="C182" s="7">
        <f t="shared" si="5"/>
        <v>34.334838819719522</v>
      </c>
      <c r="D182" s="3">
        <f t="shared" si="6"/>
        <v>2.3823076340135193E-2</v>
      </c>
      <c r="E182" s="3">
        <f>Ft!$B$12+Ft!$B$14*(Data!A182-Vars!$B$3)</f>
        <v>-200</v>
      </c>
      <c r="F182" s="3">
        <f>IF(($A182-Ft!B$2)&lt;0,Ft!B$3*((1-Ft!B$6)/(1+Ft!B$37*($A182-Ft!B$2)^2)+Ft!B$6*EXP(Ft!B$38*($A182-Ft!B$2)^2)),Ft!B$3*((1-Ft!B$7)/(1+Ft!B$39*($A182-Ft!B$2)^2)+Ft!B$7*EXP(Ft!B$40*($A182-Ft!B$2)^2)))</f>
        <v>80.414825796350982</v>
      </c>
      <c r="G182" s="3">
        <f>IF(($A182-Ft!C$2)&lt;0,Ft!C$3*((1-Ft!C$6)/(1+Ft!C$37*($A182-Ft!C$2)^2)+Ft!C$6*EXP(Ft!C$38*($A182-Ft!C$2)^2)),Ft!C$3*((1-Ft!C$7)/(1+Ft!C$39*($A182-Ft!C$2)^2)+Ft!C$7*EXP(Ft!C$40*($A182-Ft!C$2)^2)))</f>
        <v>40.715768289074582</v>
      </c>
      <c r="H182" s="3">
        <f>IF(($A182-Ft!D$2)&lt;0,Ft!D$3*((1-Ft!D$6)/(1+Ft!D$37*($A182-Ft!D$2)^2)+Ft!D$6*EXP(Ft!D$38*($A182-Ft!D$2)^2)),Ft!D$3*((1-Ft!D$7)/(1+Ft!D$39*($A182-Ft!D$2)^2)+Ft!D$7*EXP(Ft!D$40*($A182-Ft!D$2)^2)))</f>
        <v>4.3507686856804305E-2</v>
      </c>
      <c r="I182" s="3">
        <f>IF(($A182-Ft!E$2)&lt;0,Ft!E$3*((1-Ft!E$6)/(1+Ft!E$37*($A182-Ft!E$2)^2)+Ft!E$6*EXP(Ft!E$38*($A182-Ft!E$2)^2)),Ft!E$3*((1-Ft!E$7)/(1+Ft!E$39*($A182-Ft!E$2)^2)+Ft!E$7*EXP(Ft!E$40*($A182-Ft!E$2)^2)))</f>
        <v>43.932150490065986</v>
      </c>
      <c r="J182" s="3">
        <f>IF(($A182-Ft!F$2)&lt;0,Ft!F$3*((1-Ft!F$6)/(1+Ft!F$37*($A182-Ft!F$2)^2)+Ft!F$6*EXP(Ft!F$38*($A182-Ft!F$2)^2)),Ft!F$3*((1-Ft!F$7)/(1+Ft!F$39*($A182-Ft!F$2)^2)+Ft!F$7*EXP(Ft!F$40*($A182-Ft!F$2)^2)))</f>
        <v>20.143512108369695</v>
      </c>
      <c r="K182" s="3">
        <f>IF(($A182-Ft!G$2)&lt;0,Ft!G$3*((1-Ft!G$6)/(1+Ft!G$37*($A182-Ft!G$2)^2)+Ft!G$6*EXP(Ft!G$38*($A182-Ft!G$2)^2)),Ft!G$3*((1-Ft!G$7)/(1+Ft!G$39*($A182-Ft!G$2)^2)+Ft!G$7*EXP(Ft!G$40*($A182-Ft!G$2)^2)))</f>
        <v>49.085074449001475</v>
      </c>
      <c r="L182" s="3">
        <f>IF(($A182-Ft!H$2)&lt;0,Ft!H$3*((1-Ft!H$6)/(1+Ft!H$37*($A182-Ft!H$2)^2)+Ft!H$6*EXP(Ft!H$38*($A182-Ft!H$2)^2)),Ft!H$3*((1-Ft!H$7)/(1+Ft!H$39*($A182-Ft!H$2)^2)+Ft!H$7*EXP(Ft!H$40*($A182-Ft!H$2)^2)))</f>
        <v>0</v>
      </c>
      <c r="M182" s="3">
        <f>IF(($A182-Ft!I$2)&lt;0,Ft!I$3*((1-Ft!I$6)/(1+Ft!I$37*($A182-Ft!I$2)^2)+Ft!I$6*EXP(Ft!I$38*($A182-Ft!I$2)^2)),Ft!I$3*((1-Ft!I$7)/(1+Ft!I$39*($A182-Ft!I$2)^2)+Ft!I$7*EXP(Ft!I$40*($A182-Ft!I$2)^2)))</f>
        <v>0</v>
      </c>
      <c r="N182" s="3">
        <f>IF(($A182-Ft!J$2)&lt;0,Ft!J$3*((1-Ft!J$6)/(1+Ft!J$37*($A182-Ft!J$2)^2)+Ft!J$6*EXP(Ft!J$38*($A182-Ft!J$2)^2)),Ft!J$3*((1-Ft!J$7)/(1+Ft!J$39*($A182-Ft!J$2)^2)+Ft!J$7*EXP(Ft!J$40*($A182-Ft!J$2)^2)))</f>
        <v>0</v>
      </c>
      <c r="O182" s="3">
        <f>IF(($A182-Ft!K$2)&lt;0,Ft!K$3*((1-Ft!K$6)/(1+Ft!K$37*($A182-Ft!K$2)^2)+Ft!K$6*EXP(Ft!K$38*($A182-Ft!K$2)^2)),Ft!K$3*((1-Ft!K$7)/(1+Ft!K$39*($A182-Ft!K$2)^2)+Ft!K$7*EXP(Ft!K$40*($A182-Ft!K$2)^2)))</f>
        <v>0</v>
      </c>
      <c r="P182"/>
      <c r="Q182"/>
    </row>
    <row r="183" spans="1:17">
      <c r="A183" s="20">
        <v>363</v>
      </c>
      <c r="B183" s="29">
        <v>34.722388512584416</v>
      </c>
      <c r="C183" s="7">
        <f t="shared" si="5"/>
        <v>34.584203501643174</v>
      </c>
      <c r="D183" s="3">
        <f t="shared" si="6"/>
        <v>1.9095097248831332E-2</v>
      </c>
      <c r="E183" s="3">
        <f>Ft!$B$12+Ft!$B$14*(Data!A183-Vars!$B$3)</f>
        <v>-200</v>
      </c>
      <c r="F183" s="3">
        <f>IF(($A183-Ft!B$2)&lt;0,Ft!B$3*((1-Ft!B$6)/(1+Ft!B$37*($A183-Ft!B$2)^2)+Ft!B$6*EXP(Ft!B$38*($A183-Ft!B$2)^2)),Ft!B$3*((1-Ft!B$7)/(1+Ft!B$39*($A183-Ft!B$2)^2)+Ft!B$7*EXP(Ft!B$40*($A183-Ft!B$2)^2)))</f>
        <v>79.968058640474965</v>
      </c>
      <c r="G183" s="3">
        <f>IF(($A183-Ft!C$2)&lt;0,Ft!C$3*((1-Ft!C$6)/(1+Ft!C$37*($A183-Ft!C$2)^2)+Ft!C$6*EXP(Ft!C$38*($A183-Ft!C$2)^2)),Ft!C$3*((1-Ft!C$7)/(1+Ft!C$39*($A183-Ft!C$2)^2)+Ft!C$7*EXP(Ft!C$40*($A183-Ft!C$2)^2)))</f>
        <v>40.813046821117645</v>
      </c>
      <c r="H183" s="3">
        <f>IF(($A183-Ft!D$2)&lt;0,Ft!D$3*((1-Ft!D$6)/(1+Ft!D$37*($A183-Ft!D$2)^2)+Ft!D$6*EXP(Ft!D$38*($A183-Ft!D$2)^2)),Ft!D$3*((1-Ft!D$7)/(1+Ft!D$39*($A183-Ft!D$2)^2)+Ft!D$7*EXP(Ft!D$40*($A183-Ft!D$2)^2)))</f>
        <v>5.315841438788723E-2</v>
      </c>
      <c r="I183" s="3">
        <f>IF(($A183-Ft!E$2)&lt;0,Ft!E$3*((1-Ft!E$6)/(1+Ft!E$37*($A183-Ft!E$2)^2)+Ft!E$6*EXP(Ft!E$38*($A183-Ft!E$2)^2)),Ft!E$3*((1-Ft!E$7)/(1+Ft!E$39*($A183-Ft!E$2)^2)+Ft!E$7*EXP(Ft!E$40*($A183-Ft!E$2)^2)))</f>
        <v>44.390295419399479</v>
      </c>
      <c r="J183" s="3">
        <f>IF(($A183-Ft!F$2)&lt;0,Ft!F$3*((1-Ft!F$6)/(1+Ft!F$37*($A183-Ft!F$2)^2)+Ft!F$6*EXP(Ft!F$38*($A183-Ft!F$2)^2)),Ft!F$3*((1-Ft!F$7)/(1+Ft!F$39*($A183-Ft!F$2)^2)+Ft!F$7*EXP(Ft!F$40*($A183-Ft!F$2)^2)))</f>
        <v>20.290756982456582</v>
      </c>
      <c r="K183" s="3">
        <f>IF(($A183-Ft!G$2)&lt;0,Ft!G$3*((1-Ft!G$6)/(1+Ft!G$37*($A183-Ft!G$2)^2)+Ft!G$6*EXP(Ft!G$38*($A183-Ft!G$2)^2)),Ft!G$3*((1-Ft!G$7)/(1+Ft!G$39*($A183-Ft!G$2)^2)+Ft!G$7*EXP(Ft!G$40*($A183-Ft!G$2)^2)))</f>
        <v>49.068887223806634</v>
      </c>
      <c r="L183" s="3">
        <f>IF(($A183-Ft!H$2)&lt;0,Ft!H$3*((1-Ft!H$6)/(1+Ft!H$37*($A183-Ft!H$2)^2)+Ft!H$6*EXP(Ft!H$38*($A183-Ft!H$2)^2)),Ft!H$3*((1-Ft!H$7)/(1+Ft!H$39*($A183-Ft!H$2)^2)+Ft!H$7*EXP(Ft!H$40*($A183-Ft!H$2)^2)))</f>
        <v>0</v>
      </c>
      <c r="M183" s="3">
        <f>IF(($A183-Ft!I$2)&lt;0,Ft!I$3*((1-Ft!I$6)/(1+Ft!I$37*($A183-Ft!I$2)^2)+Ft!I$6*EXP(Ft!I$38*($A183-Ft!I$2)^2)),Ft!I$3*((1-Ft!I$7)/(1+Ft!I$39*($A183-Ft!I$2)^2)+Ft!I$7*EXP(Ft!I$40*($A183-Ft!I$2)^2)))</f>
        <v>0</v>
      </c>
      <c r="N183" s="3">
        <f>IF(($A183-Ft!J$2)&lt;0,Ft!J$3*((1-Ft!J$6)/(1+Ft!J$37*($A183-Ft!J$2)^2)+Ft!J$6*EXP(Ft!J$38*($A183-Ft!J$2)^2)),Ft!J$3*((1-Ft!J$7)/(1+Ft!J$39*($A183-Ft!J$2)^2)+Ft!J$7*EXP(Ft!J$40*($A183-Ft!J$2)^2)))</f>
        <v>0</v>
      </c>
      <c r="O183" s="3">
        <f>IF(($A183-Ft!K$2)&lt;0,Ft!K$3*((1-Ft!K$6)/(1+Ft!K$37*($A183-Ft!K$2)^2)+Ft!K$6*EXP(Ft!K$38*($A183-Ft!K$2)^2)),Ft!K$3*((1-Ft!K$7)/(1+Ft!K$39*($A183-Ft!K$2)^2)+Ft!K$7*EXP(Ft!K$40*($A183-Ft!K$2)^2)))</f>
        <v>0</v>
      </c>
      <c r="P183"/>
      <c r="Q183"/>
    </row>
    <row r="184" spans="1:17">
      <c r="A184" s="20">
        <v>365</v>
      </c>
      <c r="B184" s="29">
        <v>34.95663008281322</v>
      </c>
      <c r="C184" s="7">
        <f t="shared" si="5"/>
        <v>34.834085104916724</v>
      </c>
      <c r="D184" s="3">
        <f t="shared" si="6"/>
        <v>1.5017271607652635E-2</v>
      </c>
      <c r="E184" s="3">
        <f>Ft!$B$12+Ft!$B$14*(Data!A184-Vars!$B$3)</f>
        <v>-200</v>
      </c>
      <c r="F184" s="3">
        <f>IF(($A184-Ft!B$2)&lt;0,Ft!B$3*((1-Ft!B$6)/(1+Ft!B$37*($A184-Ft!B$2)^2)+Ft!B$6*EXP(Ft!B$38*($A184-Ft!B$2)^2)),Ft!B$3*((1-Ft!B$7)/(1+Ft!B$39*($A184-Ft!B$2)^2)+Ft!B$7*EXP(Ft!B$40*($A184-Ft!B$2)^2)))</f>
        <v>79.522255789578324</v>
      </c>
      <c r="G184" s="3">
        <f>IF(($A184-Ft!C$2)&lt;0,Ft!C$3*((1-Ft!C$6)/(1+Ft!C$37*($A184-Ft!C$2)^2)+Ft!C$6*EXP(Ft!C$38*($A184-Ft!C$2)^2)),Ft!C$3*((1-Ft!C$7)/(1+Ft!C$39*($A184-Ft!C$2)^2)+Ft!C$7*EXP(Ft!C$40*($A184-Ft!C$2)^2)))</f>
        <v>40.910196297207257</v>
      </c>
      <c r="H184" s="3">
        <f>IF(($A184-Ft!D$2)&lt;0,Ft!D$3*((1-Ft!D$6)/(1+Ft!D$37*($A184-Ft!D$2)^2)+Ft!D$6*EXP(Ft!D$38*($A184-Ft!D$2)^2)),Ft!D$3*((1-Ft!D$7)/(1+Ft!D$39*($A184-Ft!D$2)^2)+Ft!D$7*EXP(Ft!D$40*($A184-Ft!D$2)^2)))</f>
        <v>6.4592505315178114E-2</v>
      </c>
      <c r="I184" s="3">
        <f>IF(($A184-Ft!E$2)&lt;0,Ft!E$3*((1-Ft!E$6)/(1+Ft!E$37*($A184-Ft!E$2)^2)+Ft!E$6*EXP(Ft!E$38*($A184-Ft!E$2)^2)),Ft!E$3*((1-Ft!E$7)/(1+Ft!E$39*($A184-Ft!E$2)^2)+Ft!E$7*EXP(Ft!E$40*($A184-Ft!E$2)^2)))</f>
        <v>44.850617520477151</v>
      </c>
      <c r="J184" s="3">
        <f>IF(($A184-Ft!F$2)&lt;0,Ft!F$3*((1-Ft!F$6)/(1+Ft!F$37*($A184-Ft!F$2)^2)+Ft!F$6*EXP(Ft!F$38*($A184-Ft!F$2)^2)),Ft!F$3*((1-Ft!F$7)/(1+Ft!F$39*($A184-Ft!F$2)^2)+Ft!F$7*EXP(Ft!F$40*($A184-Ft!F$2)^2)))</f>
        <v>20.438808996219883</v>
      </c>
      <c r="K184" s="3">
        <f>IF(($A184-Ft!G$2)&lt;0,Ft!G$3*((1-Ft!G$6)/(1+Ft!G$37*($A184-Ft!G$2)^2)+Ft!G$6*EXP(Ft!G$38*($A184-Ft!G$2)^2)),Ft!G$3*((1-Ft!G$7)/(1+Ft!G$39*($A184-Ft!G$2)^2)+Ft!G$7*EXP(Ft!G$40*($A184-Ft!G$2)^2)))</f>
        <v>49.047613996118926</v>
      </c>
      <c r="L184" s="3">
        <f>IF(($A184-Ft!H$2)&lt;0,Ft!H$3*((1-Ft!H$6)/(1+Ft!H$37*($A184-Ft!H$2)^2)+Ft!H$6*EXP(Ft!H$38*($A184-Ft!H$2)^2)),Ft!H$3*((1-Ft!H$7)/(1+Ft!H$39*($A184-Ft!H$2)^2)+Ft!H$7*EXP(Ft!H$40*($A184-Ft!H$2)^2)))</f>
        <v>0</v>
      </c>
      <c r="M184" s="3">
        <f>IF(($A184-Ft!I$2)&lt;0,Ft!I$3*((1-Ft!I$6)/(1+Ft!I$37*($A184-Ft!I$2)^2)+Ft!I$6*EXP(Ft!I$38*($A184-Ft!I$2)^2)),Ft!I$3*((1-Ft!I$7)/(1+Ft!I$39*($A184-Ft!I$2)^2)+Ft!I$7*EXP(Ft!I$40*($A184-Ft!I$2)^2)))</f>
        <v>0</v>
      </c>
      <c r="N184" s="3">
        <f>IF(($A184-Ft!J$2)&lt;0,Ft!J$3*((1-Ft!J$6)/(1+Ft!J$37*($A184-Ft!J$2)^2)+Ft!J$6*EXP(Ft!J$38*($A184-Ft!J$2)^2)),Ft!J$3*((1-Ft!J$7)/(1+Ft!J$39*($A184-Ft!J$2)^2)+Ft!J$7*EXP(Ft!J$40*($A184-Ft!J$2)^2)))</f>
        <v>0</v>
      </c>
      <c r="O184" s="3">
        <f>IF(($A184-Ft!K$2)&lt;0,Ft!K$3*((1-Ft!K$6)/(1+Ft!K$37*($A184-Ft!K$2)^2)+Ft!K$6*EXP(Ft!K$38*($A184-Ft!K$2)^2)),Ft!K$3*((1-Ft!K$7)/(1+Ft!K$39*($A184-Ft!K$2)^2)+Ft!K$7*EXP(Ft!K$40*($A184-Ft!K$2)^2)))</f>
        <v>0</v>
      </c>
      <c r="P184"/>
      <c r="Q184"/>
    </row>
    <row r="185" spans="1:17">
      <c r="A185" s="20">
        <v>367</v>
      </c>
      <c r="B185" s="29">
        <v>35.19236046453922</v>
      </c>
      <c r="C185" s="7">
        <f t="shared" si="5"/>
        <v>35.084714964464531</v>
      </c>
      <c r="D185" s="3">
        <f t="shared" si="6"/>
        <v>1.1587553686329865E-2</v>
      </c>
      <c r="E185" s="3">
        <f>Ft!$B$12+Ft!$B$14*(Data!A185-Vars!$B$3)</f>
        <v>-200</v>
      </c>
      <c r="F185" s="3">
        <f>IF(($A185-Ft!B$2)&lt;0,Ft!B$3*((1-Ft!B$6)/(1+Ft!B$37*($A185-Ft!B$2)^2)+Ft!B$6*EXP(Ft!B$38*($A185-Ft!B$2)^2)),Ft!B$3*((1-Ft!B$7)/(1+Ft!B$39*($A185-Ft!B$2)^2)+Ft!B$7*EXP(Ft!B$40*($A185-Ft!B$2)^2)))</f>
        <v>79.077428838143916</v>
      </c>
      <c r="G185" s="3">
        <f>IF(($A185-Ft!C$2)&lt;0,Ft!C$3*((1-Ft!C$6)/(1+Ft!C$37*($A185-Ft!C$2)^2)+Ft!C$6*EXP(Ft!C$38*($A185-Ft!C$2)^2)),Ft!C$3*((1-Ft!C$7)/(1+Ft!C$39*($A185-Ft!C$2)^2)+Ft!C$7*EXP(Ft!C$40*($A185-Ft!C$2)^2)))</f>
        <v>41.007214691327448</v>
      </c>
      <c r="H185" s="3">
        <f>IF(($A185-Ft!D$2)&lt;0,Ft!D$3*((1-Ft!D$6)/(1+Ft!D$37*($A185-Ft!D$2)^2)+Ft!D$6*EXP(Ft!D$38*($A185-Ft!D$2)^2)),Ft!D$3*((1-Ft!D$7)/(1+Ft!D$39*($A185-Ft!D$2)^2)+Ft!D$7*EXP(Ft!D$40*($A185-Ft!D$2)^2)))</f>
        <v>7.8054209191155077E-2</v>
      </c>
      <c r="I185" s="3">
        <f>IF(($A185-Ft!E$2)&lt;0,Ft!E$3*((1-Ft!E$6)/(1+Ft!E$37*($A185-Ft!E$2)^2)+Ft!E$6*EXP(Ft!E$38*($A185-Ft!E$2)^2)),Ft!E$3*((1-Ft!E$7)/(1+Ft!E$39*($A185-Ft!E$2)^2)+Ft!E$7*EXP(Ft!E$40*($A185-Ft!E$2)^2)))</f>
        <v>45.313085714854282</v>
      </c>
      <c r="J185" s="3">
        <f>IF(($A185-Ft!F$2)&lt;0,Ft!F$3*((1-Ft!F$6)/(1+Ft!F$37*($A185-Ft!F$2)^2)+Ft!F$6*EXP(Ft!F$38*($A185-Ft!F$2)^2)),Ft!F$3*((1-Ft!F$7)/(1+Ft!F$39*($A185-Ft!F$2)^2)+Ft!F$7*EXP(Ft!F$40*($A185-Ft!F$2)^2)))</f>
        <v>20.587670124955508</v>
      </c>
      <c r="K185" s="3">
        <f>IF(($A185-Ft!G$2)&lt;0,Ft!G$3*((1-Ft!G$6)/(1+Ft!G$37*($A185-Ft!G$2)^2)+Ft!G$6*EXP(Ft!G$38*($A185-Ft!G$2)^2)),Ft!G$3*((1-Ft!G$7)/(1+Ft!G$39*($A185-Ft!G$2)^2)+Ft!G$7*EXP(Ft!G$40*($A185-Ft!G$2)^2)))</f>
        <v>49.021261385992226</v>
      </c>
      <c r="L185" s="3">
        <f>IF(($A185-Ft!H$2)&lt;0,Ft!H$3*((1-Ft!H$6)/(1+Ft!H$37*($A185-Ft!H$2)^2)+Ft!H$6*EXP(Ft!H$38*($A185-Ft!H$2)^2)),Ft!H$3*((1-Ft!H$7)/(1+Ft!H$39*($A185-Ft!H$2)^2)+Ft!H$7*EXP(Ft!H$40*($A185-Ft!H$2)^2)))</f>
        <v>0</v>
      </c>
      <c r="M185" s="3">
        <f>IF(($A185-Ft!I$2)&lt;0,Ft!I$3*((1-Ft!I$6)/(1+Ft!I$37*($A185-Ft!I$2)^2)+Ft!I$6*EXP(Ft!I$38*($A185-Ft!I$2)^2)),Ft!I$3*((1-Ft!I$7)/(1+Ft!I$39*($A185-Ft!I$2)^2)+Ft!I$7*EXP(Ft!I$40*($A185-Ft!I$2)^2)))</f>
        <v>0</v>
      </c>
      <c r="N185" s="3">
        <f>IF(($A185-Ft!J$2)&lt;0,Ft!J$3*((1-Ft!J$6)/(1+Ft!J$37*($A185-Ft!J$2)^2)+Ft!J$6*EXP(Ft!J$38*($A185-Ft!J$2)^2)),Ft!J$3*((1-Ft!J$7)/(1+Ft!J$39*($A185-Ft!J$2)^2)+Ft!J$7*EXP(Ft!J$40*($A185-Ft!J$2)^2)))</f>
        <v>0</v>
      </c>
      <c r="O185" s="3">
        <f>IF(($A185-Ft!K$2)&lt;0,Ft!K$3*((1-Ft!K$6)/(1+Ft!K$37*($A185-Ft!K$2)^2)+Ft!K$6*EXP(Ft!K$38*($A185-Ft!K$2)^2)),Ft!K$3*((1-Ft!K$7)/(1+Ft!K$39*($A185-Ft!K$2)^2)+Ft!K$7*EXP(Ft!K$40*($A185-Ft!K$2)^2)))</f>
        <v>0</v>
      </c>
      <c r="P185"/>
      <c r="Q185"/>
    </row>
    <row r="186" spans="1:17">
      <c r="A186" s="20">
        <v>369</v>
      </c>
      <c r="B186" s="29">
        <v>35.430013964813639</v>
      </c>
      <c r="C186" s="7">
        <f t="shared" si="5"/>
        <v>35.336339924832501</v>
      </c>
      <c r="D186" s="3">
        <f t="shared" si="6"/>
        <v>8.7748257663879219E-3</v>
      </c>
      <c r="E186" s="3">
        <f>Ft!$B$12+Ft!$B$14*(Data!A186-Vars!$B$3)</f>
        <v>-200</v>
      </c>
      <c r="F186" s="3">
        <f>IF(($A186-Ft!B$2)&lt;0,Ft!B$3*((1-Ft!B$6)/(1+Ft!B$37*($A186-Ft!B$2)^2)+Ft!B$6*EXP(Ft!B$38*($A186-Ft!B$2)^2)),Ft!B$3*((1-Ft!B$7)/(1+Ft!B$39*($A186-Ft!B$2)^2)+Ft!B$7*EXP(Ft!B$40*($A186-Ft!B$2)^2)))</f>
        <v>78.633589260184891</v>
      </c>
      <c r="G186" s="3">
        <f>IF(($A186-Ft!C$2)&lt;0,Ft!C$3*((1-Ft!C$6)/(1+Ft!C$37*($A186-Ft!C$2)^2)+Ft!C$6*EXP(Ft!C$38*($A186-Ft!C$2)^2)),Ft!C$3*((1-Ft!C$7)/(1+Ft!C$39*($A186-Ft!C$2)^2)+Ft!C$7*EXP(Ft!C$40*($A186-Ft!C$2)^2)))</f>
        <v>41.104099976127316</v>
      </c>
      <c r="H186" s="3">
        <f>IF(($A186-Ft!D$2)&lt;0,Ft!D$3*((1-Ft!D$6)/(1+Ft!D$37*($A186-Ft!D$2)^2)+Ft!D$6*EXP(Ft!D$38*($A186-Ft!D$2)^2)),Ft!D$3*((1-Ft!D$7)/(1+Ft!D$39*($A186-Ft!D$2)^2)+Ft!D$7*EXP(Ft!D$40*($A186-Ft!D$2)^2)))</f>
        <v>9.3802543253207679E-2</v>
      </c>
      <c r="I186" s="3">
        <f>IF(($A186-Ft!E$2)&lt;0,Ft!E$3*((1-Ft!E$6)/(1+Ft!E$37*($A186-Ft!E$2)^2)+Ft!E$6*EXP(Ft!E$38*($A186-Ft!E$2)^2)),Ft!E$3*((1-Ft!E$7)/(1+Ft!E$39*($A186-Ft!E$2)^2)+Ft!E$7*EXP(Ft!E$40*($A186-Ft!E$2)^2)))</f>
        <v>45.777668227506808</v>
      </c>
      <c r="J186" s="3">
        <f>IF(($A186-Ft!F$2)&lt;0,Ft!F$3*((1-Ft!F$6)/(1+Ft!F$37*($A186-Ft!F$2)^2)+Ft!F$6*EXP(Ft!F$38*($A186-Ft!F$2)^2)),Ft!F$3*((1-Ft!F$7)/(1+Ft!F$39*($A186-Ft!F$2)^2)+Ft!F$7*EXP(Ft!F$40*($A186-Ft!F$2)^2)))</f>
        <v>20.737342326273676</v>
      </c>
      <c r="K186" s="3">
        <f>IF(($A186-Ft!G$2)&lt;0,Ft!G$3*((1-Ft!G$6)/(1+Ft!G$37*($A186-Ft!G$2)^2)+Ft!G$6*EXP(Ft!G$38*($A186-Ft!G$2)^2)),Ft!G$3*((1-Ft!G$7)/(1+Ft!G$39*($A186-Ft!G$2)^2)+Ft!G$7*EXP(Ft!G$40*($A186-Ft!G$2)^2)))</f>
        <v>48.989837591486605</v>
      </c>
      <c r="L186" s="3">
        <f>IF(($A186-Ft!H$2)&lt;0,Ft!H$3*((1-Ft!H$6)/(1+Ft!H$37*($A186-Ft!H$2)^2)+Ft!H$6*EXP(Ft!H$38*($A186-Ft!H$2)^2)),Ft!H$3*((1-Ft!H$7)/(1+Ft!H$39*($A186-Ft!H$2)^2)+Ft!H$7*EXP(Ft!H$40*($A186-Ft!H$2)^2)))</f>
        <v>0</v>
      </c>
      <c r="M186" s="3">
        <f>IF(($A186-Ft!I$2)&lt;0,Ft!I$3*((1-Ft!I$6)/(1+Ft!I$37*($A186-Ft!I$2)^2)+Ft!I$6*EXP(Ft!I$38*($A186-Ft!I$2)^2)),Ft!I$3*((1-Ft!I$7)/(1+Ft!I$39*($A186-Ft!I$2)^2)+Ft!I$7*EXP(Ft!I$40*($A186-Ft!I$2)^2)))</f>
        <v>0</v>
      </c>
      <c r="N186" s="3">
        <f>IF(($A186-Ft!J$2)&lt;0,Ft!J$3*((1-Ft!J$6)/(1+Ft!J$37*($A186-Ft!J$2)^2)+Ft!J$6*EXP(Ft!J$38*($A186-Ft!J$2)^2)),Ft!J$3*((1-Ft!J$7)/(1+Ft!J$39*($A186-Ft!J$2)^2)+Ft!J$7*EXP(Ft!J$40*($A186-Ft!J$2)^2)))</f>
        <v>0</v>
      </c>
      <c r="O186" s="3">
        <f>IF(($A186-Ft!K$2)&lt;0,Ft!K$3*((1-Ft!K$6)/(1+Ft!K$37*($A186-Ft!K$2)^2)+Ft!K$6*EXP(Ft!K$38*($A186-Ft!K$2)^2)),Ft!K$3*((1-Ft!K$7)/(1+Ft!K$39*($A186-Ft!K$2)^2)+Ft!K$7*EXP(Ft!K$40*($A186-Ft!K$2)^2)))</f>
        <v>0</v>
      </c>
      <c r="P186"/>
      <c r="Q186"/>
    </row>
    <row r="187" spans="1:17">
      <c r="A187" s="20">
        <v>371</v>
      </c>
      <c r="B187" s="29">
        <v>35.670001625135455</v>
      </c>
      <c r="C187" s="7">
        <f t="shared" si="5"/>
        <v>35.589219141778827</v>
      </c>
      <c r="D187" s="3">
        <f t="shared" si="6"/>
        <v>6.5258096172639817E-3</v>
      </c>
      <c r="E187" s="3">
        <f>Ft!$B$12+Ft!$B$14*(Data!A187-Vars!$B$3)</f>
        <v>-200</v>
      </c>
      <c r="F187" s="3">
        <f>IF(($A187-Ft!B$2)&lt;0,Ft!B$3*((1-Ft!B$6)/(1+Ft!B$37*($A187-Ft!B$2)^2)+Ft!B$6*EXP(Ft!B$38*($A187-Ft!B$2)^2)),Ft!B$3*((1-Ft!B$7)/(1+Ft!B$39*($A187-Ft!B$2)^2)+Ft!B$7*EXP(Ft!B$40*($A187-Ft!B$2)^2)))</f>
        <v>78.190748409045199</v>
      </c>
      <c r="G187" s="3">
        <f>IF(($A187-Ft!C$2)&lt;0,Ft!C$3*((1-Ft!C$6)/(1+Ft!C$37*($A187-Ft!C$2)^2)+Ft!C$6*EXP(Ft!C$38*($A187-Ft!C$2)^2)),Ft!C$3*((1-Ft!C$7)/(1+Ft!C$39*($A187-Ft!C$2)^2)+Ft!C$7*EXP(Ft!C$40*($A187-Ft!C$2)^2)))</f>
        <v>41.200850122989614</v>
      </c>
      <c r="H187" s="3">
        <f>IF(($A187-Ft!D$2)&lt;0,Ft!D$3*((1-Ft!D$6)/(1+Ft!D$37*($A187-Ft!D$2)^2)+Ft!D$6*EXP(Ft!D$38*($A187-Ft!D$2)^2)),Ft!D$3*((1-Ft!D$7)/(1+Ft!D$39*($A187-Ft!D$2)^2)+Ft!D$7*EXP(Ft!D$40*($A187-Ft!D$2)^2)))</f>
        <v>0.11210809840355558</v>
      </c>
      <c r="I187" s="3">
        <f>IF(($A187-Ft!E$2)&lt;0,Ft!E$3*((1-Ft!E$6)/(1+Ft!E$37*($A187-Ft!E$2)^2)+Ft!E$6*EXP(Ft!E$38*($A187-Ft!E$2)^2)),Ft!E$3*((1-Ft!E$7)/(1+Ft!E$39*($A187-Ft!E$2)^2)+Ft!E$7*EXP(Ft!E$40*($A187-Ft!E$2)^2)))</f>
        <v>46.244332587055951</v>
      </c>
      <c r="J187" s="3">
        <f>IF(($A187-Ft!F$2)&lt;0,Ft!F$3*((1-Ft!F$6)/(1+Ft!F$37*($A187-Ft!F$2)^2)+Ft!F$6*EXP(Ft!F$38*($A187-Ft!F$2)^2)),Ft!F$3*((1-Ft!F$7)/(1+Ft!F$39*($A187-Ft!F$2)^2)+Ft!F$7*EXP(Ft!F$40*($A187-Ft!F$2)^2)))</f>
        <v>20.887827539866613</v>
      </c>
      <c r="K187" s="3">
        <f>IF(($A187-Ft!G$2)&lt;0,Ft!G$3*((1-Ft!G$6)/(1+Ft!G$37*($A187-Ft!G$2)^2)+Ft!G$6*EXP(Ft!G$38*($A187-Ft!G$2)^2)),Ft!G$3*((1-Ft!G$7)/(1+Ft!G$39*($A187-Ft!G$2)^2)+Ft!G$7*EXP(Ft!G$40*($A187-Ft!G$2)^2)))</f>
        <v>48.953352384417904</v>
      </c>
      <c r="L187" s="3">
        <f>IF(($A187-Ft!H$2)&lt;0,Ft!H$3*((1-Ft!H$6)/(1+Ft!H$37*($A187-Ft!H$2)^2)+Ft!H$6*EXP(Ft!H$38*($A187-Ft!H$2)^2)),Ft!H$3*((1-Ft!H$7)/(1+Ft!H$39*($A187-Ft!H$2)^2)+Ft!H$7*EXP(Ft!H$40*($A187-Ft!H$2)^2)))</f>
        <v>0</v>
      </c>
      <c r="M187" s="3">
        <f>IF(($A187-Ft!I$2)&lt;0,Ft!I$3*((1-Ft!I$6)/(1+Ft!I$37*($A187-Ft!I$2)^2)+Ft!I$6*EXP(Ft!I$38*($A187-Ft!I$2)^2)),Ft!I$3*((1-Ft!I$7)/(1+Ft!I$39*($A187-Ft!I$2)^2)+Ft!I$7*EXP(Ft!I$40*($A187-Ft!I$2)^2)))</f>
        <v>0</v>
      </c>
      <c r="N187" s="3">
        <f>IF(($A187-Ft!J$2)&lt;0,Ft!J$3*((1-Ft!J$6)/(1+Ft!J$37*($A187-Ft!J$2)^2)+Ft!J$6*EXP(Ft!J$38*($A187-Ft!J$2)^2)),Ft!J$3*((1-Ft!J$7)/(1+Ft!J$39*($A187-Ft!J$2)^2)+Ft!J$7*EXP(Ft!J$40*($A187-Ft!J$2)^2)))</f>
        <v>0</v>
      </c>
      <c r="O187" s="3">
        <f>IF(($A187-Ft!K$2)&lt;0,Ft!K$3*((1-Ft!K$6)/(1+Ft!K$37*($A187-Ft!K$2)^2)+Ft!K$6*EXP(Ft!K$38*($A187-Ft!K$2)^2)),Ft!K$3*((1-Ft!K$7)/(1+Ft!K$39*($A187-Ft!K$2)^2)+Ft!K$7*EXP(Ft!K$40*($A187-Ft!K$2)^2)))</f>
        <v>0</v>
      </c>
      <c r="P187"/>
      <c r="Q187"/>
    </row>
    <row r="188" spans="1:17">
      <c r="A188" s="20">
        <v>373</v>
      </c>
      <c r="B188" s="29">
        <v>35.912703277048848</v>
      </c>
      <c r="C188" s="7">
        <f t="shared" si="5"/>
        <v>35.843619880760897</v>
      </c>
      <c r="D188" s="3">
        <f t="shared" si="6"/>
        <v>4.7725156426780685E-3</v>
      </c>
      <c r="E188" s="3">
        <f>Ft!$B$12+Ft!$B$14*(Data!A188-Vars!$B$3)</f>
        <v>-200</v>
      </c>
      <c r="F188" s="3">
        <f>IF(($A188-Ft!B$2)&lt;0,Ft!B$3*((1-Ft!B$6)/(1+Ft!B$37*($A188-Ft!B$2)^2)+Ft!B$6*EXP(Ft!B$38*($A188-Ft!B$2)^2)),Ft!B$3*((1-Ft!B$7)/(1+Ft!B$39*($A188-Ft!B$2)^2)+Ft!B$7*EXP(Ft!B$40*($A188-Ft!B$2)^2)))</f>
        <v>77.748917517212334</v>
      </c>
      <c r="G188" s="3">
        <f>IF(($A188-Ft!C$2)&lt;0,Ft!C$3*((1-Ft!C$6)/(1+Ft!C$37*($A188-Ft!C$2)^2)+Ft!C$6*EXP(Ft!C$38*($A188-Ft!C$2)^2)),Ft!C$3*((1-Ft!C$7)/(1+Ft!C$39*($A188-Ft!C$2)^2)+Ft!C$7*EXP(Ft!C$40*($A188-Ft!C$2)^2)))</f>
        <v>41.297463102099599</v>
      </c>
      <c r="H188" s="3">
        <f>IF(($A188-Ft!D$2)&lt;0,Ft!D$3*((1-Ft!D$6)/(1+Ft!D$37*($A188-Ft!D$2)^2)+Ft!D$6*EXP(Ft!D$38*($A188-Ft!D$2)^2)),Ft!D$3*((1-Ft!D$7)/(1+Ft!D$39*($A188-Ft!D$2)^2)+Ft!D$7*EXP(Ft!D$40*($A188-Ft!D$2)^2)))</f>
        <v>0.13324884268193538</v>
      </c>
      <c r="I188" s="3">
        <f>IF(($A188-Ft!E$2)&lt;0,Ft!E$3*((1-Ft!E$6)/(1+Ft!E$37*($A188-Ft!E$2)^2)+Ft!E$6*EXP(Ft!E$38*($A188-Ft!E$2)^2)),Ft!E$3*((1-Ft!E$7)/(1+Ft!E$39*($A188-Ft!E$2)^2)+Ft!E$7*EXP(Ft!E$40*($A188-Ft!E$2)^2)))</f>
        <v>46.713045626197861</v>
      </c>
      <c r="J188" s="3">
        <f>IF(($A188-Ft!F$2)&lt;0,Ft!F$3*((1-Ft!F$6)/(1+Ft!F$37*($A188-Ft!F$2)^2)+Ft!F$6*EXP(Ft!F$38*($A188-Ft!F$2)^2)),Ft!F$3*((1-Ft!F$7)/(1+Ft!F$39*($A188-Ft!F$2)^2)+Ft!F$7*EXP(Ft!F$40*($A188-Ft!F$2)^2)))</f>
        <v>21.039127687275791</v>
      </c>
      <c r="K188" s="3">
        <f>IF(($A188-Ft!G$2)&lt;0,Ft!G$3*((1-Ft!G$6)/(1+Ft!G$37*($A188-Ft!G$2)^2)+Ft!G$6*EXP(Ft!G$38*($A188-Ft!G$2)^2)),Ft!G$3*((1-Ft!G$7)/(1+Ft!G$39*($A188-Ft!G$2)^2)+Ft!G$7*EXP(Ft!G$40*($A188-Ft!G$2)^2)))</f>
        <v>48.911817105293373</v>
      </c>
      <c r="L188" s="3">
        <f>IF(($A188-Ft!H$2)&lt;0,Ft!H$3*((1-Ft!H$6)/(1+Ft!H$37*($A188-Ft!H$2)^2)+Ft!H$6*EXP(Ft!H$38*($A188-Ft!H$2)^2)),Ft!H$3*((1-Ft!H$7)/(1+Ft!H$39*($A188-Ft!H$2)^2)+Ft!H$7*EXP(Ft!H$40*($A188-Ft!H$2)^2)))</f>
        <v>0</v>
      </c>
      <c r="M188" s="3">
        <f>IF(($A188-Ft!I$2)&lt;0,Ft!I$3*((1-Ft!I$6)/(1+Ft!I$37*($A188-Ft!I$2)^2)+Ft!I$6*EXP(Ft!I$38*($A188-Ft!I$2)^2)),Ft!I$3*((1-Ft!I$7)/(1+Ft!I$39*($A188-Ft!I$2)^2)+Ft!I$7*EXP(Ft!I$40*($A188-Ft!I$2)^2)))</f>
        <v>0</v>
      </c>
      <c r="N188" s="3">
        <f>IF(($A188-Ft!J$2)&lt;0,Ft!J$3*((1-Ft!J$6)/(1+Ft!J$37*($A188-Ft!J$2)^2)+Ft!J$6*EXP(Ft!J$38*($A188-Ft!J$2)^2)),Ft!J$3*((1-Ft!J$7)/(1+Ft!J$39*($A188-Ft!J$2)^2)+Ft!J$7*EXP(Ft!J$40*($A188-Ft!J$2)^2)))</f>
        <v>0</v>
      </c>
      <c r="O188" s="3">
        <f>IF(($A188-Ft!K$2)&lt;0,Ft!K$3*((1-Ft!K$6)/(1+Ft!K$37*($A188-Ft!K$2)^2)+Ft!K$6*EXP(Ft!K$38*($A188-Ft!K$2)^2)),Ft!K$3*((1-Ft!K$7)/(1+Ft!K$39*($A188-Ft!K$2)^2)+Ft!K$7*EXP(Ft!K$40*($A188-Ft!K$2)^2)))</f>
        <v>0</v>
      </c>
      <c r="P188"/>
      <c r="Q188"/>
    </row>
    <row r="189" spans="1:17">
      <c r="A189" s="20">
        <v>375</v>
      </c>
      <c r="B189" s="29">
        <v>36.158459685323493</v>
      </c>
      <c r="C189" s="7">
        <f t="shared" si="5"/>
        <v>36.099812262212424</v>
      </c>
      <c r="D189" s="3">
        <f t="shared" si="6"/>
        <v>3.439520237568694E-3</v>
      </c>
      <c r="E189" s="3">
        <f>Ft!$B$12+Ft!$B$14*(Data!A189-Vars!$B$3)</f>
        <v>-200</v>
      </c>
      <c r="F189" s="3">
        <f>IF(($A189-Ft!B$2)&lt;0,Ft!B$3*((1-Ft!B$6)/(1+Ft!B$37*($A189-Ft!B$2)^2)+Ft!B$6*EXP(Ft!B$38*($A189-Ft!B$2)^2)),Ft!B$3*((1-Ft!B$7)/(1+Ft!B$39*($A189-Ft!B$2)^2)+Ft!B$7*EXP(Ft!B$40*($A189-Ft!B$2)^2)))</f>
        <v>77.308107696142926</v>
      </c>
      <c r="G189" s="3">
        <f>IF(($A189-Ft!C$2)&lt;0,Ft!C$3*((1-Ft!C$6)/(1+Ft!C$37*($A189-Ft!C$2)^2)+Ft!C$6*EXP(Ft!C$38*($A189-Ft!C$2)^2)),Ft!C$3*((1-Ft!C$7)/(1+Ft!C$39*($A189-Ft!C$2)^2)+Ft!C$7*EXP(Ft!C$40*($A189-Ft!C$2)^2)))</f>
        <v>41.39393688251392</v>
      </c>
      <c r="H189" s="3">
        <f>IF(($A189-Ft!D$2)&lt;0,Ft!D$3*((1-Ft!D$6)/(1+Ft!D$37*($A189-Ft!D$2)^2)+Ft!D$6*EXP(Ft!D$38*($A189-Ft!D$2)^2)),Ft!D$3*((1-Ft!D$7)/(1+Ft!D$39*($A189-Ft!D$2)^2)+Ft!D$7*EXP(Ft!D$40*($A189-Ft!D$2)^2)))</f>
        <v>0.1575048721194022</v>
      </c>
      <c r="I189" s="3">
        <f>IF(($A189-Ft!E$2)&lt;0,Ft!E$3*((1-Ft!E$6)/(1+Ft!E$37*($A189-Ft!E$2)^2)+Ft!E$6*EXP(Ft!E$38*($A189-Ft!E$2)^2)),Ft!E$3*((1-Ft!E$7)/(1+Ft!E$39*($A189-Ft!E$2)^2)+Ft!E$7*EXP(Ft!E$40*($A189-Ft!E$2)^2)))</f>
        <v>47.183773482340641</v>
      </c>
      <c r="J189" s="3">
        <f>IF(($A189-Ft!F$2)&lt;0,Ft!F$3*((1-Ft!F$6)/(1+Ft!F$37*($A189-Ft!F$2)^2)+Ft!F$6*EXP(Ft!F$38*($A189-Ft!F$2)^2)),Ft!F$3*((1-Ft!F$7)/(1+Ft!F$39*($A189-Ft!F$2)^2)+Ft!F$7*EXP(Ft!F$40*($A189-Ft!F$2)^2)))</f>
        <v>21.19124467165852</v>
      </c>
      <c r="K189" s="3">
        <f>IF(($A189-Ft!G$2)&lt;0,Ft!G$3*((1-Ft!G$6)/(1+Ft!G$37*($A189-Ft!G$2)^2)+Ft!G$6*EXP(Ft!G$38*($A189-Ft!G$2)^2)),Ft!G$3*((1-Ft!G$7)/(1+Ft!G$39*($A189-Ft!G$2)^2)+Ft!G$7*EXP(Ft!G$40*($A189-Ft!G$2)^2)))</f>
        <v>48.865244657437003</v>
      </c>
      <c r="L189" s="3">
        <f>IF(($A189-Ft!H$2)&lt;0,Ft!H$3*((1-Ft!H$6)/(1+Ft!H$37*($A189-Ft!H$2)^2)+Ft!H$6*EXP(Ft!H$38*($A189-Ft!H$2)^2)),Ft!H$3*((1-Ft!H$7)/(1+Ft!H$39*($A189-Ft!H$2)^2)+Ft!H$7*EXP(Ft!H$40*($A189-Ft!H$2)^2)))</f>
        <v>0</v>
      </c>
      <c r="M189" s="3">
        <f>IF(($A189-Ft!I$2)&lt;0,Ft!I$3*((1-Ft!I$6)/(1+Ft!I$37*($A189-Ft!I$2)^2)+Ft!I$6*EXP(Ft!I$38*($A189-Ft!I$2)^2)),Ft!I$3*((1-Ft!I$7)/(1+Ft!I$39*($A189-Ft!I$2)^2)+Ft!I$7*EXP(Ft!I$40*($A189-Ft!I$2)^2)))</f>
        <v>0</v>
      </c>
      <c r="N189" s="3">
        <f>IF(($A189-Ft!J$2)&lt;0,Ft!J$3*((1-Ft!J$6)/(1+Ft!J$37*($A189-Ft!J$2)^2)+Ft!J$6*EXP(Ft!J$38*($A189-Ft!J$2)^2)),Ft!J$3*((1-Ft!J$7)/(1+Ft!J$39*($A189-Ft!J$2)^2)+Ft!J$7*EXP(Ft!J$40*($A189-Ft!J$2)^2)))</f>
        <v>0</v>
      </c>
      <c r="O189" s="3">
        <f>IF(($A189-Ft!K$2)&lt;0,Ft!K$3*((1-Ft!K$6)/(1+Ft!K$37*($A189-Ft!K$2)^2)+Ft!K$6*EXP(Ft!K$38*($A189-Ft!K$2)^2)),Ft!K$3*((1-Ft!K$7)/(1+Ft!K$39*($A189-Ft!K$2)^2)+Ft!K$7*EXP(Ft!K$40*($A189-Ft!K$2)^2)))</f>
        <v>0</v>
      </c>
      <c r="P189"/>
      <c r="Q189"/>
    </row>
    <row r="190" spans="1:17">
      <c r="A190" s="20">
        <v>377</v>
      </c>
      <c r="B190" s="29">
        <v>36.407564921121775</v>
      </c>
      <c r="C190" s="7">
        <f t="shared" si="5"/>
        <v>36.358062937838568</v>
      </c>
      <c r="D190" s="3">
        <f t="shared" si="6"/>
        <v>2.4504463489709149E-3</v>
      </c>
      <c r="E190" s="3">
        <f>Ft!$B$12+Ft!$B$14*(Data!A190-Vars!$B$3)</f>
        <v>-200</v>
      </c>
      <c r="F190" s="3">
        <f>IF(($A190-Ft!B$2)&lt;0,Ft!B$3*((1-Ft!B$6)/(1+Ft!B$37*($A190-Ft!B$2)^2)+Ft!B$6*EXP(Ft!B$38*($A190-Ft!B$2)^2)),Ft!B$3*((1-Ft!B$7)/(1+Ft!B$39*($A190-Ft!B$2)^2)+Ft!B$7*EXP(Ft!B$40*($A190-Ft!B$2)^2)))</f>
        <v>76.868329936100693</v>
      </c>
      <c r="G190" s="3">
        <f>IF(($A190-Ft!C$2)&lt;0,Ft!C$3*((1-Ft!C$6)/(1+Ft!C$37*($A190-Ft!C$2)^2)+Ft!C$6*EXP(Ft!C$38*($A190-Ft!C$2)^2)),Ft!C$3*((1-Ft!C$7)/(1+Ft!C$39*($A190-Ft!C$2)^2)+Ft!C$7*EXP(Ft!C$40*($A190-Ft!C$2)^2)))</f>
        <v>41.49026943222993</v>
      </c>
      <c r="H190" s="3">
        <f>IF(($A190-Ft!D$2)&lt;0,Ft!D$3*((1-Ft!D$6)/(1+Ft!D$37*($A190-Ft!D$2)^2)+Ft!D$6*EXP(Ft!D$38*($A190-Ft!D$2)^2)),Ft!D$3*((1-Ft!D$7)/(1+Ft!D$39*($A190-Ft!D$2)^2)+Ft!D$7*EXP(Ft!D$40*($A190-Ft!D$2)^2)))</f>
        <v>0.18515209319443773</v>
      </c>
      <c r="I190" s="3">
        <f>IF(($A190-Ft!E$2)&lt;0,Ft!E$3*((1-Ft!E$6)/(1+Ft!E$37*($A190-Ft!E$2)^2)+Ft!E$6*EXP(Ft!E$38*($A190-Ft!E$2)^2)),Ft!E$3*((1-Ft!E$7)/(1+Ft!E$39*($A190-Ft!E$2)^2)+Ft!E$7*EXP(Ft!E$40*($A190-Ft!E$2)^2)))</f>
        <v>47.656481598450306</v>
      </c>
      <c r="J190" s="3">
        <f>IF(($A190-Ft!F$2)&lt;0,Ft!F$3*((1-Ft!F$6)/(1+Ft!F$37*($A190-Ft!F$2)^2)+Ft!F$6*EXP(Ft!F$38*($A190-Ft!F$2)^2)),Ft!F$3*((1-Ft!F$7)/(1+Ft!F$39*($A190-Ft!F$2)^2)+Ft!F$7*EXP(Ft!F$40*($A190-Ft!F$2)^2)))</f>
        <v>21.34418037755427</v>
      </c>
      <c r="K190" s="3">
        <f>IF(($A190-Ft!G$2)&lt;0,Ft!G$3*((1-Ft!G$6)/(1+Ft!G$37*($A190-Ft!G$2)^2)+Ft!G$6*EXP(Ft!G$38*($A190-Ft!G$2)^2)),Ft!G$3*((1-Ft!G$7)/(1+Ft!G$39*($A190-Ft!G$2)^2)+Ft!G$7*EXP(Ft!G$40*($A190-Ft!G$2)^2)))</f>
        <v>48.813649500308927</v>
      </c>
      <c r="L190" s="3">
        <f>IF(($A190-Ft!H$2)&lt;0,Ft!H$3*((1-Ft!H$6)/(1+Ft!H$37*($A190-Ft!H$2)^2)+Ft!H$6*EXP(Ft!H$38*($A190-Ft!H$2)^2)),Ft!H$3*((1-Ft!H$7)/(1+Ft!H$39*($A190-Ft!H$2)^2)+Ft!H$7*EXP(Ft!H$40*($A190-Ft!H$2)^2)))</f>
        <v>0</v>
      </c>
      <c r="M190" s="3">
        <f>IF(($A190-Ft!I$2)&lt;0,Ft!I$3*((1-Ft!I$6)/(1+Ft!I$37*($A190-Ft!I$2)^2)+Ft!I$6*EXP(Ft!I$38*($A190-Ft!I$2)^2)),Ft!I$3*((1-Ft!I$7)/(1+Ft!I$39*($A190-Ft!I$2)^2)+Ft!I$7*EXP(Ft!I$40*($A190-Ft!I$2)^2)))</f>
        <v>0</v>
      </c>
      <c r="N190" s="3">
        <f>IF(($A190-Ft!J$2)&lt;0,Ft!J$3*((1-Ft!J$6)/(1+Ft!J$37*($A190-Ft!J$2)^2)+Ft!J$6*EXP(Ft!J$38*($A190-Ft!J$2)^2)),Ft!J$3*((1-Ft!J$7)/(1+Ft!J$39*($A190-Ft!J$2)^2)+Ft!J$7*EXP(Ft!J$40*($A190-Ft!J$2)^2)))</f>
        <v>0</v>
      </c>
      <c r="O190" s="3">
        <f>IF(($A190-Ft!K$2)&lt;0,Ft!K$3*((1-Ft!K$6)/(1+Ft!K$37*($A190-Ft!K$2)^2)+Ft!K$6*EXP(Ft!K$38*($A190-Ft!K$2)^2)),Ft!K$3*((1-Ft!K$7)/(1+Ft!K$39*($A190-Ft!K$2)^2)+Ft!K$7*EXP(Ft!K$40*($A190-Ft!K$2)^2)))</f>
        <v>0</v>
      </c>
      <c r="P190"/>
      <c r="Q190"/>
    </row>
    <row r="191" spans="1:17">
      <c r="A191" s="20">
        <v>379</v>
      </c>
      <c r="B191" s="29">
        <v>36.660259113021667</v>
      </c>
      <c r="C191" s="7">
        <f t="shared" si="5"/>
        <v>36.618627723918159</v>
      </c>
      <c r="D191" s="3">
        <f t="shared" si="6"/>
        <v>1.7331725586876338E-3</v>
      </c>
      <c r="E191" s="3">
        <f>Ft!$B$12+Ft!$B$14*(Data!A191-Vars!$B$3)</f>
        <v>-200</v>
      </c>
      <c r="F191" s="3">
        <f>IF(($A191-Ft!B$2)&lt;0,Ft!B$3*((1-Ft!B$6)/(1+Ft!B$37*($A191-Ft!B$2)^2)+Ft!B$6*EXP(Ft!B$38*($A191-Ft!B$2)^2)),Ft!B$3*((1-Ft!B$7)/(1+Ft!B$39*($A191-Ft!B$2)^2)+Ft!B$7*EXP(Ft!B$40*($A191-Ft!B$2)^2)))</f>
        <v>76.429595106006857</v>
      </c>
      <c r="G191" s="3">
        <f>IF(($A191-Ft!C$2)&lt;0,Ft!C$3*((1-Ft!C$6)/(1+Ft!C$37*($A191-Ft!C$2)^2)+Ft!C$6*EXP(Ft!C$38*($A191-Ft!C$2)^2)),Ft!C$3*((1-Ft!C$7)/(1+Ft!C$39*($A191-Ft!C$2)^2)+Ft!C$7*EXP(Ft!C$40*($A191-Ft!C$2)^2)))</f>
        <v>41.586458718255074</v>
      </c>
      <c r="H191" s="3">
        <f>IF(($A191-Ft!D$2)&lt;0,Ft!D$3*((1-Ft!D$6)/(1+Ft!D$37*($A191-Ft!D$2)^2)+Ft!D$6*EXP(Ft!D$38*($A191-Ft!D$2)^2)),Ft!D$3*((1-Ft!D$7)/(1+Ft!D$39*($A191-Ft!D$2)^2)+Ft!D$7*EXP(Ft!D$40*($A191-Ft!D$2)^2)))</f>
        <v>0.2164548628747657</v>
      </c>
      <c r="I191" s="3">
        <f>IF(($A191-Ft!E$2)&lt;0,Ft!E$3*((1-Ft!E$6)/(1+Ft!E$37*($A191-Ft!E$2)^2)+Ft!E$6*EXP(Ft!E$38*($A191-Ft!E$2)^2)),Ft!E$3*((1-Ft!E$7)/(1+Ft!E$39*($A191-Ft!E$2)^2)+Ft!E$7*EXP(Ft!E$40*($A191-Ft!E$2)^2)))</f>
        <v>48.131134724107611</v>
      </c>
      <c r="J191" s="3">
        <f>IF(($A191-Ft!F$2)&lt;0,Ft!F$3*((1-Ft!F$6)/(1+Ft!F$37*($A191-Ft!F$2)^2)+Ft!F$6*EXP(Ft!F$38*($A191-Ft!F$2)^2)),Ft!F$3*((1-Ft!F$7)/(1+Ft!F$39*($A191-Ft!F$2)^2)+Ft!F$7*EXP(Ft!F$40*($A191-Ft!F$2)^2)))</f>
        <v>21.497936670650304</v>
      </c>
      <c r="K191" s="3">
        <f>IF(($A191-Ft!G$2)&lt;0,Ft!G$3*((1-Ft!G$6)/(1+Ft!G$37*($A191-Ft!G$2)^2)+Ft!G$6*EXP(Ft!G$38*($A191-Ft!G$2)^2)),Ft!G$3*((1-Ft!G$7)/(1+Ft!G$39*($A191-Ft!G$2)^2)+Ft!G$7*EXP(Ft!G$40*($A191-Ft!G$2)^2)))</f>
        <v>48.757047642023544</v>
      </c>
      <c r="L191" s="3">
        <f>IF(($A191-Ft!H$2)&lt;0,Ft!H$3*((1-Ft!H$6)/(1+Ft!H$37*($A191-Ft!H$2)^2)+Ft!H$6*EXP(Ft!H$38*($A191-Ft!H$2)^2)),Ft!H$3*((1-Ft!H$7)/(1+Ft!H$39*($A191-Ft!H$2)^2)+Ft!H$7*EXP(Ft!H$40*($A191-Ft!H$2)^2)))</f>
        <v>0</v>
      </c>
      <c r="M191" s="3">
        <f>IF(($A191-Ft!I$2)&lt;0,Ft!I$3*((1-Ft!I$6)/(1+Ft!I$37*($A191-Ft!I$2)^2)+Ft!I$6*EXP(Ft!I$38*($A191-Ft!I$2)^2)),Ft!I$3*((1-Ft!I$7)/(1+Ft!I$39*($A191-Ft!I$2)^2)+Ft!I$7*EXP(Ft!I$40*($A191-Ft!I$2)^2)))</f>
        <v>0</v>
      </c>
      <c r="N191" s="3">
        <f>IF(($A191-Ft!J$2)&lt;0,Ft!J$3*((1-Ft!J$6)/(1+Ft!J$37*($A191-Ft!J$2)^2)+Ft!J$6*EXP(Ft!J$38*($A191-Ft!J$2)^2)),Ft!J$3*((1-Ft!J$7)/(1+Ft!J$39*($A191-Ft!J$2)^2)+Ft!J$7*EXP(Ft!J$40*($A191-Ft!J$2)^2)))</f>
        <v>0</v>
      </c>
      <c r="O191" s="3">
        <f>IF(($A191-Ft!K$2)&lt;0,Ft!K$3*((1-Ft!K$6)/(1+Ft!K$37*($A191-Ft!K$2)^2)+Ft!K$6*EXP(Ft!K$38*($A191-Ft!K$2)^2)),Ft!K$3*((1-Ft!K$7)/(1+Ft!K$39*($A191-Ft!K$2)^2)+Ft!K$7*EXP(Ft!K$40*($A191-Ft!K$2)^2)))</f>
        <v>0</v>
      </c>
      <c r="P191"/>
      <c r="Q191"/>
    </row>
    <row r="192" spans="1:17">
      <c r="A192" s="20">
        <v>381</v>
      </c>
      <c r="B192" s="29">
        <v>36.916721726503027</v>
      </c>
      <c r="C192" s="7">
        <f t="shared" si="5"/>
        <v>36.881743265968865</v>
      </c>
      <c r="D192" s="3">
        <f t="shared" si="6"/>
        <v>1.2234927013399662E-3</v>
      </c>
      <c r="E192" s="3">
        <f>Ft!$B$12+Ft!$B$14*(Data!A192-Vars!$B$3)</f>
        <v>-200</v>
      </c>
      <c r="F192" s="3">
        <f>IF(($A192-Ft!B$2)&lt;0,Ft!B$3*((1-Ft!B$6)/(1+Ft!B$37*($A192-Ft!B$2)^2)+Ft!B$6*EXP(Ft!B$38*($A192-Ft!B$2)^2)),Ft!B$3*((1-Ft!B$7)/(1+Ft!B$39*($A192-Ft!B$2)^2)+Ft!B$7*EXP(Ft!B$40*($A192-Ft!B$2)^2)))</f>
        <v>75.991913953303055</v>
      </c>
      <c r="G192" s="3">
        <f>IF(($A192-Ft!C$2)&lt;0,Ft!C$3*((1-Ft!C$6)/(1+Ft!C$37*($A192-Ft!C$2)^2)+Ft!C$6*EXP(Ft!C$38*($A192-Ft!C$2)^2)),Ft!C$3*((1-Ft!C$7)/(1+Ft!C$39*($A192-Ft!C$2)^2)+Ft!C$7*EXP(Ft!C$40*($A192-Ft!C$2)^2)))</f>
        <v>41.68250270667653</v>
      </c>
      <c r="H192" s="3">
        <f>IF(($A192-Ft!D$2)&lt;0,Ft!D$3*((1-Ft!D$6)/(1+Ft!D$37*($A192-Ft!D$2)^2)+Ft!D$6*EXP(Ft!D$38*($A192-Ft!D$2)^2)),Ft!D$3*((1-Ft!D$7)/(1+Ft!D$39*($A192-Ft!D$2)^2)+Ft!D$7*EXP(Ft!D$40*($A192-Ft!D$2)^2)))</f>
        <v>0.25165766059266487</v>
      </c>
      <c r="I192" s="3">
        <f>IF(($A192-Ft!E$2)&lt;0,Ft!E$3*((1-Ft!E$6)/(1+Ft!E$37*($A192-Ft!E$2)^2)+Ft!E$6*EXP(Ft!E$38*($A192-Ft!E$2)^2)),Ft!E$3*((1-Ft!E$7)/(1+Ft!E$39*($A192-Ft!E$2)^2)+Ft!E$7*EXP(Ft!E$40*($A192-Ft!E$2)^2)))</f>
        <v>48.607696916777556</v>
      </c>
      <c r="J192" s="3">
        <f>IF(($A192-Ft!F$2)&lt;0,Ft!F$3*((1-Ft!F$6)/(1+Ft!F$37*($A192-Ft!F$2)^2)+Ft!F$6*EXP(Ft!F$38*($A192-Ft!F$2)^2)),Ft!F$3*((1-Ft!F$7)/(1+Ft!F$39*($A192-Ft!F$2)^2)+Ft!F$7*EXP(Ft!F$40*($A192-Ft!F$2)^2)))</f>
        <v>21.652515397547091</v>
      </c>
      <c r="K192" s="3">
        <f>IF(($A192-Ft!G$2)&lt;0,Ft!G$3*((1-Ft!G$6)/(1+Ft!G$37*($A192-Ft!G$2)^2)+Ft!G$6*EXP(Ft!G$38*($A192-Ft!G$2)^2)),Ft!G$3*((1-Ft!G$7)/(1+Ft!G$39*($A192-Ft!G$2)^2)+Ft!G$7*EXP(Ft!G$40*($A192-Ft!G$2)^2)))</f>
        <v>48.695456631071963</v>
      </c>
      <c r="L192" s="3">
        <f>IF(($A192-Ft!H$2)&lt;0,Ft!H$3*((1-Ft!H$6)/(1+Ft!H$37*($A192-Ft!H$2)^2)+Ft!H$6*EXP(Ft!H$38*($A192-Ft!H$2)^2)),Ft!H$3*((1-Ft!H$7)/(1+Ft!H$39*($A192-Ft!H$2)^2)+Ft!H$7*EXP(Ft!H$40*($A192-Ft!H$2)^2)))</f>
        <v>0</v>
      </c>
      <c r="M192" s="3">
        <f>IF(($A192-Ft!I$2)&lt;0,Ft!I$3*((1-Ft!I$6)/(1+Ft!I$37*($A192-Ft!I$2)^2)+Ft!I$6*EXP(Ft!I$38*($A192-Ft!I$2)^2)),Ft!I$3*((1-Ft!I$7)/(1+Ft!I$39*($A192-Ft!I$2)^2)+Ft!I$7*EXP(Ft!I$40*($A192-Ft!I$2)^2)))</f>
        <v>0</v>
      </c>
      <c r="N192" s="3">
        <f>IF(($A192-Ft!J$2)&lt;0,Ft!J$3*((1-Ft!J$6)/(1+Ft!J$37*($A192-Ft!J$2)^2)+Ft!J$6*EXP(Ft!J$38*($A192-Ft!J$2)^2)),Ft!J$3*((1-Ft!J$7)/(1+Ft!J$39*($A192-Ft!J$2)^2)+Ft!J$7*EXP(Ft!J$40*($A192-Ft!J$2)^2)))</f>
        <v>0</v>
      </c>
      <c r="O192" s="3">
        <f>IF(($A192-Ft!K$2)&lt;0,Ft!K$3*((1-Ft!K$6)/(1+Ft!K$37*($A192-Ft!K$2)^2)+Ft!K$6*EXP(Ft!K$38*($A192-Ft!K$2)^2)),Ft!K$3*((1-Ft!K$7)/(1+Ft!K$39*($A192-Ft!K$2)^2)+Ft!K$7*EXP(Ft!K$40*($A192-Ft!K$2)^2)))</f>
        <v>0</v>
      </c>
      <c r="P192"/>
      <c r="Q192"/>
    </row>
    <row r="193" spans="1:17">
      <c r="A193" s="20">
        <v>383</v>
      </c>
      <c r="B193" s="29">
        <v>37.17706552218489</v>
      </c>
      <c r="C193" s="7">
        <f t="shared" si="5"/>
        <v>37.147617862720665</v>
      </c>
      <c r="D193" s="3">
        <f t="shared" si="6"/>
        <v>8.6716464792094749E-4</v>
      </c>
      <c r="E193" s="3">
        <f>Ft!$B$12+Ft!$B$14*(Data!A193-Vars!$B$3)</f>
        <v>-200</v>
      </c>
      <c r="F193" s="3">
        <f>IF(($A193-Ft!B$2)&lt;0,Ft!B$3*((1-Ft!B$6)/(1+Ft!B$37*($A193-Ft!B$2)^2)+Ft!B$6*EXP(Ft!B$38*($A193-Ft!B$2)^2)),Ft!B$3*((1-Ft!B$7)/(1+Ft!B$39*($A193-Ft!B$2)^2)+Ft!B$7*EXP(Ft!B$40*($A193-Ft!B$2)^2)))</f>
        <v>75.555297103826419</v>
      </c>
      <c r="G193" s="3">
        <f>IF(($A193-Ft!C$2)&lt;0,Ft!C$3*((1-Ft!C$6)/(1+Ft!C$37*($A193-Ft!C$2)^2)+Ft!C$6*EXP(Ft!C$38*($A193-Ft!C$2)^2)),Ft!C$3*((1-Ft!C$7)/(1+Ft!C$39*($A193-Ft!C$2)^2)+Ft!C$7*EXP(Ft!C$40*($A193-Ft!C$2)^2)))</f>
        <v>41.778399362731037</v>
      </c>
      <c r="H193" s="3">
        <f>IF(($A193-Ft!D$2)&lt;0,Ft!D$3*((1-Ft!D$6)/(1+Ft!D$37*($A193-Ft!D$2)^2)+Ft!D$6*EXP(Ft!D$38*($A193-Ft!D$2)^2)),Ft!D$3*((1-Ft!D$7)/(1+Ft!D$39*($A193-Ft!D$2)^2)+Ft!D$7*EXP(Ft!D$40*($A193-Ft!D$2)^2)))</f>
        <v>0.29097592009216078</v>
      </c>
      <c r="I193" s="3">
        <f>IF(($A193-Ft!E$2)&lt;0,Ft!E$3*((1-Ft!E$6)/(1+Ft!E$37*($A193-Ft!E$2)^2)+Ft!E$6*EXP(Ft!E$38*($A193-Ft!E$2)^2)),Ft!E$3*((1-Ft!E$7)/(1+Ft!E$39*($A193-Ft!E$2)^2)+Ft!E$7*EXP(Ft!E$40*($A193-Ft!E$2)^2)))</f>
        <v>49.086131543293249</v>
      </c>
      <c r="J193" s="3">
        <f>IF(($A193-Ft!F$2)&lt;0,Ft!F$3*((1-Ft!F$6)/(1+Ft!F$37*($A193-Ft!F$2)^2)+Ft!F$6*EXP(Ft!F$38*($A193-Ft!F$2)^2)),Ft!F$3*((1-Ft!F$7)/(1+Ft!F$39*($A193-Ft!F$2)^2)+Ft!F$7*EXP(Ft!F$40*($A193-Ft!F$2)^2)))</f>
        <v>21.807918385523109</v>
      </c>
      <c r="K193" s="3">
        <f>IF(($A193-Ft!G$2)&lt;0,Ft!G$3*((1-Ft!G$6)/(1+Ft!G$37*($A193-Ft!G$2)^2)+Ft!G$6*EXP(Ft!G$38*($A193-Ft!G$2)^2)),Ft!G$3*((1-Ft!G$7)/(1+Ft!G$39*($A193-Ft!G$2)^2)+Ft!G$7*EXP(Ft!G$40*($A193-Ft!G$2)^2)))</f>
        <v>48.628895547254686</v>
      </c>
      <c r="L193" s="3">
        <f>IF(($A193-Ft!H$2)&lt;0,Ft!H$3*((1-Ft!H$6)/(1+Ft!H$37*($A193-Ft!H$2)^2)+Ft!H$6*EXP(Ft!H$38*($A193-Ft!H$2)^2)),Ft!H$3*((1-Ft!H$7)/(1+Ft!H$39*($A193-Ft!H$2)^2)+Ft!H$7*EXP(Ft!H$40*($A193-Ft!H$2)^2)))</f>
        <v>0</v>
      </c>
      <c r="M193" s="3">
        <f>IF(($A193-Ft!I$2)&lt;0,Ft!I$3*((1-Ft!I$6)/(1+Ft!I$37*($A193-Ft!I$2)^2)+Ft!I$6*EXP(Ft!I$38*($A193-Ft!I$2)^2)),Ft!I$3*((1-Ft!I$7)/(1+Ft!I$39*($A193-Ft!I$2)^2)+Ft!I$7*EXP(Ft!I$40*($A193-Ft!I$2)^2)))</f>
        <v>0</v>
      </c>
      <c r="N193" s="3">
        <f>IF(($A193-Ft!J$2)&lt;0,Ft!J$3*((1-Ft!J$6)/(1+Ft!J$37*($A193-Ft!J$2)^2)+Ft!J$6*EXP(Ft!J$38*($A193-Ft!J$2)^2)),Ft!J$3*((1-Ft!J$7)/(1+Ft!J$39*($A193-Ft!J$2)^2)+Ft!J$7*EXP(Ft!J$40*($A193-Ft!J$2)^2)))</f>
        <v>0</v>
      </c>
      <c r="O193" s="3">
        <f>IF(($A193-Ft!K$2)&lt;0,Ft!K$3*((1-Ft!K$6)/(1+Ft!K$37*($A193-Ft!K$2)^2)+Ft!K$6*EXP(Ft!K$38*($A193-Ft!K$2)^2)),Ft!K$3*((1-Ft!K$7)/(1+Ft!K$39*($A193-Ft!K$2)^2)+Ft!K$7*EXP(Ft!K$40*($A193-Ft!K$2)^2)))</f>
        <v>0</v>
      </c>
      <c r="P193"/>
      <c r="Q193"/>
    </row>
    <row r="194" spans="1:17">
      <c r="A194" s="20">
        <v>385</v>
      </c>
      <c r="B194" s="29">
        <v>37.441331339436474</v>
      </c>
      <c r="C194" s="7">
        <f t="shared" si="5"/>
        <v>37.416421634225351</v>
      </c>
      <c r="D194" s="3">
        <f t="shared" si="6"/>
        <v>6.2049341370502126E-4</v>
      </c>
      <c r="E194" s="3">
        <f>Ft!$B$12+Ft!$B$14*(Data!A194-Vars!$B$3)</f>
        <v>-200</v>
      </c>
      <c r="F194" s="3">
        <f>IF(($A194-Ft!B$2)&lt;0,Ft!B$3*((1-Ft!B$6)/(1+Ft!B$37*($A194-Ft!B$2)^2)+Ft!B$6*EXP(Ft!B$38*($A194-Ft!B$2)^2)),Ft!B$3*((1-Ft!B$7)/(1+Ft!B$39*($A194-Ft!B$2)^2)+Ft!B$7*EXP(Ft!B$40*($A194-Ft!B$2)^2)))</f>
        <v>75.11975506169712</v>
      </c>
      <c r="G194" s="3">
        <f>IF(($A194-Ft!C$2)&lt;0,Ft!C$3*((1-Ft!C$6)/(1+Ft!C$37*($A194-Ft!C$2)^2)+Ft!C$6*EXP(Ft!C$38*($A194-Ft!C$2)^2)),Ft!C$3*((1-Ft!C$7)/(1+Ft!C$39*($A194-Ft!C$2)^2)+Ft!C$7*EXP(Ft!C$40*($A194-Ft!C$2)^2)))</f>
        <v>41.874146650874927</v>
      </c>
      <c r="H194" s="3">
        <f>IF(($A194-Ft!D$2)&lt;0,Ft!D$3*((1-Ft!D$6)/(1+Ft!D$37*($A194-Ft!D$2)^2)+Ft!D$6*EXP(Ft!D$38*($A194-Ft!D$2)^2)),Ft!D$3*((1-Ft!D$7)/(1+Ft!D$39*($A194-Ft!D$2)^2)+Ft!D$7*EXP(Ft!D$40*($A194-Ft!D$2)^2)))</f>
        <v>0.33458620596731509</v>
      </c>
      <c r="I194" s="3">
        <f>IF(($A194-Ft!E$2)&lt;0,Ft!E$3*((1-Ft!E$6)/(1+Ft!E$37*($A194-Ft!E$2)^2)+Ft!E$6*EXP(Ft!E$38*($A194-Ft!E$2)^2)),Ft!E$3*((1-Ft!E$7)/(1+Ft!E$39*($A194-Ft!E$2)^2)+Ft!E$7*EXP(Ft!E$40*($A194-Ft!E$2)^2)))</f>
        <v>49.566401281555571</v>
      </c>
      <c r="J194" s="3">
        <f>IF(($A194-Ft!F$2)&lt;0,Ft!F$3*((1-Ft!F$6)/(1+Ft!F$37*($A194-Ft!F$2)^2)+Ft!F$6*EXP(Ft!F$38*($A194-Ft!F$2)^2)),Ft!F$3*((1-Ft!F$7)/(1+Ft!F$39*($A194-Ft!F$2)^2)+Ft!F$7*EXP(Ft!F$40*($A194-Ft!F$2)^2)))</f>
        <v>21.96414744229935</v>
      </c>
      <c r="K194" s="3">
        <f>IF(($A194-Ft!G$2)&lt;0,Ft!G$3*((1-Ft!G$6)/(1+Ft!G$37*($A194-Ft!G$2)^2)+Ft!G$6*EXP(Ft!G$38*($A194-Ft!G$2)^2)),Ft!G$3*((1-Ft!G$7)/(1+Ft!G$39*($A194-Ft!G$2)^2)+Ft!G$7*EXP(Ft!G$40*($A194-Ft!G$2)^2)))</f>
        <v>48.557384991831078</v>
      </c>
      <c r="L194" s="3">
        <f>IF(($A194-Ft!H$2)&lt;0,Ft!H$3*((1-Ft!H$6)/(1+Ft!H$37*($A194-Ft!H$2)^2)+Ft!H$6*EXP(Ft!H$38*($A194-Ft!H$2)^2)),Ft!H$3*((1-Ft!H$7)/(1+Ft!H$39*($A194-Ft!H$2)^2)+Ft!H$7*EXP(Ft!H$40*($A194-Ft!H$2)^2)))</f>
        <v>0</v>
      </c>
      <c r="M194" s="3">
        <f>IF(($A194-Ft!I$2)&lt;0,Ft!I$3*((1-Ft!I$6)/(1+Ft!I$37*($A194-Ft!I$2)^2)+Ft!I$6*EXP(Ft!I$38*($A194-Ft!I$2)^2)),Ft!I$3*((1-Ft!I$7)/(1+Ft!I$39*($A194-Ft!I$2)^2)+Ft!I$7*EXP(Ft!I$40*($A194-Ft!I$2)^2)))</f>
        <v>0</v>
      </c>
      <c r="N194" s="3">
        <f>IF(($A194-Ft!J$2)&lt;0,Ft!J$3*((1-Ft!J$6)/(1+Ft!J$37*($A194-Ft!J$2)^2)+Ft!J$6*EXP(Ft!J$38*($A194-Ft!J$2)^2)),Ft!J$3*((1-Ft!J$7)/(1+Ft!J$39*($A194-Ft!J$2)^2)+Ft!J$7*EXP(Ft!J$40*($A194-Ft!J$2)^2)))</f>
        <v>0</v>
      </c>
      <c r="O194" s="3">
        <f>IF(($A194-Ft!K$2)&lt;0,Ft!K$3*((1-Ft!K$6)/(1+Ft!K$37*($A194-Ft!K$2)^2)+Ft!K$6*EXP(Ft!K$38*($A194-Ft!K$2)^2)),Ft!K$3*((1-Ft!K$7)/(1+Ft!K$39*($A194-Ft!K$2)^2)+Ft!K$7*EXP(Ft!K$40*($A194-Ft!K$2)^2)))</f>
        <v>0</v>
      </c>
      <c r="P194"/>
      <c r="Q194"/>
    </row>
    <row r="195" spans="1:17">
      <c r="A195" s="20">
        <v>387</v>
      </c>
      <c r="B195" s="29">
        <v>37.709483844764108</v>
      </c>
      <c r="C195" s="7">
        <f t="shared" ref="C195:C258" si="7">SUM(E195:K195)</f>
        <v>37.68827627663174</v>
      </c>
      <c r="D195" s="3">
        <f t="shared" si="6"/>
        <v>4.4976094608904083E-4</v>
      </c>
      <c r="E195" s="3">
        <f>Ft!$B$12+Ft!$B$14*(Data!A195-Vars!$B$3)</f>
        <v>-200</v>
      </c>
      <c r="F195" s="3">
        <f>IF(($A195-Ft!B$2)&lt;0,Ft!B$3*((1-Ft!B$6)/(1+Ft!B$37*($A195-Ft!B$2)^2)+Ft!B$6*EXP(Ft!B$38*($A195-Ft!B$2)^2)),Ft!B$3*((1-Ft!B$7)/(1+Ft!B$39*($A195-Ft!B$2)^2)+Ft!B$7*EXP(Ft!B$40*($A195-Ft!B$2)^2)))</f>
        <v>74.685298209218004</v>
      </c>
      <c r="G195" s="3">
        <f>IF(($A195-Ft!C$2)&lt;0,Ft!C$3*((1-Ft!C$6)/(1+Ft!C$37*($A195-Ft!C$2)^2)+Ft!C$6*EXP(Ft!C$38*($A195-Ft!C$2)^2)),Ft!C$3*((1-Ft!C$7)/(1+Ft!C$39*($A195-Ft!C$2)^2)+Ft!C$7*EXP(Ft!C$40*($A195-Ft!C$2)^2)))</f>
        <v>41.969742534854362</v>
      </c>
      <c r="H195" s="3">
        <f>IF(($A195-Ft!D$2)&lt;0,Ft!D$3*((1-Ft!D$6)/(1+Ft!D$37*($A195-Ft!D$2)^2)+Ft!D$6*EXP(Ft!D$38*($A195-Ft!D$2)^2)),Ft!D$3*((1-Ft!D$7)/(1+Ft!D$39*($A195-Ft!D$2)^2)+Ft!D$7*EXP(Ft!D$40*($A195-Ft!D$2)^2)))</f>
        <v>0.38261597741281755</v>
      </c>
      <c r="I195" s="3">
        <f>IF(($A195-Ft!E$2)&lt;0,Ft!E$3*((1-Ft!E$6)/(1+Ft!E$37*($A195-Ft!E$2)^2)+Ft!E$6*EXP(Ft!E$38*($A195-Ft!E$2)^2)),Ft!E$3*((1-Ft!E$7)/(1+Ft!E$39*($A195-Ft!E$2)^2)+Ft!E$7*EXP(Ft!E$40*($A195-Ft!E$2)^2)))</f>
        <v>50.048468122450473</v>
      </c>
      <c r="J195" s="3">
        <f>IF(($A195-Ft!F$2)&lt;0,Ft!F$3*((1-Ft!F$6)/(1+Ft!F$37*($A195-Ft!F$2)^2)+Ft!F$6*EXP(Ft!F$38*($A195-Ft!F$2)^2)),Ft!F$3*((1-Ft!F$7)/(1+Ft!F$39*($A195-Ft!F$2)^2)+Ft!F$7*EXP(Ft!F$40*($A195-Ft!F$2)^2)))</f>
        <v>22.121204355803332</v>
      </c>
      <c r="K195" s="3">
        <f>IF(($A195-Ft!G$2)&lt;0,Ft!G$3*((1-Ft!G$6)/(1+Ft!G$37*($A195-Ft!G$2)^2)+Ft!G$6*EXP(Ft!G$38*($A195-Ft!G$2)^2)),Ft!G$3*((1-Ft!G$7)/(1+Ft!G$39*($A195-Ft!G$2)^2)+Ft!G$7*EXP(Ft!G$40*($A195-Ft!G$2)^2)))</f>
        <v>48.480947076892754</v>
      </c>
      <c r="L195" s="3">
        <f>IF(($A195-Ft!H$2)&lt;0,Ft!H$3*((1-Ft!H$6)/(1+Ft!H$37*($A195-Ft!H$2)^2)+Ft!H$6*EXP(Ft!H$38*($A195-Ft!H$2)^2)),Ft!H$3*((1-Ft!H$7)/(1+Ft!H$39*($A195-Ft!H$2)^2)+Ft!H$7*EXP(Ft!H$40*($A195-Ft!H$2)^2)))</f>
        <v>0</v>
      </c>
      <c r="M195" s="3">
        <f>IF(($A195-Ft!I$2)&lt;0,Ft!I$3*((1-Ft!I$6)/(1+Ft!I$37*($A195-Ft!I$2)^2)+Ft!I$6*EXP(Ft!I$38*($A195-Ft!I$2)^2)),Ft!I$3*((1-Ft!I$7)/(1+Ft!I$39*($A195-Ft!I$2)^2)+Ft!I$7*EXP(Ft!I$40*($A195-Ft!I$2)^2)))</f>
        <v>0</v>
      </c>
      <c r="N195" s="3">
        <f>IF(($A195-Ft!J$2)&lt;0,Ft!J$3*((1-Ft!J$6)/(1+Ft!J$37*($A195-Ft!J$2)^2)+Ft!J$6*EXP(Ft!J$38*($A195-Ft!J$2)^2)),Ft!J$3*((1-Ft!J$7)/(1+Ft!J$39*($A195-Ft!J$2)^2)+Ft!J$7*EXP(Ft!J$40*($A195-Ft!J$2)^2)))</f>
        <v>0</v>
      </c>
      <c r="O195" s="3">
        <f>IF(($A195-Ft!K$2)&lt;0,Ft!K$3*((1-Ft!K$6)/(1+Ft!K$37*($A195-Ft!K$2)^2)+Ft!K$6*EXP(Ft!K$38*($A195-Ft!K$2)^2)),Ft!K$3*((1-Ft!K$7)/(1+Ft!K$39*($A195-Ft!K$2)^2)+Ft!K$7*EXP(Ft!K$40*($A195-Ft!K$2)^2)))</f>
        <v>0</v>
      </c>
      <c r="P195"/>
      <c r="Q195"/>
    </row>
    <row r="196" spans="1:17">
      <c r="A196" s="20">
        <v>389</v>
      </c>
      <c r="B196" s="29">
        <v>37.981408373465698</v>
      </c>
      <c r="C196" s="7">
        <f t="shared" si="7"/>
        <v>37.963244701746859</v>
      </c>
      <c r="D196" s="3">
        <f t="shared" si="6"/>
        <v>3.2991897030972477E-4</v>
      </c>
      <c r="E196" s="3">
        <f>Ft!$B$12+Ft!$B$14*(Data!A196-Vars!$B$3)</f>
        <v>-200</v>
      </c>
      <c r="F196" s="3">
        <f>IF(($A196-Ft!B$2)&lt;0,Ft!B$3*((1-Ft!B$6)/(1+Ft!B$37*($A196-Ft!B$2)^2)+Ft!B$6*EXP(Ft!B$38*($A196-Ft!B$2)^2)),Ft!B$3*((1-Ft!B$7)/(1+Ft!B$39*($A196-Ft!B$2)^2)+Ft!B$7*EXP(Ft!B$40*($A196-Ft!B$2)^2)))</f>
        <v>74.251936806786432</v>
      </c>
      <c r="G196" s="3">
        <f>IF(($A196-Ft!C$2)&lt;0,Ft!C$3*((1-Ft!C$6)/(1+Ft!C$37*($A196-Ft!C$2)^2)+Ft!C$6*EXP(Ft!C$38*($A196-Ft!C$2)^2)),Ft!C$3*((1-Ft!C$7)/(1+Ft!C$39*($A196-Ft!C$2)^2)+Ft!C$7*EXP(Ft!C$40*($A196-Ft!C$2)^2)))</f>
        <v>42.065184977775758</v>
      </c>
      <c r="H196" s="3">
        <f>IF(($A196-Ft!D$2)&lt;0,Ft!D$3*((1-Ft!D$6)/(1+Ft!D$37*($A196-Ft!D$2)^2)+Ft!D$6*EXP(Ft!D$38*($A196-Ft!D$2)^2)),Ft!D$3*((1-Ft!D$7)/(1+Ft!D$39*($A196-Ft!D$2)^2)+Ft!D$7*EXP(Ft!D$40*($A196-Ft!D$2)^2)))</f>
        <v>0.43513323729816439</v>
      </c>
      <c r="I196" s="3">
        <f>IF(($A196-Ft!E$2)&lt;0,Ft!E$3*((1-Ft!E$6)/(1+Ft!E$37*($A196-Ft!E$2)^2)+Ft!E$6*EXP(Ft!E$38*($A196-Ft!E$2)^2)),Ft!E$3*((1-Ft!E$7)/(1+Ft!E$39*($A196-Ft!E$2)^2)+Ft!E$7*EXP(Ft!E$40*($A196-Ft!E$2)^2)))</f>
        <v>50.532293371985126</v>
      </c>
      <c r="J196" s="3">
        <f>IF(($A196-Ft!F$2)&lt;0,Ft!F$3*((1-Ft!F$6)/(1+Ft!F$37*($A196-Ft!F$2)^2)+Ft!F$6*EXP(Ft!F$38*($A196-Ft!F$2)^2)),Ft!F$3*((1-Ft!F$7)/(1+Ft!F$39*($A196-Ft!F$2)^2)+Ft!F$7*EXP(Ft!F$40*($A196-Ft!F$2)^2)))</f>
        <v>22.279090893932825</v>
      </c>
      <c r="K196" s="3">
        <f>IF(($A196-Ft!G$2)&lt;0,Ft!G$3*((1-Ft!G$6)/(1+Ft!G$37*($A196-Ft!G$2)^2)+Ft!G$6*EXP(Ft!G$38*($A196-Ft!G$2)^2)),Ft!G$3*((1-Ft!G$7)/(1+Ft!G$39*($A196-Ft!G$2)^2)+Ft!G$7*EXP(Ft!G$40*($A196-Ft!G$2)^2)))</f>
        <v>48.399605413968558</v>
      </c>
      <c r="L196" s="3">
        <f>IF(($A196-Ft!H$2)&lt;0,Ft!H$3*((1-Ft!H$6)/(1+Ft!H$37*($A196-Ft!H$2)^2)+Ft!H$6*EXP(Ft!H$38*($A196-Ft!H$2)^2)),Ft!H$3*((1-Ft!H$7)/(1+Ft!H$39*($A196-Ft!H$2)^2)+Ft!H$7*EXP(Ft!H$40*($A196-Ft!H$2)^2)))</f>
        <v>0</v>
      </c>
      <c r="M196" s="3">
        <f>IF(($A196-Ft!I$2)&lt;0,Ft!I$3*((1-Ft!I$6)/(1+Ft!I$37*($A196-Ft!I$2)^2)+Ft!I$6*EXP(Ft!I$38*($A196-Ft!I$2)^2)),Ft!I$3*((1-Ft!I$7)/(1+Ft!I$39*($A196-Ft!I$2)^2)+Ft!I$7*EXP(Ft!I$40*($A196-Ft!I$2)^2)))</f>
        <v>0</v>
      </c>
      <c r="N196" s="3">
        <f>IF(($A196-Ft!J$2)&lt;0,Ft!J$3*((1-Ft!J$6)/(1+Ft!J$37*($A196-Ft!J$2)^2)+Ft!J$6*EXP(Ft!J$38*($A196-Ft!J$2)^2)),Ft!J$3*((1-Ft!J$7)/(1+Ft!J$39*($A196-Ft!J$2)^2)+Ft!J$7*EXP(Ft!J$40*($A196-Ft!J$2)^2)))</f>
        <v>0</v>
      </c>
      <c r="O196" s="3">
        <f>IF(($A196-Ft!K$2)&lt;0,Ft!K$3*((1-Ft!K$6)/(1+Ft!K$37*($A196-Ft!K$2)^2)+Ft!K$6*EXP(Ft!K$38*($A196-Ft!K$2)^2)),Ft!K$3*((1-Ft!K$7)/(1+Ft!K$39*($A196-Ft!K$2)^2)+Ft!K$7*EXP(Ft!K$40*($A196-Ft!K$2)^2)))</f>
        <v>0</v>
      </c>
      <c r="P196"/>
      <c r="Q196"/>
    </row>
    <row r="197" spans="1:17">
      <c r="A197" s="20">
        <v>391</v>
      </c>
      <c r="B197" s="29">
        <v>38.256908978416547</v>
      </c>
      <c r="C197" s="7">
        <f t="shared" si="7"/>
        <v>38.24132090969934</v>
      </c>
      <c r="D197" s="3">
        <f t="shared" si="6"/>
        <v>2.429878863323735E-4</v>
      </c>
      <c r="E197" s="3">
        <f>Ft!$B$12+Ft!$B$14*(Data!A197-Vars!$B$3)</f>
        <v>-200</v>
      </c>
      <c r="F197" s="3">
        <f>IF(($A197-Ft!B$2)&lt;0,Ft!B$3*((1-Ft!B$6)/(1+Ft!B$37*($A197-Ft!B$2)^2)+Ft!B$6*EXP(Ft!B$38*($A197-Ft!B$2)^2)),Ft!B$3*((1-Ft!B$7)/(1+Ft!B$39*($A197-Ft!B$2)^2)+Ft!B$7*EXP(Ft!B$40*($A197-Ft!B$2)^2)))</f>
        <v>73.819680992818334</v>
      </c>
      <c r="G197" s="3">
        <f>IF(($A197-Ft!C$2)&lt;0,Ft!C$3*((1-Ft!C$6)/(1+Ft!C$37*($A197-Ft!C$2)^2)+Ft!C$6*EXP(Ft!C$38*($A197-Ft!C$2)^2)),Ft!C$3*((1-Ft!C$7)/(1+Ft!C$39*($A197-Ft!C$2)^2)+Ft!C$7*EXP(Ft!C$40*($A197-Ft!C$2)^2)))</f>
        <v>42.160471942176372</v>
      </c>
      <c r="H197" s="3">
        <f>IF(($A197-Ft!D$2)&lt;0,Ft!D$3*((1-Ft!D$6)/(1+Ft!D$37*($A197-Ft!D$2)^2)+Ft!D$6*EXP(Ft!D$38*($A197-Ft!D$2)^2)),Ft!D$3*((1-Ft!D$7)/(1+Ft!D$39*($A197-Ft!D$2)^2)+Ft!D$7*EXP(Ft!D$40*($A197-Ft!D$2)^2)))</f>
        <v>0.4921364148716964</v>
      </c>
      <c r="I197" s="3">
        <f>IF(($A197-Ft!E$2)&lt;0,Ft!E$3*((1-Ft!E$6)/(1+Ft!E$37*($A197-Ft!E$2)^2)+Ft!E$6*EXP(Ft!E$38*($A197-Ft!E$2)^2)),Ft!E$3*((1-Ft!E$7)/(1+Ft!E$39*($A197-Ft!E$2)^2)+Ft!E$7*EXP(Ft!E$40*($A197-Ft!E$2)^2)))</f>
        <v>51.01783765364442</v>
      </c>
      <c r="J197" s="3">
        <f>IF(($A197-Ft!F$2)&lt;0,Ft!F$3*((1-Ft!F$6)/(1+Ft!F$37*($A197-Ft!F$2)^2)+Ft!F$6*EXP(Ft!F$38*($A197-Ft!F$2)^2)),Ft!F$3*((1-Ft!F$7)/(1+Ft!F$39*($A197-Ft!F$2)^2)+Ft!F$7*EXP(Ft!F$40*($A197-Ft!F$2)^2)))</f>
        <v>22.437808804319136</v>
      </c>
      <c r="K197" s="3">
        <f>IF(($A197-Ft!G$2)&lt;0,Ft!G$3*((1-Ft!G$6)/(1+Ft!G$37*($A197-Ft!G$2)^2)+Ft!G$6*EXP(Ft!G$38*($A197-Ft!G$2)^2)),Ft!G$3*((1-Ft!G$7)/(1+Ft!G$39*($A197-Ft!G$2)^2)+Ft!G$7*EXP(Ft!G$40*($A197-Ft!G$2)^2)))</f>
        <v>48.313385101869386</v>
      </c>
      <c r="L197" s="3">
        <f>IF(($A197-Ft!H$2)&lt;0,Ft!H$3*((1-Ft!H$6)/(1+Ft!H$37*($A197-Ft!H$2)^2)+Ft!H$6*EXP(Ft!H$38*($A197-Ft!H$2)^2)),Ft!H$3*((1-Ft!H$7)/(1+Ft!H$39*($A197-Ft!H$2)^2)+Ft!H$7*EXP(Ft!H$40*($A197-Ft!H$2)^2)))</f>
        <v>0</v>
      </c>
      <c r="M197" s="3">
        <f>IF(($A197-Ft!I$2)&lt;0,Ft!I$3*((1-Ft!I$6)/(1+Ft!I$37*($A197-Ft!I$2)^2)+Ft!I$6*EXP(Ft!I$38*($A197-Ft!I$2)^2)),Ft!I$3*((1-Ft!I$7)/(1+Ft!I$39*($A197-Ft!I$2)^2)+Ft!I$7*EXP(Ft!I$40*($A197-Ft!I$2)^2)))</f>
        <v>0</v>
      </c>
      <c r="N197" s="3">
        <f>IF(($A197-Ft!J$2)&lt;0,Ft!J$3*((1-Ft!J$6)/(1+Ft!J$37*($A197-Ft!J$2)^2)+Ft!J$6*EXP(Ft!J$38*($A197-Ft!J$2)^2)),Ft!J$3*((1-Ft!J$7)/(1+Ft!J$39*($A197-Ft!J$2)^2)+Ft!J$7*EXP(Ft!J$40*($A197-Ft!J$2)^2)))</f>
        <v>0</v>
      </c>
      <c r="O197" s="3">
        <f>IF(($A197-Ft!K$2)&lt;0,Ft!K$3*((1-Ft!K$6)/(1+Ft!K$37*($A197-Ft!K$2)^2)+Ft!K$6*EXP(Ft!K$38*($A197-Ft!K$2)^2)),Ft!K$3*((1-Ft!K$7)/(1+Ft!K$39*($A197-Ft!K$2)^2)+Ft!K$7*EXP(Ft!K$40*($A197-Ft!K$2)^2)))</f>
        <v>0</v>
      </c>
      <c r="P197"/>
      <c r="Q197"/>
    </row>
    <row r="198" spans="1:17">
      <c r="A198" s="20">
        <v>393</v>
      </c>
      <c r="B198" s="29">
        <v>38.535707781575198</v>
      </c>
      <c r="C198" s="7">
        <f t="shared" si="7"/>
        <v>38.522420484344224</v>
      </c>
      <c r="D198" s="3">
        <f t="shared" si="6"/>
        <v>1.7655226770425209E-4</v>
      </c>
      <c r="E198" s="3">
        <f>Ft!$B$12+Ft!$B$14*(Data!A198-Vars!$B$3)</f>
        <v>-200</v>
      </c>
      <c r="F198" s="3">
        <f>IF(($A198-Ft!B$2)&lt;0,Ft!B$3*((1-Ft!B$6)/(1+Ft!B$37*($A198-Ft!B$2)^2)+Ft!B$6*EXP(Ft!B$38*($A198-Ft!B$2)^2)),Ft!B$3*((1-Ft!B$7)/(1+Ft!B$39*($A198-Ft!B$2)^2)+Ft!B$7*EXP(Ft!B$40*($A198-Ft!B$2)^2)))</f>
        <v>73.388540783684135</v>
      </c>
      <c r="G198" s="3">
        <f>IF(($A198-Ft!C$2)&lt;0,Ft!C$3*((1-Ft!C$6)/(1+Ft!C$37*($A198-Ft!C$2)^2)+Ft!C$6*EXP(Ft!C$38*($A198-Ft!C$2)^2)),Ft!C$3*((1-Ft!C$7)/(1+Ft!C$39*($A198-Ft!C$2)^2)+Ft!C$7*EXP(Ft!C$40*($A198-Ft!C$2)^2)))</f>
        <v>42.255601390095151</v>
      </c>
      <c r="H198" s="3">
        <f>IF(($A198-Ft!D$2)&lt;0,Ft!D$3*((1-Ft!D$6)/(1+Ft!D$37*($A198-Ft!D$2)^2)+Ft!D$6*EXP(Ft!D$38*($A198-Ft!D$2)^2)),Ft!D$3*((1-Ft!D$7)/(1+Ft!D$39*($A198-Ft!D$2)^2)+Ft!D$7*EXP(Ft!D$40*($A198-Ft!D$2)^2)))</f>
        <v>0.55354487172417222</v>
      </c>
      <c r="I198" s="3">
        <f>IF(($A198-Ft!E$2)&lt;0,Ft!E$3*((1-Ft!E$6)/(1+Ft!E$37*($A198-Ft!E$2)^2)+Ft!E$6*EXP(Ft!E$38*($A198-Ft!E$2)^2)),Ft!E$3*((1-Ft!E$7)/(1+Ft!E$39*($A198-Ft!E$2)^2)+Ft!E$7*EXP(Ft!E$40*($A198-Ft!E$2)^2)))</f>
        <v>51.505060910969206</v>
      </c>
      <c r="J198" s="3">
        <f>IF(($A198-Ft!F$2)&lt;0,Ft!F$3*((1-Ft!F$6)/(1+Ft!F$37*($A198-Ft!F$2)^2)+Ft!F$6*EXP(Ft!F$38*($A198-Ft!F$2)^2)),Ft!F$3*((1-Ft!F$7)/(1+Ft!F$39*($A198-Ft!F$2)^2)+Ft!F$7*EXP(Ft!F$40*($A198-Ft!F$2)^2)))</f>
        <v>22.597359814090026</v>
      </c>
      <c r="K198" s="3">
        <f>IF(($A198-Ft!G$2)&lt;0,Ft!G$3*((1-Ft!G$6)/(1+Ft!G$37*($A198-Ft!G$2)^2)+Ft!G$6*EXP(Ft!G$38*($A198-Ft!G$2)^2)),Ft!G$3*((1-Ft!G$7)/(1+Ft!G$39*($A198-Ft!G$2)^2)+Ft!G$7*EXP(Ft!G$40*($A198-Ft!G$2)^2)))</f>
        <v>48.222312713781534</v>
      </c>
      <c r="L198" s="3">
        <f>IF(($A198-Ft!H$2)&lt;0,Ft!H$3*((1-Ft!H$6)/(1+Ft!H$37*($A198-Ft!H$2)^2)+Ft!H$6*EXP(Ft!H$38*($A198-Ft!H$2)^2)),Ft!H$3*((1-Ft!H$7)/(1+Ft!H$39*($A198-Ft!H$2)^2)+Ft!H$7*EXP(Ft!H$40*($A198-Ft!H$2)^2)))</f>
        <v>0</v>
      </c>
      <c r="M198" s="3">
        <f>IF(($A198-Ft!I$2)&lt;0,Ft!I$3*((1-Ft!I$6)/(1+Ft!I$37*($A198-Ft!I$2)^2)+Ft!I$6*EXP(Ft!I$38*($A198-Ft!I$2)^2)),Ft!I$3*((1-Ft!I$7)/(1+Ft!I$39*($A198-Ft!I$2)^2)+Ft!I$7*EXP(Ft!I$40*($A198-Ft!I$2)^2)))</f>
        <v>0</v>
      </c>
      <c r="N198" s="3">
        <f>IF(($A198-Ft!J$2)&lt;0,Ft!J$3*((1-Ft!J$6)/(1+Ft!J$37*($A198-Ft!J$2)^2)+Ft!J$6*EXP(Ft!J$38*($A198-Ft!J$2)^2)),Ft!J$3*((1-Ft!J$7)/(1+Ft!J$39*($A198-Ft!J$2)^2)+Ft!J$7*EXP(Ft!J$40*($A198-Ft!J$2)^2)))</f>
        <v>0</v>
      </c>
      <c r="O198" s="3">
        <f>IF(($A198-Ft!K$2)&lt;0,Ft!K$3*((1-Ft!K$6)/(1+Ft!K$37*($A198-Ft!K$2)^2)+Ft!K$6*EXP(Ft!K$38*($A198-Ft!K$2)^2)),Ft!K$3*((1-Ft!K$7)/(1+Ft!K$39*($A198-Ft!K$2)^2)+Ft!K$7*EXP(Ft!K$40*($A198-Ft!K$2)^2)))</f>
        <v>0</v>
      </c>
      <c r="P198"/>
      <c r="Q198"/>
    </row>
    <row r="199" spans="1:17">
      <c r="A199" s="20">
        <v>395</v>
      </c>
      <c r="B199" s="29">
        <v>38.817445702077379</v>
      </c>
      <c r="C199" s="7">
        <f t="shared" si="7"/>
        <v>38.806372130026702</v>
      </c>
      <c r="D199" s="3">
        <f t="shared" si="6"/>
        <v>1.2262399796152855E-4</v>
      </c>
      <c r="E199" s="3">
        <f>Ft!$B$12+Ft!$B$14*(Data!A199-Vars!$B$3)</f>
        <v>-200</v>
      </c>
      <c r="F199" s="3">
        <f>IF(($A199-Ft!B$2)&lt;0,Ft!B$3*((1-Ft!B$6)/(1+Ft!B$37*($A199-Ft!B$2)^2)+Ft!B$6*EXP(Ft!B$38*($A199-Ft!B$2)^2)),Ft!B$3*((1-Ft!B$7)/(1+Ft!B$39*($A199-Ft!B$2)^2)+Ft!B$7*EXP(Ft!B$40*($A199-Ft!B$2)^2)))</f>
        <v>72.958526073656813</v>
      </c>
      <c r="G199" s="3">
        <f>IF(($A199-Ft!C$2)&lt;0,Ft!C$3*((1-Ft!C$6)/(1+Ft!C$37*($A199-Ft!C$2)^2)+Ft!C$6*EXP(Ft!C$38*($A199-Ft!C$2)^2)),Ft!C$3*((1-Ft!C$7)/(1+Ft!C$39*($A199-Ft!C$2)^2)+Ft!C$7*EXP(Ft!C$40*($A199-Ft!C$2)^2)))</f>
        <v>42.350571283143637</v>
      </c>
      <c r="H199" s="3">
        <f>IF(($A199-Ft!D$2)&lt;0,Ft!D$3*((1-Ft!D$6)/(1+Ft!D$37*($A199-Ft!D$2)^2)+Ft!D$6*EXP(Ft!D$38*($A199-Ft!D$2)^2)),Ft!D$3*((1-Ft!D$7)/(1+Ft!D$39*($A199-Ft!D$2)^2)+Ft!D$7*EXP(Ft!D$40*($A199-Ft!D$2)^2)))</f>
        <v>0.6191904496184768</v>
      </c>
      <c r="I199" s="3">
        <f>IF(($A199-Ft!E$2)&lt;0,Ft!E$3*((1-Ft!E$6)/(1+Ft!E$37*($A199-Ft!E$2)^2)+Ft!E$6*EXP(Ft!E$38*($A199-Ft!E$2)^2)),Ft!E$3*((1-Ft!E$7)/(1+Ft!E$39*($A199-Ft!E$2)^2)+Ft!E$7*EXP(Ft!E$40*($A199-Ft!E$2)^2)))</f>
        <v>51.993922410357364</v>
      </c>
      <c r="J199" s="3">
        <f>IF(($A199-Ft!F$2)&lt;0,Ft!F$3*((1-Ft!F$6)/(1+Ft!F$37*($A199-Ft!F$2)^2)+Ft!F$6*EXP(Ft!F$38*($A199-Ft!F$2)^2)),Ft!F$3*((1-Ft!F$7)/(1+Ft!F$39*($A199-Ft!F$2)^2)+Ft!F$7*EXP(Ft!F$40*($A199-Ft!F$2)^2)))</f>
        <v>22.757745629632428</v>
      </c>
      <c r="K199" s="3">
        <f>IF(($A199-Ft!G$2)&lt;0,Ft!G$3*((1-Ft!G$6)/(1+Ft!G$37*($A199-Ft!G$2)^2)+Ft!G$6*EXP(Ft!G$38*($A199-Ft!G$2)^2)),Ft!G$3*((1-Ft!G$7)/(1+Ft!G$39*($A199-Ft!G$2)^2)+Ft!G$7*EXP(Ft!G$40*($A199-Ft!G$2)^2)))</f>
        <v>48.126416283617992</v>
      </c>
      <c r="L199" s="3">
        <f>IF(($A199-Ft!H$2)&lt;0,Ft!H$3*((1-Ft!H$6)/(1+Ft!H$37*($A199-Ft!H$2)^2)+Ft!H$6*EXP(Ft!H$38*($A199-Ft!H$2)^2)),Ft!H$3*((1-Ft!H$7)/(1+Ft!H$39*($A199-Ft!H$2)^2)+Ft!H$7*EXP(Ft!H$40*($A199-Ft!H$2)^2)))</f>
        <v>0</v>
      </c>
      <c r="M199" s="3">
        <f>IF(($A199-Ft!I$2)&lt;0,Ft!I$3*((1-Ft!I$6)/(1+Ft!I$37*($A199-Ft!I$2)^2)+Ft!I$6*EXP(Ft!I$38*($A199-Ft!I$2)^2)),Ft!I$3*((1-Ft!I$7)/(1+Ft!I$39*($A199-Ft!I$2)^2)+Ft!I$7*EXP(Ft!I$40*($A199-Ft!I$2)^2)))</f>
        <v>0</v>
      </c>
      <c r="N199" s="3">
        <f>IF(($A199-Ft!J$2)&lt;0,Ft!J$3*((1-Ft!J$6)/(1+Ft!J$37*($A199-Ft!J$2)^2)+Ft!J$6*EXP(Ft!J$38*($A199-Ft!J$2)^2)),Ft!J$3*((1-Ft!J$7)/(1+Ft!J$39*($A199-Ft!J$2)^2)+Ft!J$7*EXP(Ft!J$40*($A199-Ft!J$2)^2)))</f>
        <v>0</v>
      </c>
      <c r="O199" s="3">
        <f>IF(($A199-Ft!K$2)&lt;0,Ft!K$3*((1-Ft!K$6)/(1+Ft!K$37*($A199-Ft!K$2)^2)+Ft!K$6*EXP(Ft!K$38*($A199-Ft!K$2)^2)),Ft!K$3*((1-Ft!K$7)/(1+Ft!K$39*($A199-Ft!K$2)^2)+Ft!K$7*EXP(Ft!K$40*($A199-Ft!K$2)^2)))</f>
        <v>0</v>
      </c>
      <c r="P199"/>
      <c r="Q199"/>
    </row>
    <row r="200" spans="1:17">
      <c r="A200" s="20">
        <v>397</v>
      </c>
      <c r="B200" s="29">
        <v>39.101684609931823</v>
      </c>
      <c r="C200" s="7">
        <f t="shared" si="7"/>
        <v>39.092910681702783</v>
      </c>
      <c r="D200" s="3">
        <f t="shared" si="6"/>
        <v>7.6981816568344911E-5</v>
      </c>
      <c r="E200" s="3">
        <f>Ft!$B$12+Ft!$B$14*(Data!A200-Vars!$B$3)</f>
        <v>-200</v>
      </c>
      <c r="F200" s="3">
        <f>IF(($A200-Ft!B$2)&lt;0,Ft!B$3*((1-Ft!B$6)/(1+Ft!B$37*($A200-Ft!B$2)^2)+Ft!B$6*EXP(Ft!B$38*($A200-Ft!B$2)^2)),Ft!B$3*((1-Ft!B$7)/(1+Ft!B$39*($A200-Ft!B$2)^2)+Ft!B$7*EXP(Ft!B$40*($A200-Ft!B$2)^2)))</f>
        <v>72.529646634871781</v>
      </c>
      <c r="G200" s="3">
        <f>IF(($A200-Ft!C$2)&lt;0,Ft!C$3*((1-Ft!C$6)/(1+Ft!C$37*($A200-Ft!C$2)^2)+Ft!C$6*EXP(Ft!C$38*($A200-Ft!C$2)^2)),Ft!C$3*((1-Ft!C$7)/(1+Ft!C$39*($A200-Ft!C$2)^2)+Ft!C$7*EXP(Ft!C$40*($A200-Ft!C$2)^2)))</f>
        <v>42.44537958257721</v>
      </c>
      <c r="H200" s="3">
        <f>IF(($A200-Ft!D$2)&lt;0,Ft!D$3*((1-Ft!D$6)/(1+Ft!D$37*($A200-Ft!D$2)^2)+Ft!D$6*EXP(Ft!D$38*($A200-Ft!D$2)^2)),Ft!D$3*((1-Ft!D$7)/(1+Ft!D$39*($A200-Ft!D$2)^2)+Ft!D$7*EXP(Ft!D$40*($A200-Ft!D$2)^2)))</f>
        <v>0.68881049217290946</v>
      </c>
      <c r="I200" s="3">
        <f>IF(($A200-Ft!E$2)&lt;0,Ft!E$3*((1-Ft!E$6)/(1+Ft!E$37*($A200-Ft!E$2)^2)+Ft!E$6*EXP(Ft!E$38*($A200-Ft!E$2)^2)),Ft!E$3*((1-Ft!E$7)/(1+Ft!E$39*($A200-Ft!E$2)^2)+Ft!E$7*EXP(Ft!E$40*($A200-Ft!E$2)^2)))</f>
        <v>52.484380744088924</v>
      </c>
      <c r="J200" s="3">
        <f>IF(($A200-Ft!F$2)&lt;0,Ft!F$3*((1-Ft!F$6)/(1+Ft!F$37*($A200-Ft!F$2)^2)+Ft!F$6*EXP(Ft!F$38*($A200-Ft!F$2)^2)),Ft!F$3*((1-Ft!F$7)/(1+Ft!F$39*($A200-Ft!F$2)^2)+Ft!F$7*EXP(Ft!F$40*($A200-Ft!F$2)^2)))</f>
        <v>22.918967936354647</v>
      </c>
      <c r="K200" s="3">
        <f>IF(($A200-Ft!G$2)&lt;0,Ft!G$3*((1-Ft!G$6)/(1+Ft!G$37*($A200-Ft!G$2)^2)+Ft!G$6*EXP(Ft!G$38*($A200-Ft!G$2)^2)),Ft!G$3*((1-Ft!G$7)/(1+Ft!G$39*($A200-Ft!G$2)^2)+Ft!G$7*EXP(Ft!G$40*($A200-Ft!G$2)^2)))</f>
        <v>48.025725291637308</v>
      </c>
      <c r="L200" s="3">
        <f>IF(($A200-Ft!H$2)&lt;0,Ft!H$3*((1-Ft!H$6)/(1+Ft!H$37*($A200-Ft!H$2)^2)+Ft!H$6*EXP(Ft!H$38*($A200-Ft!H$2)^2)),Ft!H$3*((1-Ft!H$7)/(1+Ft!H$39*($A200-Ft!H$2)^2)+Ft!H$7*EXP(Ft!H$40*($A200-Ft!H$2)^2)))</f>
        <v>0</v>
      </c>
      <c r="M200" s="3">
        <f>IF(($A200-Ft!I$2)&lt;0,Ft!I$3*((1-Ft!I$6)/(1+Ft!I$37*($A200-Ft!I$2)^2)+Ft!I$6*EXP(Ft!I$38*($A200-Ft!I$2)^2)),Ft!I$3*((1-Ft!I$7)/(1+Ft!I$39*($A200-Ft!I$2)^2)+Ft!I$7*EXP(Ft!I$40*($A200-Ft!I$2)^2)))</f>
        <v>0</v>
      </c>
      <c r="N200" s="3">
        <f>IF(($A200-Ft!J$2)&lt;0,Ft!J$3*((1-Ft!J$6)/(1+Ft!J$37*($A200-Ft!J$2)^2)+Ft!J$6*EXP(Ft!J$38*($A200-Ft!J$2)^2)),Ft!J$3*((1-Ft!J$7)/(1+Ft!J$39*($A200-Ft!J$2)^2)+Ft!J$7*EXP(Ft!J$40*($A200-Ft!J$2)^2)))</f>
        <v>0</v>
      </c>
      <c r="O200" s="3">
        <f>IF(($A200-Ft!K$2)&lt;0,Ft!K$3*((1-Ft!K$6)/(1+Ft!K$37*($A200-Ft!K$2)^2)+Ft!K$6*EXP(Ft!K$38*($A200-Ft!K$2)^2)),Ft!K$3*((1-Ft!K$7)/(1+Ft!K$39*($A200-Ft!K$2)^2)+Ft!K$7*EXP(Ft!K$40*($A200-Ft!K$2)^2)))</f>
        <v>0</v>
      </c>
      <c r="P200"/>
      <c r="Q200"/>
    </row>
    <row r="201" spans="1:17">
      <c r="A201" s="20">
        <v>399</v>
      </c>
      <c r="B201" s="29">
        <v>39.387910926789118</v>
      </c>
      <c r="C201" s="7">
        <f t="shared" si="7"/>
        <v>39.381672015416413</v>
      </c>
      <c r="D201" s="3">
        <f t="shared" si="6"/>
        <v>3.8924015116468375E-5</v>
      </c>
      <c r="E201" s="3">
        <f>Ft!$B$12+Ft!$B$14*(Data!A201-Vars!$B$3)</f>
        <v>-200</v>
      </c>
      <c r="F201" s="3">
        <f>IF(($A201-Ft!B$2)&lt;0,Ft!B$3*((1-Ft!B$6)/(1+Ft!B$37*($A201-Ft!B$2)^2)+Ft!B$6*EXP(Ft!B$38*($A201-Ft!B$2)^2)),Ft!B$3*((1-Ft!B$7)/(1+Ft!B$39*($A201-Ft!B$2)^2)+Ft!B$7*EXP(Ft!B$40*($A201-Ft!B$2)^2)))</f>
        <v>72.101912117298639</v>
      </c>
      <c r="G201" s="3">
        <f>IF(($A201-Ft!C$2)&lt;0,Ft!C$3*((1-Ft!C$6)/(1+Ft!C$37*($A201-Ft!C$2)^2)+Ft!C$6*EXP(Ft!C$38*($A201-Ft!C$2)^2)),Ft!C$3*((1-Ft!C$7)/(1+Ft!C$39*($A201-Ft!C$2)^2)+Ft!C$7*EXP(Ft!C$40*($A201-Ft!C$2)^2)))</f>
        <v>42.540024249366347</v>
      </c>
      <c r="H201" s="3">
        <f>IF(($A201-Ft!D$2)&lt;0,Ft!D$3*((1-Ft!D$6)/(1+Ft!D$37*($A201-Ft!D$2)^2)+Ft!D$6*EXP(Ft!D$38*($A201-Ft!D$2)^2)),Ft!D$3*((1-Ft!D$7)/(1+Ft!D$39*($A201-Ft!D$2)^2)+Ft!D$7*EXP(Ft!D$40*($A201-Ft!D$2)^2)))</f>
        <v>0.76204276738596799</v>
      </c>
      <c r="I201" s="3">
        <f>IF(($A201-Ft!E$2)&lt;0,Ft!E$3*((1-Ft!E$6)/(1+Ft!E$37*($A201-Ft!E$2)^2)+Ft!E$6*EXP(Ft!E$38*($A201-Ft!E$2)^2)),Ft!E$3*((1-Ft!E$7)/(1+Ft!E$39*($A201-Ft!E$2)^2)+Ft!E$7*EXP(Ft!E$40*($A201-Ft!E$2)^2)))</f>
        <v>52.976393833576466</v>
      </c>
      <c r="J201" s="3">
        <f>IF(($A201-Ft!F$2)&lt;0,Ft!F$3*((1-Ft!F$6)/(1+Ft!F$37*($A201-Ft!F$2)^2)+Ft!F$6*EXP(Ft!F$38*($A201-Ft!F$2)^2)),Ft!F$3*((1-Ft!F$7)/(1+Ft!F$39*($A201-Ft!F$2)^2)+Ft!F$7*EXP(Ft!F$40*($A201-Ft!F$2)^2)))</f>
        <v>23.081028398448439</v>
      </c>
      <c r="K201" s="3">
        <f>IF(($A201-Ft!G$2)&lt;0,Ft!G$3*((1-Ft!G$6)/(1+Ft!G$37*($A201-Ft!G$2)^2)+Ft!G$6*EXP(Ft!G$38*($A201-Ft!G$2)^2)),Ft!G$3*((1-Ft!G$7)/(1+Ft!G$39*($A201-Ft!G$2)^2)+Ft!G$7*EXP(Ft!G$40*($A201-Ft!G$2)^2)))</f>
        <v>47.920270649340551</v>
      </c>
      <c r="L201" s="3">
        <f>IF(($A201-Ft!H$2)&lt;0,Ft!H$3*((1-Ft!H$6)/(1+Ft!H$37*($A201-Ft!H$2)^2)+Ft!H$6*EXP(Ft!H$38*($A201-Ft!H$2)^2)),Ft!H$3*((1-Ft!H$7)/(1+Ft!H$39*($A201-Ft!H$2)^2)+Ft!H$7*EXP(Ft!H$40*($A201-Ft!H$2)^2)))</f>
        <v>0</v>
      </c>
      <c r="M201" s="3">
        <f>IF(($A201-Ft!I$2)&lt;0,Ft!I$3*((1-Ft!I$6)/(1+Ft!I$37*($A201-Ft!I$2)^2)+Ft!I$6*EXP(Ft!I$38*($A201-Ft!I$2)^2)),Ft!I$3*((1-Ft!I$7)/(1+Ft!I$39*($A201-Ft!I$2)^2)+Ft!I$7*EXP(Ft!I$40*($A201-Ft!I$2)^2)))</f>
        <v>0</v>
      </c>
      <c r="N201" s="3">
        <f>IF(($A201-Ft!J$2)&lt;0,Ft!J$3*((1-Ft!J$6)/(1+Ft!J$37*($A201-Ft!J$2)^2)+Ft!J$6*EXP(Ft!J$38*($A201-Ft!J$2)^2)),Ft!J$3*((1-Ft!J$7)/(1+Ft!J$39*($A201-Ft!J$2)^2)+Ft!J$7*EXP(Ft!J$40*($A201-Ft!J$2)^2)))</f>
        <v>0</v>
      </c>
      <c r="O201" s="3">
        <f>IF(($A201-Ft!K$2)&lt;0,Ft!K$3*((1-Ft!K$6)/(1+Ft!K$37*($A201-Ft!K$2)^2)+Ft!K$6*EXP(Ft!K$38*($A201-Ft!K$2)^2)),Ft!K$3*((1-Ft!K$7)/(1+Ft!K$39*($A201-Ft!K$2)^2)+Ft!K$7*EXP(Ft!K$40*($A201-Ft!K$2)^2)))</f>
        <v>0</v>
      </c>
      <c r="P201"/>
      <c r="Q201"/>
    </row>
    <row r="202" spans="1:17">
      <c r="A202" s="20">
        <v>401</v>
      </c>
      <c r="B202" s="29">
        <v>39.675540665578751</v>
      </c>
      <c r="C202" s="7">
        <f t="shared" si="7"/>
        <v>39.672190260674071</v>
      </c>
      <c r="D202" s="3">
        <f t="shared" si="6"/>
        <v>1.1225213025302119E-5</v>
      </c>
      <c r="E202" s="3">
        <f>Ft!$B$12+Ft!$B$14*(Data!A202-Vars!$B$3)</f>
        <v>-200</v>
      </c>
      <c r="F202" s="3">
        <f>IF(($A202-Ft!B$2)&lt;0,Ft!B$3*((1-Ft!B$6)/(1+Ft!B$37*($A202-Ft!B$2)^2)+Ft!B$6*EXP(Ft!B$38*($A202-Ft!B$2)^2)),Ft!B$3*((1-Ft!B$7)/(1+Ft!B$39*($A202-Ft!B$2)^2)+Ft!B$7*EXP(Ft!B$40*($A202-Ft!B$2)^2)))</f>
        <v>71.675332048724869</v>
      </c>
      <c r="G202" s="3">
        <f>IF(($A202-Ft!C$2)&lt;0,Ft!C$3*((1-Ft!C$6)/(1+Ft!C$37*($A202-Ft!C$2)^2)+Ft!C$6*EXP(Ft!C$38*($A202-Ft!C$2)^2)),Ft!C$3*((1-Ft!C$7)/(1+Ft!C$39*($A202-Ft!C$2)^2)+Ft!C$7*EXP(Ft!C$40*($A202-Ft!C$2)^2)))</f>
        <v>42.634503244268188</v>
      </c>
      <c r="H202" s="3">
        <f>IF(($A202-Ft!D$2)&lt;0,Ft!D$3*((1-Ft!D$6)/(1+Ft!D$37*($A202-Ft!D$2)^2)+Ft!D$6*EXP(Ft!D$38*($A202-Ft!D$2)^2)),Ft!D$3*((1-Ft!D$7)/(1+Ft!D$39*($A202-Ft!D$2)^2)+Ft!D$7*EXP(Ft!D$40*($A202-Ft!D$2)^2)))</f>
        <v>0.83842269253176738</v>
      </c>
      <c r="I202" s="3">
        <f>IF(($A202-Ft!E$2)&lt;0,Ft!E$3*((1-Ft!E$6)/(1+Ft!E$37*($A202-Ft!E$2)^2)+Ft!E$6*EXP(Ft!E$38*($A202-Ft!E$2)^2)),Ft!E$3*((1-Ft!E$7)/(1+Ft!E$39*($A202-Ft!E$2)^2)+Ft!E$7*EXP(Ft!E$40*($A202-Ft!E$2)^2)))</f>
        <v>53.469918932841502</v>
      </c>
      <c r="J202" s="3">
        <f>IF(($A202-Ft!F$2)&lt;0,Ft!F$3*((1-Ft!F$6)/(1+Ft!F$37*($A202-Ft!F$2)^2)+Ft!F$6*EXP(Ft!F$38*($A202-Ft!F$2)^2)),Ft!F$3*((1-Ft!F$7)/(1+Ft!F$39*($A202-Ft!F$2)^2)+Ft!F$7*EXP(Ft!F$40*($A202-Ft!F$2)^2)))</f>
        <v>23.243928658650649</v>
      </c>
      <c r="K202" s="3">
        <f>IF(($A202-Ft!G$2)&lt;0,Ft!G$3*((1-Ft!G$6)/(1+Ft!G$37*($A202-Ft!G$2)^2)+Ft!G$6*EXP(Ft!G$38*($A202-Ft!G$2)^2)),Ft!G$3*((1-Ft!G$7)/(1+Ft!G$39*($A202-Ft!G$2)^2)+Ft!G$7*EXP(Ft!G$40*($A202-Ft!G$2)^2)))</f>
        <v>47.810084683657095</v>
      </c>
      <c r="L202" s="3">
        <f>IF(($A202-Ft!H$2)&lt;0,Ft!H$3*((1-Ft!H$6)/(1+Ft!H$37*($A202-Ft!H$2)^2)+Ft!H$6*EXP(Ft!H$38*($A202-Ft!H$2)^2)),Ft!H$3*((1-Ft!H$7)/(1+Ft!H$39*($A202-Ft!H$2)^2)+Ft!H$7*EXP(Ft!H$40*($A202-Ft!H$2)^2)))</f>
        <v>0</v>
      </c>
      <c r="M202" s="3">
        <f>IF(($A202-Ft!I$2)&lt;0,Ft!I$3*((1-Ft!I$6)/(1+Ft!I$37*($A202-Ft!I$2)^2)+Ft!I$6*EXP(Ft!I$38*($A202-Ft!I$2)^2)),Ft!I$3*((1-Ft!I$7)/(1+Ft!I$39*($A202-Ft!I$2)^2)+Ft!I$7*EXP(Ft!I$40*($A202-Ft!I$2)^2)))</f>
        <v>0</v>
      </c>
      <c r="N202" s="3">
        <f>IF(($A202-Ft!J$2)&lt;0,Ft!J$3*((1-Ft!J$6)/(1+Ft!J$37*($A202-Ft!J$2)^2)+Ft!J$6*EXP(Ft!J$38*($A202-Ft!J$2)^2)),Ft!J$3*((1-Ft!J$7)/(1+Ft!J$39*($A202-Ft!J$2)^2)+Ft!J$7*EXP(Ft!J$40*($A202-Ft!J$2)^2)))</f>
        <v>0</v>
      </c>
      <c r="O202" s="3">
        <f>IF(($A202-Ft!K$2)&lt;0,Ft!K$3*((1-Ft!K$6)/(1+Ft!K$37*($A202-Ft!K$2)^2)+Ft!K$6*EXP(Ft!K$38*($A202-Ft!K$2)^2)),Ft!K$3*((1-Ft!K$7)/(1+Ft!K$39*($A202-Ft!K$2)^2)+Ft!K$7*EXP(Ft!K$40*($A202-Ft!K$2)^2)))</f>
        <v>0</v>
      </c>
      <c r="P202"/>
      <c r="Q202"/>
    </row>
    <row r="203" spans="1:17">
      <c r="A203" s="20">
        <v>403</v>
      </c>
      <c r="B203" s="29">
        <v>39.963925869670234</v>
      </c>
      <c r="C203" s="7">
        <f t="shared" si="7"/>
        <v>39.963897669188604</v>
      </c>
      <c r="D203" s="3">
        <f t="shared" si="6"/>
        <v>7.9526716415724841E-10</v>
      </c>
      <c r="E203" s="3">
        <f>Ft!$B$12+Ft!$B$14*(Data!A203-Vars!$B$3)</f>
        <v>-200</v>
      </c>
      <c r="F203" s="3">
        <f>IF(($A203-Ft!B$2)&lt;0,Ft!B$3*((1-Ft!B$6)/(1+Ft!B$37*($A203-Ft!B$2)^2)+Ft!B$6*EXP(Ft!B$38*($A203-Ft!B$2)^2)),Ft!B$3*((1-Ft!B$7)/(1+Ft!B$39*($A203-Ft!B$2)^2)+Ft!B$7*EXP(Ft!B$40*($A203-Ft!B$2)^2)))</f>
        <v>71.249915834750979</v>
      </c>
      <c r="G203" s="3">
        <f>IF(($A203-Ft!C$2)&lt;0,Ft!C$3*((1-Ft!C$6)/(1+Ft!C$37*($A203-Ft!C$2)^2)+Ft!C$6*EXP(Ft!C$38*($A203-Ft!C$2)^2)),Ft!C$3*((1-Ft!C$7)/(1+Ft!C$39*($A203-Ft!C$2)^2)+Ft!C$7*EXP(Ft!C$40*($A203-Ft!C$2)^2)))</f>
        <v>42.728814527898173</v>
      </c>
      <c r="H203" s="3">
        <f>IF(($A203-Ft!D$2)&lt;0,Ft!D$3*((1-Ft!D$6)/(1+Ft!D$37*($A203-Ft!D$2)^2)+Ft!D$6*EXP(Ft!D$38*($A203-Ft!D$2)^2)),Ft!D$3*((1-Ft!D$7)/(1+Ft!D$39*($A203-Ft!D$2)^2)+Ft!D$7*EXP(Ft!D$40*($A203-Ft!D$2)^2)))</f>
        <v>0.91738321588612382</v>
      </c>
      <c r="I203" s="3">
        <f>IF(($A203-Ft!E$2)&lt;0,Ft!E$3*((1-Ft!E$6)/(1+Ft!E$37*($A203-Ft!E$2)^2)+Ft!E$6*EXP(Ft!E$38*($A203-Ft!E$2)^2)),Ft!E$3*((1-Ft!E$7)/(1+Ft!E$39*($A203-Ft!E$2)^2)+Ft!E$7*EXP(Ft!E$40*($A203-Ft!E$2)^2)))</f>
        <v>53.964912632218052</v>
      </c>
      <c r="J203" s="3">
        <f>IF(($A203-Ft!F$2)&lt;0,Ft!F$3*((1-Ft!F$6)/(1+Ft!F$37*($A203-Ft!F$2)^2)+Ft!F$6*EXP(Ft!F$38*($A203-Ft!F$2)^2)),Ft!F$3*((1-Ft!F$7)/(1+Ft!F$39*($A203-Ft!F$2)^2)+Ft!F$7*EXP(Ft!F$40*($A203-Ft!F$2)^2)))</f>
        <v>23.407670338004742</v>
      </c>
      <c r="K203" s="3">
        <f>IF(($A203-Ft!G$2)&lt;0,Ft!G$3*((1-Ft!G$6)/(1+Ft!G$37*($A203-Ft!G$2)^2)+Ft!G$6*EXP(Ft!G$38*($A203-Ft!G$2)^2)),Ft!G$3*((1-Ft!G$7)/(1+Ft!G$39*($A203-Ft!G$2)^2)+Ft!G$7*EXP(Ft!G$40*($A203-Ft!G$2)^2)))</f>
        <v>47.695201120430518</v>
      </c>
      <c r="L203" s="3">
        <f>IF(($A203-Ft!H$2)&lt;0,Ft!H$3*((1-Ft!H$6)/(1+Ft!H$37*($A203-Ft!H$2)^2)+Ft!H$6*EXP(Ft!H$38*($A203-Ft!H$2)^2)),Ft!H$3*((1-Ft!H$7)/(1+Ft!H$39*($A203-Ft!H$2)^2)+Ft!H$7*EXP(Ft!H$40*($A203-Ft!H$2)^2)))</f>
        <v>0</v>
      </c>
      <c r="M203" s="3">
        <f>IF(($A203-Ft!I$2)&lt;0,Ft!I$3*((1-Ft!I$6)/(1+Ft!I$37*($A203-Ft!I$2)^2)+Ft!I$6*EXP(Ft!I$38*($A203-Ft!I$2)^2)),Ft!I$3*((1-Ft!I$7)/(1+Ft!I$39*($A203-Ft!I$2)^2)+Ft!I$7*EXP(Ft!I$40*($A203-Ft!I$2)^2)))</f>
        <v>0</v>
      </c>
      <c r="N203" s="3">
        <f>IF(($A203-Ft!J$2)&lt;0,Ft!J$3*((1-Ft!J$6)/(1+Ft!J$37*($A203-Ft!J$2)^2)+Ft!J$6*EXP(Ft!J$38*($A203-Ft!J$2)^2)),Ft!J$3*((1-Ft!J$7)/(1+Ft!J$39*($A203-Ft!J$2)^2)+Ft!J$7*EXP(Ft!J$40*($A203-Ft!J$2)^2)))</f>
        <v>0</v>
      </c>
      <c r="O203" s="3">
        <f>IF(($A203-Ft!K$2)&lt;0,Ft!K$3*((1-Ft!K$6)/(1+Ft!K$37*($A203-Ft!K$2)^2)+Ft!K$6*EXP(Ft!K$38*($A203-Ft!K$2)^2)),Ft!K$3*((1-Ft!K$7)/(1+Ft!K$39*($A203-Ft!K$2)^2)+Ft!K$7*EXP(Ft!K$40*($A203-Ft!K$2)^2)))</f>
        <v>0</v>
      </c>
      <c r="P203"/>
      <c r="Q203"/>
    </row>
    <row r="204" spans="1:17">
      <c r="A204" s="20">
        <v>405</v>
      </c>
      <c r="B204" s="29">
        <v>40.252362380370428</v>
      </c>
      <c r="C204" s="7">
        <f t="shared" si="7"/>
        <v>40.256127425748112</v>
      </c>
      <c r="D204" s="3">
        <f t="shared" si="6"/>
        <v>1.4175566696015188E-5</v>
      </c>
      <c r="E204" s="3">
        <f>Ft!$B$12+Ft!$B$14*(Data!A204-Vars!$B$3)</f>
        <v>-200</v>
      </c>
      <c r="F204" s="3">
        <f>IF(($A204-Ft!B$2)&lt;0,Ft!B$3*((1-Ft!B$6)/(1+Ft!B$37*($A204-Ft!B$2)^2)+Ft!B$6*EXP(Ft!B$38*($A204-Ft!B$2)^2)),Ft!B$3*((1-Ft!B$7)/(1+Ft!B$39*($A204-Ft!B$2)^2)+Ft!B$7*EXP(Ft!B$40*($A204-Ft!B$2)^2)))</f>
        <v>70.825672758797481</v>
      </c>
      <c r="G204" s="3">
        <f>IF(($A204-Ft!C$2)&lt;0,Ft!C$3*((1-Ft!C$6)/(1+Ft!C$37*($A204-Ft!C$2)^2)+Ft!C$6*EXP(Ft!C$38*($A204-Ft!C$2)^2)),Ft!C$3*((1-Ft!C$7)/(1+Ft!C$39*($A204-Ft!C$2)^2)+Ft!C$7*EXP(Ft!C$40*($A204-Ft!C$2)^2)))</f>
        <v>42.822956060801921</v>
      </c>
      <c r="H204" s="3">
        <f>IF(($A204-Ft!D$2)&lt;0,Ft!D$3*((1-Ft!D$6)/(1+Ft!D$37*($A204-Ft!D$2)^2)+Ft!D$6*EXP(Ft!D$38*($A204-Ft!D$2)^2)),Ft!D$3*((1-Ft!D$7)/(1+Ft!D$39*($A204-Ft!D$2)^2)+Ft!D$7*EXP(Ft!D$40*($A204-Ft!D$2)^2)))</f>
        <v>0.99825764102614534</v>
      </c>
      <c r="I204" s="3">
        <f>IF(($A204-Ft!E$2)&lt;0,Ft!E$3*((1-Ft!E$6)/(1+Ft!E$37*($A204-Ft!E$2)^2)+Ft!E$6*EXP(Ft!E$38*($A204-Ft!E$2)^2)),Ft!E$3*((1-Ft!E$7)/(1+Ft!E$39*($A204-Ft!E$2)^2)+Ft!E$7*EXP(Ft!E$40*($A204-Ft!E$2)^2)))</f>
        <v>54.461330862284093</v>
      </c>
      <c r="J204" s="3">
        <f>IF(($A204-Ft!F$2)&lt;0,Ft!F$3*((1-Ft!F$6)/(1+Ft!F$37*($A204-Ft!F$2)^2)+Ft!F$6*EXP(Ft!F$38*($A204-Ft!F$2)^2)),Ft!F$3*((1-Ft!F$7)/(1+Ft!F$39*($A204-Ft!F$2)^2)+Ft!F$7*EXP(Ft!F$40*($A204-Ft!F$2)^2)))</f>
        <v>23.572255035621929</v>
      </c>
      <c r="K204" s="3">
        <f>IF(($A204-Ft!G$2)&lt;0,Ft!G$3*((1-Ft!G$6)/(1+Ft!G$37*($A204-Ft!G$2)^2)+Ft!G$6*EXP(Ft!G$38*($A204-Ft!G$2)^2)),Ft!G$3*((1-Ft!G$7)/(1+Ft!G$39*($A204-Ft!G$2)^2)+Ft!G$7*EXP(Ft!G$40*($A204-Ft!G$2)^2)))</f>
        <v>47.575655067216552</v>
      </c>
      <c r="L204" s="3">
        <f>IF(($A204-Ft!H$2)&lt;0,Ft!H$3*((1-Ft!H$6)/(1+Ft!H$37*($A204-Ft!H$2)^2)+Ft!H$6*EXP(Ft!H$38*($A204-Ft!H$2)^2)),Ft!H$3*((1-Ft!H$7)/(1+Ft!H$39*($A204-Ft!H$2)^2)+Ft!H$7*EXP(Ft!H$40*($A204-Ft!H$2)^2)))</f>
        <v>0</v>
      </c>
      <c r="M204" s="3">
        <f>IF(($A204-Ft!I$2)&lt;0,Ft!I$3*((1-Ft!I$6)/(1+Ft!I$37*($A204-Ft!I$2)^2)+Ft!I$6*EXP(Ft!I$38*($A204-Ft!I$2)^2)),Ft!I$3*((1-Ft!I$7)/(1+Ft!I$39*($A204-Ft!I$2)^2)+Ft!I$7*EXP(Ft!I$40*($A204-Ft!I$2)^2)))</f>
        <v>0</v>
      </c>
      <c r="N204" s="3">
        <f>IF(($A204-Ft!J$2)&lt;0,Ft!J$3*((1-Ft!J$6)/(1+Ft!J$37*($A204-Ft!J$2)^2)+Ft!J$6*EXP(Ft!J$38*($A204-Ft!J$2)^2)),Ft!J$3*((1-Ft!J$7)/(1+Ft!J$39*($A204-Ft!J$2)^2)+Ft!J$7*EXP(Ft!J$40*($A204-Ft!J$2)^2)))</f>
        <v>0</v>
      </c>
      <c r="O204" s="3">
        <f>IF(($A204-Ft!K$2)&lt;0,Ft!K$3*((1-Ft!K$6)/(1+Ft!K$37*($A204-Ft!K$2)^2)+Ft!K$6*EXP(Ft!K$38*($A204-Ft!K$2)^2)),Ft!K$3*((1-Ft!K$7)/(1+Ft!K$39*($A204-Ft!K$2)^2)+Ft!K$7*EXP(Ft!K$40*($A204-Ft!K$2)^2)))</f>
        <v>0</v>
      </c>
      <c r="P204"/>
      <c r="Q204"/>
    </row>
    <row r="205" spans="1:17">
      <c r="A205" s="20">
        <v>407</v>
      </c>
      <c r="B205" s="29">
        <v>40.540098829857087</v>
      </c>
      <c r="C205" s="7">
        <f t="shared" si="7"/>
        <v>40.548119597806448</v>
      </c>
      <c r="D205" s="3">
        <f t="shared" si="6"/>
        <v>6.4332718497498741E-5</v>
      </c>
      <c r="E205" s="3">
        <f>Ft!$B$12+Ft!$B$14*(Data!A205-Vars!$B$3)</f>
        <v>-200</v>
      </c>
      <c r="F205" s="3">
        <f>IF(($A205-Ft!B$2)&lt;0,Ft!B$3*((1-Ft!B$6)/(1+Ft!B$37*($A205-Ft!B$2)^2)+Ft!B$6*EXP(Ft!B$38*($A205-Ft!B$2)^2)),Ft!B$3*((1-Ft!B$7)/(1+Ft!B$39*($A205-Ft!B$2)^2)+Ft!B$7*EXP(Ft!B$40*($A205-Ft!B$2)^2)))</f>
        <v>70.402611982123503</v>
      </c>
      <c r="G205" s="3">
        <f>IF(($A205-Ft!C$2)&lt;0,Ft!C$3*((1-Ft!C$6)/(1+Ft!C$37*($A205-Ft!C$2)^2)+Ft!C$6*EXP(Ft!C$38*($A205-Ft!C$2)^2)),Ft!C$3*((1-Ft!C$7)/(1+Ft!C$39*($A205-Ft!C$2)^2)+Ft!C$7*EXP(Ft!C$40*($A205-Ft!C$2)^2)))</f>
        <v>42.916925803527207</v>
      </c>
      <c r="H205" s="3">
        <f>IF(($A205-Ft!D$2)&lt;0,Ft!D$3*((1-Ft!D$6)/(1+Ft!D$37*($A205-Ft!D$2)^2)+Ft!D$6*EXP(Ft!D$38*($A205-Ft!D$2)^2)),Ft!D$3*((1-Ft!D$7)/(1+Ft!D$39*($A205-Ft!D$2)^2)+Ft!D$7*EXP(Ft!D$40*($A205-Ft!D$2)^2)))</f>
        <v>1.0802855902867483</v>
      </c>
      <c r="I205" s="3">
        <f>IF(($A205-Ft!E$2)&lt;0,Ft!E$3*((1-Ft!E$6)/(1+Ft!E$37*($A205-Ft!E$2)^2)+Ft!E$6*EXP(Ft!E$38*($A205-Ft!E$2)^2)),Ft!E$3*((1-Ft!E$7)/(1+Ft!E$39*($A205-Ft!E$2)^2)+Ft!E$7*EXP(Ft!E$40*($A205-Ft!E$2)^2)))</f>
        <v>54.959128898021618</v>
      </c>
      <c r="J205" s="3">
        <f>IF(($A205-Ft!F$2)&lt;0,Ft!F$3*((1-Ft!F$6)/(1+Ft!F$37*($A205-Ft!F$2)^2)+Ft!F$6*EXP(Ft!F$38*($A205-Ft!F$2)^2)),Ft!F$3*((1-Ft!F$7)/(1+Ft!F$39*($A205-Ft!F$2)^2)+Ft!F$7*EXP(Ft!F$40*($A205-Ft!F$2)^2)))</f>
        <v>23.737684328442175</v>
      </c>
      <c r="K205" s="3">
        <f>IF(($A205-Ft!G$2)&lt;0,Ft!G$3*((1-Ft!G$6)/(1+Ft!G$37*($A205-Ft!G$2)^2)+Ft!G$6*EXP(Ft!G$38*($A205-Ft!G$2)^2)),Ft!G$3*((1-Ft!G$7)/(1+Ft!G$39*($A205-Ft!G$2)^2)+Ft!G$7*EXP(Ft!G$40*($A205-Ft!G$2)^2)))</f>
        <v>47.451482995405179</v>
      </c>
      <c r="L205" s="3">
        <f>IF(($A205-Ft!H$2)&lt;0,Ft!H$3*((1-Ft!H$6)/(1+Ft!H$37*($A205-Ft!H$2)^2)+Ft!H$6*EXP(Ft!H$38*($A205-Ft!H$2)^2)),Ft!H$3*((1-Ft!H$7)/(1+Ft!H$39*($A205-Ft!H$2)^2)+Ft!H$7*EXP(Ft!H$40*($A205-Ft!H$2)^2)))</f>
        <v>0</v>
      </c>
      <c r="M205" s="3">
        <f>IF(($A205-Ft!I$2)&lt;0,Ft!I$3*((1-Ft!I$6)/(1+Ft!I$37*($A205-Ft!I$2)^2)+Ft!I$6*EXP(Ft!I$38*($A205-Ft!I$2)^2)),Ft!I$3*((1-Ft!I$7)/(1+Ft!I$39*($A205-Ft!I$2)^2)+Ft!I$7*EXP(Ft!I$40*($A205-Ft!I$2)^2)))</f>
        <v>0</v>
      </c>
      <c r="N205" s="3">
        <f>IF(($A205-Ft!J$2)&lt;0,Ft!J$3*((1-Ft!J$6)/(1+Ft!J$37*($A205-Ft!J$2)^2)+Ft!J$6*EXP(Ft!J$38*($A205-Ft!J$2)^2)),Ft!J$3*((1-Ft!J$7)/(1+Ft!J$39*($A205-Ft!J$2)^2)+Ft!J$7*EXP(Ft!J$40*($A205-Ft!J$2)^2)))</f>
        <v>0</v>
      </c>
      <c r="O205" s="3">
        <f>IF(($A205-Ft!K$2)&lt;0,Ft!K$3*((1-Ft!K$6)/(1+Ft!K$37*($A205-Ft!K$2)^2)+Ft!K$6*EXP(Ft!K$38*($A205-Ft!K$2)^2)),Ft!K$3*((1-Ft!K$7)/(1+Ft!K$39*($A205-Ft!K$2)^2)+Ft!K$7*EXP(Ft!K$40*($A205-Ft!K$2)^2)))</f>
        <v>0</v>
      </c>
      <c r="P205"/>
      <c r="Q205"/>
    </row>
    <row r="206" spans="1:17">
      <c r="A206" s="20">
        <v>409</v>
      </c>
      <c r="B206" s="29">
        <v>40.826346725950131</v>
      </c>
      <c r="C206" s="7">
        <f t="shared" si="7"/>
        <v>40.839030313298025</v>
      </c>
      <c r="D206" s="3">
        <f t="shared" si="6"/>
        <v>1.6087338801165361E-4</v>
      </c>
      <c r="E206" s="3">
        <f>Ft!$B$12+Ft!$B$14*(Data!A206-Vars!$B$3)</f>
        <v>-200</v>
      </c>
      <c r="F206" s="3">
        <f>IF(($A206-Ft!B$2)&lt;0,Ft!B$3*((1-Ft!B$6)/(1+Ft!B$37*($A206-Ft!B$2)^2)+Ft!B$6*EXP(Ft!B$38*($A206-Ft!B$2)^2)),Ft!B$3*((1-Ft!B$7)/(1+Ft!B$39*($A206-Ft!B$2)^2)+Ft!B$7*EXP(Ft!B$40*($A206-Ft!B$2)^2)))</f>
        <v>69.980742543856721</v>
      </c>
      <c r="G206" s="3">
        <f>IF(($A206-Ft!C$2)&lt;0,Ft!C$3*((1-Ft!C$6)/(1+Ft!C$37*($A206-Ft!C$2)^2)+Ft!C$6*EXP(Ft!C$38*($A206-Ft!C$2)^2)),Ft!C$3*((1-Ft!C$7)/(1+Ft!C$39*($A206-Ft!C$2)^2)+Ft!C$7*EXP(Ft!C$40*($A206-Ft!C$2)^2)))</f>
        <v>43.010721716696132</v>
      </c>
      <c r="H206" s="3">
        <f>IF(($A206-Ft!D$2)&lt;0,Ft!D$3*((1-Ft!D$6)/(1+Ft!D$37*($A206-Ft!D$2)^2)+Ft!D$6*EXP(Ft!D$38*($A206-Ft!D$2)^2)),Ft!D$3*((1-Ft!D$7)/(1+Ft!D$39*($A206-Ft!D$2)^2)+Ft!D$7*EXP(Ft!D$40*($A206-Ft!D$2)^2)))</f>
        <v>1.1626221968643473</v>
      </c>
      <c r="I206" s="3">
        <f>IF(($A206-Ft!E$2)&lt;0,Ft!E$3*((1-Ft!E$6)/(1+Ft!E$37*($A206-Ft!E$2)^2)+Ft!E$6*EXP(Ft!E$38*($A206-Ft!E$2)^2)),Ft!E$3*((1-Ft!E$7)/(1+Ft!E$39*($A206-Ft!E$2)^2)+Ft!E$7*EXP(Ft!E$40*($A206-Ft!E$2)^2)))</f>
        <v>55.45826136320607</v>
      </c>
      <c r="J206" s="3">
        <f>IF(($A206-Ft!F$2)&lt;0,Ft!F$3*((1-Ft!F$6)/(1+Ft!F$37*($A206-Ft!F$2)^2)+Ft!F$6*EXP(Ft!F$38*($A206-Ft!F$2)^2)),Ft!F$3*((1-Ft!F$7)/(1+Ft!F$39*($A206-Ft!F$2)^2)+Ft!F$7*EXP(Ft!F$40*($A206-Ft!F$2)^2)))</f>
        <v>23.903959770994884</v>
      </c>
      <c r="K206" s="3">
        <f>IF(($A206-Ft!G$2)&lt;0,Ft!G$3*((1-Ft!G$6)/(1+Ft!G$37*($A206-Ft!G$2)^2)+Ft!G$6*EXP(Ft!G$38*($A206-Ft!G$2)^2)),Ft!G$3*((1-Ft!G$7)/(1+Ft!G$39*($A206-Ft!G$2)^2)+Ft!G$7*EXP(Ft!G$40*($A206-Ft!G$2)^2)))</f>
        <v>47.322722721679881</v>
      </c>
      <c r="L206" s="3">
        <f>IF(($A206-Ft!H$2)&lt;0,Ft!H$3*((1-Ft!H$6)/(1+Ft!H$37*($A206-Ft!H$2)^2)+Ft!H$6*EXP(Ft!H$38*($A206-Ft!H$2)^2)),Ft!H$3*((1-Ft!H$7)/(1+Ft!H$39*($A206-Ft!H$2)^2)+Ft!H$7*EXP(Ft!H$40*($A206-Ft!H$2)^2)))</f>
        <v>0</v>
      </c>
      <c r="M206" s="3">
        <f>IF(($A206-Ft!I$2)&lt;0,Ft!I$3*((1-Ft!I$6)/(1+Ft!I$37*($A206-Ft!I$2)^2)+Ft!I$6*EXP(Ft!I$38*($A206-Ft!I$2)^2)),Ft!I$3*((1-Ft!I$7)/(1+Ft!I$39*($A206-Ft!I$2)^2)+Ft!I$7*EXP(Ft!I$40*($A206-Ft!I$2)^2)))</f>
        <v>0</v>
      </c>
      <c r="N206" s="3">
        <f>IF(($A206-Ft!J$2)&lt;0,Ft!J$3*((1-Ft!J$6)/(1+Ft!J$37*($A206-Ft!J$2)^2)+Ft!J$6*EXP(Ft!J$38*($A206-Ft!J$2)^2)),Ft!J$3*((1-Ft!J$7)/(1+Ft!J$39*($A206-Ft!J$2)^2)+Ft!J$7*EXP(Ft!J$40*($A206-Ft!J$2)^2)))</f>
        <v>0</v>
      </c>
      <c r="O206" s="3">
        <f>IF(($A206-Ft!K$2)&lt;0,Ft!K$3*((1-Ft!K$6)/(1+Ft!K$37*($A206-Ft!K$2)^2)+Ft!K$6*EXP(Ft!K$38*($A206-Ft!K$2)^2)),Ft!K$3*((1-Ft!K$7)/(1+Ft!K$39*($A206-Ft!K$2)^2)+Ft!K$7*EXP(Ft!K$40*($A206-Ft!K$2)^2)))</f>
        <v>0</v>
      </c>
      <c r="P206"/>
      <c r="Q206"/>
    </row>
    <row r="207" spans="1:17">
      <c r="A207" s="20">
        <v>411</v>
      </c>
      <c r="B207" s="29">
        <v>41.110291466344009</v>
      </c>
      <c r="C207" s="7">
        <f t="shared" si="7"/>
        <v>41.127944134942148</v>
      </c>
      <c r="D207" s="3">
        <f t="shared" si="6"/>
        <v>3.1161670863570976E-4</v>
      </c>
      <c r="E207" s="3">
        <f>Ft!$B$12+Ft!$B$14*(Data!A207-Vars!$B$3)</f>
        <v>-200</v>
      </c>
      <c r="F207" s="3">
        <f>IF(($A207-Ft!B$2)&lt;0,Ft!B$3*((1-Ft!B$6)/(1+Ft!B$37*($A207-Ft!B$2)^2)+Ft!B$6*EXP(Ft!B$38*($A207-Ft!B$2)^2)),Ft!B$3*((1-Ft!B$7)/(1+Ft!B$39*($A207-Ft!B$2)^2)+Ft!B$7*EXP(Ft!B$40*($A207-Ft!B$2)^2)))</f>
        <v>69.560073361034895</v>
      </c>
      <c r="G207" s="3">
        <f>IF(($A207-Ft!C$2)&lt;0,Ft!C$3*((1-Ft!C$6)/(1+Ft!C$37*($A207-Ft!C$2)^2)+Ft!C$6*EXP(Ft!C$38*($A207-Ft!C$2)^2)),Ft!C$3*((1-Ft!C$7)/(1+Ft!C$39*($A207-Ft!C$2)^2)+Ft!C$7*EXP(Ft!C$40*($A207-Ft!C$2)^2)))</f>
        <v>43.10434176107745</v>
      </c>
      <c r="H207" s="3">
        <f>IF(($A207-Ft!D$2)&lt;0,Ft!D$3*((1-Ft!D$6)/(1+Ft!D$37*($A207-Ft!D$2)^2)+Ft!D$6*EXP(Ft!D$38*($A207-Ft!D$2)^2)),Ft!D$3*((1-Ft!D$7)/(1+Ft!D$39*($A207-Ft!D$2)^2)+Ft!D$7*EXP(Ft!D$40*($A207-Ft!D$2)^2)))</f>
        <v>1.2443504938177488</v>
      </c>
      <c r="I207" s="3">
        <f>IF(($A207-Ft!E$2)&lt;0,Ft!E$3*((1-Ft!E$6)/(1+Ft!E$37*($A207-Ft!E$2)^2)+Ft!E$6*EXP(Ft!E$38*($A207-Ft!E$2)^2)),Ft!E$3*((1-Ft!E$7)/(1+Ft!E$39*($A207-Ft!E$2)^2)+Ft!E$7*EXP(Ft!E$40*($A207-Ft!E$2)^2)))</f>
        <v>55.958682235025648</v>
      </c>
      <c r="J207" s="3">
        <f>IF(($A207-Ft!F$2)&lt;0,Ft!F$3*((1-Ft!F$6)/(1+Ft!F$37*($A207-Ft!F$2)^2)+Ft!F$6*EXP(Ft!F$38*($A207-Ft!F$2)^2)),Ft!F$3*((1-Ft!F$7)/(1+Ft!F$39*($A207-Ft!F$2)^2)+Ft!F$7*EXP(Ft!F$40*($A207-Ft!F$2)^2)))</f>
        <v>24.071082895159506</v>
      </c>
      <c r="K207" s="3">
        <f>IF(($A207-Ft!G$2)&lt;0,Ft!G$3*((1-Ft!G$6)/(1+Ft!G$37*($A207-Ft!G$2)^2)+Ft!G$6*EXP(Ft!G$38*($A207-Ft!G$2)^2)),Ft!G$3*((1-Ft!G$7)/(1+Ft!G$39*($A207-Ft!G$2)^2)+Ft!G$7*EXP(Ft!G$40*($A207-Ft!G$2)^2)))</f>
        <v>47.189413388826914</v>
      </c>
      <c r="L207" s="3">
        <f>IF(($A207-Ft!H$2)&lt;0,Ft!H$3*((1-Ft!H$6)/(1+Ft!H$37*($A207-Ft!H$2)^2)+Ft!H$6*EXP(Ft!H$38*($A207-Ft!H$2)^2)),Ft!H$3*((1-Ft!H$7)/(1+Ft!H$39*($A207-Ft!H$2)^2)+Ft!H$7*EXP(Ft!H$40*($A207-Ft!H$2)^2)))</f>
        <v>0</v>
      </c>
      <c r="M207" s="3">
        <f>IF(($A207-Ft!I$2)&lt;0,Ft!I$3*((1-Ft!I$6)/(1+Ft!I$37*($A207-Ft!I$2)^2)+Ft!I$6*EXP(Ft!I$38*($A207-Ft!I$2)^2)),Ft!I$3*((1-Ft!I$7)/(1+Ft!I$39*($A207-Ft!I$2)^2)+Ft!I$7*EXP(Ft!I$40*($A207-Ft!I$2)^2)))</f>
        <v>0</v>
      </c>
      <c r="N207" s="3">
        <f>IF(($A207-Ft!J$2)&lt;0,Ft!J$3*((1-Ft!J$6)/(1+Ft!J$37*($A207-Ft!J$2)^2)+Ft!J$6*EXP(Ft!J$38*($A207-Ft!J$2)^2)),Ft!J$3*((1-Ft!J$7)/(1+Ft!J$39*($A207-Ft!J$2)^2)+Ft!J$7*EXP(Ft!J$40*($A207-Ft!J$2)^2)))</f>
        <v>0</v>
      </c>
      <c r="O207" s="3">
        <f>IF(($A207-Ft!K$2)&lt;0,Ft!K$3*((1-Ft!K$6)/(1+Ft!K$37*($A207-Ft!K$2)^2)+Ft!K$6*EXP(Ft!K$38*($A207-Ft!K$2)^2)),Ft!K$3*((1-Ft!K$7)/(1+Ft!K$39*($A207-Ft!K$2)^2)+Ft!K$7*EXP(Ft!K$40*($A207-Ft!K$2)^2)))</f>
        <v>0</v>
      </c>
      <c r="P207"/>
      <c r="Q207"/>
    </row>
    <row r="208" spans="1:17">
      <c r="A208" s="20">
        <v>413</v>
      </c>
      <c r="B208" s="29">
        <v>41.391104093962156</v>
      </c>
      <c r="C208" s="7">
        <f t="shared" si="7"/>
        <v>41.413889468862379</v>
      </c>
      <c r="D208" s="3">
        <f t="shared" si="6"/>
        <v>5.1917330934373904E-4</v>
      </c>
      <c r="E208" s="3">
        <f>Ft!$B$12+Ft!$B$14*(Data!A208-Vars!$B$3)</f>
        <v>-200</v>
      </c>
      <c r="F208" s="3">
        <f>IF(($A208-Ft!B$2)&lt;0,Ft!B$3*((1-Ft!B$6)/(1+Ft!B$37*($A208-Ft!B$2)^2)+Ft!B$6*EXP(Ft!B$38*($A208-Ft!B$2)^2)),Ft!B$3*((1-Ft!B$7)/(1+Ft!B$39*($A208-Ft!B$2)^2)+Ft!B$7*EXP(Ft!B$40*($A208-Ft!B$2)^2)))</f>
        <v>69.140613228658708</v>
      </c>
      <c r="G208" s="3">
        <f>IF(($A208-Ft!C$2)&lt;0,Ft!C$3*((1-Ft!C$6)/(1+Ft!C$37*($A208-Ft!C$2)^2)+Ft!C$6*EXP(Ft!C$38*($A208-Ft!C$2)^2)),Ft!C$3*((1-Ft!C$7)/(1+Ft!C$39*($A208-Ft!C$2)^2)+Ft!C$7*EXP(Ft!C$40*($A208-Ft!C$2)^2)))</f>
        <v>43.197783897659029</v>
      </c>
      <c r="H208" s="3">
        <f>IF(($A208-Ft!D$2)&lt;0,Ft!D$3*((1-Ft!D$6)/(1+Ft!D$37*($A208-Ft!D$2)^2)+Ft!D$6*EXP(Ft!D$38*($A208-Ft!D$2)^2)),Ft!D$3*((1-Ft!D$7)/(1+Ft!D$39*($A208-Ft!D$2)^2)+Ft!D$7*EXP(Ft!D$40*($A208-Ft!D$2)^2)))</f>
        <v>1.3244968377792785</v>
      </c>
      <c r="I208" s="3">
        <f>IF(($A208-Ft!E$2)&lt;0,Ft!E$3*((1-Ft!E$6)/(1+Ft!E$37*($A208-Ft!E$2)^2)+Ft!E$6*EXP(Ft!E$38*($A208-Ft!E$2)^2)),Ft!E$3*((1-Ft!E$7)/(1+Ft!E$39*($A208-Ft!E$2)^2)+Ft!E$7*EXP(Ft!E$40*($A208-Ft!E$2)^2)))</f>
        <v>56.460344848930973</v>
      </c>
      <c r="J208" s="3">
        <f>IF(($A208-Ft!F$2)&lt;0,Ft!F$3*((1-Ft!F$6)/(1+Ft!F$37*($A208-Ft!F$2)^2)+Ft!F$6*EXP(Ft!F$38*($A208-Ft!F$2)^2)),Ft!F$3*((1-Ft!F$7)/(1+Ft!F$39*($A208-Ft!F$2)^2)+Ft!F$7*EXP(Ft!F$40*($A208-Ft!F$2)^2)))</f>
        <v>24.239055209925869</v>
      </c>
      <c r="K208" s="3">
        <f>IF(($A208-Ft!G$2)&lt;0,Ft!G$3*((1-Ft!G$6)/(1+Ft!G$37*($A208-Ft!G$2)^2)+Ft!G$6*EXP(Ft!G$38*($A208-Ft!G$2)^2)),Ft!G$3*((1-Ft!G$7)/(1+Ft!G$39*($A208-Ft!G$2)^2)+Ft!G$7*EXP(Ft!G$40*($A208-Ft!G$2)^2)))</f>
        <v>47.051595445908511</v>
      </c>
      <c r="L208" s="3">
        <f>IF(($A208-Ft!H$2)&lt;0,Ft!H$3*((1-Ft!H$6)/(1+Ft!H$37*($A208-Ft!H$2)^2)+Ft!H$6*EXP(Ft!H$38*($A208-Ft!H$2)^2)),Ft!H$3*((1-Ft!H$7)/(1+Ft!H$39*($A208-Ft!H$2)^2)+Ft!H$7*EXP(Ft!H$40*($A208-Ft!H$2)^2)))</f>
        <v>0</v>
      </c>
      <c r="M208" s="3">
        <f>IF(($A208-Ft!I$2)&lt;0,Ft!I$3*((1-Ft!I$6)/(1+Ft!I$37*($A208-Ft!I$2)^2)+Ft!I$6*EXP(Ft!I$38*($A208-Ft!I$2)^2)),Ft!I$3*((1-Ft!I$7)/(1+Ft!I$39*($A208-Ft!I$2)^2)+Ft!I$7*EXP(Ft!I$40*($A208-Ft!I$2)^2)))</f>
        <v>0</v>
      </c>
      <c r="N208" s="3">
        <f>IF(($A208-Ft!J$2)&lt;0,Ft!J$3*((1-Ft!J$6)/(1+Ft!J$37*($A208-Ft!J$2)^2)+Ft!J$6*EXP(Ft!J$38*($A208-Ft!J$2)^2)),Ft!J$3*((1-Ft!J$7)/(1+Ft!J$39*($A208-Ft!J$2)^2)+Ft!J$7*EXP(Ft!J$40*($A208-Ft!J$2)^2)))</f>
        <v>0</v>
      </c>
      <c r="O208" s="3">
        <f>IF(($A208-Ft!K$2)&lt;0,Ft!K$3*((1-Ft!K$6)/(1+Ft!K$37*($A208-Ft!K$2)^2)+Ft!K$6*EXP(Ft!K$38*($A208-Ft!K$2)^2)),Ft!K$3*((1-Ft!K$7)/(1+Ft!K$39*($A208-Ft!K$2)^2)+Ft!K$7*EXP(Ft!K$40*($A208-Ft!K$2)^2)))</f>
        <v>0</v>
      </c>
      <c r="P208"/>
      <c r="Q208"/>
    </row>
    <row r="209" spans="1:17">
      <c r="A209" s="20">
        <v>415</v>
      </c>
      <c r="B209" s="29">
        <v>41.667953582802156</v>
      </c>
      <c r="C209" s="7">
        <f t="shared" si="7"/>
        <v>41.695856711624529</v>
      </c>
      <c r="D209" s="3">
        <f t="shared" si="6"/>
        <v>7.7858459807796771E-4</v>
      </c>
      <c r="E209" s="3">
        <f>Ft!$B$12+Ft!$B$14*(Data!A209-Vars!$B$3)</f>
        <v>-200</v>
      </c>
      <c r="F209" s="3">
        <f>IF(($A209-Ft!B$2)&lt;0,Ft!B$3*((1-Ft!B$6)/(1+Ft!B$37*($A209-Ft!B$2)^2)+Ft!B$6*EXP(Ft!B$38*($A209-Ft!B$2)^2)),Ft!B$3*((1-Ft!B$7)/(1+Ft!B$39*($A209-Ft!B$2)^2)+Ft!B$7*EXP(Ft!B$40*($A209-Ft!B$2)^2)))</f>
        <v>68.722370819755952</v>
      </c>
      <c r="G209" s="3">
        <f>IF(($A209-Ft!C$2)&lt;0,Ft!C$3*((1-Ft!C$6)/(1+Ft!C$37*($A209-Ft!C$2)^2)+Ft!C$6*EXP(Ft!C$38*($A209-Ft!C$2)^2)),Ft!C$3*((1-Ft!C$7)/(1+Ft!C$39*($A209-Ft!C$2)^2)+Ft!C$7*EXP(Ft!C$40*($A209-Ft!C$2)^2)))</f>
        <v>43.291046087720495</v>
      </c>
      <c r="H209" s="3">
        <f>IF(($A209-Ft!D$2)&lt;0,Ft!D$3*((1-Ft!D$6)/(1+Ft!D$37*($A209-Ft!D$2)^2)+Ft!D$6*EXP(Ft!D$38*($A209-Ft!D$2)^2)),Ft!D$3*((1-Ft!D$7)/(1+Ft!D$39*($A209-Ft!D$2)^2)+Ft!D$7*EXP(Ft!D$40*($A209-Ft!D$2)^2)))</f>
        <v>1.4020490714642428</v>
      </c>
      <c r="I209" s="3">
        <f>IF(($A209-Ft!E$2)&lt;0,Ft!E$3*((1-Ft!E$6)/(1+Ft!E$37*($A209-Ft!E$2)^2)+Ft!E$6*EXP(Ft!E$38*($A209-Ft!E$2)^2)),Ft!E$3*((1-Ft!E$7)/(1+Ft!E$39*($A209-Ft!E$2)^2)+Ft!E$7*EXP(Ft!E$40*($A209-Ft!E$2)^2)))</f>
        <v>56.963201903715522</v>
      </c>
      <c r="J209" s="3">
        <f>IF(($A209-Ft!F$2)&lt;0,Ft!F$3*((1-Ft!F$6)/(1+Ft!F$37*($A209-Ft!F$2)^2)+Ft!F$6*EXP(Ft!F$38*($A209-Ft!F$2)^2)),Ft!F$3*((1-Ft!F$7)/(1+Ft!F$39*($A209-Ft!F$2)^2)+Ft!F$7*EXP(Ft!F$40*($A209-Ft!F$2)^2)))</f>
        <v>24.40787820115435</v>
      </c>
      <c r="K209" s="3">
        <f>IF(($A209-Ft!G$2)&lt;0,Ft!G$3*((1-Ft!G$6)/(1+Ft!G$37*($A209-Ft!G$2)^2)+Ft!G$6*EXP(Ft!G$38*($A209-Ft!G$2)^2)),Ft!G$3*((1-Ft!G$7)/(1+Ft!G$39*($A209-Ft!G$2)^2)+Ft!G$7*EXP(Ft!G$40*($A209-Ft!G$2)^2)))</f>
        <v>46.909310627813952</v>
      </c>
      <c r="L209" s="3">
        <f>IF(($A209-Ft!H$2)&lt;0,Ft!H$3*((1-Ft!H$6)/(1+Ft!H$37*($A209-Ft!H$2)^2)+Ft!H$6*EXP(Ft!H$38*($A209-Ft!H$2)^2)),Ft!H$3*((1-Ft!H$7)/(1+Ft!H$39*($A209-Ft!H$2)^2)+Ft!H$7*EXP(Ft!H$40*($A209-Ft!H$2)^2)))</f>
        <v>0</v>
      </c>
      <c r="M209" s="3">
        <f>IF(($A209-Ft!I$2)&lt;0,Ft!I$3*((1-Ft!I$6)/(1+Ft!I$37*($A209-Ft!I$2)^2)+Ft!I$6*EXP(Ft!I$38*($A209-Ft!I$2)^2)),Ft!I$3*((1-Ft!I$7)/(1+Ft!I$39*($A209-Ft!I$2)^2)+Ft!I$7*EXP(Ft!I$40*($A209-Ft!I$2)^2)))</f>
        <v>0</v>
      </c>
      <c r="N209" s="3">
        <f>IF(($A209-Ft!J$2)&lt;0,Ft!J$3*((1-Ft!J$6)/(1+Ft!J$37*($A209-Ft!J$2)^2)+Ft!J$6*EXP(Ft!J$38*($A209-Ft!J$2)^2)),Ft!J$3*((1-Ft!J$7)/(1+Ft!J$39*($A209-Ft!J$2)^2)+Ft!J$7*EXP(Ft!J$40*($A209-Ft!J$2)^2)))</f>
        <v>0</v>
      </c>
      <c r="O209" s="3">
        <f>IF(($A209-Ft!K$2)&lt;0,Ft!K$3*((1-Ft!K$6)/(1+Ft!K$37*($A209-Ft!K$2)^2)+Ft!K$6*EXP(Ft!K$38*($A209-Ft!K$2)^2)),Ft!K$3*((1-Ft!K$7)/(1+Ft!K$39*($A209-Ft!K$2)^2)+Ft!K$7*EXP(Ft!K$40*($A209-Ft!K$2)^2)))</f>
        <v>0</v>
      </c>
      <c r="P209"/>
      <c r="Q209"/>
    </row>
    <row r="210" spans="1:17">
      <c r="A210" s="20">
        <v>417</v>
      </c>
      <c r="B210" s="29">
        <v>41.940019425799164</v>
      </c>
      <c r="C210" s="7">
        <f t="shared" si="7"/>
        <v>41.972818709361789</v>
      </c>
      <c r="D210" s="3">
        <f t="shared" si="6"/>
        <v>1.0757930022214652E-3</v>
      </c>
      <c r="E210" s="3">
        <f>Ft!$B$12+Ft!$B$14*(Data!A210-Vars!$B$3)</f>
        <v>-200</v>
      </c>
      <c r="F210" s="3">
        <f>IF(($A210-Ft!B$2)&lt;0,Ft!B$3*((1-Ft!B$6)/(1+Ft!B$37*($A210-Ft!B$2)^2)+Ft!B$6*EXP(Ft!B$38*($A210-Ft!B$2)^2)),Ft!B$3*((1-Ft!B$7)/(1+Ft!B$39*($A210-Ft!B$2)^2)+Ft!B$7*EXP(Ft!B$40*($A210-Ft!B$2)^2)))</f>
        <v>68.305354685456805</v>
      </c>
      <c r="G210" s="3">
        <f>IF(($A210-Ft!C$2)&lt;0,Ft!C$3*((1-Ft!C$6)/(1+Ft!C$37*($A210-Ft!C$2)^2)+Ft!C$6*EXP(Ft!C$38*($A210-Ft!C$2)^2)),Ft!C$3*((1-Ft!C$7)/(1+Ft!C$39*($A210-Ft!C$2)^2)+Ft!C$7*EXP(Ft!C$40*($A210-Ft!C$2)^2)))</f>
        <v>43.384126292905954</v>
      </c>
      <c r="H210" s="3">
        <f>IF(($A210-Ft!D$2)&lt;0,Ft!D$3*((1-Ft!D$6)/(1+Ft!D$37*($A210-Ft!D$2)^2)+Ft!D$6*EXP(Ft!D$38*($A210-Ft!D$2)^2)),Ft!D$3*((1-Ft!D$7)/(1+Ft!D$39*($A210-Ft!D$2)^2)+Ft!D$7*EXP(Ft!D$40*($A210-Ft!D$2)^2)))</f>
        <v>1.4759769986328781</v>
      </c>
      <c r="I210" s="3">
        <f>IF(($A210-Ft!E$2)&lt;0,Ft!E$3*((1-Ft!E$6)/(1+Ft!E$37*($A210-Ft!E$2)^2)+Ft!E$6*EXP(Ft!E$38*($A210-Ft!E$2)^2)),Ft!E$3*((1-Ft!E$7)/(1+Ft!E$39*($A210-Ft!E$2)^2)+Ft!E$7*EXP(Ft!E$40*($A210-Ft!E$2)^2)))</f>
        <v>57.467205466827266</v>
      </c>
      <c r="J210" s="3">
        <f>IF(($A210-Ft!F$2)&lt;0,Ft!F$3*((1-Ft!F$6)/(1+Ft!F$37*($A210-Ft!F$2)^2)+Ft!F$6*EXP(Ft!F$38*($A210-Ft!F$2)^2)),Ft!F$3*((1-Ft!F$7)/(1+Ft!F$39*($A210-Ft!F$2)^2)+Ft!F$7*EXP(Ft!F$40*($A210-Ft!F$2)^2)))</f>
        <v>24.57755333133597</v>
      </c>
      <c r="K210" s="3">
        <f>IF(($A210-Ft!G$2)&lt;0,Ft!G$3*((1-Ft!G$6)/(1+Ft!G$37*($A210-Ft!G$2)^2)+Ft!G$6*EXP(Ft!G$38*($A210-Ft!G$2)^2)),Ft!G$3*((1-Ft!G$7)/(1+Ft!G$39*($A210-Ft!G$2)^2)+Ft!G$7*EXP(Ft!G$40*($A210-Ft!G$2)^2)))</f>
        <v>46.762601934202927</v>
      </c>
      <c r="L210" s="3">
        <f>IF(($A210-Ft!H$2)&lt;0,Ft!H$3*((1-Ft!H$6)/(1+Ft!H$37*($A210-Ft!H$2)^2)+Ft!H$6*EXP(Ft!H$38*($A210-Ft!H$2)^2)),Ft!H$3*((1-Ft!H$7)/(1+Ft!H$39*($A210-Ft!H$2)^2)+Ft!H$7*EXP(Ft!H$40*($A210-Ft!H$2)^2)))</f>
        <v>0</v>
      </c>
      <c r="M210" s="3">
        <f>IF(($A210-Ft!I$2)&lt;0,Ft!I$3*((1-Ft!I$6)/(1+Ft!I$37*($A210-Ft!I$2)^2)+Ft!I$6*EXP(Ft!I$38*($A210-Ft!I$2)^2)),Ft!I$3*((1-Ft!I$7)/(1+Ft!I$39*($A210-Ft!I$2)^2)+Ft!I$7*EXP(Ft!I$40*($A210-Ft!I$2)^2)))</f>
        <v>0</v>
      </c>
      <c r="N210" s="3">
        <f>IF(($A210-Ft!J$2)&lt;0,Ft!J$3*((1-Ft!J$6)/(1+Ft!J$37*($A210-Ft!J$2)^2)+Ft!J$6*EXP(Ft!J$38*($A210-Ft!J$2)^2)),Ft!J$3*((1-Ft!J$7)/(1+Ft!J$39*($A210-Ft!J$2)^2)+Ft!J$7*EXP(Ft!J$40*($A210-Ft!J$2)^2)))</f>
        <v>0</v>
      </c>
      <c r="O210" s="3">
        <f>IF(($A210-Ft!K$2)&lt;0,Ft!K$3*((1-Ft!K$6)/(1+Ft!K$37*($A210-Ft!K$2)^2)+Ft!K$6*EXP(Ft!K$38*($A210-Ft!K$2)^2)),Ft!K$3*((1-Ft!K$7)/(1+Ft!K$39*($A210-Ft!K$2)^2)+Ft!K$7*EXP(Ft!K$40*($A210-Ft!K$2)^2)))</f>
        <v>0</v>
      </c>
      <c r="P210"/>
      <c r="Q210"/>
    </row>
    <row r="211" spans="1:17">
      <c r="A211" s="20">
        <v>419</v>
      </c>
      <c r="B211" s="29">
        <v>42.206504283520104</v>
      </c>
      <c r="C211" s="7">
        <f t="shared" si="7"/>
        <v>42.243752982404686</v>
      </c>
      <c r="D211" s="3">
        <f t="shared" si="6"/>
        <v>1.3874655685942718E-3</v>
      </c>
      <c r="E211" s="3">
        <f>Ft!$B$12+Ft!$B$14*(Data!A211-Vars!$B$3)</f>
        <v>-200</v>
      </c>
      <c r="F211" s="3">
        <f>IF(($A211-Ft!B$2)&lt;0,Ft!B$3*((1-Ft!B$6)/(1+Ft!B$37*($A211-Ft!B$2)^2)+Ft!B$6*EXP(Ft!B$38*($A211-Ft!B$2)^2)),Ft!B$3*((1-Ft!B$7)/(1+Ft!B$39*($A211-Ft!B$2)^2)+Ft!B$7*EXP(Ft!B$40*($A211-Ft!B$2)^2)))</f>
        <v>67.889573255080393</v>
      </c>
      <c r="G211" s="3">
        <f>IF(($A211-Ft!C$2)&lt;0,Ft!C$3*((1-Ft!C$6)/(1+Ft!C$37*($A211-Ft!C$2)^2)+Ft!C$6*EXP(Ft!C$38*($A211-Ft!C$2)^2)),Ft!C$3*((1-Ft!C$7)/(1+Ft!C$39*($A211-Ft!C$2)^2)+Ft!C$7*EXP(Ft!C$40*($A211-Ft!C$2)^2)))</f>
        <v>43.477022475296963</v>
      </c>
      <c r="H211" s="3">
        <f>IF(($A211-Ft!D$2)&lt;0,Ft!D$3*((1-Ft!D$6)/(1+Ft!D$37*($A211-Ft!D$2)^2)+Ft!D$6*EXP(Ft!D$38*($A211-Ft!D$2)^2)),Ft!D$3*((1-Ft!D$7)/(1+Ft!D$39*($A211-Ft!D$2)^2)+Ft!D$7*EXP(Ft!D$40*($A211-Ft!D$2)^2)))</f>
        <v>1.5452546249074839</v>
      </c>
      <c r="I211" s="3">
        <f>IF(($A211-Ft!E$2)&lt;0,Ft!E$3*((1-Ft!E$6)/(1+Ft!E$37*($A211-Ft!E$2)^2)+Ft!E$6*EXP(Ft!E$38*($A211-Ft!E$2)^2)),Ft!E$3*((1-Ft!E$7)/(1+Ft!E$39*($A211-Ft!E$2)^2)+Ft!E$7*EXP(Ft!E$40*($A211-Ft!E$2)^2)))</f>
        <v>57.972306979911373</v>
      </c>
      <c r="J211" s="3">
        <f>IF(($A211-Ft!F$2)&lt;0,Ft!F$3*((1-Ft!F$6)/(1+Ft!F$37*($A211-Ft!F$2)^2)+Ft!F$6*EXP(Ft!F$38*($A211-Ft!F$2)^2)),Ft!F$3*((1-Ft!F$7)/(1+Ft!F$39*($A211-Ft!F$2)^2)+Ft!F$7*EXP(Ft!F$40*($A211-Ft!F$2)^2)))</f>
        <v>24.748082039352294</v>
      </c>
      <c r="K211" s="3">
        <f>IF(($A211-Ft!G$2)&lt;0,Ft!G$3*((1-Ft!G$6)/(1+Ft!G$37*($A211-Ft!G$2)^2)+Ft!G$6*EXP(Ft!G$38*($A211-Ft!G$2)^2)),Ft!G$3*((1-Ft!G$7)/(1+Ft!G$39*($A211-Ft!G$2)^2)+Ft!G$7*EXP(Ft!G$40*($A211-Ft!G$2)^2)))</f>
        <v>46.611513607856175</v>
      </c>
      <c r="L211" s="3">
        <f>IF(($A211-Ft!H$2)&lt;0,Ft!H$3*((1-Ft!H$6)/(1+Ft!H$37*($A211-Ft!H$2)^2)+Ft!H$6*EXP(Ft!H$38*($A211-Ft!H$2)^2)),Ft!H$3*((1-Ft!H$7)/(1+Ft!H$39*($A211-Ft!H$2)^2)+Ft!H$7*EXP(Ft!H$40*($A211-Ft!H$2)^2)))</f>
        <v>0</v>
      </c>
      <c r="M211" s="3">
        <f>IF(($A211-Ft!I$2)&lt;0,Ft!I$3*((1-Ft!I$6)/(1+Ft!I$37*($A211-Ft!I$2)^2)+Ft!I$6*EXP(Ft!I$38*($A211-Ft!I$2)^2)),Ft!I$3*((1-Ft!I$7)/(1+Ft!I$39*($A211-Ft!I$2)^2)+Ft!I$7*EXP(Ft!I$40*($A211-Ft!I$2)^2)))</f>
        <v>0</v>
      </c>
      <c r="N211" s="3">
        <f>IF(($A211-Ft!J$2)&lt;0,Ft!J$3*((1-Ft!J$6)/(1+Ft!J$37*($A211-Ft!J$2)^2)+Ft!J$6*EXP(Ft!J$38*($A211-Ft!J$2)^2)),Ft!J$3*((1-Ft!J$7)/(1+Ft!J$39*($A211-Ft!J$2)^2)+Ft!J$7*EXP(Ft!J$40*($A211-Ft!J$2)^2)))</f>
        <v>0</v>
      </c>
      <c r="O211" s="3">
        <f>IF(($A211-Ft!K$2)&lt;0,Ft!K$3*((1-Ft!K$6)/(1+Ft!K$37*($A211-Ft!K$2)^2)+Ft!K$6*EXP(Ft!K$38*($A211-Ft!K$2)^2)),Ft!K$3*((1-Ft!K$7)/(1+Ft!K$39*($A211-Ft!K$2)^2)+Ft!K$7*EXP(Ft!K$40*($A211-Ft!K$2)^2)))</f>
        <v>0</v>
      </c>
      <c r="P211"/>
      <c r="Q211"/>
    </row>
    <row r="212" spans="1:17">
      <c r="A212" s="20">
        <v>421</v>
      </c>
      <c r="B212" s="29">
        <v>42.46664644545497</v>
      </c>
      <c r="C212" s="7">
        <f t="shared" si="7"/>
        <v>42.507665065562598</v>
      </c>
      <c r="D212" s="3">
        <f t="shared" si="6"/>
        <v>1.6825271955339515E-3</v>
      </c>
      <c r="E212" s="3">
        <f>Ft!$B$12+Ft!$B$14*(Data!A212-Vars!$B$3)</f>
        <v>-200</v>
      </c>
      <c r="F212" s="3">
        <f>IF(($A212-Ft!B$2)&lt;0,Ft!B$3*((1-Ft!B$6)/(1+Ft!B$37*($A212-Ft!B$2)^2)+Ft!B$6*EXP(Ft!B$38*($A212-Ft!B$2)^2)),Ft!B$3*((1-Ft!B$7)/(1+Ft!B$39*($A212-Ft!B$2)^2)+Ft!B$7*EXP(Ft!B$40*($A212-Ft!B$2)^2)))</f>
        <v>67.475034836232368</v>
      </c>
      <c r="G212" s="3">
        <f>IF(($A212-Ft!C$2)&lt;0,Ft!C$3*((1-Ft!C$6)/(1+Ft!C$37*($A212-Ft!C$2)^2)+Ft!C$6*EXP(Ft!C$38*($A212-Ft!C$2)^2)),Ft!C$3*((1-Ft!C$7)/(1+Ft!C$39*($A212-Ft!C$2)^2)+Ft!C$7*EXP(Ft!C$40*($A212-Ft!C$2)^2)))</f>
        <v>43.569732597485491</v>
      </c>
      <c r="H212" s="3">
        <f>IF(($A212-Ft!D$2)&lt;0,Ft!D$3*((1-Ft!D$6)/(1+Ft!D$37*($A212-Ft!D$2)^2)+Ft!D$6*EXP(Ft!D$38*($A212-Ft!D$2)^2)),Ft!D$3*((1-Ft!D$7)/(1+Ft!D$39*($A212-Ft!D$2)^2)+Ft!D$7*EXP(Ft!D$40*($A212-Ft!D$2)^2)))</f>
        <v>1.6088835145763833</v>
      </c>
      <c r="I212" s="3">
        <f>IF(($A212-Ft!E$2)&lt;0,Ft!E$3*((1-Ft!E$6)/(1+Ft!E$37*($A212-Ft!E$2)^2)+Ft!E$6*EXP(Ft!E$38*($A212-Ft!E$2)^2)),Ft!E$3*((1-Ft!E$7)/(1+Ft!E$39*($A212-Ft!E$2)^2)+Ft!E$7*EXP(Ft!E$40*($A212-Ft!E$2)^2)))</f>
        <v>58.47845726458457</v>
      </c>
      <c r="J212" s="3">
        <f>IF(($A212-Ft!F$2)&lt;0,Ft!F$3*((1-Ft!F$6)/(1+Ft!F$37*($A212-Ft!F$2)^2)+Ft!F$6*EXP(Ft!F$38*($A212-Ft!F$2)^2)),Ft!F$3*((1-Ft!F$7)/(1+Ft!F$39*($A212-Ft!F$2)^2)+Ft!F$7*EXP(Ft!F$40*($A212-Ft!F$2)^2)))</f>
        <v>24.919465740235246</v>
      </c>
      <c r="K212" s="3">
        <f>IF(($A212-Ft!G$2)&lt;0,Ft!G$3*((1-Ft!G$6)/(1+Ft!G$37*($A212-Ft!G$2)^2)+Ft!G$6*EXP(Ft!G$38*($A212-Ft!G$2)^2)),Ft!G$3*((1-Ft!G$7)/(1+Ft!G$39*($A212-Ft!G$2)^2)+Ft!G$7*EXP(Ft!G$40*($A212-Ft!G$2)^2)))</f>
        <v>46.456091112448554</v>
      </c>
      <c r="L212" s="3">
        <f>IF(($A212-Ft!H$2)&lt;0,Ft!H$3*((1-Ft!H$6)/(1+Ft!H$37*($A212-Ft!H$2)^2)+Ft!H$6*EXP(Ft!H$38*($A212-Ft!H$2)^2)),Ft!H$3*((1-Ft!H$7)/(1+Ft!H$39*($A212-Ft!H$2)^2)+Ft!H$7*EXP(Ft!H$40*($A212-Ft!H$2)^2)))</f>
        <v>0</v>
      </c>
      <c r="M212" s="3">
        <f>IF(($A212-Ft!I$2)&lt;0,Ft!I$3*((1-Ft!I$6)/(1+Ft!I$37*($A212-Ft!I$2)^2)+Ft!I$6*EXP(Ft!I$38*($A212-Ft!I$2)^2)),Ft!I$3*((1-Ft!I$7)/(1+Ft!I$39*($A212-Ft!I$2)^2)+Ft!I$7*EXP(Ft!I$40*($A212-Ft!I$2)^2)))</f>
        <v>0</v>
      </c>
      <c r="N212" s="3">
        <f>IF(($A212-Ft!J$2)&lt;0,Ft!J$3*((1-Ft!J$6)/(1+Ft!J$37*($A212-Ft!J$2)^2)+Ft!J$6*EXP(Ft!J$38*($A212-Ft!J$2)^2)),Ft!J$3*((1-Ft!J$7)/(1+Ft!J$39*($A212-Ft!J$2)^2)+Ft!J$7*EXP(Ft!J$40*($A212-Ft!J$2)^2)))</f>
        <v>0</v>
      </c>
      <c r="O212" s="3">
        <f>IF(($A212-Ft!K$2)&lt;0,Ft!K$3*((1-Ft!K$6)/(1+Ft!K$37*($A212-Ft!K$2)^2)+Ft!K$6*EXP(Ft!K$38*($A212-Ft!K$2)^2)),Ft!K$3*((1-Ft!K$7)/(1+Ft!K$39*($A212-Ft!K$2)^2)+Ft!K$7*EXP(Ft!K$40*($A212-Ft!K$2)^2)))</f>
        <v>0</v>
      </c>
      <c r="P212"/>
      <c r="Q212"/>
    </row>
    <row r="213" spans="1:17">
      <c r="A213" s="20">
        <v>423</v>
      </c>
      <c r="B213" s="29">
        <v>42.719731854674535</v>
      </c>
      <c r="C213" s="7">
        <f t="shared" si="7"/>
        <v>42.76361223419071</v>
      </c>
      <c r="D213" s="3">
        <f t="shared" si="6"/>
        <v>1.9254877064835178E-3</v>
      </c>
      <c r="E213" s="3">
        <f>Ft!$B$12+Ft!$B$14*(Data!A213-Vars!$B$3)</f>
        <v>-200</v>
      </c>
      <c r="F213" s="3">
        <f>IF(($A213-Ft!B$2)&lt;0,Ft!B$3*((1-Ft!B$6)/(1+Ft!B$37*($A213-Ft!B$2)^2)+Ft!B$6*EXP(Ft!B$38*($A213-Ft!B$2)^2)),Ft!B$3*((1-Ft!B$7)/(1+Ft!B$39*($A213-Ft!B$2)^2)+Ft!B$7*EXP(Ft!B$40*($A213-Ft!B$2)^2)))</f>
        <v>67.061747614913457</v>
      </c>
      <c r="G213" s="3">
        <f>IF(($A213-Ft!C$2)&lt;0,Ft!C$3*((1-Ft!C$6)/(1+Ft!C$37*($A213-Ft!C$2)^2)+Ft!C$6*EXP(Ft!C$38*($A213-Ft!C$2)^2)),Ft!C$3*((1-Ft!C$7)/(1+Ft!C$39*($A213-Ft!C$2)^2)+Ft!C$7*EXP(Ft!C$40*($A213-Ft!C$2)^2)))</f>
        <v>43.662254622647154</v>
      </c>
      <c r="H213" s="3">
        <f>IF(($A213-Ft!D$2)&lt;0,Ft!D$3*((1-Ft!D$6)/(1+Ft!D$37*($A213-Ft!D$2)^2)+Ft!D$6*EXP(Ft!D$38*($A213-Ft!D$2)^2)),Ft!D$3*((1-Ft!D$7)/(1+Ft!D$39*($A213-Ft!D$2)^2)+Ft!D$7*EXP(Ft!D$40*($A213-Ft!D$2)^2)))</f>
        <v>1.6659165335023007</v>
      </c>
      <c r="I213" s="3">
        <f>IF(($A213-Ft!E$2)&lt;0,Ft!E$3*((1-Ft!E$6)/(1+Ft!E$37*($A213-Ft!E$2)^2)+Ft!E$6*EXP(Ft!E$38*($A213-Ft!E$2)^2)),Ft!E$3*((1-Ft!E$7)/(1+Ft!E$39*($A213-Ft!E$2)^2)+Ft!E$7*EXP(Ft!E$40*($A213-Ft!E$2)^2)))</f>
        <v>58.985606528440798</v>
      </c>
      <c r="J213" s="3">
        <f>IF(($A213-Ft!F$2)&lt;0,Ft!F$3*((1-Ft!F$6)/(1+Ft!F$37*($A213-Ft!F$2)^2)+Ft!F$6*EXP(Ft!F$38*($A213-Ft!F$2)^2)),Ft!F$3*((1-Ft!F$7)/(1+Ft!F$39*($A213-Ft!F$2)^2)+Ft!F$7*EXP(Ft!F$40*($A213-Ft!F$2)^2)))</f>
        <v>25.091705824926805</v>
      </c>
      <c r="K213" s="3">
        <f>IF(($A213-Ft!G$2)&lt;0,Ft!G$3*((1-Ft!G$6)/(1+Ft!G$37*($A213-Ft!G$2)^2)+Ft!G$6*EXP(Ft!G$38*($A213-Ft!G$2)^2)),Ft!G$3*((1-Ft!G$7)/(1+Ft!G$39*($A213-Ft!G$2)^2)+Ft!G$7*EXP(Ft!G$40*($A213-Ft!G$2)^2)))</f>
        <v>46.296381109760198</v>
      </c>
      <c r="L213" s="3">
        <f>IF(($A213-Ft!H$2)&lt;0,Ft!H$3*((1-Ft!H$6)/(1+Ft!H$37*($A213-Ft!H$2)^2)+Ft!H$6*EXP(Ft!H$38*($A213-Ft!H$2)^2)),Ft!H$3*((1-Ft!H$7)/(1+Ft!H$39*($A213-Ft!H$2)^2)+Ft!H$7*EXP(Ft!H$40*($A213-Ft!H$2)^2)))</f>
        <v>0</v>
      </c>
      <c r="M213" s="3">
        <f>IF(($A213-Ft!I$2)&lt;0,Ft!I$3*((1-Ft!I$6)/(1+Ft!I$37*($A213-Ft!I$2)^2)+Ft!I$6*EXP(Ft!I$38*($A213-Ft!I$2)^2)),Ft!I$3*((1-Ft!I$7)/(1+Ft!I$39*($A213-Ft!I$2)^2)+Ft!I$7*EXP(Ft!I$40*($A213-Ft!I$2)^2)))</f>
        <v>0</v>
      </c>
      <c r="N213" s="3">
        <f>IF(($A213-Ft!J$2)&lt;0,Ft!J$3*((1-Ft!J$6)/(1+Ft!J$37*($A213-Ft!J$2)^2)+Ft!J$6*EXP(Ft!J$38*($A213-Ft!J$2)^2)),Ft!J$3*((1-Ft!J$7)/(1+Ft!J$39*($A213-Ft!J$2)^2)+Ft!J$7*EXP(Ft!J$40*($A213-Ft!J$2)^2)))</f>
        <v>0</v>
      </c>
      <c r="O213" s="3">
        <f>IF(($A213-Ft!K$2)&lt;0,Ft!K$3*((1-Ft!K$6)/(1+Ft!K$37*($A213-Ft!K$2)^2)+Ft!K$6*EXP(Ft!K$38*($A213-Ft!K$2)^2)),Ft!K$3*((1-Ft!K$7)/(1+Ft!K$39*($A213-Ft!K$2)^2)+Ft!K$7*EXP(Ft!K$40*($A213-Ft!K$2)^2)))</f>
        <v>0</v>
      </c>
      <c r="P213"/>
      <c r="Q213"/>
    </row>
    <row r="214" spans="1:17">
      <c r="A214" s="20">
        <v>425</v>
      </c>
      <c r="B214" s="29">
        <v>42.96510545188238</v>
      </c>
      <c r="C214" s="7">
        <f t="shared" si="7"/>
        <v>43.010726834752788</v>
      </c>
      <c r="D214" s="3">
        <f t="shared" si="6"/>
        <v>2.0813105750083524E-3</v>
      </c>
      <c r="E214" s="3">
        <f>Ft!$B$12+Ft!$B$14*(Data!A214-Vars!$B$3)</f>
        <v>-200</v>
      </c>
      <c r="F214" s="3">
        <f>IF(($A214-Ft!B$2)&lt;0,Ft!B$3*((1-Ft!B$6)/(1+Ft!B$37*($A214-Ft!B$2)^2)+Ft!B$6*EXP(Ft!B$38*($A214-Ft!B$2)^2)),Ft!B$3*((1-Ft!B$7)/(1+Ft!B$39*($A214-Ft!B$2)^2)+Ft!B$7*EXP(Ft!B$40*($A214-Ft!B$2)^2)))</f>
        <v>66.649719655638876</v>
      </c>
      <c r="G214" s="3">
        <f>IF(($A214-Ft!C$2)&lt;0,Ft!C$3*((1-Ft!C$6)/(1+Ft!C$37*($A214-Ft!C$2)^2)+Ft!C$6*EXP(Ft!C$38*($A214-Ft!C$2)^2)),Ft!C$3*((1-Ft!C$7)/(1+Ft!C$39*($A214-Ft!C$2)^2)+Ft!C$7*EXP(Ft!C$40*($A214-Ft!C$2)^2)))</f>
        <v>43.754586514614523</v>
      </c>
      <c r="H214" s="3">
        <f>IF(($A214-Ft!D$2)&lt;0,Ft!D$3*((1-Ft!D$6)/(1+Ft!D$37*($A214-Ft!D$2)^2)+Ft!D$6*EXP(Ft!D$38*($A214-Ft!D$2)^2)),Ft!D$3*((1-Ft!D$7)/(1+Ft!D$39*($A214-Ft!D$2)^2)+Ft!D$7*EXP(Ft!D$40*($A214-Ft!D$2)^2)))</f>
        <v>1.7154811968305215</v>
      </c>
      <c r="I214" s="3">
        <f>IF(($A214-Ft!E$2)&lt;0,Ft!E$3*((1-Ft!E$6)/(1+Ft!E$37*($A214-Ft!E$2)^2)+Ft!E$6*EXP(Ft!E$38*($A214-Ft!E$2)^2)),Ft!E$3*((1-Ft!E$7)/(1+Ft!E$39*($A214-Ft!E$2)^2)+Ft!E$7*EXP(Ft!E$40*($A214-Ft!E$2)^2)))</f>
        <v>59.493704371288388</v>
      </c>
      <c r="J214" s="3">
        <f>IF(($A214-Ft!F$2)&lt;0,Ft!F$3*((1-Ft!F$6)/(1+Ft!F$37*($A214-Ft!F$2)^2)+Ft!F$6*EXP(Ft!F$38*($A214-Ft!F$2)^2)),Ft!F$3*((1-Ft!F$7)/(1+Ft!F$39*($A214-Ft!F$2)^2)+Ft!F$7*EXP(Ft!F$40*($A214-Ft!F$2)^2)))</f>
        <v>25.264803660038687</v>
      </c>
      <c r="K214" s="3">
        <f>IF(($A214-Ft!G$2)&lt;0,Ft!G$3*((1-Ft!G$6)/(1+Ft!G$37*($A214-Ft!G$2)^2)+Ft!G$6*EXP(Ft!G$38*($A214-Ft!G$2)^2)),Ft!G$3*((1-Ft!G$7)/(1+Ft!G$39*($A214-Ft!G$2)^2)+Ft!G$7*EXP(Ft!G$40*($A214-Ft!G$2)^2)))</f>
        <v>46.132431436341797</v>
      </c>
      <c r="L214" s="3">
        <f>IF(($A214-Ft!H$2)&lt;0,Ft!H$3*((1-Ft!H$6)/(1+Ft!H$37*($A214-Ft!H$2)^2)+Ft!H$6*EXP(Ft!H$38*($A214-Ft!H$2)^2)),Ft!H$3*((1-Ft!H$7)/(1+Ft!H$39*($A214-Ft!H$2)^2)+Ft!H$7*EXP(Ft!H$40*($A214-Ft!H$2)^2)))</f>
        <v>0</v>
      </c>
      <c r="M214" s="3">
        <f>IF(($A214-Ft!I$2)&lt;0,Ft!I$3*((1-Ft!I$6)/(1+Ft!I$37*($A214-Ft!I$2)^2)+Ft!I$6*EXP(Ft!I$38*($A214-Ft!I$2)^2)),Ft!I$3*((1-Ft!I$7)/(1+Ft!I$39*($A214-Ft!I$2)^2)+Ft!I$7*EXP(Ft!I$40*($A214-Ft!I$2)^2)))</f>
        <v>0</v>
      </c>
      <c r="N214" s="3">
        <f>IF(($A214-Ft!J$2)&lt;0,Ft!J$3*((1-Ft!J$6)/(1+Ft!J$37*($A214-Ft!J$2)^2)+Ft!J$6*EXP(Ft!J$38*($A214-Ft!J$2)^2)),Ft!J$3*((1-Ft!J$7)/(1+Ft!J$39*($A214-Ft!J$2)^2)+Ft!J$7*EXP(Ft!J$40*($A214-Ft!J$2)^2)))</f>
        <v>0</v>
      </c>
      <c r="O214" s="3">
        <f>IF(($A214-Ft!K$2)&lt;0,Ft!K$3*((1-Ft!K$6)/(1+Ft!K$37*($A214-Ft!K$2)^2)+Ft!K$6*EXP(Ft!K$38*($A214-Ft!K$2)^2)),Ft!K$3*((1-Ft!K$7)/(1+Ft!K$39*($A214-Ft!K$2)^2)+Ft!K$7*EXP(Ft!K$40*($A214-Ft!K$2)^2)))</f>
        <v>0</v>
      </c>
      <c r="P214"/>
      <c r="Q214"/>
    </row>
    <row r="215" spans="1:17">
      <c r="A215" s="20">
        <v>427</v>
      </c>
      <c r="B215" s="29">
        <v>43.202181606413475</v>
      </c>
      <c r="C215" s="7">
        <f t="shared" si="7"/>
        <v>43.248238419773571</v>
      </c>
      <c r="D215" s="3">
        <f t="shared" si="6"/>
        <v>2.1212300568867006E-3</v>
      </c>
      <c r="E215" s="3">
        <f>Ft!$B$12+Ft!$B$14*(Data!A215-Vars!$B$3)</f>
        <v>-200</v>
      </c>
      <c r="F215" s="3">
        <f>IF(($A215-Ft!B$2)&lt;0,Ft!B$3*((1-Ft!B$6)/(1+Ft!B$37*($A215-Ft!B$2)^2)+Ft!B$6*EXP(Ft!B$38*($A215-Ft!B$2)^2)),Ft!B$3*((1-Ft!B$7)/(1+Ft!B$39*($A215-Ft!B$2)^2)+Ft!B$7*EXP(Ft!B$40*($A215-Ft!B$2)^2)))</f>
        <v>66.238958901568751</v>
      </c>
      <c r="G215" s="3">
        <f>IF(($A215-Ft!C$2)&lt;0,Ft!C$3*((1-Ft!C$6)/(1+Ft!C$37*($A215-Ft!C$2)^2)+Ft!C$6*EXP(Ft!C$38*($A215-Ft!C$2)^2)),Ft!C$3*((1-Ft!C$7)/(1+Ft!C$39*($A215-Ft!C$2)^2)+Ft!C$7*EXP(Ft!C$40*($A215-Ft!C$2)^2)))</f>
        <v>43.846726237950541</v>
      </c>
      <c r="H215" s="3">
        <f>IF(($A215-Ft!D$2)&lt;0,Ft!D$3*((1-Ft!D$6)/(1+Ft!D$37*($A215-Ft!D$2)^2)+Ft!D$6*EXP(Ft!D$38*($A215-Ft!D$2)^2)),Ft!D$3*((1-Ft!D$7)/(1+Ft!D$39*($A215-Ft!D$2)^2)+Ft!D$7*EXP(Ft!D$40*($A215-Ft!D$2)^2)))</f>
        <v>1.7568018213738099</v>
      </c>
      <c r="I215" s="3">
        <f>IF(($A215-Ft!E$2)&lt;0,Ft!E$3*((1-Ft!E$6)/(1+Ft!E$37*($A215-Ft!E$2)^2)+Ft!E$6*EXP(Ft!E$38*($A215-Ft!E$2)^2)),Ft!E$3*((1-Ft!E$7)/(1+Ft!E$39*($A215-Ft!E$2)^2)+Ft!E$7*EXP(Ft!E$40*($A215-Ft!E$2)^2)))</f>
        <v>60.002699791618298</v>
      </c>
      <c r="J215" s="3">
        <f>IF(($A215-Ft!F$2)&lt;0,Ft!F$3*((1-Ft!F$6)/(1+Ft!F$37*($A215-Ft!F$2)^2)+Ft!F$6*EXP(Ft!F$38*($A215-Ft!F$2)^2)),Ft!F$3*((1-Ft!F$7)/(1+Ft!F$39*($A215-Ft!F$2)^2)+Ft!F$7*EXP(Ft!F$40*($A215-Ft!F$2)^2)))</f>
        <v>25.438760587611917</v>
      </c>
      <c r="K215" s="3">
        <f>IF(($A215-Ft!G$2)&lt;0,Ft!G$3*((1-Ft!G$6)/(1+Ft!G$37*($A215-Ft!G$2)^2)+Ft!G$6*EXP(Ft!G$38*($A215-Ft!G$2)^2)),Ft!G$3*((1-Ft!G$7)/(1+Ft!G$39*($A215-Ft!G$2)^2)+Ft!G$7*EXP(Ft!G$40*($A215-Ft!G$2)^2)))</f>
        <v>45.964291079650231</v>
      </c>
      <c r="L215" s="3">
        <f>IF(($A215-Ft!H$2)&lt;0,Ft!H$3*((1-Ft!H$6)/(1+Ft!H$37*($A215-Ft!H$2)^2)+Ft!H$6*EXP(Ft!H$38*($A215-Ft!H$2)^2)),Ft!H$3*((1-Ft!H$7)/(1+Ft!H$39*($A215-Ft!H$2)^2)+Ft!H$7*EXP(Ft!H$40*($A215-Ft!H$2)^2)))</f>
        <v>0</v>
      </c>
      <c r="M215" s="3">
        <f>IF(($A215-Ft!I$2)&lt;0,Ft!I$3*((1-Ft!I$6)/(1+Ft!I$37*($A215-Ft!I$2)^2)+Ft!I$6*EXP(Ft!I$38*($A215-Ft!I$2)^2)),Ft!I$3*((1-Ft!I$7)/(1+Ft!I$39*($A215-Ft!I$2)^2)+Ft!I$7*EXP(Ft!I$40*($A215-Ft!I$2)^2)))</f>
        <v>0</v>
      </c>
      <c r="N215" s="3">
        <f>IF(($A215-Ft!J$2)&lt;0,Ft!J$3*((1-Ft!J$6)/(1+Ft!J$37*($A215-Ft!J$2)^2)+Ft!J$6*EXP(Ft!J$38*($A215-Ft!J$2)^2)),Ft!J$3*((1-Ft!J$7)/(1+Ft!J$39*($A215-Ft!J$2)^2)+Ft!J$7*EXP(Ft!J$40*($A215-Ft!J$2)^2)))</f>
        <v>0</v>
      </c>
      <c r="O215" s="3">
        <f>IF(($A215-Ft!K$2)&lt;0,Ft!K$3*((1-Ft!K$6)/(1+Ft!K$37*($A215-Ft!K$2)^2)+Ft!K$6*EXP(Ft!K$38*($A215-Ft!K$2)^2)),Ft!K$3*((1-Ft!K$7)/(1+Ft!K$39*($A215-Ft!K$2)^2)+Ft!K$7*EXP(Ft!K$40*($A215-Ft!K$2)^2)))</f>
        <v>0</v>
      </c>
      <c r="P215"/>
      <c r="Q215"/>
    </row>
    <row r="216" spans="1:17">
      <c r="A216" s="20">
        <v>429</v>
      </c>
      <c r="B216" s="29">
        <v>43.430453419335649</v>
      </c>
      <c r="C216" s="7">
        <f t="shared" si="7"/>
        <v>43.475493903235346</v>
      </c>
      <c r="D216" s="3">
        <f t="shared" si="6"/>
        <v>2.0286451899189E-3</v>
      </c>
      <c r="E216" s="3">
        <f>Ft!$B$12+Ft!$B$14*(Data!A216-Vars!$B$3)</f>
        <v>-200</v>
      </c>
      <c r="F216" s="3">
        <f>IF(($A216-Ft!B$2)&lt;0,Ft!B$3*((1-Ft!B$6)/(1+Ft!B$37*($A216-Ft!B$2)^2)+Ft!B$6*EXP(Ft!B$38*($A216-Ft!B$2)^2)),Ft!B$3*((1-Ft!B$7)/(1+Ft!B$39*($A216-Ft!B$2)^2)+Ft!B$7*EXP(Ft!B$40*($A216-Ft!B$2)^2)))</f>
        <v>65.829473174648953</v>
      </c>
      <c r="G216" s="3">
        <f>IF(($A216-Ft!C$2)&lt;0,Ft!C$3*((1-Ft!C$6)/(1+Ft!C$37*($A216-Ft!C$2)^2)+Ft!C$6*EXP(Ft!C$38*($A216-Ft!C$2)^2)),Ft!C$3*((1-Ft!C$7)/(1+Ft!C$39*($A216-Ft!C$2)^2)+Ft!C$7*EXP(Ft!C$40*($A216-Ft!C$2)^2)))</f>
        <v>43.938671758022075</v>
      </c>
      <c r="H216" s="3">
        <f>IF(($A216-Ft!D$2)&lt;0,Ft!D$3*((1-Ft!D$6)/(1+Ft!D$37*($A216-Ft!D$2)^2)+Ft!D$6*EXP(Ft!D$38*($A216-Ft!D$2)^2)),Ft!D$3*((1-Ft!D$7)/(1+Ft!D$39*($A216-Ft!D$2)^2)+Ft!D$7*EXP(Ft!D$40*($A216-Ft!D$2)^2)))</f>
        <v>1.7892196987131459</v>
      </c>
      <c r="I216" s="3">
        <f>IF(($A216-Ft!E$2)&lt;0,Ft!E$3*((1-Ft!E$6)/(1+Ft!E$37*($A216-Ft!E$2)^2)+Ft!E$6*EXP(Ft!E$38*($A216-Ft!E$2)^2)),Ft!E$3*((1-Ft!E$7)/(1+Ft!E$39*($A216-Ft!E$2)^2)+Ft!E$7*EXP(Ft!E$40*($A216-Ft!E$2)^2)))</f>
        <v>60.512541193303491</v>
      </c>
      <c r="J216" s="3">
        <f>IF(($A216-Ft!F$2)&lt;0,Ft!F$3*((1-Ft!F$6)/(1+Ft!F$37*($A216-Ft!F$2)^2)+Ft!F$6*EXP(Ft!F$38*($A216-Ft!F$2)^2)),Ft!F$3*((1-Ft!F$7)/(1+Ft!F$39*($A216-Ft!F$2)^2)+Ft!F$7*EXP(Ft!F$40*($A216-Ft!F$2)^2)))</f>
        <v>25.613577924876378</v>
      </c>
      <c r="K216" s="3">
        <f>IF(($A216-Ft!G$2)&lt;0,Ft!G$3*((1-Ft!G$6)/(1+Ft!G$37*($A216-Ft!G$2)^2)+Ft!G$6*EXP(Ft!G$38*($A216-Ft!G$2)^2)),Ft!G$3*((1-Ft!G$7)/(1+Ft!G$39*($A216-Ft!G$2)^2)+Ft!G$7*EXP(Ft!G$40*($A216-Ft!G$2)^2)))</f>
        <v>45.792010153671285</v>
      </c>
      <c r="L216" s="3">
        <f>IF(($A216-Ft!H$2)&lt;0,Ft!H$3*((1-Ft!H$6)/(1+Ft!H$37*($A216-Ft!H$2)^2)+Ft!H$6*EXP(Ft!H$38*($A216-Ft!H$2)^2)),Ft!H$3*((1-Ft!H$7)/(1+Ft!H$39*($A216-Ft!H$2)^2)+Ft!H$7*EXP(Ft!H$40*($A216-Ft!H$2)^2)))</f>
        <v>0</v>
      </c>
      <c r="M216" s="3">
        <f>IF(($A216-Ft!I$2)&lt;0,Ft!I$3*((1-Ft!I$6)/(1+Ft!I$37*($A216-Ft!I$2)^2)+Ft!I$6*EXP(Ft!I$38*($A216-Ft!I$2)^2)),Ft!I$3*((1-Ft!I$7)/(1+Ft!I$39*($A216-Ft!I$2)^2)+Ft!I$7*EXP(Ft!I$40*($A216-Ft!I$2)^2)))</f>
        <v>0</v>
      </c>
      <c r="N216" s="3">
        <f>IF(($A216-Ft!J$2)&lt;0,Ft!J$3*((1-Ft!J$6)/(1+Ft!J$37*($A216-Ft!J$2)^2)+Ft!J$6*EXP(Ft!J$38*($A216-Ft!J$2)^2)),Ft!J$3*((1-Ft!J$7)/(1+Ft!J$39*($A216-Ft!J$2)^2)+Ft!J$7*EXP(Ft!J$40*($A216-Ft!J$2)^2)))</f>
        <v>0</v>
      </c>
      <c r="O216" s="3">
        <f>IF(($A216-Ft!K$2)&lt;0,Ft!K$3*((1-Ft!K$6)/(1+Ft!K$37*($A216-Ft!K$2)^2)+Ft!K$6*EXP(Ft!K$38*($A216-Ft!K$2)^2)),Ft!K$3*((1-Ft!K$7)/(1+Ft!K$39*($A216-Ft!K$2)^2)+Ft!K$7*EXP(Ft!K$40*($A216-Ft!K$2)^2)))</f>
        <v>0</v>
      </c>
      <c r="P216"/>
      <c r="Q216"/>
    </row>
    <row r="217" spans="1:17">
      <c r="A217" s="20">
        <v>431</v>
      </c>
      <c r="B217" s="29">
        <v>43.64950070710924</v>
      </c>
      <c r="C217" s="7">
        <f t="shared" si="7"/>
        <v>43.691975004142023</v>
      </c>
      <c r="D217" s="3">
        <f t="shared" si="6"/>
        <v>1.8040659084290545E-3</v>
      </c>
      <c r="E217" s="3">
        <f>Ft!$B$12+Ft!$B$14*(Data!A217-Vars!$B$3)</f>
        <v>-200</v>
      </c>
      <c r="F217" s="3">
        <f>IF(($A217-Ft!B$2)&lt;0,Ft!B$3*((1-Ft!B$6)/(1+Ft!B$37*($A217-Ft!B$2)^2)+Ft!B$6*EXP(Ft!B$38*($A217-Ft!B$2)^2)),Ft!B$3*((1-Ft!B$7)/(1+Ft!B$39*($A217-Ft!B$2)^2)+Ft!B$7*EXP(Ft!B$40*($A217-Ft!B$2)^2)))</f>
        <v>65.42127017576307</v>
      </c>
      <c r="G217" s="3">
        <f>IF(($A217-Ft!C$2)&lt;0,Ft!C$3*((1-Ft!C$6)/(1+Ft!C$37*($A217-Ft!C$2)^2)+Ft!C$6*EXP(Ft!C$38*($A217-Ft!C$2)^2)),Ft!C$3*((1-Ft!C$7)/(1+Ft!C$39*($A217-Ft!C$2)^2)+Ft!C$7*EXP(Ft!C$40*($A217-Ft!C$2)^2)))</f>
        <v>44.030421041073616</v>
      </c>
      <c r="H217" s="3">
        <f>IF(($A217-Ft!D$2)&lt;0,Ft!D$3*((1-Ft!D$6)/(1+Ft!D$37*($A217-Ft!D$2)^2)+Ft!D$6*EXP(Ft!D$38*($A217-Ft!D$2)^2)),Ft!D$3*((1-Ft!D$7)/(1+Ft!D$39*($A217-Ft!D$2)^2)+Ft!D$7*EXP(Ft!D$40*($A217-Ft!D$2)^2)))</f>
        <v>1.8122105567197386</v>
      </c>
      <c r="I217" s="3">
        <f>IF(($A217-Ft!E$2)&lt;0,Ft!E$3*((1-Ft!E$6)/(1+Ft!E$37*($A217-Ft!E$2)^2)+Ft!E$6*EXP(Ft!E$38*($A217-Ft!E$2)^2)),Ft!E$3*((1-Ft!E$7)/(1+Ft!E$39*($A217-Ft!E$2)^2)+Ft!E$7*EXP(Ft!E$40*($A217-Ft!E$2)^2)))</f>
        <v>61.023176392528818</v>
      </c>
      <c r="J217" s="3">
        <f>IF(($A217-Ft!F$2)&lt;0,Ft!F$3*((1-Ft!F$6)/(1+Ft!F$37*($A217-Ft!F$2)^2)+Ft!F$6*EXP(Ft!F$38*($A217-Ft!F$2)^2)),Ft!F$3*((1-Ft!F$7)/(1+Ft!F$39*($A217-Ft!F$2)^2)+Ft!F$7*EXP(Ft!F$40*($A217-Ft!F$2)^2)))</f>
        <v>25.789256964010338</v>
      </c>
      <c r="K217" s="3">
        <f>IF(($A217-Ft!G$2)&lt;0,Ft!G$3*((1-Ft!G$6)/(1+Ft!G$37*($A217-Ft!G$2)^2)+Ft!G$6*EXP(Ft!G$38*($A217-Ft!G$2)^2)),Ft!G$3*((1-Ft!G$7)/(1+Ft!G$39*($A217-Ft!G$2)^2)+Ft!G$7*EXP(Ft!G$40*($A217-Ft!G$2)^2)))</f>
        <v>45.615639874046423</v>
      </c>
      <c r="L217" s="3">
        <f>IF(($A217-Ft!H$2)&lt;0,Ft!H$3*((1-Ft!H$6)/(1+Ft!H$37*($A217-Ft!H$2)^2)+Ft!H$6*EXP(Ft!H$38*($A217-Ft!H$2)^2)),Ft!H$3*((1-Ft!H$7)/(1+Ft!H$39*($A217-Ft!H$2)^2)+Ft!H$7*EXP(Ft!H$40*($A217-Ft!H$2)^2)))</f>
        <v>0</v>
      </c>
      <c r="M217" s="3">
        <f>IF(($A217-Ft!I$2)&lt;0,Ft!I$3*((1-Ft!I$6)/(1+Ft!I$37*($A217-Ft!I$2)^2)+Ft!I$6*EXP(Ft!I$38*($A217-Ft!I$2)^2)),Ft!I$3*((1-Ft!I$7)/(1+Ft!I$39*($A217-Ft!I$2)^2)+Ft!I$7*EXP(Ft!I$40*($A217-Ft!I$2)^2)))</f>
        <v>0</v>
      </c>
      <c r="N217" s="3">
        <f>IF(($A217-Ft!J$2)&lt;0,Ft!J$3*((1-Ft!J$6)/(1+Ft!J$37*($A217-Ft!J$2)^2)+Ft!J$6*EXP(Ft!J$38*($A217-Ft!J$2)^2)),Ft!J$3*((1-Ft!J$7)/(1+Ft!J$39*($A217-Ft!J$2)^2)+Ft!J$7*EXP(Ft!J$40*($A217-Ft!J$2)^2)))</f>
        <v>0</v>
      </c>
      <c r="O217" s="3">
        <f>IF(($A217-Ft!K$2)&lt;0,Ft!K$3*((1-Ft!K$6)/(1+Ft!K$37*($A217-Ft!K$2)^2)+Ft!K$6*EXP(Ft!K$38*($A217-Ft!K$2)^2)),Ft!K$3*((1-Ft!K$7)/(1+Ft!K$39*($A217-Ft!K$2)^2)+Ft!K$7*EXP(Ft!K$40*($A217-Ft!K$2)^2)))</f>
        <v>0</v>
      </c>
      <c r="P217"/>
      <c r="Q217"/>
    </row>
    <row r="218" spans="1:17">
      <c r="A218" s="20">
        <v>433</v>
      </c>
      <c r="B218" s="29">
        <v>43.858996502682189</v>
      </c>
      <c r="C218" s="7">
        <f t="shared" si="7"/>
        <v>43.897312331710339</v>
      </c>
      <c r="D218" s="3">
        <f t="shared" si="6"/>
        <v>1.4681027541144226E-3</v>
      </c>
      <c r="E218" s="3">
        <f>Ft!$B$12+Ft!$B$14*(Data!A218-Vars!$B$3)</f>
        <v>-200</v>
      </c>
      <c r="F218" s="3">
        <f>IF(($A218-Ft!B$2)&lt;0,Ft!B$3*((1-Ft!B$6)/(1+Ft!B$37*($A218-Ft!B$2)^2)+Ft!B$6*EXP(Ft!B$38*($A218-Ft!B$2)^2)),Ft!B$3*((1-Ft!B$7)/(1+Ft!B$39*($A218-Ft!B$2)^2)+Ft!B$7*EXP(Ft!B$40*($A218-Ft!B$2)^2)))</f>
        <v>65.014357484894461</v>
      </c>
      <c r="G218" s="3">
        <f>IF(($A218-Ft!C$2)&lt;0,Ft!C$3*((1-Ft!C$6)/(1+Ft!C$37*($A218-Ft!C$2)^2)+Ft!C$6*EXP(Ft!C$38*($A218-Ft!C$2)^2)),Ft!C$3*((1-Ft!C$7)/(1+Ft!C$39*($A218-Ft!C$2)^2)+Ft!C$7*EXP(Ft!C$40*($A218-Ft!C$2)^2)))</f>
        <v>44.121972054301047</v>
      </c>
      <c r="H218" s="3">
        <f>IF(($A218-Ft!D$2)&lt;0,Ft!D$3*((1-Ft!D$6)/(1+Ft!D$37*($A218-Ft!D$2)^2)+Ft!D$6*EXP(Ft!D$38*($A218-Ft!D$2)^2)),Ft!D$3*((1-Ft!D$7)/(1+Ft!D$39*($A218-Ft!D$2)^2)+Ft!D$7*EXP(Ft!D$40*($A218-Ft!D$2)^2)))</f>
        <v>1.8253986629428749</v>
      </c>
      <c r="I218" s="3">
        <f>IF(($A218-Ft!E$2)&lt;0,Ft!E$3*((1-Ft!E$6)/(1+Ft!E$37*($A218-Ft!E$2)^2)+Ft!E$6*EXP(Ft!E$38*($A218-Ft!E$2)^2)),Ft!E$3*((1-Ft!E$7)/(1+Ft!E$39*($A218-Ft!E$2)^2)+Ft!E$7*EXP(Ft!E$40*($A218-Ft!E$2)^2)))</f>
        <v>61.534552624951175</v>
      </c>
      <c r="J218" s="3">
        <f>IF(($A218-Ft!F$2)&lt;0,Ft!F$3*((1-Ft!F$6)/(1+Ft!F$37*($A218-Ft!F$2)^2)+Ft!F$6*EXP(Ft!F$38*($A218-Ft!F$2)^2)),Ft!F$3*((1-Ft!F$7)/(1+Ft!F$39*($A218-Ft!F$2)^2)+Ft!F$7*EXP(Ft!F$40*($A218-Ft!F$2)^2)))</f>
        <v>25.965798971900018</v>
      </c>
      <c r="K218" s="3">
        <f>IF(($A218-Ft!G$2)&lt;0,Ft!G$3*((1-Ft!G$6)/(1+Ft!G$37*($A218-Ft!G$2)^2)+Ft!G$6*EXP(Ft!G$38*($A218-Ft!G$2)^2)),Ft!G$3*((1-Ft!G$7)/(1+Ft!G$39*($A218-Ft!G$2)^2)+Ft!G$7*EXP(Ft!G$40*($A218-Ft!G$2)^2)))</f>
        <v>45.435232532720782</v>
      </c>
      <c r="L218" s="3">
        <f>IF(($A218-Ft!H$2)&lt;0,Ft!H$3*((1-Ft!H$6)/(1+Ft!H$37*($A218-Ft!H$2)^2)+Ft!H$6*EXP(Ft!H$38*($A218-Ft!H$2)^2)),Ft!H$3*((1-Ft!H$7)/(1+Ft!H$39*($A218-Ft!H$2)^2)+Ft!H$7*EXP(Ft!H$40*($A218-Ft!H$2)^2)))</f>
        <v>0</v>
      </c>
      <c r="M218" s="3">
        <f>IF(($A218-Ft!I$2)&lt;0,Ft!I$3*((1-Ft!I$6)/(1+Ft!I$37*($A218-Ft!I$2)^2)+Ft!I$6*EXP(Ft!I$38*($A218-Ft!I$2)^2)),Ft!I$3*((1-Ft!I$7)/(1+Ft!I$39*($A218-Ft!I$2)^2)+Ft!I$7*EXP(Ft!I$40*($A218-Ft!I$2)^2)))</f>
        <v>0</v>
      </c>
      <c r="N218" s="3">
        <f>IF(($A218-Ft!J$2)&lt;0,Ft!J$3*((1-Ft!J$6)/(1+Ft!J$37*($A218-Ft!J$2)^2)+Ft!J$6*EXP(Ft!J$38*($A218-Ft!J$2)^2)),Ft!J$3*((1-Ft!J$7)/(1+Ft!J$39*($A218-Ft!J$2)^2)+Ft!J$7*EXP(Ft!J$40*($A218-Ft!J$2)^2)))</f>
        <v>0</v>
      </c>
      <c r="O218" s="3">
        <f>IF(($A218-Ft!K$2)&lt;0,Ft!K$3*((1-Ft!K$6)/(1+Ft!K$37*($A218-Ft!K$2)^2)+Ft!K$6*EXP(Ft!K$38*($A218-Ft!K$2)^2)),Ft!K$3*((1-Ft!K$7)/(1+Ft!K$39*($A218-Ft!K$2)^2)+Ft!K$7*EXP(Ft!K$40*($A218-Ft!K$2)^2)))</f>
        <v>0</v>
      </c>
      <c r="P218"/>
      <c r="Q218"/>
    </row>
    <row r="219" spans="1:17">
      <c r="A219" s="20">
        <v>435</v>
      </c>
      <c r="B219" s="29">
        <v>44.058711943694362</v>
      </c>
      <c r="C219" s="7">
        <f t="shared" si="7"/>
        <v>44.091295582099917</v>
      </c>
      <c r="D219" s="3">
        <f t="shared" si="6"/>
        <v>1.0616934917439518E-3</v>
      </c>
      <c r="E219" s="3">
        <f>Ft!$B$12+Ft!$B$14*(Data!A219-Vars!$B$3)</f>
        <v>-200</v>
      </c>
      <c r="F219" s="3">
        <f>IF(($A219-Ft!B$2)&lt;0,Ft!B$3*((1-Ft!B$6)/(1+Ft!B$37*($A219-Ft!B$2)^2)+Ft!B$6*EXP(Ft!B$38*($A219-Ft!B$2)^2)),Ft!B$3*((1-Ft!B$7)/(1+Ft!B$39*($A219-Ft!B$2)^2)+Ft!B$7*EXP(Ft!B$40*($A219-Ft!B$2)^2)))</f>
        <v>64.608742561299096</v>
      </c>
      <c r="G219" s="3">
        <f>IF(($A219-Ft!C$2)&lt;0,Ft!C$3*((1-Ft!C$6)/(1+Ft!C$37*($A219-Ft!C$2)^2)+Ft!C$6*EXP(Ft!C$38*($A219-Ft!C$2)^2)),Ft!C$3*((1-Ft!C$7)/(1+Ft!C$39*($A219-Ft!C$2)^2)+Ft!C$7*EXP(Ft!C$40*($A219-Ft!C$2)^2)))</f>
        <v>44.213322765925604</v>
      </c>
      <c r="H219" s="3">
        <f>IF(($A219-Ft!D$2)&lt;0,Ft!D$3*((1-Ft!D$6)/(1+Ft!D$37*($A219-Ft!D$2)^2)+Ft!D$6*EXP(Ft!D$38*($A219-Ft!D$2)^2)),Ft!D$3*((1-Ft!D$7)/(1+Ft!D$39*($A219-Ft!D$2)^2)+Ft!D$7*EXP(Ft!D$40*($A219-Ft!D$2)^2)))</f>
        <v>1.8285670397567844</v>
      </c>
      <c r="I219" s="3">
        <f>IF(($A219-Ft!E$2)&lt;0,Ft!E$3*((1-Ft!E$6)/(1+Ft!E$37*($A219-Ft!E$2)^2)+Ft!E$6*EXP(Ft!E$38*($A219-Ft!E$2)^2)),Ft!E$3*((1-Ft!E$7)/(1+Ft!E$39*($A219-Ft!E$2)^2)+Ft!E$7*EXP(Ft!E$40*($A219-Ft!E$2)^2)))</f>
        <v>62.046616553089187</v>
      </c>
      <c r="J219" s="3">
        <f>IF(($A219-Ft!F$2)&lt;0,Ft!F$3*((1-Ft!F$6)/(1+Ft!F$37*($A219-Ft!F$2)^2)+Ft!F$6*EXP(Ft!F$38*($A219-Ft!F$2)^2)),Ft!F$3*((1-Ft!F$7)/(1+Ft!F$39*($A219-Ft!F$2)^2)+Ft!F$7*EXP(Ft!F$40*($A219-Ft!F$2)^2)))</f>
        <v>26.143205189899131</v>
      </c>
      <c r="K219" s="3">
        <f>IF(($A219-Ft!G$2)&lt;0,Ft!G$3*((1-Ft!G$6)/(1+Ft!G$37*($A219-Ft!G$2)^2)+Ft!G$6*EXP(Ft!G$38*($A219-Ft!G$2)^2)),Ft!G$3*((1-Ft!G$7)/(1+Ft!G$39*($A219-Ft!G$2)^2)+Ft!G$7*EXP(Ft!G$40*($A219-Ft!G$2)^2)))</f>
        <v>45.250841472130112</v>
      </c>
      <c r="L219" s="3">
        <f>IF(($A219-Ft!H$2)&lt;0,Ft!H$3*((1-Ft!H$6)/(1+Ft!H$37*($A219-Ft!H$2)^2)+Ft!H$6*EXP(Ft!H$38*($A219-Ft!H$2)^2)),Ft!H$3*((1-Ft!H$7)/(1+Ft!H$39*($A219-Ft!H$2)^2)+Ft!H$7*EXP(Ft!H$40*($A219-Ft!H$2)^2)))</f>
        <v>0</v>
      </c>
      <c r="M219" s="3">
        <f>IF(($A219-Ft!I$2)&lt;0,Ft!I$3*((1-Ft!I$6)/(1+Ft!I$37*($A219-Ft!I$2)^2)+Ft!I$6*EXP(Ft!I$38*($A219-Ft!I$2)^2)),Ft!I$3*((1-Ft!I$7)/(1+Ft!I$39*($A219-Ft!I$2)^2)+Ft!I$7*EXP(Ft!I$40*($A219-Ft!I$2)^2)))</f>
        <v>0</v>
      </c>
      <c r="N219" s="3">
        <f>IF(($A219-Ft!J$2)&lt;0,Ft!J$3*((1-Ft!J$6)/(1+Ft!J$37*($A219-Ft!J$2)^2)+Ft!J$6*EXP(Ft!J$38*($A219-Ft!J$2)^2)),Ft!J$3*((1-Ft!J$7)/(1+Ft!J$39*($A219-Ft!J$2)^2)+Ft!J$7*EXP(Ft!J$40*($A219-Ft!J$2)^2)))</f>
        <v>0</v>
      </c>
      <c r="O219" s="3">
        <f>IF(($A219-Ft!K$2)&lt;0,Ft!K$3*((1-Ft!K$6)/(1+Ft!K$37*($A219-Ft!K$2)^2)+Ft!K$6*EXP(Ft!K$38*($A219-Ft!K$2)^2)),Ft!K$3*((1-Ft!K$7)/(1+Ft!K$39*($A219-Ft!K$2)^2)+Ft!K$7*EXP(Ft!K$40*($A219-Ft!K$2)^2)))</f>
        <v>0</v>
      </c>
      <c r="P219"/>
      <c r="Q219"/>
    </row>
    <row r="220" spans="1:17">
      <c r="A220" s="20">
        <v>437</v>
      </c>
      <c r="B220" s="29">
        <v>44.248519453744564</v>
      </c>
      <c r="C220" s="7">
        <f t="shared" si="7"/>
        <v>44.273879458607489</v>
      </c>
      <c r="D220" s="3">
        <f t="shared" si="6"/>
        <v>6.43129846647591E-4</v>
      </c>
      <c r="E220" s="3">
        <f>Ft!$B$12+Ft!$B$14*(Data!A220-Vars!$B$3)</f>
        <v>-200</v>
      </c>
      <c r="F220" s="3">
        <f>IF(($A220-Ft!B$2)&lt;0,Ft!B$3*((1-Ft!B$6)/(1+Ft!B$37*($A220-Ft!B$2)^2)+Ft!B$6*EXP(Ft!B$38*($A220-Ft!B$2)^2)),Ft!B$3*((1-Ft!B$7)/(1+Ft!B$39*($A220-Ft!B$2)^2)+Ft!B$7*EXP(Ft!B$40*($A220-Ft!B$2)^2)))</f>
        <v>64.204432743688884</v>
      </c>
      <c r="G220" s="3">
        <f>IF(($A220-Ft!C$2)&lt;0,Ft!C$3*((1-Ft!C$6)/(1+Ft!C$37*($A220-Ft!C$2)^2)+Ft!C$6*EXP(Ft!C$38*($A220-Ft!C$2)^2)),Ft!C$3*((1-Ft!C$7)/(1+Ft!C$39*($A220-Ft!C$2)^2)+Ft!C$7*EXP(Ft!C$40*($A220-Ft!C$2)^2)))</f>
        <v>44.304471145267819</v>
      </c>
      <c r="H220" s="3">
        <f>IF(($A220-Ft!D$2)&lt;0,Ft!D$3*((1-Ft!D$6)/(1+Ft!D$37*($A220-Ft!D$2)^2)+Ft!D$6*EXP(Ft!D$38*($A220-Ft!D$2)^2)),Ft!D$3*((1-Ft!D$7)/(1+Ft!D$39*($A220-Ft!D$2)^2)+Ft!D$7*EXP(Ft!D$40*($A220-Ft!D$2)^2)))</f>
        <v>1.8216634031760697</v>
      </c>
      <c r="I220" s="3">
        <f>IF(($A220-Ft!E$2)&lt;0,Ft!E$3*((1-Ft!E$6)/(1+Ft!E$37*($A220-Ft!E$2)^2)+Ft!E$6*EXP(Ft!E$38*($A220-Ft!E$2)^2)),Ft!E$3*((1-Ft!E$7)/(1+Ft!E$39*($A220-Ft!E$2)^2)+Ft!E$7*EXP(Ft!E$40*($A220-Ft!E$2)^2)))</f>
        <v>62.559314273941951</v>
      </c>
      <c r="J220" s="3">
        <f>IF(($A220-Ft!F$2)&lt;0,Ft!F$3*((1-Ft!F$6)/(1+Ft!F$37*($A220-Ft!F$2)^2)+Ft!F$6*EXP(Ft!F$38*($A220-Ft!F$2)^2)),Ft!F$3*((1-Ft!F$7)/(1+Ft!F$39*($A220-Ft!F$2)^2)+Ft!F$7*EXP(Ft!F$40*($A220-Ft!F$2)^2)))</f>
        <v>26.321476833588477</v>
      </c>
      <c r="K220" s="3">
        <f>IF(($A220-Ft!G$2)&lt;0,Ft!G$3*((1-Ft!G$6)/(1+Ft!G$37*($A220-Ft!G$2)^2)+Ft!G$6*EXP(Ft!G$38*($A220-Ft!G$2)^2)),Ft!G$3*((1-Ft!G$7)/(1+Ft!G$39*($A220-Ft!G$2)^2)+Ft!G$7*EXP(Ft!G$40*($A220-Ft!G$2)^2)))</f>
        <v>45.062521058944291</v>
      </c>
      <c r="L220" s="3">
        <f>IF(($A220-Ft!H$2)&lt;0,Ft!H$3*((1-Ft!H$6)/(1+Ft!H$37*($A220-Ft!H$2)^2)+Ft!H$6*EXP(Ft!H$38*($A220-Ft!H$2)^2)),Ft!H$3*((1-Ft!H$7)/(1+Ft!H$39*($A220-Ft!H$2)^2)+Ft!H$7*EXP(Ft!H$40*($A220-Ft!H$2)^2)))</f>
        <v>0</v>
      </c>
      <c r="M220" s="3">
        <f>IF(($A220-Ft!I$2)&lt;0,Ft!I$3*((1-Ft!I$6)/(1+Ft!I$37*($A220-Ft!I$2)^2)+Ft!I$6*EXP(Ft!I$38*($A220-Ft!I$2)^2)),Ft!I$3*((1-Ft!I$7)/(1+Ft!I$39*($A220-Ft!I$2)^2)+Ft!I$7*EXP(Ft!I$40*($A220-Ft!I$2)^2)))</f>
        <v>0</v>
      </c>
      <c r="N220" s="3">
        <f>IF(($A220-Ft!J$2)&lt;0,Ft!J$3*((1-Ft!J$6)/(1+Ft!J$37*($A220-Ft!J$2)^2)+Ft!J$6*EXP(Ft!J$38*($A220-Ft!J$2)^2)),Ft!J$3*((1-Ft!J$7)/(1+Ft!J$39*($A220-Ft!J$2)^2)+Ft!J$7*EXP(Ft!J$40*($A220-Ft!J$2)^2)))</f>
        <v>0</v>
      </c>
      <c r="O220" s="3">
        <f>IF(($A220-Ft!K$2)&lt;0,Ft!K$3*((1-Ft!K$6)/(1+Ft!K$37*($A220-Ft!K$2)^2)+Ft!K$6*EXP(Ft!K$38*($A220-Ft!K$2)^2)),Ft!K$3*((1-Ft!K$7)/(1+Ft!K$39*($A220-Ft!K$2)^2)+Ft!K$7*EXP(Ft!K$40*($A220-Ft!K$2)^2)))</f>
        <v>0</v>
      </c>
      <c r="P220"/>
      <c r="Q220"/>
    </row>
    <row r="221" spans="1:17">
      <c r="A221" s="20">
        <v>439</v>
      </c>
      <c r="B221" s="29">
        <v>44.42839416141814</v>
      </c>
      <c r="C221" s="7">
        <f t="shared" si="7"/>
        <v>44.445185088191266</v>
      </c>
      <c r="D221" s="3">
        <f t="shared" si="6"/>
        <v>2.8193522190048294E-4</v>
      </c>
      <c r="E221" s="3">
        <f>Ft!$B$12+Ft!$B$14*(Data!A221-Vars!$B$3)</f>
        <v>-200</v>
      </c>
      <c r="F221" s="3">
        <f>IF(($A221-Ft!B$2)&lt;0,Ft!B$3*((1-Ft!B$6)/(1+Ft!B$37*($A221-Ft!B$2)^2)+Ft!B$6*EXP(Ft!B$38*($A221-Ft!B$2)^2)),Ft!B$3*((1-Ft!B$7)/(1+Ft!B$39*($A221-Ft!B$2)^2)+Ft!B$7*EXP(Ft!B$40*($A221-Ft!B$2)^2)))</f>
        <v>63.801435250424959</v>
      </c>
      <c r="G221" s="3">
        <f>IF(($A221-Ft!C$2)&lt;0,Ft!C$3*((1-Ft!C$6)/(1+Ft!C$37*($A221-Ft!C$2)^2)+Ft!C$6*EXP(Ft!C$38*($A221-Ft!C$2)^2)),Ft!C$3*((1-Ft!C$7)/(1+Ft!C$39*($A221-Ft!C$2)^2)+Ft!C$7*EXP(Ft!C$40*($A221-Ft!C$2)^2)))</f>
        <v>44.395415162821685</v>
      </c>
      <c r="H221" s="3">
        <f>IF(($A221-Ft!D$2)&lt;0,Ft!D$3*((1-Ft!D$6)/(1+Ft!D$37*($A221-Ft!D$2)^2)+Ft!D$6*EXP(Ft!D$38*($A221-Ft!D$2)^2)),Ft!D$3*((1-Ft!D$7)/(1+Ft!D$39*($A221-Ft!D$2)^2)+Ft!D$7*EXP(Ft!D$40*($A221-Ft!D$2)^2)))</f>
        <v>1.8048015981873566</v>
      </c>
      <c r="I221" s="3">
        <f>IF(($A221-Ft!E$2)&lt;0,Ft!E$3*((1-Ft!E$6)/(1+Ft!E$37*($A221-Ft!E$2)^2)+Ft!E$6*EXP(Ft!E$38*($A221-Ft!E$2)^2)),Ft!E$3*((1-Ft!E$7)/(1+Ft!E$39*($A221-Ft!E$2)^2)+Ft!E$7*EXP(Ft!E$40*($A221-Ft!E$2)^2)))</f>
        <v>63.072591326836012</v>
      </c>
      <c r="J221" s="3">
        <f>IF(($A221-Ft!F$2)&lt;0,Ft!F$3*((1-Ft!F$6)/(1+Ft!F$37*($A221-Ft!F$2)^2)+Ft!F$6*EXP(Ft!F$38*($A221-Ft!F$2)^2)),Ft!F$3*((1-Ft!F$7)/(1+Ft!F$39*($A221-Ft!F$2)^2)+Ft!F$7*EXP(Ft!F$40*($A221-Ft!F$2)^2)))</f>
        <v>26.500615092535579</v>
      </c>
      <c r="K221" s="3">
        <f>IF(($A221-Ft!G$2)&lt;0,Ft!G$3*((1-Ft!G$6)/(1+Ft!G$37*($A221-Ft!G$2)^2)+Ft!G$6*EXP(Ft!G$38*($A221-Ft!G$2)^2)),Ft!G$3*((1-Ft!G$7)/(1+Ft!G$39*($A221-Ft!G$2)^2)+Ft!G$7*EXP(Ft!G$40*($A221-Ft!G$2)^2)))</f>
        <v>44.870326657385682</v>
      </c>
      <c r="L221" s="3">
        <f>IF(($A221-Ft!H$2)&lt;0,Ft!H$3*((1-Ft!H$6)/(1+Ft!H$37*($A221-Ft!H$2)^2)+Ft!H$6*EXP(Ft!H$38*($A221-Ft!H$2)^2)),Ft!H$3*((1-Ft!H$7)/(1+Ft!H$39*($A221-Ft!H$2)^2)+Ft!H$7*EXP(Ft!H$40*($A221-Ft!H$2)^2)))</f>
        <v>0</v>
      </c>
      <c r="M221" s="3">
        <f>IF(($A221-Ft!I$2)&lt;0,Ft!I$3*((1-Ft!I$6)/(1+Ft!I$37*($A221-Ft!I$2)^2)+Ft!I$6*EXP(Ft!I$38*($A221-Ft!I$2)^2)),Ft!I$3*((1-Ft!I$7)/(1+Ft!I$39*($A221-Ft!I$2)^2)+Ft!I$7*EXP(Ft!I$40*($A221-Ft!I$2)^2)))</f>
        <v>0</v>
      </c>
      <c r="N221" s="3">
        <f>IF(($A221-Ft!J$2)&lt;0,Ft!J$3*((1-Ft!J$6)/(1+Ft!J$37*($A221-Ft!J$2)^2)+Ft!J$6*EXP(Ft!J$38*($A221-Ft!J$2)^2)),Ft!J$3*((1-Ft!J$7)/(1+Ft!J$39*($A221-Ft!J$2)^2)+Ft!J$7*EXP(Ft!J$40*($A221-Ft!J$2)^2)))</f>
        <v>0</v>
      </c>
      <c r="O221" s="3">
        <f>IF(($A221-Ft!K$2)&lt;0,Ft!K$3*((1-Ft!K$6)/(1+Ft!K$37*($A221-Ft!K$2)^2)+Ft!K$6*EXP(Ft!K$38*($A221-Ft!K$2)^2)),Ft!K$3*((1-Ft!K$7)/(1+Ft!K$39*($A221-Ft!K$2)^2)+Ft!K$7*EXP(Ft!K$40*($A221-Ft!K$2)^2)))</f>
        <v>0</v>
      </c>
      <c r="P221"/>
      <c r="Q221"/>
    </row>
    <row r="222" spans="1:17">
      <c r="A222" s="20">
        <v>441</v>
      </c>
      <c r="B222" s="29">
        <v>44.598413541884966</v>
      </c>
      <c r="C222" s="7">
        <f t="shared" si="7"/>
        <v>44.60549687927832</v>
      </c>
      <c r="D222" s="3">
        <f t="shared" si="6"/>
        <v>5.0173668628085233E-5</v>
      </c>
      <c r="E222" s="3">
        <f>Ft!$B$12+Ft!$B$14*(Data!A222-Vars!$B$3)</f>
        <v>-200</v>
      </c>
      <c r="F222" s="3">
        <f>IF(($A222-Ft!B$2)&lt;0,Ft!B$3*((1-Ft!B$6)/(1+Ft!B$37*($A222-Ft!B$2)^2)+Ft!B$6*EXP(Ft!B$38*($A222-Ft!B$2)^2)),Ft!B$3*((1-Ft!B$7)/(1+Ft!B$39*($A222-Ft!B$2)^2)+Ft!B$7*EXP(Ft!B$40*($A222-Ft!B$2)^2)))</f>
        <v>63.399757179721689</v>
      </c>
      <c r="G222" s="3">
        <f>IF(($A222-Ft!C$2)&lt;0,Ft!C$3*((1-Ft!C$6)/(1+Ft!C$37*($A222-Ft!C$2)^2)+Ft!C$6*EXP(Ft!C$38*($A222-Ft!C$2)^2)),Ft!C$3*((1-Ft!C$7)/(1+Ft!C$39*($A222-Ft!C$2)^2)+Ft!C$7*EXP(Ft!C$40*($A222-Ft!C$2)^2)))</f>
        <v>44.486152790328866</v>
      </c>
      <c r="H222" s="3">
        <f>IF(($A222-Ft!D$2)&lt;0,Ft!D$3*((1-Ft!D$6)/(1+Ft!D$37*($A222-Ft!D$2)^2)+Ft!D$6*EXP(Ft!D$38*($A222-Ft!D$2)^2)),Ft!D$3*((1-Ft!D$7)/(1+Ft!D$39*($A222-Ft!D$2)^2)+Ft!D$7*EXP(Ft!D$40*($A222-Ft!D$2)^2)))</f>
        <v>1.7782584755331687</v>
      </c>
      <c r="I222" s="3">
        <f>IF(($A222-Ft!E$2)&lt;0,Ft!E$3*((1-Ft!E$6)/(1+Ft!E$37*($A222-Ft!E$2)^2)+Ft!E$6*EXP(Ft!E$38*($A222-Ft!E$2)^2)),Ft!E$3*((1-Ft!E$7)/(1+Ft!E$39*($A222-Ft!E$2)^2)+Ft!E$7*EXP(Ft!E$40*($A222-Ft!E$2)^2)))</f>
        <v>63.586392701499705</v>
      </c>
      <c r="J222" s="3">
        <f>IF(($A222-Ft!F$2)&lt;0,Ft!F$3*((1-Ft!F$6)/(1+Ft!F$37*($A222-Ft!F$2)^2)+Ft!F$6*EXP(Ft!F$38*($A222-Ft!F$2)^2)),Ft!F$3*((1-Ft!F$7)/(1+Ft!F$39*($A222-Ft!F$2)^2)+Ft!F$7*EXP(Ft!F$40*($A222-Ft!F$2)^2)))</f>
        <v>26.680621130054465</v>
      </c>
      <c r="K222" s="3">
        <f>IF(($A222-Ft!G$2)&lt;0,Ft!G$3*((1-Ft!G$6)/(1+Ft!G$37*($A222-Ft!G$2)^2)+Ft!G$6*EXP(Ft!G$38*($A222-Ft!G$2)^2)),Ft!G$3*((1-Ft!G$7)/(1+Ft!G$39*($A222-Ft!G$2)^2)+Ft!G$7*EXP(Ft!G$40*($A222-Ft!G$2)^2)))</f>
        <v>44.674314602140427</v>
      </c>
      <c r="L222" s="3">
        <f>IF(($A222-Ft!H$2)&lt;0,Ft!H$3*((1-Ft!H$6)/(1+Ft!H$37*($A222-Ft!H$2)^2)+Ft!H$6*EXP(Ft!H$38*($A222-Ft!H$2)^2)),Ft!H$3*((1-Ft!H$7)/(1+Ft!H$39*($A222-Ft!H$2)^2)+Ft!H$7*EXP(Ft!H$40*($A222-Ft!H$2)^2)))</f>
        <v>0</v>
      </c>
      <c r="M222" s="3">
        <f>IF(($A222-Ft!I$2)&lt;0,Ft!I$3*((1-Ft!I$6)/(1+Ft!I$37*($A222-Ft!I$2)^2)+Ft!I$6*EXP(Ft!I$38*($A222-Ft!I$2)^2)),Ft!I$3*((1-Ft!I$7)/(1+Ft!I$39*($A222-Ft!I$2)^2)+Ft!I$7*EXP(Ft!I$40*($A222-Ft!I$2)^2)))</f>
        <v>0</v>
      </c>
      <c r="N222" s="3">
        <f>IF(($A222-Ft!J$2)&lt;0,Ft!J$3*((1-Ft!J$6)/(1+Ft!J$37*($A222-Ft!J$2)^2)+Ft!J$6*EXP(Ft!J$38*($A222-Ft!J$2)^2)),Ft!J$3*((1-Ft!J$7)/(1+Ft!J$39*($A222-Ft!J$2)^2)+Ft!J$7*EXP(Ft!J$40*($A222-Ft!J$2)^2)))</f>
        <v>0</v>
      </c>
      <c r="O222" s="3">
        <f>IF(($A222-Ft!K$2)&lt;0,Ft!K$3*((1-Ft!K$6)/(1+Ft!K$37*($A222-Ft!K$2)^2)+Ft!K$6*EXP(Ft!K$38*($A222-Ft!K$2)^2)),Ft!K$3*((1-Ft!K$7)/(1+Ft!K$39*($A222-Ft!K$2)^2)+Ft!K$7*EXP(Ft!K$40*($A222-Ft!K$2)^2)))</f>
        <v>0</v>
      </c>
      <c r="P222"/>
      <c r="Q222"/>
    </row>
    <row r="223" spans="1:17">
      <c r="A223" s="20">
        <v>443</v>
      </c>
      <c r="B223" s="29">
        <v>44.758755306208059</v>
      </c>
      <c r="C223" s="7">
        <f t="shared" si="7"/>
        <v>44.755254940607756</v>
      </c>
      <c r="D223" s="3">
        <f t="shared" si="6"/>
        <v>1.2252559335782883E-5</v>
      </c>
      <c r="E223" s="3">
        <f>Ft!$B$12+Ft!$B$14*(Data!A223-Vars!$B$3)</f>
        <v>-200</v>
      </c>
      <c r="F223" s="3">
        <f>IF(($A223-Ft!B$2)&lt;0,Ft!B$3*((1-Ft!B$6)/(1+Ft!B$37*($A223-Ft!B$2)^2)+Ft!B$6*EXP(Ft!B$38*($A223-Ft!B$2)^2)),Ft!B$3*((1-Ft!B$7)/(1+Ft!B$39*($A223-Ft!B$2)^2)+Ft!B$7*EXP(Ft!B$40*($A223-Ft!B$2)^2)))</f>
        <v>62.999405509860402</v>
      </c>
      <c r="G223" s="3">
        <f>IF(($A223-Ft!C$2)&lt;0,Ft!C$3*((1-Ft!C$6)/(1+Ft!C$37*($A223-Ft!C$2)^2)+Ft!C$6*EXP(Ft!C$38*($A223-Ft!C$2)^2)),Ft!C$3*((1-Ft!C$7)/(1+Ft!C$39*($A223-Ft!C$2)^2)+Ft!C$7*EXP(Ft!C$40*($A223-Ft!C$2)^2)))</f>
        <v>44.576682000853019</v>
      </c>
      <c r="H223" s="3">
        <f>IF(($A223-Ft!D$2)&lt;0,Ft!D$3*((1-Ft!D$6)/(1+Ft!D$37*($A223-Ft!D$2)^2)+Ft!D$6*EXP(Ft!D$38*($A223-Ft!D$2)^2)),Ft!D$3*((1-Ft!D$7)/(1+Ft!D$39*($A223-Ft!D$2)^2)+Ft!D$7*EXP(Ft!D$40*($A223-Ft!D$2)^2)))</f>
        <v>1.7424663296833991</v>
      </c>
      <c r="I223" s="3">
        <f>IF(($A223-Ft!E$2)&lt;0,Ft!E$3*((1-Ft!E$6)/(1+Ft!E$37*($A223-Ft!E$2)^2)+Ft!E$6*EXP(Ft!E$38*($A223-Ft!E$2)^2)),Ft!E$3*((1-Ft!E$7)/(1+Ft!E$39*($A223-Ft!E$2)^2)+Ft!E$7*EXP(Ft!E$40*($A223-Ft!E$2)^2)))</f>
        <v>64.100662846364017</v>
      </c>
      <c r="J223" s="3">
        <f>IF(($A223-Ft!F$2)&lt;0,Ft!F$3*((1-Ft!F$6)/(1+Ft!F$37*($A223-Ft!F$2)^2)+Ft!F$6*EXP(Ft!F$38*($A223-Ft!F$2)^2)),Ft!F$3*((1-Ft!F$7)/(1+Ft!F$39*($A223-Ft!F$2)^2)+Ft!F$7*EXP(Ft!F$40*($A223-Ft!F$2)^2)))</f>
        <v>26.861496082965481</v>
      </c>
      <c r="K223" s="3">
        <f>IF(($A223-Ft!G$2)&lt;0,Ft!G$3*((1-Ft!G$6)/(1+Ft!G$37*($A223-Ft!G$2)^2)+Ft!G$6*EXP(Ft!G$38*($A223-Ft!G$2)^2)),Ft!G$3*((1-Ft!G$7)/(1+Ft!G$39*($A223-Ft!G$2)^2)+Ft!G$7*EXP(Ft!G$40*($A223-Ft!G$2)^2)))</f>
        <v>44.474542170881442</v>
      </c>
      <c r="L223" s="3">
        <f>IF(($A223-Ft!H$2)&lt;0,Ft!H$3*((1-Ft!H$6)/(1+Ft!H$37*($A223-Ft!H$2)^2)+Ft!H$6*EXP(Ft!H$38*($A223-Ft!H$2)^2)),Ft!H$3*((1-Ft!H$7)/(1+Ft!H$39*($A223-Ft!H$2)^2)+Ft!H$7*EXP(Ft!H$40*($A223-Ft!H$2)^2)))</f>
        <v>0</v>
      </c>
      <c r="M223" s="3">
        <f>IF(($A223-Ft!I$2)&lt;0,Ft!I$3*((1-Ft!I$6)/(1+Ft!I$37*($A223-Ft!I$2)^2)+Ft!I$6*EXP(Ft!I$38*($A223-Ft!I$2)^2)),Ft!I$3*((1-Ft!I$7)/(1+Ft!I$39*($A223-Ft!I$2)^2)+Ft!I$7*EXP(Ft!I$40*($A223-Ft!I$2)^2)))</f>
        <v>0</v>
      </c>
      <c r="N223" s="3">
        <f>IF(($A223-Ft!J$2)&lt;0,Ft!J$3*((1-Ft!J$6)/(1+Ft!J$37*($A223-Ft!J$2)^2)+Ft!J$6*EXP(Ft!J$38*($A223-Ft!J$2)^2)),Ft!J$3*((1-Ft!J$7)/(1+Ft!J$39*($A223-Ft!J$2)^2)+Ft!J$7*EXP(Ft!J$40*($A223-Ft!J$2)^2)))</f>
        <v>0</v>
      </c>
      <c r="O223" s="3">
        <f>IF(($A223-Ft!K$2)&lt;0,Ft!K$3*((1-Ft!K$6)/(1+Ft!K$37*($A223-Ft!K$2)^2)+Ft!K$6*EXP(Ft!K$38*($A223-Ft!K$2)^2)),Ft!K$3*((1-Ft!K$7)/(1+Ft!K$39*($A223-Ft!K$2)^2)+Ft!K$7*EXP(Ft!K$40*($A223-Ft!K$2)^2)))</f>
        <v>0</v>
      </c>
      <c r="P223"/>
      <c r="Q223"/>
    </row>
    <row r="224" spans="1:17">
      <c r="A224" s="20">
        <v>445</v>
      </c>
      <c r="B224" s="29">
        <v>44.909693602898273</v>
      </c>
      <c r="C224" s="7">
        <f t="shared" si="7"/>
        <v>44.895043349771299</v>
      </c>
      <c r="D224" s="3">
        <f t="shared" si="6"/>
        <v>2.1462991668438837E-4</v>
      </c>
      <c r="E224" s="3">
        <f>Ft!$B$12+Ft!$B$14*(Data!A224-Vars!$B$3)</f>
        <v>-200</v>
      </c>
      <c r="F224" s="3">
        <f>IF(($A224-Ft!B$2)&lt;0,Ft!B$3*((1-Ft!B$6)/(1+Ft!B$37*($A224-Ft!B$2)^2)+Ft!B$6*EXP(Ft!B$38*($A224-Ft!B$2)^2)),Ft!B$3*((1-Ft!B$7)/(1+Ft!B$39*($A224-Ft!B$2)^2)+Ft!B$7*EXP(Ft!B$40*($A224-Ft!B$2)^2)))</f>
        <v>62.600387099413467</v>
      </c>
      <c r="G224" s="3">
        <f>IF(($A224-Ft!C$2)&lt;0,Ft!C$3*((1-Ft!C$6)/(1+Ft!C$37*($A224-Ft!C$2)^2)+Ft!C$6*EXP(Ft!C$38*($A224-Ft!C$2)^2)),Ft!C$3*((1-Ft!C$7)/(1+Ft!C$39*($A224-Ft!C$2)^2)+Ft!C$7*EXP(Ft!C$40*($A224-Ft!C$2)^2)))</f>
        <v>44.667000768854216</v>
      </c>
      <c r="H224" s="3">
        <f>IF(($A224-Ft!D$2)&lt;0,Ft!D$3*((1-Ft!D$6)/(1+Ft!D$37*($A224-Ft!D$2)^2)+Ft!D$6*EXP(Ft!D$38*($A224-Ft!D$2)^2)),Ft!D$3*((1-Ft!D$7)/(1+Ft!D$39*($A224-Ft!D$2)^2)+Ft!D$7*EXP(Ft!D$40*($A224-Ft!D$2)^2)))</f>
        <v>1.6980011866380715</v>
      </c>
      <c r="I224" s="3">
        <f>IF(($A224-Ft!E$2)&lt;0,Ft!E$3*((1-Ft!E$6)/(1+Ft!E$37*($A224-Ft!E$2)^2)+Ft!E$6*EXP(Ft!E$38*($A224-Ft!E$2)^2)),Ft!E$3*((1-Ft!E$7)/(1+Ft!E$39*($A224-Ft!E$2)^2)+Ft!E$7*EXP(Ft!E$40*($A224-Ft!E$2)^2)))</f>
        <v>64.615345677088797</v>
      </c>
      <c r="J224" s="3">
        <f>IF(($A224-Ft!F$2)&lt;0,Ft!F$3*((1-Ft!F$6)/(1+Ft!F$37*($A224-Ft!F$2)^2)+Ft!F$6*EXP(Ft!F$38*($A224-Ft!F$2)^2)),Ft!F$3*((1-Ft!F$7)/(1+Ft!F$39*($A224-Ft!F$2)^2)+Ft!F$7*EXP(Ft!F$40*($A224-Ft!F$2)^2)))</f>
        <v>27.043241061355182</v>
      </c>
      <c r="K224" s="3">
        <f>IF(($A224-Ft!G$2)&lt;0,Ft!G$3*((1-Ft!G$6)/(1+Ft!G$37*($A224-Ft!G$2)^2)+Ft!G$6*EXP(Ft!G$38*($A224-Ft!G$2)^2)),Ft!G$3*((1-Ft!G$7)/(1+Ft!G$39*($A224-Ft!G$2)^2)+Ft!G$7*EXP(Ft!G$40*($A224-Ft!G$2)^2)))</f>
        <v>44.271067556421563</v>
      </c>
      <c r="L224" s="3">
        <f>IF(($A224-Ft!H$2)&lt;0,Ft!H$3*((1-Ft!H$6)/(1+Ft!H$37*($A224-Ft!H$2)^2)+Ft!H$6*EXP(Ft!H$38*($A224-Ft!H$2)^2)),Ft!H$3*((1-Ft!H$7)/(1+Ft!H$39*($A224-Ft!H$2)^2)+Ft!H$7*EXP(Ft!H$40*($A224-Ft!H$2)^2)))</f>
        <v>0</v>
      </c>
      <c r="M224" s="3">
        <f>IF(($A224-Ft!I$2)&lt;0,Ft!I$3*((1-Ft!I$6)/(1+Ft!I$37*($A224-Ft!I$2)^2)+Ft!I$6*EXP(Ft!I$38*($A224-Ft!I$2)^2)),Ft!I$3*((1-Ft!I$7)/(1+Ft!I$39*($A224-Ft!I$2)^2)+Ft!I$7*EXP(Ft!I$40*($A224-Ft!I$2)^2)))</f>
        <v>0</v>
      </c>
      <c r="N224" s="3">
        <f>IF(($A224-Ft!J$2)&lt;0,Ft!J$3*((1-Ft!J$6)/(1+Ft!J$37*($A224-Ft!J$2)^2)+Ft!J$6*EXP(Ft!J$38*($A224-Ft!J$2)^2)),Ft!J$3*((1-Ft!J$7)/(1+Ft!J$39*($A224-Ft!J$2)^2)+Ft!J$7*EXP(Ft!J$40*($A224-Ft!J$2)^2)))</f>
        <v>0</v>
      </c>
      <c r="O224" s="3">
        <f>IF(($A224-Ft!K$2)&lt;0,Ft!K$3*((1-Ft!K$6)/(1+Ft!K$37*($A224-Ft!K$2)^2)+Ft!K$6*EXP(Ft!K$38*($A224-Ft!K$2)^2)),Ft!K$3*((1-Ft!K$7)/(1+Ft!K$39*($A224-Ft!K$2)^2)+Ft!K$7*EXP(Ft!K$40*($A224-Ft!K$2)^2)))</f>
        <v>0</v>
      </c>
      <c r="P224"/>
      <c r="Q224"/>
    </row>
    <row r="225" spans="1:17">
      <c r="A225" s="20">
        <v>447</v>
      </c>
      <c r="B225" s="29">
        <v>45.051593633590556</v>
      </c>
      <c r="C225" s="7">
        <f t="shared" si="7"/>
        <v>45.025574714881458</v>
      </c>
      <c r="D225" s="3">
        <f t="shared" si="6"/>
        <v>6.7698413079068486E-4</v>
      </c>
      <c r="E225" s="3">
        <f>Ft!$B$12+Ft!$B$14*(Data!A225-Vars!$B$3)</f>
        <v>-200</v>
      </c>
      <c r="F225" s="3">
        <f>IF(($A225-Ft!B$2)&lt;0,Ft!B$3*((1-Ft!B$6)/(1+Ft!B$37*($A225-Ft!B$2)^2)+Ft!B$6*EXP(Ft!B$38*($A225-Ft!B$2)^2)),Ft!B$3*((1-Ft!B$7)/(1+Ft!B$39*($A225-Ft!B$2)^2)+Ft!B$7*EXP(Ft!B$40*($A225-Ft!B$2)^2)))</f>
        <v>62.202708687478207</v>
      </c>
      <c r="G225" s="3">
        <f>IF(($A225-Ft!C$2)&lt;0,Ft!C$3*((1-Ft!C$6)/(1+Ft!C$37*($A225-Ft!C$2)^2)+Ft!C$6*EXP(Ft!C$38*($A225-Ft!C$2)^2)),Ft!C$3*((1-Ft!C$7)/(1+Ft!C$39*($A225-Ft!C$2)^2)+Ft!C$7*EXP(Ft!C$40*($A225-Ft!C$2)^2)))</f>
        <v>44.757107070263409</v>
      </c>
      <c r="H225" s="3">
        <f>IF(($A225-Ft!D$2)&lt;0,Ft!D$3*((1-Ft!D$6)/(1+Ft!D$37*($A225-Ft!D$2)^2)+Ft!D$6*EXP(Ft!D$38*($A225-Ft!D$2)^2)),Ft!D$3*((1-Ft!D$7)/(1+Ft!D$39*($A225-Ft!D$2)^2)+Ft!D$7*EXP(Ft!D$40*($A225-Ft!D$2)^2)))</f>
        <v>1.6455673849738979</v>
      </c>
      <c r="I225" s="3">
        <f>IF(($A225-Ft!E$2)&lt;0,Ft!E$3*((1-Ft!E$6)/(1+Ft!E$37*($A225-Ft!E$2)^2)+Ft!E$6*EXP(Ft!E$38*($A225-Ft!E$2)^2)),Ft!E$3*((1-Ft!E$7)/(1+Ft!E$39*($A225-Ft!E$2)^2)+Ft!E$7*EXP(Ft!E$40*($A225-Ft!E$2)^2)))</f>
        <v>65.130384585313323</v>
      </c>
      <c r="J225" s="3">
        <f>IF(($A225-Ft!F$2)&lt;0,Ft!F$3*((1-Ft!F$6)/(1+Ft!F$37*($A225-Ft!F$2)^2)+Ft!F$6*EXP(Ft!F$38*($A225-Ft!F$2)^2)),Ft!F$3*((1-Ft!F$7)/(1+Ft!F$39*($A225-Ft!F$2)^2)+Ft!F$7*EXP(Ft!F$40*($A225-Ft!F$2)^2)))</f>
        <v>27.225857148336527</v>
      </c>
      <c r="K225" s="3">
        <f>IF(($A225-Ft!G$2)&lt;0,Ft!G$3*((1-Ft!G$6)/(1+Ft!G$37*($A225-Ft!G$2)^2)+Ft!G$6*EXP(Ft!G$38*($A225-Ft!G$2)^2)),Ft!G$3*((1-Ft!G$7)/(1+Ft!G$39*($A225-Ft!G$2)^2)+Ft!G$7*EXP(Ft!G$40*($A225-Ft!G$2)^2)))</f>
        <v>44.063949838516095</v>
      </c>
      <c r="L225" s="3">
        <f>IF(($A225-Ft!H$2)&lt;0,Ft!H$3*((1-Ft!H$6)/(1+Ft!H$37*($A225-Ft!H$2)^2)+Ft!H$6*EXP(Ft!H$38*($A225-Ft!H$2)^2)),Ft!H$3*((1-Ft!H$7)/(1+Ft!H$39*($A225-Ft!H$2)^2)+Ft!H$7*EXP(Ft!H$40*($A225-Ft!H$2)^2)))</f>
        <v>0</v>
      </c>
      <c r="M225" s="3">
        <f>IF(($A225-Ft!I$2)&lt;0,Ft!I$3*((1-Ft!I$6)/(1+Ft!I$37*($A225-Ft!I$2)^2)+Ft!I$6*EXP(Ft!I$38*($A225-Ft!I$2)^2)),Ft!I$3*((1-Ft!I$7)/(1+Ft!I$39*($A225-Ft!I$2)^2)+Ft!I$7*EXP(Ft!I$40*($A225-Ft!I$2)^2)))</f>
        <v>0</v>
      </c>
      <c r="N225" s="3">
        <f>IF(($A225-Ft!J$2)&lt;0,Ft!J$3*((1-Ft!J$6)/(1+Ft!J$37*($A225-Ft!J$2)^2)+Ft!J$6*EXP(Ft!J$38*($A225-Ft!J$2)^2)),Ft!J$3*((1-Ft!J$7)/(1+Ft!J$39*($A225-Ft!J$2)^2)+Ft!J$7*EXP(Ft!J$40*($A225-Ft!J$2)^2)))</f>
        <v>0</v>
      </c>
      <c r="O225" s="3">
        <f>IF(($A225-Ft!K$2)&lt;0,Ft!K$3*((1-Ft!K$6)/(1+Ft!K$37*($A225-Ft!K$2)^2)+Ft!K$6*EXP(Ft!K$38*($A225-Ft!K$2)^2)),Ft!K$3*((1-Ft!K$7)/(1+Ft!K$39*($A225-Ft!K$2)^2)+Ft!K$7*EXP(Ft!K$40*($A225-Ft!K$2)^2)))</f>
        <v>0</v>
      </c>
      <c r="P225"/>
      <c r="Q225"/>
    </row>
    <row r="226" spans="1:17">
      <c r="A226" s="20">
        <v>449</v>
      </c>
      <c r="B226" s="29">
        <v>45.184904818952802</v>
      </c>
      <c r="C226" s="7">
        <f t="shared" si="7"/>
        <v>45.147671606023202</v>
      </c>
      <c r="D226" s="3">
        <f t="shared" si="6"/>
        <v>1.3863121450609179E-3</v>
      </c>
      <c r="E226" s="3">
        <f>Ft!$B$12+Ft!$B$14*(Data!A226-Vars!$B$3)</f>
        <v>-200</v>
      </c>
      <c r="F226" s="3">
        <f>IF(($A226-Ft!B$2)&lt;0,Ft!B$3*((1-Ft!B$6)/(1+Ft!B$37*($A226-Ft!B$2)^2)+Ft!B$6*EXP(Ft!B$38*($A226-Ft!B$2)^2)),Ft!B$3*((1-Ft!B$7)/(1+Ft!B$39*($A226-Ft!B$2)^2)+Ft!B$7*EXP(Ft!B$40*($A226-Ft!B$2)^2)))</f>
        <v>61.80637689392077</v>
      </c>
      <c r="G226" s="3">
        <f>IF(($A226-Ft!C$2)&lt;0,Ft!C$3*((1-Ft!C$6)/(1+Ft!C$37*($A226-Ft!C$2)^2)+Ft!C$6*EXP(Ft!C$38*($A226-Ft!C$2)^2)),Ft!C$3*((1-Ft!C$7)/(1+Ft!C$39*($A226-Ft!C$2)^2)+Ft!C$7*EXP(Ft!C$40*($A226-Ft!C$2)^2)))</f>
        <v>44.846998882557081</v>
      </c>
      <c r="H226" s="3">
        <f>IF(($A226-Ft!D$2)&lt;0,Ft!D$3*((1-Ft!D$6)/(1+Ft!D$37*($A226-Ft!D$2)^2)+Ft!D$6*EXP(Ft!D$38*($A226-Ft!D$2)^2)),Ft!D$3*((1-Ft!D$7)/(1+Ft!D$39*($A226-Ft!D$2)^2)+Ft!D$7*EXP(Ft!D$40*($A226-Ft!D$2)^2)))</f>
        <v>1.5859790267729932</v>
      </c>
      <c r="I226" s="3">
        <f>IF(($A226-Ft!E$2)&lt;0,Ft!E$3*((1-Ft!E$6)/(1+Ft!E$37*($A226-Ft!E$2)^2)+Ft!E$6*EXP(Ft!E$38*($A226-Ft!E$2)^2)),Ft!E$3*((1-Ft!E$7)/(1+Ft!E$39*($A226-Ft!E$2)^2)+Ft!E$7*EXP(Ft!E$40*($A226-Ft!E$2)^2)))</f>
        <v>65.645722447629808</v>
      </c>
      <c r="J226" s="3">
        <f>IF(($A226-Ft!F$2)&lt;0,Ft!F$3*((1-Ft!F$6)/(1+Ft!F$37*($A226-Ft!F$2)^2)+Ft!F$6*EXP(Ft!F$38*($A226-Ft!F$2)^2)),Ft!F$3*((1-Ft!F$7)/(1+Ft!F$39*($A226-Ft!F$2)^2)+Ft!F$7*EXP(Ft!F$40*($A226-Ft!F$2)^2)))</f>
        <v>27.409345399809048</v>
      </c>
      <c r="K226" s="3">
        <f>IF(($A226-Ft!G$2)&lt;0,Ft!G$3*((1-Ft!G$6)/(1+Ft!G$37*($A226-Ft!G$2)^2)+Ft!G$6*EXP(Ft!G$38*($A226-Ft!G$2)^2)),Ft!G$3*((1-Ft!G$7)/(1+Ft!G$39*($A226-Ft!G$2)^2)+Ft!G$7*EXP(Ft!G$40*($A226-Ft!G$2)^2)))</f>
        <v>43.853248955333513</v>
      </c>
      <c r="L226" s="3">
        <f>IF(($A226-Ft!H$2)&lt;0,Ft!H$3*((1-Ft!H$6)/(1+Ft!H$37*($A226-Ft!H$2)^2)+Ft!H$6*EXP(Ft!H$38*($A226-Ft!H$2)^2)),Ft!H$3*((1-Ft!H$7)/(1+Ft!H$39*($A226-Ft!H$2)^2)+Ft!H$7*EXP(Ft!H$40*($A226-Ft!H$2)^2)))</f>
        <v>0</v>
      </c>
      <c r="M226" s="3">
        <f>IF(($A226-Ft!I$2)&lt;0,Ft!I$3*((1-Ft!I$6)/(1+Ft!I$37*($A226-Ft!I$2)^2)+Ft!I$6*EXP(Ft!I$38*($A226-Ft!I$2)^2)),Ft!I$3*((1-Ft!I$7)/(1+Ft!I$39*($A226-Ft!I$2)^2)+Ft!I$7*EXP(Ft!I$40*($A226-Ft!I$2)^2)))</f>
        <v>0</v>
      </c>
      <c r="N226" s="3">
        <f>IF(($A226-Ft!J$2)&lt;0,Ft!J$3*((1-Ft!J$6)/(1+Ft!J$37*($A226-Ft!J$2)^2)+Ft!J$6*EXP(Ft!J$38*($A226-Ft!J$2)^2)),Ft!J$3*((1-Ft!J$7)/(1+Ft!J$39*($A226-Ft!J$2)^2)+Ft!J$7*EXP(Ft!J$40*($A226-Ft!J$2)^2)))</f>
        <v>0</v>
      </c>
      <c r="O226" s="3">
        <f>IF(($A226-Ft!K$2)&lt;0,Ft!K$3*((1-Ft!K$6)/(1+Ft!K$37*($A226-Ft!K$2)^2)+Ft!K$6*EXP(Ft!K$38*($A226-Ft!K$2)^2)),Ft!K$3*((1-Ft!K$7)/(1+Ft!K$39*($A226-Ft!K$2)^2)+Ft!K$7*EXP(Ft!K$40*($A226-Ft!K$2)^2)))</f>
        <v>0</v>
      </c>
      <c r="P226"/>
      <c r="Q226"/>
    </row>
    <row r="227" spans="1:17">
      <c r="A227" s="20">
        <v>451</v>
      </c>
      <c r="B227" s="29">
        <v>45.310152681132251</v>
      </c>
      <c r="C227" s="7">
        <f t="shared" si="7"/>
        <v>45.262245538701741</v>
      </c>
      <c r="D227" s="3">
        <f t="shared" si="6"/>
        <v>2.2950942958572117E-3</v>
      </c>
      <c r="E227" s="3">
        <f>Ft!$B$12+Ft!$B$14*(Data!A227-Vars!$B$3)</f>
        <v>-200</v>
      </c>
      <c r="F227" s="3">
        <f>IF(($A227-Ft!B$2)&lt;0,Ft!B$3*((1-Ft!B$6)/(1+Ft!B$37*($A227-Ft!B$2)^2)+Ft!B$6*EXP(Ft!B$38*($A227-Ft!B$2)^2)),Ft!B$3*((1-Ft!B$7)/(1+Ft!B$39*($A227-Ft!B$2)^2)+Ft!B$7*EXP(Ft!B$40*($A227-Ft!B$2)^2)))</f>
        <v>61.411398219629717</v>
      </c>
      <c r="G227" s="3">
        <f>IF(($A227-Ft!C$2)&lt;0,Ft!C$3*((1-Ft!C$6)/(1+Ft!C$37*($A227-Ft!C$2)^2)+Ft!C$6*EXP(Ft!C$38*($A227-Ft!C$2)^2)),Ft!C$3*((1-Ft!C$7)/(1+Ft!C$39*($A227-Ft!C$2)^2)+Ft!C$7*EXP(Ft!C$40*($A227-Ft!C$2)^2)))</f>
        <v>44.936674184831858</v>
      </c>
      <c r="H227" s="3">
        <f>IF(($A227-Ft!D$2)&lt;0,Ft!D$3*((1-Ft!D$6)/(1+Ft!D$37*($A227-Ft!D$2)^2)+Ft!D$6*EXP(Ft!D$38*($A227-Ft!D$2)^2)),Ft!D$3*((1-Ft!D$7)/(1+Ft!D$39*($A227-Ft!D$2)^2)+Ft!D$7*EXP(Ft!D$40*($A227-Ft!D$2)^2)))</f>
        <v>1.520138980628396</v>
      </c>
      <c r="I227" s="3">
        <f>IF(($A227-Ft!E$2)&lt;0,Ft!E$3*((1-Ft!E$6)/(1+Ft!E$37*($A227-Ft!E$2)^2)+Ft!E$6*EXP(Ft!E$38*($A227-Ft!E$2)^2)),Ft!E$3*((1-Ft!E$7)/(1+Ft!E$39*($A227-Ft!E$2)^2)+Ft!E$7*EXP(Ft!E$40*($A227-Ft!E$2)^2)))</f>
        <v>66.161301634778695</v>
      </c>
      <c r="J227" s="3">
        <f>IF(($A227-Ft!F$2)&lt;0,Ft!F$3*((1-Ft!F$6)/(1+Ft!F$37*($A227-Ft!F$2)^2)+Ft!F$6*EXP(Ft!F$38*($A227-Ft!F$2)^2)),Ft!F$3*((1-Ft!F$7)/(1+Ft!F$39*($A227-Ft!F$2)^2)+Ft!F$7*EXP(Ft!F$40*($A227-Ft!F$2)^2)))</f>
        <v>27.59370684421927</v>
      </c>
      <c r="K227" s="3">
        <f>IF(($A227-Ft!G$2)&lt;0,Ft!G$3*((1-Ft!G$6)/(1+Ft!G$37*($A227-Ft!G$2)^2)+Ft!G$6*EXP(Ft!G$38*($A227-Ft!G$2)^2)),Ft!G$3*((1-Ft!G$7)/(1+Ft!G$39*($A227-Ft!G$2)^2)+Ft!G$7*EXP(Ft!G$40*($A227-Ft!G$2)^2)))</f>
        <v>43.639025674613798</v>
      </c>
      <c r="L227" s="3">
        <f>IF(($A227-Ft!H$2)&lt;0,Ft!H$3*((1-Ft!H$6)/(1+Ft!H$37*($A227-Ft!H$2)^2)+Ft!H$6*EXP(Ft!H$38*($A227-Ft!H$2)^2)),Ft!H$3*((1-Ft!H$7)/(1+Ft!H$39*($A227-Ft!H$2)^2)+Ft!H$7*EXP(Ft!H$40*($A227-Ft!H$2)^2)))</f>
        <v>0</v>
      </c>
      <c r="M227" s="3">
        <f>IF(($A227-Ft!I$2)&lt;0,Ft!I$3*((1-Ft!I$6)/(1+Ft!I$37*($A227-Ft!I$2)^2)+Ft!I$6*EXP(Ft!I$38*($A227-Ft!I$2)^2)),Ft!I$3*((1-Ft!I$7)/(1+Ft!I$39*($A227-Ft!I$2)^2)+Ft!I$7*EXP(Ft!I$40*($A227-Ft!I$2)^2)))</f>
        <v>0</v>
      </c>
      <c r="N227" s="3">
        <f>IF(($A227-Ft!J$2)&lt;0,Ft!J$3*((1-Ft!J$6)/(1+Ft!J$37*($A227-Ft!J$2)^2)+Ft!J$6*EXP(Ft!J$38*($A227-Ft!J$2)^2)),Ft!J$3*((1-Ft!J$7)/(1+Ft!J$39*($A227-Ft!J$2)^2)+Ft!J$7*EXP(Ft!J$40*($A227-Ft!J$2)^2)))</f>
        <v>0</v>
      </c>
      <c r="O227" s="3">
        <f>IF(($A227-Ft!K$2)&lt;0,Ft!K$3*((1-Ft!K$6)/(1+Ft!K$37*($A227-Ft!K$2)^2)+Ft!K$6*EXP(Ft!K$38*($A227-Ft!K$2)^2)),Ft!K$3*((1-Ft!K$7)/(1+Ft!K$39*($A227-Ft!K$2)^2)+Ft!K$7*EXP(Ft!K$40*($A227-Ft!K$2)^2)))</f>
        <v>0</v>
      </c>
      <c r="P227"/>
      <c r="Q227"/>
    </row>
    <row r="228" spans="1:17">
      <c r="A228" s="20">
        <v>453</v>
      </c>
      <c r="B228" s="29">
        <v>45.427929634397486</v>
      </c>
      <c r="C228" s="7">
        <f t="shared" si="7"/>
        <v>45.370274264878546</v>
      </c>
      <c r="D228" s="3">
        <f t="shared" si="6"/>
        <v>3.3241416343655558E-3</v>
      </c>
      <c r="E228" s="3">
        <f>Ft!$B$12+Ft!$B$14*(Data!A228-Vars!$B$3)</f>
        <v>-200</v>
      </c>
      <c r="F228" s="3">
        <f>IF(($A228-Ft!B$2)&lt;0,Ft!B$3*((1-Ft!B$6)/(1+Ft!B$37*($A228-Ft!B$2)^2)+Ft!B$6*EXP(Ft!B$38*($A228-Ft!B$2)^2)),Ft!B$3*((1-Ft!B$7)/(1+Ft!B$39*($A228-Ft!B$2)^2)+Ft!B$7*EXP(Ft!B$40*($A228-Ft!B$2)^2)))</f>
        <v>61.017779046779438</v>
      </c>
      <c r="G228" s="3">
        <f>IF(($A228-Ft!C$2)&lt;0,Ft!C$3*((1-Ft!C$6)/(1+Ft!C$37*($A228-Ft!C$2)^2)+Ft!C$6*EXP(Ft!C$38*($A228-Ft!C$2)^2)),Ft!C$3*((1-Ft!C$7)/(1+Ft!C$39*($A228-Ft!C$2)^2)+Ft!C$7*EXP(Ft!C$40*($A228-Ft!C$2)^2)))</f>
        <v>45.026130957879289</v>
      </c>
      <c r="H228" s="3">
        <f>IF(($A228-Ft!D$2)&lt;0,Ft!D$3*((1-Ft!D$6)/(1+Ft!D$37*($A228-Ft!D$2)^2)+Ft!D$6*EXP(Ft!D$38*($A228-Ft!D$2)^2)),Ft!D$3*((1-Ft!D$7)/(1+Ft!D$39*($A228-Ft!D$2)^2)+Ft!D$7*EXP(Ft!D$40*($A228-Ft!D$2)^2)))</f>
        <v>1.4490161923005629</v>
      </c>
      <c r="I228" s="3">
        <f>IF(($A228-Ft!E$2)&lt;0,Ft!E$3*((1-Ft!E$6)/(1+Ft!E$37*($A228-Ft!E$2)^2)+Ft!E$6*EXP(Ft!E$38*($A228-Ft!E$2)^2)),Ft!E$3*((1-Ft!E$7)/(1+Ft!E$39*($A228-Ft!E$2)^2)+Ft!E$7*EXP(Ft!E$40*($A228-Ft!E$2)^2)))</f>
        <v>66.677064021064155</v>
      </c>
      <c r="J228" s="3">
        <f>IF(($A228-Ft!F$2)&lt;0,Ft!F$3*((1-Ft!F$6)/(1+Ft!F$37*($A228-Ft!F$2)^2)+Ft!F$6*EXP(Ft!F$38*($A228-Ft!F$2)^2)),Ft!F$3*((1-Ft!F$7)/(1+Ft!F$39*($A228-Ft!F$2)^2)+Ft!F$7*EXP(Ft!F$40*($A228-Ft!F$2)^2)))</f>
        <v>27.77894248232138</v>
      </c>
      <c r="K228" s="3">
        <f>IF(($A228-Ft!G$2)&lt;0,Ft!G$3*((1-Ft!G$6)/(1+Ft!G$37*($A228-Ft!G$2)^2)+Ft!G$6*EXP(Ft!G$38*($A228-Ft!G$2)^2)),Ft!G$3*((1-Ft!G$7)/(1+Ft!G$39*($A228-Ft!G$2)^2)+Ft!G$7*EXP(Ft!G$40*($A228-Ft!G$2)^2)))</f>
        <v>43.421341564533734</v>
      </c>
      <c r="L228" s="3">
        <f>IF(($A228-Ft!H$2)&lt;0,Ft!H$3*((1-Ft!H$6)/(1+Ft!H$37*($A228-Ft!H$2)^2)+Ft!H$6*EXP(Ft!H$38*($A228-Ft!H$2)^2)),Ft!H$3*((1-Ft!H$7)/(1+Ft!H$39*($A228-Ft!H$2)^2)+Ft!H$7*EXP(Ft!H$40*($A228-Ft!H$2)^2)))</f>
        <v>0</v>
      </c>
      <c r="M228" s="3">
        <f>IF(($A228-Ft!I$2)&lt;0,Ft!I$3*((1-Ft!I$6)/(1+Ft!I$37*($A228-Ft!I$2)^2)+Ft!I$6*EXP(Ft!I$38*($A228-Ft!I$2)^2)),Ft!I$3*((1-Ft!I$7)/(1+Ft!I$39*($A228-Ft!I$2)^2)+Ft!I$7*EXP(Ft!I$40*($A228-Ft!I$2)^2)))</f>
        <v>0</v>
      </c>
      <c r="N228" s="3">
        <f>IF(($A228-Ft!J$2)&lt;0,Ft!J$3*((1-Ft!J$6)/(1+Ft!J$37*($A228-Ft!J$2)^2)+Ft!J$6*EXP(Ft!J$38*($A228-Ft!J$2)^2)),Ft!J$3*((1-Ft!J$7)/(1+Ft!J$39*($A228-Ft!J$2)^2)+Ft!J$7*EXP(Ft!J$40*($A228-Ft!J$2)^2)))</f>
        <v>0</v>
      </c>
      <c r="O228" s="3">
        <f>IF(($A228-Ft!K$2)&lt;0,Ft!K$3*((1-Ft!K$6)/(1+Ft!K$37*($A228-Ft!K$2)^2)+Ft!K$6*EXP(Ft!K$38*($A228-Ft!K$2)^2)),Ft!K$3*((1-Ft!K$7)/(1+Ft!K$39*($A228-Ft!K$2)^2)+Ft!K$7*EXP(Ft!K$40*($A228-Ft!K$2)^2)))</f>
        <v>0</v>
      </c>
      <c r="P228"/>
      <c r="Q228"/>
    </row>
    <row r="229" spans="1:17">
      <c r="A229" s="20">
        <v>455</v>
      </c>
      <c r="B229" s="29">
        <v>45.538884895516048</v>
      </c>
      <c r="C229" s="7">
        <f t="shared" si="7"/>
        <v>45.472778165733196</v>
      </c>
      <c r="D229" s="3">
        <f t="shared" si="6"/>
        <v>4.3700997225830608E-3</v>
      </c>
      <c r="E229" s="3">
        <f>Ft!$B$12+Ft!$B$14*(Data!A229-Vars!$B$3)</f>
        <v>-200</v>
      </c>
      <c r="F229" s="3">
        <f>IF(($A229-Ft!B$2)&lt;0,Ft!B$3*((1-Ft!B$6)/(1+Ft!B$37*($A229-Ft!B$2)^2)+Ft!B$6*EXP(Ft!B$38*($A229-Ft!B$2)^2)),Ft!B$3*((1-Ft!B$7)/(1+Ft!B$39*($A229-Ft!B$2)^2)+Ft!B$7*EXP(Ft!B$40*($A229-Ft!B$2)^2)))</f>
        <v>60.625525639102996</v>
      </c>
      <c r="G229" s="3">
        <f>IF(($A229-Ft!C$2)&lt;0,Ft!C$3*((1-Ft!C$6)/(1+Ft!C$37*($A229-Ft!C$2)^2)+Ft!C$6*EXP(Ft!C$38*($A229-Ft!C$2)^2)),Ft!C$3*((1-Ft!C$7)/(1+Ft!C$39*($A229-Ft!C$2)^2)+Ft!C$7*EXP(Ft!C$40*($A229-Ft!C$2)^2)))</f>
        <v>45.115367184260677</v>
      </c>
      <c r="H229" s="3">
        <f>IF(($A229-Ft!D$2)&lt;0,Ft!D$3*((1-Ft!D$6)/(1+Ft!D$37*($A229-Ft!D$2)^2)+Ft!D$6*EXP(Ft!D$38*($A229-Ft!D$2)^2)),Ft!D$3*((1-Ft!D$7)/(1+Ft!D$39*($A229-Ft!D$2)^2)+Ft!D$7*EXP(Ft!D$40*($A229-Ft!D$2)^2)))</f>
        <v>1.3736220971447128</v>
      </c>
      <c r="I229" s="3">
        <f>IF(($A229-Ft!E$2)&lt;0,Ft!E$3*((1-Ft!E$6)/(1+Ft!E$37*($A229-Ft!E$2)^2)+Ft!E$6*EXP(Ft!E$38*($A229-Ft!E$2)^2)),Ft!E$3*((1-Ft!E$7)/(1+Ft!E$39*($A229-Ft!E$2)^2)+Ft!E$7*EXP(Ft!E$40*($A229-Ft!E$2)^2)))</f>
        <v>67.192950993988248</v>
      </c>
      <c r="J229" s="3">
        <f>IF(($A229-Ft!F$2)&lt;0,Ft!F$3*((1-Ft!F$6)/(1+Ft!F$37*($A229-Ft!F$2)^2)+Ft!F$6*EXP(Ft!F$38*($A229-Ft!F$2)^2)),Ft!F$3*((1-Ft!F$7)/(1+Ft!F$39*($A229-Ft!F$2)^2)+Ft!F$7*EXP(Ft!F$40*($A229-Ft!F$2)^2)))</f>
        <v>27.965053286938016</v>
      </c>
      <c r="K229" s="3">
        <f>IF(($A229-Ft!G$2)&lt;0,Ft!G$3*((1-Ft!G$6)/(1+Ft!G$37*($A229-Ft!G$2)^2)+Ft!G$6*EXP(Ft!G$38*($A229-Ft!G$2)^2)),Ft!G$3*((1-Ft!G$7)/(1+Ft!G$39*($A229-Ft!G$2)^2)+Ft!G$7*EXP(Ft!G$40*($A229-Ft!G$2)^2)))</f>
        <v>43.200258964298548</v>
      </c>
      <c r="L229" s="3">
        <f>IF(($A229-Ft!H$2)&lt;0,Ft!H$3*((1-Ft!H$6)/(1+Ft!H$37*($A229-Ft!H$2)^2)+Ft!H$6*EXP(Ft!H$38*($A229-Ft!H$2)^2)),Ft!H$3*((1-Ft!H$7)/(1+Ft!H$39*($A229-Ft!H$2)^2)+Ft!H$7*EXP(Ft!H$40*($A229-Ft!H$2)^2)))</f>
        <v>0</v>
      </c>
      <c r="M229" s="3">
        <f>IF(($A229-Ft!I$2)&lt;0,Ft!I$3*((1-Ft!I$6)/(1+Ft!I$37*($A229-Ft!I$2)^2)+Ft!I$6*EXP(Ft!I$38*($A229-Ft!I$2)^2)),Ft!I$3*((1-Ft!I$7)/(1+Ft!I$39*($A229-Ft!I$2)^2)+Ft!I$7*EXP(Ft!I$40*($A229-Ft!I$2)^2)))</f>
        <v>0</v>
      </c>
      <c r="N229" s="3">
        <f>IF(($A229-Ft!J$2)&lt;0,Ft!J$3*((1-Ft!J$6)/(1+Ft!J$37*($A229-Ft!J$2)^2)+Ft!J$6*EXP(Ft!J$38*($A229-Ft!J$2)^2)),Ft!J$3*((1-Ft!J$7)/(1+Ft!J$39*($A229-Ft!J$2)^2)+Ft!J$7*EXP(Ft!J$40*($A229-Ft!J$2)^2)))</f>
        <v>0</v>
      </c>
      <c r="O229" s="3">
        <f>IF(($A229-Ft!K$2)&lt;0,Ft!K$3*((1-Ft!K$6)/(1+Ft!K$37*($A229-Ft!K$2)^2)+Ft!K$6*EXP(Ft!K$38*($A229-Ft!K$2)^2)),Ft!K$3*((1-Ft!K$7)/(1+Ft!K$39*($A229-Ft!K$2)^2)+Ft!K$7*EXP(Ft!K$40*($A229-Ft!K$2)^2)))</f>
        <v>0</v>
      </c>
      <c r="P229"/>
      <c r="Q229"/>
    </row>
    <row r="230" spans="1:17">
      <c r="A230" s="20">
        <v>457</v>
      </c>
      <c r="B230" s="29">
        <v>45.643713739373268</v>
      </c>
      <c r="C230" s="7">
        <f t="shared" si="7"/>
        <v>45.570796543299394</v>
      </c>
      <c r="D230" s="3">
        <f t="shared" ref="D230:D293" si="8">(C230-B230)^2</f>
        <v>5.3169174832757744E-3</v>
      </c>
      <c r="E230" s="3">
        <f>Ft!$B$12+Ft!$B$14*(Data!A230-Vars!$B$3)</f>
        <v>-200</v>
      </c>
      <c r="F230" s="3">
        <f>IF(($A230-Ft!B$2)&lt;0,Ft!B$3*((1-Ft!B$6)/(1+Ft!B$37*($A230-Ft!B$2)^2)+Ft!B$6*EXP(Ft!B$38*($A230-Ft!B$2)^2)),Ft!B$3*((1-Ft!B$7)/(1+Ft!B$39*($A230-Ft!B$2)^2)+Ft!B$7*EXP(Ft!B$40*($A230-Ft!B$2)^2)))</f>
        <v>60.234644142174758</v>
      </c>
      <c r="G230" s="3">
        <f>IF(($A230-Ft!C$2)&lt;0,Ft!C$3*((1-Ft!C$6)/(1+Ft!C$37*($A230-Ft!C$2)^2)+Ft!C$6*EXP(Ft!C$38*($A230-Ft!C$2)^2)),Ft!C$3*((1-Ft!C$7)/(1+Ft!C$39*($A230-Ft!C$2)^2)+Ft!C$7*EXP(Ft!C$40*($A230-Ft!C$2)^2)))</f>
        <v>45.204380848381945</v>
      </c>
      <c r="H230" s="3">
        <f>IF(($A230-Ft!D$2)&lt;0,Ft!D$3*((1-Ft!D$6)/(1+Ft!D$37*($A230-Ft!D$2)^2)+Ft!D$6*EXP(Ft!D$38*($A230-Ft!D$2)^2)),Ft!D$3*((1-Ft!D$7)/(1+Ft!D$39*($A230-Ft!D$2)^2)+Ft!D$7*EXP(Ft!D$40*($A230-Ft!D$2)^2)))</f>
        <v>1.2949869314393769</v>
      </c>
      <c r="I230" s="3">
        <f>IF(($A230-Ft!E$2)&lt;0,Ft!E$3*((1-Ft!E$6)/(1+Ft!E$37*($A230-Ft!E$2)^2)+Ft!E$6*EXP(Ft!E$38*($A230-Ft!E$2)^2)),Ft!E$3*((1-Ft!E$7)/(1+Ft!E$39*($A230-Ft!E$2)^2)+Ft!E$7*EXP(Ft!E$40*($A230-Ft!E$2)^2)))</f>
        <v>67.708903464102235</v>
      </c>
      <c r="J230" s="3">
        <f>IF(($A230-Ft!F$2)&lt;0,Ft!F$3*((1-Ft!F$6)/(1+Ft!F$37*($A230-Ft!F$2)^2)+Ft!F$6*EXP(Ft!F$38*($A230-Ft!F$2)^2)),Ft!F$3*((1-Ft!F$7)/(1+Ft!F$39*($A230-Ft!F$2)^2)+Ft!F$7*EXP(Ft!F$40*($A230-Ft!F$2)^2)))</f>
        <v>28.152040202721384</v>
      </c>
      <c r="K230" s="3">
        <f>IF(($A230-Ft!G$2)&lt;0,Ft!G$3*((1-Ft!G$6)/(1+Ft!G$37*($A230-Ft!G$2)^2)+Ft!G$6*EXP(Ft!G$38*($A230-Ft!G$2)^2)),Ft!G$3*((1-Ft!G$7)/(1+Ft!G$39*($A230-Ft!G$2)^2)+Ft!G$7*EXP(Ft!G$40*($A230-Ft!G$2)^2)))</f>
        <v>42.975840954479679</v>
      </c>
      <c r="L230" s="3">
        <f>IF(($A230-Ft!H$2)&lt;0,Ft!H$3*((1-Ft!H$6)/(1+Ft!H$37*($A230-Ft!H$2)^2)+Ft!H$6*EXP(Ft!H$38*($A230-Ft!H$2)^2)),Ft!H$3*((1-Ft!H$7)/(1+Ft!H$39*($A230-Ft!H$2)^2)+Ft!H$7*EXP(Ft!H$40*($A230-Ft!H$2)^2)))</f>
        <v>0</v>
      </c>
      <c r="M230" s="3">
        <f>IF(($A230-Ft!I$2)&lt;0,Ft!I$3*((1-Ft!I$6)/(1+Ft!I$37*($A230-Ft!I$2)^2)+Ft!I$6*EXP(Ft!I$38*($A230-Ft!I$2)^2)),Ft!I$3*((1-Ft!I$7)/(1+Ft!I$39*($A230-Ft!I$2)^2)+Ft!I$7*EXP(Ft!I$40*($A230-Ft!I$2)^2)))</f>
        <v>0</v>
      </c>
      <c r="N230" s="3">
        <f>IF(($A230-Ft!J$2)&lt;0,Ft!J$3*((1-Ft!J$6)/(1+Ft!J$37*($A230-Ft!J$2)^2)+Ft!J$6*EXP(Ft!J$38*($A230-Ft!J$2)^2)),Ft!J$3*((1-Ft!J$7)/(1+Ft!J$39*($A230-Ft!J$2)^2)+Ft!J$7*EXP(Ft!J$40*($A230-Ft!J$2)^2)))</f>
        <v>0</v>
      </c>
      <c r="O230" s="3">
        <f>IF(($A230-Ft!K$2)&lt;0,Ft!K$3*((1-Ft!K$6)/(1+Ft!K$37*($A230-Ft!K$2)^2)+Ft!K$6*EXP(Ft!K$38*($A230-Ft!K$2)^2)),Ft!K$3*((1-Ft!K$7)/(1+Ft!K$39*($A230-Ft!K$2)^2)+Ft!K$7*EXP(Ft!K$40*($A230-Ft!K$2)^2)))</f>
        <v>0</v>
      </c>
      <c r="P230"/>
      <c r="Q230"/>
    </row>
    <row r="231" spans="1:17">
      <c r="A231" s="20">
        <v>459</v>
      </c>
      <c r="B231" s="29">
        <v>45.743146333140686</v>
      </c>
      <c r="C231" s="7">
        <f t="shared" si="7"/>
        <v>45.665364576828594</v>
      </c>
      <c r="D231" s="3">
        <f t="shared" si="8"/>
        <v>6.0500016149936551E-3</v>
      </c>
      <c r="E231" s="3">
        <f>Ft!$B$12+Ft!$B$14*(Data!A231-Vars!$B$3)</f>
        <v>-200</v>
      </c>
      <c r="F231" s="3">
        <f>IF(($A231-Ft!B$2)&lt;0,Ft!B$3*((1-Ft!B$6)/(1+Ft!B$37*($A231-Ft!B$2)^2)+Ft!B$6*EXP(Ft!B$38*($A231-Ft!B$2)^2)),Ft!B$3*((1-Ft!B$7)/(1+Ft!B$39*($A231-Ft!B$2)^2)+Ft!B$7*EXP(Ft!B$40*($A231-Ft!B$2)^2)))</f>
        <v>59.845140583702118</v>
      </c>
      <c r="G231" s="3">
        <f>IF(($A231-Ft!C$2)&lt;0,Ft!C$3*((1-Ft!C$6)/(1+Ft!C$37*($A231-Ft!C$2)^2)+Ft!C$6*EXP(Ft!C$38*($A231-Ft!C$2)^2)),Ft!C$3*((1-Ft!C$7)/(1+Ft!C$39*($A231-Ft!C$2)^2)+Ft!C$7*EXP(Ft!C$40*($A231-Ft!C$2)^2)))</f>
        <v>45.293169936568646</v>
      </c>
      <c r="H231" s="3">
        <f>IF(($A231-Ft!D$2)&lt;0,Ft!D$3*((1-Ft!D$6)/(1+Ft!D$37*($A231-Ft!D$2)^2)+Ft!D$6*EXP(Ft!D$38*($A231-Ft!D$2)^2)),Ft!D$3*((1-Ft!D$7)/(1+Ft!D$39*($A231-Ft!D$2)^2)+Ft!D$7*EXP(Ft!D$40*($A231-Ft!D$2)^2)))</f>
        <v>1.2141367084519694</v>
      </c>
      <c r="I231" s="3">
        <f>IF(($A231-Ft!E$2)&lt;0,Ft!E$3*((1-Ft!E$6)/(1+Ft!E$37*($A231-Ft!E$2)^2)+Ft!E$6*EXP(Ft!E$38*($A231-Ft!E$2)^2)),Ft!E$3*((1-Ft!E$7)/(1+Ft!E$39*($A231-Ft!E$2)^2)+Ft!E$7*EXP(Ft!E$40*($A231-Ft!E$2)^2)))</f>
        <v>68.224861875073088</v>
      </c>
      <c r="J231" s="3">
        <f>IF(($A231-Ft!F$2)&lt;0,Ft!F$3*((1-Ft!F$6)/(1+Ft!F$37*($A231-Ft!F$2)^2)+Ft!F$6*EXP(Ft!F$38*($A231-Ft!F$2)^2)),Ft!F$3*((1-Ft!F$7)/(1+Ft!F$39*($A231-Ft!F$2)^2)+Ft!F$7*EXP(Ft!F$40*($A231-Ft!F$2)^2)))</f>
        <v>28.339904145914538</v>
      </c>
      <c r="K231" s="3">
        <f>IF(($A231-Ft!G$2)&lt;0,Ft!G$3*((1-Ft!G$6)/(1+Ft!G$37*($A231-Ft!G$2)^2)+Ft!G$6*EXP(Ft!G$38*($A231-Ft!G$2)^2)),Ft!G$3*((1-Ft!G$7)/(1+Ft!G$39*($A231-Ft!G$2)^2)+Ft!G$7*EXP(Ft!G$40*($A231-Ft!G$2)^2)))</f>
        <v>42.748151327118229</v>
      </c>
      <c r="L231" s="3">
        <f>IF(($A231-Ft!H$2)&lt;0,Ft!H$3*((1-Ft!H$6)/(1+Ft!H$37*($A231-Ft!H$2)^2)+Ft!H$6*EXP(Ft!H$38*($A231-Ft!H$2)^2)),Ft!H$3*((1-Ft!H$7)/(1+Ft!H$39*($A231-Ft!H$2)^2)+Ft!H$7*EXP(Ft!H$40*($A231-Ft!H$2)^2)))</f>
        <v>0</v>
      </c>
      <c r="M231" s="3">
        <f>IF(($A231-Ft!I$2)&lt;0,Ft!I$3*((1-Ft!I$6)/(1+Ft!I$37*($A231-Ft!I$2)^2)+Ft!I$6*EXP(Ft!I$38*($A231-Ft!I$2)^2)),Ft!I$3*((1-Ft!I$7)/(1+Ft!I$39*($A231-Ft!I$2)^2)+Ft!I$7*EXP(Ft!I$40*($A231-Ft!I$2)^2)))</f>
        <v>0</v>
      </c>
      <c r="N231" s="3">
        <f>IF(($A231-Ft!J$2)&lt;0,Ft!J$3*((1-Ft!J$6)/(1+Ft!J$37*($A231-Ft!J$2)^2)+Ft!J$6*EXP(Ft!J$38*($A231-Ft!J$2)^2)),Ft!J$3*((1-Ft!J$7)/(1+Ft!J$39*($A231-Ft!J$2)^2)+Ft!J$7*EXP(Ft!J$40*($A231-Ft!J$2)^2)))</f>
        <v>0</v>
      </c>
      <c r="O231" s="3">
        <f>IF(($A231-Ft!K$2)&lt;0,Ft!K$3*((1-Ft!K$6)/(1+Ft!K$37*($A231-Ft!K$2)^2)+Ft!K$6*EXP(Ft!K$38*($A231-Ft!K$2)^2)),Ft!K$3*((1-Ft!K$7)/(1+Ft!K$39*($A231-Ft!K$2)^2)+Ft!K$7*EXP(Ft!K$40*($A231-Ft!K$2)^2)))</f>
        <v>0</v>
      </c>
      <c r="P231"/>
      <c r="Q231"/>
    </row>
    <row r="232" spans="1:17">
      <c r="A232" s="20">
        <v>461</v>
      </c>
      <c r="B232" s="29">
        <v>45.837936383896917</v>
      </c>
      <c r="C232" s="7">
        <f t="shared" si="7"/>
        <v>45.757491647150722</v>
      </c>
      <c r="D232" s="3">
        <f t="shared" si="8"/>
        <v>6.4713556701645643E-3</v>
      </c>
      <c r="E232" s="3">
        <f>Ft!$B$12+Ft!$B$14*(Data!A232-Vars!$B$3)</f>
        <v>-200</v>
      </c>
      <c r="F232" s="3">
        <f>IF(($A232-Ft!B$2)&lt;0,Ft!B$3*((1-Ft!B$6)/(1+Ft!B$37*($A232-Ft!B$2)^2)+Ft!B$6*EXP(Ft!B$38*($A232-Ft!B$2)^2)),Ft!B$3*((1-Ft!B$7)/(1+Ft!B$39*($A232-Ft!B$2)^2)+Ft!B$7*EXP(Ft!B$40*($A232-Ft!B$2)^2)))</f>
        <v>59.457020873826856</v>
      </c>
      <c r="G232" s="3">
        <f>IF(($A232-Ft!C$2)&lt;0,Ft!C$3*((1-Ft!C$6)/(1+Ft!C$37*($A232-Ft!C$2)^2)+Ft!C$6*EXP(Ft!C$38*($A232-Ft!C$2)^2)),Ft!C$3*((1-Ft!C$7)/(1+Ft!C$39*($A232-Ft!C$2)^2)+Ft!C$7*EXP(Ft!C$40*($A232-Ft!C$2)^2)))</f>
        <v>45.38173243714094</v>
      </c>
      <c r="H232" s="3">
        <f>IF(($A232-Ft!D$2)&lt;0,Ft!D$3*((1-Ft!D$6)/(1+Ft!D$37*($A232-Ft!D$2)^2)+Ft!D$6*EXP(Ft!D$38*($A232-Ft!D$2)^2)),Ft!D$3*((1-Ft!D$7)/(1+Ft!D$39*($A232-Ft!D$2)^2)+Ft!D$7*EXP(Ft!D$40*($A232-Ft!D$2)^2)))</f>
        <v>1.1320715624924436</v>
      </c>
      <c r="I232" s="3">
        <f>IF(($A232-Ft!E$2)&lt;0,Ft!E$3*((1-Ft!E$6)/(1+Ft!E$37*($A232-Ft!E$2)^2)+Ft!E$6*EXP(Ft!E$38*($A232-Ft!E$2)^2)),Ft!E$3*((1-Ft!E$7)/(1+Ft!E$39*($A232-Ft!E$2)^2)+Ft!E$7*EXP(Ft!E$40*($A232-Ft!E$2)^2)))</f>
        <v>68.740766213963511</v>
      </c>
      <c r="J232" s="3">
        <f>IF(($A232-Ft!F$2)&lt;0,Ft!F$3*((1-Ft!F$6)/(1+Ft!F$37*($A232-Ft!F$2)^2)+Ft!F$6*EXP(Ft!F$38*($A232-Ft!F$2)^2)),Ft!F$3*((1-Ft!F$7)/(1+Ft!F$39*($A232-Ft!F$2)^2)+Ft!F$7*EXP(Ft!F$40*($A232-Ft!F$2)^2)))</f>
        <v>28.528646004113064</v>
      </c>
      <c r="K232" s="3">
        <f>IF(($A232-Ft!G$2)&lt;0,Ft!G$3*((1-Ft!G$6)/(1+Ft!G$37*($A232-Ft!G$2)^2)+Ft!G$6*EXP(Ft!G$38*($A232-Ft!G$2)^2)),Ft!G$3*((1-Ft!G$7)/(1+Ft!G$39*($A232-Ft!G$2)^2)+Ft!G$7*EXP(Ft!G$40*($A232-Ft!G$2)^2)))</f>
        <v>42.517254555613917</v>
      </c>
      <c r="L232" s="3">
        <f>IF(($A232-Ft!H$2)&lt;0,Ft!H$3*((1-Ft!H$6)/(1+Ft!H$37*($A232-Ft!H$2)^2)+Ft!H$6*EXP(Ft!H$38*($A232-Ft!H$2)^2)),Ft!H$3*((1-Ft!H$7)/(1+Ft!H$39*($A232-Ft!H$2)^2)+Ft!H$7*EXP(Ft!H$40*($A232-Ft!H$2)^2)))</f>
        <v>0</v>
      </c>
      <c r="M232" s="3">
        <f>IF(($A232-Ft!I$2)&lt;0,Ft!I$3*((1-Ft!I$6)/(1+Ft!I$37*($A232-Ft!I$2)^2)+Ft!I$6*EXP(Ft!I$38*($A232-Ft!I$2)^2)),Ft!I$3*((1-Ft!I$7)/(1+Ft!I$39*($A232-Ft!I$2)^2)+Ft!I$7*EXP(Ft!I$40*($A232-Ft!I$2)^2)))</f>
        <v>0</v>
      </c>
      <c r="N232" s="3">
        <f>IF(($A232-Ft!J$2)&lt;0,Ft!J$3*((1-Ft!J$6)/(1+Ft!J$37*($A232-Ft!J$2)^2)+Ft!J$6*EXP(Ft!J$38*($A232-Ft!J$2)^2)),Ft!J$3*((1-Ft!J$7)/(1+Ft!J$39*($A232-Ft!J$2)^2)+Ft!J$7*EXP(Ft!J$40*($A232-Ft!J$2)^2)))</f>
        <v>0</v>
      </c>
      <c r="O232" s="3">
        <f>IF(($A232-Ft!K$2)&lt;0,Ft!K$3*((1-Ft!K$6)/(1+Ft!K$37*($A232-Ft!K$2)^2)+Ft!K$6*EXP(Ft!K$38*($A232-Ft!K$2)^2)),Ft!K$3*((1-Ft!K$7)/(1+Ft!K$39*($A232-Ft!K$2)^2)+Ft!K$7*EXP(Ft!K$40*($A232-Ft!K$2)^2)))</f>
        <v>0</v>
      </c>
      <c r="P232"/>
      <c r="Q232"/>
    </row>
    <row r="233" spans="1:17">
      <c r="A233" s="20">
        <v>463</v>
      </c>
      <c r="B233" s="29">
        <v>45.928849830143278</v>
      </c>
      <c r="C233" s="7">
        <f t="shared" si="7"/>
        <v>45.848141642969111</v>
      </c>
      <c r="D233" s="3">
        <f t="shared" si="8"/>
        <v>6.5138114769404199E-3</v>
      </c>
      <c r="E233" s="3">
        <f>Ft!$B$12+Ft!$B$14*(Data!A233-Vars!$B$3)</f>
        <v>-200</v>
      </c>
      <c r="F233" s="3">
        <f>IF(($A233-Ft!B$2)&lt;0,Ft!B$3*((1-Ft!B$6)/(1+Ft!B$37*($A233-Ft!B$2)^2)+Ft!B$6*EXP(Ft!B$38*($A233-Ft!B$2)^2)),Ft!B$3*((1-Ft!B$7)/(1+Ft!B$39*($A233-Ft!B$2)^2)+Ft!B$7*EXP(Ft!B$40*($A233-Ft!B$2)^2)))</f>
        <v>59.070290805435583</v>
      </c>
      <c r="G233" s="3">
        <f>IF(($A233-Ft!C$2)&lt;0,Ft!C$3*((1-Ft!C$6)/(1+Ft!C$37*($A233-Ft!C$2)^2)+Ft!C$6*EXP(Ft!C$38*($A233-Ft!C$2)^2)),Ft!C$3*((1-Ft!C$7)/(1+Ft!C$39*($A233-Ft!C$2)^2)+Ft!C$7*EXP(Ft!C$40*($A233-Ft!C$2)^2)))</f>
        <v>45.4700663404887</v>
      </c>
      <c r="H233" s="3">
        <f>IF(($A233-Ft!D$2)&lt;0,Ft!D$3*((1-Ft!D$6)/(1+Ft!D$37*($A233-Ft!D$2)^2)+Ft!D$6*EXP(Ft!D$38*($A233-Ft!D$2)^2)),Ft!D$3*((1-Ft!D$7)/(1+Ft!D$39*($A233-Ft!D$2)^2)+Ft!D$7*EXP(Ft!D$40*($A233-Ft!D$2)^2)))</f>
        <v>1.049746074875064</v>
      </c>
      <c r="I233" s="3">
        <f>IF(($A233-Ft!E$2)&lt;0,Ft!E$3*((1-Ft!E$6)/(1+Ft!E$37*($A233-Ft!E$2)^2)+Ft!E$6*EXP(Ft!E$38*($A233-Ft!E$2)^2)),Ft!E$3*((1-Ft!E$7)/(1+Ft!E$39*($A233-Ft!E$2)^2)+Ft!E$7*EXP(Ft!E$40*($A233-Ft!E$2)^2)))</f>
        <v>69.256556021723483</v>
      </c>
      <c r="J233" s="3">
        <f>IF(($A233-Ft!F$2)&lt;0,Ft!F$3*((1-Ft!F$6)/(1+Ft!F$37*($A233-Ft!F$2)^2)+Ft!F$6*EXP(Ft!F$38*($A233-Ft!F$2)^2)),Ft!F$3*((1-Ft!F$7)/(1+Ft!F$39*($A233-Ft!F$2)^2)+Ft!F$7*EXP(Ft!F$40*($A233-Ft!F$2)^2)))</f>
        <v>28.718266636026936</v>
      </c>
      <c r="K233" s="3">
        <f>IF(($A233-Ft!G$2)&lt;0,Ft!G$3*((1-Ft!G$6)/(1+Ft!G$37*($A233-Ft!G$2)^2)+Ft!G$6*EXP(Ft!G$38*($A233-Ft!G$2)^2)),Ft!G$3*((1-Ft!G$7)/(1+Ft!G$39*($A233-Ft!G$2)^2)+Ft!G$7*EXP(Ft!G$40*($A233-Ft!G$2)^2)))</f>
        <v>42.28321576441936</v>
      </c>
      <c r="L233" s="3">
        <f>IF(($A233-Ft!H$2)&lt;0,Ft!H$3*((1-Ft!H$6)/(1+Ft!H$37*($A233-Ft!H$2)^2)+Ft!H$6*EXP(Ft!H$38*($A233-Ft!H$2)^2)),Ft!H$3*((1-Ft!H$7)/(1+Ft!H$39*($A233-Ft!H$2)^2)+Ft!H$7*EXP(Ft!H$40*($A233-Ft!H$2)^2)))</f>
        <v>0</v>
      </c>
      <c r="M233" s="3">
        <f>IF(($A233-Ft!I$2)&lt;0,Ft!I$3*((1-Ft!I$6)/(1+Ft!I$37*($A233-Ft!I$2)^2)+Ft!I$6*EXP(Ft!I$38*($A233-Ft!I$2)^2)),Ft!I$3*((1-Ft!I$7)/(1+Ft!I$39*($A233-Ft!I$2)^2)+Ft!I$7*EXP(Ft!I$40*($A233-Ft!I$2)^2)))</f>
        <v>0</v>
      </c>
      <c r="N233" s="3">
        <f>IF(($A233-Ft!J$2)&lt;0,Ft!J$3*((1-Ft!J$6)/(1+Ft!J$37*($A233-Ft!J$2)^2)+Ft!J$6*EXP(Ft!J$38*($A233-Ft!J$2)^2)),Ft!J$3*((1-Ft!J$7)/(1+Ft!J$39*($A233-Ft!J$2)^2)+Ft!J$7*EXP(Ft!J$40*($A233-Ft!J$2)^2)))</f>
        <v>0</v>
      </c>
      <c r="O233" s="3">
        <f>IF(($A233-Ft!K$2)&lt;0,Ft!K$3*((1-Ft!K$6)/(1+Ft!K$37*($A233-Ft!K$2)^2)+Ft!K$6*EXP(Ft!K$38*($A233-Ft!K$2)^2)),Ft!K$3*((1-Ft!K$7)/(1+Ft!K$39*($A233-Ft!K$2)^2)+Ft!K$7*EXP(Ft!K$40*($A233-Ft!K$2)^2)))</f>
        <v>0</v>
      </c>
      <c r="P233"/>
      <c r="Q233"/>
    </row>
    <row r="234" spans="1:17">
      <c r="A234" s="20">
        <v>465</v>
      </c>
      <c r="B234" s="29">
        <v>46.016653797481936</v>
      </c>
      <c r="C234" s="7">
        <f t="shared" si="7"/>
        <v>45.938215752682382</v>
      </c>
      <c r="D234" s="3">
        <f t="shared" si="8"/>
        <v>6.1525268719769214E-3</v>
      </c>
      <c r="E234" s="3">
        <f>Ft!$B$12+Ft!$B$14*(Data!A234-Vars!$B$3)</f>
        <v>-200</v>
      </c>
      <c r="F234" s="3">
        <f>IF(($A234-Ft!B$2)&lt;0,Ft!B$3*((1-Ft!B$6)/(1+Ft!B$37*($A234-Ft!B$2)^2)+Ft!B$6*EXP(Ft!B$38*($A234-Ft!B$2)^2)),Ft!B$3*((1-Ft!B$7)/(1+Ft!B$39*($A234-Ft!B$2)^2)+Ft!B$7*EXP(Ft!B$40*($A234-Ft!B$2)^2)))</f>
        <v>58.684956054479343</v>
      </c>
      <c r="G234" s="3">
        <f>IF(($A234-Ft!C$2)&lt;0,Ft!C$3*((1-Ft!C$6)/(1+Ft!C$37*($A234-Ft!C$2)^2)+Ft!C$6*EXP(Ft!C$38*($A234-Ft!C$2)^2)),Ft!C$3*((1-Ft!C$7)/(1+Ft!C$39*($A234-Ft!C$2)^2)+Ft!C$7*EXP(Ft!C$40*($A234-Ft!C$2)^2)))</f>
        <v>45.558169639146662</v>
      </c>
      <c r="H234" s="3">
        <f>IF(($A234-Ft!D$2)&lt;0,Ft!D$3*((1-Ft!D$6)/(1+Ft!D$37*($A234-Ft!D$2)^2)+Ft!D$6*EXP(Ft!D$38*($A234-Ft!D$2)^2)),Ft!D$3*((1-Ft!D$7)/(1+Ft!D$39*($A234-Ft!D$2)^2)+Ft!D$7*EXP(Ft!D$40*($A234-Ft!D$2)^2)))</f>
        <v>0.968052085362749</v>
      </c>
      <c r="I234" s="3">
        <f>IF(($A234-Ft!E$2)&lt;0,Ft!E$3*((1-Ft!E$6)/(1+Ft!E$37*($A234-Ft!E$2)^2)+Ft!E$6*EXP(Ft!E$38*($A234-Ft!E$2)^2)),Ft!E$3*((1-Ft!E$7)/(1+Ft!E$39*($A234-Ft!E$2)^2)+Ft!E$7*EXP(Ft!E$40*($A234-Ft!E$2)^2)))</f>
        <v>69.772170403891309</v>
      </c>
      <c r="J234" s="3">
        <f>IF(($A234-Ft!F$2)&lt;0,Ft!F$3*((1-Ft!F$6)/(1+Ft!F$37*($A234-Ft!F$2)^2)+Ft!F$6*EXP(Ft!F$38*($A234-Ft!F$2)^2)),Ft!F$3*((1-Ft!F$7)/(1+Ft!F$39*($A234-Ft!F$2)^2)+Ft!F$7*EXP(Ft!F$40*($A234-Ft!F$2)^2)))</f>
        <v>28.908766871242793</v>
      </c>
      <c r="K234" s="3">
        <f>IF(($A234-Ft!G$2)&lt;0,Ft!G$3*((1-Ft!G$6)/(1+Ft!G$37*($A234-Ft!G$2)^2)+Ft!G$6*EXP(Ft!G$38*($A234-Ft!G$2)^2)),Ft!G$3*((1-Ft!G$7)/(1+Ft!G$39*($A234-Ft!G$2)^2)+Ft!G$7*EXP(Ft!G$40*($A234-Ft!G$2)^2)))</f>
        <v>42.04610069855952</v>
      </c>
      <c r="L234" s="3">
        <f>IF(($A234-Ft!H$2)&lt;0,Ft!H$3*((1-Ft!H$6)/(1+Ft!H$37*($A234-Ft!H$2)^2)+Ft!H$6*EXP(Ft!H$38*($A234-Ft!H$2)^2)),Ft!H$3*((1-Ft!H$7)/(1+Ft!H$39*($A234-Ft!H$2)^2)+Ft!H$7*EXP(Ft!H$40*($A234-Ft!H$2)^2)))</f>
        <v>0</v>
      </c>
      <c r="M234" s="3">
        <f>IF(($A234-Ft!I$2)&lt;0,Ft!I$3*((1-Ft!I$6)/(1+Ft!I$37*($A234-Ft!I$2)^2)+Ft!I$6*EXP(Ft!I$38*($A234-Ft!I$2)^2)),Ft!I$3*((1-Ft!I$7)/(1+Ft!I$39*($A234-Ft!I$2)^2)+Ft!I$7*EXP(Ft!I$40*($A234-Ft!I$2)^2)))</f>
        <v>0</v>
      </c>
      <c r="N234" s="3">
        <f>IF(($A234-Ft!J$2)&lt;0,Ft!J$3*((1-Ft!J$6)/(1+Ft!J$37*($A234-Ft!J$2)^2)+Ft!J$6*EXP(Ft!J$38*($A234-Ft!J$2)^2)),Ft!J$3*((1-Ft!J$7)/(1+Ft!J$39*($A234-Ft!J$2)^2)+Ft!J$7*EXP(Ft!J$40*($A234-Ft!J$2)^2)))</f>
        <v>0</v>
      </c>
      <c r="O234" s="3">
        <f>IF(($A234-Ft!K$2)&lt;0,Ft!K$3*((1-Ft!K$6)/(1+Ft!K$37*($A234-Ft!K$2)^2)+Ft!K$6*EXP(Ft!K$38*($A234-Ft!K$2)^2)),Ft!K$3*((1-Ft!K$7)/(1+Ft!K$39*($A234-Ft!K$2)^2)+Ft!K$7*EXP(Ft!K$40*($A234-Ft!K$2)^2)))</f>
        <v>0</v>
      </c>
      <c r="P234"/>
      <c r="Q234"/>
    </row>
    <row r="235" spans="1:17">
      <c r="A235" s="20">
        <v>467</v>
      </c>
      <c r="B235" s="29">
        <v>46.102106023342827</v>
      </c>
      <c r="C235" s="7">
        <f t="shared" si="7"/>
        <v>46.028538120484825</v>
      </c>
      <c r="D235" s="3">
        <f t="shared" si="8"/>
        <v>5.4122363309244631E-3</v>
      </c>
      <c r="E235" s="3">
        <f>Ft!$B$12+Ft!$B$14*(Data!A235-Vars!$B$3)</f>
        <v>-200</v>
      </c>
      <c r="F235" s="3">
        <f>IF(($A235-Ft!B$2)&lt;0,Ft!B$3*((1-Ft!B$6)/(1+Ft!B$37*($A235-Ft!B$2)^2)+Ft!B$6*EXP(Ft!B$38*($A235-Ft!B$2)^2)),Ft!B$3*((1-Ft!B$7)/(1+Ft!B$39*($A235-Ft!B$2)^2)+Ft!B$7*EXP(Ft!B$40*($A235-Ft!B$2)^2)))</f>
        <v>58.301022180302219</v>
      </c>
      <c r="G235" s="3">
        <f>IF(($A235-Ft!C$2)&lt;0,Ft!C$3*((1-Ft!C$6)/(1+Ft!C$37*($A235-Ft!C$2)^2)+Ft!C$6*EXP(Ft!C$38*($A235-Ft!C$2)^2)),Ft!C$3*((1-Ft!C$7)/(1+Ft!C$39*($A235-Ft!C$2)^2)+Ft!C$7*EXP(Ft!C$40*($A235-Ft!C$2)^2)))</f>
        <v>45.646040327869635</v>
      </c>
      <c r="H235" s="3">
        <f>IF(($A235-Ft!D$2)&lt;0,Ft!D$3*((1-Ft!D$6)/(1+Ft!D$37*($A235-Ft!D$2)^2)+Ft!D$6*EXP(Ft!D$38*($A235-Ft!D$2)^2)),Ft!D$3*((1-Ft!D$7)/(1+Ft!D$39*($A235-Ft!D$2)^2)+Ft!D$7*EXP(Ft!D$40*($A235-Ft!D$2)^2)))</f>
        <v>0.88780436782863126</v>
      </c>
      <c r="I235" s="3">
        <f>IF(($A235-Ft!E$2)&lt;0,Ft!E$3*((1-Ft!E$6)/(1+Ft!E$37*($A235-Ft!E$2)^2)+Ft!E$6*EXP(Ft!E$38*($A235-Ft!E$2)^2)),Ft!E$3*((1-Ft!E$7)/(1+Ft!E$39*($A235-Ft!E$2)^2)+Ft!E$7*EXP(Ft!E$40*($A235-Ft!E$2)^2)))</f>
        <v>70.287548041501694</v>
      </c>
      <c r="J235" s="3">
        <f>IF(($A235-Ft!F$2)&lt;0,Ft!F$3*((1-Ft!F$6)/(1+Ft!F$37*($A235-Ft!F$2)^2)+Ft!F$6*EXP(Ft!F$38*($A235-Ft!F$2)^2)),Ft!F$3*((1-Ft!F$7)/(1+Ft!F$39*($A235-Ft!F$2)^2)+Ft!F$7*EXP(Ft!F$40*($A235-Ft!F$2)^2)))</f>
        <v>29.100147509986495</v>
      </c>
      <c r="K235" s="3">
        <f>IF(($A235-Ft!G$2)&lt;0,Ft!G$3*((1-Ft!G$6)/(1+Ft!G$37*($A235-Ft!G$2)^2)+Ft!G$6*EXP(Ft!G$38*($A235-Ft!G$2)^2)),Ft!G$3*((1-Ft!G$7)/(1+Ft!G$39*($A235-Ft!G$2)^2)+Ft!G$7*EXP(Ft!G$40*($A235-Ft!G$2)^2)))</f>
        <v>41.805975692996149</v>
      </c>
      <c r="L235" s="3">
        <f>IF(($A235-Ft!H$2)&lt;0,Ft!H$3*((1-Ft!H$6)/(1+Ft!H$37*($A235-Ft!H$2)^2)+Ft!H$6*EXP(Ft!H$38*($A235-Ft!H$2)^2)),Ft!H$3*((1-Ft!H$7)/(1+Ft!H$39*($A235-Ft!H$2)^2)+Ft!H$7*EXP(Ft!H$40*($A235-Ft!H$2)^2)))</f>
        <v>0</v>
      </c>
      <c r="M235" s="3">
        <f>IF(($A235-Ft!I$2)&lt;0,Ft!I$3*((1-Ft!I$6)/(1+Ft!I$37*($A235-Ft!I$2)^2)+Ft!I$6*EXP(Ft!I$38*($A235-Ft!I$2)^2)),Ft!I$3*((1-Ft!I$7)/(1+Ft!I$39*($A235-Ft!I$2)^2)+Ft!I$7*EXP(Ft!I$40*($A235-Ft!I$2)^2)))</f>
        <v>0</v>
      </c>
      <c r="N235" s="3">
        <f>IF(($A235-Ft!J$2)&lt;0,Ft!J$3*((1-Ft!J$6)/(1+Ft!J$37*($A235-Ft!J$2)^2)+Ft!J$6*EXP(Ft!J$38*($A235-Ft!J$2)^2)),Ft!J$3*((1-Ft!J$7)/(1+Ft!J$39*($A235-Ft!J$2)^2)+Ft!J$7*EXP(Ft!J$40*($A235-Ft!J$2)^2)))</f>
        <v>0</v>
      </c>
      <c r="O235" s="3">
        <f>IF(($A235-Ft!K$2)&lt;0,Ft!K$3*((1-Ft!K$6)/(1+Ft!K$37*($A235-Ft!K$2)^2)+Ft!K$6*EXP(Ft!K$38*($A235-Ft!K$2)^2)),Ft!K$3*((1-Ft!K$7)/(1+Ft!K$39*($A235-Ft!K$2)^2)+Ft!K$7*EXP(Ft!K$40*($A235-Ft!K$2)^2)))</f>
        <v>0</v>
      </c>
      <c r="P235"/>
      <c r="Q235"/>
    </row>
    <row r="236" spans="1:17">
      <c r="A236" s="20">
        <v>469</v>
      </c>
      <c r="B236" s="29">
        <v>46.185944935712456</v>
      </c>
      <c r="C236" s="7">
        <f t="shared" si="7"/>
        <v>46.119844613046745</v>
      </c>
      <c r="D236" s="3">
        <f t="shared" si="8"/>
        <v>4.3692526565111776E-3</v>
      </c>
      <c r="E236" s="3">
        <f>Ft!$B$12+Ft!$B$14*(Data!A236-Vars!$B$3)</f>
        <v>-200</v>
      </c>
      <c r="F236" s="3">
        <f>IF(($A236-Ft!B$2)&lt;0,Ft!B$3*((1-Ft!B$6)/(1+Ft!B$37*($A236-Ft!B$2)^2)+Ft!B$6*EXP(Ft!B$38*($A236-Ft!B$2)^2)),Ft!B$3*((1-Ft!B$7)/(1+Ft!B$39*($A236-Ft!B$2)^2)+Ft!B$7*EXP(Ft!B$40*($A236-Ft!B$2)^2)))</f>
        <v>57.918494625979079</v>
      </c>
      <c r="G236" s="3">
        <f>IF(($A236-Ft!C$2)&lt;0,Ft!C$3*((1-Ft!C$6)/(1+Ft!C$37*($A236-Ft!C$2)^2)+Ft!C$6*EXP(Ft!C$38*($A236-Ft!C$2)^2)),Ft!C$3*((1-Ft!C$7)/(1+Ft!C$39*($A236-Ft!C$2)^2)+Ft!C$7*EXP(Ft!C$40*($A236-Ft!C$2)^2)))</f>
        <v>45.733676403707683</v>
      </c>
      <c r="H236" s="3">
        <f>IF(($A236-Ft!D$2)&lt;0,Ft!D$3*((1-Ft!D$6)/(1+Ft!D$37*($A236-Ft!D$2)^2)+Ft!D$6*EXP(Ft!D$38*($A236-Ft!D$2)^2)),Ft!D$3*((1-Ft!D$7)/(1+Ft!D$39*($A236-Ft!D$2)^2)+Ft!D$7*EXP(Ft!D$40*($A236-Ft!D$2)^2)))</f>
        <v>0.8097294164174853</v>
      </c>
      <c r="I236" s="3">
        <f>IF(($A236-Ft!E$2)&lt;0,Ft!E$3*((1-Ft!E$6)/(1+Ft!E$37*($A236-Ft!E$2)^2)+Ft!E$6*EXP(Ft!E$38*($A236-Ft!E$2)^2)),Ft!E$3*((1-Ft!E$7)/(1+Ft!E$39*($A236-Ft!E$2)^2)+Ft!E$7*EXP(Ft!E$40*($A236-Ft!E$2)^2)))</f>
        <v>70.802627202199261</v>
      </c>
      <c r="J236" s="3">
        <f>IF(($A236-Ft!F$2)&lt;0,Ft!F$3*((1-Ft!F$6)/(1+Ft!F$37*($A236-Ft!F$2)^2)+Ft!F$6*EXP(Ft!F$38*($A236-Ft!F$2)^2)),Ft!F$3*((1-Ft!F$7)/(1+Ft!F$39*($A236-Ft!F$2)^2)+Ft!F$7*EXP(Ft!F$40*($A236-Ft!F$2)^2)))</f>
        <v>29.292409322886058</v>
      </c>
      <c r="K236" s="3">
        <f>IF(($A236-Ft!G$2)&lt;0,Ft!G$3*((1-Ft!G$6)/(1+Ft!G$37*($A236-Ft!G$2)^2)+Ft!G$6*EXP(Ft!G$38*($A236-Ft!G$2)^2)),Ft!G$3*((1-Ft!G$7)/(1+Ft!G$39*($A236-Ft!G$2)^2)+Ft!G$7*EXP(Ft!G$40*($A236-Ft!G$2)^2)))</f>
        <v>41.562907641857201</v>
      </c>
      <c r="L236" s="3">
        <f>IF(($A236-Ft!H$2)&lt;0,Ft!H$3*((1-Ft!H$6)/(1+Ft!H$37*($A236-Ft!H$2)^2)+Ft!H$6*EXP(Ft!H$38*($A236-Ft!H$2)^2)),Ft!H$3*((1-Ft!H$7)/(1+Ft!H$39*($A236-Ft!H$2)^2)+Ft!H$7*EXP(Ft!H$40*($A236-Ft!H$2)^2)))</f>
        <v>0</v>
      </c>
      <c r="M236" s="3">
        <f>IF(($A236-Ft!I$2)&lt;0,Ft!I$3*((1-Ft!I$6)/(1+Ft!I$37*($A236-Ft!I$2)^2)+Ft!I$6*EXP(Ft!I$38*($A236-Ft!I$2)^2)),Ft!I$3*((1-Ft!I$7)/(1+Ft!I$39*($A236-Ft!I$2)^2)+Ft!I$7*EXP(Ft!I$40*($A236-Ft!I$2)^2)))</f>
        <v>0</v>
      </c>
      <c r="N236" s="3">
        <f>IF(($A236-Ft!J$2)&lt;0,Ft!J$3*((1-Ft!J$6)/(1+Ft!J$37*($A236-Ft!J$2)^2)+Ft!J$6*EXP(Ft!J$38*($A236-Ft!J$2)^2)),Ft!J$3*((1-Ft!J$7)/(1+Ft!J$39*($A236-Ft!J$2)^2)+Ft!J$7*EXP(Ft!J$40*($A236-Ft!J$2)^2)))</f>
        <v>0</v>
      </c>
      <c r="O236" s="3">
        <f>IF(($A236-Ft!K$2)&lt;0,Ft!K$3*((1-Ft!K$6)/(1+Ft!K$37*($A236-Ft!K$2)^2)+Ft!K$6*EXP(Ft!K$38*($A236-Ft!K$2)^2)),Ft!K$3*((1-Ft!K$7)/(1+Ft!K$39*($A236-Ft!K$2)^2)+Ft!K$7*EXP(Ft!K$40*($A236-Ft!K$2)^2)))</f>
        <v>0</v>
      </c>
      <c r="P236"/>
      <c r="Q236"/>
    </row>
    <row r="237" spans="1:17">
      <c r="A237" s="20">
        <v>471</v>
      </c>
      <c r="B237" s="29">
        <v>46.26888054710291</v>
      </c>
      <c r="C237" s="7">
        <f t="shared" si="7"/>
        <v>46.212774809830215</v>
      </c>
      <c r="D237" s="3">
        <f t="shared" si="8"/>
        <v>3.1478537549126731E-3</v>
      </c>
      <c r="E237" s="3">
        <f>Ft!$B$12+Ft!$B$14*(Data!A237-Vars!$B$3)</f>
        <v>-200</v>
      </c>
      <c r="F237" s="3">
        <f>IF(($A237-Ft!B$2)&lt;0,Ft!B$3*((1-Ft!B$6)/(1+Ft!B$37*($A237-Ft!B$2)^2)+Ft!B$6*EXP(Ft!B$38*($A237-Ft!B$2)^2)),Ft!B$3*((1-Ft!B$7)/(1+Ft!B$39*($A237-Ft!B$2)^2)+Ft!B$7*EXP(Ft!B$40*($A237-Ft!B$2)^2)))</f>
        <v>57.537378718661898</v>
      </c>
      <c r="G237" s="3">
        <f>IF(($A237-Ft!C$2)&lt;0,Ft!C$3*((1-Ft!C$6)/(1+Ft!C$37*($A237-Ft!C$2)^2)+Ft!C$6*EXP(Ft!C$38*($A237-Ft!C$2)^2)),Ft!C$3*((1-Ft!C$7)/(1+Ft!C$39*($A237-Ft!C$2)^2)+Ft!C$7*EXP(Ft!C$40*($A237-Ft!C$2)^2)))</f>
        <v>45.821075866081472</v>
      </c>
      <c r="H237" s="3">
        <f>IF(($A237-Ft!D$2)&lt;0,Ft!D$3*((1-Ft!D$6)/(1+Ft!D$37*($A237-Ft!D$2)^2)+Ft!D$6*EXP(Ft!D$38*($A237-Ft!D$2)^2)),Ft!D$3*((1-Ft!D$7)/(1+Ft!D$39*($A237-Ft!D$2)^2)+Ft!D$7*EXP(Ft!D$40*($A237-Ft!D$2)^2)))</f>
        <v>0.7344574552462827</v>
      </c>
      <c r="I237" s="3">
        <f>IF(($A237-Ft!E$2)&lt;0,Ft!E$3*((1-Ft!E$6)/(1+Ft!E$37*($A237-Ft!E$2)^2)+Ft!E$6*EXP(Ft!E$38*($A237-Ft!E$2)^2)),Ft!E$3*((1-Ft!E$7)/(1+Ft!E$39*($A237-Ft!E$2)^2)+Ft!E$7*EXP(Ft!E$40*($A237-Ft!E$2)^2)))</f>
        <v>71.317345751554555</v>
      </c>
      <c r="J237" s="3">
        <f>IF(($A237-Ft!F$2)&lt;0,Ft!F$3*((1-Ft!F$6)/(1+Ft!F$37*($A237-Ft!F$2)^2)+Ft!F$6*EXP(Ft!F$38*($A237-Ft!F$2)^2)),Ft!F$3*((1-Ft!F$7)/(1+Ft!F$39*($A237-Ft!F$2)^2)+Ft!F$7*EXP(Ft!F$40*($A237-Ft!F$2)^2)))</f>
        <v>29.485553050735021</v>
      </c>
      <c r="K237" s="3">
        <f>IF(($A237-Ft!G$2)&lt;0,Ft!G$3*((1-Ft!G$6)/(1+Ft!G$37*($A237-Ft!G$2)^2)+Ft!G$6*EXP(Ft!G$38*($A237-Ft!G$2)^2)),Ft!G$3*((1-Ft!G$7)/(1+Ft!G$39*($A237-Ft!G$2)^2)+Ft!G$7*EXP(Ft!G$40*($A237-Ft!G$2)^2)))</f>
        <v>41.316963967550983</v>
      </c>
      <c r="L237" s="3">
        <f>IF(($A237-Ft!H$2)&lt;0,Ft!H$3*((1-Ft!H$6)/(1+Ft!H$37*($A237-Ft!H$2)^2)+Ft!H$6*EXP(Ft!H$38*($A237-Ft!H$2)^2)),Ft!H$3*((1-Ft!H$7)/(1+Ft!H$39*($A237-Ft!H$2)^2)+Ft!H$7*EXP(Ft!H$40*($A237-Ft!H$2)^2)))</f>
        <v>0</v>
      </c>
      <c r="M237" s="3">
        <f>IF(($A237-Ft!I$2)&lt;0,Ft!I$3*((1-Ft!I$6)/(1+Ft!I$37*($A237-Ft!I$2)^2)+Ft!I$6*EXP(Ft!I$38*($A237-Ft!I$2)^2)),Ft!I$3*((1-Ft!I$7)/(1+Ft!I$39*($A237-Ft!I$2)^2)+Ft!I$7*EXP(Ft!I$40*($A237-Ft!I$2)^2)))</f>
        <v>0</v>
      </c>
      <c r="N237" s="3">
        <f>IF(($A237-Ft!J$2)&lt;0,Ft!J$3*((1-Ft!J$6)/(1+Ft!J$37*($A237-Ft!J$2)^2)+Ft!J$6*EXP(Ft!J$38*($A237-Ft!J$2)^2)),Ft!J$3*((1-Ft!J$7)/(1+Ft!J$39*($A237-Ft!J$2)^2)+Ft!J$7*EXP(Ft!J$40*($A237-Ft!J$2)^2)))</f>
        <v>0</v>
      </c>
      <c r="O237" s="3">
        <f>IF(($A237-Ft!K$2)&lt;0,Ft!K$3*((1-Ft!K$6)/(1+Ft!K$37*($A237-Ft!K$2)^2)+Ft!K$6*EXP(Ft!K$38*($A237-Ft!K$2)^2)),Ft!K$3*((1-Ft!K$7)/(1+Ft!K$39*($A237-Ft!K$2)^2)+Ft!K$7*EXP(Ft!K$40*($A237-Ft!K$2)^2)))</f>
        <v>0</v>
      </c>
      <c r="P237"/>
      <c r="Q237"/>
    </row>
    <row r="238" spans="1:17">
      <c r="A238" s="20">
        <v>473</v>
      </c>
      <c r="B238" s="29">
        <v>46.35158629835766</v>
      </c>
      <c r="C238" s="7">
        <f t="shared" si="7"/>
        <v>46.307867202430842</v>
      </c>
      <c r="D238" s="3">
        <f t="shared" si="8"/>
        <v>1.9113593486583043E-3</v>
      </c>
      <c r="E238" s="3">
        <f>Ft!$B$12+Ft!$B$14*(Data!A238-Vars!$B$3)</f>
        <v>-200</v>
      </c>
      <c r="F238" s="3">
        <f>IF(($A238-Ft!B$2)&lt;0,Ft!B$3*((1-Ft!B$6)/(1+Ft!B$37*($A238-Ft!B$2)^2)+Ft!B$6*EXP(Ft!B$38*($A238-Ft!B$2)^2)),Ft!B$3*((1-Ft!B$7)/(1+Ft!B$39*($A238-Ft!B$2)^2)+Ft!B$7*EXP(Ft!B$40*($A238-Ft!B$2)^2)))</f>
        <v>57.157679669935121</v>
      </c>
      <c r="G238" s="3">
        <f>IF(($A238-Ft!C$2)&lt;0,Ft!C$3*((1-Ft!C$6)/(1+Ft!C$37*($A238-Ft!C$2)^2)+Ft!C$6*EXP(Ft!C$38*($A238-Ft!C$2)^2)),Ft!C$3*((1-Ft!C$7)/(1+Ft!C$39*($A238-Ft!C$2)^2)+Ft!C$7*EXP(Ft!C$40*($A238-Ft!C$2)^2)))</f>
        <v>45.908236716857552</v>
      </c>
      <c r="H238" s="3">
        <f>IF(($A238-Ft!D$2)&lt;0,Ft!D$3*((1-Ft!D$6)/(1+Ft!D$37*($A238-Ft!D$2)^2)+Ft!D$6*EXP(Ft!D$38*($A238-Ft!D$2)^2)),Ft!D$3*((1-Ft!D$7)/(1+Ft!D$39*($A238-Ft!D$2)^2)+Ft!D$7*EXP(Ft!D$40*($A238-Ft!D$2)^2)))</f>
        <v>0.66251765701688425</v>
      </c>
      <c r="I238" s="3">
        <f>IF(($A238-Ft!E$2)&lt;0,Ft!E$3*((1-Ft!E$6)/(1+Ft!E$37*($A238-Ft!E$2)^2)+Ft!E$6*EXP(Ft!E$38*($A238-Ft!E$2)^2)),Ft!E$3*((1-Ft!E$7)/(1+Ft!E$39*($A238-Ft!E$2)^2)+Ft!E$7*EXP(Ft!E$40*($A238-Ft!E$2)^2)))</f>
        <v>71.831641164580205</v>
      </c>
      <c r="J238" s="3">
        <f>IF(($A238-Ft!F$2)&lt;0,Ft!F$3*((1-Ft!F$6)/(1+Ft!F$37*($A238-Ft!F$2)^2)+Ft!F$6*EXP(Ft!F$38*($A238-Ft!F$2)^2)),Ft!F$3*((1-Ft!F$7)/(1+Ft!F$39*($A238-Ft!F$2)^2)+Ft!F$7*EXP(Ft!F$40*($A238-Ft!F$2)^2)))</f>
        <v>29.679579404256113</v>
      </c>
      <c r="K238" s="3">
        <f>IF(($A238-Ft!G$2)&lt;0,Ft!G$3*((1-Ft!G$6)/(1+Ft!G$37*($A238-Ft!G$2)^2)+Ft!G$6*EXP(Ft!G$38*($A238-Ft!G$2)^2)),Ft!G$3*((1-Ft!G$7)/(1+Ft!G$39*($A238-Ft!G$2)^2)+Ft!G$7*EXP(Ft!G$40*($A238-Ft!G$2)^2)))</f>
        <v>41.06821258978497</v>
      </c>
      <c r="L238" s="3">
        <f>IF(($A238-Ft!H$2)&lt;0,Ft!H$3*((1-Ft!H$6)/(1+Ft!H$37*($A238-Ft!H$2)^2)+Ft!H$6*EXP(Ft!H$38*($A238-Ft!H$2)^2)),Ft!H$3*((1-Ft!H$7)/(1+Ft!H$39*($A238-Ft!H$2)^2)+Ft!H$7*EXP(Ft!H$40*($A238-Ft!H$2)^2)))</f>
        <v>0</v>
      </c>
      <c r="M238" s="3">
        <f>IF(($A238-Ft!I$2)&lt;0,Ft!I$3*((1-Ft!I$6)/(1+Ft!I$37*($A238-Ft!I$2)^2)+Ft!I$6*EXP(Ft!I$38*($A238-Ft!I$2)^2)),Ft!I$3*((1-Ft!I$7)/(1+Ft!I$39*($A238-Ft!I$2)^2)+Ft!I$7*EXP(Ft!I$40*($A238-Ft!I$2)^2)))</f>
        <v>0</v>
      </c>
      <c r="N238" s="3">
        <f>IF(($A238-Ft!J$2)&lt;0,Ft!J$3*((1-Ft!J$6)/(1+Ft!J$37*($A238-Ft!J$2)^2)+Ft!J$6*EXP(Ft!J$38*($A238-Ft!J$2)^2)),Ft!J$3*((1-Ft!J$7)/(1+Ft!J$39*($A238-Ft!J$2)^2)+Ft!J$7*EXP(Ft!J$40*($A238-Ft!J$2)^2)))</f>
        <v>0</v>
      </c>
      <c r="O238" s="3">
        <f>IF(($A238-Ft!K$2)&lt;0,Ft!K$3*((1-Ft!K$6)/(1+Ft!K$37*($A238-Ft!K$2)^2)+Ft!K$6*EXP(Ft!K$38*($A238-Ft!K$2)^2)),Ft!K$3*((1-Ft!K$7)/(1+Ft!K$39*($A238-Ft!K$2)^2)+Ft!K$7*EXP(Ft!K$40*($A238-Ft!K$2)^2)))</f>
        <v>0</v>
      </c>
      <c r="P238"/>
      <c r="Q238"/>
    </row>
    <row r="239" spans="1:17">
      <c r="A239" s="20">
        <v>475</v>
      </c>
      <c r="B239" s="29">
        <v>46.434691958227646</v>
      </c>
      <c r="C239" s="7">
        <f t="shared" si="7"/>
        <v>46.405557471829695</v>
      </c>
      <c r="D239" s="3">
        <f t="shared" si="8"/>
        <v>8.488182976723542E-4</v>
      </c>
      <c r="E239" s="3">
        <f>Ft!$B$12+Ft!$B$14*(Data!A239-Vars!$B$3)</f>
        <v>-200</v>
      </c>
      <c r="F239" s="3">
        <f>IF(($A239-Ft!B$2)&lt;0,Ft!B$3*((1-Ft!B$6)/(1+Ft!B$37*($A239-Ft!B$2)^2)+Ft!B$6*EXP(Ft!B$38*($A239-Ft!B$2)^2)),Ft!B$3*((1-Ft!B$7)/(1+Ft!B$39*($A239-Ft!B$2)^2)+Ft!B$7*EXP(Ft!B$40*($A239-Ft!B$2)^2)))</f>
        <v>56.779402576179386</v>
      </c>
      <c r="G239" s="3">
        <f>IF(($A239-Ft!C$2)&lt;0,Ft!C$3*((1-Ft!C$6)/(1+Ft!C$37*($A239-Ft!C$2)^2)+Ft!C$6*EXP(Ft!C$38*($A239-Ft!C$2)^2)),Ft!C$3*((1-Ft!C$7)/(1+Ft!C$39*($A239-Ft!C$2)^2)+Ft!C$7*EXP(Ft!C$40*($A239-Ft!C$2)^2)))</f>
        <v>45.995156960423756</v>
      </c>
      <c r="H239" s="3">
        <f>IF(($A239-Ft!D$2)&lt;0,Ft!D$3*((1-Ft!D$6)/(1+Ft!D$37*($A239-Ft!D$2)^2)+Ft!D$6*EXP(Ft!D$38*($A239-Ft!D$2)^2)),Ft!D$3*((1-Ft!D$7)/(1+Ft!D$39*($A239-Ft!D$2)^2)+Ft!D$7*EXP(Ft!D$40*($A239-Ft!D$2)^2)))</f>
        <v>0.59433643940717207</v>
      </c>
      <c r="I239" s="3">
        <f>IF(($A239-Ft!E$2)&lt;0,Ft!E$3*((1-Ft!E$6)/(1+Ft!E$37*($A239-Ft!E$2)^2)+Ft!E$6*EXP(Ft!E$38*($A239-Ft!E$2)^2)),Ft!E$3*((1-Ft!E$7)/(1+Ft!E$39*($A239-Ft!E$2)^2)+Ft!E$7*EXP(Ft!E$40*($A239-Ft!E$2)^2)))</f>
        <v>72.34545053744489</v>
      </c>
      <c r="J239" s="3">
        <f>IF(($A239-Ft!F$2)&lt;0,Ft!F$3*((1-Ft!F$6)/(1+Ft!F$37*($A239-Ft!F$2)^2)+Ft!F$6*EXP(Ft!F$38*($A239-Ft!F$2)^2)),Ft!F$3*((1-Ft!F$7)/(1+Ft!F$39*($A239-Ft!F$2)^2)+Ft!F$7*EXP(Ft!F$40*($A239-Ft!F$2)^2)))</f>
        <v>29.8744890638655</v>
      </c>
      <c r="K239" s="3">
        <f>IF(($A239-Ft!G$2)&lt;0,Ft!G$3*((1-Ft!G$6)/(1+Ft!G$37*($A239-Ft!G$2)^2)+Ft!G$6*EXP(Ft!G$38*($A239-Ft!G$2)^2)),Ft!G$3*((1-Ft!G$7)/(1+Ft!G$39*($A239-Ft!G$2)^2)+Ft!G$7*EXP(Ft!G$40*($A239-Ft!G$2)^2)))</f>
        <v>40.81672189450898</v>
      </c>
      <c r="L239" s="3">
        <f>IF(($A239-Ft!H$2)&lt;0,Ft!H$3*((1-Ft!H$6)/(1+Ft!H$37*($A239-Ft!H$2)^2)+Ft!H$6*EXP(Ft!H$38*($A239-Ft!H$2)^2)),Ft!H$3*((1-Ft!H$7)/(1+Ft!H$39*($A239-Ft!H$2)^2)+Ft!H$7*EXP(Ft!H$40*($A239-Ft!H$2)^2)))</f>
        <v>0</v>
      </c>
      <c r="M239" s="3">
        <f>IF(($A239-Ft!I$2)&lt;0,Ft!I$3*((1-Ft!I$6)/(1+Ft!I$37*($A239-Ft!I$2)^2)+Ft!I$6*EXP(Ft!I$38*($A239-Ft!I$2)^2)),Ft!I$3*((1-Ft!I$7)/(1+Ft!I$39*($A239-Ft!I$2)^2)+Ft!I$7*EXP(Ft!I$40*($A239-Ft!I$2)^2)))</f>
        <v>0</v>
      </c>
      <c r="N239" s="3">
        <f>IF(($A239-Ft!J$2)&lt;0,Ft!J$3*((1-Ft!J$6)/(1+Ft!J$37*($A239-Ft!J$2)^2)+Ft!J$6*EXP(Ft!J$38*($A239-Ft!J$2)^2)),Ft!J$3*((1-Ft!J$7)/(1+Ft!J$39*($A239-Ft!J$2)^2)+Ft!J$7*EXP(Ft!J$40*($A239-Ft!J$2)^2)))</f>
        <v>0</v>
      </c>
      <c r="O239" s="3">
        <f>IF(($A239-Ft!K$2)&lt;0,Ft!K$3*((1-Ft!K$6)/(1+Ft!K$37*($A239-Ft!K$2)^2)+Ft!K$6*EXP(Ft!K$38*($A239-Ft!K$2)^2)),Ft!K$3*((1-Ft!K$7)/(1+Ft!K$39*($A239-Ft!K$2)^2)+Ft!K$7*EXP(Ft!K$40*($A239-Ft!K$2)^2)))</f>
        <v>0</v>
      </c>
      <c r="P239"/>
      <c r="Q239"/>
    </row>
    <row r="240" spans="1:17">
      <c r="A240" s="20">
        <v>477</v>
      </c>
      <c r="B240" s="29">
        <v>46.518777654892347</v>
      </c>
      <c r="C240" s="7">
        <f t="shared" si="7"/>
        <v>46.506179611628113</v>
      </c>
      <c r="D240" s="3">
        <f t="shared" si="8"/>
        <v>1.5871069408750254E-4</v>
      </c>
      <c r="E240" s="3">
        <f>Ft!$B$12+Ft!$B$14*(Data!A240-Vars!$B$3)</f>
        <v>-200</v>
      </c>
      <c r="F240" s="3">
        <f>IF(($A240-Ft!B$2)&lt;0,Ft!B$3*((1-Ft!B$6)/(1+Ft!B$37*($A240-Ft!B$2)^2)+Ft!B$6*EXP(Ft!B$38*($A240-Ft!B$2)^2)),Ft!B$3*((1-Ft!B$7)/(1+Ft!B$39*($A240-Ft!B$2)^2)+Ft!B$7*EXP(Ft!B$40*($A240-Ft!B$2)^2)))</f>
        <v>56.40255241894414</v>
      </c>
      <c r="G240" s="3">
        <f>IF(($A240-Ft!C$2)&lt;0,Ft!C$3*((1-Ft!C$6)/(1+Ft!C$37*($A240-Ft!C$2)^2)+Ft!C$6*EXP(Ft!C$38*($A240-Ft!C$2)^2)),Ft!C$3*((1-Ft!C$7)/(1+Ft!C$39*($A240-Ft!C$2)^2)+Ft!C$7*EXP(Ft!C$40*($A240-Ft!C$2)^2)))</f>
        <v>46.081834603764563</v>
      </c>
      <c r="H240" s="3">
        <f>IF(($A240-Ft!D$2)&lt;0,Ft!D$3*((1-Ft!D$6)/(1+Ft!D$37*($A240-Ft!D$2)^2)+Ft!D$6*EXP(Ft!D$38*($A240-Ft!D$2)^2)),Ft!D$3*((1-Ft!D$7)/(1+Ft!D$39*($A240-Ft!D$2)^2)+Ft!D$7*EXP(Ft!D$40*($A240-Ft!D$2)^2)))</f>
        <v>0.53023860729716765</v>
      </c>
      <c r="I240" s="3">
        <f>IF(($A240-Ft!E$2)&lt;0,Ft!E$3*((1-Ft!E$6)/(1+Ft!E$37*($A240-Ft!E$2)^2)+Ft!E$6*EXP(Ft!E$38*($A240-Ft!E$2)^2)),Ft!E$3*((1-Ft!E$7)/(1+Ft!E$39*($A240-Ft!E$2)^2)+Ft!E$7*EXP(Ft!E$40*($A240-Ft!E$2)^2)))</f>
        <v>72.858710599382434</v>
      </c>
      <c r="J240" s="3">
        <f>IF(($A240-Ft!F$2)&lt;0,Ft!F$3*((1-Ft!F$6)/(1+Ft!F$37*($A240-Ft!F$2)^2)+Ft!F$6*EXP(Ft!F$38*($A240-Ft!F$2)^2)),Ft!F$3*((1-Ft!F$7)/(1+Ft!F$39*($A240-Ft!F$2)^2)+Ft!F$7*EXP(Ft!F$40*($A240-Ft!F$2)^2)))</f>
        <v>30.070282679437305</v>
      </c>
      <c r="K240" s="3">
        <f>IF(($A240-Ft!G$2)&lt;0,Ft!G$3*((1-Ft!G$6)/(1+Ft!G$37*($A240-Ft!G$2)^2)+Ft!G$6*EXP(Ft!G$38*($A240-Ft!G$2)^2)),Ft!G$3*((1-Ft!G$7)/(1+Ft!G$39*($A240-Ft!G$2)^2)+Ft!G$7*EXP(Ft!G$40*($A240-Ft!G$2)^2)))</f>
        <v>40.562560702802507</v>
      </c>
      <c r="L240" s="3">
        <f>IF(($A240-Ft!H$2)&lt;0,Ft!H$3*((1-Ft!H$6)/(1+Ft!H$37*($A240-Ft!H$2)^2)+Ft!H$6*EXP(Ft!H$38*($A240-Ft!H$2)^2)),Ft!H$3*((1-Ft!H$7)/(1+Ft!H$39*($A240-Ft!H$2)^2)+Ft!H$7*EXP(Ft!H$40*($A240-Ft!H$2)^2)))</f>
        <v>0</v>
      </c>
      <c r="M240" s="3">
        <f>IF(($A240-Ft!I$2)&lt;0,Ft!I$3*((1-Ft!I$6)/(1+Ft!I$37*($A240-Ft!I$2)^2)+Ft!I$6*EXP(Ft!I$38*($A240-Ft!I$2)^2)),Ft!I$3*((1-Ft!I$7)/(1+Ft!I$39*($A240-Ft!I$2)^2)+Ft!I$7*EXP(Ft!I$40*($A240-Ft!I$2)^2)))</f>
        <v>0</v>
      </c>
      <c r="N240" s="3">
        <f>IF(($A240-Ft!J$2)&lt;0,Ft!J$3*((1-Ft!J$6)/(1+Ft!J$37*($A240-Ft!J$2)^2)+Ft!J$6*EXP(Ft!J$38*($A240-Ft!J$2)^2)),Ft!J$3*((1-Ft!J$7)/(1+Ft!J$39*($A240-Ft!J$2)^2)+Ft!J$7*EXP(Ft!J$40*($A240-Ft!J$2)^2)))</f>
        <v>0</v>
      </c>
      <c r="O240" s="3">
        <f>IF(($A240-Ft!K$2)&lt;0,Ft!K$3*((1-Ft!K$6)/(1+Ft!K$37*($A240-Ft!K$2)^2)+Ft!K$6*EXP(Ft!K$38*($A240-Ft!K$2)^2)),Ft!K$3*((1-Ft!K$7)/(1+Ft!K$39*($A240-Ft!K$2)^2)+Ft!K$7*EXP(Ft!K$40*($A240-Ft!K$2)^2)))</f>
        <v>0</v>
      </c>
      <c r="P240"/>
      <c r="Q240"/>
    </row>
    <row r="241" spans="1:17">
      <c r="A241" s="20">
        <v>479</v>
      </c>
      <c r="B241" s="29">
        <v>46.604369085651271</v>
      </c>
      <c r="C241" s="7">
        <f t="shared" si="7"/>
        <v>46.60996958354697</v>
      </c>
      <c r="D241" s="3">
        <f t="shared" si="8"/>
        <v>3.1365576679730758E-5</v>
      </c>
      <c r="E241" s="3">
        <f>Ft!$B$12+Ft!$B$14*(Data!A241-Vars!$B$3)</f>
        <v>-200</v>
      </c>
      <c r="F241" s="3">
        <f>IF(($A241-Ft!B$2)&lt;0,Ft!B$3*((1-Ft!B$6)/(1+Ft!B$37*($A241-Ft!B$2)^2)+Ft!B$6*EXP(Ft!B$38*($A241-Ft!B$2)^2)),Ft!B$3*((1-Ft!B$7)/(1+Ft!B$39*($A241-Ft!B$2)^2)+Ft!B$7*EXP(Ft!B$40*($A241-Ft!B$2)^2)))</f>
        <v>56.027134065328404</v>
      </c>
      <c r="G241" s="3">
        <f>IF(($A241-Ft!C$2)&lt;0,Ft!C$3*((1-Ft!C$6)/(1+Ft!C$37*($A241-Ft!C$2)^2)+Ft!C$6*EXP(Ft!C$38*($A241-Ft!C$2)^2)),Ft!C$3*((1-Ft!C$7)/(1+Ft!C$39*($A241-Ft!C$2)^2)+Ft!C$7*EXP(Ft!C$40*($A241-Ft!C$2)^2)))</f>
        <v>46.168267656536528</v>
      </c>
      <c r="H241" s="3">
        <f>IF(($A241-Ft!D$2)&lt;0,Ft!D$3*((1-Ft!D$6)/(1+Ft!D$37*($A241-Ft!D$2)^2)+Ft!D$6*EXP(Ft!D$38*($A241-Ft!D$2)^2)),Ft!D$3*((1-Ft!D$7)/(1+Ft!D$39*($A241-Ft!D$2)^2)+Ft!D$7*EXP(Ft!D$40*($A241-Ft!D$2)^2)))</f>
        <v>0.47045102709448033</v>
      </c>
      <c r="I241" s="3">
        <f>IF(($A241-Ft!E$2)&lt;0,Ft!E$3*((1-Ft!E$6)/(1+Ft!E$37*($A241-Ft!E$2)^2)+Ft!E$6*EXP(Ft!E$38*($A241-Ft!E$2)^2)),Ft!E$3*((1-Ft!E$7)/(1+Ft!E$39*($A241-Ft!E$2)^2)+Ft!E$7*EXP(Ft!E$40*($A241-Ft!E$2)^2)))</f>
        <v>73.371357724792944</v>
      </c>
      <c r="J241" s="3">
        <f>IF(($A241-Ft!F$2)&lt;0,Ft!F$3*((1-Ft!F$6)/(1+Ft!F$37*($A241-Ft!F$2)^2)+Ft!F$6*EXP(Ft!F$38*($A241-Ft!F$2)^2)),Ft!F$3*((1-Ft!F$7)/(1+Ft!F$39*($A241-Ft!F$2)^2)+Ft!F$7*EXP(Ft!F$40*($A241-Ft!F$2)^2)))</f>
        <v>30.26696087006874</v>
      </c>
      <c r="K241" s="3">
        <f>IF(($A241-Ft!G$2)&lt;0,Ft!G$3*((1-Ft!G$6)/(1+Ft!G$37*($A241-Ft!G$2)^2)+Ft!G$6*EXP(Ft!G$38*($A241-Ft!G$2)^2)),Ft!G$3*((1-Ft!G$7)/(1+Ft!G$39*($A241-Ft!G$2)^2)+Ft!G$7*EXP(Ft!G$40*($A241-Ft!G$2)^2)))</f>
        <v>40.305798239725874</v>
      </c>
      <c r="L241" s="3">
        <f>IF(($A241-Ft!H$2)&lt;0,Ft!H$3*((1-Ft!H$6)/(1+Ft!H$37*($A241-Ft!H$2)^2)+Ft!H$6*EXP(Ft!H$38*($A241-Ft!H$2)^2)),Ft!H$3*((1-Ft!H$7)/(1+Ft!H$39*($A241-Ft!H$2)^2)+Ft!H$7*EXP(Ft!H$40*($A241-Ft!H$2)^2)))</f>
        <v>0</v>
      </c>
      <c r="M241" s="3">
        <f>IF(($A241-Ft!I$2)&lt;0,Ft!I$3*((1-Ft!I$6)/(1+Ft!I$37*($A241-Ft!I$2)^2)+Ft!I$6*EXP(Ft!I$38*($A241-Ft!I$2)^2)),Ft!I$3*((1-Ft!I$7)/(1+Ft!I$39*($A241-Ft!I$2)^2)+Ft!I$7*EXP(Ft!I$40*($A241-Ft!I$2)^2)))</f>
        <v>0</v>
      </c>
      <c r="N241" s="3">
        <f>IF(($A241-Ft!J$2)&lt;0,Ft!J$3*((1-Ft!J$6)/(1+Ft!J$37*($A241-Ft!J$2)^2)+Ft!J$6*EXP(Ft!J$38*($A241-Ft!J$2)^2)),Ft!J$3*((1-Ft!J$7)/(1+Ft!J$39*($A241-Ft!J$2)^2)+Ft!J$7*EXP(Ft!J$40*($A241-Ft!J$2)^2)))</f>
        <v>0</v>
      </c>
      <c r="O241" s="3">
        <f>IF(($A241-Ft!K$2)&lt;0,Ft!K$3*((1-Ft!K$6)/(1+Ft!K$37*($A241-Ft!K$2)^2)+Ft!K$6*EXP(Ft!K$38*($A241-Ft!K$2)^2)),Ft!K$3*((1-Ft!K$7)/(1+Ft!K$39*($A241-Ft!K$2)^2)+Ft!K$7*EXP(Ft!K$40*($A241-Ft!K$2)^2)))</f>
        <v>0</v>
      </c>
      <c r="P241"/>
      <c r="Q241"/>
    </row>
    <row r="242" spans="1:17">
      <c r="A242" s="20">
        <v>481</v>
      </c>
      <c r="B242" s="29">
        <v>46.691933921734943</v>
      </c>
      <c r="C242" s="7">
        <f t="shared" si="7"/>
        <v>46.717071130719525</v>
      </c>
      <c r="D242" s="3">
        <f t="shared" si="8"/>
        <v>6.3187927553453021E-4</v>
      </c>
      <c r="E242" s="3">
        <f>Ft!$B$12+Ft!$B$14*(Data!A242-Vars!$B$3)</f>
        <v>-200</v>
      </c>
      <c r="F242" s="3">
        <f>IF(($A242-Ft!B$2)&lt;0,Ft!B$3*((1-Ft!B$6)/(1+Ft!B$37*($A242-Ft!B$2)^2)+Ft!B$6*EXP(Ft!B$38*($A242-Ft!B$2)^2)),Ft!B$3*((1-Ft!B$7)/(1+Ft!B$39*($A242-Ft!B$2)^2)+Ft!B$7*EXP(Ft!B$40*($A242-Ft!B$2)^2)))</f>
        <v>55.653152268370064</v>
      </c>
      <c r="G242" s="3">
        <f>IF(($A242-Ft!C$2)&lt;0,Ft!C$3*((1-Ft!C$6)/(1+Ft!C$37*($A242-Ft!C$2)^2)+Ft!C$6*EXP(Ft!C$38*($A242-Ft!C$2)^2)),Ft!C$3*((1-Ft!C$7)/(1+Ft!C$39*($A242-Ft!C$2)^2)+Ft!C$7*EXP(Ft!C$40*($A242-Ft!C$2)^2)))</f>
        <v>46.254454131143738</v>
      </c>
      <c r="H242" s="3">
        <f>IF(($A242-Ft!D$2)&lt;0,Ft!D$3*((1-Ft!D$6)/(1+Ft!D$37*($A242-Ft!D$2)^2)+Ft!D$6*EXP(Ft!D$38*($A242-Ft!D$2)^2)),Ft!D$3*((1-Ft!D$7)/(1+Ft!D$39*($A242-Ft!D$2)^2)+Ft!D$7*EXP(Ft!D$40*($A242-Ft!D$2)^2)))</f>
        <v>0.41510845867178453</v>
      </c>
      <c r="I242" s="3">
        <f>IF(($A242-Ft!E$2)&lt;0,Ft!E$3*((1-Ft!E$6)/(1+Ft!E$37*($A242-Ft!E$2)^2)+Ft!E$6*EXP(Ft!E$38*($A242-Ft!E$2)^2)),Ft!E$3*((1-Ft!E$7)/(1+Ft!E$39*($A242-Ft!E$2)^2)+Ft!E$7*EXP(Ft!E$40*($A242-Ft!E$2)^2)))</f>
        <v>73.883327945533594</v>
      </c>
      <c r="J242" s="3">
        <f>IF(($A242-Ft!F$2)&lt;0,Ft!F$3*((1-Ft!F$6)/(1+Ft!F$37*($A242-Ft!F$2)^2)+Ft!F$6*EXP(Ft!F$38*($A242-Ft!F$2)^2)),Ft!F$3*((1-Ft!F$7)/(1+Ft!F$39*($A242-Ft!F$2)^2)+Ft!F$7*EXP(Ft!F$40*($A242-Ft!F$2)^2)))</f>
        <v>30.464524223845658</v>
      </c>
      <c r="K242" s="3">
        <f>IF(($A242-Ft!G$2)&lt;0,Ft!G$3*((1-Ft!G$6)/(1+Ft!G$37*($A242-Ft!G$2)^2)+Ft!G$6*EXP(Ft!G$38*($A242-Ft!G$2)^2)),Ft!G$3*((1-Ft!G$7)/(1+Ft!G$39*($A242-Ft!G$2)^2)+Ft!G$7*EXP(Ft!G$40*($A242-Ft!G$2)^2)))</f>
        <v>40.046504103154682</v>
      </c>
      <c r="L242" s="3">
        <f>IF(($A242-Ft!H$2)&lt;0,Ft!H$3*((1-Ft!H$6)/(1+Ft!H$37*($A242-Ft!H$2)^2)+Ft!H$6*EXP(Ft!H$38*($A242-Ft!H$2)^2)),Ft!H$3*((1-Ft!H$7)/(1+Ft!H$39*($A242-Ft!H$2)^2)+Ft!H$7*EXP(Ft!H$40*($A242-Ft!H$2)^2)))</f>
        <v>0</v>
      </c>
      <c r="M242" s="3">
        <f>IF(($A242-Ft!I$2)&lt;0,Ft!I$3*((1-Ft!I$6)/(1+Ft!I$37*($A242-Ft!I$2)^2)+Ft!I$6*EXP(Ft!I$38*($A242-Ft!I$2)^2)),Ft!I$3*((1-Ft!I$7)/(1+Ft!I$39*($A242-Ft!I$2)^2)+Ft!I$7*EXP(Ft!I$40*($A242-Ft!I$2)^2)))</f>
        <v>0</v>
      </c>
      <c r="N242" s="3">
        <f>IF(($A242-Ft!J$2)&lt;0,Ft!J$3*((1-Ft!J$6)/(1+Ft!J$37*($A242-Ft!J$2)^2)+Ft!J$6*EXP(Ft!J$38*($A242-Ft!J$2)^2)),Ft!J$3*((1-Ft!J$7)/(1+Ft!J$39*($A242-Ft!J$2)^2)+Ft!J$7*EXP(Ft!J$40*($A242-Ft!J$2)^2)))</f>
        <v>0</v>
      </c>
      <c r="O242" s="3">
        <f>IF(($A242-Ft!K$2)&lt;0,Ft!K$3*((1-Ft!K$6)/(1+Ft!K$37*($A242-Ft!K$2)^2)+Ft!K$6*EXP(Ft!K$38*($A242-Ft!K$2)^2)),Ft!K$3*((1-Ft!K$7)/(1+Ft!K$39*($A242-Ft!K$2)^2)+Ft!K$7*EXP(Ft!K$40*($A242-Ft!K$2)^2)))</f>
        <v>0</v>
      </c>
      <c r="P242"/>
      <c r="Q242"/>
    </row>
    <row r="243" spans="1:17">
      <c r="A243" s="20">
        <v>483</v>
      </c>
      <c r="B243" s="29">
        <v>46.781879397368442</v>
      </c>
      <c r="C243" s="7">
        <f t="shared" si="7"/>
        <v>46.827543335329409</v>
      </c>
      <c r="D243" s="3">
        <f t="shared" si="8"/>
        <v>2.0851952301030345E-3</v>
      </c>
      <c r="E243" s="3">
        <f>Ft!$B$12+Ft!$B$14*(Data!A243-Vars!$B$3)</f>
        <v>-200</v>
      </c>
      <c r="F243" s="3">
        <f>IF(($A243-Ft!B$2)&lt;0,Ft!B$3*((1-Ft!B$6)/(1+Ft!B$37*($A243-Ft!B$2)^2)+Ft!B$6*EXP(Ft!B$38*($A243-Ft!B$2)^2)),Ft!B$3*((1-Ft!B$7)/(1+Ft!B$39*($A243-Ft!B$2)^2)+Ft!B$7*EXP(Ft!B$40*($A243-Ft!B$2)^2)))</f>
        <v>55.280611667443516</v>
      </c>
      <c r="G243" s="3">
        <f>IF(($A243-Ft!C$2)&lt;0,Ft!C$3*((1-Ft!C$6)/(1+Ft!C$37*($A243-Ft!C$2)^2)+Ft!C$6*EXP(Ft!C$38*($A243-Ft!C$2)^2)),Ft!C$3*((1-Ft!C$7)/(1+Ft!C$39*($A243-Ft!C$2)^2)+Ft!C$7*EXP(Ft!C$40*($A243-Ft!C$2)^2)))</f>
        <v>46.340392042813292</v>
      </c>
      <c r="H243" s="3">
        <f>IF(($A243-Ft!D$2)&lt;0,Ft!D$3*((1-Ft!D$6)/(1+Ft!D$37*($A243-Ft!D$2)^2)+Ft!D$6*EXP(Ft!D$38*($A243-Ft!D$2)^2)),Ft!D$3*((1-Ft!D$7)/(1+Ft!D$39*($A243-Ft!D$2)^2)+Ft!D$7*EXP(Ft!D$40*($A243-Ft!D$2)^2)))</f>
        <v>0.3642611314510516</v>
      </c>
      <c r="I243" s="3">
        <f>IF(($A243-Ft!E$2)&lt;0,Ft!E$3*((1-Ft!E$6)/(1+Ft!E$37*($A243-Ft!E$2)^2)+Ft!E$6*EXP(Ft!E$38*($A243-Ft!E$2)^2)),Ft!E$3*((1-Ft!E$7)/(1+Ft!E$39*($A243-Ft!E$2)^2)+Ft!E$7*EXP(Ft!E$40*($A243-Ft!E$2)^2)))</f>
        <v>74.394556963395772</v>
      </c>
      <c r="J243" s="3">
        <f>IF(($A243-Ft!F$2)&lt;0,Ft!F$3*((1-Ft!F$6)/(1+Ft!F$37*($A243-Ft!F$2)^2)+Ft!F$6*EXP(Ft!F$38*($A243-Ft!F$2)^2)),Ft!F$3*((1-Ft!F$7)/(1+Ft!F$39*($A243-Ft!F$2)^2)+Ft!F$7*EXP(Ft!F$40*($A243-Ft!F$2)^2)))</f>
        <v>30.662973297608684</v>
      </c>
      <c r="K243" s="3">
        <f>IF(($A243-Ft!G$2)&lt;0,Ft!G$3*((1-Ft!G$6)/(1+Ft!G$37*($A243-Ft!G$2)^2)+Ft!G$6*EXP(Ft!G$38*($A243-Ft!G$2)^2)),Ft!G$3*((1-Ft!G$7)/(1+Ft!G$39*($A243-Ft!G$2)^2)+Ft!G$7*EXP(Ft!G$40*($A243-Ft!G$2)^2)))</f>
        <v>39.784748232617105</v>
      </c>
      <c r="L243" s="3">
        <f>IF(($A243-Ft!H$2)&lt;0,Ft!H$3*((1-Ft!H$6)/(1+Ft!H$37*($A243-Ft!H$2)^2)+Ft!H$6*EXP(Ft!H$38*($A243-Ft!H$2)^2)),Ft!H$3*((1-Ft!H$7)/(1+Ft!H$39*($A243-Ft!H$2)^2)+Ft!H$7*EXP(Ft!H$40*($A243-Ft!H$2)^2)))</f>
        <v>0</v>
      </c>
      <c r="M243" s="3">
        <f>IF(($A243-Ft!I$2)&lt;0,Ft!I$3*((1-Ft!I$6)/(1+Ft!I$37*($A243-Ft!I$2)^2)+Ft!I$6*EXP(Ft!I$38*($A243-Ft!I$2)^2)),Ft!I$3*((1-Ft!I$7)/(1+Ft!I$39*($A243-Ft!I$2)^2)+Ft!I$7*EXP(Ft!I$40*($A243-Ft!I$2)^2)))</f>
        <v>0</v>
      </c>
      <c r="N243" s="3">
        <f>IF(($A243-Ft!J$2)&lt;0,Ft!J$3*((1-Ft!J$6)/(1+Ft!J$37*($A243-Ft!J$2)^2)+Ft!J$6*EXP(Ft!J$38*($A243-Ft!J$2)^2)),Ft!J$3*((1-Ft!J$7)/(1+Ft!J$39*($A243-Ft!J$2)^2)+Ft!J$7*EXP(Ft!J$40*($A243-Ft!J$2)^2)))</f>
        <v>0</v>
      </c>
      <c r="O243" s="3">
        <f>IF(($A243-Ft!K$2)&lt;0,Ft!K$3*((1-Ft!K$6)/(1+Ft!K$37*($A243-Ft!K$2)^2)+Ft!K$6*EXP(Ft!K$38*($A243-Ft!K$2)^2)),Ft!K$3*((1-Ft!K$7)/(1+Ft!K$39*($A243-Ft!K$2)^2)+Ft!K$7*EXP(Ft!K$40*($A243-Ft!K$2)^2)))</f>
        <v>0</v>
      </c>
      <c r="P243"/>
      <c r="Q243"/>
    </row>
    <row r="244" spans="1:17">
      <c r="A244" s="20">
        <v>485</v>
      </c>
      <c r="B244" s="29">
        <v>46.874551046558665</v>
      </c>
      <c r="C244" s="7">
        <f t="shared" si="7"/>
        <v>46.941369489469793</v>
      </c>
      <c r="D244" s="3">
        <f t="shared" si="8"/>
        <v>4.4647043130676472E-3</v>
      </c>
      <c r="E244" s="3">
        <f>Ft!$B$12+Ft!$B$14*(Data!A244-Vars!$B$3)</f>
        <v>-200</v>
      </c>
      <c r="F244" s="3">
        <f>IF(($A244-Ft!B$2)&lt;0,Ft!B$3*((1-Ft!B$6)/(1+Ft!B$37*($A244-Ft!B$2)^2)+Ft!B$6*EXP(Ft!B$38*($A244-Ft!B$2)^2)),Ft!B$3*((1-Ft!B$7)/(1+Ft!B$39*($A244-Ft!B$2)^2)+Ft!B$7*EXP(Ft!B$40*($A244-Ft!B$2)^2)))</f>
        <v>54.909516788665151</v>
      </c>
      <c r="G244" s="3">
        <f>IF(($A244-Ft!C$2)&lt;0,Ft!C$3*((1-Ft!C$6)/(1+Ft!C$37*($A244-Ft!C$2)^2)+Ft!C$6*EXP(Ft!C$38*($A244-Ft!C$2)^2)),Ft!C$3*((1-Ft!C$7)/(1+Ft!C$39*($A244-Ft!C$2)^2)+Ft!C$7*EXP(Ft!C$40*($A244-Ft!C$2)^2)))</f>
        <v>46.426079409670706</v>
      </c>
      <c r="H244" s="3">
        <f>IF(($A244-Ft!D$2)&lt;0,Ft!D$3*((1-Ft!D$6)/(1+Ft!D$37*($A244-Ft!D$2)^2)+Ft!D$6*EXP(Ft!D$38*($A244-Ft!D$2)^2)),Ft!D$3*((1-Ft!D$7)/(1+Ft!D$39*($A244-Ft!D$2)^2)+Ft!D$7*EXP(Ft!D$40*($A244-Ft!D$2)^2)))</f>
        <v>0.31788363349526971</v>
      </c>
      <c r="I244" s="3">
        <f>IF(($A244-Ft!E$2)&lt;0,Ft!E$3*((1-Ft!E$6)/(1+Ft!E$37*($A244-Ft!E$2)^2)+Ft!E$6*EXP(Ft!E$38*($A244-Ft!E$2)^2)),Ft!E$3*((1-Ft!E$7)/(1+Ft!E$39*($A244-Ft!E$2)^2)+Ft!E$7*EXP(Ft!E$40*($A244-Ft!E$2)^2)))</f>
        <v>74.904980162765682</v>
      </c>
      <c r="J244" s="3">
        <f>IF(($A244-Ft!F$2)&lt;0,Ft!F$3*((1-Ft!F$6)/(1+Ft!F$37*($A244-Ft!F$2)^2)+Ft!F$6*EXP(Ft!F$38*($A244-Ft!F$2)^2)),Ft!F$3*((1-Ft!F$7)/(1+Ft!F$39*($A244-Ft!F$2)^2)+Ft!F$7*EXP(Ft!F$40*($A244-Ft!F$2)^2)))</f>
        <v>30.862308616719719</v>
      </c>
      <c r="K244" s="3">
        <f>IF(($A244-Ft!G$2)&lt;0,Ft!G$3*((1-Ft!G$6)/(1+Ft!G$37*($A244-Ft!G$2)^2)+Ft!G$6*EXP(Ft!G$38*($A244-Ft!G$2)^2)),Ft!G$3*((1-Ft!G$7)/(1+Ft!G$39*($A244-Ft!G$2)^2)+Ft!G$7*EXP(Ft!G$40*($A244-Ft!G$2)^2)))</f>
        <v>39.520600878153274</v>
      </c>
      <c r="L244" s="3">
        <f>IF(($A244-Ft!H$2)&lt;0,Ft!H$3*((1-Ft!H$6)/(1+Ft!H$37*($A244-Ft!H$2)^2)+Ft!H$6*EXP(Ft!H$38*($A244-Ft!H$2)^2)),Ft!H$3*((1-Ft!H$7)/(1+Ft!H$39*($A244-Ft!H$2)^2)+Ft!H$7*EXP(Ft!H$40*($A244-Ft!H$2)^2)))</f>
        <v>0</v>
      </c>
      <c r="M244" s="3">
        <f>IF(($A244-Ft!I$2)&lt;0,Ft!I$3*((1-Ft!I$6)/(1+Ft!I$37*($A244-Ft!I$2)^2)+Ft!I$6*EXP(Ft!I$38*($A244-Ft!I$2)^2)),Ft!I$3*((1-Ft!I$7)/(1+Ft!I$39*($A244-Ft!I$2)^2)+Ft!I$7*EXP(Ft!I$40*($A244-Ft!I$2)^2)))</f>
        <v>0</v>
      </c>
      <c r="N244" s="3">
        <f>IF(($A244-Ft!J$2)&lt;0,Ft!J$3*((1-Ft!J$6)/(1+Ft!J$37*($A244-Ft!J$2)^2)+Ft!J$6*EXP(Ft!J$38*($A244-Ft!J$2)^2)),Ft!J$3*((1-Ft!J$7)/(1+Ft!J$39*($A244-Ft!J$2)^2)+Ft!J$7*EXP(Ft!J$40*($A244-Ft!J$2)^2)))</f>
        <v>0</v>
      </c>
      <c r="O244" s="3">
        <f>IF(($A244-Ft!K$2)&lt;0,Ft!K$3*((1-Ft!K$6)/(1+Ft!K$37*($A244-Ft!K$2)^2)+Ft!K$6*EXP(Ft!K$38*($A244-Ft!K$2)^2)),Ft!K$3*((1-Ft!K$7)/(1+Ft!K$39*($A244-Ft!K$2)^2)+Ft!K$7*EXP(Ft!K$40*($A244-Ft!K$2)^2)))</f>
        <v>0</v>
      </c>
      <c r="P244"/>
      <c r="Q244"/>
    </row>
    <row r="245" spans="1:17">
      <c r="A245" s="20">
        <v>487</v>
      </c>
      <c r="B245" s="29">
        <v>46.97023252814455</v>
      </c>
      <c r="C245" s="7">
        <f t="shared" si="7"/>
        <v>47.05846685021227</v>
      </c>
      <c r="D245" s="3">
        <f t="shared" si="8"/>
        <v>7.7852955907501357E-3</v>
      </c>
      <c r="E245" s="3">
        <f>Ft!$B$12+Ft!$B$14*(Data!A245-Vars!$B$3)</f>
        <v>-200</v>
      </c>
      <c r="F245" s="3">
        <f>IF(($A245-Ft!B$2)&lt;0,Ft!B$3*((1-Ft!B$6)/(1+Ft!B$37*($A245-Ft!B$2)^2)+Ft!B$6*EXP(Ft!B$38*($A245-Ft!B$2)^2)),Ft!B$3*((1-Ft!B$7)/(1+Ft!B$39*($A245-Ft!B$2)^2)+Ft!B$7*EXP(Ft!B$40*($A245-Ft!B$2)^2)))</f>
        <v>54.539872045307263</v>
      </c>
      <c r="G245" s="3">
        <f>IF(($A245-Ft!C$2)&lt;0,Ft!C$3*((1-Ft!C$6)/(1+Ft!C$37*($A245-Ft!C$2)^2)+Ft!C$6*EXP(Ft!C$38*($A245-Ft!C$2)^2)),Ft!C$3*((1-Ft!C$7)/(1+Ft!C$39*($A245-Ft!C$2)^2)+Ft!C$7*EXP(Ft!C$40*($A245-Ft!C$2)^2)))</f>
        <v>46.51151425281553</v>
      </c>
      <c r="H245" s="3">
        <f>IF(($A245-Ft!D$2)&lt;0,Ft!D$3*((1-Ft!D$6)/(1+Ft!D$37*($A245-Ft!D$2)^2)+Ft!D$6*EXP(Ft!D$38*($A245-Ft!D$2)^2)),Ft!D$3*((1-Ft!D$7)/(1+Ft!D$39*($A245-Ft!D$2)^2)+Ft!D$7*EXP(Ft!D$40*($A245-Ft!D$2)^2)))</f>
        <v>0.27588468457881848</v>
      </c>
      <c r="I245" s="3">
        <f>IF(($A245-Ft!E$2)&lt;0,Ft!E$3*((1-Ft!E$6)/(1+Ft!E$37*($A245-Ft!E$2)^2)+Ft!E$6*EXP(Ft!E$38*($A245-Ft!E$2)^2)),Ft!E$3*((1-Ft!E$7)/(1+Ft!E$39*($A245-Ft!E$2)^2)+Ft!E$7*EXP(Ft!E$40*($A245-Ft!E$2)^2)))</f>
        <v>75.414532623465334</v>
      </c>
      <c r="J245" s="3">
        <f>IF(($A245-Ft!F$2)&lt;0,Ft!F$3*((1-Ft!F$6)/(1+Ft!F$37*($A245-Ft!F$2)^2)+Ft!F$6*EXP(Ft!F$38*($A245-Ft!F$2)^2)),Ft!F$3*((1-Ft!F$7)/(1+Ft!F$39*($A245-Ft!F$2)^2)+Ft!F$7*EXP(Ft!F$40*($A245-Ft!F$2)^2)))</f>
        <v>31.062530674829286</v>
      </c>
      <c r="K245" s="3">
        <f>IF(($A245-Ft!G$2)&lt;0,Ft!G$3*((1-Ft!G$6)/(1+Ft!G$37*($A245-Ft!G$2)^2)+Ft!G$6*EXP(Ft!G$38*($A245-Ft!G$2)^2)),Ft!G$3*((1-Ft!G$7)/(1+Ft!G$39*($A245-Ft!G$2)^2)+Ft!G$7*EXP(Ft!G$40*($A245-Ft!G$2)^2)))</f>
        <v>39.254132569216026</v>
      </c>
      <c r="L245" s="3">
        <f>IF(($A245-Ft!H$2)&lt;0,Ft!H$3*((1-Ft!H$6)/(1+Ft!H$37*($A245-Ft!H$2)^2)+Ft!H$6*EXP(Ft!H$38*($A245-Ft!H$2)^2)),Ft!H$3*((1-Ft!H$7)/(1+Ft!H$39*($A245-Ft!H$2)^2)+Ft!H$7*EXP(Ft!H$40*($A245-Ft!H$2)^2)))</f>
        <v>0</v>
      </c>
      <c r="M245" s="3">
        <f>IF(($A245-Ft!I$2)&lt;0,Ft!I$3*((1-Ft!I$6)/(1+Ft!I$37*($A245-Ft!I$2)^2)+Ft!I$6*EXP(Ft!I$38*($A245-Ft!I$2)^2)),Ft!I$3*((1-Ft!I$7)/(1+Ft!I$39*($A245-Ft!I$2)^2)+Ft!I$7*EXP(Ft!I$40*($A245-Ft!I$2)^2)))</f>
        <v>0</v>
      </c>
      <c r="N245" s="3">
        <f>IF(($A245-Ft!J$2)&lt;0,Ft!J$3*((1-Ft!J$6)/(1+Ft!J$37*($A245-Ft!J$2)^2)+Ft!J$6*EXP(Ft!J$38*($A245-Ft!J$2)^2)),Ft!J$3*((1-Ft!J$7)/(1+Ft!J$39*($A245-Ft!J$2)^2)+Ft!J$7*EXP(Ft!J$40*($A245-Ft!J$2)^2)))</f>
        <v>0</v>
      </c>
      <c r="O245" s="3">
        <f>IF(($A245-Ft!K$2)&lt;0,Ft!K$3*((1-Ft!K$6)/(1+Ft!K$37*($A245-Ft!K$2)^2)+Ft!K$6*EXP(Ft!K$38*($A245-Ft!K$2)^2)),Ft!K$3*((1-Ft!K$7)/(1+Ft!K$39*($A245-Ft!K$2)^2)+Ft!K$7*EXP(Ft!K$40*($A245-Ft!K$2)^2)))</f>
        <v>0</v>
      </c>
      <c r="P245"/>
      <c r="Q245"/>
    </row>
    <row r="246" spans="1:17">
      <c r="A246" s="20">
        <v>489</v>
      </c>
      <c r="B246" s="29">
        <v>47.069146459905483</v>
      </c>
      <c r="C246" s="7">
        <f t="shared" si="7"/>
        <v>47.178696869397463</v>
      </c>
      <c r="D246" s="3">
        <f t="shared" si="8"/>
        <v>1.2001292219860581E-2</v>
      </c>
      <c r="E246" s="3">
        <f>Ft!$B$12+Ft!$B$14*(Data!A246-Vars!$B$3)</f>
        <v>-200</v>
      </c>
      <c r="F246" s="3">
        <f>IF(($A246-Ft!B$2)&lt;0,Ft!B$3*((1-Ft!B$6)/(1+Ft!B$37*($A246-Ft!B$2)^2)+Ft!B$6*EXP(Ft!B$38*($A246-Ft!B$2)^2)),Ft!B$3*((1-Ft!B$7)/(1+Ft!B$39*($A246-Ft!B$2)^2)+Ft!B$7*EXP(Ft!B$40*($A246-Ft!B$2)^2)))</f>
        <v>54.171681738219711</v>
      </c>
      <c r="G246" s="3">
        <f>IF(($A246-Ft!C$2)&lt;0,Ft!C$3*((1-Ft!C$6)/(1+Ft!C$37*($A246-Ft!C$2)^2)+Ft!C$6*EXP(Ft!C$38*($A246-Ft!C$2)^2)),Ft!C$3*((1-Ft!C$7)/(1+Ft!C$39*($A246-Ft!C$2)^2)+Ft!C$7*EXP(Ft!C$40*($A246-Ft!C$2)^2)))</f>
        <v>46.596694596396752</v>
      </c>
      <c r="H246" s="3">
        <f>IF(($A246-Ft!D$2)&lt;0,Ft!D$3*((1-Ft!D$6)/(1+Ft!D$37*($A246-Ft!D$2)^2)+Ft!D$6*EXP(Ft!D$38*($A246-Ft!D$2)^2)),Ft!D$3*((1-Ft!D$7)/(1+Ft!D$39*($A246-Ft!D$2)^2)+Ft!D$7*EXP(Ft!D$40*($A246-Ft!D$2)^2)))</f>
        <v>0.23811738373436453</v>
      </c>
      <c r="I246" s="3">
        <f>IF(($A246-Ft!E$2)&lt;0,Ft!E$3*((1-Ft!E$6)/(1+Ft!E$37*($A246-Ft!E$2)^2)+Ft!E$6*EXP(Ft!E$38*($A246-Ft!E$2)^2)),Ft!E$3*((1-Ft!E$7)/(1+Ft!E$39*($A246-Ft!E$2)^2)+Ft!E$7*EXP(Ft!E$40*($A246-Ft!E$2)^2)))</f>
        <v>75.923149133770565</v>
      </c>
      <c r="J246" s="3">
        <f>IF(($A246-Ft!F$2)&lt;0,Ft!F$3*((1-Ft!F$6)/(1+Ft!F$37*($A246-Ft!F$2)^2)+Ft!F$6*EXP(Ft!F$38*($A246-Ft!F$2)^2)),Ft!F$3*((1-Ft!F$7)/(1+Ft!F$39*($A246-Ft!F$2)^2)+Ft!F$7*EXP(Ft!F$40*($A246-Ft!F$2)^2)))</f>
        <v>31.263639933644114</v>
      </c>
      <c r="K246" s="3">
        <f>IF(($A246-Ft!G$2)&lt;0,Ft!G$3*((1-Ft!G$6)/(1+Ft!G$37*($A246-Ft!G$2)^2)+Ft!G$6*EXP(Ft!G$38*($A246-Ft!G$2)^2)),Ft!G$3*((1-Ft!G$7)/(1+Ft!G$39*($A246-Ft!G$2)^2)+Ft!G$7*EXP(Ft!G$40*($A246-Ft!G$2)^2)))</f>
        <v>38.985414083631944</v>
      </c>
      <c r="L246" s="3">
        <f>IF(($A246-Ft!H$2)&lt;0,Ft!H$3*((1-Ft!H$6)/(1+Ft!H$37*($A246-Ft!H$2)^2)+Ft!H$6*EXP(Ft!H$38*($A246-Ft!H$2)^2)),Ft!H$3*((1-Ft!H$7)/(1+Ft!H$39*($A246-Ft!H$2)^2)+Ft!H$7*EXP(Ft!H$40*($A246-Ft!H$2)^2)))</f>
        <v>0</v>
      </c>
      <c r="M246" s="3">
        <f>IF(($A246-Ft!I$2)&lt;0,Ft!I$3*((1-Ft!I$6)/(1+Ft!I$37*($A246-Ft!I$2)^2)+Ft!I$6*EXP(Ft!I$38*($A246-Ft!I$2)^2)),Ft!I$3*((1-Ft!I$7)/(1+Ft!I$39*($A246-Ft!I$2)^2)+Ft!I$7*EXP(Ft!I$40*($A246-Ft!I$2)^2)))</f>
        <v>0</v>
      </c>
      <c r="N246" s="3">
        <f>IF(($A246-Ft!J$2)&lt;0,Ft!J$3*((1-Ft!J$6)/(1+Ft!J$37*($A246-Ft!J$2)^2)+Ft!J$6*EXP(Ft!J$38*($A246-Ft!J$2)^2)),Ft!J$3*((1-Ft!J$7)/(1+Ft!J$39*($A246-Ft!J$2)^2)+Ft!J$7*EXP(Ft!J$40*($A246-Ft!J$2)^2)))</f>
        <v>0</v>
      </c>
      <c r="O246" s="3">
        <f>IF(($A246-Ft!K$2)&lt;0,Ft!K$3*((1-Ft!K$6)/(1+Ft!K$37*($A246-Ft!K$2)^2)+Ft!K$6*EXP(Ft!K$38*($A246-Ft!K$2)^2)),Ft!K$3*((1-Ft!K$7)/(1+Ft!K$39*($A246-Ft!K$2)^2)+Ft!K$7*EXP(Ft!K$40*($A246-Ft!K$2)^2)))</f>
        <v>0</v>
      </c>
      <c r="P246"/>
      <c r="Q246"/>
    </row>
    <row r="247" spans="1:17">
      <c r="A247" s="20">
        <v>491</v>
      </c>
      <c r="B247" s="29">
        <v>47.171456166280706</v>
      </c>
      <c r="C247" s="7">
        <f t="shared" si="7"/>
        <v>47.301875522619525</v>
      </c>
      <c r="D247" s="3">
        <f t="shared" si="8"/>
        <v>1.700920850783201E-2</v>
      </c>
      <c r="E247" s="3">
        <f>Ft!$B$12+Ft!$B$14*(Data!A247-Vars!$B$3)</f>
        <v>-200</v>
      </c>
      <c r="F247" s="3">
        <f>IF(($A247-Ft!B$2)&lt;0,Ft!B$3*((1-Ft!B$6)/(1+Ft!B$37*($A247-Ft!B$2)^2)+Ft!B$6*EXP(Ft!B$38*($A247-Ft!B$2)^2)),Ft!B$3*((1-Ft!B$7)/(1+Ft!B$39*($A247-Ft!B$2)^2)+Ft!B$7*EXP(Ft!B$40*($A247-Ft!B$2)^2)))</f>
        <v>53.804950056259464</v>
      </c>
      <c r="G247" s="3">
        <f>IF(($A247-Ft!C$2)&lt;0,Ft!C$3*((1-Ft!C$6)/(1+Ft!C$37*($A247-Ft!C$2)^2)+Ft!C$6*EXP(Ft!C$38*($A247-Ft!C$2)^2)),Ft!C$3*((1-Ft!C$7)/(1+Ft!C$39*($A247-Ft!C$2)^2)+Ft!C$7*EXP(Ft!C$40*($A247-Ft!C$2)^2)))</f>
        <v>46.681618467688352</v>
      </c>
      <c r="H247" s="3">
        <f>IF(($A247-Ft!D$2)&lt;0,Ft!D$3*((1-Ft!D$6)/(1+Ft!D$37*($A247-Ft!D$2)^2)+Ft!D$6*EXP(Ft!D$38*($A247-Ft!D$2)^2)),Ft!D$3*((1-Ft!D$7)/(1+Ft!D$39*($A247-Ft!D$2)^2)+Ft!D$7*EXP(Ft!D$40*($A247-Ft!D$2)^2)))</f>
        <v>0.20438955573170223</v>
      </c>
      <c r="I247" s="3">
        <f>IF(($A247-Ft!E$2)&lt;0,Ft!E$3*((1-Ft!E$6)/(1+Ft!E$37*($A247-Ft!E$2)^2)+Ft!E$6*EXP(Ft!E$38*($A247-Ft!E$2)^2)),Ft!E$3*((1-Ft!E$7)/(1+Ft!E$39*($A247-Ft!E$2)^2)+Ft!E$7*EXP(Ft!E$40*($A247-Ft!E$2)^2)))</f>
        <v>76.430764203602678</v>
      </c>
      <c r="J247" s="3">
        <f>IF(($A247-Ft!F$2)&lt;0,Ft!F$3*((1-Ft!F$6)/(1+Ft!F$37*($A247-Ft!F$2)^2)+Ft!F$6*EXP(Ft!F$38*($A247-Ft!F$2)^2)),Ft!F$3*((1-Ft!F$7)/(1+Ft!F$39*($A247-Ft!F$2)^2)+Ft!F$7*EXP(Ft!F$40*($A247-Ft!F$2)^2)))</f>
        <v>31.465636822695668</v>
      </c>
      <c r="K247" s="3">
        <f>IF(($A247-Ft!G$2)&lt;0,Ft!G$3*((1-Ft!G$6)/(1+Ft!G$37*($A247-Ft!G$2)^2)+Ft!G$6*EXP(Ft!G$38*($A247-Ft!G$2)^2)),Ft!G$3*((1-Ft!G$7)/(1+Ft!G$39*($A247-Ft!G$2)^2)+Ft!G$7*EXP(Ft!G$40*($A247-Ft!G$2)^2)))</f>
        <v>38.714516416641658</v>
      </c>
      <c r="L247" s="3">
        <f>IF(($A247-Ft!H$2)&lt;0,Ft!H$3*((1-Ft!H$6)/(1+Ft!H$37*($A247-Ft!H$2)^2)+Ft!H$6*EXP(Ft!H$38*($A247-Ft!H$2)^2)),Ft!H$3*((1-Ft!H$7)/(1+Ft!H$39*($A247-Ft!H$2)^2)+Ft!H$7*EXP(Ft!H$40*($A247-Ft!H$2)^2)))</f>
        <v>0</v>
      </c>
      <c r="M247" s="3">
        <f>IF(($A247-Ft!I$2)&lt;0,Ft!I$3*((1-Ft!I$6)/(1+Ft!I$37*($A247-Ft!I$2)^2)+Ft!I$6*EXP(Ft!I$38*($A247-Ft!I$2)^2)),Ft!I$3*((1-Ft!I$7)/(1+Ft!I$39*($A247-Ft!I$2)^2)+Ft!I$7*EXP(Ft!I$40*($A247-Ft!I$2)^2)))</f>
        <v>0</v>
      </c>
      <c r="N247" s="3">
        <f>IF(($A247-Ft!J$2)&lt;0,Ft!J$3*((1-Ft!J$6)/(1+Ft!J$37*($A247-Ft!J$2)^2)+Ft!J$6*EXP(Ft!J$38*($A247-Ft!J$2)^2)),Ft!J$3*((1-Ft!J$7)/(1+Ft!J$39*($A247-Ft!J$2)^2)+Ft!J$7*EXP(Ft!J$40*($A247-Ft!J$2)^2)))</f>
        <v>0</v>
      </c>
      <c r="O247" s="3">
        <f>IF(($A247-Ft!K$2)&lt;0,Ft!K$3*((1-Ft!K$6)/(1+Ft!K$37*($A247-Ft!K$2)^2)+Ft!K$6*EXP(Ft!K$38*($A247-Ft!K$2)^2)),Ft!K$3*((1-Ft!K$7)/(1+Ft!K$39*($A247-Ft!K$2)^2)+Ft!K$7*EXP(Ft!K$40*($A247-Ft!K$2)^2)))</f>
        <v>0</v>
      </c>
      <c r="P247"/>
      <c r="Q247"/>
    </row>
    <row r="248" spans="1:17">
      <c r="A248" s="20">
        <v>493</v>
      </c>
      <c r="B248" s="29">
        <v>47.277268231704213</v>
      </c>
      <c r="C248" s="7">
        <f t="shared" si="7"/>
        <v>47.427783406901924</v>
      </c>
      <c r="D248" s="3">
        <f t="shared" si="8"/>
        <v>2.2654817964797624E-2</v>
      </c>
      <c r="E248" s="3">
        <f>Ft!$B$12+Ft!$B$14*(Data!A248-Vars!$B$3)</f>
        <v>-200</v>
      </c>
      <c r="F248" s="3">
        <f>IF(($A248-Ft!B$2)&lt;0,Ft!B$3*((1-Ft!B$6)/(1+Ft!B$37*($A248-Ft!B$2)^2)+Ft!B$6*EXP(Ft!B$38*($A248-Ft!B$2)^2)),Ft!B$3*((1-Ft!B$7)/(1+Ft!B$39*($A248-Ft!B$2)^2)+Ft!B$7*EXP(Ft!B$40*($A248-Ft!B$2)^2)))</f>
        <v>53.439681076727901</v>
      </c>
      <c r="G248" s="3">
        <f>IF(($A248-Ft!C$2)&lt;0,Ft!C$3*((1-Ft!C$6)/(1+Ft!C$37*($A248-Ft!C$2)^2)+Ft!C$6*EXP(Ft!C$38*($A248-Ft!C$2)^2)),Ft!C$3*((1-Ft!C$7)/(1+Ft!C$39*($A248-Ft!C$2)^2)+Ft!C$7*EXP(Ft!C$40*($A248-Ft!C$2)^2)))</f>
        <v>46.766283897164804</v>
      </c>
      <c r="H248" s="3">
        <f>IF(($A248-Ft!D$2)&lt;0,Ft!D$3*((1-Ft!D$6)/(1+Ft!D$37*($A248-Ft!D$2)^2)+Ft!D$6*EXP(Ft!D$38*($A248-Ft!D$2)^2)),Ft!D$3*((1-Ft!D$7)/(1+Ft!D$39*($A248-Ft!D$2)^2)+Ft!D$7*EXP(Ft!D$40*($A248-Ft!D$2)^2)))</f>
        <v>0.17447386597162895</v>
      </c>
      <c r="I248" s="3">
        <f>IF(($A248-Ft!E$2)&lt;0,Ft!E$3*((1-Ft!E$6)/(1+Ft!E$37*($A248-Ft!E$2)^2)+Ft!E$6*EXP(Ft!E$38*($A248-Ft!E$2)^2)),Ft!E$3*((1-Ft!E$7)/(1+Ft!E$39*($A248-Ft!E$2)^2)+Ft!E$7*EXP(Ft!E$40*($A248-Ft!E$2)^2)))</f>
        <v>76.937312077890581</v>
      </c>
      <c r="J248" s="3">
        <f>IF(($A248-Ft!F$2)&lt;0,Ft!F$3*((1-Ft!F$6)/(1+Ft!F$37*($A248-Ft!F$2)^2)+Ft!F$6*EXP(Ft!F$38*($A248-Ft!F$2)^2)),Ft!F$3*((1-Ft!F$7)/(1+Ft!F$39*($A248-Ft!F$2)^2)+Ft!F$7*EXP(Ft!F$40*($A248-Ft!F$2)^2)))</f>
        <v>31.668521739108986</v>
      </c>
      <c r="K248" s="3">
        <f>IF(($A248-Ft!G$2)&lt;0,Ft!G$3*((1-Ft!G$6)/(1+Ft!G$37*($A248-Ft!G$2)^2)+Ft!G$6*EXP(Ft!G$38*($A248-Ft!G$2)^2)),Ft!G$3*((1-Ft!G$7)/(1+Ft!G$39*($A248-Ft!G$2)^2)+Ft!G$7*EXP(Ft!G$40*($A248-Ft!G$2)^2)))</f>
        <v>38.441510750037999</v>
      </c>
      <c r="L248" s="3">
        <f>IF(($A248-Ft!H$2)&lt;0,Ft!H$3*((1-Ft!H$6)/(1+Ft!H$37*($A248-Ft!H$2)^2)+Ft!H$6*EXP(Ft!H$38*($A248-Ft!H$2)^2)),Ft!H$3*((1-Ft!H$7)/(1+Ft!H$39*($A248-Ft!H$2)^2)+Ft!H$7*EXP(Ft!H$40*($A248-Ft!H$2)^2)))</f>
        <v>0</v>
      </c>
      <c r="M248" s="3">
        <f>IF(($A248-Ft!I$2)&lt;0,Ft!I$3*((1-Ft!I$6)/(1+Ft!I$37*($A248-Ft!I$2)^2)+Ft!I$6*EXP(Ft!I$38*($A248-Ft!I$2)^2)),Ft!I$3*((1-Ft!I$7)/(1+Ft!I$39*($A248-Ft!I$2)^2)+Ft!I$7*EXP(Ft!I$40*($A248-Ft!I$2)^2)))</f>
        <v>0</v>
      </c>
      <c r="N248" s="3">
        <f>IF(($A248-Ft!J$2)&lt;0,Ft!J$3*((1-Ft!J$6)/(1+Ft!J$37*($A248-Ft!J$2)^2)+Ft!J$6*EXP(Ft!J$38*($A248-Ft!J$2)^2)),Ft!J$3*((1-Ft!J$7)/(1+Ft!J$39*($A248-Ft!J$2)^2)+Ft!J$7*EXP(Ft!J$40*($A248-Ft!J$2)^2)))</f>
        <v>0</v>
      </c>
      <c r="O248" s="3">
        <f>IF(($A248-Ft!K$2)&lt;0,Ft!K$3*((1-Ft!K$6)/(1+Ft!K$37*($A248-Ft!K$2)^2)+Ft!K$6*EXP(Ft!K$38*($A248-Ft!K$2)^2)),Ft!K$3*((1-Ft!K$7)/(1+Ft!K$39*($A248-Ft!K$2)^2)+Ft!K$7*EXP(Ft!K$40*($A248-Ft!K$2)^2)))</f>
        <v>0</v>
      </c>
      <c r="P248"/>
      <c r="Q248"/>
    </row>
    <row r="249" spans="1:17">
      <c r="A249" s="20">
        <v>495</v>
      </c>
      <c r="B249" s="29">
        <v>47.386635742758642</v>
      </c>
      <c r="C249" s="7">
        <f t="shared" si="7"/>
        <v>47.556175329160531</v>
      </c>
      <c r="D249" s="3">
        <f t="shared" si="8"/>
        <v>2.8743671357323638E-2</v>
      </c>
      <c r="E249" s="3">
        <f>Ft!$B$12+Ft!$B$14*(Data!A249-Vars!$B$3)</f>
        <v>-200</v>
      </c>
      <c r="F249" s="3">
        <f>IF(($A249-Ft!B$2)&lt;0,Ft!B$3*((1-Ft!B$6)/(1+Ft!B$37*($A249-Ft!B$2)^2)+Ft!B$6*EXP(Ft!B$38*($A249-Ft!B$2)^2)),Ft!B$3*((1-Ft!B$7)/(1+Ft!B$39*($A249-Ft!B$2)^2)+Ft!B$7*EXP(Ft!B$40*($A249-Ft!B$2)^2)))</f>
        <v>53.075878765815894</v>
      </c>
      <c r="G249" s="3">
        <f>IF(($A249-Ft!C$2)&lt;0,Ft!C$3*((1-Ft!C$6)/(1+Ft!C$37*($A249-Ft!C$2)^2)+Ft!C$6*EXP(Ft!C$38*($A249-Ft!C$2)^2)),Ft!C$3*((1-Ft!C$7)/(1+Ft!C$39*($A249-Ft!C$2)^2)+Ft!C$7*EXP(Ft!C$40*($A249-Ft!C$2)^2)))</f>
        <v>46.850688918576573</v>
      </c>
      <c r="H249" s="3">
        <f>IF(($A249-Ft!D$2)&lt;0,Ft!D$3*((1-Ft!D$6)/(1+Ft!D$37*($A249-Ft!D$2)^2)+Ft!D$6*EXP(Ft!D$38*($A249-Ft!D$2)^2)),Ft!D$3*((1-Ft!D$7)/(1+Ft!D$39*($A249-Ft!D$2)^2)+Ft!D$7*EXP(Ft!D$40*($A249-Ft!D$2)^2)))</f>
        <v>0.14811742587544785</v>
      </c>
      <c r="I249" s="3">
        <f>IF(($A249-Ft!E$2)&lt;0,Ft!E$3*((1-Ft!E$6)/(1+Ft!E$37*($A249-Ft!E$2)^2)+Ft!E$6*EXP(Ft!E$38*($A249-Ft!E$2)^2)),Ft!E$3*((1-Ft!E$7)/(1+Ft!E$39*($A249-Ft!E$2)^2)+Ft!E$7*EXP(Ft!E$40*($A249-Ft!E$2)^2)))</f>
        <v>77.442726750099681</v>
      </c>
      <c r="J249" s="3">
        <f>IF(($A249-Ft!F$2)&lt;0,Ft!F$3*((1-Ft!F$6)/(1+Ft!F$37*($A249-Ft!F$2)^2)+Ft!F$6*EXP(Ft!F$38*($A249-Ft!F$2)^2)),Ft!F$3*((1-Ft!F$7)/(1+Ft!F$39*($A249-Ft!F$2)^2)+Ft!F$7*EXP(Ft!F$40*($A249-Ft!F$2)^2)))</f>
        <v>31.872295047372397</v>
      </c>
      <c r="K249" s="3">
        <f>IF(($A249-Ft!G$2)&lt;0,Ft!G$3*((1-Ft!G$6)/(1+Ft!G$37*($A249-Ft!G$2)^2)+Ft!G$6*EXP(Ft!G$38*($A249-Ft!G$2)^2)),Ft!G$3*((1-Ft!G$7)/(1+Ft!G$39*($A249-Ft!G$2)^2)+Ft!G$7*EXP(Ft!G$40*($A249-Ft!G$2)^2)))</f>
        <v>38.166468421420532</v>
      </c>
      <c r="L249" s="3">
        <f>IF(($A249-Ft!H$2)&lt;0,Ft!H$3*((1-Ft!H$6)/(1+Ft!H$37*($A249-Ft!H$2)^2)+Ft!H$6*EXP(Ft!H$38*($A249-Ft!H$2)^2)),Ft!H$3*((1-Ft!H$7)/(1+Ft!H$39*($A249-Ft!H$2)^2)+Ft!H$7*EXP(Ft!H$40*($A249-Ft!H$2)^2)))</f>
        <v>0</v>
      </c>
      <c r="M249" s="3">
        <f>IF(($A249-Ft!I$2)&lt;0,Ft!I$3*((1-Ft!I$6)/(1+Ft!I$37*($A249-Ft!I$2)^2)+Ft!I$6*EXP(Ft!I$38*($A249-Ft!I$2)^2)),Ft!I$3*((1-Ft!I$7)/(1+Ft!I$39*($A249-Ft!I$2)^2)+Ft!I$7*EXP(Ft!I$40*($A249-Ft!I$2)^2)))</f>
        <v>0</v>
      </c>
      <c r="N249" s="3">
        <f>IF(($A249-Ft!J$2)&lt;0,Ft!J$3*((1-Ft!J$6)/(1+Ft!J$37*($A249-Ft!J$2)^2)+Ft!J$6*EXP(Ft!J$38*($A249-Ft!J$2)^2)),Ft!J$3*((1-Ft!J$7)/(1+Ft!J$39*($A249-Ft!J$2)^2)+Ft!J$7*EXP(Ft!J$40*($A249-Ft!J$2)^2)))</f>
        <v>0</v>
      </c>
      <c r="O249" s="3">
        <f>IF(($A249-Ft!K$2)&lt;0,Ft!K$3*((1-Ft!K$6)/(1+Ft!K$37*($A249-Ft!K$2)^2)+Ft!K$6*EXP(Ft!K$38*($A249-Ft!K$2)^2)),Ft!K$3*((1-Ft!K$7)/(1+Ft!K$39*($A249-Ft!K$2)^2)+Ft!K$7*EXP(Ft!K$40*($A249-Ft!K$2)^2)))</f>
        <v>0</v>
      </c>
      <c r="P249"/>
      <c r="Q249"/>
    </row>
    <row r="250" spans="1:17">
      <c r="A250" s="20">
        <v>497</v>
      </c>
      <c r="B250" s="29">
        <v>47.499562097233067</v>
      </c>
      <c r="C250" s="7">
        <f t="shared" si="7"/>
        <v>47.686789164290651</v>
      </c>
      <c r="D250" s="3">
        <f t="shared" si="8"/>
        <v>3.5053974638985207E-2</v>
      </c>
      <c r="E250" s="3">
        <f>Ft!$B$12+Ft!$B$14*(Data!A250-Vars!$B$3)</f>
        <v>-200</v>
      </c>
      <c r="F250" s="3">
        <f>IF(($A250-Ft!B$2)&lt;0,Ft!B$3*((1-Ft!B$6)/(1+Ft!B$37*($A250-Ft!B$2)^2)+Ft!B$6*EXP(Ft!B$38*($A250-Ft!B$2)^2)),Ft!B$3*((1-Ft!B$7)/(1+Ft!B$39*($A250-Ft!B$2)^2)+Ft!B$7*EXP(Ft!B$40*($A250-Ft!B$2)^2)))</f>
        <v>52.713546979056161</v>
      </c>
      <c r="G250" s="3">
        <f>IF(($A250-Ft!C$2)&lt;0,Ft!C$3*((1-Ft!C$6)/(1+Ft!C$37*($A250-Ft!C$2)^2)+Ft!C$6*EXP(Ft!C$38*($A250-Ft!C$2)^2)),Ft!C$3*((1-Ft!C$7)/(1+Ft!C$39*($A250-Ft!C$2)^2)+Ft!C$7*EXP(Ft!C$40*($A250-Ft!C$2)^2)))</f>
        <v>46.934831569025619</v>
      </c>
      <c r="H250" s="3">
        <f>IF(($A250-Ft!D$2)&lt;0,Ft!D$3*((1-Ft!D$6)/(1+Ft!D$37*($A250-Ft!D$2)^2)+Ft!D$6*EXP(Ft!D$38*($A250-Ft!D$2)^2)),Ft!D$3*((1-Ft!D$7)/(1+Ft!D$39*($A250-Ft!D$2)^2)+Ft!D$7*EXP(Ft!D$40*($A250-Ft!D$2)^2)))</f>
        <v>0.12505066759241432</v>
      </c>
      <c r="I250" s="3">
        <f>IF(($A250-Ft!E$2)&lt;0,Ft!E$3*((1-Ft!E$6)/(1+Ft!E$37*($A250-Ft!E$2)^2)+Ft!E$6*EXP(Ft!E$38*($A250-Ft!E$2)^2)),Ft!E$3*((1-Ft!E$7)/(1+Ft!E$39*($A250-Ft!E$2)^2)+Ft!E$7*EXP(Ft!E$40*($A250-Ft!E$2)^2)))</f>
        <v>77.946941975923849</v>
      </c>
      <c r="J250" s="3">
        <f>IF(($A250-Ft!F$2)&lt;0,Ft!F$3*((1-Ft!F$6)/(1+Ft!F$37*($A250-Ft!F$2)^2)+Ft!F$6*EXP(Ft!F$38*($A250-Ft!F$2)^2)),Ft!F$3*((1-Ft!F$7)/(1+Ft!F$39*($A250-Ft!F$2)^2)+Ft!F$7*EXP(Ft!F$40*($A250-Ft!F$2)^2)))</f>
        <v>32.076957079107821</v>
      </c>
      <c r="K250" s="3">
        <f>IF(($A250-Ft!G$2)&lt;0,Ft!G$3*((1-Ft!G$6)/(1+Ft!G$37*($A250-Ft!G$2)^2)+Ft!G$6*EXP(Ft!G$38*($A250-Ft!G$2)^2)),Ft!G$3*((1-Ft!G$7)/(1+Ft!G$39*($A250-Ft!G$2)^2)+Ft!G$7*EXP(Ft!G$40*($A250-Ft!G$2)^2)))</f>
        <v>37.889460893584783</v>
      </c>
      <c r="L250" s="3">
        <f>IF(($A250-Ft!H$2)&lt;0,Ft!H$3*((1-Ft!H$6)/(1+Ft!H$37*($A250-Ft!H$2)^2)+Ft!H$6*EXP(Ft!H$38*($A250-Ft!H$2)^2)),Ft!H$3*((1-Ft!H$7)/(1+Ft!H$39*($A250-Ft!H$2)^2)+Ft!H$7*EXP(Ft!H$40*($A250-Ft!H$2)^2)))</f>
        <v>0</v>
      </c>
      <c r="M250" s="3">
        <f>IF(($A250-Ft!I$2)&lt;0,Ft!I$3*((1-Ft!I$6)/(1+Ft!I$37*($A250-Ft!I$2)^2)+Ft!I$6*EXP(Ft!I$38*($A250-Ft!I$2)^2)),Ft!I$3*((1-Ft!I$7)/(1+Ft!I$39*($A250-Ft!I$2)^2)+Ft!I$7*EXP(Ft!I$40*($A250-Ft!I$2)^2)))</f>
        <v>0</v>
      </c>
      <c r="N250" s="3">
        <f>IF(($A250-Ft!J$2)&lt;0,Ft!J$3*((1-Ft!J$6)/(1+Ft!J$37*($A250-Ft!J$2)^2)+Ft!J$6*EXP(Ft!J$38*($A250-Ft!J$2)^2)),Ft!J$3*((1-Ft!J$7)/(1+Ft!J$39*($A250-Ft!J$2)^2)+Ft!J$7*EXP(Ft!J$40*($A250-Ft!J$2)^2)))</f>
        <v>0</v>
      </c>
      <c r="O250" s="3">
        <f>IF(($A250-Ft!K$2)&lt;0,Ft!K$3*((1-Ft!K$6)/(1+Ft!K$37*($A250-Ft!K$2)^2)+Ft!K$6*EXP(Ft!K$38*($A250-Ft!K$2)^2)),Ft!K$3*((1-Ft!K$7)/(1+Ft!K$39*($A250-Ft!K$2)^2)+Ft!K$7*EXP(Ft!K$40*($A250-Ft!K$2)^2)))</f>
        <v>0</v>
      </c>
      <c r="P250"/>
      <c r="Q250"/>
    </row>
    <row r="251" spans="1:17">
      <c r="A251" s="20">
        <v>499</v>
      </c>
      <c r="B251" s="29">
        <v>47.616005256560712</v>
      </c>
      <c r="C251" s="7">
        <f t="shared" si="7"/>
        <v>47.819353819431257</v>
      </c>
      <c r="D251" s="3">
        <f t="shared" si="8"/>
        <v>4.1350638021515965E-2</v>
      </c>
      <c r="E251" s="3">
        <f>Ft!$B$12+Ft!$B$14*(Data!A251-Vars!$B$3)</f>
        <v>-200</v>
      </c>
      <c r="F251" s="3">
        <f>IF(($A251-Ft!B$2)&lt;0,Ft!B$3*((1-Ft!B$6)/(1+Ft!B$37*($A251-Ft!B$2)^2)+Ft!B$6*EXP(Ft!B$38*($A251-Ft!B$2)^2)),Ft!B$3*((1-Ft!B$7)/(1+Ft!B$39*($A251-Ft!B$2)^2)+Ft!B$7*EXP(Ft!B$40*($A251-Ft!B$2)^2)))</f>
        <v>52.352689461783427</v>
      </c>
      <c r="G251" s="3">
        <f>IF(($A251-Ft!C$2)&lt;0,Ft!C$3*((1-Ft!C$6)/(1+Ft!C$37*($A251-Ft!C$2)^2)+Ft!C$6*EXP(Ft!C$38*($A251-Ft!C$2)^2)),Ft!C$3*((1-Ft!C$7)/(1+Ft!C$39*($A251-Ft!C$2)^2)+Ft!C$7*EXP(Ft!C$40*($A251-Ft!C$2)^2)))</f>
        <v>47.018709889040878</v>
      </c>
      <c r="H251" s="3">
        <f>IF(($A251-Ft!D$2)&lt;0,Ft!D$3*((1-Ft!D$6)/(1+Ft!D$37*($A251-Ft!D$2)^2)+Ft!D$6*EXP(Ft!D$38*($A251-Ft!D$2)^2)),Ft!D$3*((1-Ft!D$7)/(1+Ft!D$39*($A251-Ft!D$2)^2)+Ft!D$7*EXP(Ft!D$40*($A251-Ft!D$2)^2)))</f>
        <v>0.10499532456413908</v>
      </c>
      <c r="I251" s="3">
        <f>IF(($A251-Ft!E$2)&lt;0,Ft!E$3*((1-Ft!E$6)/(1+Ft!E$37*($A251-Ft!E$2)^2)+Ft!E$6*EXP(Ft!E$38*($A251-Ft!E$2)^2)),Ft!E$3*((1-Ft!E$7)/(1+Ft!E$39*($A251-Ft!E$2)^2)+Ft!E$7*EXP(Ft!E$40*($A251-Ft!E$2)^2)))</f>
        <v>78.449891287137035</v>
      </c>
      <c r="J251" s="3">
        <f>IF(($A251-Ft!F$2)&lt;0,Ft!F$3*((1-Ft!F$6)/(1+Ft!F$37*($A251-Ft!F$2)^2)+Ft!F$6*EXP(Ft!F$38*($A251-Ft!F$2)^2)),Ft!F$3*((1-Ft!F$7)/(1+Ft!F$39*($A251-Ft!F$2)^2)+Ft!F$7*EXP(Ft!F$40*($A251-Ft!F$2)^2)))</f>
        <v>32.282508132841713</v>
      </c>
      <c r="K251" s="3">
        <f>IF(($A251-Ft!G$2)&lt;0,Ft!G$3*((1-Ft!G$6)/(1+Ft!G$37*($A251-Ft!G$2)^2)+Ft!G$6*EXP(Ft!G$38*($A251-Ft!G$2)^2)),Ft!G$3*((1-Ft!G$7)/(1+Ft!G$39*($A251-Ft!G$2)^2)+Ft!G$7*EXP(Ft!G$40*($A251-Ft!G$2)^2)))</f>
        <v>37.610559724064061</v>
      </c>
      <c r="L251" s="3">
        <f>IF(($A251-Ft!H$2)&lt;0,Ft!H$3*((1-Ft!H$6)/(1+Ft!H$37*($A251-Ft!H$2)^2)+Ft!H$6*EXP(Ft!H$38*($A251-Ft!H$2)^2)),Ft!H$3*((1-Ft!H$7)/(1+Ft!H$39*($A251-Ft!H$2)^2)+Ft!H$7*EXP(Ft!H$40*($A251-Ft!H$2)^2)))</f>
        <v>0</v>
      </c>
      <c r="M251" s="3">
        <f>IF(($A251-Ft!I$2)&lt;0,Ft!I$3*((1-Ft!I$6)/(1+Ft!I$37*($A251-Ft!I$2)^2)+Ft!I$6*EXP(Ft!I$38*($A251-Ft!I$2)^2)),Ft!I$3*((1-Ft!I$7)/(1+Ft!I$39*($A251-Ft!I$2)^2)+Ft!I$7*EXP(Ft!I$40*($A251-Ft!I$2)^2)))</f>
        <v>0</v>
      </c>
      <c r="N251" s="3">
        <f>IF(($A251-Ft!J$2)&lt;0,Ft!J$3*((1-Ft!J$6)/(1+Ft!J$37*($A251-Ft!J$2)^2)+Ft!J$6*EXP(Ft!J$38*($A251-Ft!J$2)^2)),Ft!J$3*((1-Ft!J$7)/(1+Ft!J$39*($A251-Ft!J$2)^2)+Ft!J$7*EXP(Ft!J$40*($A251-Ft!J$2)^2)))</f>
        <v>0</v>
      </c>
      <c r="O251" s="3">
        <f>IF(($A251-Ft!K$2)&lt;0,Ft!K$3*((1-Ft!K$6)/(1+Ft!K$37*($A251-Ft!K$2)^2)+Ft!K$6*EXP(Ft!K$38*($A251-Ft!K$2)^2)),Ft!K$3*((1-Ft!K$7)/(1+Ft!K$39*($A251-Ft!K$2)^2)+Ft!K$7*EXP(Ft!K$40*($A251-Ft!K$2)^2)))</f>
        <v>0</v>
      </c>
      <c r="P251"/>
      <c r="Q251"/>
    </row>
    <row r="252" spans="1:17">
      <c r="A252" s="20">
        <v>501</v>
      </c>
      <c r="B252" s="29">
        <v>47.73588231974388</v>
      </c>
      <c r="C252" s="7">
        <f t="shared" si="7"/>
        <v>47.953596196879509</v>
      </c>
      <c r="D252" s="3">
        <f t="shared" si="8"/>
        <v>4.7399332297428078E-2</v>
      </c>
      <c r="E252" s="3">
        <f>Ft!$B$12+Ft!$B$14*(Data!A252-Vars!$B$3)</f>
        <v>-200</v>
      </c>
      <c r="F252" s="3">
        <f>IF(($A252-Ft!B$2)&lt;0,Ft!B$3*((1-Ft!B$6)/(1+Ft!B$37*($A252-Ft!B$2)^2)+Ft!B$6*EXP(Ft!B$38*($A252-Ft!B$2)^2)),Ft!B$3*((1-Ft!B$7)/(1+Ft!B$39*($A252-Ft!B$2)^2)+Ft!B$7*EXP(Ft!B$40*($A252-Ft!B$2)^2)))</f>
        <v>51.993309849601594</v>
      </c>
      <c r="G252" s="3">
        <f>IF(($A252-Ft!C$2)&lt;0,Ft!C$3*((1-Ft!C$6)/(1+Ft!C$37*($A252-Ft!C$2)^2)+Ft!C$6*EXP(Ft!C$38*($A252-Ft!C$2)^2)),Ft!C$3*((1-Ft!C$7)/(1+Ft!C$39*($A252-Ft!C$2)^2)+Ft!C$7*EXP(Ft!C$40*($A252-Ft!C$2)^2)))</f>
        <v>47.102321922653736</v>
      </c>
      <c r="H252" s="3">
        <f>IF(($A252-Ft!D$2)&lt;0,Ft!D$3*((1-Ft!D$6)/(1+Ft!D$37*($A252-Ft!D$2)^2)+Ft!D$6*EXP(Ft!D$38*($A252-Ft!D$2)^2)),Ft!D$3*((1-Ft!D$7)/(1+Ft!D$39*($A252-Ft!D$2)^2)+Ft!D$7*EXP(Ft!D$40*($A252-Ft!D$2)^2)))</f>
        <v>8.7671410404935035E-2</v>
      </c>
      <c r="I252" s="3">
        <f>IF(($A252-Ft!E$2)&lt;0,Ft!E$3*((1-Ft!E$6)/(1+Ft!E$37*($A252-Ft!E$2)^2)+Ft!E$6*EXP(Ft!E$38*($A252-Ft!E$2)^2)),Ft!E$3*((1-Ft!E$7)/(1+Ft!E$39*($A252-Ft!E$2)^2)+Ft!E$7*EXP(Ft!E$40*($A252-Ft!E$2)^2)))</f>
        <v>78.95150800560053</v>
      </c>
      <c r="J252" s="3">
        <f>IF(($A252-Ft!F$2)&lt;0,Ft!F$3*((1-Ft!F$6)/(1+Ft!F$37*($A252-Ft!F$2)^2)+Ft!F$6*EXP(Ft!F$38*($A252-Ft!F$2)^2)),Ft!F$3*((1-Ft!F$7)/(1+Ft!F$39*($A252-Ft!F$2)^2)+Ft!F$7*EXP(Ft!F$40*($A252-Ft!F$2)^2)))</f>
        <v>32.48894847377683</v>
      </c>
      <c r="K252" s="3">
        <f>IF(($A252-Ft!G$2)&lt;0,Ft!G$3*((1-Ft!G$6)/(1+Ft!G$37*($A252-Ft!G$2)^2)+Ft!G$6*EXP(Ft!G$38*($A252-Ft!G$2)^2)),Ft!G$3*((1-Ft!G$7)/(1+Ft!G$39*($A252-Ft!G$2)^2)+Ft!G$7*EXP(Ft!G$40*($A252-Ft!G$2)^2)))</f>
        <v>37.329836534841881</v>
      </c>
      <c r="L252" s="3">
        <f>IF(($A252-Ft!H$2)&lt;0,Ft!H$3*((1-Ft!H$6)/(1+Ft!H$37*($A252-Ft!H$2)^2)+Ft!H$6*EXP(Ft!H$38*($A252-Ft!H$2)^2)),Ft!H$3*((1-Ft!H$7)/(1+Ft!H$39*($A252-Ft!H$2)^2)+Ft!H$7*EXP(Ft!H$40*($A252-Ft!H$2)^2)))</f>
        <v>0</v>
      </c>
      <c r="M252" s="3">
        <f>IF(($A252-Ft!I$2)&lt;0,Ft!I$3*((1-Ft!I$6)/(1+Ft!I$37*($A252-Ft!I$2)^2)+Ft!I$6*EXP(Ft!I$38*($A252-Ft!I$2)^2)),Ft!I$3*((1-Ft!I$7)/(1+Ft!I$39*($A252-Ft!I$2)^2)+Ft!I$7*EXP(Ft!I$40*($A252-Ft!I$2)^2)))</f>
        <v>0</v>
      </c>
      <c r="N252" s="3">
        <f>IF(($A252-Ft!J$2)&lt;0,Ft!J$3*((1-Ft!J$6)/(1+Ft!J$37*($A252-Ft!J$2)^2)+Ft!J$6*EXP(Ft!J$38*($A252-Ft!J$2)^2)),Ft!J$3*((1-Ft!J$7)/(1+Ft!J$39*($A252-Ft!J$2)^2)+Ft!J$7*EXP(Ft!J$40*($A252-Ft!J$2)^2)))</f>
        <v>0</v>
      </c>
      <c r="O252" s="3">
        <f>IF(($A252-Ft!K$2)&lt;0,Ft!K$3*((1-Ft!K$6)/(1+Ft!K$37*($A252-Ft!K$2)^2)+Ft!K$6*EXP(Ft!K$38*($A252-Ft!K$2)^2)),Ft!K$3*((1-Ft!K$7)/(1+Ft!K$39*($A252-Ft!K$2)^2)+Ft!K$7*EXP(Ft!K$40*($A252-Ft!K$2)^2)))</f>
        <v>0</v>
      </c>
      <c r="P252"/>
      <c r="Q252"/>
    </row>
    <row r="253" spans="1:17">
      <c r="A253" s="20">
        <v>503</v>
      </c>
      <c r="B253" s="29">
        <v>47.859074301400099</v>
      </c>
      <c r="C253" s="7">
        <f t="shared" si="7"/>
        <v>48.08924709997433</v>
      </c>
      <c r="D253" s="3">
        <f t="shared" si="8"/>
        <v>5.2979517203493212E-2</v>
      </c>
      <c r="E253" s="3">
        <f>Ft!$B$12+Ft!$B$14*(Data!A253-Vars!$B$3)</f>
        <v>-200</v>
      </c>
      <c r="F253" s="3">
        <f>IF(($A253-Ft!B$2)&lt;0,Ft!B$3*((1-Ft!B$6)/(1+Ft!B$37*($A253-Ft!B$2)^2)+Ft!B$6*EXP(Ft!B$38*($A253-Ft!B$2)^2)),Ft!B$3*((1-Ft!B$7)/(1+Ft!B$39*($A253-Ft!B$2)^2)+Ft!B$7*EXP(Ft!B$40*($A253-Ft!B$2)^2)))</f>
        <v>51.635411668858353</v>
      </c>
      <c r="G253" s="3">
        <f>IF(($A253-Ft!C$2)&lt;0,Ft!C$3*((1-Ft!C$6)/(1+Ft!C$37*($A253-Ft!C$2)^2)+Ft!C$6*EXP(Ft!C$38*($A253-Ft!C$2)^2)),Ft!C$3*((1-Ft!C$7)/(1+Ft!C$39*($A253-Ft!C$2)^2)+Ft!C$7*EXP(Ft!C$40*($A253-Ft!C$2)^2)))</f>
        <v>47.185665717473483</v>
      </c>
      <c r="H253" s="3">
        <f>IF(($A253-Ft!D$2)&lt;0,Ft!D$3*((1-Ft!D$6)/(1+Ft!D$37*($A253-Ft!D$2)^2)+Ft!D$6*EXP(Ft!D$38*($A253-Ft!D$2)^2)),Ft!D$3*((1-Ft!D$7)/(1+Ft!D$39*($A253-Ft!D$2)^2)+Ft!D$7*EXP(Ft!D$40*($A253-Ft!D$2)^2)))</f>
        <v>7.2803140403462988E-2</v>
      </c>
      <c r="I253" s="3">
        <f>IF(($A253-Ft!E$2)&lt;0,Ft!E$3*((1-Ft!E$6)/(1+Ft!E$37*($A253-Ft!E$2)^2)+Ft!E$6*EXP(Ft!E$38*($A253-Ft!E$2)^2)),Ft!E$3*((1-Ft!E$7)/(1+Ft!E$39*($A253-Ft!E$2)^2)+Ft!E$7*EXP(Ft!E$40*($A253-Ft!E$2)^2)))</f>
        <v>79.451725257422041</v>
      </c>
      <c r="J253" s="3">
        <f>IF(($A253-Ft!F$2)&lt;0,Ft!F$3*((1-Ft!F$6)/(1+Ft!F$37*($A253-Ft!F$2)^2)+Ft!F$6*EXP(Ft!F$38*($A253-Ft!F$2)^2)),Ft!F$3*((1-Ft!F$7)/(1+Ft!F$39*($A253-Ft!F$2)^2)+Ft!F$7*EXP(Ft!F$40*($A253-Ft!F$2)^2)))</f>
        <v>32.696278333564621</v>
      </c>
      <c r="K253" s="3">
        <f>IF(($A253-Ft!G$2)&lt;0,Ft!G$3*((1-Ft!G$6)/(1+Ft!G$37*($A253-Ft!G$2)^2)+Ft!G$6*EXP(Ft!G$38*($A253-Ft!G$2)^2)),Ft!G$3*((1-Ft!G$7)/(1+Ft!G$39*($A253-Ft!G$2)^2)+Ft!G$7*EXP(Ft!G$40*($A253-Ft!G$2)^2)))</f>
        <v>37.047362982252366</v>
      </c>
      <c r="L253" s="3">
        <f>IF(($A253-Ft!H$2)&lt;0,Ft!H$3*((1-Ft!H$6)/(1+Ft!H$37*($A253-Ft!H$2)^2)+Ft!H$6*EXP(Ft!H$38*($A253-Ft!H$2)^2)),Ft!H$3*((1-Ft!H$7)/(1+Ft!H$39*($A253-Ft!H$2)^2)+Ft!H$7*EXP(Ft!H$40*($A253-Ft!H$2)^2)))</f>
        <v>0</v>
      </c>
      <c r="M253" s="3">
        <f>IF(($A253-Ft!I$2)&lt;0,Ft!I$3*((1-Ft!I$6)/(1+Ft!I$37*($A253-Ft!I$2)^2)+Ft!I$6*EXP(Ft!I$38*($A253-Ft!I$2)^2)),Ft!I$3*((1-Ft!I$7)/(1+Ft!I$39*($A253-Ft!I$2)^2)+Ft!I$7*EXP(Ft!I$40*($A253-Ft!I$2)^2)))</f>
        <v>0</v>
      </c>
      <c r="N253" s="3">
        <f>IF(($A253-Ft!J$2)&lt;0,Ft!J$3*((1-Ft!J$6)/(1+Ft!J$37*($A253-Ft!J$2)^2)+Ft!J$6*EXP(Ft!J$38*($A253-Ft!J$2)^2)),Ft!J$3*((1-Ft!J$7)/(1+Ft!J$39*($A253-Ft!J$2)^2)+Ft!J$7*EXP(Ft!J$40*($A253-Ft!J$2)^2)))</f>
        <v>0</v>
      </c>
      <c r="O253" s="3">
        <f>IF(($A253-Ft!K$2)&lt;0,Ft!K$3*((1-Ft!K$6)/(1+Ft!K$37*($A253-Ft!K$2)^2)+Ft!K$6*EXP(Ft!K$38*($A253-Ft!K$2)^2)),Ft!K$3*((1-Ft!K$7)/(1+Ft!K$39*($A253-Ft!K$2)^2)+Ft!K$7*EXP(Ft!K$40*($A253-Ft!K$2)^2)))</f>
        <v>0</v>
      </c>
      <c r="P253"/>
      <c r="Q253"/>
    </row>
    <row r="254" spans="1:17">
      <c r="A254" s="20">
        <v>505</v>
      </c>
      <c r="B254" s="29">
        <v>47.985431003585262</v>
      </c>
      <c r="C254" s="7">
        <f t="shared" si="7"/>
        <v>48.226046072311682</v>
      </c>
      <c r="D254" s="3">
        <f t="shared" si="8"/>
        <v>5.7895611298219886E-2</v>
      </c>
      <c r="E254" s="3">
        <f>Ft!$B$12+Ft!$B$14*(Data!A254-Vars!$B$3)</f>
        <v>-200</v>
      </c>
      <c r="F254" s="3">
        <f>IF(($A254-Ft!B$2)&lt;0,Ft!B$3*((1-Ft!B$6)/(1+Ft!B$37*($A254-Ft!B$2)^2)+Ft!B$6*EXP(Ft!B$38*($A254-Ft!B$2)^2)),Ft!B$3*((1-Ft!B$7)/(1+Ft!B$39*($A254-Ft!B$2)^2)+Ft!B$7*EXP(Ft!B$40*($A254-Ft!B$2)^2)))</f>
        <v>51.278998337126943</v>
      </c>
      <c r="G254" s="3">
        <f>IF(($A254-Ft!C$2)&lt;0,Ft!C$3*((1-Ft!C$6)/(1+Ft!C$37*($A254-Ft!C$2)^2)+Ft!C$6*EXP(Ft!C$38*($A254-Ft!C$2)^2)),Ft!C$3*((1-Ft!C$7)/(1+Ft!C$39*($A254-Ft!C$2)^2)+Ft!C$7*EXP(Ft!C$40*($A254-Ft!C$2)^2)))</f>
        <v>47.268739324762741</v>
      </c>
      <c r="H254" s="3">
        <f>IF(($A254-Ft!D$2)&lt;0,Ft!D$3*((1-Ft!D$6)/(1+Ft!D$37*($A254-Ft!D$2)^2)+Ft!D$6*EXP(Ft!D$38*($A254-Ft!D$2)^2)),Ft!D$3*((1-Ft!D$7)/(1+Ft!D$39*($A254-Ft!D$2)^2)+Ft!D$7*EXP(Ft!D$40*($A254-Ft!D$2)^2)))</f>
        <v>6.0123785994780403E-2</v>
      </c>
      <c r="I254" s="3">
        <f>IF(($A254-Ft!E$2)&lt;0,Ft!E$3*((1-Ft!E$6)/(1+Ft!E$37*($A254-Ft!E$2)^2)+Ft!E$6*EXP(Ft!E$38*($A254-Ft!E$2)^2)),Ft!E$3*((1-Ft!E$7)/(1+Ft!E$39*($A254-Ft!E$2)^2)+Ft!E$7*EXP(Ft!E$40*($A254-Ft!E$2)^2)))</f>
        <v>79.95047598726272</v>
      </c>
      <c r="J254" s="3">
        <f>IF(($A254-Ft!F$2)&lt;0,Ft!F$3*((1-Ft!F$6)/(1+Ft!F$37*($A254-Ft!F$2)^2)+Ft!F$6*EXP(Ft!F$38*($A254-Ft!F$2)^2)),Ft!F$3*((1-Ft!F$7)/(1+Ft!F$39*($A254-Ft!F$2)^2)+Ft!F$7*EXP(Ft!F$40*($A254-Ft!F$2)^2)))</f>
        <v>32.904497910078483</v>
      </c>
      <c r="K254" s="3">
        <f>IF(($A254-Ft!G$2)&lt;0,Ft!G$3*((1-Ft!G$6)/(1+Ft!G$37*($A254-Ft!G$2)^2)+Ft!G$6*EXP(Ft!G$38*($A254-Ft!G$2)^2)),Ft!G$3*((1-Ft!G$7)/(1+Ft!G$39*($A254-Ft!G$2)^2)+Ft!G$7*EXP(Ft!G$40*($A254-Ft!G$2)^2)))</f>
        <v>36.763210727086005</v>
      </c>
      <c r="L254" s="3">
        <f>IF(($A254-Ft!H$2)&lt;0,Ft!H$3*((1-Ft!H$6)/(1+Ft!H$37*($A254-Ft!H$2)^2)+Ft!H$6*EXP(Ft!H$38*($A254-Ft!H$2)^2)),Ft!H$3*((1-Ft!H$7)/(1+Ft!H$39*($A254-Ft!H$2)^2)+Ft!H$7*EXP(Ft!H$40*($A254-Ft!H$2)^2)))</f>
        <v>0</v>
      </c>
      <c r="M254" s="3">
        <f>IF(($A254-Ft!I$2)&lt;0,Ft!I$3*((1-Ft!I$6)/(1+Ft!I$37*($A254-Ft!I$2)^2)+Ft!I$6*EXP(Ft!I$38*($A254-Ft!I$2)^2)),Ft!I$3*((1-Ft!I$7)/(1+Ft!I$39*($A254-Ft!I$2)^2)+Ft!I$7*EXP(Ft!I$40*($A254-Ft!I$2)^2)))</f>
        <v>0</v>
      </c>
      <c r="N254" s="3">
        <f>IF(($A254-Ft!J$2)&lt;0,Ft!J$3*((1-Ft!J$6)/(1+Ft!J$37*($A254-Ft!J$2)^2)+Ft!J$6*EXP(Ft!J$38*($A254-Ft!J$2)^2)),Ft!J$3*((1-Ft!J$7)/(1+Ft!J$39*($A254-Ft!J$2)^2)+Ft!J$7*EXP(Ft!J$40*($A254-Ft!J$2)^2)))</f>
        <v>0</v>
      </c>
      <c r="O254" s="3">
        <f>IF(($A254-Ft!K$2)&lt;0,Ft!K$3*((1-Ft!K$6)/(1+Ft!K$37*($A254-Ft!K$2)^2)+Ft!K$6*EXP(Ft!K$38*($A254-Ft!K$2)^2)),Ft!K$3*((1-Ft!K$7)/(1+Ft!K$39*($A254-Ft!K$2)^2)+Ft!K$7*EXP(Ft!K$40*($A254-Ft!K$2)^2)))</f>
        <v>0</v>
      </c>
      <c r="P254"/>
      <c r="Q254"/>
    </row>
    <row r="255" spans="1:17">
      <c r="A255" s="20">
        <v>507</v>
      </c>
      <c r="B255" s="29">
        <v>48.11477588012157</v>
      </c>
      <c r="C255" s="7">
        <f t="shared" si="7"/>
        <v>48.363745199724931</v>
      </c>
      <c r="D255" s="3">
        <f t="shared" si="8"/>
        <v>6.1985722103760681E-2</v>
      </c>
      <c r="E255" s="3">
        <f>Ft!$B$12+Ft!$B$14*(Data!A255-Vars!$B$3)</f>
        <v>-200</v>
      </c>
      <c r="F255" s="3">
        <f>IF(($A255-Ft!B$2)&lt;0,Ft!B$3*((1-Ft!B$6)/(1+Ft!B$37*($A255-Ft!B$2)^2)+Ft!B$6*EXP(Ft!B$38*($A255-Ft!B$2)^2)),Ft!B$3*((1-Ft!B$7)/(1+Ft!B$39*($A255-Ft!B$2)^2)+Ft!B$7*EXP(Ft!B$40*($A255-Ft!B$2)^2)))</f>
        <v>50.924073163694736</v>
      </c>
      <c r="G255" s="3">
        <f>IF(($A255-Ft!C$2)&lt;0,Ft!C$3*((1-Ft!C$6)/(1+Ft!C$37*($A255-Ft!C$2)^2)+Ft!C$6*EXP(Ft!C$38*($A255-Ft!C$2)^2)),Ft!C$3*((1-Ft!C$7)/(1+Ft!C$39*($A255-Ft!C$2)^2)+Ft!C$7*EXP(Ft!C$40*($A255-Ft!C$2)^2)))</f>
        <v>47.351540799512847</v>
      </c>
      <c r="H255" s="3">
        <f>IF(($A255-Ft!D$2)&lt;0,Ft!D$3*((1-Ft!D$6)/(1+Ft!D$37*($A255-Ft!D$2)^2)+Ft!D$6*EXP(Ft!D$38*($A255-Ft!D$2)^2)),Ft!D$3*((1-Ft!D$7)/(1+Ft!D$39*($A255-Ft!D$2)^2)+Ft!D$7*EXP(Ft!D$40*($A255-Ft!D$2)^2)))</f>
        <v>4.9379491623933985E-2</v>
      </c>
      <c r="I255" s="3">
        <f>IF(($A255-Ft!E$2)&lt;0,Ft!E$3*((1-Ft!E$6)/(1+Ft!E$37*($A255-Ft!E$2)^2)+Ft!E$6*EXP(Ft!E$38*($A255-Ft!E$2)^2)),Ft!E$3*((1-Ft!E$7)/(1+Ft!E$39*($A255-Ft!E$2)^2)+Ft!E$7*EXP(Ft!E$40*($A255-Ft!E$2)^2)))</f>
        <v>80.44769297278792</v>
      </c>
      <c r="J255" s="3">
        <f>IF(($A255-Ft!F$2)&lt;0,Ft!F$3*((1-Ft!F$6)/(1+Ft!F$37*($A255-Ft!F$2)^2)+Ft!F$6*EXP(Ft!F$38*($A255-Ft!F$2)^2)),Ft!F$3*((1-Ft!F$7)/(1+Ft!F$39*($A255-Ft!F$2)^2)+Ft!F$7*EXP(Ft!F$40*($A255-Ft!F$2)^2)))</f>
        <v>33.11360736718769</v>
      </c>
      <c r="K255" s="3">
        <f>IF(($A255-Ft!G$2)&lt;0,Ft!G$3*((1-Ft!G$6)/(1+Ft!G$37*($A255-Ft!G$2)^2)+Ft!G$6*EXP(Ft!G$38*($A255-Ft!G$2)^2)),Ft!G$3*((1-Ft!G$7)/(1+Ft!G$39*($A255-Ft!G$2)^2)+Ft!G$7*EXP(Ft!G$40*($A255-Ft!G$2)^2)))</f>
        <v>36.477451404917794</v>
      </c>
      <c r="L255" s="3">
        <f>IF(($A255-Ft!H$2)&lt;0,Ft!H$3*((1-Ft!H$6)/(1+Ft!H$37*($A255-Ft!H$2)^2)+Ft!H$6*EXP(Ft!H$38*($A255-Ft!H$2)^2)),Ft!H$3*((1-Ft!H$7)/(1+Ft!H$39*($A255-Ft!H$2)^2)+Ft!H$7*EXP(Ft!H$40*($A255-Ft!H$2)^2)))</f>
        <v>0</v>
      </c>
      <c r="M255" s="3">
        <f>IF(($A255-Ft!I$2)&lt;0,Ft!I$3*((1-Ft!I$6)/(1+Ft!I$37*($A255-Ft!I$2)^2)+Ft!I$6*EXP(Ft!I$38*($A255-Ft!I$2)^2)),Ft!I$3*((1-Ft!I$7)/(1+Ft!I$39*($A255-Ft!I$2)^2)+Ft!I$7*EXP(Ft!I$40*($A255-Ft!I$2)^2)))</f>
        <v>0</v>
      </c>
      <c r="N255" s="3">
        <f>IF(($A255-Ft!J$2)&lt;0,Ft!J$3*((1-Ft!J$6)/(1+Ft!J$37*($A255-Ft!J$2)^2)+Ft!J$6*EXP(Ft!J$38*($A255-Ft!J$2)^2)),Ft!J$3*((1-Ft!J$7)/(1+Ft!J$39*($A255-Ft!J$2)^2)+Ft!J$7*EXP(Ft!J$40*($A255-Ft!J$2)^2)))</f>
        <v>0</v>
      </c>
      <c r="O255" s="3">
        <f>IF(($A255-Ft!K$2)&lt;0,Ft!K$3*((1-Ft!K$6)/(1+Ft!K$37*($A255-Ft!K$2)^2)+Ft!K$6*EXP(Ft!K$38*($A255-Ft!K$2)^2)),Ft!K$3*((1-Ft!K$7)/(1+Ft!K$39*($A255-Ft!K$2)^2)+Ft!K$7*EXP(Ft!K$40*($A255-Ft!K$2)^2)))</f>
        <v>0</v>
      </c>
      <c r="P255"/>
      <c r="Q255"/>
    </row>
    <row r="256" spans="1:17">
      <c r="A256" s="20">
        <v>509</v>
      </c>
      <c r="B256" s="29">
        <v>48.246910802825781</v>
      </c>
      <c r="C256" s="7">
        <f t="shared" si="7"/>
        <v>48.502111935932504</v>
      </c>
      <c r="D256" s="3">
        <f t="shared" si="8"/>
        <v>6.512761833895557E-2</v>
      </c>
      <c r="E256" s="3">
        <f>Ft!$B$12+Ft!$B$14*(Data!A256-Vars!$B$3)</f>
        <v>-200</v>
      </c>
      <c r="F256" s="3">
        <f>IF(($A256-Ft!B$2)&lt;0,Ft!B$3*((1-Ft!B$6)/(1+Ft!B$37*($A256-Ft!B$2)^2)+Ft!B$6*EXP(Ft!B$38*($A256-Ft!B$2)^2)),Ft!B$3*((1-Ft!B$7)/(1+Ft!B$39*($A256-Ft!B$2)^2)+Ft!B$7*EXP(Ft!B$40*($A256-Ft!B$2)^2)))</f>
        <v>50.570639350059068</v>
      </c>
      <c r="G256" s="3">
        <f>IF(($A256-Ft!C$2)&lt;0,Ft!C$3*((1-Ft!C$6)/(1+Ft!C$37*($A256-Ft!C$2)^2)+Ft!C$6*EXP(Ft!C$38*($A256-Ft!C$2)^2)),Ft!C$3*((1-Ft!C$7)/(1+Ft!C$39*($A256-Ft!C$2)^2)+Ft!C$7*EXP(Ft!C$40*($A256-Ft!C$2)^2)))</f>
        <v>47.434068200519242</v>
      </c>
      <c r="H256" s="3">
        <f>IF(($A256-Ft!D$2)&lt;0,Ft!D$3*((1-Ft!D$6)/(1+Ft!D$37*($A256-Ft!D$2)^2)+Ft!D$6*EXP(Ft!D$38*($A256-Ft!D$2)^2)),Ft!D$3*((1-Ft!D$7)/(1+Ft!D$39*($A256-Ft!D$2)^2)+Ft!D$7*EXP(Ft!D$40*($A256-Ft!D$2)^2)))</f>
        <v>4.0332114889804642E-2</v>
      </c>
      <c r="I256" s="3">
        <f>IF(($A256-Ft!E$2)&lt;0,Ft!E$3*((1-Ft!E$6)/(1+Ft!E$37*($A256-Ft!E$2)^2)+Ft!E$6*EXP(Ft!E$38*($A256-Ft!E$2)^2)),Ft!E$3*((1-Ft!E$7)/(1+Ft!E$39*($A256-Ft!E$2)^2)+Ft!E$7*EXP(Ft!E$40*($A256-Ft!E$2)^2)))</f>
        <v>80.94330883925771</v>
      </c>
      <c r="J256" s="3">
        <f>IF(($A256-Ft!F$2)&lt;0,Ft!F$3*((1-Ft!F$6)/(1+Ft!F$37*($A256-Ft!F$2)^2)+Ft!F$6*EXP(Ft!F$38*($A256-Ft!F$2)^2)),Ft!F$3*((1-Ft!F$7)/(1+Ft!F$39*($A256-Ft!F$2)^2)+Ft!F$7*EXP(Ft!F$40*($A256-Ft!F$2)^2)))</f>
        <v>33.323606834532235</v>
      </c>
      <c r="K256" s="3">
        <f>IF(($A256-Ft!G$2)&lt;0,Ft!G$3*((1-Ft!G$6)/(1+Ft!G$37*($A256-Ft!G$2)^2)+Ft!G$6*EXP(Ft!G$38*($A256-Ft!G$2)^2)),Ft!G$3*((1-Ft!G$7)/(1+Ft!G$39*($A256-Ft!G$2)^2)+Ft!G$7*EXP(Ft!G$40*($A256-Ft!G$2)^2)))</f>
        <v>36.19015659667442</v>
      </c>
      <c r="L256" s="3">
        <f>IF(($A256-Ft!H$2)&lt;0,Ft!H$3*((1-Ft!H$6)/(1+Ft!H$37*($A256-Ft!H$2)^2)+Ft!H$6*EXP(Ft!H$38*($A256-Ft!H$2)^2)),Ft!H$3*((1-Ft!H$7)/(1+Ft!H$39*($A256-Ft!H$2)^2)+Ft!H$7*EXP(Ft!H$40*($A256-Ft!H$2)^2)))</f>
        <v>0</v>
      </c>
      <c r="M256" s="3">
        <f>IF(($A256-Ft!I$2)&lt;0,Ft!I$3*((1-Ft!I$6)/(1+Ft!I$37*($A256-Ft!I$2)^2)+Ft!I$6*EXP(Ft!I$38*($A256-Ft!I$2)^2)),Ft!I$3*((1-Ft!I$7)/(1+Ft!I$39*($A256-Ft!I$2)^2)+Ft!I$7*EXP(Ft!I$40*($A256-Ft!I$2)^2)))</f>
        <v>0</v>
      </c>
      <c r="N256" s="3">
        <f>IF(($A256-Ft!J$2)&lt;0,Ft!J$3*((1-Ft!J$6)/(1+Ft!J$37*($A256-Ft!J$2)^2)+Ft!J$6*EXP(Ft!J$38*($A256-Ft!J$2)^2)),Ft!J$3*((1-Ft!J$7)/(1+Ft!J$39*($A256-Ft!J$2)^2)+Ft!J$7*EXP(Ft!J$40*($A256-Ft!J$2)^2)))</f>
        <v>0</v>
      </c>
      <c r="O256" s="3">
        <f>IF(($A256-Ft!K$2)&lt;0,Ft!K$3*((1-Ft!K$6)/(1+Ft!K$37*($A256-Ft!K$2)^2)+Ft!K$6*EXP(Ft!K$38*($A256-Ft!K$2)^2)),Ft!K$3*((1-Ft!K$7)/(1+Ft!K$39*($A256-Ft!K$2)^2)+Ft!K$7*EXP(Ft!K$40*($A256-Ft!K$2)^2)))</f>
        <v>0</v>
      </c>
      <c r="P256"/>
      <c r="Q256"/>
    </row>
    <row r="257" spans="1:17">
      <c r="A257" s="20">
        <v>511</v>
      </c>
      <c r="B257" s="29">
        <v>48.381620650826079</v>
      </c>
      <c r="C257" s="7">
        <f t="shared" si="7"/>
        <v>48.640931036467208</v>
      </c>
      <c r="D257" s="3">
        <f t="shared" si="8"/>
        <v>6.7241876101351017E-2</v>
      </c>
      <c r="E257" s="3">
        <f>Ft!$B$12+Ft!$B$14*(Data!A257-Vars!$B$3)</f>
        <v>-200</v>
      </c>
      <c r="F257" s="3">
        <f>IF(($A257-Ft!B$2)&lt;0,Ft!B$3*((1-Ft!B$6)/(1+Ft!B$37*($A257-Ft!B$2)^2)+Ft!B$6*EXP(Ft!B$38*($A257-Ft!B$2)^2)),Ft!B$3*((1-Ft!B$7)/(1+Ft!B$39*($A257-Ft!B$2)^2)+Ft!B$7*EXP(Ft!B$40*($A257-Ft!B$2)^2)))</f>
        <v>50.218699990429585</v>
      </c>
      <c r="G257" s="3">
        <f>IF(($A257-Ft!C$2)&lt;0,Ft!C$3*((1-Ft!C$6)/(1+Ft!C$37*($A257-Ft!C$2)^2)+Ft!C$6*EXP(Ft!C$38*($A257-Ft!C$2)^2)),Ft!C$3*((1-Ft!C$7)/(1+Ft!C$39*($A257-Ft!C$2)^2)+Ft!C$7*EXP(Ft!C$40*($A257-Ft!C$2)^2)))</f>
        <v>47.516319590456767</v>
      </c>
      <c r="H257" s="3">
        <f>IF(($A257-Ft!D$2)&lt;0,Ft!D$3*((1-Ft!D$6)/(1+Ft!D$37*($A257-Ft!D$2)^2)+Ft!D$6*EXP(Ft!D$38*($A257-Ft!D$2)^2)),Ft!D$3*((1-Ft!D$7)/(1+Ft!D$39*($A257-Ft!D$2)^2)+Ft!D$7*EXP(Ft!D$40*($A257-Ft!D$2)^2)))</f>
        <v>3.2761174572566346E-2</v>
      </c>
      <c r="I257" s="3">
        <f>IF(($A257-Ft!E$2)&lt;0,Ft!E$3*((1-Ft!E$6)/(1+Ft!E$37*($A257-Ft!E$2)^2)+Ft!E$6*EXP(Ft!E$38*($A257-Ft!E$2)^2)),Ft!E$3*((1-Ft!E$7)/(1+Ft!E$39*($A257-Ft!E$2)^2)+Ft!E$7*EXP(Ft!E$40*($A257-Ft!E$2)^2)))</f>
        <v>81.437256074252886</v>
      </c>
      <c r="J257" s="3">
        <f>IF(($A257-Ft!F$2)&lt;0,Ft!F$3*((1-Ft!F$6)/(1+Ft!F$37*($A257-Ft!F$2)^2)+Ft!F$6*EXP(Ft!F$38*($A257-Ft!F$2)^2)),Ft!F$3*((1-Ft!F$7)/(1+Ft!F$39*($A257-Ft!F$2)^2)+Ft!F$7*EXP(Ft!F$40*($A257-Ft!F$2)^2)))</f>
        <v>33.534496407298441</v>
      </c>
      <c r="K257" s="3">
        <f>IF(($A257-Ft!G$2)&lt;0,Ft!G$3*((1-Ft!G$6)/(1+Ft!G$37*($A257-Ft!G$2)^2)+Ft!G$6*EXP(Ft!G$38*($A257-Ft!G$2)^2)),Ft!G$3*((1-Ft!G$7)/(1+Ft!G$39*($A257-Ft!G$2)^2)+Ft!G$7*EXP(Ft!G$40*($A257-Ft!G$2)^2)))</f>
        <v>35.90139779945698</v>
      </c>
      <c r="L257" s="3">
        <f>IF(($A257-Ft!H$2)&lt;0,Ft!H$3*((1-Ft!H$6)/(1+Ft!H$37*($A257-Ft!H$2)^2)+Ft!H$6*EXP(Ft!H$38*($A257-Ft!H$2)^2)),Ft!H$3*((1-Ft!H$7)/(1+Ft!H$39*($A257-Ft!H$2)^2)+Ft!H$7*EXP(Ft!H$40*($A257-Ft!H$2)^2)))</f>
        <v>0</v>
      </c>
      <c r="M257" s="3">
        <f>IF(($A257-Ft!I$2)&lt;0,Ft!I$3*((1-Ft!I$6)/(1+Ft!I$37*($A257-Ft!I$2)^2)+Ft!I$6*EXP(Ft!I$38*($A257-Ft!I$2)^2)),Ft!I$3*((1-Ft!I$7)/(1+Ft!I$39*($A257-Ft!I$2)^2)+Ft!I$7*EXP(Ft!I$40*($A257-Ft!I$2)^2)))</f>
        <v>0</v>
      </c>
      <c r="N257" s="3">
        <f>IF(($A257-Ft!J$2)&lt;0,Ft!J$3*((1-Ft!J$6)/(1+Ft!J$37*($A257-Ft!J$2)^2)+Ft!J$6*EXP(Ft!J$38*($A257-Ft!J$2)^2)),Ft!J$3*((1-Ft!J$7)/(1+Ft!J$39*($A257-Ft!J$2)^2)+Ft!J$7*EXP(Ft!J$40*($A257-Ft!J$2)^2)))</f>
        <v>0</v>
      </c>
      <c r="O257" s="3">
        <f>IF(($A257-Ft!K$2)&lt;0,Ft!K$3*((1-Ft!K$6)/(1+Ft!K$37*($A257-Ft!K$2)^2)+Ft!K$6*EXP(Ft!K$38*($A257-Ft!K$2)^2)),Ft!K$3*((1-Ft!K$7)/(1+Ft!K$39*($A257-Ft!K$2)^2)+Ft!K$7*EXP(Ft!K$40*($A257-Ft!K$2)^2)))</f>
        <v>0</v>
      </c>
      <c r="P257"/>
      <c r="Q257"/>
    </row>
    <row r="258" spans="1:17">
      <c r="A258" s="20">
        <v>513</v>
      </c>
      <c r="B258" s="29">
        <v>48.518677656633116</v>
      </c>
      <c r="C258" s="7">
        <f t="shared" si="7"/>
        <v>48.780005701728562</v>
      </c>
      <c r="D258" s="3">
        <f t="shared" si="8"/>
        <v>6.8292347153407595E-2</v>
      </c>
      <c r="E258" s="3">
        <f>Ft!$B$12+Ft!$B$14*(Data!A258-Vars!$B$3)</f>
        <v>-200</v>
      </c>
      <c r="F258" s="3">
        <f>IF(($A258-Ft!B$2)&lt;0,Ft!B$3*((1-Ft!B$6)/(1+Ft!B$37*($A258-Ft!B$2)^2)+Ft!B$6*EXP(Ft!B$38*($A258-Ft!B$2)^2)),Ft!B$3*((1-Ft!B$7)/(1+Ft!B$39*($A258-Ft!B$2)^2)+Ft!B$7*EXP(Ft!B$40*($A258-Ft!B$2)^2)))</f>
        <v>49.868258072237509</v>
      </c>
      <c r="G258" s="3">
        <f>IF(($A258-Ft!C$2)&lt;0,Ft!C$3*((1-Ft!C$6)/(1+Ft!C$37*($A258-Ft!C$2)^2)+Ft!C$6*EXP(Ft!C$38*($A258-Ft!C$2)^2)),Ft!C$3*((1-Ft!C$7)/(1+Ft!C$39*($A258-Ft!C$2)^2)+Ft!C$7*EXP(Ft!C$40*($A258-Ft!C$2)^2)))</f>
        <v>47.598293035955017</v>
      </c>
      <c r="H258" s="3">
        <f>IF(($A258-Ft!D$2)&lt;0,Ft!D$3*((1-Ft!D$6)/(1+Ft!D$37*($A258-Ft!D$2)^2)+Ft!D$6*EXP(Ft!D$38*($A258-Ft!D$2)^2)),Ft!D$3*((1-Ft!D$7)/(1+Ft!D$39*($A258-Ft!D$2)^2)+Ft!D$7*EXP(Ft!D$40*($A258-Ft!D$2)^2)))</f>
        <v>2.6465007373238505E-2</v>
      </c>
      <c r="I258" s="3">
        <f>IF(($A258-Ft!E$2)&lt;0,Ft!E$3*((1-Ft!E$6)/(1+Ft!E$37*($A258-Ft!E$2)^2)+Ft!E$6*EXP(Ft!E$38*($A258-Ft!E$2)^2)),Ft!E$3*((1-Ft!E$7)/(1+Ft!E$39*($A258-Ft!E$2)^2)+Ft!E$7*EXP(Ft!E$40*($A258-Ft!E$2)^2)))</f>
        <v>81.92946704253211</v>
      </c>
      <c r="J258" s="3">
        <f>IF(($A258-Ft!F$2)&lt;0,Ft!F$3*((1-Ft!F$6)/(1+Ft!F$37*($A258-Ft!F$2)^2)+Ft!F$6*EXP(Ft!F$38*($A258-Ft!F$2)^2)),Ft!F$3*((1-Ft!F$7)/(1+Ft!F$39*($A258-Ft!F$2)^2)+Ft!F$7*EXP(Ft!F$40*($A258-Ft!F$2)^2)))</f>
        <v>33.746276145995424</v>
      </c>
      <c r="K258" s="3">
        <f>IF(($A258-Ft!G$2)&lt;0,Ft!G$3*((1-Ft!G$6)/(1+Ft!G$37*($A258-Ft!G$2)^2)+Ft!G$6*EXP(Ft!G$38*($A258-Ft!G$2)^2)),Ft!G$3*((1-Ft!G$7)/(1+Ft!G$39*($A258-Ft!G$2)^2)+Ft!G$7*EXP(Ft!G$40*($A258-Ft!G$2)^2)))</f>
        <v>35.611246397635291</v>
      </c>
      <c r="L258" s="3">
        <f>IF(($A258-Ft!H$2)&lt;0,Ft!H$3*((1-Ft!H$6)/(1+Ft!H$37*($A258-Ft!H$2)^2)+Ft!H$6*EXP(Ft!H$38*($A258-Ft!H$2)^2)),Ft!H$3*((1-Ft!H$7)/(1+Ft!H$39*($A258-Ft!H$2)^2)+Ft!H$7*EXP(Ft!H$40*($A258-Ft!H$2)^2)))</f>
        <v>0</v>
      </c>
      <c r="M258" s="3">
        <f>IF(($A258-Ft!I$2)&lt;0,Ft!I$3*((1-Ft!I$6)/(1+Ft!I$37*($A258-Ft!I$2)^2)+Ft!I$6*EXP(Ft!I$38*($A258-Ft!I$2)^2)),Ft!I$3*((1-Ft!I$7)/(1+Ft!I$39*($A258-Ft!I$2)^2)+Ft!I$7*EXP(Ft!I$40*($A258-Ft!I$2)^2)))</f>
        <v>0</v>
      </c>
      <c r="N258" s="3">
        <f>IF(($A258-Ft!J$2)&lt;0,Ft!J$3*((1-Ft!J$6)/(1+Ft!J$37*($A258-Ft!J$2)^2)+Ft!J$6*EXP(Ft!J$38*($A258-Ft!J$2)^2)),Ft!J$3*((1-Ft!J$7)/(1+Ft!J$39*($A258-Ft!J$2)^2)+Ft!J$7*EXP(Ft!J$40*($A258-Ft!J$2)^2)))</f>
        <v>0</v>
      </c>
      <c r="O258" s="3">
        <f>IF(($A258-Ft!K$2)&lt;0,Ft!K$3*((1-Ft!K$6)/(1+Ft!K$37*($A258-Ft!K$2)^2)+Ft!K$6*EXP(Ft!K$38*($A258-Ft!K$2)^2)),Ft!K$3*((1-Ft!K$7)/(1+Ft!K$39*($A258-Ft!K$2)^2)+Ft!K$7*EXP(Ft!K$40*($A258-Ft!K$2)^2)))</f>
        <v>0</v>
      </c>
      <c r="P258"/>
      <c r="Q258"/>
    </row>
    <row r="259" spans="1:17">
      <c r="A259" s="20">
        <v>515</v>
      </c>
      <c r="B259" s="29">
        <v>48.657845455363926</v>
      </c>
      <c r="C259" s="7">
        <f t="shared" ref="C259:C322" si="9">SUM(E259:K259)</f>
        <v>48.91915803932271</v>
      </c>
      <c r="D259" s="3">
        <f t="shared" si="8"/>
        <v>6.8284266535216409E-2</v>
      </c>
      <c r="E259" s="3">
        <f>Ft!$B$12+Ft!$B$14*(Data!A259-Vars!$B$3)</f>
        <v>-200</v>
      </c>
      <c r="F259" s="3">
        <f>IF(($A259-Ft!B$2)&lt;0,Ft!B$3*((1-Ft!B$6)/(1+Ft!B$37*($A259-Ft!B$2)^2)+Ft!B$6*EXP(Ft!B$38*($A259-Ft!B$2)^2)),Ft!B$3*((1-Ft!B$7)/(1+Ft!B$39*($A259-Ft!B$2)^2)+Ft!B$7*EXP(Ft!B$40*($A259-Ft!B$2)^2)))</f>
        <v>49.519316476651497</v>
      </c>
      <c r="G259" s="3">
        <f>IF(($A259-Ft!C$2)&lt;0,Ft!C$3*((1-Ft!C$6)/(1+Ft!C$37*($A259-Ft!C$2)^2)+Ft!C$6*EXP(Ft!C$38*($A259-Ft!C$2)^2)),Ft!C$3*((1-Ft!C$7)/(1+Ft!C$39*($A259-Ft!C$2)^2)+Ft!C$7*EXP(Ft!C$40*($A259-Ft!C$2)^2)))</f>
        <v>47.679986607673527</v>
      </c>
      <c r="H259" s="3">
        <f>IF(($A259-Ft!D$2)&lt;0,Ft!D$3*((1-Ft!D$6)/(1+Ft!D$37*($A259-Ft!D$2)^2)+Ft!D$6*EXP(Ft!D$38*($A259-Ft!D$2)^2)),Ft!D$3*((1-Ft!D$7)/(1+Ft!D$39*($A259-Ft!D$2)^2)+Ft!D$7*EXP(Ft!D$40*($A259-Ft!D$2)^2)))</f>
        <v>2.1261243519691508E-2</v>
      </c>
      <c r="I259" s="3">
        <f>IF(($A259-Ft!E$2)&lt;0,Ft!E$3*((1-Ft!E$6)/(1+Ft!E$37*($A259-Ft!E$2)^2)+Ft!E$6*EXP(Ft!E$38*($A259-Ft!E$2)^2)),Ft!E$3*((1-Ft!E$7)/(1+Ft!E$39*($A259-Ft!E$2)^2)+Ft!E$7*EXP(Ft!E$40*($A259-Ft!E$2)^2)))</f>
        <v>82.419874001015927</v>
      </c>
      <c r="J259" s="3">
        <f>IF(($A259-Ft!F$2)&lt;0,Ft!F$3*((1-Ft!F$6)/(1+Ft!F$37*($A259-Ft!F$2)^2)+Ft!F$6*EXP(Ft!F$38*($A259-Ft!F$2)^2)),Ft!F$3*((1-Ft!F$7)/(1+Ft!F$39*($A259-Ft!F$2)^2)+Ft!F$7*EXP(Ft!F$40*($A259-Ft!F$2)^2)))</f>
        <v>33.958946076232415</v>
      </c>
      <c r="K259" s="3">
        <f>IF(($A259-Ft!G$2)&lt;0,Ft!G$3*((1-Ft!G$6)/(1+Ft!G$37*($A259-Ft!G$2)^2)+Ft!G$6*EXP(Ft!G$38*($A259-Ft!G$2)^2)),Ft!G$3*((1-Ft!G$7)/(1+Ft!G$39*($A259-Ft!G$2)^2)+Ft!G$7*EXP(Ft!G$40*($A259-Ft!G$2)^2)))</f>
        <v>35.319773634229641</v>
      </c>
      <c r="L259" s="3">
        <f>IF(($A259-Ft!H$2)&lt;0,Ft!H$3*((1-Ft!H$6)/(1+Ft!H$37*($A259-Ft!H$2)^2)+Ft!H$6*EXP(Ft!H$38*($A259-Ft!H$2)^2)),Ft!H$3*((1-Ft!H$7)/(1+Ft!H$39*($A259-Ft!H$2)^2)+Ft!H$7*EXP(Ft!H$40*($A259-Ft!H$2)^2)))</f>
        <v>0</v>
      </c>
      <c r="M259" s="3">
        <f>IF(($A259-Ft!I$2)&lt;0,Ft!I$3*((1-Ft!I$6)/(1+Ft!I$37*($A259-Ft!I$2)^2)+Ft!I$6*EXP(Ft!I$38*($A259-Ft!I$2)^2)),Ft!I$3*((1-Ft!I$7)/(1+Ft!I$39*($A259-Ft!I$2)^2)+Ft!I$7*EXP(Ft!I$40*($A259-Ft!I$2)^2)))</f>
        <v>0</v>
      </c>
      <c r="N259" s="3">
        <f>IF(($A259-Ft!J$2)&lt;0,Ft!J$3*((1-Ft!J$6)/(1+Ft!J$37*($A259-Ft!J$2)^2)+Ft!J$6*EXP(Ft!J$38*($A259-Ft!J$2)^2)),Ft!J$3*((1-Ft!J$7)/(1+Ft!J$39*($A259-Ft!J$2)^2)+Ft!J$7*EXP(Ft!J$40*($A259-Ft!J$2)^2)))</f>
        <v>0</v>
      </c>
      <c r="O259" s="3">
        <f>IF(($A259-Ft!K$2)&lt;0,Ft!K$3*((1-Ft!K$6)/(1+Ft!K$37*($A259-Ft!K$2)^2)+Ft!K$6*EXP(Ft!K$38*($A259-Ft!K$2)^2)),Ft!K$3*((1-Ft!K$7)/(1+Ft!K$39*($A259-Ft!K$2)^2)+Ft!K$7*EXP(Ft!K$40*($A259-Ft!K$2)^2)))</f>
        <v>0</v>
      </c>
      <c r="P259"/>
      <c r="Q259"/>
    </row>
    <row r="260" spans="1:17">
      <c r="A260" s="20">
        <v>517</v>
      </c>
      <c r="B260" s="29">
        <v>48.798882796128893</v>
      </c>
      <c r="C260" s="7">
        <f t="shared" si="9"/>
        <v>49.058228959109996</v>
      </c>
      <c r="D260" s="3">
        <f t="shared" si="8"/>
        <v>6.7260432253020905E-2</v>
      </c>
      <c r="E260" s="3">
        <f>Ft!$B$12+Ft!$B$14*(Data!A260-Vars!$B$3)</f>
        <v>-200</v>
      </c>
      <c r="F260" s="3">
        <f>IF(($A260-Ft!B$2)&lt;0,Ft!B$3*((1-Ft!B$6)/(1+Ft!B$37*($A260-Ft!B$2)^2)+Ft!B$6*EXP(Ft!B$38*($A260-Ft!B$2)^2)),Ft!B$3*((1-Ft!B$7)/(1+Ft!B$39*($A260-Ft!B$2)^2)+Ft!B$7*EXP(Ft!B$40*($A260-Ft!B$2)^2)))</f>
        <v>49.171877979099861</v>
      </c>
      <c r="G260" s="3">
        <f>IF(($A260-Ft!C$2)&lt;0,Ft!C$3*((1-Ft!C$6)/(1+Ft!C$37*($A260-Ft!C$2)^2)+Ft!C$6*EXP(Ft!C$38*($A260-Ft!C$2)^2)),Ft!C$3*((1-Ft!C$7)/(1+Ft!C$39*($A260-Ft!C$2)^2)+Ft!C$7*EXP(Ft!C$40*($A260-Ft!C$2)^2)))</f>
        <v>47.761398380376988</v>
      </c>
      <c r="H260" s="3">
        <f>IF(($A260-Ft!D$2)&lt;0,Ft!D$3*((1-Ft!D$6)/(1+Ft!D$37*($A260-Ft!D$2)^2)+Ft!D$6*EXP(Ft!D$38*($A260-Ft!D$2)^2)),Ft!D$3*((1-Ft!D$7)/(1+Ft!D$39*($A260-Ft!D$2)^2)+Ft!D$7*EXP(Ft!D$40*($A260-Ft!D$2)^2)))</f>
        <v>1.6986714647702093E-2</v>
      </c>
      <c r="I260" s="3">
        <f>IF(($A260-Ft!E$2)&lt;0,Ft!E$3*((1-Ft!E$6)/(1+Ft!E$37*($A260-Ft!E$2)^2)+Ft!E$6*EXP(Ft!E$38*($A260-Ft!E$2)^2)),Ft!E$3*((1-Ft!E$7)/(1+Ft!E$39*($A260-Ft!E$2)^2)+Ft!E$7*EXP(Ft!E$40*($A260-Ft!E$2)^2)))</f>
        <v>82.908409113893015</v>
      </c>
      <c r="J260" s="3">
        <f>IF(($A260-Ft!F$2)&lt;0,Ft!F$3*((1-Ft!F$6)/(1+Ft!F$37*($A260-Ft!F$2)^2)+Ft!F$6*EXP(Ft!F$38*($A260-Ft!F$2)^2)),Ft!F$3*((1-Ft!F$7)/(1+Ft!F$39*($A260-Ft!F$2)^2)+Ft!F$7*EXP(Ft!F$40*($A260-Ft!F$2)^2)))</f>
        <v>34.172506188497081</v>
      </c>
      <c r="K260" s="3">
        <f>IF(($A260-Ft!G$2)&lt;0,Ft!G$3*((1-Ft!G$6)/(1+Ft!G$37*($A260-Ft!G$2)^2)+Ft!G$6*EXP(Ft!G$38*($A260-Ft!G$2)^2)),Ft!G$3*((1-Ft!G$7)/(1+Ft!G$39*($A260-Ft!G$2)^2)+Ft!G$7*EXP(Ft!G$40*($A260-Ft!G$2)^2)))</f>
        <v>35.027050582595351</v>
      </c>
      <c r="L260" s="3">
        <f>IF(($A260-Ft!H$2)&lt;0,Ft!H$3*((1-Ft!H$6)/(1+Ft!H$37*($A260-Ft!H$2)^2)+Ft!H$6*EXP(Ft!H$38*($A260-Ft!H$2)^2)),Ft!H$3*((1-Ft!H$7)/(1+Ft!H$39*($A260-Ft!H$2)^2)+Ft!H$7*EXP(Ft!H$40*($A260-Ft!H$2)^2)))</f>
        <v>0</v>
      </c>
      <c r="M260" s="3">
        <f>IF(($A260-Ft!I$2)&lt;0,Ft!I$3*((1-Ft!I$6)/(1+Ft!I$37*($A260-Ft!I$2)^2)+Ft!I$6*EXP(Ft!I$38*($A260-Ft!I$2)^2)),Ft!I$3*((1-Ft!I$7)/(1+Ft!I$39*($A260-Ft!I$2)^2)+Ft!I$7*EXP(Ft!I$40*($A260-Ft!I$2)^2)))</f>
        <v>0</v>
      </c>
      <c r="N260" s="3">
        <f>IF(($A260-Ft!J$2)&lt;0,Ft!J$3*((1-Ft!J$6)/(1+Ft!J$37*($A260-Ft!J$2)^2)+Ft!J$6*EXP(Ft!J$38*($A260-Ft!J$2)^2)),Ft!J$3*((1-Ft!J$7)/(1+Ft!J$39*($A260-Ft!J$2)^2)+Ft!J$7*EXP(Ft!J$40*($A260-Ft!J$2)^2)))</f>
        <v>0</v>
      </c>
      <c r="O260" s="3">
        <f>IF(($A260-Ft!K$2)&lt;0,Ft!K$3*((1-Ft!K$6)/(1+Ft!K$37*($A260-Ft!K$2)^2)+Ft!K$6*EXP(Ft!K$38*($A260-Ft!K$2)^2)),Ft!K$3*((1-Ft!K$7)/(1+Ft!K$39*($A260-Ft!K$2)^2)+Ft!K$7*EXP(Ft!K$40*($A260-Ft!K$2)^2)))</f>
        <v>0</v>
      </c>
      <c r="P260"/>
      <c r="Q260"/>
    </row>
    <row r="261" spans="1:17">
      <c r="A261" s="20">
        <v>519</v>
      </c>
      <c r="B261" s="29">
        <v>48.941546886742131</v>
      </c>
      <c r="C261" s="7">
        <f t="shared" si="9"/>
        <v>49.197077612539651</v>
      </c>
      <c r="D261" s="3">
        <f t="shared" si="8"/>
        <v>6.5295951826607412E-2</v>
      </c>
      <c r="E261" s="3">
        <f>Ft!$B$12+Ft!$B$14*(Data!A261-Vars!$B$3)</f>
        <v>-200</v>
      </c>
      <c r="F261" s="3">
        <f>IF(($A261-Ft!B$2)&lt;0,Ft!B$3*((1-Ft!B$6)/(1+Ft!B$37*($A261-Ft!B$2)^2)+Ft!B$6*EXP(Ft!B$38*($A261-Ft!B$2)^2)),Ft!B$3*((1-Ft!B$7)/(1+Ft!B$39*($A261-Ft!B$2)^2)+Ft!B$7*EXP(Ft!B$40*($A261-Ft!B$2)^2)))</f>
        <v>48.825945249799474</v>
      </c>
      <c r="G261" s="3">
        <f>IF(($A261-Ft!C$2)&lt;0,Ft!C$3*((1-Ft!C$6)/(1+Ft!C$37*($A261-Ft!C$2)^2)+Ft!C$6*EXP(Ft!C$38*($A261-Ft!C$2)^2)),Ft!C$3*((1-Ft!C$7)/(1+Ft!C$39*($A261-Ft!C$2)^2)+Ft!C$7*EXP(Ft!C$40*($A261-Ft!C$2)^2)))</f>
        <v>47.842526433010434</v>
      </c>
      <c r="H261" s="3">
        <f>IF(($A261-Ft!D$2)&lt;0,Ft!D$3*((1-Ft!D$6)/(1+Ft!D$37*($A261-Ft!D$2)^2)+Ft!D$6*EXP(Ft!D$38*($A261-Ft!D$2)^2)),Ft!D$3*((1-Ft!D$7)/(1+Ft!D$39*($A261-Ft!D$2)^2)+Ft!D$7*EXP(Ft!D$40*($A261-Ft!D$2)^2)))</f>
        <v>1.349690552529809E-2</v>
      </c>
      <c r="I261" s="3">
        <f>IF(($A261-Ft!E$2)&lt;0,Ft!E$3*((1-Ft!E$6)/(1+Ft!E$37*($A261-Ft!E$2)^2)+Ft!E$6*EXP(Ft!E$38*($A261-Ft!E$2)^2)),Ft!E$3*((1-Ft!E$7)/(1+Ft!E$39*($A261-Ft!E$2)^2)+Ft!E$7*EXP(Ft!E$40*($A261-Ft!E$2)^2)))</f>
        <v>83.395004467844458</v>
      </c>
      <c r="J261" s="3">
        <f>IF(($A261-Ft!F$2)&lt;0,Ft!F$3*((1-Ft!F$6)/(1+Ft!F$37*($A261-Ft!F$2)^2)+Ft!F$6*EXP(Ft!F$38*($A261-Ft!F$2)^2)),Ft!F$3*((1-Ft!F$7)/(1+Ft!F$39*($A261-Ft!F$2)^2)+Ft!F$7*EXP(Ft!F$40*($A261-Ft!F$2)^2)))</f>
        <v>34.386956437934593</v>
      </c>
      <c r="K261" s="3">
        <f>IF(($A261-Ft!G$2)&lt;0,Ft!G$3*((1-Ft!G$6)/(1+Ft!G$37*($A261-Ft!G$2)^2)+Ft!G$6*EXP(Ft!G$38*($A261-Ft!G$2)^2)),Ft!G$3*((1-Ft!G$7)/(1+Ft!G$39*($A261-Ft!G$2)^2)+Ft!G$7*EXP(Ft!G$40*($A261-Ft!G$2)^2)))</f>
        <v>34.73314811842539</v>
      </c>
      <c r="L261" s="3">
        <f>IF(($A261-Ft!H$2)&lt;0,Ft!H$3*((1-Ft!H$6)/(1+Ft!H$37*($A261-Ft!H$2)^2)+Ft!H$6*EXP(Ft!H$38*($A261-Ft!H$2)^2)),Ft!H$3*((1-Ft!H$7)/(1+Ft!H$39*($A261-Ft!H$2)^2)+Ft!H$7*EXP(Ft!H$40*($A261-Ft!H$2)^2)))</f>
        <v>0</v>
      </c>
      <c r="M261" s="3">
        <f>IF(($A261-Ft!I$2)&lt;0,Ft!I$3*((1-Ft!I$6)/(1+Ft!I$37*($A261-Ft!I$2)^2)+Ft!I$6*EXP(Ft!I$38*($A261-Ft!I$2)^2)),Ft!I$3*((1-Ft!I$7)/(1+Ft!I$39*($A261-Ft!I$2)^2)+Ft!I$7*EXP(Ft!I$40*($A261-Ft!I$2)^2)))</f>
        <v>0</v>
      </c>
      <c r="N261" s="3">
        <f>IF(($A261-Ft!J$2)&lt;0,Ft!J$3*((1-Ft!J$6)/(1+Ft!J$37*($A261-Ft!J$2)^2)+Ft!J$6*EXP(Ft!J$38*($A261-Ft!J$2)^2)),Ft!J$3*((1-Ft!J$7)/(1+Ft!J$39*($A261-Ft!J$2)^2)+Ft!J$7*EXP(Ft!J$40*($A261-Ft!J$2)^2)))</f>
        <v>0</v>
      </c>
      <c r="O261" s="3">
        <f>IF(($A261-Ft!K$2)&lt;0,Ft!K$3*((1-Ft!K$6)/(1+Ft!K$37*($A261-Ft!K$2)^2)+Ft!K$6*EXP(Ft!K$38*($A261-Ft!K$2)^2)),Ft!K$3*((1-Ft!K$7)/(1+Ft!K$39*($A261-Ft!K$2)^2)+Ft!K$7*EXP(Ft!K$40*($A261-Ft!K$2)^2)))</f>
        <v>0</v>
      </c>
      <c r="P261"/>
      <c r="Q261"/>
    </row>
    <row r="262" spans="1:17">
      <c r="A262" s="20">
        <v>521</v>
      </c>
      <c r="B262" s="29">
        <v>49.085596354327507</v>
      </c>
      <c r="C262" s="7">
        <f t="shared" si="9"/>
        <v>49.335580481958942</v>
      </c>
      <c r="D262" s="3">
        <f t="shared" si="8"/>
        <v>6.24920640676499E-2</v>
      </c>
      <c r="E262" s="3">
        <f>Ft!$B$12+Ft!$B$14*(Data!A262-Vars!$B$3)</f>
        <v>-200</v>
      </c>
      <c r="F262" s="3">
        <f>IF(($A262-Ft!B$2)&lt;0,Ft!B$3*((1-Ft!B$6)/(1+Ft!B$37*($A262-Ft!B$2)^2)+Ft!B$6*EXP(Ft!B$38*($A262-Ft!B$2)^2)),Ft!B$3*((1-Ft!B$7)/(1+Ft!B$39*($A262-Ft!B$2)^2)+Ft!B$7*EXP(Ft!B$40*($A262-Ft!B$2)^2)))</f>
        <v>48.481520854290622</v>
      </c>
      <c r="G262" s="3">
        <f>IF(($A262-Ft!C$2)&lt;0,Ft!C$3*((1-Ft!C$6)/(1+Ft!C$37*($A262-Ft!C$2)^2)+Ft!C$6*EXP(Ft!C$38*($A262-Ft!C$2)^2)),Ft!C$3*((1-Ft!C$7)/(1+Ft!C$39*($A262-Ft!C$2)^2)+Ft!C$7*EXP(Ft!C$40*($A262-Ft!C$2)^2)))</f>
        <v>47.923368848774267</v>
      </c>
      <c r="H262" s="3">
        <f>IF(($A262-Ft!D$2)&lt;0,Ft!D$3*((1-Ft!D$6)/(1+Ft!D$37*($A262-Ft!D$2)^2)+Ft!D$6*EXP(Ft!D$38*($A262-Ft!D$2)^2)),Ft!D$3*((1-Ft!D$7)/(1+Ft!D$39*($A262-Ft!D$2)^2)+Ft!D$7*EXP(Ft!D$40*($A262-Ft!D$2)^2)))</f>
        <v>1.0665055299539867E-2</v>
      </c>
      <c r="I262" s="3">
        <f>IF(($A262-Ft!E$2)&lt;0,Ft!E$3*((1-Ft!E$6)/(1+Ft!E$37*($A262-Ft!E$2)^2)+Ft!E$6*EXP(Ft!E$38*($A262-Ft!E$2)^2)),Ft!E$3*((1-Ft!E$7)/(1+Ft!E$39*($A262-Ft!E$2)^2)+Ft!E$7*EXP(Ft!E$40*($A262-Ft!E$2)^2)))</f>
        <v>83.879592087381056</v>
      </c>
      <c r="J262" s="3">
        <f>IF(($A262-Ft!F$2)&lt;0,Ft!F$3*((1-Ft!F$6)/(1+Ft!F$37*($A262-Ft!F$2)^2)+Ft!F$6*EXP(Ft!F$38*($A262-Ft!F$2)^2)),Ft!F$3*((1-Ft!F$7)/(1+Ft!F$39*($A262-Ft!F$2)^2)+Ft!F$7*EXP(Ft!F$40*($A262-Ft!F$2)^2)))</f>
        <v>34.602296744127813</v>
      </c>
      <c r="K262" s="3">
        <f>IF(($A262-Ft!G$2)&lt;0,Ft!G$3*((1-Ft!G$6)/(1+Ft!G$37*($A262-Ft!G$2)^2)+Ft!G$6*EXP(Ft!G$38*($A262-Ft!G$2)^2)),Ft!G$3*((1-Ft!G$7)/(1+Ft!G$39*($A262-Ft!G$2)^2)+Ft!G$7*EXP(Ft!G$40*($A262-Ft!G$2)^2)))</f>
        <v>34.438136892085637</v>
      </c>
      <c r="L262" s="3">
        <f>IF(($A262-Ft!H$2)&lt;0,Ft!H$3*((1-Ft!H$6)/(1+Ft!H$37*($A262-Ft!H$2)^2)+Ft!H$6*EXP(Ft!H$38*($A262-Ft!H$2)^2)),Ft!H$3*((1-Ft!H$7)/(1+Ft!H$39*($A262-Ft!H$2)^2)+Ft!H$7*EXP(Ft!H$40*($A262-Ft!H$2)^2)))</f>
        <v>0</v>
      </c>
      <c r="M262" s="3">
        <f>IF(($A262-Ft!I$2)&lt;0,Ft!I$3*((1-Ft!I$6)/(1+Ft!I$37*($A262-Ft!I$2)^2)+Ft!I$6*EXP(Ft!I$38*($A262-Ft!I$2)^2)),Ft!I$3*((1-Ft!I$7)/(1+Ft!I$39*($A262-Ft!I$2)^2)+Ft!I$7*EXP(Ft!I$40*($A262-Ft!I$2)^2)))</f>
        <v>0</v>
      </c>
      <c r="N262" s="3">
        <f>IF(($A262-Ft!J$2)&lt;0,Ft!J$3*((1-Ft!J$6)/(1+Ft!J$37*($A262-Ft!J$2)^2)+Ft!J$6*EXP(Ft!J$38*($A262-Ft!J$2)^2)),Ft!J$3*((1-Ft!J$7)/(1+Ft!J$39*($A262-Ft!J$2)^2)+Ft!J$7*EXP(Ft!J$40*($A262-Ft!J$2)^2)))</f>
        <v>0</v>
      </c>
      <c r="O262" s="3">
        <f>IF(($A262-Ft!K$2)&lt;0,Ft!K$3*((1-Ft!K$6)/(1+Ft!K$37*($A262-Ft!K$2)^2)+Ft!K$6*EXP(Ft!K$38*($A262-Ft!K$2)^2)),Ft!K$3*((1-Ft!K$7)/(1+Ft!K$39*($A262-Ft!K$2)^2)+Ft!K$7*EXP(Ft!K$40*($A262-Ft!K$2)^2)))</f>
        <v>0</v>
      </c>
      <c r="P262"/>
      <c r="Q262"/>
    </row>
    <row r="263" spans="1:17">
      <c r="A263" s="20">
        <v>523</v>
      </c>
      <c r="B263" s="29">
        <v>49.230793814833632</v>
      </c>
      <c r="C263" s="7">
        <f t="shared" si="9"/>
        <v>49.47363021669463</v>
      </c>
      <c r="D263" s="3">
        <f t="shared" si="8"/>
        <v>5.8969518068796259E-2</v>
      </c>
      <c r="E263" s="3">
        <f>Ft!$B$12+Ft!$B$14*(Data!A263-Vars!$B$3)</f>
        <v>-200</v>
      </c>
      <c r="F263" s="3">
        <f>IF(($A263-Ft!B$2)&lt;0,Ft!B$3*((1-Ft!B$6)/(1+Ft!B$37*($A263-Ft!B$2)^2)+Ft!B$6*EXP(Ft!B$38*($A263-Ft!B$2)^2)),Ft!B$3*((1-Ft!B$7)/(1+Ft!B$39*($A263-Ft!B$2)^2)+Ft!B$7*EXP(Ft!B$40*($A263-Ft!B$2)^2)))</f>
        <v>48.138607253978336</v>
      </c>
      <c r="G263" s="3">
        <f>IF(($A263-Ft!C$2)&lt;0,Ft!C$3*((1-Ft!C$6)/(1+Ft!C$37*($A263-Ft!C$2)^2)+Ft!C$6*EXP(Ft!C$38*($A263-Ft!C$2)^2)),Ft!C$3*((1-Ft!C$7)/(1+Ft!C$39*($A263-Ft!C$2)^2)+Ft!C$7*EXP(Ft!C$40*($A263-Ft!C$2)^2)))</f>
        <v>48.003923715199342</v>
      </c>
      <c r="H263" s="3">
        <f>IF(($A263-Ft!D$2)&lt;0,Ft!D$3*((1-Ft!D$6)/(1+Ft!D$37*($A263-Ft!D$2)^2)+Ft!D$6*EXP(Ft!D$38*($A263-Ft!D$2)^2)),Ft!D$3*((1-Ft!D$7)/(1+Ft!D$39*($A263-Ft!D$2)^2)+Ft!D$7*EXP(Ft!D$40*($A263-Ft!D$2)^2)))</f>
        <v>8.3810050520409622E-3</v>
      </c>
      <c r="I263" s="3">
        <f>IF(($A263-Ft!E$2)&lt;0,Ft!E$3*((1-Ft!E$6)/(1+Ft!E$37*($A263-Ft!E$2)^2)+Ft!E$6*EXP(Ft!E$38*($A263-Ft!E$2)^2)),Ft!E$3*((1-Ft!E$7)/(1+Ft!E$39*($A263-Ft!E$2)^2)+Ft!E$7*EXP(Ft!E$40*($A263-Ft!E$2)^2)))</f>
        <v>84.362103950289182</v>
      </c>
      <c r="J263" s="3">
        <f>IF(($A263-Ft!F$2)&lt;0,Ft!F$3*((1-Ft!F$6)/(1+Ft!F$37*($A263-Ft!F$2)^2)+Ft!F$6*EXP(Ft!F$38*($A263-Ft!F$2)^2)),Ft!F$3*((1-Ft!F$7)/(1+Ft!F$39*($A263-Ft!F$2)^2)+Ft!F$7*EXP(Ft!F$40*($A263-Ft!F$2)^2)))</f>
        <v>34.818526990878354</v>
      </c>
      <c r="K263" s="3">
        <f>IF(($A263-Ft!G$2)&lt;0,Ft!G$3*((1-Ft!G$6)/(1+Ft!G$37*($A263-Ft!G$2)^2)+Ft!G$6*EXP(Ft!G$38*($A263-Ft!G$2)^2)),Ft!G$3*((1-Ft!G$7)/(1+Ft!G$39*($A263-Ft!G$2)^2)+Ft!G$7*EXP(Ft!G$40*($A263-Ft!G$2)^2)))</f>
        <v>34.14208730129738</v>
      </c>
      <c r="L263" s="3">
        <f>IF(($A263-Ft!H$2)&lt;0,Ft!H$3*((1-Ft!H$6)/(1+Ft!H$37*($A263-Ft!H$2)^2)+Ft!H$6*EXP(Ft!H$38*($A263-Ft!H$2)^2)),Ft!H$3*((1-Ft!H$7)/(1+Ft!H$39*($A263-Ft!H$2)^2)+Ft!H$7*EXP(Ft!H$40*($A263-Ft!H$2)^2)))</f>
        <v>0</v>
      </c>
      <c r="M263" s="3">
        <f>IF(($A263-Ft!I$2)&lt;0,Ft!I$3*((1-Ft!I$6)/(1+Ft!I$37*($A263-Ft!I$2)^2)+Ft!I$6*EXP(Ft!I$38*($A263-Ft!I$2)^2)),Ft!I$3*((1-Ft!I$7)/(1+Ft!I$39*($A263-Ft!I$2)^2)+Ft!I$7*EXP(Ft!I$40*($A263-Ft!I$2)^2)))</f>
        <v>0</v>
      </c>
      <c r="N263" s="3">
        <f>IF(($A263-Ft!J$2)&lt;0,Ft!J$3*((1-Ft!J$6)/(1+Ft!J$37*($A263-Ft!J$2)^2)+Ft!J$6*EXP(Ft!J$38*($A263-Ft!J$2)^2)),Ft!J$3*((1-Ft!J$7)/(1+Ft!J$39*($A263-Ft!J$2)^2)+Ft!J$7*EXP(Ft!J$40*($A263-Ft!J$2)^2)))</f>
        <v>0</v>
      </c>
      <c r="O263" s="3">
        <f>IF(($A263-Ft!K$2)&lt;0,Ft!K$3*((1-Ft!K$6)/(1+Ft!K$37*($A263-Ft!K$2)^2)+Ft!K$6*EXP(Ft!K$38*($A263-Ft!K$2)^2)),Ft!K$3*((1-Ft!K$7)/(1+Ft!K$39*($A263-Ft!K$2)^2)+Ft!K$7*EXP(Ft!K$40*($A263-Ft!K$2)^2)))</f>
        <v>0</v>
      </c>
      <c r="P263"/>
      <c r="Q263"/>
    </row>
    <row r="264" spans="1:17">
      <c r="A264" s="20">
        <v>525</v>
      </c>
      <c r="B264" s="29">
        <v>49.376908053780681</v>
      </c>
      <c r="C264" s="7">
        <f t="shared" si="9"/>
        <v>49.611134301792532</v>
      </c>
      <c r="D264" s="3">
        <f t="shared" si="8"/>
        <v>5.4861935257708973E-2</v>
      </c>
      <c r="E264" s="3">
        <f>Ft!$B$12+Ft!$B$14*(Data!A264-Vars!$B$3)</f>
        <v>-200</v>
      </c>
      <c r="F264" s="3">
        <f>IF(($A264-Ft!B$2)&lt;0,Ft!B$3*((1-Ft!B$6)/(1+Ft!B$37*($A264-Ft!B$2)^2)+Ft!B$6*EXP(Ft!B$38*($A264-Ft!B$2)^2)),Ft!B$3*((1-Ft!B$7)/(1+Ft!B$39*($A264-Ft!B$2)^2)+Ft!B$7*EXP(Ft!B$40*($A264-Ft!B$2)^2)))</f>
        <v>47.797206806679768</v>
      </c>
      <c r="G264" s="3">
        <f>IF(($A264-Ft!C$2)&lt;0,Ft!C$3*((1-Ft!C$6)/(1+Ft!C$37*($A264-Ft!C$2)^2)+Ft!C$6*EXP(Ft!C$38*($A264-Ft!C$2)^2)),Ft!C$3*((1-Ft!C$7)/(1+Ft!C$39*($A264-Ft!C$2)^2)+Ft!C$7*EXP(Ft!C$40*($A264-Ft!C$2)^2)))</f>
        <v>48.084189124221908</v>
      </c>
      <c r="H264" s="3">
        <f>IF(($A264-Ft!D$2)&lt;0,Ft!D$3*((1-Ft!D$6)/(1+Ft!D$37*($A264-Ft!D$2)^2)+Ft!D$6*EXP(Ft!D$38*($A264-Ft!D$2)^2)),Ft!D$3*((1-Ft!D$7)/(1+Ft!D$39*($A264-Ft!D$2)^2)+Ft!D$7*EXP(Ft!D$40*($A264-Ft!D$2)^2)))</f>
        <v>6.5498775407643178E-3</v>
      </c>
      <c r="I264" s="3">
        <f>IF(($A264-Ft!E$2)&lt;0,Ft!E$3*((1-Ft!E$6)/(1+Ft!E$37*($A264-Ft!E$2)^2)+Ft!E$6*EXP(Ft!E$38*($A264-Ft!E$2)^2)),Ft!E$3*((1-Ft!E$7)/(1+Ft!E$39*($A264-Ft!E$2)^2)+Ft!E$7*EXP(Ft!E$40*($A264-Ft!E$2)^2)))</f>
        <v>84.842472003180589</v>
      </c>
      <c r="J264" s="3">
        <f>IF(($A264-Ft!F$2)&lt;0,Ft!F$3*((1-Ft!F$6)/(1+Ft!F$37*($A264-Ft!F$2)^2)+Ft!F$6*EXP(Ft!F$38*($A264-Ft!F$2)^2)),Ft!F$3*((1-Ft!F$7)/(1+Ft!F$39*($A264-Ft!F$2)^2)+Ft!F$7*EXP(Ft!F$40*($A264-Ft!F$2)^2)))</f>
        <v>35.035647025988624</v>
      </c>
      <c r="K264" s="3">
        <f>IF(($A264-Ft!G$2)&lt;0,Ft!G$3*((1-Ft!G$6)/(1+Ft!G$37*($A264-Ft!G$2)^2)+Ft!G$6*EXP(Ft!G$38*($A264-Ft!G$2)^2)),Ft!G$3*((1-Ft!G$7)/(1+Ft!G$39*($A264-Ft!G$2)^2)+Ft!G$7*EXP(Ft!G$40*($A264-Ft!G$2)^2)))</f>
        <v>33.845069464180895</v>
      </c>
      <c r="L264" s="3">
        <f>IF(($A264-Ft!H$2)&lt;0,Ft!H$3*((1-Ft!H$6)/(1+Ft!H$37*($A264-Ft!H$2)^2)+Ft!H$6*EXP(Ft!H$38*($A264-Ft!H$2)^2)),Ft!H$3*((1-Ft!H$7)/(1+Ft!H$39*($A264-Ft!H$2)^2)+Ft!H$7*EXP(Ft!H$40*($A264-Ft!H$2)^2)))</f>
        <v>0</v>
      </c>
      <c r="M264" s="3">
        <f>IF(($A264-Ft!I$2)&lt;0,Ft!I$3*((1-Ft!I$6)/(1+Ft!I$37*($A264-Ft!I$2)^2)+Ft!I$6*EXP(Ft!I$38*($A264-Ft!I$2)^2)),Ft!I$3*((1-Ft!I$7)/(1+Ft!I$39*($A264-Ft!I$2)^2)+Ft!I$7*EXP(Ft!I$40*($A264-Ft!I$2)^2)))</f>
        <v>0</v>
      </c>
      <c r="N264" s="3">
        <f>IF(($A264-Ft!J$2)&lt;0,Ft!J$3*((1-Ft!J$6)/(1+Ft!J$37*($A264-Ft!J$2)^2)+Ft!J$6*EXP(Ft!J$38*($A264-Ft!J$2)^2)),Ft!J$3*((1-Ft!J$7)/(1+Ft!J$39*($A264-Ft!J$2)^2)+Ft!J$7*EXP(Ft!J$40*($A264-Ft!J$2)^2)))</f>
        <v>0</v>
      </c>
      <c r="O264" s="3">
        <f>IF(($A264-Ft!K$2)&lt;0,Ft!K$3*((1-Ft!K$6)/(1+Ft!K$37*($A264-Ft!K$2)^2)+Ft!K$6*EXP(Ft!K$38*($A264-Ft!K$2)^2)),Ft!K$3*((1-Ft!K$7)/(1+Ft!K$39*($A264-Ft!K$2)^2)+Ft!K$7*EXP(Ft!K$40*($A264-Ft!K$2)^2)))</f>
        <v>0</v>
      </c>
      <c r="P264"/>
      <c r="Q264"/>
    </row>
    <row r="265" spans="1:17">
      <c r="A265" s="20">
        <v>527</v>
      </c>
      <c r="B265" s="29">
        <v>49.523715828620325</v>
      </c>
      <c r="C265" s="7">
        <f t="shared" si="9"/>
        <v>49.748013633265458</v>
      </c>
      <c r="D265" s="3">
        <f t="shared" si="8"/>
        <v>5.0309505168626117E-2</v>
      </c>
      <c r="E265" s="3">
        <f>Ft!$B$12+Ft!$B$14*(Data!A265-Vars!$B$3)</f>
        <v>-200</v>
      </c>
      <c r="F265" s="3">
        <f>IF(($A265-Ft!B$2)&lt;0,Ft!B$3*((1-Ft!B$6)/(1+Ft!B$37*($A265-Ft!B$2)^2)+Ft!B$6*EXP(Ft!B$38*($A265-Ft!B$2)^2)),Ft!B$3*((1-Ft!B$7)/(1+Ft!B$39*($A265-Ft!B$2)^2)+Ft!B$7*EXP(Ft!B$40*($A265-Ft!B$2)^2)))</f>
        <v>47.457321767177369</v>
      </c>
      <c r="G265" s="3">
        <f>IF(($A265-Ft!C$2)&lt;0,Ft!C$3*((1-Ft!C$6)/(1+Ft!C$37*($A265-Ft!C$2)^2)+Ft!C$6*EXP(Ft!C$38*($A265-Ft!C$2)^2)),Ft!C$3*((1-Ft!C$7)/(1+Ft!C$39*($A265-Ft!C$2)^2)+Ft!C$7*EXP(Ft!C$40*($A265-Ft!C$2)^2)))</f>
        <v>48.164163172258512</v>
      </c>
      <c r="H265" s="3">
        <f>IF(($A265-Ft!D$2)&lt;0,Ft!D$3*((1-Ft!D$6)/(1+Ft!D$37*($A265-Ft!D$2)^2)+Ft!D$6*EXP(Ft!D$38*($A265-Ft!D$2)^2)),Ft!D$3*((1-Ft!D$7)/(1+Ft!D$39*($A265-Ft!D$2)^2)+Ft!D$7*EXP(Ft!D$40*($A265-Ft!D$2)^2)))</f>
        <v>5.0906629696918651E-3</v>
      </c>
      <c r="I265" s="3">
        <f>IF(($A265-Ft!E$2)&lt;0,Ft!E$3*((1-Ft!E$6)/(1+Ft!E$37*($A265-Ft!E$2)^2)+Ft!E$6*EXP(Ft!E$38*($A265-Ft!E$2)^2)),Ft!E$3*((1-Ft!E$7)/(1+Ft!E$39*($A265-Ft!E$2)^2)+Ft!E$7*EXP(Ft!E$40*($A265-Ft!E$2)^2)))</f>
        <v>85.32062817714106</v>
      </c>
      <c r="J265" s="3">
        <f>IF(($A265-Ft!F$2)&lt;0,Ft!F$3*((1-Ft!F$6)/(1+Ft!F$37*($A265-Ft!F$2)^2)+Ft!F$6*EXP(Ft!F$38*($A265-Ft!F$2)^2)),Ft!F$3*((1-Ft!F$7)/(1+Ft!F$39*($A265-Ft!F$2)^2)+Ft!F$7*EXP(Ft!F$40*($A265-Ft!F$2)^2)))</f>
        <v>35.253656661044943</v>
      </c>
      <c r="K265" s="3">
        <f>IF(($A265-Ft!G$2)&lt;0,Ft!G$3*((1-Ft!G$6)/(1+Ft!G$37*($A265-Ft!G$2)^2)+Ft!G$6*EXP(Ft!G$38*($A265-Ft!G$2)^2)),Ft!G$3*((1-Ft!G$7)/(1+Ft!G$39*($A265-Ft!G$2)^2)+Ft!G$7*EXP(Ft!G$40*($A265-Ft!G$2)^2)))</f>
        <v>33.547153192673875</v>
      </c>
      <c r="L265" s="3">
        <f>IF(($A265-Ft!H$2)&lt;0,Ft!H$3*((1-Ft!H$6)/(1+Ft!H$37*($A265-Ft!H$2)^2)+Ft!H$6*EXP(Ft!H$38*($A265-Ft!H$2)^2)),Ft!H$3*((1-Ft!H$7)/(1+Ft!H$39*($A265-Ft!H$2)^2)+Ft!H$7*EXP(Ft!H$40*($A265-Ft!H$2)^2)))</f>
        <v>0</v>
      </c>
      <c r="M265" s="3">
        <f>IF(($A265-Ft!I$2)&lt;0,Ft!I$3*((1-Ft!I$6)/(1+Ft!I$37*($A265-Ft!I$2)^2)+Ft!I$6*EXP(Ft!I$38*($A265-Ft!I$2)^2)),Ft!I$3*((1-Ft!I$7)/(1+Ft!I$39*($A265-Ft!I$2)^2)+Ft!I$7*EXP(Ft!I$40*($A265-Ft!I$2)^2)))</f>
        <v>0</v>
      </c>
      <c r="N265" s="3">
        <f>IF(($A265-Ft!J$2)&lt;0,Ft!J$3*((1-Ft!J$6)/(1+Ft!J$37*($A265-Ft!J$2)^2)+Ft!J$6*EXP(Ft!J$38*($A265-Ft!J$2)^2)),Ft!J$3*((1-Ft!J$7)/(1+Ft!J$39*($A265-Ft!J$2)^2)+Ft!J$7*EXP(Ft!J$40*($A265-Ft!J$2)^2)))</f>
        <v>0</v>
      </c>
      <c r="O265" s="3">
        <f>IF(($A265-Ft!K$2)&lt;0,Ft!K$3*((1-Ft!K$6)/(1+Ft!K$37*($A265-Ft!K$2)^2)+Ft!K$6*EXP(Ft!K$38*($A265-Ft!K$2)^2)),Ft!K$3*((1-Ft!K$7)/(1+Ft!K$39*($A265-Ft!K$2)^2)+Ft!K$7*EXP(Ft!K$40*($A265-Ft!K$2)^2)))</f>
        <v>0</v>
      </c>
      <c r="P265"/>
      <c r="Q265"/>
    </row>
    <row r="266" spans="1:17">
      <c r="A266" s="20">
        <v>529</v>
      </c>
      <c r="B266" s="29">
        <v>49.671003309841609</v>
      </c>
      <c r="C266" s="7">
        <f t="shared" si="9"/>
        <v>49.884201061298427</v>
      </c>
      <c r="D266" s="3">
        <f t="shared" si="8"/>
        <v>4.5453281226243029E-2</v>
      </c>
      <c r="E266" s="3">
        <f>Ft!$B$12+Ft!$B$14*(Data!A266-Vars!$B$3)</f>
        <v>-200</v>
      </c>
      <c r="F266" s="3">
        <f>IF(($A266-Ft!B$2)&lt;0,Ft!B$3*((1-Ft!B$6)/(1+Ft!B$37*($A266-Ft!B$2)^2)+Ft!B$6*EXP(Ft!B$38*($A266-Ft!B$2)^2)),Ft!B$3*((1-Ft!B$7)/(1+Ft!B$39*($A266-Ft!B$2)^2)+Ft!B$7*EXP(Ft!B$40*($A266-Ft!B$2)^2)))</f>
        <v>47.118954287778209</v>
      </c>
      <c r="G266" s="3">
        <f>IF(($A266-Ft!C$2)&lt;0,Ft!C$3*((1-Ft!C$6)/(1+Ft!C$37*($A266-Ft!C$2)^2)+Ft!C$6*EXP(Ft!C$38*($A266-Ft!C$2)^2)),Ft!C$3*((1-Ft!C$7)/(1+Ft!C$39*($A266-Ft!C$2)^2)+Ft!C$7*EXP(Ft!C$40*($A266-Ft!C$2)^2)))</f>
        <v>48.243843960280827</v>
      </c>
      <c r="H266" s="3">
        <f>IF(($A266-Ft!D$2)&lt;0,Ft!D$3*((1-Ft!D$6)/(1+Ft!D$37*($A266-Ft!D$2)^2)+Ft!D$6*EXP(Ft!D$38*($A266-Ft!D$2)^2)),Ft!D$3*((1-Ft!D$7)/(1+Ft!D$39*($A266-Ft!D$2)^2)+Ft!D$7*EXP(Ft!D$40*($A266-Ft!D$2)^2)))</f>
        <v>3.9347722268098231E-3</v>
      </c>
      <c r="I266" s="3">
        <f>IF(($A266-Ft!E$2)&lt;0,Ft!E$3*((1-Ft!E$6)/(1+Ft!E$37*($A266-Ft!E$2)^2)+Ft!E$6*EXP(Ft!E$38*($A266-Ft!E$2)^2)),Ft!E$3*((1-Ft!E$7)/(1+Ft!E$39*($A266-Ft!E$2)^2)+Ft!E$7*EXP(Ft!E$40*($A266-Ft!E$2)^2)))</f>
        <v>85.796504403473023</v>
      </c>
      <c r="J266" s="3">
        <f>IF(($A266-Ft!F$2)&lt;0,Ft!F$3*((1-Ft!F$6)/(1+Ft!F$37*($A266-Ft!F$2)^2)+Ft!F$6*EXP(Ft!F$38*($A266-Ft!F$2)^2)),Ft!F$3*((1-Ft!F$7)/(1+Ft!F$39*($A266-Ft!F$2)^2)+Ft!F$7*EXP(Ft!F$40*($A266-Ft!F$2)^2)))</f>
        <v>35.472555671201626</v>
      </c>
      <c r="K266" s="3">
        <f>IF(($A266-Ft!G$2)&lt;0,Ft!G$3*((1-Ft!G$6)/(1+Ft!G$37*($A266-Ft!G$2)^2)+Ft!G$6*EXP(Ft!G$38*($A266-Ft!G$2)^2)),Ft!G$3*((1-Ft!G$7)/(1+Ft!G$39*($A266-Ft!G$2)^2)+Ft!G$7*EXP(Ft!G$40*($A266-Ft!G$2)^2)))</f>
        <v>33.248407966337943</v>
      </c>
      <c r="L266" s="3">
        <f>IF(($A266-Ft!H$2)&lt;0,Ft!H$3*((1-Ft!H$6)/(1+Ft!H$37*($A266-Ft!H$2)^2)+Ft!H$6*EXP(Ft!H$38*($A266-Ft!H$2)^2)),Ft!H$3*((1-Ft!H$7)/(1+Ft!H$39*($A266-Ft!H$2)^2)+Ft!H$7*EXP(Ft!H$40*($A266-Ft!H$2)^2)))</f>
        <v>0</v>
      </c>
      <c r="M266" s="3">
        <f>IF(($A266-Ft!I$2)&lt;0,Ft!I$3*((1-Ft!I$6)/(1+Ft!I$37*($A266-Ft!I$2)^2)+Ft!I$6*EXP(Ft!I$38*($A266-Ft!I$2)^2)),Ft!I$3*((1-Ft!I$7)/(1+Ft!I$39*($A266-Ft!I$2)^2)+Ft!I$7*EXP(Ft!I$40*($A266-Ft!I$2)^2)))</f>
        <v>0</v>
      </c>
      <c r="N266" s="3">
        <f>IF(($A266-Ft!J$2)&lt;0,Ft!J$3*((1-Ft!J$6)/(1+Ft!J$37*($A266-Ft!J$2)^2)+Ft!J$6*EXP(Ft!J$38*($A266-Ft!J$2)^2)),Ft!J$3*((1-Ft!J$7)/(1+Ft!J$39*($A266-Ft!J$2)^2)+Ft!J$7*EXP(Ft!J$40*($A266-Ft!J$2)^2)))</f>
        <v>0</v>
      </c>
      <c r="O266" s="3">
        <f>IF(($A266-Ft!K$2)&lt;0,Ft!K$3*((1-Ft!K$6)/(1+Ft!K$37*($A266-Ft!K$2)^2)+Ft!K$6*EXP(Ft!K$38*($A266-Ft!K$2)^2)),Ft!K$3*((1-Ft!K$7)/(1+Ft!K$39*($A266-Ft!K$2)^2)+Ft!K$7*EXP(Ft!K$40*($A266-Ft!K$2)^2)))</f>
        <v>0</v>
      </c>
      <c r="P266"/>
      <c r="Q266"/>
    </row>
    <row r="267" spans="1:17">
      <c r="A267" s="20">
        <v>531</v>
      </c>
      <c r="B267" s="29">
        <v>49.818567183386136</v>
      </c>
      <c r="C267" s="7">
        <f t="shared" si="9"/>
        <v>50.019639950714023</v>
      </c>
      <c r="D267" s="3">
        <f t="shared" si="8"/>
        <v>4.0430257760894373E-2</v>
      </c>
      <c r="E267" s="3">
        <f>Ft!$B$12+Ft!$B$14*(Data!A267-Vars!$B$3)</f>
        <v>-200</v>
      </c>
      <c r="F267" s="3">
        <f>IF(($A267-Ft!B$2)&lt;0,Ft!B$3*((1-Ft!B$6)/(1+Ft!B$37*($A267-Ft!B$2)^2)+Ft!B$6*EXP(Ft!B$38*($A267-Ft!B$2)^2)),Ft!B$3*((1-Ft!B$7)/(1+Ft!B$39*($A267-Ft!B$2)^2)+Ft!B$7*EXP(Ft!B$40*($A267-Ft!B$2)^2)))</f>
        <v>46.782106418878818</v>
      </c>
      <c r="G267" s="3">
        <f>IF(($A267-Ft!C$2)&lt;0,Ft!C$3*((1-Ft!C$6)/(1+Ft!C$37*($A267-Ft!C$2)^2)+Ft!C$6*EXP(Ft!C$38*($A267-Ft!C$2)^2)),Ft!C$3*((1-Ft!C$7)/(1+Ft!C$39*($A267-Ft!C$2)^2)+Ft!C$7*EXP(Ft!C$40*($A267-Ft!C$2)^2)))</f>
        <v>48.323229593890389</v>
      </c>
      <c r="H267" s="3">
        <f>IF(($A267-Ft!D$2)&lt;0,Ft!D$3*((1-Ft!D$6)/(1+Ft!D$37*($A267-Ft!D$2)^2)+Ft!D$6*EXP(Ft!D$38*($A267-Ft!D$2)^2)),Ft!D$3*((1-Ft!D$7)/(1+Ft!D$39*($A267-Ft!D$2)^2)+Ft!D$7*EXP(Ft!D$40*($A267-Ft!D$2)^2)))</f>
        <v>3.0246068850049825E-3</v>
      </c>
      <c r="I267" s="3">
        <f>IF(($A267-Ft!E$2)&lt;0,Ft!E$3*((1-Ft!E$6)/(1+Ft!E$37*($A267-Ft!E$2)^2)+Ft!E$6*EXP(Ft!E$38*($A267-Ft!E$2)^2)),Ft!E$3*((1-Ft!E$7)/(1+Ft!E$39*($A267-Ft!E$2)^2)+Ft!E$7*EXP(Ft!E$40*($A267-Ft!E$2)^2)))</f>
        <v>86.27003262952752</v>
      </c>
      <c r="J267" s="3">
        <f>IF(($A267-Ft!F$2)&lt;0,Ft!F$3*((1-Ft!F$6)/(1+Ft!F$37*($A267-Ft!F$2)^2)+Ft!F$6*EXP(Ft!F$38*($A267-Ft!F$2)^2)),Ft!F$3*((1-Ft!F$7)/(1+Ft!F$39*($A267-Ft!F$2)^2)+Ft!F$7*EXP(Ft!F$40*($A267-Ft!F$2)^2)))</f>
        <v>35.692343794966234</v>
      </c>
      <c r="K267" s="3">
        <f>IF(($A267-Ft!G$2)&lt;0,Ft!G$3*((1-Ft!G$6)/(1+Ft!G$37*($A267-Ft!G$2)^2)+Ft!G$6*EXP(Ft!G$38*($A267-Ft!G$2)^2)),Ft!G$3*((1-Ft!G$7)/(1+Ft!G$39*($A267-Ft!G$2)^2)+Ft!G$7*EXP(Ft!G$40*($A267-Ft!G$2)^2)))</f>
        <v>32.948902906566062</v>
      </c>
      <c r="L267" s="3">
        <f>IF(($A267-Ft!H$2)&lt;0,Ft!H$3*((1-Ft!H$6)/(1+Ft!H$37*($A267-Ft!H$2)^2)+Ft!H$6*EXP(Ft!H$38*($A267-Ft!H$2)^2)),Ft!H$3*((1-Ft!H$7)/(1+Ft!H$39*($A267-Ft!H$2)^2)+Ft!H$7*EXP(Ft!H$40*($A267-Ft!H$2)^2)))</f>
        <v>0</v>
      </c>
      <c r="M267" s="3">
        <f>IF(($A267-Ft!I$2)&lt;0,Ft!I$3*((1-Ft!I$6)/(1+Ft!I$37*($A267-Ft!I$2)^2)+Ft!I$6*EXP(Ft!I$38*($A267-Ft!I$2)^2)),Ft!I$3*((1-Ft!I$7)/(1+Ft!I$39*($A267-Ft!I$2)^2)+Ft!I$7*EXP(Ft!I$40*($A267-Ft!I$2)^2)))</f>
        <v>0</v>
      </c>
      <c r="N267" s="3">
        <f>IF(($A267-Ft!J$2)&lt;0,Ft!J$3*((1-Ft!J$6)/(1+Ft!J$37*($A267-Ft!J$2)^2)+Ft!J$6*EXP(Ft!J$38*($A267-Ft!J$2)^2)),Ft!J$3*((1-Ft!J$7)/(1+Ft!J$39*($A267-Ft!J$2)^2)+Ft!J$7*EXP(Ft!J$40*($A267-Ft!J$2)^2)))</f>
        <v>0</v>
      </c>
      <c r="O267" s="3">
        <f>IF(($A267-Ft!K$2)&lt;0,Ft!K$3*((1-Ft!K$6)/(1+Ft!K$37*($A267-Ft!K$2)^2)+Ft!K$6*EXP(Ft!K$38*($A267-Ft!K$2)^2)),Ft!K$3*((1-Ft!K$7)/(1+Ft!K$39*($A267-Ft!K$2)^2)+Ft!K$7*EXP(Ft!K$40*($A267-Ft!K$2)^2)))</f>
        <v>0</v>
      </c>
      <c r="P267"/>
      <c r="Q267"/>
    </row>
    <row r="268" spans="1:17">
      <c r="A268" s="20">
        <v>533</v>
      </c>
      <c r="B268" s="29">
        <v>49.966215441075207</v>
      </c>
      <c r="C268" s="7">
        <f t="shared" si="9"/>
        <v>50.154282796584084</v>
      </c>
      <c r="D268" s="3">
        <f t="shared" si="8"/>
        <v>3.5369330208102574E-2</v>
      </c>
      <c r="E268" s="3">
        <f>Ft!$B$12+Ft!$B$14*(Data!A268-Vars!$B$3)</f>
        <v>-200</v>
      </c>
      <c r="F268" s="3">
        <f>IF(($A268-Ft!B$2)&lt;0,Ft!B$3*((1-Ft!B$6)/(1+Ft!B$37*($A268-Ft!B$2)^2)+Ft!B$6*EXP(Ft!B$38*($A268-Ft!B$2)^2)),Ft!B$3*((1-Ft!B$7)/(1+Ft!B$39*($A268-Ft!B$2)^2)+Ft!B$7*EXP(Ft!B$40*($A268-Ft!B$2)^2)))</f>
        <v>46.446780109535901</v>
      </c>
      <c r="G268" s="3">
        <f>IF(($A268-Ft!C$2)&lt;0,Ft!C$3*((1-Ft!C$6)/(1+Ft!C$37*($A268-Ft!C$2)^2)+Ft!C$6*EXP(Ft!C$38*($A268-Ft!C$2)^2)),Ft!C$3*((1-Ft!C$7)/(1+Ft!C$39*($A268-Ft!C$2)^2)+Ft!C$7*EXP(Ft!C$40*($A268-Ft!C$2)^2)))</f>
        <v>48.402318183393277</v>
      </c>
      <c r="H268" s="3">
        <f>IF(($A268-Ft!D$2)&lt;0,Ft!D$3*((1-Ft!D$6)/(1+Ft!D$37*($A268-Ft!D$2)^2)+Ft!D$6*EXP(Ft!D$38*($A268-Ft!D$2)^2)),Ft!D$3*((1-Ft!D$7)/(1+Ft!D$39*($A268-Ft!D$2)^2)+Ft!D$7*EXP(Ft!D$40*($A268-Ft!D$2)^2)))</f>
        <v>2.312183845695411E-3</v>
      </c>
      <c r="I268" s="3">
        <f>IF(($A268-Ft!E$2)&lt;0,Ft!E$3*((1-Ft!E$6)/(1+Ft!E$37*($A268-Ft!E$2)^2)+Ft!E$6*EXP(Ft!E$38*($A268-Ft!E$2)^2)),Ft!E$3*((1-Ft!E$7)/(1+Ft!E$39*($A268-Ft!E$2)^2)+Ft!E$7*EXP(Ft!E$40*($A268-Ft!E$2)^2)))</f>
        <v>86.741144834620101</v>
      </c>
      <c r="J268" s="3">
        <f>IF(($A268-Ft!F$2)&lt;0,Ft!F$3*((1-Ft!F$6)/(1+Ft!F$37*($A268-Ft!F$2)^2)+Ft!F$6*EXP(Ft!F$38*($A268-Ft!F$2)^2)),Ft!F$3*((1-Ft!F$7)/(1+Ft!F$39*($A268-Ft!F$2)^2)+Ft!F$7*EXP(Ft!F$40*($A268-Ft!F$2)^2)))</f>
        <v>35.913020733985753</v>
      </c>
      <c r="K268" s="3">
        <f>IF(($A268-Ft!G$2)&lt;0,Ft!G$3*((1-Ft!G$6)/(1+Ft!G$37*($A268-Ft!G$2)^2)+Ft!G$6*EXP(Ft!G$38*($A268-Ft!G$2)^2)),Ft!G$3*((1-Ft!G$7)/(1+Ft!G$39*($A268-Ft!G$2)^2)+Ft!G$7*EXP(Ft!G$40*($A268-Ft!G$2)^2)))</f>
        <v>32.64870675120337</v>
      </c>
      <c r="L268" s="3">
        <f>IF(($A268-Ft!H$2)&lt;0,Ft!H$3*((1-Ft!H$6)/(1+Ft!H$37*($A268-Ft!H$2)^2)+Ft!H$6*EXP(Ft!H$38*($A268-Ft!H$2)^2)),Ft!H$3*((1-Ft!H$7)/(1+Ft!H$39*($A268-Ft!H$2)^2)+Ft!H$7*EXP(Ft!H$40*($A268-Ft!H$2)^2)))</f>
        <v>0</v>
      </c>
      <c r="M268" s="3">
        <f>IF(($A268-Ft!I$2)&lt;0,Ft!I$3*((1-Ft!I$6)/(1+Ft!I$37*($A268-Ft!I$2)^2)+Ft!I$6*EXP(Ft!I$38*($A268-Ft!I$2)^2)),Ft!I$3*((1-Ft!I$7)/(1+Ft!I$39*($A268-Ft!I$2)^2)+Ft!I$7*EXP(Ft!I$40*($A268-Ft!I$2)^2)))</f>
        <v>0</v>
      </c>
      <c r="N268" s="3">
        <f>IF(($A268-Ft!J$2)&lt;0,Ft!J$3*((1-Ft!J$6)/(1+Ft!J$37*($A268-Ft!J$2)^2)+Ft!J$6*EXP(Ft!J$38*($A268-Ft!J$2)^2)),Ft!J$3*((1-Ft!J$7)/(1+Ft!J$39*($A268-Ft!J$2)^2)+Ft!J$7*EXP(Ft!J$40*($A268-Ft!J$2)^2)))</f>
        <v>0</v>
      </c>
      <c r="O268" s="3">
        <f>IF(($A268-Ft!K$2)&lt;0,Ft!K$3*((1-Ft!K$6)/(1+Ft!K$37*($A268-Ft!K$2)^2)+Ft!K$6*EXP(Ft!K$38*($A268-Ft!K$2)^2)),Ft!K$3*((1-Ft!K$7)/(1+Ft!K$39*($A268-Ft!K$2)^2)+Ft!K$7*EXP(Ft!K$40*($A268-Ft!K$2)^2)))</f>
        <v>0</v>
      </c>
      <c r="P268"/>
      <c r="Q268"/>
    </row>
    <row r="269" spans="1:17">
      <c r="A269" s="20">
        <v>535</v>
      </c>
      <c r="B269" s="29">
        <v>50.113767888663986</v>
      </c>
      <c r="C269" s="7">
        <f t="shared" si="9"/>
        <v>50.288089922528755</v>
      </c>
      <c r="D269" s="3">
        <f t="shared" si="8"/>
        <v>3.038817149074962E-2</v>
      </c>
      <c r="E269" s="3">
        <f>Ft!$B$12+Ft!$B$14*(Data!A269-Vars!$B$3)</f>
        <v>-200</v>
      </c>
      <c r="F269" s="3">
        <f>IF(($A269-Ft!B$2)&lt;0,Ft!B$3*((1-Ft!B$6)/(1+Ft!B$37*($A269-Ft!B$2)^2)+Ft!B$6*EXP(Ft!B$38*($A269-Ft!B$2)^2)),Ft!B$3*((1-Ft!B$7)/(1+Ft!B$39*($A269-Ft!B$2)^2)+Ft!B$7*EXP(Ft!B$40*($A269-Ft!B$2)^2)))</f>
        <v>46.112977208042508</v>
      </c>
      <c r="G269" s="3">
        <f>IF(($A269-Ft!C$2)&lt;0,Ft!C$3*((1-Ft!C$6)/(1+Ft!C$37*($A269-Ft!C$2)^2)+Ft!C$6*EXP(Ft!C$38*($A269-Ft!C$2)^2)),Ft!C$3*((1-Ft!C$7)/(1+Ft!C$39*($A269-Ft!C$2)^2)+Ft!C$7*EXP(Ft!C$40*($A269-Ft!C$2)^2)))</f>
        <v>48.481107843874717</v>
      </c>
      <c r="H269" s="3">
        <f>IF(($A269-Ft!D$2)&lt;0,Ft!D$3*((1-Ft!D$6)/(1+Ft!D$37*($A269-Ft!D$2)^2)+Ft!D$6*EXP(Ft!D$38*($A269-Ft!D$2)^2)),Ft!D$3*((1-Ft!D$7)/(1+Ft!D$39*($A269-Ft!D$2)^2)+Ft!D$7*EXP(Ft!D$40*($A269-Ft!D$2)^2)))</f>
        <v>1.7578421581409633E-3</v>
      </c>
      <c r="I269" s="3">
        <f>IF(($A269-Ft!E$2)&lt;0,Ft!E$3*((1-Ft!E$6)/(1+Ft!E$37*($A269-Ft!E$2)^2)+Ft!E$6*EXP(Ft!E$38*($A269-Ft!E$2)^2)),Ft!E$3*((1-Ft!E$7)/(1+Ft!E$39*($A269-Ft!E$2)^2)+Ft!E$7*EXP(Ft!E$40*($A269-Ft!E$2)^2)))</f>
        <v>87.209773046025816</v>
      </c>
      <c r="J269" s="3">
        <f>IF(($A269-Ft!F$2)&lt;0,Ft!F$3*((1-Ft!F$6)/(1+Ft!F$37*($A269-Ft!F$2)^2)+Ft!F$6*EXP(Ft!F$38*($A269-Ft!F$2)^2)),Ft!F$3*((1-Ft!F$7)/(1+Ft!F$39*($A269-Ft!F$2)^2)+Ft!F$7*EXP(Ft!F$40*($A269-Ft!F$2)^2)))</f>
        <v>36.134586152834089</v>
      </c>
      <c r="K269" s="3">
        <f>IF(($A269-Ft!G$2)&lt;0,Ft!G$3*((1-Ft!G$6)/(1+Ft!G$37*($A269-Ft!G$2)^2)+Ft!G$6*EXP(Ft!G$38*($A269-Ft!G$2)^2)),Ft!G$3*((1-Ft!G$7)/(1+Ft!G$39*($A269-Ft!G$2)^2)+Ft!G$7*EXP(Ft!G$40*($A269-Ft!G$2)^2)))</f>
        <v>32.347887829593475</v>
      </c>
      <c r="L269" s="3">
        <f>IF(($A269-Ft!H$2)&lt;0,Ft!H$3*((1-Ft!H$6)/(1+Ft!H$37*($A269-Ft!H$2)^2)+Ft!H$6*EXP(Ft!H$38*($A269-Ft!H$2)^2)),Ft!H$3*((1-Ft!H$7)/(1+Ft!H$39*($A269-Ft!H$2)^2)+Ft!H$7*EXP(Ft!H$40*($A269-Ft!H$2)^2)))</f>
        <v>0</v>
      </c>
      <c r="M269" s="3">
        <f>IF(($A269-Ft!I$2)&lt;0,Ft!I$3*((1-Ft!I$6)/(1+Ft!I$37*($A269-Ft!I$2)^2)+Ft!I$6*EXP(Ft!I$38*($A269-Ft!I$2)^2)),Ft!I$3*((1-Ft!I$7)/(1+Ft!I$39*($A269-Ft!I$2)^2)+Ft!I$7*EXP(Ft!I$40*($A269-Ft!I$2)^2)))</f>
        <v>0</v>
      </c>
      <c r="N269" s="3">
        <f>IF(($A269-Ft!J$2)&lt;0,Ft!J$3*((1-Ft!J$6)/(1+Ft!J$37*($A269-Ft!J$2)^2)+Ft!J$6*EXP(Ft!J$38*($A269-Ft!J$2)^2)),Ft!J$3*((1-Ft!J$7)/(1+Ft!J$39*($A269-Ft!J$2)^2)+Ft!J$7*EXP(Ft!J$40*($A269-Ft!J$2)^2)))</f>
        <v>0</v>
      </c>
      <c r="O269" s="3">
        <f>IF(($A269-Ft!K$2)&lt;0,Ft!K$3*((1-Ft!K$6)/(1+Ft!K$37*($A269-Ft!K$2)^2)+Ft!K$6*EXP(Ft!K$38*($A269-Ft!K$2)^2)),Ft!K$3*((1-Ft!K$7)/(1+Ft!K$39*($A269-Ft!K$2)^2)+Ft!K$7*EXP(Ft!K$40*($A269-Ft!K$2)^2)))</f>
        <v>0</v>
      </c>
      <c r="P269"/>
      <c r="Q269"/>
    </row>
    <row r="270" spans="1:17">
      <c r="A270" s="20">
        <v>537</v>
      </c>
      <c r="B270" s="29">
        <v>50.261056402916665</v>
      </c>
      <c r="C270" s="7">
        <f t="shared" si="9"/>
        <v>50.421028280172266</v>
      </c>
      <c r="D270" s="3">
        <f t="shared" si="8"/>
        <v>2.559100151268083E-2</v>
      </c>
      <c r="E270" s="3">
        <f>Ft!$B$12+Ft!$B$14*(Data!A270-Vars!$B$3)</f>
        <v>-200</v>
      </c>
      <c r="F270" s="3">
        <f>IF(($A270-Ft!B$2)&lt;0,Ft!B$3*((1-Ft!B$6)/(1+Ft!B$37*($A270-Ft!B$2)^2)+Ft!B$6*EXP(Ft!B$38*($A270-Ft!B$2)^2)),Ft!B$3*((1-Ft!B$7)/(1+Ft!B$39*($A270-Ft!B$2)^2)+Ft!B$7*EXP(Ft!B$40*($A270-Ft!B$2)^2)))</f>
        <v>45.780699462509666</v>
      </c>
      <c r="G270" s="3">
        <f>IF(($A270-Ft!C$2)&lt;0,Ft!C$3*((1-Ft!C$6)/(1+Ft!C$37*($A270-Ft!C$2)^2)+Ft!C$6*EXP(Ft!C$38*($A270-Ft!C$2)^2)),Ft!C$3*((1-Ft!C$7)/(1+Ft!C$39*($A270-Ft!C$2)^2)+Ft!C$7*EXP(Ft!C$40*($A270-Ft!C$2)^2)))</f>
        <v>48.55959669527352</v>
      </c>
      <c r="H270" s="3">
        <f>IF(($A270-Ft!D$2)&lt;0,Ft!D$3*((1-Ft!D$6)/(1+Ft!D$37*($A270-Ft!D$2)^2)+Ft!D$6*EXP(Ft!D$38*($A270-Ft!D$2)^2)),Ft!D$3*((1-Ft!D$7)/(1+Ft!D$39*($A270-Ft!D$2)^2)+Ft!D$7*EXP(Ft!D$40*($A270-Ft!D$2)^2)))</f>
        <v>1.3290504788708234E-3</v>
      </c>
      <c r="I270" s="3">
        <f>IF(($A270-Ft!E$2)&lt;0,Ft!E$3*((1-Ft!E$6)/(1+Ft!E$37*($A270-Ft!E$2)^2)+Ft!E$6*EXP(Ft!E$38*($A270-Ft!E$2)^2)),Ft!E$3*((1-Ft!E$7)/(1+Ft!E$39*($A270-Ft!E$2)^2)+Ft!E$7*EXP(Ft!E$40*($A270-Ft!E$2)^2)))</f>
        <v>87.675849355047973</v>
      </c>
      <c r="J270" s="3">
        <f>IF(($A270-Ft!F$2)&lt;0,Ft!F$3*((1-Ft!F$6)/(1+Ft!F$37*($A270-Ft!F$2)^2)+Ft!F$6*EXP(Ft!F$38*($A270-Ft!F$2)^2)),Ft!F$3*((1-Ft!F$7)/(1+Ft!F$39*($A270-Ft!F$2)^2)+Ft!F$7*EXP(Ft!F$40*($A270-Ft!F$2)^2)))</f>
        <v>36.35703967880044</v>
      </c>
      <c r="K270" s="3">
        <f>IF(($A270-Ft!G$2)&lt;0,Ft!G$3*((1-Ft!G$6)/(1+Ft!G$37*($A270-Ft!G$2)^2)+Ft!G$6*EXP(Ft!G$38*($A270-Ft!G$2)^2)),Ft!G$3*((1-Ft!G$7)/(1+Ft!G$39*($A270-Ft!G$2)^2)+Ft!G$7*EXP(Ft!G$40*($A270-Ft!G$2)^2)))</f>
        <v>32.046514038061808</v>
      </c>
      <c r="L270" s="3">
        <f>IF(($A270-Ft!H$2)&lt;0,Ft!H$3*((1-Ft!H$6)/(1+Ft!H$37*($A270-Ft!H$2)^2)+Ft!H$6*EXP(Ft!H$38*($A270-Ft!H$2)^2)),Ft!H$3*((1-Ft!H$7)/(1+Ft!H$39*($A270-Ft!H$2)^2)+Ft!H$7*EXP(Ft!H$40*($A270-Ft!H$2)^2)))</f>
        <v>0</v>
      </c>
      <c r="M270" s="3">
        <f>IF(($A270-Ft!I$2)&lt;0,Ft!I$3*((1-Ft!I$6)/(1+Ft!I$37*($A270-Ft!I$2)^2)+Ft!I$6*EXP(Ft!I$38*($A270-Ft!I$2)^2)),Ft!I$3*((1-Ft!I$7)/(1+Ft!I$39*($A270-Ft!I$2)^2)+Ft!I$7*EXP(Ft!I$40*($A270-Ft!I$2)^2)))</f>
        <v>0</v>
      </c>
      <c r="N270" s="3">
        <f>IF(($A270-Ft!J$2)&lt;0,Ft!J$3*((1-Ft!J$6)/(1+Ft!J$37*($A270-Ft!J$2)^2)+Ft!J$6*EXP(Ft!J$38*($A270-Ft!J$2)^2)),Ft!J$3*((1-Ft!J$7)/(1+Ft!J$39*($A270-Ft!J$2)^2)+Ft!J$7*EXP(Ft!J$40*($A270-Ft!J$2)^2)))</f>
        <v>0</v>
      </c>
      <c r="O270" s="3">
        <f>IF(($A270-Ft!K$2)&lt;0,Ft!K$3*((1-Ft!K$6)/(1+Ft!K$37*($A270-Ft!K$2)^2)+Ft!K$6*EXP(Ft!K$38*($A270-Ft!K$2)^2)),Ft!K$3*((1-Ft!K$7)/(1+Ft!K$39*($A270-Ft!K$2)^2)+Ft!K$7*EXP(Ft!K$40*($A270-Ft!K$2)^2)))</f>
        <v>0</v>
      </c>
      <c r="P270"/>
      <c r="Q270"/>
    </row>
    <row r="271" spans="1:17">
      <c r="A271" s="20">
        <v>539</v>
      </c>
      <c r="B271" s="29">
        <v>50.407924969855515</v>
      </c>
      <c r="C271" s="7">
        <f t="shared" si="9"/>
        <v>50.553070360538854</v>
      </c>
      <c r="D271" s="3">
        <f t="shared" si="8"/>
        <v>2.1067184436619202E-2</v>
      </c>
      <c r="E271" s="3">
        <f>Ft!$B$12+Ft!$B$14*(Data!A271-Vars!$B$3)</f>
        <v>-200</v>
      </c>
      <c r="F271" s="3">
        <f>IF(($A271-Ft!B$2)&lt;0,Ft!B$3*((1-Ft!B$6)/(1+Ft!B$37*($A271-Ft!B$2)^2)+Ft!B$6*EXP(Ft!B$38*($A271-Ft!B$2)^2)),Ft!B$3*((1-Ft!B$7)/(1+Ft!B$39*($A271-Ft!B$2)^2)+Ft!B$7*EXP(Ft!B$40*($A271-Ft!B$2)^2)))</f>
        <v>45.449948521453408</v>
      </c>
      <c r="G271" s="3">
        <f>IF(($A271-Ft!C$2)&lt;0,Ft!C$3*((1-Ft!C$6)/(1+Ft!C$37*($A271-Ft!C$2)^2)+Ft!C$6*EXP(Ft!C$38*($A271-Ft!C$2)^2)),Ft!C$3*((1-Ft!C$7)/(1+Ft!C$39*($A271-Ft!C$2)^2)+Ft!C$7*EXP(Ft!C$40*($A271-Ft!C$2)^2)))</f>
        <v>48.63778286245654</v>
      </c>
      <c r="H271" s="3">
        <f>IF(($A271-Ft!D$2)&lt;0,Ft!D$3*((1-Ft!D$6)/(1+Ft!D$37*($A271-Ft!D$2)^2)+Ft!D$6*EXP(Ft!D$38*($A271-Ft!D$2)^2)),Ft!D$3*((1-Ft!D$7)/(1+Ft!D$39*($A271-Ft!D$2)^2)+Ft!D$7*EXP(Ft!D$40*($A271-Ft!D$2)^2)))</f>
        <v>9.9932594679013644E-4</v>
      </c>
      <c r="I271" s="3">
        <f>IF(($A271-Ft!E$2)&lt;0,Ft!E$3*((1-Ft!E$6)/(1+Ft!E$37*($A271-Ft!E$2)^2)+Ft!E$6*EXP(Ft!E$38*($A271-Ft!E$2)^2)),Ft!E$3*((1-Ft!E$7)/(1+Ft!E$39*($A271-Ft!E$2)^2)+Ft!E$7*EXP(Ft!E$40*($A271-Ft!E$2)^2)))</f>
        <v>88.139305933155754</v>
      </c>
      <c r="J271" s="3">
        <f>IF(($A271-Ft!F$2)&lt;0,Ft!F$3*((1-Ft!F$6)/(1+Ft!F$37*($A271-Ft!F$2)^2)+Ft!F$6*EXP(Ft!F$38*($A271-Ft!F$2)^2)),Ft!F$3*((1-Ft!F$7)/(1+Ft!F$39*($A271-Ft!F$2)^2)+Ft!F$7*EXP(Ft!F$40*($A271-Ft!F$2)^2)))</f>
        <v>36.580380901679099</v>
      </c>
      <c r="K271" s="3">
        <f>IF(($A271-Ft!G$2)&lt;0,Ft!G$3*((1-Ft!G$6)/(1+Ft!G$37*($A271-Ft!G$2)^2)+Ft!G$6*EXP(Ft!G$38*($A271-Ft!G$2)^2)),Ft!G$3*((1-Ft!G$7)/(1+Ft!G$39*($A271-Ft!G$2)^2)+Ft!G$7*EXP(Ft!G$40*($A271-Ft!G$2)^2)))</f>
        <v>31.744652815847285</v>
      </c>
      <c r="L271" s="3">
        <f>IF(($A271-Ft!H$2)&lt;0,Ft!H$3*((1-Ft!H$6)/(1+Ft!H$37*($A271-Ft!H$2)^2)+Ft!H$6*EXP(Ft!H$38*($A271-Ft!H$2)^2)),Ft!H$3*((1-Ft!H$7)/(1+Ft!H$39*($A271-Ft!H$2)^2)+Ft!H$7*EXP(Ft!H$40*($A271-Ft!H$2)^2)))</f>
        <v>0</v>
      </c>
      <c r="M271" s="3">
        <f>IF(($A271-Ft!I$2)&lt;0,Ft!I$3*((1-Ft!I$6)/(1+Ft!I$37*($A271-Ft!I$2)^2)+Ft!I$6*EXP(Ft!I$38*($A271-Ft!I$2)^2)),Ft!I$3*((1-Ft!I$7)/(1+Ft!I$39*($A271-Ft!I$2)^2)+Ft!I$7*EXP(Ft!I$40*($A271-Ft!I$2)^2)))</f>
        <v>0</v>
      </c>
      <c r="N271" s="3">
        <f>IF(($A271-Ft!J$2)&lt;0,Ft!J$3*((1-Ft!J$6)/(1+Ft!J$37*($A271-Ft!J$2)^2)+Ft!J$6*EXP(Ft!J$38*($A271-Ft!J$2)^2)),Ft!J$3*((1-Ft!J$7)/(1+Ft!J$39*($A271-Ft!J$2)^2)+Ft!J$7*EXP(Ft!J$40*($A271-Ft!J$2)^2)))</f>
        <v>0</v>
      </c>
      <c r="O271" s="3">
        <f>IF(($A271-Ft!K$2)&lt;0,Ft!K$3*((1-Ft!K$6)/(1+Ft!K$37*($A271-Ft!K$2)^2)+Ft!K$6*EXP(Ft!K$38*($A271-Ft!K$2)^2)),Ft!K$3*((1-Ft!K$7)/(1+Ft!K$39*($A271-Ft!K$2)^2)+Ft!K$7*EXP(Ft!K$40*($A271-Ft!K$2)^2)))</f>
        <v>0</v>
      </c>
      <c r="P271"/>
      <c r="Q271"/>
    </row>
    <row r="272" spans="1:17">
      <c r="A272" s="20">
        <v>541</v>
      </c>
      <c r="B272" s="29">
        <v>50.554229536205327</v>
      </c>
      <c r="C272" s="7">
        <f t="shared" si="9"/>
        <v>50.684193221870188</v>
      </c>
      <c r="D272" s="3">
        <f t="shared" si="8"/>
        <v>1.6890559591595012E-2</v>
      </c>
      <c r="E272" s="3">
        <f>Ft!$B$12+Ft!$B$14*(Data!A272-Vars!$B$3)</f>
        <v>-200</v>
      </c>
      <c r="F272" s="3">
        <f>IF(($A272-Ft!B$2)&lt;0,Ft!B$3*((1-Ft!B$6)/(1+Ft!B$37*($A272-Ft!B$2)^2)+Ft!B$6*EXP(Ft!B$38*($A272-Ft!B$2)^2)),Ft!B$3*((1-Ft!B$7)/(1+Ft!B$39*($A272-Ft!B$2)^2)+Ft!B$7*EXP(Ft!B$40*($A272-Ft!B$2)^2)))</f>
        <v>45.120725934386982</v>
      </c>
      <c r="G272" s="3">
        <f>IF(($A272-Ft!C$2)&lt;0,Ft!C$3*((1-Ft!C$6)/(1+Ft!C$37*($A272-Ft!C$2)^2)+Ft!C$6*EXP(Ft!C$38*($A272-Ft!C$2)^2)),Ft!C$3*((1-Ft!C$7)/(1+Ft!C$39*($A272-Ft!C$2)^2)+Ft!C$7*EXP(Ft!C$40*($A272-Ft!C$2)^2)))</f>
        <v>48.715664475292947</v>
      </c>
      <c r="H272" s="3">
        <f>IF(($A272-Ft!D$2)&lt;0,Ft!D$3*((1-Ft!D$6)/(1+Ft!D$37*($A272-Ft!D$2)^2)+Ft!D$6*EXP(Ft!D$38*($A272-Ft!D$2)^2)),Ft!D$3*((1-Ft!D$7)/(1+Ft!D$39*($A272-Ft!D$2)^2)+Ft!D$7*EXP(Ft!D$40*($A272-Ft!D$2)^2)))</f>
        <v>7.4726895189827509E-4</v>
      </c>
      <c r="I272" s="3">
        <f>IF(($A272-Ft!E$2)&lt;0,Ft!E$3*((1-Ft!E$6)/(1+Ft!E$37*($A272-Ft!E$2)^2)+Ft!E$6*EXP(Ft!E$38*($A272-Ft!E$2)^2)),Ft!E$3*((1-Ft!E$7)/(1+Ft!E$39*($A272-Ft!E$2)^2)+Ft!E$7*EXP(Ft!E$40*($A272-Ft!E$2)^2)))</f>
        <v>88.600075048185019</v>
      </c>
      <c r="J272" s="3">
        <f>IF(($A272-Ft!F$2)&lt;0,Ft!F$3*((1-Ft!F$6)/(1+Ft!F$37*($A272-Ft!F$2)^2)+Ft!F$6*EXP(Ft!F$38*($A272-Ft!F$2)^2)),Ft!F$3*((1-Ft!F$7)/(1+Ft!F$39*($A272-Ft!F$2)^2)+Ft!F$7*EXP(Ft!F$40*($A272-Ft!F$2)^2)))</f>
        <v>36.804609373560226</v>
      </c>
      <c r="K272" s="3">
        <f>IF(($A272-Ft!G$2)&lt;0,Ft!G$3*((1-Ft!G$6)/(1+Ft!G$37*($A272-Ft!G$2)^2)+Ft!G$6*EXP(Ft!G$38*($A272-Ft!G$2)^2)),Ft!G$3*((1-Ft!G$7)/(1+Ft!G$39*($A272-Ft!G$2)^2)+Ft!G$7*EXP(Ft!G$40*($A272-Ft!G$2)^2)))</f>
        <v>31.442371121493096</v>
      </c>
      <c r="L272" s="3">
        <f>IF(($A272-Ft!H$2)&lt;0,Ft!H$3*((1-Ft!H$6)/(1+Ft!H$37*($A272-Ft!H$2)^2)+Ft!H$6*EXP(Ft!H$38*($A272-Ft!H$2)^2)),Ft!H$3*((1-Ft!H$7)/(1+Ft!H$39*($A272-Ft!H$2)^2)+Ft!H$7*EXP(Ft!H$40*($A272-Ft!H$2)^2)))</f>
        <v>0</v>
      </c>
      <c r="M272" s="3">
        <f>IF(($A272-Ft!I$2)&lt;0,Ft!I$3*((1-Ft!I$6)/(1+Ft!I$37*($A272-Ft!I$2)^2)+Ft!I$6*EXP(Ft!I$38*($A272-Ft!I$2)^2)),Ft!I$3*((1-Ft!I$7)/(1+Ft!I$39*($A272-Ft!I$2)^2)+Ft!I$7*EXP(Ft!I$40*($A272-Ft!I$2)^2)))</f>
        <v>0</v>
      </c>
      <c r="N272" s="3">
        <f>IF(($A272-Ft!J$2)&lt;0,Ft!J$3*((1-Ft!J$6)/(1+Ft!J$37*($A272-Ft!J$2)^2)+Ft!J$6*EXP(Ft!J$38*($A272-Ft!J$2)^2)),Ft!J$3*((1-Ft!J$7)/(1+Ft!J$39*($A272-Ft!J$2)^2)+Ft!J$7*EXP(Ft!J$40*($A272-Ft!J$2)^2)))</f>
        <v>0</v>
      </c>
      <c r="O272" s="3">
        <f>IF(($A272-Ft!K$2)&lt;0,Ft!K$3*((1-Ft!K$6)/(1+Ft!K$37*($A272-Ft!K$2)^2)+Ft!K$6*EXP(Ft!K$38*($A272-Ft!K$2)^2)),Ft!K$3*((1-Ft!K$7)/(1+Ft!K$39*($A272-Ft!K$2)^2)+Ft!K$7*EXP(Ft!K$40*($A272-Ft!K$2)^2)))</f>
        <v>0</v>
      </c>
      <c r="P272"/>
      <c r="Q272"/>
    </row>
    <row r="273" spans="1:17">
      <c r="A273" s="20">
        <v>543</v>
      </c>
      <c r="B273" s="29">
        <v>50.699837705165578</v>
      </c>
      <c r="C273" s="7">
        <f t="shared" si="9"/>
        <v>50.814377633384147</v>
      </c>
      <c r="D273" s="3">
        <f t="shared" si="8"/>
        <v>1.3119395156315005E-2</v>
      </c>
      <c r="E273" s="3">
        <f>Ft!$B$12+Ft!$B$14*(Data!A273-Vars!$B$3)</f>
        <v>-200</v>
      </c>
      <c r="F273" s="3">
        <f>IF(($A273-Ft!B$2)&lt;0,Ft!B$3*((1-Ft!B$6)/(1+Ft!B$37*($A273-Ft!B$2)^2)+Ft!B$6*EXP(Ft!B$38*($A273-Ft!B$2)^2)),Ft!B$3*((1-Ft!B$7)/(1+Ft!B$39*($A273-Ft!B$2)^2)+Ft!B$7*EXP(Ft!B$40*($A273-Ft!B$2)^2)))</f>
        <v>44.793033152418261</v>
      </c>
      <c r="G273" s="3">
        <f>IF(($A273-Ft!C$2)&lt;0,Ft!C$3*((1-Ft!C$6)/(1+Ft!C$37*($A273-Ft!C$2)^2)+Ft!C$6*EXP(Ft!C$38*($A273-Ft!C$2)^2)),Ft!C$3*((1-Ft!C$7)/(1+Ft!C$39*($A273-Ft!C$2)^2)+Ft!C$7*EXP(Ft!C$40*($A273-Ft!C$2)^2)))</f>
        <v>48.79323966872844</v>
      </c>
      <c r="H273" s="3">
        <f>IF(($A273-Ft!D$2)&lt;0,Ft!D$3*((1-Ft!D$6)/(1+Ft!D$37*($A273-Ft!D$2)^2)+Ft!D$6*EXP(Ft!D$38*($A273-Ft!D$2)^2)),Ft!D$3*((1-Ft!D$7)/(1+Ft!D$39*($A273-Ft!D$2)^2)+Ft!D$7*EXP(Ft!D$40*($A273-Ft!D$2)^2)))</f>
        <v>5.5571331135182962E-4</v>
      </c>
      <c r="I273" s="3">
        <f>IF(($A273-Ft!E$2)&lt;0,Ft!E$3*((1-Ft!E$6)/(1+Ft!E$37*($A273-Ft!E$2)^2)+Ft!E$6*EXP(Ft!E$38*($A273-Ft!E$2)^2)),Ft!E$3*((1-Ft!E$7)/(1+Ft!E$39*($A273-Ft!E$2)^2)+Ft!E$7*EXP(Ft!E$40*($A273-Ft!E$2)^2)))</f>
        <v>89.058089080597327</v>
      </c>
      <c r="J273" s="3">
        <f>IF(($A273-Ft!F$2)&lt;0,Ft!F$3*((1-Ft!F$6)/(1+Ft!F$37*($A273-Ft!F$2)^2)+Ft!F$6*EXP(Ft!F$38*($A273-Ft!F$2)^2)),Ft!F$3*((1-Ft!F$7)/(1+Ft!F$39*($A273-Ft!F$2)^2)+Ft!F$7*EXP(Ft!F$40*($A273-Ft!F$2)^2)))</f>
        <v>37.029724608621876</v>
      </c>
      <c r="K273" s="3">
        <f>IF(($A273-Ft!G$2)&lt;0,Ft!G$3*((1-Ft!G$6)/(1+Ft!G$37*($A273-Ft!G$2)^2)+Ft!G$6*EXP(Ft!G$38*($A273-Ft!G$2)^2)),Ft!G$3*((1-Ft!G$7)/(1+Ft!G$39*($A273-Ft!G$2)^2)+Ft!G$7*EXP(Ft!G$40*($A273-Ft!G$2)^2)))</f>
        <v>31.13973540970688</v>
      </c>
      <c r="L273" s="3">
        <f>IF(($A273-Ft!H$2)&lt;0,Ft!H$3*((1-Ft!H$6)/(1+Ft!H$37*($A273-Ft!H$2)^2)+Ft!H$6*EXP(Ft!H$38*($A273-Ft!H$2)^2)),Ft!H$3*((1-Ft!H$7)/(1+Ft!H$39*($A273-Ft!H$2)^2)+Ft!H$7*EXP(Ft!H$40*($A273-Ft!H$2)^2)))</f>
        <v>0</v>
      </c>
      <c r="M273" s="3">
        <f>IF(($A273-Ft!I$2)&lt;0,Ft!I$3*((1-Ft!I$6)/(1+Ft!I$37*($A273-Ft!I$2)^2)+Ft!I$6*EXP(Ft!I$38*($A273-Ft!I$2)^2)),Ft!I$3*((1-Ft!I$7)/(1+Ft!I$39*($A273-Ft!I$2)^2)+Ft!I$7*EXP(Ft!I$40*($A273-Ft!I$2)^2)))</f>
        <v>0</v>
      </c>
      <c r="N273" s="3">
        <f>IF(($A273-Ft!J$2)&lt;0,Ft!J$3*((1-Ft!J$6)/(1+Ft!J$37*($A273-Ft!J$2)^2)+Ft!J$6*EXP(Ft!J$38*($A273-Ft!J$2)^2)),Ft!J$3*((1-Ft!J$7)/(1+Ft!J$39*($A273-Ft!J$2)^2)+Ft!J$7*EXP(Ft!J$40*($A273-Ft!J$2)^2)))</f>
        <v>0</v>
      </c>
      <c r="O273" s="3">
        <f>IF(($A273-Ft!K$2)&lt;0,Ft!K$3*((1-Ft!K$6)/(1+Ft!K$37*($A273-Ft!K$2)^2)+Ft!K$6*EXP(Ft!K$38*($A273-Ft!K$2)^2)),Ft!K$3*((1-Ft!K$7)/(1+Ft!K$39*($A273-Ft!K$2)^2)+Ft!K$7*EXP(Ft!K$40*($A273-Ft!K$2)^2)))</f>
        <v>0</v>
      </c>
      <c r="P273"/>
      <c r="Q273"/>
    </row>
    <row r="274" spans="1:17">
      <c r="A274" s="20">
        <v>545</v>
      </c>
      <c r="B274" s="29">
        <v>50.844628306141246</v>
      </c>
      <c r="C274" s="7">
        <f t="shared" si="9"/>
        <v>50.943607330755029</v>
      </c>
      <c r="D274" s="3">
        <f t="shared" si="8"/>
        <v>9.7968473134958482E-3</v>
      </c>
      <c r="E274" s="3">
        <f>Ft!$B$12+Ft!$B$14*(Data!A274-Vars!$B$3)</f>
        <v>-200</v>
      </c>
      <c r="F274" s="3">
        <f>IF(($A274-Ft!B$2)&lt;0,Ft!B$3*((1-Ft!B$6)/(1+Ft!B$37*($A274-Ft!B$2)^2)+Ft!B$6*EXP(Ft!B$38*($A274-Ft!B$2)^2)),Ft!B$3*((1-Ft!B$7)/(1+Ft!B$39*($A274-Ft!B$2)^2)+Ft!B$7*EXP(Ft!B$40*($A274-Ft!B$2)^2)))</f>
        <v>44.466871528852195</v>
      </c>
      <c r="G274" s="3">
        <f>IF(($A274-Ft!C$2)&lt;0,Ft!C$3*((1-Ft!C$6)/(1+Ft!C$37*($A274-Ft!C$2)^2)+Ft!C$6*EXP(Ft!C$38*($A274-Ft!C$2)^2)),Ft!C$3*((1-Ft!C$7)/(1+Ft!C$39*($A274-Ft!C$2)^2)+Ft!C$7*EXP(Ft!C$40*($A274-Ft!C$2)^2)))</f>
        <v>48.870506582859335</v>
      </c>
      <c r="H274" s="3">
        <f>IF(($A274-Ft!D$2)&lt;0,Ft!D$3*((1-Ft!D$6)/(1+Ft!D$37*($A274-Ft!D$2)^2)+Ft!D$6*EXP(Ft!D$38*($A274-Ft!D$2)^2)),Ft!D$3*((1-Ft!D$7)/(1+Ft!D$39*($A274-Ft!D$2)^2)+Ft!D$7*EXP(Ft!D$40*($A274-Ft!D$2)^2)))</f>
        <v>4.1098762806202662E-4</v>
      </c>
      <c r="I274" s="3">
        <f>IF(($A274-Ft!E$2)&lt;0,Ft!E$3*((1-Ft!E$6)/(1+Ft!E$37*($A274-Ft!E$2)^2)+Ft!E$6*EXP(Ft!E$38*($A274-Ft!E$2)^2)),Ft!E$3*((1-Ft!E$7)/(1+Ft!E$39*($A274-Ft!E$2)^2)+Ft!E$7*EXP(Ft!E$40*($A274-Ft!E$2)^2)))</f>
        <v>89.513280539791722</v>
      </c>
      <c r="J274" s="3">
        <f>IF(($A274-Ft!F$2)&lt;0,Ft!F$3*((1-Ft!F$6)/(1+Ft!F$37*($A274-Ft!F$2)^2)+Ft!F$6*EXP(Ft!F$38*($A274-Ft!F$2)^2)),Ft!F$3*((1-Ft!F$7)/(1+Ft!F$39*($A274-Ft!F$2)^2)+Ft!F$7*EXP(Ft!F$40*($A274-Ft!F$2)^2)))</f>
        <v>37.255726082923395</v>
      </c>
      <c r="K274" s="3">
        <f>IF(($A274-Ft!G$2)&lt;0,Ft!G$3*((1-Ft!G$6)/(1+Ft!G$37*($A274-Ft!G$2)^2)+Ft!G$6*EXP(Ft!G$38*($A274-Ft!G$2)^2)),Ft!G$3*((1-Ft!G$7)/(1+Ft!G$39*($A274-Ft!G$2)^2)+Ft!G$7*EXP(Ft!G$40*($A274-Ft!G$2)^2)))</f>
        <v>30.836811608700309</v>
      </c>
      <c r="L274" s="3">
        <f>IF(($A274-Ft!H$2)&lt;0,Ft!H$3*((1-Ft!H$6)/(1+Ft!H$37*($A274-Ft!H$2)^2)+Ft!H$6*EXP(Ft!H$38*($A274-Ft!H$2)^2)),Ft!H$3*((1-Ft!H$7)/(1+Ft!H$39*($A274-Ft!H$2)^2)+Ft!H$7*EXP(Ft!H$40*($A274-Ft!H$2)^2)))</f>
        <v>0</v>
      </c>
      <c r="M274" s="3">
        <f>IF(($A274-Ft!I$2)&lt;0,Ft!I$3*((1-Ft!I$6)/(1+Ft!I$37*($A274-Ft!I$2)^2)+Ft!I$6*EXP(Ft!I$38*($A274-Ft!I$2)^2)),Ft!I$3*((1-Ft!I$7)/(1+Ft!I$39*($A274-Ft!I$2)^2)+Ft!I$7*EXP(Ft!I$40*($A274-Ft!I$2)^2)))</f>
        <v>0</v>
      </c>
      <c r="N274" s="3">
        <f>IF(($A274-Ft!J$2)&lt;0,Ft!J$3*((1-Ft!J$6)/(1+Ft!J$37*($A274-Ft!J$2)^2)+Ft!J$6*EXP(Ft!J$38*($A274-Ft!J$2)^2)),Ft!J$3*((1-Ft!J$7)/(1+Ft!J$39*($A274-Ft!J$2)^2)+Ft!J$7*EXP(Ft!J$40*($A274-Ft!J$2)^2)))</f>
        <v>0</v>
      </c>
      <c r="O274" s="3">
        <f>IF(($A274-Ft!K$2)&lt;0,Ft!K$3*((1-Ft!K$6)/(1+Ft!K$37*($A274-Ft!K$2)^2)+Ft!K$6*EXP(Ft!K$38*($A274-Ft!K$2)^2)),Ft!K$3*((1-Ft!K$7)/(1+Ft!K$39*($A274-Ft!K$2)^2)+Ft!K$7*EXP(Ft!K$40*($A274-Ft!K$2)^2)))</f>
        <v>0</v>
      </c>
      <c r="P274"/>
      <c r="Q274"/>
    </row>
    <row r="275" spans="1:17">
      <c r="A275" s="20">
        <v>547</v>
      </c>
      <c r="B275" s="29">
        <v>50.988490866077385</v>
      </c>
      <c r="C275" s="7">
        <f t="shared" si="9"/>
        <v>51.071868376439923</v>
      </c>
      <c r="D275" s="3">
        <f t="shared" si="8"/>
        <v>6.9518092342552131E-3</v>
      </c>
      <c r="E275" s="3">
        <f>Ft!$B$12+Ft!$B$14*(Data!A275-Vars!$B$3)</f>
        <v>-200</v>
      </c>
      <c r="F275" s="3">
        <f>IF(($A275-Ft!B$2)&lt;0,Ft!B$3*((1-Ft!B$6)/(1+Ft!B$37*($A275-Ft!B$2)^2)+Ft!B$6*EXP(Ft!B$38*($A275-Ft!B$2)^2)),Ft!B$3*((1-Ft!B$7)/(1+Ft!B$39*($A275-Ft!B$2)^2)+Ft!B$7*EXP(Ft!B$40*($A275-Ft!B$2)^2)))</f>
        <v>44.142242319798093</v>
      </c>
      <c r="G275" s="3">
        <f>IF(($A275-Ft!C$2)&lt;0,Ft!C$3*((1-Ft!C$6)/(1+Ft!C$37*($A275-Ft!C$2)^2)+Ft!C$6*EXP(Ft!C$38*($A275-Ft!C$2)^2)),Ft!C$3*((1-Ft!C$7)/(1+Ft!C$39*($A275-Ft!C$2)^2)+Ft!C$7*EXP(Ft!C$40*($A275-Ft!C$2)^2)))</f>
        <v>48.947463363006591</v>
      </c>
      <c r="H275" s="3">
        <f>IF(($A275-Ft!D$2)&lt;0,Ft!D$3*((1-Ft!D$6)/(1+Ft!D$37*($A275-Ft!D$2)^2)+Ft!D$6*EXP(Ft!D$38*($A275-Ft!D$2)^2)),Ft!D$3*((1-Ft!D$7)/(1+Ft!D$39*($A275-Ft!D$2)^2)+Ft!D$7*EXP(Ft!D$40*($A275-Ft!D$2)^2)))</f>
        <v>3.0228095408262978E-4</v>
      </c>
      <c r="I275" s="3">
        <f>IF(($A275-Ft!E$2)&lt;0,Ft!E$3*((1-Ft!E$6)/(1+Ft!E$37*($A275-Ft!E$2)^2)+Ft!E$6*EXP(Ft!E$38*($A275-Ft!E$2)^2)),Ft!E$3*((1-Ft!E$7)/(1+Ft!E$39*($A275-Ft!E$2)^2)+Ft!E$7*EXP(Ft!E$40*($A275-Ft!E$2)^2)))</f>
        <v>89.965582080463776</v>
      </c>
      <c r="J275" s="3">
        <f>IF(($A275-Ft!F$2)&lt;0,Ft!F$3*((1-Ft!F$6)/(1+Ft!F$37*($A275-Ft!F$2)^2)+Ft!F$6*EXP(Ft!F$38*($A275-Ft!F$2)^2)),Ft!F$3*((1-Ft!F$7)/(1+Ft!F$39*($A275-Ft!F$2)^2)+Ft!F$7*EXP(Ft!F$40*($A275-Ft!F$2)^2)))</f>
        <v>37.482613234199853</v>
      </c>
      <c r="K275" s="3">
        <f>IF(($A275-Ft!G$2)&lt;0,Ft!G$3*((1-Ft!G$6)/(1+Ft!G$37*($A275-Ft!G$2)^2)+Ft!G$6*EXP(Ft!G$38*($A275-Ft!G$2)^2)),Ft!G$3*((1-Ft!G$7)/(1+Ft!G$39*($A275-Ft!G$2)^2)+Ft!G$7*EXP(Ft!G$40*($A275-Ft!G$2)^2)))</f>
        <v>30.533665098017515</v>
      </c>
      <c r="L275" s="3">
        <f>IF(($A275-Ft!H$2)&lt;0,Ft!H$3*((1-Ft!H$6)/(1+Ft!H$37*($A275-Ft!H$2)^2)+Ft!H$6*EXP(Ft!H$38*($A275-Ft!H$2)^2)),Ft!H$3*((1-Ft!H$7)/(1+Ft!H$39*($A275-Ft!H$2)^2)+Ft!H$7*EXP(Ft!H$40*($A275-Ft!H$2)^2)))</f>
        <v>0</v>
      </c>
      <c r="M275" s="3">
        <f>IF(($A275-Ft!I$2)&lt;0,Ft!I$3*((1-Ft!I$6)/(1+Ft!I$37*($A275-Ft!I$2)^2)+Ft!I$6*EXP(Ft!I$38*($A275-Ft!I$2)^2)),Ft!I$3*((1-Ft!I$7)/(1+Ft!I$39*($A275-Ft!I$2)^2)+Ft!I$7*EXP(Ft!I$40*($A275-Ft!I$2)^2)))</f>
        <v>0</v>
      </c>
      <c r="N275" s="3">
        <f>IF(($A275-Ft!J$2)&lt;0,Ft!J$3*((1-Ft!J$6)/(1+Ft!J$37*($A275-Ft!J$2)^2)+Ft!J$6*EXP(Ft!J$38*($A275-Ft!J$2)^2)),Ft!J$3*((1-Ft!J$7)/(1+Ft!J$39*($A275-Ft!J$2)^2)+Ft!J$7*EXP(Ft!J$40*($A275-Ft!J$2)^2)))</f>
        <v>0</v>
      </c>
      <c r="O275" s="3">
        <f>IF(($A275-Ft!K$2)&lt;0,Ft!K$3*((1-Ft!K$6)/(1+Ft!K$37*($A275-Ft!K$2)^2)+Ft!K$6*EXP(Ft!K$38*($A275-Ft!K$2)^2)),Ft!K$3*((1-Ft!K$7)/(1+Ft!K$39*($A275-Ft!K$2)^2)+Ft!K$7*EXP(Ft!K$40*($A275-Ft!K$2)^2)))</f>
        <v>0</v>
      </c>
      <c r="P275"/>
      <c r="Q275"/>
    </row>
    <row r="276" spans="1:17">
      <c r="A276" s="20">
        <v>549</v>
      </c>
      <c r="B276" s="29">
        <v>51.131325007707332</v>
      </c>
      <c r="C276" s="7">
        <f t="shared" si="9"/>
        <v>51.199148616253872</v>
      </c>
      <c r="D276" s="3">
        <f t="shared" si="8"/>
        <v>4.6000418762742962E-3</v>
      </c>
      <c r="E276" s="3">
        <f>Ft!$B$12+Ft!$B$14*(Data!A276-Vars!$B$3)</f>
        <v>-200</v>
      </c>
      <c r="F276" s="3">
        <f>IF(($A276-Ft!B$2)&lt;0,Ft!B$3*((1-Ft!B$6)/(1+Ft!B$37*($A276-Ft!B$2)^2)+Ft!B$6*EXP(Ft!B$38*($A276-Ft!B$2)^2)),Ft!B$3*((1-Ft!B$7)/(1+Ft!B$39*($A276-Ft!B$2)^2)+Ft!B$7*EXP(Ft!B$40*($A276-Ft!B$2)^2)))</f>
        <v>43.819146684781892</v>
      </c>
      <c r="G276" s="3">
        <f>IF(($A276-Ft!C$2)&lt;0,Ft!C$3*((1-Ft!C$6)/(1+Ft!C$37*($A276-Ft!C$2)^2)+Ft!C$6*EXP(Ft!C$38*($A276-Ft!C$2)^2)),Ft!C$3*((1-Ft!C$7)/(1+Ft!C$39*($A276-Ft!C$2)^2)+Ft!C$7*EXP(Ft!C$40*($A276-Ft!C$2)^2)))</f>
        <v>49.024108159789613</v>
      </c>
      <c r="H276" s="3">
        <f>IF(($A276-Ft!D$2)&lt;0,Ft!D$3*((1-Ft!D$6)/(1+Ft!D$37*($A276-Ft!D$2)^2)+Ft!D$6*EXP(Ft!D$38*($A276-Ft!D$2)^2)),Ft!D$3*((1-Ft!D$7)/(1+Ft!D$39*($A276-Ft!D$2)^2)+Ft!D$7*EXP(Ft!D$40*($A276-Ft!D$2)^2)))</f>
        <v>2.2110415663802754E-4</v>
      </c>
      <c r="I276" s="3">
        <f>IF(($A276-Ft!E$2)&lt;0,Ft!E$3*((1-Ft!E$6)/(1+Ft!E$37*($A276-Ft!E$2)^2)+Ft!E$6*EXP(Ft!E$38*($A276-Ft!E$2)^2)),Ft!E$3*((1-Ft!E$7)/(1+Ft!E$39*($A276-Ft!E$2)^2)+Ft!E$7*EXP(Ft!E$40*($A276-Ft!E$2)^2)))</f>
        <v>90.414926519006485</v>
      </c>
      <c r="J276" s="3">
        <f>IF(($A276-Ft!F$2)&lt;0,Ft!F$3*((1-Ft!F$6)/(1+Ft!F$37*($A276-Ft!F$2)^2)+Ft!F$6*EXP(Ft!F$38*($A276-Ft!F$2)^2)),Ft!F$3*((1-Ft!F$7)/(1+Ft!F$39*($A276-Ft!F$2)^2)+Ft!F$7*EXP(Ft!F$40*($A276-Ft!F$2)^2)))</f>
        <v>37.710385461657857</v>
      </c>
      <c r="K276" s="3">
        <f>IF(($A276-Ft!G$2)&lt;0,Ft!G$3*((1-Ft!G$6)/(1+Ft!G$37*($A276-Ft!G$2)^2)+Ft!G$6*EXP(Ft!G$38*($A276-Ft!G$2)^2)),Ft!G$3*((1-Ft!G$7)/(1+Ft!G$39*($A276-Ft!G$2)^2)+Ft!G$7*EXP(Ft!G$40*($A276-Ft!G$2)^2)))</f>
        <v>30.230360686861388</v>
      </c>
      <c r="L276" s="3">
        <f>IF(($A276-Ft!H$2)&lt;0,Ft!H$3*((1-Ft!H$6)/(1+Ft!H$37*($A276-Ft!H$2)^2)+Ft!H$6*EXP(Ft!H$38*($A276-Ft!H$2)^2)),Ft!H$3*((1-Ft!H$7)/(1+Ft!H$39*($A276-Ft!H$2)^2)+Ft!H$7*EXP(Ft!H$40*($A276-Ft!H$2)^2)))</f>
        <v>0</v>
      </c>
      <c r="M276" s="3">
        <f>IF(($A276-Ft!I$2)&lt;0,Ft!I$3*((1-Ft!I$6)/(1+Ft!I$37*($A276-Ft!I$2)^2)+Ft!I$6*EXP(Ft!I$38*($A276-Ft!I$2)^2)),Ft!I$3*((1-Ft!I$7)/(1+Ft!I$39*($A276-Ft!I$2)^2)+Ft!I$7*EXP(Ft!I$40*($A276-Ft!I$2)^2)))</f>
        <v>0</v>
      </c>
      <c r="N276" s="3">
        <f>IF(($A276-Ft!J$2)&lt;0,Ft!J$3*((1-Ft!J$6)/(1+Ft!J$37*($A276-Ft!J$2)^2)+Ft!J$6*EXP(Ft!J$38*($A276-Ft!J$2)^2)),Ft!J$3*((1-Ft!J$7)/(1+Ft!J$39*($A276-Ft!J$2)^2)+Ft!J$7*EXP(Ft!J$40*($A276-Ft!J$2)^2)))</f>
        <v>0</v>
      </c>
      <c r="O276" s="3">
        <f>IF(($A276-Ft!K$2)&lt;0,Ft!K$3*((1-Ft!K$6)/(1+Ft!K$37*($A276-Ft!K$2)^2)+Ft!K$6*EXP(Ft!K$38*($A276-Ft!K$2)^2)),Ft!K$3*((1-Ft!K$7)/(1+Ft!K$39*($A276-Ft!K$2)^2)+Ft!K$7*EXP(Ft!K$40*($A276-Ft!K$2)^2)))</f>
        <v>0</v>
      </c>
      <c r="P276"/>
      <c r="Q276"/>
    </row>
    <row r="277" spans="1:17">
      <c r="A277" s="20">
        <v>551</v>
      </c>
      <c r="B277" s="29">
        <v>51.273039797458154</v>
      </c>
      <c r="C277" s="7">
        <f t="shared" si="9"/>
        <v>51.325437222636808</v>
      </c>
      <c r="D277" s="3">
        <f t="shared" si="8"/>
        <v>2.7454901653526536E-3</v>
      </c>
      <c r="E277" s="3">
        <f>Ft!$B$12+Ft!$B$14*(Data!A277-Vars!$B$3)</f>
        <v>-200</v>
      </c>
      <c r="F277" s="3">
        <f>IF(($A277-Ft!B$2)&lt;0,Ft!B$3*((1-Ft!B$6)/(1+Ft!B$37*($A277-Ft!B$2)^2)+Ft!B$6*EXP(Ft!B$38*($A277-Ft!B$2)^2)),Ft!B$3*((1-Ft!B$7)/(1+Ft!B$39*($A277-Ft!B$2)^2)+Ft!B$7*EXP(Ft!B$40*($A277-Ft!B$2)^2)))</f>
        <v>43.497585687362971</v>
      </c>
      <c r="G277" s="3">
        <f>IF(($A277-Ft!C$2)&lt;0,Ft!C$3*((1-Ft!C$6)/(1+Ft!C$37*($A277-Ft!C$2)^2)+Ft!C$6*EXP(Ft!C$38*($A277-Ft!C$2)^2)),Ft!C$3*((1-Ft!C$7)/(1+Ft!C$39*($A277-Ft!C$2)^2)+Ft!C$7*EXP(Ft!C$40*($A277-Ft!C$2)^2)))</f>
        <v>49.100439129200097</v>
      </c>
      <c r="H277" s="3">
        <f>IF(($A277-Ft!D$2)&lt;0,Ft!D$3*((1-Ft!D$6)/(1+Ft!D$37*($A277-Ft!D$2)^2)+Ft!D$6*EXP(Ft!D$38*($A277-Ft!D$2)^2)),Ft!D$3*((1-Ft!D$7)/(1+Ft!D$39*($A277-Ft!D$2)^2)+Ft!D$7*EXP(Ft!D$40*($A277-Ft!D$2)^2)))</f>
        <v>1.6083742708886866E-4</v>
      </c>
      <c r="I277" s="3">
        <f>IF(($A277-Ft!E$2)&lt;0,Ft!E$3*((1-Ft!E$6)/(1+Ft!E$37*($A277-Ft!E$2)^2)+Ft!E$6*EXP(Ft!E$38*($A277-Ft!E$2)^2)),Ft!E$3*((1-Ft!E$7)/(1+Ft!E$39*($A277-Ft!E$2)^2)+Ft!E$7*EXP(Ft!E$40*($A277-Ft!E$2)^2)))</f>
        <v>90.861246849947577</v>
      </c>
      <c r="J277" s="3">
        <f>IF(($A277-Ft!F$2)&lt;0,Ft!F$3*((1-Ft!F$6)/(1+Ft!F$37*($A277-Ft!F$2)^2)+Ft!F$6*EXP(Ft!F$38*($A277-Ft!F$2)^2)),Ft!F$3*((1-Ft!F$7)/(1+Ft!F$39*($A277-Ft!F$2)^2)+Ft!F$7*EXP(Ft!F$40*($A277-Ft!F$2)^2)))</f>
        <v>37.939042125772723</v>
      </c>
      <c r="K277" s="3">
        <f>IF(($A277-Ft!G$2)&lt;0,Ft!G$3*((1-Ft!G$6)/(1+Ft!G$37*($A277-Ft!G$2)^2)+Ft!G$6*EXP(Ft!G$38*($A277-Ft!G$2)^2)),Ft!G$3*((1-Ft!G$7)/(1+Ft!G$39*($A277-Ft!G$2)^2)+Ft!G$7*EXP(Ft!G$40*($A277-Ft!G$2)^2)))</f>
        <v>29.926962592926348</v>
      </c>
      <c r="L277" s="3">
        <f>IF(($A277-Ft!H$2)&lt;0,Ft!H$3*((1-Ft!H$6)/(1+Ft!H$37*($A277-Ft!H$2)^2)+Ft!H$6*EXP(Ft!H$38*($A277-Ft!H$2)^2)),Ft!H$3*((1-Ft!H$7)/(1+Ft!H$39*($A277-Ft!H$2)^2)+Ft!H$7*EXP(Ft!H$40*($A277-Ft!H$2)^2)))</f>
        <v>0</v>
      </c>
      <c r="M277" s="3">
        <f>IF(($A277-Ft!I$2)&lt;0,Ft!I$3*((1-Ft!I$6)/(1+Ft!I$37*($A277-Ft!I$2)^2)+Ft!I$6*EXP(Ft!I$38*($A277-Ft!I$2)^2)),Ft!I$3*((1-Ft!I$7)/(1+Ft!I$39*($A277-Ft!I$2)^2)+Ft!I$7*EXP(Ft!I$40*($A277-Ft!I$2)^2)))</f>
        <v>0</v>
      </c>
      <c r="N277" s="3">
        <f>IF(($A277-Ft!J$2)&lt;0,Ft!J$3*((1-Ft!J$6)/(1+Ft!J$37*($A277-Ft!J$2)^2)+Ft!J$6*EXP(Ft!J$38*($A277-Ft!J$2)^2)),Ft!J$3*((1-Ft!J$7)/(1+Ft!J$39*($A277-Ft!J$2)^2)+Ft!J$7*EXP(Ft!J$40*($A277-Ft!J$2)^2)))</f>
        <v>0</v>
      </c>
      <c r="O277" s="3">
        <f>IF(($A277-Ft!K$2)&lt;0,Ft!K$3*((1-Ft!K$6)/(1+Ft!K$37*($A277-Ft!K$2)^2)+Ft!K$6*EXP(Ft!K$38*($A277-Ft!K$2)^2)),Ft!K$3*((1-Ft!K$7)/(1+Ft!K$39*($A277-Ft!K$2)^2)+Ft!K$7*EXP(Ft!K$40*($A277-Ft!K$2)^2)))</f>
        <v>0</v>
      </c>
      <c r="P277"/>
      <c r="Q277"/>
    </row>
    <row r="278" spans="1:17">
      <c r="A278" s="20">
        <v>553</v>
      </c>
      <c r="B278" s="29">
        <v>51.413553063062878</v>
      </c>
      <c r="C278" s="7">
        <f t="shared" si="9"/>
        <v>51.450724314707216</v>
      </c>
      <c r="D278" s="3">
        <f t="shared" si="8"/>
        <v>1.3817019488067078E-3</v>
      </c>
      <c r="E278" s="3">
        <f>Ft!$B$12+Ft!$B$14*(Data!A278-Vars!$B$3)</f>
        <v>-200</v>
      </c>
      <c r="F278" s="3">
        <f>IF(($A278-Ft!B$2)&lt;0,Ft!B$3*((1-Ft!B$6)/(1+Ft!B$37*($A278-Ft!B$2)^2)+Ft!B$6*EXP(Ft!B$38*($A278-Ft!B$2)^2)),Ft!B$3*((1-Ft!B$7)/(1+Ft!B$39*($A278-Ft!B$2)^2)+Ft!B$7*EXP(Ft!B$40*($A278-Ft!B$2)^2)))</f>
        <v>43.17756029575569</v>
      </c>
      <c r="G278" s="3">
        <f>IF(($A278-Ft!C$2)&lt;0,Ft!C$3*((1-Ft!C$6)/(1+Ft!C$37*($A278-Ft!C$2)^2)+Ft!C$6*EXP(Ft!C$38*($A278-Ft!C$2)^2)),Ft!C$3*((1-Ft!C$7)/(1+Ft!C$39*($A278-Ft!C$2)^2)+Ft!C$7*EXP(Ft!C$40*($A278-Ft!C$2)^2)))</f>
        <v>49.176454432675591</v>
      </c>
      <c r="H278" s="3">
        <f>IF(($A278-Ft!D$2)&lt;0,Ft!D$3*((1-Ft!D$6)/(1+Ft!D$37*($A278-Ft!D$2)^2)+Ft!D$6*EXP(Ft!D$38*($A278-Ft!D$2)^2)),Ft!D$3*((1-Ft!D$7)/(1+Ft!D$39*($A278-Ft!D$2)^2)+Ft!D$7*EXP(Ft!D$40*($A278-Ft!D$2)^2)))</f>
        <v>1.1635402575221002E-4</v>
      </c>
      <c r="I278" s="3">
        <f>IF(($A278-Ft!E$2)&lt;0,Ft!E$3*((1-Ft!E$6)/(1+Ft!E$37*($A278-Ft!E$2)^2)+Ft!E$6*EXP(Ft!E$38*($A278-Ft!E$2)^2)),Ft!E$3*((1-Ft!E$7)/(1+Ft!E$39*($A278-Ft!E$2)^2)+Ft!E$7*EXP(Ft!E$40*($A278-Ft!E$2)^2)))</f>
        <v>91.30447626241758</v>
      </c>
      <c r="J278" s="3">
        <f>IF(($A278-Ft!F$2)&lt;0,Ft!F$3*((1-Ft!F$6)/(1+Ft!F$37*($A278-Ft!F$2)^2)+Ft!F$6*EXP(Ft!F$38*($A278-Ft!F$2)^2)),Ft!F$3*((1-Ft!F$7)/(1+Ft!F$39*($A278-Ft!F$2)^2)+Ft!F$7*EXP(Ft!F$40*($A278-Ft!F$2)^2)))</f>
        <v>38.168582548086867</v>
      </c>
      <c r="K278" s="3">
        <f>IF(($A278-Ft!G$2)&lt;0,Ft!G$3*((1-Ft!G$6)/(1+Ft!G$37*($A278-Ft!G$2)^2)+Ft!G$6*EXP(Ft!G$38*($A278-Ft!G$2)^2)),Ft!G$3*((1-Ft!G$7)/(1+Ft!G$39*($A278-Ft!G$2)^2)+Ft!G$7*EXP(Ft!G$40*($A278-Ft!G$2)^2)))</f>
        <v>29.623534421745735</v>
      </c>
      <c r="L278" s="3">
        <f>IF(($A278-Ft!H$2)&lt;0,Ft!H$3*((1-Ft!H$6)/(1+Ft!H$37*($A278-Ft!H$2)^2)+Ft!H$6*EXP(Ft!H$38*($A278-Ft!H$2)^2)),Ft!H$3*((1-Ft!H$7)/(1+Ft!H$39*($A278-Ft!H$2)^2)+Ft!H$7*EXP(Ft!H$40*($A278-Ft!H$2)^2)))</f>
        <v>0</v>
      </c>
      <c r="M278" s="3">
        <f>IF(($A278-Ft!I$2)&lt;0,Ft!I$3*((1-Ft!I$6)/(1+Ft!I$37*($A278-Ft!I$2)^2)+Ft!I$6*EXP(Ft!I$38*($A278-Ft!I$2)^2)),Ft!I$3*((1-Ft!I$7)/(1+Ft!I$39*($A278-Ft!I$2)^2)+Ft!I$7*EXP(Ft!I$40*($A278-Ft!I$2)^2)))</f>
        <v>0</v>
      </c>
      <c r="N278" s="3">
        <f>IF(($A278-Ft!J$2)&lt;0,Ft!J$3*((1-Ft!J$6)/(1+Ft!J$37*($A278-Ft!J$2)^2)+Ft!J$6*EXP(Ft!J$38*($A278-Ft!J$2)^2)),Ft!J$3*((1-Ft!J$7)/(1+Ft!J$39*($A278-Ft!J$2)^2)+Ft!J$7*EXP(Ft!J$40*($A278-Ft!J$2)^2)))</f>
        <v>0</v>
      </c>
      <c r="O278" s="3">
        <f>IF(($A278-Ft!K$2)&lt;0,Ft!K$3*((1-Ft!K$6)/(1+Ft!K$37*($A278-Ft!K$2)^2)+Ft!K$6*EXP(Ft!K$38*($A278-Ft!K$2)^2)),Ft!K$3*((1-Ft!K$7)/(1+Ft!K$39*($A278-Ft!K$2)^2)+Ft!K$7*EXP(Ft!K$40*($A278-Ft!K$2)^2)))</f>
        <v>0</v>
      </c>
      <c r="P278"/>
      <c r="Q278"/>
    </row>
    <row r="279" spans="1:17">
      <c r="A279" s="20">
        <v>555</v>
      </c>
      <c r="B279" s="29">
        <v>51.552790698205996</v>
      </c>
      <c r="C279" s="7">
        <f t="shared" si="9"/>
        <v>51.575000645316088</v>
      </c>
      <c r="D279" s="3">
        <f t="shared" si="8"/>
        <v>4.9328175063307657E-4</v>
      </c>
      <c r="E279" s="3">
        <f>Ft!$B$12+Ft!$B$14*(Data!A279-Vars!$B$3)</f>
        <v>-200</v>
      </c>
      <c r="F279" s="3">
        <f>IF(($A279-Ft!B$2)&lt;0,Ft!B$3*((1-Ft!B$6)/(1+Ft!B$37*($A279-Ft!B$2)^2)+Ft!B$6*EXP(Ft!B$38*($A279-Ft!B$2)^2)),Ft!B$3*((1-Ft!B$7)/(1+Ft!B$39*($A279-Ft!B$2)^2)+Ft!B$7*EXP(Ft!B$40*($A279-Ft!B$2)^2)))</f>
        <v>42.859071383455472</v>
      </c>
      <c r="G279" s="3">
        <f>IF(($A279-Ft!C$2)&lt;0,Ft!C$3*((1-Ft!C$6)/(1+Ft!C$37*($A279-Ft!C$2)^2)+Ft!C$6*EXP(Ft!C$38*($A279-Ft!C$2)^2)),Ft!C$3*((1-Ft!C$7)/(1+Ft!C$39*($A279-Ft!C$2)^2)+Ft!C$7*EXP(Ft!C$40*($A279-Ft!C$2)^2)))</f>
        <v>49.252152237173036</v>
      </c>
      <c r="H279" s="3">
        <f>IF(($A279-Ft!D$2)&lt;0,Ft!D$3*((1-Ft!D$6)/(1+Ft!D$37*($A279-Ft!D$2)^2)+Ft!D$6*EXP(Ft!D$38*($A279-Ft!D$2)^2)),Ft!D$3*((1-Ft!D$7)/(1+Ft!D$39*($A279-Ft!D$2)^2)+Ft!D$7*EXP(Ft!D$40*($A279-Ft!D$2)^2)))</f>
        <v>8.37104734478991E-5</v>
      </c>
      <c r="I279" s="3">
        <f>IF(($A279-Ft!E$2)&lt;0,Ft!E$3*((1-Ft!E$6)/(1+Ft!E$37*($A279-Ft!E$2)^2)+Ft!E$6*EXP(Ft!E$38*($A279-Ft!E$2)^2)),Ft!E$3*((1-Ft!E$7)/(1+Ft!E$39*($A279-Ft!E$2)^2)+Ft!E$7*EXP(Ft!E$40*($A279-Ft!E$2)^2)))</f>
        <v>91.74454815664312</v>
      </c>
      <c r="J279" s="3">
        <f>IF(($A279-Ft!F$2)&lt;0,Ft!F$3*((1-Ft!F$6)/(1+Ft!F$37*($A279-Ft!F$2)^2)+Ft!F$6*EXP(Ft!F$38*($A279-Ft!F$2)^2)),Ft!F$3*((1-Ft!F$7)/(1+Ft!F$39*($A279-Ft!F$2)^2)+Ft!F$7*EXP(Ft!F$40*($A279-Ft!F$2)^2)))</f>
        <v>38.399006011009568</v>
      </c>
      <c r="K279" s="3">
        <f>IF(($A279-Ft!G$2)&lt;0,Ft!G$3*((1-Ft!G$6)/(1+Ft!G$37*($A279-Ft!G$2)^2)+Ft!G$6*EXP(Ft!G$38*($A279-Ft!G$2)^2)),Ft!G$3*((1-Ft!G$7)/(1+Ft!G$39*($A279-Ft!G$2)^2)+Ft!G$7*EXP(Ft!G$40*($A279-Ft!G$2)^2)))</f>
        <v>29.320139146561445</v>
      </c>
      <c r="L279" s="3">
        <f>IF(($A279-Ft!H$2)&lt;0,Ft!H$3*((1-Ft!H$6)/(1+Ft!H$37*($A279-Ft!H$2)^2)+Ft!H$6*EXP(Ft!H$38*($A279-Ft!H$2)^2)),Ft!H$3*((1-Ft!H$7)/(1+Ft!H$39*($A279-Ft!H$2)^2)+Ft!H$7*EXP(Ft!H$40*($A279-Ft!H$2)^2)))</f>
        <v>0</v>
      </c>
      <c r="M279" s="3">
        <f>IF(($A279-Ft!I$2)&lt;0,Ft!I$3*((1-Ft!I$6)/(1+Ft!I$37*($A279-Ft!I$2)^2)+Ft!I$6*EXP(Ft!I$38*($A279-Ft!I$2)^2)),Ft!I$3*((1-Ft!I$7)/(1+Ft!I$39*($A279-Ft!I$2)^2)+Ft!I$7*EXP(Ft!I$40*($A279-Ft!I$2)^2)))</f>
        <v>0</v>
      </c>
      <c r="N279" s="3">
        <f>IF(($A279-Ft!J$2)&lt;0,Ft!J$3*((1-Ft!J$6)/(1+Ft!J$37*($A279-Ft!J$2)^2)+Ft!J$6*EXP(Ft!J$38*($A279-Ft!J$2)^2)),Ft!J$3*((1-Ft!J$7)/(1+Ft!J$39*($A279-Ft!J$2)^2)+Ft!J$7*EXP(Ft!J$40*($A279-Ft!J$2)^2)))</f>
        <v>0</v>
      </c>
      <c r="O279" s="3">
        <f>IF(($A279-Ft!K$2)&lt;0,Ft!K$3*((1-Ft!K$6)/(1+Ft!K$37*($A279-Ft!K$2)^2)+Ft!K$6*EXP(Ft!K$38*($A279-Ft!K$2)^2)),Ft!K$3*((1-Ft!K$7)/(1+Ft!K$39*($A279-Ft!K$2)^2)+Ft!K$7*EXP(Ft!K$40*($A279-Ft!K$2)^2)))</f>
        <v>0</v>
      </c>
      <c r="P279"/>
      <c r="Q279"/>
    </row>
    <row r="280" spans="1:17">
      <c r="A280" s="20">
        <v>557</v>
      </c>
      <c r="B280" s="29">
        <v>51.690685968851142</v>
      </c>
      <c r="C280" s="7">
        <f t="shared" si="9"/>
        <v>51.698257345767843</v>
      </c>
      <c r="D280" s="3">
        <f t="shared" si="8"/>
        <v>5.7325748414752072E-5</v>
      </c>
      <c r="E280" s="3">
        <f>Ft!$B$12+Ft!$B$14*(Data!A280-Vars!$B$3)</f>
        <v>-200</v>
      </c>
      <c r="F280" s="3">
        <f>IF(($A280-Ft!B$2)&lt;0,Ft!B$3*((1-Ft!B$6)/(1+Ft!B$37*($A280-Ft!B$2)^2)+Ft!B$6*EXP(Ft!B$38*($A280-Ft!B$2)^2)),Ft!B$3*((1-Ft!B$7)/(1+Ft!B$39*($A280-Ft!B$2)^2)+Ft!B$7*EXP(Ft!B$40*($A280-Ft!B$2)^2)))</f>
        <v>42.542119729869142</v>
      </c>
      <c r="G280" s="3">
        <f>IF(($A280-Ft!C$2)&lt;0,Ft!C$3*((1-Ft!C$6)/(1+Ft!C$37*($A280-Ft!C$2)^2)+Ft!C$6*EXP(Ft!C$38*($A280-Ft!C$2)^2)),Ft!C$3*((1-Ft!C$7)/(1+Ft!C$39*($A280-Ft!C$2)^2)+Ft!C$7*EXP(Ft!C$40*($A280-Ft!C$2)^2)))</f>
        <v>49.327530715242176</v>
      </c>
      <c r="H280" s="3">
        <f>IF(($A280-Ft!D$2)&lt;0,Ft!D$3*((1-Ft!D$6)/(1+Ft!D$37*($A280-Ft!D$2)^2)+Ft!D$6*EXP(Ft!D$38*($A280-Ft!D$2)^2)),Ft!D$3*((1-Ft!D$7)/(1+Ft!D$39*($A280-Ft!D$2)^2)+Ft!D$7*EXP(Ft!D$40*($A280-Ft!D$2)^2)))</f>
        <v>5.9893855349684721E-5</v>
      </c>
      <c r="I280" s="3">
        <f>IF(($A280-Ft!E$2)&lt;0,Ft!E$3*((1-Ft!E$6)/(1+Ft!E$37*($A280-Ft!E$2)^2)+Ft!E$6*EXP(Ft!E$38*($A280-Ft!E$2)^2)),Ft!E$3*((1-Ft!E$7)/(1+Ft!E$39*($A280-Ft!E$2)^2)+Ft!E$7*EXP(Ft!E$40*($A280-Ft!E$2)^2)))</f>
        <v>92.181396160459798</v>
      </c>
      <c r="J280" s="3">
        <f>IF(($A280-Ft!F$2)&lt;0,Ft!F$3*((1-Ft!F$6)/(1+Ft!F$37*($A280-Ft!F$2)^2)+Ft!F$6*EXP(Ft!F$38*($A280-Ft!F$2)^2)),Ft!F$3*((1-Ft!F$7)/(1+Ft!F$39*($A280-Ft!F$2)^2)+Ft!F$7*EXP(Ft!F$40*($A280-Ft!F$2)^2)))</f>
        <v>38.630311757618195</v>
      </c>
      <c r="K280" s="3">
        <f>IF(($A280-Ft!G$2)&lt;0,Ft!G$3*((1-Ft!G$6)/(1+Ft!G$37*($A280-Ft!G$2)^2)+Ft!G$6*EXP(Ft!G$38*($A280-Ft!G$2)^2)),Ft!G$3*((1-Ft!G$7)/(1+Ft!G$39*($A280-Ft!G$2)^2)+Ft!G$7*EXP(Ft!G$40*($A280-Ft!G$2)^2)))</f>
        <v>29.016839088723181</v>
      </c>
      <c r="L280" s="3">
        <f>IF(($A280-Ft!H$2)&lt;0,Ft!H$3*((1-Ft!H$6)/(1+Ft!H$37*($A280-Ft!H$2)^2)+Ft!H$6*EXP(Ft!H$38*($A280-Ft!H$2)^2)),Ft!H$3*((1-Ft!H$7)/(1+Ft!H$39*($A280-Ft!H$2)^2)+Ft!H$7*EXP(Ft!H$40*($A280-Ft!H$2)^2)))</f>
        <v>0</v>
      </c>
      <c r="M280" s="3">
        <f>IF(($A280-Ft!I$2)&lt;0,Ft!I$3*((1-Ft!I$6)/(1+Ft!I$37*($A280-Ft!I$2)^2)+Ft!I$6*EXP(Ft!I$38*($A280-Ft!I$2)^2)),Ft!I$3*((1-Ft!I$7)/(1+Ft!I$39*($A280-Ft!I$2)^2)+Ft!I$7*EXP(Ft!I$40*($A280-Ft!I$2)^2)))</f>
        <v>0</v>
      </c>
      <c r="N280" s="3">
        <f>IF(($A280-Ft!J$2)&lt;0,Ft!J$3*((1-Ft!J$6)/(1+Ft!J$37*($A280-Ft!J$2)^2)+Ft!J$6*EXP(Ft!J$38*($A280-Ft!J$2)^2)),Ft!J$3*((1-Ft!J$7)/(1+Ft!J$39*($A280-Ft!J$2)^2)+Ft!J$7*EXP(Ft!J$40*($A280-Ft!J$2)^2)))</f>
        <v>0</v>
      </c>
      <c r="O280" s="3">
        <f>IF(($A280-Ft!K$2)&lt;0,Ft!K$3*((1-Ft!K$6)/(1+Ft!K$37*($A280-Ft!K$2)^2)+Ft!K$6*EXP(Ft!K$38*($A280-Ft!K$2)^2)),Ft!K$3*((1-Ft!K$7)/(1+Ft!K$39*($A280-Ft!K$2)^2)+Ft!K$7*EXP(Ft!K$40*($A280-Ft!K$2)^2)))</f>
        <v>0</v>
      </c>
      <c r="P280"/>
      <c r="Q280"/>
    </row>
    <row r="281" spans="1:17">
      <c r="A281" s="20">
        <v>559</v>
      </c>
      <c r="B281" s="29">
        <v>51.827178833332439</v>
      </c>
      <c r="C281" s="7">
        <f t="shared" si="9"/>
        <v>51.820485719556274</v>
      </c>
      <c r="D281" s="3">
        <f t="shared" si="8"/>
        <v>4.4797772020698541E-5</v>
      </c>
      <c r="E281" s="3">
        <f>Ft!$B$12+Ft!$B$14*(Data!A281-Vars!$B$3)</f>
        <v>-200</v>
      </c>
      <c r="F281" s="3">
        <f>IF(($A281-Ft!B$2)&lt;0,Ft!B$3*((1-Ft!B$6)/(1+Ft!B$37*($A281-Ft!B$2)^2)+Ft!B$6*EXP(Ft!B$38*($A281-Ft!B$2)^2)),Ft!B$3*((1-Ft!B$7)/(1+Ft!B$39*($A281-Ft!B$2)^2)+Ft!B$7*EXP(Ft!B$40*($A281-Ft!B$2)^2)))</f>
        <v>42.226706020949749</v>
      </c>
      <c r="G281" s="3">
        <f>IF(($A281-Ft!C$2)&lt;0,Ft!C$3*((1-Ft!C$6)/(1+Ft!C$37*($A281-Ft!C$2)^2)+Ft!C$6*EXP(Ft!C$38*($A281-Ft!C$2)^2)),Ft!C$3*((1-Ft!C$7)/(1+Ft!C$39*($A281-Ft!C$2)^2)+Ft!C$7*EXP(Ft!C$40*($A281-Ft!C$2)^2)))</f>
        <v>49.402588045098739</v>
      </c>
      <c r="H281" s="3">
        <f>IF(($A281-Ft!D$2)&lt;0,Ft!D$3*((1-Ft!D$6)/(1+Ft!D$37*($A281-Ft!D$2)^2)+Ft!D$6*EXP(Ft!D$38*($A281-Ft!D$2)^2)),Ft!D$3*((1-Ft!D$7)/(1+Ft!D$39*($A281-Ft!D$2)^2)+Ft!D$7*EXP(Ft!D$40*($A281-Ft!D$2)^2)))</f>
        <v>4.2617584179185889E-5</v>
      </c>
      <c r="I281" s="3">
        <f>IF(($A281-Ft!E$2)&lt;0,Ft!E$3*((1-Ft!E$6)/(1+Ft!E$37*($A281-Ft!E$2)^2)+Ft!E$6*EXP(Ft!E$38*($A281-Ft!E$2)^2)),Ft!E$3*((1-Ft!E$7)/(1+Ft!E$39*($A281-Ft!E$2)^2)+Ft!E$7*EXP(Ft!E$40*($A281-Ft!E$2)^2)))</f>
        <v>92.61495414583905</v>
      </c>
      <c r="J281" s="3">
        <f>IF(($A281-Ft!F$2)&lt;0,Ft!F$3*((1-Ft!F$6)/(1+Ft!F$37*($A281-Ft!F$2)^2)+Ft!F$6*EXP(Ft!F$38*($A281-Ft!F$2)^2)),Ft!F$3*((1-Ft!F$7)/(1+Ft!F$39*($A281-Ft!F$2)^2)+Ft!F$7*EXP(Ft!F$40*($A281-Ft!F$2)^2)))</f>
        <v>38.862498991460662</v>
      </c>
      <c r="K281" s="3">
        <f>IF(($A281-Ft!G$2)&lt;0,Ft!G$3*((1-Ft!G$6)/(1+Ft!G$37*($A281-Ft!G$2)^2)+Ft!G$6*EXP(Ft!G$38*($A281-Ft!G$2)^2)),Ft!G$3*((1-Ft!G$7)/(1+Ft!G$39*($A281-Ft!G$2)^2)+Ft!G$7*EXP(Ft!G$40*($A281-Ft!G$2)^2)))</f>
        <v>28.713695898623904</v>
      </c>
      <c r="L281" s="3">
        <f>IF(($A281-Ft!H$2)&lt;0,Ft!H$3*((1-Ft!H$6)/(1+Ft!H$37*($A281-Ft!H$2)^2)+Ft!H$6*EXP(Ft!H$38*($A281-Ft!H$2)^2)),Ft!H$3*((1-Ft!H$7)/(1+Ft!H$39*($A281-Ft!H$2)^2)+Ft!H$7*EXP(Ft!H$40*($A281-Ft!H$2)^2)))</f>
        <v>0</v>
      </c>
      <c r="M281" s="3">
        <f>IF(($A281-Ft!I$2)&lt;0,Ft!I$3*((1-Ft!I$6)/(1+Ft!I$37*($A281-Ft!I$2)^2)+Ft!I$6*EXP(Ft!I$38*($A281-Ft!I$2)^2)),Ft!I$3*((1-Ft!I$7)/(1+Ft!I$39*($A281-Ft!I$2)^2)+Ft!I$7*EXP(Ft!I$40*($A281-Ft!I$2)^2)))</f>
        <v>0</v>
      </c>
      <c r="N281" s="3">
        <f>IF(($A281-Ft!J$2)&lt;0,Ft!J$3*((1-Ft!J$6)/(1+Ft!J$37*($A281-Ft!J$2)^2)+Ft!J$6*EXP(Ft!J$38*($A281-Ft!J$2)^2)),Ft!J$3*((1-Ft!J$7)/(1+Ft!J$39*($A281-Ft!J$2)^2)+Ft!J$7*EXP(Ft!J$40*($A281-Ft!J$2)^2)))</f>
        <v>0</v>
      </c>
      <c r="O281" s="3">
        <f>IF(($A281-Ft!K$2)&lt;0,Ft!K$3*((1-Ft!K$6)/(1+Ft!K$37*($A281-Ft!K$2)^2)+Ft!K$6*EXP(Ft!K$38*($A281-Ft!K$2)^2)),Ft!K$3*((1-Ft!K$7)/(1+Ft!K$39*($A281-Ft!K$2)^2)+Ft!K$7*EXP(Ft!K$40*($A281-Ft!K$2)^2)))</f>
        <v>0</v>
      </c>
      <c r="P281"/>
      <c r="Q281"/>
    </row>
    <row r="282" spans="1:17">
      <c r="A282" s="20">
        <v>561</v>
      </c>
      <c r="B282" s="29">
        <v>51.962215285885023</v>
      </c>
      <c r="C282" s="7">
        <f t="shared" si="9"/>
        <v>51.941677077280815</v>
      </c>
      <c r="D282" s="3">
        <f t="shared" si="8"/>
        <v>4.218180126699575E-4</v>
      </c>
      <c r="E282" s="3">
        <f>Ft!$B$12+Ft!$B$14*(Data!A282-Vars!$B$3)</f>
        <v>-200</v>
      </c>
      <c r="F282" s="3">
        <f>IF(($A282-Ft!B$2)&lt;0,Ft!B$3*((1-Ft!B$6)/(1+Ft!B$37*($A282-Ft!B$2)^2)+Ft!B$6*EXP(Ft!B$38*($A282-Ft!B$2)^2)),Ft!B$3*((1-Ft!B$7)/(1+Ft!B$39*($A282-Ft!B$2)^2)+Ft!B$7*EXP(Ft!B$40*($A282-Ft!B$2)^2)))</f>
        <v>41.912830849835416</v>
      </c>
      <c r="G282" s="3">
        <f>IF(($A282-Ft!C$2)&lt;0,Ft!C$3*((1-Ft!C$6)/(1+Ft!C$37*($A282-Ft!C$2)^2)+Ft!C$6*EXP(Ft!C$38*($A282-Ft!C$2)^2)),Ft!C$3*((1-Ft!C$7)/(1+Ft!C$39*($A282-Ft!C$2)^2)+Ft!C$7*EXP(Ft!C$40*($A282-Ft!C$2)^2)))</f>
        <v>49.477322410697589</v>
      </c>
      <c r="H282" s="3">
        <f>IF(($A282-Ft!D$2)&lt;0,Ft!D$3*((1-Ft!D$6)/(1+Ft!D$37*($A282-Ft!D$2)^2)+Ft!D$6*EXP(Ft!D$38*($A282-Ft!D$2)^2)),Ft!D$3*((1-Ft!D$7)/(1+Ft!D$39*($A282-Ft!D$2)^2)+Ft!D$7*EXP(Ft!D$40*($A282-Ft!D$2)^2)))</f>
        <v>3.0157787241172651E-5</v>
      </c>
      <c r="I282" s="3">
        <f>IF(($A282-Ft!E$2)&lt;0,Ft!E$3*((1-Ft!E$6)/(1+Ft!E$37*($A282-Ft!E$2)^2)+Ft!E$6*EXP(Ft!E$38*($A282-Ft!E$2)^2)),Ft!E$3*((1-Ft!E$7)/(1+Ft!E$39*($A282-Ft!E$2)^2)+Ft!E$7*EXP(Ft!E$40*($A282-Ft!E$2)^2)))</f>
        <v>93.045156245423129</v>
      </c>
      <c r="J282" s="3">
        <f>IF(($A282-Ft!F$2)&lt;0,Ft!F$3*((1-Ft!F$6)/(1+Ft!F$37*($A282-Ft!F$2)^2)+Ft!F$6*EXP(Ft!F$38*($A282-Ft!F$2)^2)),Ft!F$3*((1-Ft!F$7)/(1+Ft!F$39*($A282-Ft!F$2)^2)+Ft!F$7*EXP(Ft!F$40*($A282-Ft!F$2)^2)))</f>
        <v>39.095566876359499</v>
      </c>
      <c r="K282" s="3">
        <f>IF(($A282-Ft!G$2)&lt;0,Ft!G$3*((1-Ft!G$6)/(1+Ft!G$37*($A282-Ft!G$2)^2)+Ft!G$6*EXP(Ft!G$38*($A282-Ft!G$2)^2)),Ft!G$3*((1-Ft!G$7)/(1+Ft!G$39*($A282-Ft!G$2)^2)+Ft!G$7*EXP(Ft!G$40*($A282-Ft!G$2)^2)))</f>
        <v>28.410770537177957</v>
      </c>
      <c r="L282" s="3">
        <f>IF(($A282-Ft!H$2)&lt;0,Ft!H$3*((1-Ft!H$6)/(1+Ft!H$37*($A282-Ft!H$2)^2)+Ft!H$6*EXP(Ft!H$38*($A282-Ft!H$2)^2)),Ft!H$3*((1-Ft!H$7)/(1+Ft!H$39*($A282-Ft!H$2)^2)+Ft!H$7*EXP(Ft!H$40*($A282-Ft!H$2)^2)))</f>
        <v>0</v>
      </c>
      <c r="M282" s="3">
        <f>IF(($A282-Ft!I$2)&lt;0,Ft!I$3*((1-Ft!I$6)/(1+Ft!I$37*($A282-Ft!I$2)^2)+Ft!I$6*EXP(Ft!I$38*($A282-Ft!I$2)^2)),Ft!I$3*((1-Ft!I$7)/(1+Ft!I$39*($A282-Ft!I$2)^2)+Ft!I$7*EXP(Ft!I$40*($A282-Ft!I$2)^2)))</f>
        <v>0</v>
      </c>
      <c r="N282" s="3">
        <f>IF(($A282-Ft!J$2)&lt;0,Ft!J$3*((1-Ft!J$6)/(1+Ft!J$37*($A282-Ft!J$2)^2)+Ft!J$6*EXP(Ft!J$38*($A282-Ft!J$2)^2)),Ft!J$3*((1-Ft!J$7)/(1+Ft!J$39*($A282-Ft!J$2)^2)+Ft!J$7*EXP(Ft!J$40*($A282-Ft!J$2)^2)))</f>
        <v>0</v>
      </c>
      <c r="O282" s="3">
        <f>IF(($A282-Ft!K$2)&lt;0,Ft!K$3*((1-Ft!K$6)/(1+Ft!K$37*($A282-Ft!K$2)^2)+Ft!K$6*EXP(Ft!K$38*($A282-Ft!K$2)^2)),Ft!K$3*((1-Ft!K$7)/(1+Ft!K$39*($A282-Ft!K$2)^2)+Ft!K$7*EXP(Ft!K$40*($A282-Ft!K$2)^2)))</f>
        <v>0</v>
      </c>
      <c r="P282"/>
      <c r="Q282"/>
    </row>
    <row r="283" spans="1:17">
      <c r="A283" s="20">
        <v>563</v>
      </c>
      <c r="B283" s="29">
        <v>52.095746731080894</v>
      </c>
      <c r="C283" s="7">
        <f t="shared" si="9"/>
        <v>52.061822605788791</v>
      </c>
      <c r="D283" s="3">
        <f t="shared" si="8"/>
        <v>1.150846276834286E-3</v>
      </c>
      <c r="E283" s="3">
        <f>Ft!$B$12+Ft!$B$14*(Data!A283-Vars!$B$3)</f>
        <v>-200</v>
      </c>
      <c r="F283" s="3">
        <f>IF(($A283-Ft!B$2)&lt;0,Ft!B$3*((1-Ft!B$6)/(1+Ft!B$37*($A283-Ft!B$2)^2)+Ft!B$6*EXP(Ft!B$38*($A283-Ft!B$2)^2)),Ft!B$3*((1-Ft!B$7)/(1+Ft!B$39*($A283-Ft!B$2)^2)+Ft!B$7*EXP(Ft!B$40*($A283-Ft!B$2)^2)))</f>
        <v>41.600494717492403</v>
      </c>
      <c r="G283" s="3">
        <f>IF(($A283-Ft!C$2)&lt;0,Ft!C$3*((1-Ft!C$6)/(1+Ft!C$37*($A283-Ft!C$2)^2)+Ft!C$6*EXP(Ft!C$38*($A283-Ft!C$2)^2)),Ft!C$3*((1-Ft!C$7)/(1+Ft!C$39*($A283-Ft!C$2)^2)+Ft!C$7*EXP(Ft!C$40*($A283-Ft!C$2)^2)))</f>
        <v>49.551732001805696</v>
      </c>
      <c r="H283" s="3">
        <f>IF(($A283-Ft!D$2)&lt;0,Ft!D$3*((1-Ft!D$6)/(1+Ft!D$37*($A283-Ft!D$2)^2)+Ft!D$6*EXP(Ft!D$38*($A283-Ft!D$2)^2)),Ft!D$3*((1-Ft!D$7)/(1+Ft!D$39*($A283-Ft!D$2)^2)+Ft!D$7*EXP(Ft!D$40*($A283-Ft!D$2)^2)))</f>
        <v>2.1223363157005867E-5</v>
      </c>
      <c r="I283" s="3">
        <f>IF(($A283-Ft!E$2)&lt;0,Ft!E$3*((1-Ft!E$6)/(1+Ft!E$37*($A283-Ft!E$2)^2)+Ft!E$6*EXP(Ft!E$38*($A283-Ft!E$2)^2)),Ft!E$3*((1-Ft!E$7)/(1+Ft!E$39*($A283-Ft!E$2)^2)+Ft!E$7*EXP(Ft!E$40*($A283-Ft!E$2)^2)))</f>
        <v>93.471936869062702</v>
      </c>
      <c r="J283" s="3">
        <f>IF(($A283-Ft!F$2)&lt;0,Ft!F$3*((1-Ft!F$6)/(1+Ft!F$37*($A283-Ft!F$2)^2)+Ft!F$6*EXP(Ft!F$38*($A283-Ft!F$2)^2)),Ft!F$3*((1-Ft!F$7)/(1+Ft!F$39*($A283-Ft!F$2)^2)+Ft!F$7*EXP(Ft!F$40*($A283-Ft!F$2)^2)))</f>
        <v>39.329514536217147</v>
      </c>
      <c r="K283" s="3">
        <f>IF(($A283-Ft!G$2)&lt;0,Ft!G$3*((1-Ft!G$6)/(1+Ft!G$37*($A283-Ft!G$2)^2)+Ft!G$6*EXP(Ft!G$38*($A283-Ft!G$2)^2)),Ft!G$3*((1-Ft!G$7)/(1+Ft!G$39*($A283-Ft!G$2)^2)+Ft!G$7*EXP(Ft!G$40*($A283-Ft!G$2)^2)))</f>
        <v>28.108123257847662</v>
      </c>
      <c r="L283" s="3">
        <f>IF(($A283-Ft!H$2)&lt;0,Ft!H$3*((1-Ft!H$6)/(1+Ft!H$37*($A283-Ft!H$2)^2)+Ft!H$6*EXP(Ft!H$38*($A283-Ft!H$2)^2)),Ft!H$3*((1-Ft!H$7)/(1+Ft!H$39*($A283-Ft!H$2)^2)+Ft!H$7*EXP(Ft!H$40*($A283-Ft!H$2)^2)))</f>
        <v>0</v>
      </c>
      <c r="M283" s="3">
        <f>IF(($A283-Ft!I$2)&lt;0,Ft!I$3*((1-Ft!I$6)/(1+Ft!I$37*($A283-Ft!I$2)^2)+Ft!I$6*EXP(Ft!I$38*($A283-Ft!I$2)^2)),Ft!I$3*((1-Ft!I$7)/(1+Ft!I$39*($A283-Ft!I$2)^2)+Ft!I$7*EXP(Ft!I$40*($A283-Ft!I$2)^2)))</f>
        <v>0</v>
      </c>
      <c r="N283" s="3">
        <f>IF(($A283-Ft!J$2)&lt;0,Ft!J$3*((1-Ft!J$6)/(1+Ft!J$37*($A283-Ft!J$2)^2)+Ft!J$6*EXP(Ft!J$38*($A283-Ft!J$2)^2)),Ft!J$3*((1-Ft!J$7)/(1+Ft!J$39*($A283-Ft!J$2)^2)+Ft!J$7*EXP(Ft!J$40*($A283-Ft!J$2)^2)))</f>
        <v>0</v>
      </c>
      <c r="O283" s="3">
        <f>IF(($A283-Ft!K$2)&lt;0,Ft!K$3*((1-Ft!K$6)/(1+Ft!K$37*($A283-Ft!K$2)^2)+Ft!K$6*EXP(Ft!K$38*($A283-Ft!K$2)^2)),Ft!K$3*((1-Ft!K$7)/(1+Ft!K$39*($A283-Ft!K$2)^2)+Ft!K$7*EXP(Ft!K$40*($A283-Ft!K$2)^2)))</f>
        <v>0</v>
      </c>
      <c r="P283"/>
      <c r="Q283"/>
    </row>
    <row r="284" spans="1:17">
      <c r="A284" s="20">
        <v>565</v>
      </c>
      <c r="B284" s="29">
        <v>52.227729394644783</v>
      </c>
      <c r="C284" s="7">
        <f t="shared" si="9"/>
        <v>52.180913265479418</v>
      </c>
      <c r="D284" s="3">
        <f t="shared" si="8"/>
        <v>2.1917499500280807E-3</v>
      </c>
      <c r="E284" s="3">
        <f>Ft!$B$12+Ft!$B$14*(Data!A284-Vars!$B$3)</f>
        <v>-200</v>
      </c>
      <c r="F284" s="3">
        <f>IF(($A284-Ft!B$2)&lt;0,Ft!B$3*((1-Ft!B$6)/(1+Ft!B$37*($A284-Ft!B$2)^2)+Ft!B$6*EXP(Ft!B$38*($A284-Ft!B$2)^2)),Ft!B$3*((1-Ft!B$7)/(1+Ft!B$39*($A284-Ft!B$2)^2)+Ft!B$7*EXP(Ft!B$40*($A284-Ft!B$2)^2)))</f>
        <v>41.289698033362143</v>
      </c>
      <c r="G284" s="3">
        <f>IF(($A284-Ft!C$2)&lt;0,Ft!C$3*((1-Ft!C$6)/(1+Ft!C$37*($A284-Ft!C$2)^2)+Ft!C$6*EXP(Ft!C$38*($A284-Ft!C$2)^2)),Ft!C$3*((1-Ft!C$7)/(1+Ft!C$39*($A284-Ft!C$2)^2)+Ft!C$7*EXP(Ft!C$40*($A284-Ft!C$2)^2)))</f>
        <v>49.625815014074917</v>
      </c>
      <c r="H284" s="3">
        <f>IF(($A284-Ft!D$2)&lt;0,Ft!D$3*((1-Ft!D$6)/(1+Ft!D$37*($A284-Ft!D$2)^2)+Ft!D$6*EXP(Ft!D$38*($A284-Ft!D$2)^2)),Ft!D$3*((1-Ft!D$7)/(1+Ft!D$39*($A284-Ft!D$2)^2)+Ft!D$7*EXP(Ft!D$40*($A284-Ft!D$2)^2)))</f>
        <v>1.4853644480463242E-5</v>
      </c>
      <c r="I284" s="3">
        <f>IF(($A284-Ft!E$2)&lt;0,Ft!E$3*((1-Ft!E$6)/(1+Ft!E$37*($A284-Ft!E$2)^2)+Ft!E$6*EXP(Ft!E$38*($A284-Ft!E$2)^2)),Ft!E$3*((1-Ft!E$7)/(1+Ft!E$39*($A284-Ft!E$2)^2)+Ft!E$7*EXP(Ft!E$40*($A284-Ft!E$2)^2)))</f>
        <v>93.895230720351122</v>
      </c>
      <c r="J284" s="3">
        <f>IF(($A284-Ft!F$2)&lt;0,Ft!F$3*((1-Ft!F$6)/(1+Ft!F$37*($A284-Ft!F$2)^2)+Ft!F$6*EXP(Ft!F$38*($A284-Ft!F$2)^2)),Ft!F$3*((1-Ft!F$7)/(1+Ft!F$39*($A284-Ft!F$2)^2)+Ft!F$7*EXP(Ft!F$40*($A284-Ft!F$2)^2)))</f>
        <v>39.564341054822975</v>
      </c>
      <c r="K284" s="3">
        <f>IF(($A284-Ft!G$2)&lt;0,Ft!G$3*((1-Ft!G$6)/(1+Ft!G$37*($A284-Ft!G$2)^2)+Ft!G$6*EXP(Ft!G$38*($A284-Ft!G$2)^2)),Ft!G$3*((1-Ft!G$7)/(1+Ft!G$39*($A284-Ft!G$2)^2)+Ft!G$7*EXP(Ft!G$40*($A284-Ft!G$2)^2)))</f>
        <v>27.805813589223792</v>
      </c>
      <c r="L284" s="3">
        <f>IF(($A284-Ft!H$2)&lt;0,Ft!H$3*((1-Ft!H$6)/(1+Ft!H$37*($A284-Ft!H$2)^2)+Ft!H$6*EXP(Ft!H$38*($A284-Ft!H$2)^2)),Ft!H$3*((1-Ft!H$7)/(1+Ft!H$39*($A284-Ft!H$2)^2)+Ft!H$7*EXP(Ft!H$40*($A284-Ft!H$2)^2)))</f>
        <v>0</v>
      </c>
      <c r="M284" s="3">
        <f>IF(($A284-Ft!I$2)&lt;0,Ft!I$3*((1-Ft!I$6)/(1+Ft!I$37*($A284-Ft!I$2)^2)+Ft!I$6*EXP(Ft!I$38*($A284-Ft!I$2)^2)),Ft!I$3*((1-Ft!I$7)/(1+Ft!I$39*($A284-Ft!I$2)^2)+Ft!I$7*EXP(Ft!I$40*($A284-Ft!I$2)^2)))</f>
        <v>0</v>
      </c>
      <c r="N284" s="3">
        <f>IF(($A284-Ft!J$2)&lt;0,Ft!J$3*((1-Ft!J$6)/(1+Ft!J$37*($A284-Ft!J$2)^2)+Ft!J$6*EXP(Ft!J$38*($A284-Ft!J$2)^2)),Ft!J$3*((1-Ft!J$7)/(1+Ft!J$39*($A284-Ft!J$2)^2)+Ft!J$7*EXP(Ft!J$40*($A284-Ft!J$2)^2)))</f>
        <v>0</v>
      </c>
      <c r="O284" s="3">
        <f>IF(($A284-Ft!K$2)&lt;0,Ft!K$3*((1-Ft!K$6)/(1+Ft!K$37*($A284-Ft!K$2)^2)+Ft!K$6*EXP(Ft!K$38*($A284-Ft!K$2)^2)),Ft!K$3*((1-Ft!K$7)/(1+Ft!K$39*($A284-Ft!K$2)^2)+Ft!K$7*EXP(Ft!K$40*($A284-Ft!K$2)^2)))</f>
        <v>0</v>
      </c>
      <c r="P284"/>
      <c r="Q284"/>
    </row>
    <row r="285" spans="1:17">
      <c r="A285" s="20">
        <v>567</v>
      </c>
      <c r="B285" s="29">
        <v>52.358123774370924</v>
      </c>
      <c r="C285" s="7">
        <f t="shared" si="9"/>
        <v>52.298939710564838</v>
      </c>
      <c r="D285" s="3">
        <f t="shared" si="8"/>
        <v>3.5027534086028438E-3</v>
      </c>
      <c r="E285" s="3">
        <f>Ft!$B$12+Ft!$B$14*(Data!A285-Vars!$B$3)</f>
        <v>-200</v>
      </c>
      <c r="F285" s="3">
        <f>IF(($A285-Ft!B$2)&lt;0,Ft!B$3*((1-Ft!B$6)/(1+Ft!B$37*($A285-Ft!B$2)^2)+Ft!B$6*EXP(Ft!B$38*($A285-Ft!B$2)^2)),Ft!B$3*((1-Ft!B$7)/(1+Ft!B$39*($A285-Ft!B$2)^2)+Ft!B$7*EXP(Ft!B$40*($A285-Ft!B$2)^2)))</f>
        <v>40.980441116012081</v>
      </c>
      <c r="G285" s="3">
        <f>IF(($A285-Ft!C$2)&lt;0,Ft!C$3*((1-Ft!C$6)/(1+Ft!C$37*($A285-Ft!C$2)^2)+Ft!C$6*EXP(Ft!C$38*($A285-Ft!C$2)^2)),Ft!C$3*((1-Ft!C$7)/(1+Ft!C$39*($A285-Ft!C$2)^2)+Ft!C$7*EXP(Ft!C$40*($A285-Ft!C$2)^2)))</f>
        <v>49.699569649114721</v>
      </c>
      <c r="H285" s="3">
        <f>IF(($A285-Ft!D$2)&lt;0,Ft!D$3*((1-Ft!D$6)/(1+Ft!D$37*($A285-Ft!D$2)^2)+Ft!D$6*EXP(Ft!D$38*($A285-Ft!D$2)^2)),Ft!D$3*((1-Ft!D$7)/(1+Ft!D$39*($A285-Ft!D$2)^2)+Ft!D$7*EXP(Ft!D$40*($A285-Ft!D$2)^2)))</f>
        <v>1.0338461898335089E-5</v>
      </c>
      <c r="I285" s="3">
        <f>IF(($A285-Ft!E$2)&lt;0,Ft!E$3*((1-Ft!E$6)/(1+Ft!E$37*($A285-Ft!E$2)^2)+Ft!E$6*EXP(Ft!E$38*($A285-Ft!E$2)^2)),Ft!E$3*((1-Ft!E$7)/(1+Ft!E$39*($A285-Ft!E$2)^2)+Ft!E$7*EXP(Ft!E$40*($A285-Ft!E$2)^2)))</f>
        <v>94.314972813149708</v>
      </c>
      <c r="J285" s="3">
        <f>IF(($A285-Ft!F$2)&lt;0,Ft!F$3*((1-Ft!F$6)/(1+Ft!F$37*($A285-Ft!F$2)^2)+Ft!F$6*EXP(Ft!F$38*($A285-Ft!F$2)^2)),Ft!F$3*((1-Ft!F$7)/(1+Ft!F$39*($A285-Ft!F$2)^2)+Ft!F$7*EXP(Ft!F$40*($A285-Ft!F$2)^2)))</f>
        <v>39.800045475661548</v>
      </c>
      <c r="K285" s="3">
        <f>IF(($A285-Ft!G$2)&lt;0,Ft!G$3*((1-Ft!G$6)/(1+Ft!G$37*($A285-Ft!G$2)^2)+Ft!G$6*EXP(Ft!G$38*($A285-Ft!G$2)^2)),Ft!G$3*((1-Ft!G$7)/(1+Ft!G$39*($A285-Ft!G$2)^2)+Ft!G$7*EXP(Ft!G$40*($A285-Ft!G$2)^2)))</f>
        <v>27.503900318164867</v>
      </c>
      <c r="L285" s="3">
        <f>IF(($A285-Ft!H$2)&lt;0,Ft!H$3*((1-Ft!H$6)/(1+Ft!H$37*($A285-Ft!H$2)^2)+Ft!H$6*EXP(Ft!H$38*($A285-Ft!H$2)^2)),Ft!H$3*((1-Ft!H$7)/(1+Ft!H$39*($A285-Ft!H$2)^2)+Ft!H$7*EXP(Ft!H$40*($A285-Ft!H$2)^2)))</f>
        <v>0</v>
      </c>
      <c r="M285" s="3">
        <f>IF(($A285-Ft!I$2)&lt;0,Ft!I$3*((1-Ft!I$6)/(1+Ft!I$37*($A285-Ft!I$2)^2)+Ft!I$6*EXP(Ft!I$38*($A285-Ft!I$2)^2)),Ft!I$3*((1-Ft!I$7)/(1+Ft!I$39*($A285-Ft!I$2)^2)+Ft!I$7*EXP(Ft!I$40*($A285-Ft!I$2)^2)))</f>
        <v>0</v>
      </c>
      <c r="N285" s="3">
        <f>IF(($A285-Ft!J$2)&lt;0,Ft!J$3*((1-Ft!J$6)/(1+Ft!J$37*($A285-Ft!J$2)^2)+Ft!J$6*EXP(Ft!J$38*($A285-Ft!J$2)^2)),Ft!J$3*((1-Ft!J$7)/(1+Ft!J$39*($A285-Ft!J$2)^2)+Ft!J$7*EXP(Ft!J$40*($A285-Ft!J$2)^2)))</f>
        <v>0</v>
      </c>
      <c r="O285" s="3">
        <f>IF(($A285-Ft!K$2)&lt;0,Ft!K$3*((1-Ft!K$6)/(1+Ft!K$37*($A285-Ft!K$2)^2)+Ft!K$6*EXP(Ft!K$38*($A285-Ft!K$2)^2)),Ft!K$3*((1-Ft!K$7)/(1+Ft!K$39*($A285-Ft!K$2)^2)+Ft!K$7*EXP(Ft!K$40*($A285-Ft!K$2)^2)))</f>
        <v>0</v>
      </c>
      <c r="P285"/>
      <c r="Q285"/>
    </row>
    <row r="286" spans="1:17">
      <c r="A286" s="20">
        <v>569</v>
      </c>
      <c r="B286" s="29">
        <v>52.486894133340883</v>
      </c>
      <c r="C286" s="7">
        <f t="shared" si="9"/>
        <v>52.415892227883148</v>
      </c>
      <c r="D286" s="3">
        <f t="shared" si="8"/>
        <v>5.0412705786290592E-3</v>
      </c>
      <c r="E286" s="3">
        <f>Ft!$B$12+Ft!$B$14*(Data!A286-Vars!$B$3)</f>
        <v>-200</v>
      </c>
      <c r="F286" s="3">
        <f>IF(($A286-Ft!B$2)&lt;0,Ft!B$3*((1-Ft!B$6)/(1+Ft!B$37*($A286-Ft!B$2)^2)+Ft!B$6*EXP(Ft!B$38*($A286-Ft!B$2)^2)),Ft!B$3*((1-Ft!B$7)/(1+Ft!B$39*($A286-Ft!B$2)^2)+Ft!B$7*EXP(Ft!B$40*($A286-Ft!B$2)^2)))</f>
        <v>40.672724193790437</v>
      </c>
      <c r="G286" s="3">
        <f>IF(($A286-Ft!C$2)&lt;0,Ft!C$3*((1-Ft!C$6)/(1+Ft!C$37*($A286-Ft!C$2)^2)+Ft!C$6*EXP(Ft!C$38*($A286-Ft!C$2)^2)),Ft!C$3*((1-Ft!C$7)/(1+Ft!C$39*($A286-Ft!C$2)^2)+Ft!C$7*EXP(Ft!C$40*($A286-Ft!C$2)^2)))</f>
        <v>49.772994114564632</v>
      </c>
      <c r="H286" s="3">
        <f>IF(($A286-Ft!D$2)&lt;0,Ft!D$3*((1-Ft!D$6)/(1+Ft!D$37*($A286-Ft!D$2)^2)+Ft!D$6*EXP(Ft!D$38*($A286-Ft!D$2)^2)),Ft!D$3*((1-Ft!D$7)/(1+Ft!D$39*($A286-Ft!D$2)^2)+Ft!D$7*EXP(Ft!D$40*($A286-Ft!D$2)^2)))</f>
        <v>7.1562075066829983E-6</v>
      </c>
      <c r="I286" s="3">
        <f>IF(($A286-Ft!E$2)&lt;0,Ft!E$3*((1-Ft!E$6)/(1+Ft!E$37*($A286-Ft!E$2)^2)+Ft!E$6*EXP(Ft!E$38*($A286-Ft!E$2)^2)),Ft!E$3*((1-Ft!E$7)/(1+Ft!E$39*($A286-Ft!E$2)^2)+Ft!E$7*EXP(Ft!E$40*($A286-Ft!E$2)^2)))</f>
        <v>94.731098488098212</v>
      </c>
      <c r="J286" s="3">
        <f>IF(($A286-Ft!F$2)&lt;0,Ft!F$3*((1-Ft!F$6)/(1+Ft!F$37*($A286-Ft!F$2)^2)+Ft!F$6*EXP(Ft!F$38*($A286-Ft!F$2)^2)),Ft!F$3*((1-Ft!F$7)/(1+Ft!F$39*($A286-Ft!F$2)^2)+Ft!F$7*EXP(Ft!F$40*($A286-Ft!F$2)^2)))</f>
        <v>40.036626801722576</v>
      </c>
      <c r="K286" s="3">
        <f>IF(($A286-Ft!G$2)&lt;0,Ft!G$3*((1-Ft!G$6)/(1+Ft!G$37*($A286-Ft!G$2)^2)+Ft!G$6*EXP(Ft!G$38*($A286-Ft!G$2)^2)),Ft!G$3*((1-Ft!G$7)/(1+Ft!G$39*($A286-Ft!G$2)^2)+Ft!G$7*EXP(Ft!G$40*($A286-Ft!G$2)^2)))</f>
        <v>27.2024414734998</v>
      </c>
      <c r="L286" s="3">
        <f>IF(($A286-Ft!H$2)&lt;0,Ft!H$3*((1-Ft!H$6)/(1+Ft!H$37*($A286-Ft!H$2)^2)+Ft!H$6*EXP(Ft!H$38*($A286-Ft!H$2)^2)),Ft!H$3*((1-Ft!H$7)/(1+Ft!H$39*($A286-Ft!H$2)^2)+Ft!H$7*EXP(Ft!H$40*($A286-Ft!H$2)^2)))</f>
        <v>0</v>
      </c>
      <c r="M286" s="3">
        <f>IF(($A286-Ft!I$2)&lt;0,Ft!I$3*((1-Ft!I$6)/(1+Ft!I$37*($A286-Ft!I$2)^2)+Ft!I$6*EXP(Ft!I$38*($A286-Ft!I$2)^2)),Ft!I$3*((1-Ft!I$7)/(1+Ft!I$39*($A286-Ft!I$2)^2)+Ft!I$7*EXP(Ft!I$40*($A286-Ft!I$2)^2)))</f>
        <v>0</v>
      </c>
      <c r="N286" s="3">
        <f>IF(($A286-Ft!J$2)&lt;0,Ft!J$3*((1-Ft!J$6)/(1+Ft!J$37*($A286-Ft!J$2)^2)+Ft!J$6*EXP(Ft!J$38*($A286-Ft!J$2)^2)),Ft!J$3*((1-Ft!J$7)/(1+Ft!J$39*($A286-Ft!J$2)^2)+Ft!J$7*EXP(Ft!J$40*($A286-Ft!J$2)^2)))</f>
        <v>0</v>
      </c>
      <c r="O286" s="3">
        <f>IF(($A286-Ft!K$2)&lt;0,Ft!K$3*((1-Ft!K$6)/(1+Ft!K$37*($A286-Ft!K$2)^2)+Ft!K$6*EXP(Ft!K$38*($A286-Ft!K$2)^2)),Ft!K$3*((1-Ft!K$7)/(1+Ft!K$39*($A286-Ft!K$2)^2)+Ft!K$7*EXP(Ft!K$40*($A286-Ft!K$2)^2)))</f>
        <v>0</v>
      </c>
      <c r="P286"/>
      <c r="Q286"/>
    </row>
    <row r="287" spans="1:17">
      <c r="A287" s="20">
        <v>571</v>
      </c>
      <c r="B287" s="29">
        <v>52.614008036358598</v>
      </c>
      <c r="C287" s="7">
        <f t="shared" si="9"/>
        <v>52.531760690588115</v>
      </c>
      <c r="D287" s="3">
        <f t="shared" si="8"/>
        <v>6.7646258862894028E-3</v>
      </c>
      <c r="E287" s="3">
        <f>Ft!$B$12+Ft!$B$14*(Data!A287-Vars!$B$3)</f>
        <v>-200</v>
      </c>
      <c r="F287" s="3">
        <f>IF(($A287-Ft!B$2)&lt;0,Ft!B$3*((1-Ft!B$6)/(1+Ft!B$37*($A287-Ft!B$2)^2)+Ft!B$6*EXP(Ft!B$38*($A287-Ft!B$2)^2)),Ft!B$3*((1-Ft!B$7)/(1+Ft!B$39*($A287-Ft!B$2)^2)+Ft!B$7*EXP(Ft!B$40*($A287-Ft!B$2)^2)))</f>
        <v>40.366547405484496</v>
      </c>
      <c r="G287" s="3">
        <f>IF(($A287-Ft!C$2)&lt;0,Ft!C$3*((1-Ft!C$6)/(1+Ft!C$37*($A287-Ft!C$2)^2)+Ft!C$6*EXP(Ft!C$38*($A287-Ft!C$2)^2)),Ft!C$3*((1-Ft!C$7)/(1+Ft!C$39*($A287-Ft!C$2)^2)+Ft!C$7*EXP(Ft!C$40*($A287-Ft!C$2)^2)))</f>
        <v>49.846086624166659</v>
      </c>
      <c r="H287" s="3">
        <f>IF(($A287-Ft!D$2)&lt;0,Ft!D$3*((1-Ft!D$6)/(1+Ft!D$37*($A287-Ft!D$2)^2)+Ft!D$6*EXP(Ft!D$38*($A287-Ft!D$2)^2)),Ft!D$3*((1-Ft!D$7)/(1+Ft!D$39*($A287-Ft!D$2)^2)+Ft!D$7*EXP(Ft!D$40*($A287-Ft!D$2)^2)))</f>
        <v>4.9262223011497095E-6</v>
      </c>
      <c r="I287" s="3">
        <f>IF(($A287-Ft!E$2)&lt;0,Ft!E$3*((1-Ft!E$6)/(1+Ft!E$37*($A287-Ft!E$2)^2)+Ft!E$6*EXP(Ft!E$38*($A287-Ft!E$2)^2)),Ft!E$3*((1-Ft!E$7)/(1+Ft!E$39*($A287-Ft!E$2)^2)+Ft!E$7*EXP(Ft!E$40*($A287-Ft!E$2)^2)))</f>
        <v>95.143543429104483</v>
      </c>
      <c r="J287" s="3">
        <f>IF(($A287-Ft!F$2)&lt;0,Ft!F$3*((1-Ft!F$6)/(1+Ft!F$37*($A287-Ft!F$2)^2)+Ft!F$6*EXP(Ft!F$38*($A287-Ft!F$2)^2)),Ft!F$3*((1-Ft!F$7)/(1+Ft!F$39*($A287-Ft!F$2)^2)+Ft!F$7*EXP(Ft!F$40*($A287-Ft!F$2)^2)))</f>
        <v>40.274083995312324</v>
      </c>
      <c r="K287" s="3">
        <f>IF(($A287-Ft!G$2)&lt;0,Ft!G$3*((1-Ft!G$6)/(1+Ft!G$37*($A287-Ft!G$2)^2)+Ft!G$6*EXP(Ft!G$38*($A287-Ft!G$2)^2)),Ft!G$3*((1-Ft!G$7)/(1+Ft!G$39*($A287-Ft!G$2)^2)+Ft!G$7*EXP(Ft!G$40*($A287-Ft!G$2)^2)))</f>
        <v>26.901494310297867</v>
      </c>
      <c r="L287" s="3">
        <f>IF(($A287-Ft!H$2)&lt;0,Ft!H$3*((1-Ft!H$6)/(1+Ft!H$37*($A287-Ft!H$2)^2)+Ft!H$6*EXP(Ft!H$38*($A287-Ft!H$2)^2)),Ft!H$3*((1-Ft!H$7)/(1+Ft!H$39*($A287-Ft!H$2)^2)+Ft!H$7*EXP(Ft!H$40*($A287-Ft!H$2)^2)))</f>
        <v>0</v>
      </c>
      <c r="M287" s="3">
        <f>IF(($A287-Ft!I$2)&lt;0,Ft!I$3*((1-Ft!I$6)/(1+Ft!I$37*($A287-Ft!I$2)^2)+Ft!I$6*EXP(Ft!I$38*($A287-Ft!I$2)^2)),Ft!I$3*((1-Ft!I$7)/(1+Ft!I$39*($A287-Ft!I$2)^2)+Ft!I$7*EXP(Ft!I$40*($A287-Ft!I$2)^2)))</f>
        <v>0</v>
      </c>
      <c r="N287" s="3">
        <f>IF(($A287-Ft!J$2)&lt;0,Ft!J$3*((1-Ft!J$6)/(1+Ft!J$37*($A287-Ft!J$2)^2)+Ft!J$6*EXP(Ft!J$38*($A287-Ft!J$2)^2)),Ft!J$3*((1-Ft!J$7)/(1+Ft!J$39*($A287-Ft!J$2)^2)+Ft!J$7*EXP(Ft!J$40*($A287-Ft!J$2)^2)))</f>
        <v>0</v>
      </c>
      <c r="O287" s="3">
        <f>IF(($A287-Ft!K$2)&lt;0,Ft!K$3*((1-Ft!K$6)/(1+Ft!K$37*($A287-Ft!K$2)^2)+Ft!K$6*EXP(Ft!K$38*($A287-Ft!K$2)^2)),Ft!K$3*((1-Ft!K$7)/(1+Ft!K$39*($A287-Ft!K$2)^2)+Ft!K$7*EXP(Ft!K$40*($A287-Ft!K$2)^2)))</f>
        <v>0</v>
      </c>
      <c r="P287"/>
      <c r="Q287"/>
    </row>
    <row r="288" spans="1:17">
      <c r="A288" s="20">
        <v>573</v>
      </c>
      <c r="B288" s="29">
        <v>52.739435929456278</v>
      </c>
      <c r="C288" s="7">
        <f t="shared" si="9"/>
        <v>52.646534523682561</v>
      </c>
      <c r="D288" s="3">
        <f t="shared" si="8"/>
        <v>8.6306711947326895E-3</v>
      </c>
      <c r="E288" s="3">
        <f>Ft!$B$12+Ft!$B$14*(Data!A288-Vars!$B$3)</f>
        <v>-200</v>
      </c>
      <c r="F288" s="3">
        <f>IF(($A288-Ft!B$2)&lt;0,Ft!B$3*((1-Ft!B$6)/(1+Ft!B$37*($A288-Ft!B$2)^2)+Ft!B$6*EXP(Ft!B$38*($A288-Ft!B$2)^2)),Ft!B$3*((1-Ft!B$7)/(1+Ft!B$39*($A288-Ft!B$2)^2)+Ft!B$7*EXP(Ft!B$40*($A288-Ft!B$2)^2)))</f>
        <v>40.061910800982552</v>
      </c>
      <c r="G288" s="3">
        <f>IF(($A288-Ft!C$2)&lt;0,Ft!C$3*((1-Ft!C$6)/(1+Ft!C$37*($A288-Ft!C$2)^2)+Ft!C$6*EXP(Ft!C$38*($A288-Ft!C$2)^2)),Ft!C$3*((1-Ft!C$7)/(1+Ft!C$39*($A288-Ft!C$2)^2)+Ft!C$7*EXP(Ft!C$40*($A288-Ft!C$2)^2)))</f>
        <v>49.918845397837451</v>
      </c>
      <c r="H288" s="3">
        <f>IF(($A288-Ft!D$2)&lt;0,Ft!D$3*((1-Ft!D$6)/(1+Ft!D$37*($A288-Ft!D$2)^2)+Ft!D$6*EXP(Ft!D$38*($A288-Ft!D$2)^2)),Ft!D$3*((1-Ft!D$7)/(1+Ft!D$39*($A288-Ft!D$2)^2)+Ft!D$7*EXP(Ft!D$40*($A288-Ft!D$2)^2)))</f>
        <v>3.3724783767375571E-6</v>
      </c>
      <c r="I288" s="3">
        <f>IF(($A288-Ft!E$2)&lt;0,Ft!E$3*((1-Ft!E$6)/(1+Ft!E$37*($A288-Ft!E$2)^2)+Ft!E$6*EXP(Ft!E$38*($A288-Ft!E$2)^2)),Ft!E$3*((1-Ft!E$7)/(1+Ft!E$39*($A288-Ft!E$2)^2)+Ft!E$7*EXP(Ft!E$40*($A288-Ft!E$2)^2)))</f>
        <v>95.55224367980793</v>
      </c>
      <c r="J288" s="3">
        <f>IF(($A288-Ft!F$2)&lt;0,Ft!F$3*((1-Ft!F$6)/(1+Ft!F$37*($A288-Ft!F$2)^2)+Ft!F$6*EXP(Ft!F$38*($A288-Ft!F$2)^2)),Ft!F$3*((1-Ft!F$7)/(1+Ft!F$39*($A288-Ft!F$2)^2)+Ft!F$7*EXP(Ft!F$40*($A288-Ft!F$2)^2)))</f>
        <v>40.512415977866617</v>
      </c>
      <c r="K288" s="3">
        <f>IF(($A288-Ft!G$2)&lt;0,Ft!G$3*((1-Ft!G$6)/(1+Ft!G$37*($A288-Ft!G$2)^2)+Ft!G$6*EXP(Ft!G$38*($A288-Ft!G$2)^2)),Ft!G$3*((1-Ft!G$7)/(1+Ft!G$39*($A288-Ft!G$2)^2)+Ft!G$7*EXP(Ft!G$40*($A288-Ft!G$2)^2)))</f>
        <v>26.601115294709619</v>
      </c>
      <c r="L288" s="3">
        <f>IF(($A288-Ft!H$2)&lt;0,Ft!H$3*((1-Ft!H$6)/(1+Ft!H$37*($A288-Ft!H$2)^2)+Ft!H$6*EXP(Ft!H$38*($A288-Ft!H$2)^2)),Ft!H$3*((1-Ft!H$7)/(1+Ft!H$39*($A288-Ft!H$2)^2)+Ft!H$7*EXP(Ft!H$40*($A288-Ft!H$2)^2)))</f>
        <v>0</v>
      </c>
      <c r="M288" s="3">
        <f>IF(($A288-Ft!I$2)&lt;0,Ft!I$3*((1-Ft!I$6)/(1+Ft!I$37*($A288-Ft!I$2)^2)+Ft!I$6*EXP(Ft!I$38*($A288-Ft!I$2)^2)),Ft!I$3*((1-Ft!I$7)/(1+Ft!I$39*($A288-Ft!I$2)^2)+Ft!I$7*EXP(Ft!I$40*($A288-Ft!I$2)^2)))</f>
        <v>0</v>
      </c>
      <c r="N288" s="3">
        <f>IF(($A288-Ft!J$2)&lt;0,Ft!J$3*((1-Ft!J$6)/(1+Ft!J$37*($A288-Ft!J$2)^2)+Ft!J$6*EXP(Ft!J$38*($A288-Ft!J$2)^2)),Ft!J$3*((1-Ft!J$7)/(1+Ft!J$39*($A288-Ft!J$2)^2)+Ft!J$7*EXP(Ft!J$40*($A288-Ft!J$2)^2)))</f>
        <v>0</v>
      </c>
      <c r="O288" s="3">
        <f>IF(($A288-Ft!K$2)&lt;0,Ft!K$3*((1-Ft!K$6)/(1+Ft!K$37*($A288-Ft!K$2)^2)+Ft!K$6*EXP(Ft!K$38*($A288-Ft!K$2)^2)),Ft!K$3*((1-Ft!K$7)/(1+Ft!K$39*($A288-Ft!K$2)^2)+Ft!K$7*EXP(Ft!K$40*($A288-Ft!K$2)^2)))</f>
        <v>0</v>
      </c>
      <c r="P288"/>
      <c r="Q288"/>
    </row>
    <row r="289" spans="1:17">
      <c r="A289" s="20">
        <v>575</v>
      </c>
      <c r="B289" s="29">
        <v>52.863150761471104</v>
      </c>
      <c r="C289" s="7">
        <f t="shared" si="9"/>
        <v>52.760202678924799</v>
      </c>
      <c r="D289" s="3">
        <f t="shared" si="8"/>
        <v>1.0598307699960908E-2</v>
      </c>
      <c r="E289" s="3">
        <f>Ft!$B$12+Ft!$B$14*(Data!A289-Vars!$B$3)</f>
        <v>-200</v>
      </c>
      <c r="F289" s="3">
        <f>IF(($A289-Ft!B$2)&lt;0,Ft!B$3*((1-Ft!B$6)/(1+Ft!B$37*($A289-Ft!B$2)^2)+Ft!B$6*EXP(Ft!B$38*($A289-Ft!B$2)^2)),Ft!B$3*((1-Ft!B$7)/(1+Ft!B$39*($A289-Ft!B$2)^2)+Ft!B$7*EXP(Ft!B$40*($A289-Ft!B$2)^2)))</f>
        <v>39.75881434193942</v>
      </c>
      <c r="G289" s="3">
        <f>IF(($A289-Ft!C$2)&lt;0,Ft!C$3*((1-Ft!C$6)/(1+Ft!C$37*($A289-Ft!C$2)^2)+Ft!C$6*EXP(Ft!C$38*($A289-Ft!C$2)^2)),Ft!C$3*((1-Ft!C$7)/(1+Ft!C$39*($A289-Ft!C$2)^2)+Ft!C$7*EXP(Ft!C$40*($A289-Ft!C$2)^2)))</f>
        <v>49.991268661740307</v>
      </c>
      <c r="H289" s="3">
        <f>IF(($A289-Ft!D$2)&lt;0,Ft!D$3*((1-Ft!D$6)/(1+Ft!D$37*($A289-Ft!D$2)^2)+Ft!D$6*EXP(Ft!D$38*($A289-Ft!D$2)^2)),Ft!D$3*((1-Ft!D$7)/(1+Ft!D$39*($A289-Ft!D$2)^2)+Ft!D$7*EXP(Ft!D$40*($A289-Ft!D$2)^2)))</f>
        <v>2.296087470637078E-6</v>
      </c>
      <c r="I289" s="3">
        <f>IF(($A289-Ft!E$2)&lt;0,Ft!E$3*((1-Ft!E$6)/(1+Ft!E$37*($A289-Ft!E$2)^2)+Ft!E$6*EXP(Ft!E$38*($A289-Ft!E$2)^2)),Ft!E$3*((1-Ft!E$7)/(1+Ft!E$39*($A289-Ft!E$2)^2)+Ft!E$7*EXP(Ft!E$40*($A289-Ft!E$2)^2)))</f>
        <v>95.957135660010252</v>
      </c>
      <c r="J289" s="3">
        <f>IF(($A289-Ft!F$2)&lt;0,Ft!F$3*((1-Ft!F$6)/(1+Ft!F$37*($A289-Ft!F$2)^2)+Ft!F$6*EXP(Ft!F$38*($A289-Ft!F$2)^2)),Ft!F$3*((1-Ft!F$7)/(1+Ft!F$39*($A289-Ft!F$2)^2)+Ft!F$7*EXP(Ft!F$40*($A289-Ft!F$2)^2)))</f>
        <v>40.751621629765445</v>
      </c>
      <c r="K289" s="3">
        <f>IF(($A289-Ft!G$2)&lt;0,Ft!G$3*((1-Ft!G$6)/(1+Ft!G$37*($A289-Ft!G$2)^2)+Ft!G$6*EXP(Ft!G$38*($A289-Ft!G$2)^2)),Ft!G$3*((1-Ft!G$7)/(1+Ft!G$39*($A289-Ft!G$2)^2)+Ft!G$7*EXP(Ft!G$40*($A289-Ft!G$2)^2)))</f>
        <v>26.301360089381898</v>
      </c>
      <c r="L289" s="3">
        <f>IF(($A289-Ft!H$2)&lt;0,Ft!H$3*((1-Ft!H$6)/(1+Ft!H$37*($A289-Ft!H$2)^2)+Ft!H$6*EXP(Ft!H$38*($A289-Ft!H$2)^2)),Ft!H$3*((1-Ft!H$7)/(1+Ft!H$39*($A289-Ft!H$2)^2)+Ft!H$7*EXP(Ft!H$40*($A289-Ft!H$2)^2)))</f>
        <v>0</v>
      </c>
      <c r="M289" s="3">
        <f>IF(($A289-Ft!I$2)&lt;0,Ft!I$3*((1-Ft!I$6)/(1+Ft!I$37*($A289-Ft!I$2)^2)+Ft!I$6*EXP(Ft!I$38*($A289-Ft!I$2)^2)),Ft!I$3*((1-Ft!I$7)/(1+Ft!I$39*($A289-Ft!I$2)^2)+Ft!I$7*EXP(Ft!I$40*($A289-Ft!I$2)^2)))</f>
        <v>0</v>
      </c>
      <c r="N289" s="3">
        <f>IF(($A289-Ft!J$2)&lt;0,Ft!J$3*((1-Ft!J$6)/(1+Ft!J$37*($A289-Ft!J$2)^2)+Ft!J$6*EXP(Ft!J$38*($A289-Ft!J$2)^2)),Ft!J$3*((1-Ft!J$7)/(1+Ft!J$39*($A289-Ft!J$2)^2)+Ft!J$7*EXP(Ft!J$40*($A289-Ft!J$2)^2)))</f>
        <v>0</v>
      </c>
      <c r="O289" s="3">
        <f>IF(($A289-Ft!K$2)&lt;0,Ft!K$3*((1-Ft!K$6)/(1+Ft!K$37*($A289-Ft!K$2)^2)+Ft!K$6*EXP(Ft!K$38*($A289-Ft!K$2)^2)),Ft!K$3*((1-Ft!K$7)/(1+Ft!K$39*($A289-Ft!K$2)^2)+Ft!K$7*EXP(Ft!K$40*($A289-Ft!K$2)^2)))</f>
        <v>0</v>
      </c>
      <c r="P289"/>
      <c r="Q289"/>
    </row>
    <row r="290" spans="1:17">
      <c r="A290" s="20">
        <v>577</v>
      </c>
      <c r="B290" s="29">
        <v>52.985127646031472</v>
      </c>
      <c r="C290" s="7">
        <f t="shared" si="9"/>
        <v>52.872753617116054</v>
      </c>
      <c r="D290" s="3">
        <f t="shared" si="8"/>
        <v>1.2627922374683308E-2</v>
      </c>
      <c r="E290" s="3">
        <f>Ft!$B$12+Ft!$B$14*(Data!A290-Vars!$B$3)</f>
        <v>-200</v>
      </c>
      <c r="F290" s="3">
        <f>IF(($A290-Ft!B$2)&lt;0,Ft!B$3*((1-Ft!B$6)/(1+Ft!B$37*($A290-Ft!B$2)^2)+Ft!B$6*EXP(Ft!B$38*($A290-Ft!B$2)^2)),Ft!B$3*((1-Ft!B$7)/(1+Ft!B$39*($A290-Ft!B$2)^2)+Ft!B$7*EXP(Ft!B$40*($A290-Ft!B$2)^2)))</f>
        <v>39.457257902445093</v>
      </c>
      <c r="G290" s="3">
        <f>IF(($A290-Ft!C$2)&lt;0,Ft!C$3*((1-Ft!C$6)/(1+Ft!C$37*($A290-Ft!C$2)^2)+Ft!C$6*EXP(Ft!C$38*($A290-Ft!C$2)^2)),Ft!C$3*((1-Ft!C$7)/(1+Ft!C$39*($A290-Ft!C$2)^2)+Ft!C$7*EXP(Ft!C$40*($A290-Ft!C$2)^2)))</f>
        <v>50.063354648357091</v>
      </c>
      <c r="H290" s="3">
        <f>IF(($A290-Ft!D$2)&lt;0,Ft!D$3*((1-Ft!D$6)/(1+Ft!D$37*($A290-Ft!D$2)^2)+Ft!D$6*EXP(Ft!D$38*($A290-Ft!D$2)^2)),Ft!D$3*((1-Ft!D$7)/(1+Ft!D$39*($A290-Ft!D$2)^2)+Ft!D$7*EXP(Ft!D$40*($A290-Ft!D$2)^2)))</f>
        <v>1.5546469197448111E-6</v>
      </c>
      <c r="I290" s="3">
        <f>IF(($A290-Ft!E$2)&lt;0,Ft!E$3*((1-Ft!E$6)/(1+Ft!E$37*($A290-Ft!E$2)^2)+Ft!E$6*EXP(Ft!E$38*($A290-Ft!E$2)^2)),Ft!E$3*((1-Ft!E$7)/(1+Ft!E$39*($A290-Ft!E$2)^2)+Ft!E$7*EXP(Ft!E$40*($A290-Ft!E$2)^2)))</f>
        <v>96.358156182068271</v>
      </c>
      <c r="J290" s="3">
        <f>IF(($A290-Ft!F$2)&lt;0,Ft!F$3*((1-Ft!F$6)/(1+Ft!F$37*($A290-Ft!F$2)^2)+Ft!F$6*EXP(Ft!F$38*($A290-Ft!F$2)^2)),Ft!F$3*((1-Ft!F$7)/(1+Ft!F$39*($A290-Ft!F$2)^2)+Ft!F$7*EXP(Ft!F$40*($A290-Ft!F$2)^2)))</f>
        <v>40.991699790149127</v>
      </c>
      <c r="K290" s="3">
        <f>IF(($A290-Ft!G$2)&lt;0,Ft!G$3*((1-Ft!G$6)/(1+Ft!G$37*($A290-Ft!G$2)^2)+Ft!G$6*EXP(Ft!G$38*($A290-Ft!G$2)^2)),Ft!G$3*((1-Ft!G$7)/(1+Ft!G$39*($A290-Ft!G$2)^2)+Ft!G$7*EXP(Ft!G$40*($A290-Ft!G$2)^2)))</f>
        <v>26.002283539449557</v>
      </c>
      <c r="L290" s="3">
        <f>IF(($A290-Ft!H$2)&lt;0,Ft!H$3*((1-Ft!H$6)/(1+Ft!H$37*($A290-Ft!H$2)^2)+Ft!H$6*EXP(Ft!H$38*($A290-Ft!H$2)^2)),Ft!H$3*((1-Ft!H$7)/(1+Ft!H$39*($A290-Ft!H$2)^2)+Ft!H$7*EXP(Ft!H$40*($A290-Ft!H$2)^2)))</f>
        <v>0</v>
      </c>
      <c r="M290" s="3">
        <f>IF(($A290-Ft!I$2)&lt;0,Ft!I$3*((1-Ft!I$6)/(1+Ft!I$37*($A290-Ft!I$2)^2)+Ft!I$6*EXP(Ft!I$38*($A290-Ft!I$2)^2)),Ft!I$3*((1-Ft!I$7)/(1+Ft!I$39*($A290-Ft!I$2)^2)+Ft!I$7*EXP(Ft!I$40*($A290-Ft!I$2)^2)))</f>
        <v>0</v>
      </c>
      <c r="N290" s="3">
        <f>IF(($A290-Ft!J$2)&lt;0,Ft!J$3*((1-Ft!J$6)/(1+Ft!J$37*($A290-Ft!J$2)^2)+Ft!J$6*EXP(Ft!J$38*($A290-Ft!J$2)^2)),Ft!J$3*((1-Ft!J$7)/(1+Ft!J$39*($A290-Ft!J$2)^2)+Ft!J$7*EXP(Ft!J$40*($A290-Ft!J$2)^2)))</f>
        <v>0</v>
      </c>
      <c r="O290" s="3">
        <f>IF(($A290-Ft!K$2)&lt;0,Ft!K$3*((1-Ft!K$6)/(1+Ft!K$37*($A290-Ft!K$2)^2)+Ft!K$6*EXP(Ft!K$38*($A290-Ft!K$2)^2)),Ft!K$3*((1-Ft!K$7)/(1+Ft!K$39*($A290-Ft!K$2)^2)+Ft!K$7*EXP(Ft!K$40*($A290-Ft!K$2)^2)))</f>
        <v>0</v>
      </c>
      <c r="P290"/>
      <c r="Q290"/>
    </row>
    <row r="291" spans="1:17">
      <c r="A291" s="20">
        <v>579</v>
      </c>
      <c r="B291" s="29">
        <v>53.105343561798691</v>
      </c>
      <c r="C291" s="7">
        <f t="shared" si="9"/>
        <v>52.984175296178933</v>
      </c>
      <c r="D291" s="3">
        <f t="shared" si="8"/>
        <v>1.4681748593300261E-2</v>
      </c>
      <c r="E291" s="3">
        <f>Ft!$B$12+Ft!$B$14*(Data!A291-Vars!$B$3)</f>
        <v>-200</v>
      </c>
      <c r="F291" s="3">
        <f>IF(($A291-Ft!B$2)&lt;0,Ft!B$3*((1-Ft!B$6)/(1+Ft!B$37*($A291-Ft!B$2)^2)+Ft!B$6*EXP(Ft!B$38*($A291-Ft!B$2)^2)),Ft!B$3*((1-Ft!B$7)/(1+Ft!B$39*($A291-Ft!B$2)^2)+Ft!B$7*EXP(Ft!B$40*($A291-Ft!B$2)^2)))</f>
        <v>39.157241269696918</v>
      </c>
      <c r="G291" s="3">
        <f>IF(($A291-Ft!C$2)&lt;0,Ft!C$3*((1-Ft!C$6)/(1+Ft!C$37*($A291-Ft!C$2)^2)+Ft!C$6*EXP(Ft!C$38*($A291-Ft!C$2)^2)),Ft!C$3*((1-Ft!C$7)/(1+Ft!C$39*($A291-Ft!C$2)^2)+Ft!C$7*EXP(Ft!C$40*($A291-Ft!C$2)^2)))</f>
        <v>50.135101596559835</v>
      </c>
      <c r="H291" s="3">
        <f>IF(($A291-Ft!D$2)&lt;0,Ft!D$3*((1-Ft!D$6)/(1+Ft!D$37*($A291-Ft!D$2)^2)+Ft!D$6*EXP(Ft!D$38*($A291-Ft!D$2)^2)),Ft!D$3*((1-Ft!D$7)/(1+Ft!D$39*($A291-Ft!D$2)^2)+Ft!D$7*EXP(Ft!D$40*($A291-Ft!D$2)^2)))</f>
        <v>1.0468373268746902E-6</v>
      </c>
      <c r="I291" s="3">
        <f>IF(($A291-Ft!E$2)&lt;0,Ft!E$3*((1-Ft!E$6)/(1+Ft!E$37*($A291-Ft!E$2)^2)+Ft!E$6*EXP(Ft!E$38*($A291-Ft!E$2)^2)),Ft!E$3*((1-Ft!E$7)/(1+Ft!E$39*($A291-Ft!E$2)^2)+Ft!E$7*EXP(Ft!E$40*($A291-Ft!E$2)^2)))</f>
        <v>96.755242467242482</v>
      </c>
      <c r="J291" s="3">
        <f>IF(($A291-Ft!F$2)&lt;0,Ft!F$3*((1-Ft!F$6)/(1+Ft!F$37*($A291-Ft!F$2)^2)+Ft!F$6*EXP(Ft!F$38*($A291-Ft!F$2)^2)),Ft!F$3*((1-Ft!F$7)/(1+Ft!F$39*($A291-Ft!F$2)^2)+Ft!F$7*EXP(Ft!F$40*($A291-Ft!F$2)^2)))</f>
        <v>41.23264925673616</v>
      </c>
      <c r="K291" s="3">
        <f>IF(($A291-Ft!G$2)&lt;0,Ft!G$3*((1-Ft!G$6)/(1+Ft!G$37*($A291-Ft!G$2)^2)+Ft!G$6*EXP(Ft!G$38*($A291-Ft!G$2)^2)),Ft!G$3*((1-Ft!G$7)/(1+Ft!G$39*($A291-Ft!G$2)^2)+Ft!G$7*EXP(Ft!G$40*($A291-Ft!G$2)^2)))</f>
        <v>25.703939659106208</v>
      </c>
      <c r="L291" s="3">
        <f>IF(($A291-Ft!H$2)&lt;0,Ft!H$3*((1-Ft!H$6)/(1+Ft!H$37*($A291-Ft!H$2)^2)+Ft!H$6*EXP(Ft!H$38*($A291-Ft!H$2)^2)),Ft!H$3*((1-Ft!H$7)/(1+Ft!H$39*($A291-Ft!H$2)^2)+Ft!H$7*EXP(Ft!H$40*($A291-Ft!H$2)^2)))</f>
        <v>0</v>
      </c>
      <c r="M291" s="3">
        <f>IF(($A291-Ft!I$2)&lt;0,Ft!I$3*((1-Ft!I$6)/(1+Ft!I$37*($A291-Ft!I$2)^2)+Ft!I$6*EXP(Ft!I$38*($A291-Ft!I$2)^2)),Ft!I$3*((1-Ft!I$7)/(1+Ft!I$39*($A291-Ft!I$2)^2)+Ft!I$7*EXP(Ft!I$40*($A291-Ft!I$2)^2)))</f>
        <v>0</v>
      </c>
      <c r="N291" s="3">
        <f>IF(($A291-Ft!J$2)&lt;0,Ft!J$3*((1-Ft!J$6)/(1+Ft!J$37*($A291-Ft!J$2)^2)+Ft!J$6*EXP(Ft!J$38*($A291-Ft!J$2)^2)),Ft!J$3*((1-Ft!J$7)/(1+Ft!J$39*($A291-Ft!J$2)^2)+Ft!J$7*EXP(Ft!J$40*($A291-Ft!J$2)^2)))</f>
        <v>0</v>
      </c>
      <c r="O291" s="3">
        <f>IF(($A291-Ft!K$2)&lt;0,Ft!K$3*((1-Ft!K$6)/(1+Ft!K$37*($A291-Ft!K$2)^2)+Ft!K$6*EXP(Ft!K$38*($A291-Ft!K$2)^2)),Ft!K$3*((1-Ft!K$7)/(1+Ft!K$39*($A291-Ft!K$2)^2)+Ft!K$7*EXP(Ft!K$40*($A291-Ft!K$2)^2)))</f>
        <v>0</v>
      </c>
      <c r="P291"/>
      <c r="Q291"/>
    </row>
    <row r="292" spans="1:17">
      <c r="A292" s="20">
        <v>581</v>
      </c>
      <c r="B292" s="29">
        <v>53.22377708846895</v>
      </c>
      <c r="C292" s="7">
        <f t="shared" si="9"/>
        <v>53.094455163771649</v>
      </c>
      <c r="D292" s="3">
        <f t="shared" si="8"/>
        <v>1.6724160207414383E-2</v>
      </c>
      <c r="E292" s="3">
        <f>Ft!$B$12+Ft!$B$14*(Data!A292-Vars!$B$3)</f>
        <v>-200</v>
      </c>
      <c r="F292" s="3">
        <f>IF(($A292-Ft!B$2)&lt;0,Ft!B$3*((1-Ft!B$6)/(1+Ft!B$37*($A292-Ft!B$2)^2)+Ft!B$6*EXP(Ft!B$38*($A292-Ft!B$2)^2)),Ft!B$3*((1-Ft!B$7)/(1+Ft!B$39*($A292-Ft!B$2)^2)+Ft!B$7*EXP(Ft!B$40*($A292-Ft!B$2)^2)))</f>
        <v>38.858764144674716</v>
      </c>
      <c r="G292" s="3">
        <f>IF(($A292-Ft!C$2)&lt;0,Ft!C$3*((1-Ft!C$6)/(1+Ft!C$37*($A292-Ft!C$2)^2)+Ft!C$6*EXP(Ft!C$38*($A292-Ft!C$2)^2)),Ft!C$3*((1-Ft!C$7)/(1+Ft!C$39*($A292-Ft!C$2)^2)+Ft!C$7*EXP(Ft!C$40*($A292-Ft!C$2)^2)))</f>
        <v>50.20650775168231</v>
      </c>
      <c r="H292" s="3">
        <f>IF(($A292-Ft!D$2)&lt;0,Ft!D$3*((1-Ft!D$6)/(1+Ft!D$37*($A292-Ft!D$2)^2)+Ft!D$6*EXP(Ft!D$38*($A292-Ft!D$2)^2)),Ft!D$3*((1-Ft!D$7)/(1+Ft!D$39*($A292-Ft!D$2)^2)+Ft!D$7*EXP(Ft!D$40*($A292-Ft!D$2)^2)))</f>
        <v>7.010204962893533E-7</v>
      </c>
      <c r="I292" s="3">
        <f>IF(($A292-Ft!E$2)&lt;0,Ft!E$3*((1-Ft!E$6)/(1+Ft!E$37*($A292-Ft!E$2)^2)+Ft!E$6*EXP(Ft!E$38*($A292-Ft!E$2)^2)),Ft!E$3*((1-Ft!E$7)/(1+Ft!E$39*($A292-Ft!E$2)^2)+Ft!E$7*EXP(Ft!E$40*($A292-Ft!E$2)^2)))</f>
        <v>97.148332161995668</v>
      </c>
      <c r="J292" s="3">
        <f>IF(($A292-Ft!F$2)&lt;0,Ft!F$3*((1-Ft!F$6)/(1+Ft!F$37*($A292-Ft!F$2)^2)+Ft!F$6*EXP(Ft!F$38*($A292-Ft!F$2)^2)),Ft!F$3*((1-Ft!F$7)/(1+Ft!F$39*($A292-Ft!F$2)^2)+Ft!F$7*EXP(Ft!F$40*($A292-Ft!F$2)^2)))</f>
        <v>41.474468785642742</v>
      </c>
      <c r="K292" s="3">
        <f>IF(($A292-Ft!G$2)&lt;0,Ft!G$3*((1-Ft!G$6)/(1+Ft!G$37*($A292-Ft!G$2)^2)+Ft!G$6*EXP(Ft!G$38*($A292-Ft!G$2)^2)),Ft!G$3*((1-Ft!G$7)/(1+Ft!G$39*($A292-Ft!G$2)^2)+Ft!G$7*EXP(Ft!G$40*($A292-Ft!G$2)^2)))</f>
        <v>25.406381618755709</v>
      </c>
      <c r="L292" s="3">
        <f>IF(($A292-Ft!H$2)&lt;0,Ft!H$3*((1-Ft!H$6)/(1+Ft!H$37*($A292-Ft!H$2)^2)+Ft!H$6*EXP(Ft!H$38*($A292-Ft!H$2)^2)),Ft!H$3*((1-Ft!H$7)/(1+Ft!H$39*($A292-Ft!H$2)^2)+Ft!H$7*EXP(Ft!H$40*($A292-Ft!H$2)^2)))</f>
        <v>0</v>
      </c>
      <c r="M292" s="3">
        <f>IF(($A292-Ft!I$2)&lt;0,Ft!I$3*((1-Ft!I$6)/(1+Ft!I$37*($A292-Ft!I$2)^2)+Ft!I$6*EXP(Ft!I$38*($A292-Ft!I$2)^2)),Ft!I$3*((1-Ft!I$7)/(1+Ft!I$39*($A292-Ft!I$2)^2)+Ft!I$7*EXP(Ft!I$40*($A292-Ft!I$2)^2)))</f>
        <v>0</v>
      </c>
      <c r="N292" s="3">
        <f>IF(($A292-Ft!J$2)&lt;0,Ft!J$3*((1-Ft!J$6)/(1+Ft!J$37*($A292-Ft!J$2)^2)+Ft!J$6*EXP(Ft!J$38*($A292-Ft!J$2)^2)),Ft!J$3*((1-Ft!J$7)/(1+Ft!J$39*($A292-Ft!J$2)^2)+Ft!J$7*EXP(Ft!J$40*($A292-Ft!J$2)^2)))</f>
        <v>0</v>
      </c>
      <c r="O292" s="3">
        <f>IF(($A292-Ft!K$2)&lt;0,Ft!K$3*((1-Ft!K$6)/(1+Ft!K$37*($A292-Ft!K$2)^2)+Ft!K$6*EXP(Ft!K$38*($A292-Ft!K$2)^2)),Ft!K$3*((1-Ft!K$7)/(1+Ft!K$39*($A292-Ft!K$2)^2)+Ft!K$7*EXP(Ft!K$40*($A292-Ft!K$2)^2)))</f>
        <v>0</v>
      </c>
      <c r="P292"/>
      <c r="Q292"/>
    </row>
    <row r="293" spans="1:17">
      <c r="A293" s="20">
        <v>583</v>
      </c>
      <c r="B293" s="29">
        <v>53.34040817582671</v>
      </c>
      <c r="C293" s="7">
        <f t="shared" si="9"/>
        <v>53.203580153455484</v>
      </c>
      <c r="D293" s="3">
        <f t="shared" si="8"/>
        <v>1.8721907706020766E-2</v>
      </c>
      <c r="E293" s="3">
        <f>Ft!$B$12+Ft!$B$14*(Data!A293-Vars!$B$3)</f>
        <v>-200</v>
      </c>
      <c r="F293" s="3">
        <f>IF(($A293-Ft!B$2)&lt;0,Ft!B$3*((1-Ft!B$6)/(1+Ft!B$37*($A293-Ft!B$2)^2)+Ft!B$6*EXP(Ft!B$38*($A293-Ft!B$2)^2)),Ft!B$3*((1-Ft!B$7)/(1+Ft!B$39*($A293-Ft!B$2)^2)+Ft!B$7*EXP(Ft!B$40*($A293-Ft!B$2)^2)))</f>
        <v>38.561826142819186</v>
      </c>
      <c r="G293" s="3">
        <f>IF(($A293-Ft!C$2)&lt;0,Ft!C$3*((1-Ft!C$6)/(1+Ft!C$37*($A293-Ft!C$2)^2)+Ft!C$6*EXP(Ft!C$38*($A293-Ft!C$2)^2)),Ft!C$3*((1-Ft!C$7)/(1+Ft!C$39*($A293-Ft!C$2)^2)+Ft!C$7*EXP(Ft!C$40*($A293-Ft!C$2)^2)))</f>
        <v>50.277571365591321</v>
      </c>
      <c r="H293" s="3">
        <f>IF(($A293-Ft!D$2)&lt;0,Ft!D$3*((1-Ft!D$6)/(1+Ft!D$37*($A293-Ft!D$2)^2)+Ft!D$6*EXP(Ft!D$38*($A293-Ft!D$2)^2)),Ft!D$3*((1-Ft!D$7)/(1+Ft!D$39*($A293-Ft!D$2)^2)+Ft!D$7*EXP(Ft!D$40*($A293-Ft!D$2)^2)))</f>
        <v>4.6685962752942059E-7</v>
      </c>
      <c r="I293" s="3">
        <f>IF(($A293-Ft!E$2)&lt;0,Ft!E$3*((1-Ft!E$6)/(1+Ft!E$37*($A293-Ft!E$2)^2)+Ft!E$6*EXP(Ft!E$38*($A293-Ft!E$2)^2)),Ft!E$3*((1-Ft!E$7)/(1+Ft!E$39*($A293-Ft!E$2)^2)+Ft!E$7*EXP(Ft!E$40*($A293-Ft!E$2)^2)))</f>
        <v>97.537363354235595</v>
      </c>
      <c r="J293" s="3">
        <f>IF(($A293-Ft!F$2)&lt;0,Ft!F$3*((1-Ft!F$6)/(1+Ft!F$37*($A293-Ft!F$2)^2)+Ft!F$6*EXP(Ft!F$38*($A293-Ft!F$2)^2)),Ft!F$3*((1-Ft!F$7)/(1+Ft!F$39*($A293-Ft!F$2)^2)+Ft!F$7*EXP(Ft!F$40*($A293-Ft!F$2)^2)))</f>
        <v>41.717157091203937</v>
      </c>
      <c r="K293" s="3">
        <f>IF(($A293-Ft!G$2)&lt;0,Ft!G$3*((1-Ft!G$6)/(1+Ft!G$37*($A293-Ft!G$2)^2)+Ft!G$6*EXP(Ft!G$38*($A293-Ft!G$2)^2)),Ft!G$3*((1-Ft!G$7)/(1+Ft!G$39*($A293-Ft!G$2)^2)+Ft!G$7*EXP(Ft!G$40*($A293-Ft!G$2)^2)))</f>
        <v>25.109661732745806</v>
      </c>
      <c r="L293" s="3">
        <f>IF(($A293-Ft!H$2)&lt;0,Ft!H$3*((1-Ft!H$6)/(1+Ft!H$37*($A293-Ft!H$2)^2)+Ft!H$6*EXP(Ft!H$38*($A293-Ft!H$2)^2)),Ft!H$3*((1-Ft!H$7)/(1+Ft!H$39*($A293-Ft!H$2)^2)+Ft!H$7*EXP(Ft!H$40*($A293-Ft!H$2)^2)))</f>
        <v>0</v>
      </c>
      <c r="M293" s="3">
        <f>IF(($A293-Ft!I$2)&lt;0,Ft!I$3*((1-Ft!I$6)/(1+Ft!I$37*($A293-Ft!I$2)^2)+Ft!I$6*EXP(Ft!I$38*($A293-Ft!I$2)^2)),Ft!I$3*((1-Ft!I$7)/(1+Ft!I$39*($A293-Ft!I$2)^2)+Ft!I$7*EXP(Ft!I$40*($A293-Ft!I$2)^2)))</f>
        <v>0</v>
      </c>
      <c r="N293" s="3">
        <f>IF(($A293-Ft!J$2)&lt;0,Ft!J$3*((1-Ft!J$6)/(1+Ft!J$37*($A293-Ft!J$2)^2)+Ft!J$6*EXP(Ft!J$38*($A293-Ft!J$2)^2)),Ft!J$3*((1-Ft!J$7)/(1+Ft!J$39*($A293-Ft!J$2)^2)+Ft!J$7*EXP(Ft!J$40*($A293-Ft!J$2)^2)))</f>
        <v>0</v>
      </c>
      <c r="O293" s="3">
        <f>IF(($A293-Ft!K$2)&lt;0,Ft!K$3*((1-Ft!K$6)/(1+Ft!K$37*($A293-Ft!K$2)^2)+Ft!K$6*EXP(Ft!K$38*($A293-Ft!K$2)^2)),Ft!K$3*((1-Ft!K$7)/(1+Ft!K$39*($A293-Ft!K$2)^2)+Ft!K$7*EXP(Ft!K$40*($A293-Ft!K$2)^2)))</f>
        <v>0</v>
      </c>
      <c r="P293"/>
      <c r="Q293"/>
    </row>
    <row r="294" spans="1:17">
      <c r="A294" s="20">
        <v>585</v>
      </c>
      <c r="B294" s="29">
        <v>53.455217943036715</v>
      </c>
      <c r="C294" s="7">
        <f t="shared" si="9"/>
        <v>53.311536683653031</v>
      </c>
      <c r="D294" s="3">
        <f t="shared" ref="D294:D357" si="10">(C294-B294)^2</f>
        <v>2.0644304298081301E-2</v>
      </c>
      <c r="E294" s="3">
        <f>Ft!$B$12+Ft!$B$14*(Data!A294-Vars!$B$3)</f>
        <v>-200</v>
      </c>
      <c r="F294" s="3">
        <f>IF(($A294-Ft!B$2)&lt;0,Ft!B$3*((1-Ft!B$6)/(1+Ft!B$37*($A294-Ft!B$2)^2)+Ft!B$6*EXP(Ft!B$38*($A294-Ft!B$2)^2)),Ft!B$3*((1-Ft!B$7)/(1+Ft!B$39*($A294-Ft!B$2)^2)+Ft!B$7*EXP(Ft!B$40*($A294-Ft!B$2)^2)))</f>
        <v>38.266426794713141</v>
      </c>
      <c r="G294" s="3">
        <f>IF(($A294-Ft!C$2)&lt;0,Ft!C$3*((1-Ft!C$6)/(1+Ft!C$37*($A294-Ft!C$2)^2)+Ft!C$6*EXP(Ft!C$38*($A294-Ft!C$2)^2)),Ft!C$3*((1-Ft!C$7)/(1+Ft!C$39*($A294-Ft!C$2)^2)+Ft!C$7*EXP(Ft!C$40*($A294-Ft!C$2)^2)))</f>
        <v>50.348290696757829</v>
      </c>
      <c r="H294" s="3">
        <f>IF(($A294-Ft!D$2)&lt;0,Ft!D$3*((1-Ft!D$6)/(1+Ft!D$37*($A294-Ft!D$2)^2)+Ft!D$6*EXP(Ft!D$38*($A294-Ft!D$2)^2)),Ft!D$3*((1-Ft!D$7)/(1+Ft!D$39*($A294-Ft!D$2)^2)+Ft!D$7*EXP(Ft!D$40*($A294-Ft!D$2)^2)))</f>
        <v>3.0920464506554357E-7</v>
      </c>
      <c r="I294" s="3">
        <f>IF(($A294-Ft!E$2)&lt;0,Ft!E$3*((1-Ft!E$6)/(1+Ft!E$37*($A294-Ft!E$2)^2)+Ft!E$6*EXP(Ft!E$38*($A294-Ft!E$2)^2)),Ft!E$3*((1-Ft!E$7)/(1+Ft!E$39*($A294-Ft!E$2)^2)+Ft!E$7*EXP(Ft!E$40*($A294-Ft!E$2)^2)))</f>
        <v>97.922274589496027</v>
      </c>
      <c r="J294" s="3">
        <f>IF(($A294-Ft!F$2)&lt;0,Ft!F$3*((1-Ft!F$6)/(1+Ft!F$37*($A294-Ft!F$2)^2)+Ft!F$6*EXP(Ft!F$38*($A294-Ft!F$2)^2)),Ft!F$3*((1-Ft!F$7)/(1+Ft!F$39*($A294-Ft!F$2)^2)+Ft!F$7*EXP(Ft!F$40*($A294-Ft!F$2)^2)))</f>
        <v>41.96071284579655</v>
      </c>
      <c r="K294" s="3">
        <f>IF(($A294-Ft!G$2)&lt;0,Ft!G$3*((1-Ft!G$6)/(1+Ft!G$37*($A294-Ft!G$2)^2)+Ft!G$6*EXP(Ft!G$38*($A294-Ft!G$2)^2)),Ft!G$3*((1-Ft!G$7)/(1+Ft!G$39*($A294-Ft!G$2)^2)+Ft!G$7*EXP(Ft!G$40*($A294-Ft!G$2)^2)))</f>
        <v>24.813831447684834</v>
      </c>
      <c r="L294" s="3">
        <f>IF(($A294-Ft!H$2)&lt;0,Ft!H$3*((1-Ft!H$6)/(1+Ft!H$37*($A294-Ft!H$2)^2)+Ft!H$6*EXP(Ft!H$38*($A294-Ft!H$2)^2)),Ft!H$3*((1-Ft!H$7)/(1+Ft!H$39*($A294-Ft!H$2)^2)+Ft!H$7*EXP(Ft!H$40*($A294-Ft!H$2)^2)))</f>
        <v>0</v>
      </c>
      <c r="M294" s="3">
        <f>IF(($A294-Ft!I$2)&lt;0,Ft!I$3*((1-Ft!I$6)/(1+Ft!I$37*($A294-Ft!I$2)^2)+Ft!I$6*EXP(Ft!I$38*($A294-Ft!I$2)^2)),Ft!I$3*((1-Ft!I$7)/(1+Ft!I$39*($A294-Ft!I$2)^2)+Ft!I$7*EXP(Ft!I$40*($A294-Ft!I$2)^2)))</f>
        <v>0</v>
      </c>
      <c r="N294" s="3">
        <f>IF(($A294-Ft!J$2)&lt;0,Ft!J$3*((1-Ft!J$6)/(1+Ft!J$37*($A294-Ft!J$2)^2)+Ft!J$6*EXP(Ft!J$38*($A294-Ft!J$2)^2)),Ft!J$3*((1-Ft!J$7)/(1+Ft!J$39*($A294-Ft!J$2)^2)+Ft!J$7*EXP(Ft!J$40*($A294-Ft!J$2)^2)))</f>
        <v>0</v>
      </c>
      <c r="O294" s="3">
        <f>IF(($A294-Ft!K$2)&lt;0,Ft!K$3*((1-Ft!K$6)/(1+Ft!K$37*($A294-Ft!K$2)^2)+Ft!K$6*EXP(Ft!K$38*($A294-Ft!K$2)^2)),Ft!K$3*((1-Ft!K$7)/(1+Ft!K$39*($A294-Ft!K$2)^2)+Ft!K$7*EXP(Ft!K$40*($A294-Ft!K$2)^2)))</f>
        <v>0</v>
      </c>
      <c r="P294"/>
      <c r="Q294"/>
    </row>
    <row r="295" spans="1:17">
      <c r="A295" s="20">
        <v>587</v>
      </c>
      <c r="B295" s="29">
        <v>53.568188505344651</v>
      </c>
      <c r="C295" s="7">
        <f t="shared" si="9"/>
        <v>53.418310658810995</v>
      </c>
      <c r="D295" s="3">
        <f t="shared" si="10"/>
        <v>2.2463368881566036E-2</v>
      </c>
      <c r="E295" s="3">
        <f>Ft!$B$12+Ft!$B$14*(Data!A295-Vars!$B$3)</f>
        <v>-200</v>
      </c>
      <c r="F295" s="3">
        <f>IF(($A295-Ft!B$2)&lt;0,Ft!B$3*((1-Ft!B$6)/(1+Ft!B$37*($A295-Ft!B$2)^2)+Ft!B$6*EXP(Ft!B$38*($A295-Ft!B$2)^2)),Ft!B$3*((1-Ft!B$7)/(1+Ft!B$39*($A295-Ft!B$2)^2)+Ft!B$7*EXP(Ft!B$40*($A295-Ft!B$2)^2)))</f>
        <v>37.972565546765566</v>
      </c>
      <c r="G295" s="3">
        <f>IF(($A295-Ft!C$2)&lt;0,Ft!C$3*((1-Ft!C$6)/(1+Ft!C$37*($A295-Ft!C$2)^2)+Ft!C$6*EXP(Ft!C$38*($A295-Ft!C$2)^2)),Ft!C$3*((1-Ft!C$7)/(1+Ft!C$39*($A295-Ft!C$2)^2)+Ft!C$7*EXP(Ft!C$40*($A295-Ft!C$2)^2)))</f>
        <v>50.418664010327902</v>
      </c>
      <c r="H295" s="3">
        <f>IF(($A295-Ft!D$2)&lt;0,Ft!D$3*((1-Ft!D$6)/(1+Ft!D$37*($A295-Ft!D$2)^2)+Ft!D$6*EXP(Ft!D$38*($A295-Ft!D$2)^2)),Ft!D$3*((1-Ft!D$7)/(1+Ft!D$39*($A295-Ft!D$2)^2)+Ft!D$7*EXP(Ft!D$40*($A295-Ft!D$2)^2)))</f>
        <v>2.0366189807001383E-7</v>
      </c>
      <c r="I295" s="3">
        <f>IF(($A295-Ft!E$2)&lt;0,Ft!E$3*((1-Ft!E$6)/(1+Ft!E$37*($A295-Ft!E$2)^2)+Ft!E$6*EXP(Ft!E$38*($A295-Ft!E$2)^2)),Ft!E$3*((1-Ft!E$7)/(1+Ft!E$39*($A295-Ft!E$2)^2)+Ft!E$7*EXP(Ft!E$40*($A295-Ft!E$2)^2)))</f>
        <v>98.303004887049951</v>
      </c>
      <c r="J295" s="3">
        <f>IF(($A295-Ft!F$2)&lt;0,Ft!F$3*((1-Ft!F$6)/(1+Ft!F$37*($A295-Ft!F$2)^2)+Ft!F$6*EXP(Ft!F$38*($A295-Ft!F$2)^2)),Ft!F$3*((1-Ft!F$7)/(1+Ft!F$39*($A295-Ft!F$2)^2)+Ft!F$7*EXP(Ft!F$40*($A295-Ft!F$2)^2)))</f>
        <v>42.2051346796638</v>
      </c>
      <c r="K295" s="3">
        <f>IF(($A295-Ft!G$2)&lt;0,Ft!G$3*((1-Ft!G$6)/(1+Ft!G$37*($A295-Ft!G$2)^2)+Ft!G$6*EXP(Ft!G$38*($A295-Ft!G$2)^2)),Ft!G$3*((1-Ft!G$7)/(1+Ft!G$39*($A295-Ft!G$2)^2)+Ft!G$7*EXP(Ft!G$40*($A295-Ft!G$2)^2)))</f>
        <v>24.518941331341878</v>
      </c>
      <c r="L295" s="3">
        <f>IF(($A295-Ft!H$2)&lt;0,Ft!H$3*((1-Ft!H$6)/(1+Ft!H$37*($A295-Ft!H$2)^2)+Ft!H$6*EXP(Ft!H$38*($A295-Ft!H$2)^2)),Ft!H$3*((1-Ft!H$7)/(1+Ft!H$39*($A295-Ft!H$2)^2)+Ft!H$7*EXP(Ft!H$40*($A295-Ft!H$2)^2)))</f>
        <v>0</v>
      </c>
      <c r="M295" s="3">
        <f>IF(($A295-Ft!I$2)&lt;0,Ft!I$3*((1-Ft!I$6)/(1+Ft!I$37*($A295-Ft!I$2)^2)+Ft!I$6*EXP(Ft!I$38*($A295-Ft!I$2)^2)),Ft!I$3*((1-Ft!I$7)/(1+Ft!I$39*($A295-Ft!I$2)^2)+Ft!I$7*EXP(Ft!I$40*($A295-Ft!I$2)^2)))</f>
        <v>0</v>
      </c>
      <c r="N295" s="3">
        <f>IF(($A295-Ft!J$2)&lt;0,Ft!J$3*((1-Ft!J$6)/(1+Ft!J$37*($A295-Ft!J$2)^2)+Ft!J$6*EXP(Ft!J$38*($A295-Ft!J$2)^2)),Ft!J$3*((1-Ft!J$7)/(1+Ft!J$39*($A295-Ft!J$2)^2)+Ft!J$7*EXP(Ft!J$40*($A295-Ft!J$2)^2)))</f>
        <v>0</v>
      </c>
      <c r="O295" s="3">
        <f>IF(($A295-Ft!K$2)&lt;0,Ft!K$3*((1-Ft!K$6)/(1+Ft!K$37*($A295-Ft!K$2)^2)+Ft!K$6*EXP(Ft!K$38*($A295-Ft!K$2)^2)),Ft!K$3*((1-Ft!K$7)/(1+Ft!K$39*($A295-Ft!K$2)^2)+Ft!K$7*EXP(Ft!K$40*($A295-Ft!K$2)^2)))</f>
        <v>0</v>
      </c>
      <c r="P295"/>
      <c r="Q295"/>
    </row>
    <row r="296" spans="1:17">
      <c r="A296" s="20">
        <v>589</v>
      </c>
      <c r="B296" s="29">
        <v>53.679302825412663</v>
      </c>
      <c r="C296" s="7">
        <f t="shared" si="9"/>
        <v>53.52388747232051</v>
      </c>
      <c r="D296" s="3">
        <f t="shared" si="10"/>
        <v>2.4153931976758431E-2</v>
      </c>
      <c r="E296" s="3">
        <f>Ft!$B$12+Ft!$B$14*(Data!A296-Vars!$B$3)</f>
        <v>-200</v>
      </c>
      <c r="F296" s="3">
        <f>IF(($A296-Ft!B$2)&lt;0,Ft!B$3*((1-Ft!B$6)/(1+Ft!B$37*($A296-Ft!B$2)^2)+Ft!B$6*EXP(Ft!B$38*($A296-Ft!B$2)^2)),Ft!B$3*((1-Ft!B$7)/(1+Ft!B$39*($A296-Ft!B$2)^2)+Ft!B$7*EXP(Ft!B$40*($A296-Ft!B$2)^2)))</f>
        <v>37.680241761898657</v>
      </c>
      <c r="G296" s="3">
        <f>IF(($A296-Ft!C$2)&lt;0,Ft!C$3*((1-Ft!C$6)/(1+Ft!C$37*($A296-Ft!C$2)^2)+Ft!C$6*EXP(Ft!C$38*($A296-Ft!C$2)^2)),Ft!C$3*((1-Ft!C$7)/(1+Ft!C$39*($A296-Ft!C$2)^2)+Ft!C$7*EXP(Ft!C$40*($A296-Ft!C$2)^2)))</f>
        <v>50.488689578193451</v>
      </c>
      <c r="H296" s="3">
        <f>IF(($A296-Ft!D$2)&lt;0,Ft!D$3*((1-Ft!D$6)/(1+Ft!D$37*($A296-Ft!D$2)^2)+Ft!D$6*EXP(Ft!D$38*($A296-Ft!D$2)^2)),Ft!D$3*((1-Ft!D$7)/(1+Ft!D$39*($A296-Ft!D$2)^2)+Ft!D$7*EXP(Ft!D$40*($A296-Ft!D$2)^2)))</f>
        <v>1.3340670307731514E-7</v>
      </c>
      <c r="I296" s="3">
        <f>IF(($A296-Ft!E$2)&lt;0,Ft!E$3*((1-Ft!E$6)/(1+Ft!E$37*($A296-Ft!E$2)^2)+Ft!E$6*EXP(Ft!E$38*($A296-Ft!E$2)^2)),Ft!E$3*((1-Ft!E$7)/(1+Ft!E$39*($A296-Ft!E$2)^2)+Ft!E$7*EXP(Ft!E$40*($A296-Ft!E$2)^2)))</f>
        <v>98.679493755949409</v>
      </c>
      <c r="J296" s="3">
        <f>IF(($A296-Ft!F$2)&lt;0,Ft!F$3*((1-Ft!F$6)/(1+Ft!F$37*($A296-Ft!F$2)^2)+Ft!F$6*EXP(Ft!F$38*($A296-Ft!F$2)^2)),Ft!F$3*((1-Ft!F$7)/(1+Ft!F$39*($A296-Ft!F$2)^2)+Ft!F$7*EXP(Ft!F$40*($A296-Ft!F$2)^2)))</f>
        <v>42.450421180741664</v>
      </c>
      <c r="K296" s="3">
        <f>IF(($A296-Ft!G$2)&lt;0,Ft!G$3*((1-Ft!G$6)/(1+Ft!G$37*($A296-Ft!G$2)^2)+Ft!G$6*EXP(Ft!G$38*($A296-Ft!G$2)^2)),Ft!G$3*((1-Ft!G$7)/(1+Ft!G$39*($A296-Ft!G$2)^2)+Ft!G$7*EXP(Ft!G$40*($A296-Ft!G$2)^2)))</f>
        <v>24.225041062130618</v>
      </c>
      <c r="L296" s="3">
        <f>IF(($A296-Ft!H$2)&lt;0,Ft!H$3*((1-Ft!H$6)/(1+Ft!H$37*($A296-Ft!H$2)^2)+Ft!H$6*EXP(Ft!H$38*($A296-Ft!H$2)^2)),Ft!H$3*((1-Ft!H$7)/(1+Ft!H$39*($A296-Ft!H$2)^2)+Ft!H$7*EXP(Ft!H$40*($A296-Ft!H$2)^2)))</f>
        <v>0</v>
      </c>
      <c r="M296" s="3">
        <f>IF(($A296-Ft!I$2)&lt;0,Ft!I$3*((1-Ft!I$6)/(1+Ft!I$37*($A296-Ft!I$2)^2)+Ft!I$6*EXP(Ft!I$38*($A296-Ft!I$2)^2)),Ft!I$3*((1-Ft!I$7)/(1+Ft!I$39*($A296-Ft!I$2)^2)+Ft!I$7*EXP(Ft!I$40*($A296-Ft!I$2)^2)))</f>
        <v>0</v>
      </c>
      <c r="N296" s="3">
        <f>IF(($A296-Ft!J$2)&lt;0,Ft!J$3*((1-Ft!J$6)/(1+Ft!J$37*($A296-Ft!J$2)^2)+Ft!J$6*EXP(Ft!J$38*($A296-Ft!J$2)^2)),Ft!J$3*((1-Ft!J$7)/(1+Ft!J$39*($A296-Ft!J$2)^2)+Ft!J$7*EXP(Ft!J$40*($A296-Ft!J$2)^2)))</f>
        <v>0</v>
      </c>
      <c r="O296" s="3">
        <f>IF(($A296-Ft!K$2)&lt;0,Ft!K$3*((1-Ft!K$6)/(1+Ft!K$37*($A296-Ft!K$2)^2)+Ft!K$6*EXP(Ft!K$38*($A296-Ft!K$2)^2)),Ft!K$3*((1-Ft!K$7)/(1+Ft!K$39*($A296-Ft!K$2)^2)+Ft!K$7*EXP(Ft!K$40*($A296-Ft!K$2)^2)))</f>
        <v>0</v>
      </c>
      <c r="P296"/>
      <c r="Q296"/>
    </row>
    <row r="297" spans="1:17">
      <c r="A297" s="20">
        <v>591</v>
      </c>
      <c r="B297" s="29">
        <v>53.788544586625548</v>
      </c>
      <c r="C297" s="7">
        <f t="shared" si="9"/>
        <v>53.628252010855121</v>
      </c>
      <c r="D297" s="3">
        <f t="shared" si="10"/>
        <v>2.5693709847118079E-2</v>
      </c>
      <c r="E297" s="3">
        <f>Ft!$B$12+Ft!$B$14*(Data!A297-Vars!$B$3)</f>
        <v>-200</v>
      </c>
      <c r="F297" s="3">
        <f>IF(($A297-Ft!B$2)&lt;0,Ft!B$3*((1-Ft!B$6)/(1+Ft!B$37*($A297-Ft!B$2)^2)+Ft!B$6*EXP(Ft!B$38*($A297-Ft!B$2)^2)),Ft!B$3*((1-Ft!B$7)/(1+Ft!B$39*($A297-Ft!B$2)^2)+Ft!B$7*EXP(Ft!B$40*($A297-Ft!B$2)^2)))</f>
        <v>37.389454720237289</v>
      </c>
      <c r="G297" s="3">
        <f>IF(($A297-Ft!C$2)&lt;0,Ft!C$3*((1-Ft!C$6)/(1+Ft!C$37*($A297-Ft!C$2)^2)+Ft!C$6*EXP(Ft!C$38*($A297-Ft!C$2)^2)),Ft!C$3*((1-Ft!C$7)/(1+Ft!C$39*($A297-Ft!C$2)^2)+Ft!C$7*EXP(Ft!C$40*($A297-Ft!C$2)^2)))</f>
        <v>50.558365679062817</v>
      </c>
      <c r="H297" s="3">
        <f>IF(($A297-Ft!D$2)&lt;0,Ft!D$3*((1-Ft!D$6)/(1+Ft!D$37*($A297-Ft!D$2)^2)+Ft!D$6*EXP(Ft!D$38*($A297-Ft!D$2)^2)),Ft!D$3*((1-Ft!D$7)/(1+Ft!D$39*($A297-Ft!D$2)^2)+Ft!D$7*EXP(Ft!D$40*($A297-Ft!D$2)^2)))</f>
        <v>8.6905968341534432E-8</v>
      </c>
      <c r="I297" s="3">
        <f>IF(($A297-Ft!E$2)&lt;0,Ft!E$3*((1-Ft!E$6)/(1+Ft!E$37*($A297-Ft!E$2)^2)+Ft!E$6*EXP(Ft!E$38*($A297-Ft!E$2)^2)),Ft!E$3*((1-Ft!E$7)/(1+Ft!E$39*($A297-Ft!E$2)^2)+Ft!E$7*EXP(Ft!E$40*($A297-Ft!E$2)^2)))</f>
        <v>99.051681210985663</v>
      </c>
      <c r="J297" s="3">
        <f>IF(($A297-Ft!F$2)&lt;0,Ft!F$3*((1-Ft!F$6)/(1+Ft!F$37*($A297-Ft!F$2)^2)+Ft!F$6*EXP(Ft!F$38*($A297-Ft!F$2)^2)),Ft!F$3*((1-Ft!F$7)/(1+Ft!F$39*($A297-Ft!F$2)^2)+Ft!F$7*EXP(Ft!F$40*($A297-Ft!F$2)^2)))</f>
        <v>42.696570894487067</v>
      </c>
      <c r="K297" s="3">
        <f>IF(($A297-Ft!G$2)&lt;0,Ft!G$3*((1-Ft!G$6)/(1+Ft!G$37*($A297-Ft!G$2)^2)+Ft!G$6*EXP(Ft!G$38*($A297-Ft!G$2)^2)),Ft!G$3*((1-Ft!G$7)/(1+Ft!G$39*($A297-Ft!G$2)^2)+Ft!G$7*EXP(Ft!G$40*($A297-Ft!G$2)^2)))</f>
        <v>23.932179419176304</v>
      </c>
      <c r="L297" s="3">
        <f>IF(($A297-Ft!H$2)&lt;0,Ft!H$3*((1-Ft!H$6)/(1+Ft!H$37*($A297-Ft!H$2)^2)+Ft!H$6*EXP(Ft!H$38*($A297-Ft!H$2)^2)),Ft!H$3*((1-Ft!H$7)/(1+Ft!H$39*($A297-Ft!H$2)^2)+Ft!H$7*EXP(Ft!H$40*($A297-Ft!H$2)^2)))</f>
        <v>0</v>
      </c>
      <c r="M297" s="3">
        <f>IF(($A297-Ft!I$2)&lt;0,Ft!I$3*((1-Ft!I$6)/(1+Ft!I$37*($A297-Ft!I$2)^2)+Ft!I$6*EXP(Ft!I$38*($A297-Ft!I$2)^2)),Ft!I$3*((1-Ft!I$7)/(1+Ft!I$39*($A297-Ft!I$2)^2)+Ft!I$7*EXP(Ft!I$40*($A297-Ft!I$2)^2)))</f>
        <v>0</v>
      </c>
      <c r="N297" s="3">
        <f>IF(($A297-Ft!J$2)&lt;0,Ft!J$3*((1-Ft!J$6)/(1+Ft!J$37*($A297-Ft!J$2)^2)+Ft!J$6*EXP(Ft!J$38*($A297-Ft!J$2)^2)),Ft!J$3*((1-Ft!J$7)/(1+Ft!J$39*($A297-Ft!J$2)^2)+Ft!J$7*EXP(Ft!J$40*($A297-Ft!J$2)^2)))</f>
        <v>0</v>
      </c>
      <c r="O297" s="3">
        <f>IF(($A297-Ft!K$2)&lt;0,Ft!K$3*((1-Ft!K$6)/(1+Ft!K$37*($A297-Ft!K$2)^2)+Ft!K$6*EXP(Ft!K$38*($A297-Ft!K$2)^2)),Ft!K$3*((1-Ft!K$7)/(1+Ft!K$39*($A297-Ft!K$2)^2)+Ft!K$7*EXP(Ft!K$40*($A297-Ft!K$2)^2)))</f>
        <v>0</v>
      </c>
      <c r="P297"/>
      <c r="Q297"/>
    </row>
    <row r="298" spans="1:17">
      <c r="A298" s="20">
        <v>593</v>
      </c>
      <c r="B298" s="29">
        <v>53.895898085855407</v>
      </c>
      <c r="C298" s="7">
        <f t="shared" si="9"/>
        <v>53.731388659871925</v>
      </c>
      <c r="D298" s="3">
        <f t="shared" si="10"/>
        <v>2.7063351237414761E-2</v>
      </c>
      <c r="E298" s="3">
        <f>Ft!$B$12+Ft!$B$14*(Data!A298-Vars!$B$3)</f>
        <v>-200</v>
      </c>
      <c r="F298" s="3">
        <f>IF(($A298-Ft!B$2)&lt;0,Ft!B$3*((1-Ft!B$6)/(1+Ft!B$37*($A298-Ft!B$2)^2)+Ft!B$6*EXP(Ft!B$38*($A298-Ft!B$2)^2)),Ft!B$3*((1-Ft!B$7)/(1+Ft!B$39*($A298-Ft!B$2)^2)+Ft!B$7*EXP(Ft!B$40*($A298-Ft!B$2)^2)))</f>
        <v>37.100203619801164</v>
      </c>
      <c r="G298" s="3">
        <f>IF(($A298-Ft!C$2)&lt;0,Ft!C$3*((1-Ft!C$6)/(1+Ft!C$37*($A298-Ft!C$2)^2)+Ft!C$6*EXP(Ft!C$38*($A298-Ft!C$2)^2)),Ft!C$3*((1-Ft!C$7)/(1+Ft!C$39*($A298-Ft!C$2)^2)+Ft!C$7*EXP(Ft!C$40*($A298-Ft!C$2)^2)))</f>
        <v>50.627690598531061</v>
      </c>
      <c r="H298" s="3">
        <f>IF(($A298-Ft!D$2)&lt;0,Ft!D$3*((1-Ft!D$6)/(1+Ft!D$37*($A298-Ft!D$2)^2)+Ft!D$6*EXP(Ft!D$38*($A298-Ft!D$2)^2)),Ft!D$3*((1-Ft!D$7)/(1+Ft!D$39*($A298-Ft!D$2)^2)+Ft!D$7*EXP(Ft!D$40*($A298-Ft!D$2)^2)))</f>
        <v>5.6302235845535395E-8</v>
      </c>
      <c r="I298" s="3">
        <f>IF(($A298-Ft!E$2)&lt;0,Ft!E$3*((1-Ft!E$6)/(1+Ft!E$37*($A298-Ft!E$2)^2)+Ft!E$6*EXP(Ft!E$38*($A298-Ft!E$2)^2)),Ft!E$3*((1-Ft!E$7)/(1+Ft!E$39*($A298-Ft!E$2)^2)+Ft!E$7*EXP(Ft!E$40*($A298-Ft!E$2)^2)))</f>
        <v>99.419507788564388</v>
      </c>
      <c r="J298" s="3">
        <f>IF(($A298-Ft!F$2)&lt;0,Ft!F$3*((1-Ft!F$6)/(1+Ft!F$37*($A298-Ft!F$2)^2)+Ft!F$6*EXP(Ft!F$38*($A298-Ft!F$2)^2)),Ft!F$3*((1-Ft!F$7)/(1+Ft!F$39*($A298-Ft!F$2)^2)+Ft!F$7*EXP(Ft!F$40*($A298-Ft!F$2)^2)))</f>
        <v>42.943582323707822</v>
      </c>
      <c r="K298" s="3">
        <f>IF(($A298-Ft!G$2)&lt;0,Ft!G$3*((1-Ft!G$6)/(1+Ft!G$37*($A298-Ft!G$2)^2)+Ft!G$6*EXP(Ft!G$38*($A298-Ft!G$2)^2)),Ft!G$3*((1-Ft!G$7)/(1+Ft!G$39*($A298-Ft!G$2)^2)+Ft!G$7*EXP(Ft!G$40*($A298-Ft!G$2)^2)))</f>
        <v>23.640404272965245</v>
      </c>
      <c r="L298" s="3">
        <f>IF(($A298-Ft!H$2)&lt;0,Ft!H$3*((1-Ft!H$6)/(1+Ft!H$37*($A298-Ft!H$2)^2)+Ft!H$6*EXP(Ft!H$38*($A298-Ft!H$2)^2)),Ft!H$3*((1-Ft!H$7)/(1+Ft!H$39*($A298-Ft!H$2)^2)+Ft!H$7*EXP(Ft!H$40*($A298-Ft!H$2)^2)))</f>
        <v>0</v>
      </c>
      <c r="M298" s="3">
        <f>IF(($A298-Ft!I$2)&lt;0,Ft!I$3*((1-Ft!I$6)/(1+Ft!I$37*($A298-Ft!I$2)^2)+Ft!I$6*EXP(Ft!I$38*($A298-Ft!I$2)^2)),Ft!I$3*((1-Ft!I$7)/(1+Ft!I$39*($A298-Ft!I$2)^2)+Ft!I$7*EXP(Ft!I$40*($A298-Ft!I$2)^2)))</f>
        <v>0</v>
      </c>
      <c r="N298" s="3">
        <f>IF(($A298-Ft!J$2)&lt;0,Ft!J$3*((1-Ft!J$6)/(1+Ft!J$37*($A298-Ft!J$2)^2)+Ft!J$6*EXP(Ft!J$38*($A298-Ft!J$2)^2)),Ft!J$3*((1-Ft!J$7)/(1+Ft!J$39*($A298-Ft!J$2)^2)+Ft!J$7*EXP(Ft!J$40*($A298-Ft!J$2)^2)))</f>
        <v>0</v>
      </c>
      <c r="O298" s="3">
        <f>IF(($A298-Ft!K$2)&lt;0,Ft!K$3*((1-Ft!K$6)/(1+Ft!K$37*($A298-Ft!K$2)^2)+Ft!K$6*EXP(Ft!K$38*($A298-Ft!K$2)^2)),Ft!K$3*((1-Ft!K$7)/(1+Ft!K$39*($A298-Ft!K$2)^2)+Ft!K$7*EXP(Ft!K$40*($A298-Ft!K$2)^2)))</f>
        <v>0</v>
      </c>
      <c r="P298"/>
      <c r="Q298"/>
    </row>
    <row r="299" spans="1:17">
      <c r="A299" s="20">
        <v>595</v>
      </c>
      <c r="B299" s="29">
        <v>54.001348143352018</v>
      </c>
      <c r="C299" s="7">
        <f t="shared" si="9"/>
        <v>53.833281310083819</v>
      </c>
      <c r="D299" s="3">
        <f t="shared" si="10"/>
        <v>2.8246460444800579E-2</v>
      </c>
      <c r="E299" s="3">
        <f>Ft!$B$12+Ft!$B$14*(Data!A299-Vars!$B$3)</f>
        <v>-200</v>
      </c>
      <c r="F299" s="3">
        <f>IF(($A299-Ft!B$2)&lt;0,Ft!B$3*((1-Ft!B$6)/(1+Ft!B$37*($A299-Ft!B$2)^2)+Ft!B$6*EXP(Ft!B$38*($A299-Ft!B$2)^2)),Ft!B$3*((1-Ft!B$7)/(1+Ft!B$39*($A299-Ft!B$2)^2)+Ft!B$7*EXP(Ft!B$40*($A299-Ft!B$2)^2)))</f>
        <v>36.812487577199512</v>
      </c>
      <c r="G299" s="3">
        <f>IF(($A299-Ft!C$2)&lt;0,Ft!C$3*((1-Ft!C$6)/(1+Ft!C$37*($A299-Ft!C$2)^2)+Ft!C$6*EXP(Ft!C$38*($A299-Ft!C$2)^2)),Ft!C$3*((1-Ft!C$7)/(1+Ft!C$39*($A299-Ft!C$2)^2)+Ft!C$7*EXP(Ft!C$40*($A299-Ft!C$2)^2)))</f>
        <v>50.696662629150147</v>
      </c>
      <c r="H299" s="3">
        <f>IF(($A299-Ft!D$2)&lt;0,Ft!D$3*((1-Ft!D$6)/(1+Ft!D$37*($A299-Ft!D$2)^2)+Ft!D$6*EXP(Ft!D$38*($A299-Ft!D$2)^2)),Ft!D$3*((1-Ft!D$7)/(1+Ft!D$39*($A299-Ft!D$2)^2)+Ft!D$7*EXP(Ft!D$40*($A299-Ft!D$2)^2)))</f>
        <v>3.6274861873076521E-8</v>
      </c>
      <c r="I299" s="3">
        <f>IF(($A299-Ft!E$2)&lt;0,Ft!E$3*((1-Ft!E$6)/(1+Ft!E$37*($A299-Ft!E$2)^2)+Ft!E$6*EXP(Ft!E$38*($A299-Ft!E$2)^2)),Ft!E$3*((1-Ft!E$7)/(1+Ft!E$39*($A299-Ft!E$2)^2)+Ft!E$7*EXP(Ft!E$40*($A299-Ft!E$2)^2)))</f>
        <v>99.782914562489353</v>
      </c>
      <c r="J299" s="3">
        <f>IF(($A299-Ft!F$2)&lt;0,Ft!F$3*((1-Ft!F$6)/(1+Ft!F$37*($A299-Ft!F$2)^2)+Ft!F$6*EXP(Ft!F$38*($A299-Ft!F$2)^2)),Ft!F$3*((1-Ft!F$7)/(1+Ft!F$39*($A299-Ft!F$2)^2)+Ft!F$7*EXP(Ft!F$40*($A299-Ft!F$2)^2)))</f>
        <v>43.191453928394473</v>
      </c>
      <c r="K299" s="3">
        <f>IF(($A299-Ft!G$2)&lt;0,Ft!G$3*((1-Ft!G$6)/(1+Ft!G$37*($A299-Ft!G$2)^2)+Ft!G$6*EXP(Ft!G$38*($A299-Ft!G$2)^2)),Ft!G$3*((1-Ft!G$7)/(1+Ft!G$39*($A299-Ft!G$2)^2)+Ft!G$7*EXP(Ft!G$40*($A299-Ft!G$2)^2)))</f>
        <v>23.349762576575479</v>
      </c>
      <c r="L299" s="3">
        <f>IF(($A299-Ft!H$2)&lt;0,Ft!H$3*((1-Ft!H$6)/(1+Ft!H$37*($A299-Ft!H$2)^2)+Ft!H$6*EXP(Ft!H$38*($A299-Ft!H$2)^2)),Ft!H$3*((1-Ft!H$7)/(1+Ft!H$39*($A299-Ft!H$2)^2)+Ft!H$7*EXP(Ft!H$40*($A299-Ft!H$2)^2)))</f>
        <v>0</v>
      </c>
      <c r="M299" s="3">
        <f>IF(($A299-Ft!I$2)&lt;0,Ft!I$3*((1-Ft!I$6)/(1+Ft!I$37*($A299-Ft!I$2)^2)+Ft!I$6*EXP(Ft!I$38*($A299-Ft!I$2)^2)),Ft!I$3*((1-Ft!I$7)/(1+Ft!I$39*($A299-Ft!I$2)^2)+Ft!I$7*EXP(Ft!I$40*($A299-Ft!I$2)^2)))</f>
        <v>0</v>
      </c>
      <c r="N299" s="3">
        <f>IF(($A299-Ft!J$2)&lt;0,Ft!J$3*((1-Ft!J$6)/(1+Ft!J$37*($A299-Ft!J$2)^2)+Ft!J$6*EXP(Ft!J$38*($A299-Ft!J$2)^2)),Ft!J$3*((1-Ft!J$7)/(1+Ft!J$39*($A299-Ft!J$2)^2)+Ft!J$7*EXP(Ft!J$40*($A299-Ft!J$2)^2)))</f>
        <v>0</v>
      </c>
      <c r="O299" s="3">
        <f>IF(($A299-Ft!K$2)&lt;0,Ft!K$3*((1-Ft!K$6)/(1+Ft!K$37*($A299-Ft!K$2)^2)+Ft!K$6*EXP(Ft!K$38*($A299-Ft!K$2)^2)),Ft!K$3*((1-Ft!K$7)/(1+Ft!K$39*($A299-Ft!K$2)^2)+Ft!K$7*EXP(Ft!K$40*($A299-Ft!K$2)^2)))</f>
        <v>0</v>
      </c>
      <c r="P299"/>
      <c r="Q299"/>
    </row>
    <row r="300" spans="1:17">
      <c r="A300" s="20">
        <v>597</v>
      </c>
      <c r="B300" s="29">
        <v>54.104880027627075</v>
      </c>
      <c r="C300" s="7">
        <f t="shared" si="9"/>
        <v>53.933913364760137</v>
      </c>
      <c r="D300" s="3">
        <f t="shared" si="10"/>
        <v>2.9229599811857299E-2</v>
      </c>
      <c r="E300" s="3">
        <f>Ft!$B$12+Ft!$B$14*(Data!A300-Vars!$B$3)</f>
        <v>-200</v>
      </c>
      <c r="F300" s="3">
        <f>IF(($A300-Ft!B$2)&lt;0,Ft!B$3*((1-Ft!B$6)/(1+Ft!B$37*($A300-Ft!B$2)^2)+Ft!B$6*EXP(Ft!B$38*($A300-Ft!B$2)^2)),Ft!B$3*((1-Ft!B$7)/(1+Ft!B$39*($A300-Ft!B$2)^2)+Ft!B$7*EXP(Ft!B$40*($A300-Ft!B$2)^2)))</f>
        <v>36.526305628327961</v>
      </c>
      <c r="G300" s="3">
        <f>IF(($A300-Ft!C$2)&lt;0,Ft!C$3*((1-Ft!C$6)/(1+Ft!C$37*($A300-Ft!C$2)^2)+Ft!C$6*EXP(Ft!C$38*($A300-Ft!C$2)^2)),Ft!C$3*((1-Ft!C$7)/(1+Ft!C$39*($A300-Ft!C$2)^2)+Ft!C$7*EXP(Ft!C$40*($A300-Ft!C$2)^2)))</f>
        <v>50.765280070498832</v>
      </c>
      <c r="H300" s="3">
        <f>IF(($A300-Ft!D$2)&lt;0,Ft!D$3*((1-Ft!D$6)/(1+Ft!D$37*($A300-Ft!D$2)^2)+Ft!D$6*EXP(Ft!D$38*($A300-Ft!D$2)^2)),Ft!D$3*((1-Ft!D$7)/(1+Ft!D$39*($A300-Ft!D$2)^2)+Ft!D$7*EXP(Ft!D$40*($A300-Ft!D$2)^2)))</f>
        <v>2.3242882152690358E-8</v>
      </c>
      <c r="I300" s="3">
        <f>IF(($A300-Ft!E$2)&lt;0,Ft!E$3*((1-Ft!E$6)/(1+Ft!E$37*($A300-Ft!E$2)^2)+Ft!E$6*EXP(Ft!E$38*($A300-Ft!E$2)^2)),Ft!E$3*((1-Ft!E$7)/(1+Ft!E$39*($A300-Ft!E$2)^2)+Ft!E$7*EXP(Ft!E$40*($A300-Ft!E$2)^2)))</f>
        <v>100.14184315964937</v>
      </c>
      <c r="J300" s="3">
        <f>IF(($A300-Ft!F$2)&lt;0,Ft!F$3*((1-Ft!F$6)/(1+Ft!F$37*($A300-Ft!F$2)^2)+Ft!F$6*EXP(Ft!F$38*($A300-Ft!F$2)^2)),Ft!F$3*((1-Ft!F$7)/(1+Ft!F$39*($A300-Ft!F$2)^2)+Ft!F$7*EXP(Ft!F$40*($A300-Ft!F$2)^2)))</f>
        <v>43.440184125553955</v>
      </c>
      <c r="K300" s="3">
        <f>IF(($A300-Ft!G$2)&lt;0,Ft!G$3*((1-Ft!G$6)/(1+Ft!G$37*($A300-Ft!G$2)^2)+Ft!G$6*EXP(Ft!G$38*($A300-Ft!G$2)^2)),Ft!G$3*((1-Ft!G$7)/(1+Ft!G$39*($A300-Ft!G$2)^2)+Ft!G$7*EXP(Ft!G$40*($A300-Ft!G$2)^2)))</f>
        <v>23.060300357487129</v>
      </c>
      <c r="L300" s="3">
        <f>IF(($A300-Ft!H$2)&lt;0,Ft!H$3*((1-Ft!H$6)/(1+Ft!H$37*($A300-Ft!H$2)^2)+Ft!H$6*EXP(Ft!H$38*($A300-Ft!H$2)^2)),Ft!H$3*((1-Ft!H$7)/(1+Ft!H$39*($A300-Ft!H$2)^2)+Ft!H$7*EXP(Ft!H$40*($A300-Ft!H$2)^2)))</f>
        <v>0</v>
      </c>
      <c r="M300" s="3">
        <f>IF(($A300-Ft!I$2)&lt;0,Ft!I$3*((1-Ft!I$6)/(1+Ft!I$37*($A300-Ft!I$2)^2)+Ft!I$6*EXP(Ft!I$38*($A300-Ft!I$2)^2)),Ft!I$3*((1-Ft!I$7)/(1+Ft!I$39*($A300-Ft!I$2)^2)+Ft!I$7*EXP(Ft!I$40*($A300-Ft!I$2)^2)))</f>
        <v>0</v>
      </c>
      <c r="N300" s="3">
        <f>IF(($A300-Ft!J$2)&lt;0,Ft!J$3*((1-Ft!J$6)/(1+Ft!J$37*($A300-Ft!J$2)^2)+Ft!J$6*EXP(Ft!J$38*($A300-Ft!J$2)^2)),Ft!J$3*((1-Ft!J$7)/(1+Ft!J$39*($A300-Ft!J$2)^2)+Ft!J$7*EXP(Ft!J$40*($A300-Ft!J$2)^2)))</f>
        <v>0</v>
      </c>
      <c r="O300" s="3">
        <f>IF(($A300-Ft!K$2)&lt;0,Ft!K$3*((1-Ft!K$6)/(1+Ft!K$37*($A300-Ft!K$2)^2)+Ft!K$6*EXP(Ft!K$38*($A300-Ft!K$2)^2)),Ft!K$3*((1-Ft!K$7)/(1+Ft!K$39*($A300-Ft!K$2)^2)+Ft!K$7*EXP(Ft!K$40*($A300-Ft!K$2)^2)))</f>
        <v>0</v>
      </c>
      <c r="P300"/>
      <c r="Q300"/>
    </row>
    <row r="301" spans="1:17">
      <c r="A301" s="20">
        <v>599</v>
      </c>
      <c r="B301" s="29">
        <v>54.20647939340958</v>
      </c>
      <c r="C301" s="7">
        <f t="shared" si="9"/>
        <v>54.033267747748724</v>
      </c>
      <c r="D301" s="3">
        <f t="shared" si="10"/>
        <v>3.000227419254213E-2</v>
      </c>
      <c r="E301" s="3">
        <f>Ft!$B$12+Ft!$B$14*(Data!A301-Vars!$B$3)</f>
        <v>-200</v>
      </c>
      <c r="F301" s="3">
        <f>IF(($A301-Ft!B$2)&lt;0,Ft!B$3*((1-Ft!B$6)/(1+Ft!B$37*($A301-Ft!B$2)^2)+Ft!B$6*EXP(Ft!B$38*($A301-Ft!B$2)^2)),Ft!B$3*((1-Ft!B$7)/(1+Ft!B$39*($A301-Ft!B$2)^2)+Ft!B$7*EXP(Ft!B$40*($A301-Ft!B$2)^2)))</f>
        <v>36.241656729067877</v>
      </c>
      <c r="G301" s="3">
        <f>IF(($A301-Ft!C$2)&lt;0,Ft!C$3*((1-Ft!C$6)/(1+Ft!C$37*($A301-Ft!C$2)^2)+Ft!C$6*EXP(Ft!C$38*($A301-Ft!C$2)^2)),Ft!C$3*((1-Ft!C$7)/(1+Ft!C$39*($A301-Ft!C$2)^2)+Ft!C$7*EXP(Ft!C$40*($A301-Ft!C$2)^2)))</f>
        <v>50.833541229252404</v>
      </c>
      <c r="H301" s="3">
        <f>IF(($A301-Ft!D$2)&lt;0,Ft!D$3*((1-Ft!D$6)/(1+Ft!D$37*($A301-Ft!D$2)^2)+Ft!D$6*EXP(Ft!D$38*($A301-Ft!D$2)^2)),Ft!D$3*((1-Ft!D$7)/(1+Ft!D$39*($A301-Ft!D$2)^2)+Ft!D$7*EXP(Ft!D$40*($A301-Ft!D$2)^2)))</f>
        <v>1.4810791908061569E-8</v>
      </c>
      <c r="I301" s="3">
        <f>IF(($A301-Ft!E$2)&lt;0,Ft!E$3*((1-Ft!E$6)/(1+Ft!E$37*($A301-Ft!E$2)^2)+Ft!E$6*EXP(Ft!E$38*($A301-Ft!E$2)^2)),Ft!E$3*((1-Ft!E$7)/(1+Ft!E$39*($A301-Ft!E$2)^2)+Ft!E$7*EXP(Ft!E$40*($A301-Ft!E$2)^2)))</f>
        <v>100.49623577560219</v>
      </c>
      <c r="J301" s="3">
        <f>IF(($A301-Ft!F$2)&lt;0,Ft!F$3*((1-Ft!F$6)/(1+Ft!F$37*($A301-Ft!F$2)^2)+Ft!F$6*EXP(Ft!F$38*($A301-Ft!F$2)^2)),Ft!F$3*((1-Ft!F$7)/(1+Ft!F$39*($A301-Ft!F$2)^2)+Ft!F$7*EXP(Ft!F$40*($A301-Ft!F$2)^2)))</f>
        <v>43.689771289045062</v>
      </c>
      <c r="K301" s="3">
        <f>IF(($A301-Ft!G$2)&lt;0,Ft!G$3*((1-Ft!G$6)/(1+Ft!G$37*($A301-Ft!G$2)^2)+Ft!G$6*EXP(Ft!G$38*($A301-Ft!G$2)^2)),Ft!G$3*((1-Ft!G$7)/(1+Ft!G$39*($A301-Ft!G$2)^2)+Ft!G$7*EXP(Ft!G$40*($A301-Ft!G$2)^2)))</f>
        <v>22.772062709970406</v>
      </c>
      <c r="L301" s="3">
        <f>IF(($A301-Ft!H$2)&lt;0,Ft!H$3*((1-Ft!H$6)/(1+Ft!H$37*($A301-Ft!H$2)^2)+Ft!H$6*EXP(Ft!H$38*($A301-Ft!H$2)^2)),Ft!H$3*((1-Ft!H$7)/(1+Ft!H$39*($A301-Ft!H$2)^2)+Ft!H$7*EXP(Ft!H$40*($A301-Ft!H$2)^2)))</f>
        <v>0</v>
      </c>
      <c r="M301" s="3">
        <f>IF(($A301-Ft!I$2)&lt;0,Ft!I$3*((1-Ft!I$6)/(1+Ft!I$37*($A301-Ft!I$2)^2)+Ft!I$6*EXP(Ft!I$38*($A301-Ft!I$2)^2)),Ft!I$3*((1-Ft!I$7)/(1+Ft!I$39*($A301-Ft!I$2)^2)+Ft!I$7*EXP(Ft!I$40*($A301-Ft!I$2)^2)))</f>
        <v>0</v>
      </c>
      <c r="N301" s="3">
        <f>IF(($A301-Ft!J$2)&lt;0,Ft!J$3*((1-Ft!J$6)/(1+Ft!J$37*($A301-Ft!J$2)^2)+Ft!J$6*EXP(Ft!J$38*($A301-Ft!J$2)^2)),Ft!J$3*((1-Ft!J$7)/(1+Ft!J$39*($A301-Ft!J$2)^2)+Ft!J$7*EXP(Ft!J$40*($A301-Ft!J$2)^2)))</f>
        <v>0</v>
      </c>
      <c r="O301" s="3">
        <f>IF(($A301-Ft!K$2)&lt;0,Ft!K$3*((1-Ft!K$6)/(1+Ft!K$37*($A301-Ft!K$2)^2)+Ft!K$6*EXP(Ft!K$38*($A301-Ft!K$2)^2)),Ft!K$3*((1-Ft!K$7)/(1+Ft!K$39*($A301-Ft!K$2)^2)+Ft!K$7*EXP(Ft!K$40*($A301-Ft!K$2)^2)))</f>
        <v>0</v>
      </c>
      <c r="P301"/>
      <c r="Q301"/>
    </row>
    <row r="302" spans="1:17">
      <c r="A302" s="20">
        <v>601</v>
      </c>
      <c r="B302" s="29">
        <v>54.306132230965602</v>
      </c>
      <c r="C302" s="7">
        <f t="shared" si="9"/>
        <v>54.131326912140452</v>
      </c>
      <c r="D302" s="3">
        <f t="shared" si="10"/>
        <v>3.0556899489562472E-2</v>
      </c>
      <c r="E302" s="3">
        <f>Ft!$B$12+Ft!$B$14*(Data!A302-Vars!$B$3)</f>
        <v>-200</v>
      </c>
      <c r="F302" s="3">
        <f>IF(($A302-Ft!B$2)&lt;0,Ft!B$3*((1-Ft!B$6)/(1+Ft!B$37*($A302-Ft!B$2)^2)+Ft!B$6*EXP(Ft!B$38*($A302-Ft!B$2)^2)),Ft!B$3*((1-Ft!B$7)/(1+Ft!B$39*($A302-Ft!B$2)^2)+Ft!B$7*EXP(Ft!B$40*($A302-Ft!B$2)^2)))</f>
        <v>35.958539755987744</v>
      </c>
      <c r="G302" s="3">
        <f>IF(($A302-Ft!C$2)&lt;0,Ft!C$3*((1-Ft!C$6)/(1+Ft!C$37*($A302-Ft!C$2)^2)+Ft!C$6*EXP(Ft!C$38*($A302-Ft!C$2)^2)),Ft!C$3*((1-Ft!C$7)/(1+Ft!C$39*($A302-Ft!C$2)^2)+Ft!C$7*EXP(Ft!C$40*($A302-Ft!C$2)^2)))</f>
        <v>50.901444419252165</v>
      </c>
      <c r="H302" s="3">
        <f>IF(($A302-Ft!D$2)&lt;0,Ft!D$3*((1-Ft!D$6)/(1+Ft!D$37*($A302-Ft!D$2)^2)+Ft!D$6*EXP(Ft!D$38*($A302-Ft!D$2)^2)),Ft!D$3*((1-Ft!D$7)/(1+Ft!D$39*($A302-Ft!D$2)^2)+Ft!D$7*EXP(Ft!D$40*($A302-Ft!D$2)^2)))</f>
        <v>9.3857864156658365E-9</v>
      </c>
      <c r="I302" s="3">
        <f>IF(($A302-Ft!E$2)&lt;0,Ft!E$3*((1-Ft!E$6)/(1+Ft!E$37*($A302-Ft!E$2)^2)+Ft!E$6*EXP(Ft!E$38*($A302-Ft!E$2)^2)),Ft!E$3*((1-Ft!E$7)/(1+Ft!E$39*($A302-Ft!E$2)^2)+Ft!E$7*EXP(Ft!E$40*($A302-Ft!E$2)^2)))</f>
        <v>100.84603519004997</v>
      </c>
      <c r="J302" s="3">
        <f>IF(($A302-Ft!F$2)&lt;0,Ft!F$3*((1-Ft!F$6)/(1+Ft!F$37*($A302-Ft!F$2)^2)+Ft!F$6*EXP(Ft!F$38*($A302-Ft!F$2)^2)),Ft!F$3*((1-Ft!F$7)/(1+Ft!F$39*($A302-Ft!F$2)^2)+Ft!F$7*EXP(Ft!F$40*($A302-Ft!F$2)^2)))</f>
        <v>43.940213749415939</v>
      </c>
      <c r="K302" s="3">
        <f>IF(($A302-Ft!G$2)&lt;0,Ft!G$3*((1-Ft!G$6)/(1+Ft!G$37*($A302-Ft!G$2)^2)+Ft!G$6*EXP(Ft!G$38*($A302-Ft!G$2)^2)),Ft!G$3*((1-Ft!G$7)/(1+Ft!G$39*($A302-Ft!G$2)^2)+Ft!G$7*EXP(Ft!G$40*($A302-Ft!G$2)^2)))</f>
        <v>22.485093788048854</v>
      </c>
      <c r="L302" s="3">
        <f>IF(($A302-Ft!H$2)&lt;0,Ft!H$3*((1-Ft!H$6)/(1+Ft!H$37*($A302-Ft!H$2)^2)+Ft!H$6*EXP(Ft!H$38*($A302-Ft!H$2)^2)),Ft!H$3*((1-Ft!H$7)/(1+Ft!H$39*($A302-Ft!H$2)^2)+Ft!H$7*EXP(Ft!H$40*($A302-Ft!H$2)^2)))</f>
        <v>0</v>
      </c>
      <c r="M302" s="3">
        <f>IF(($A302-Ft!I$2)&lt;0,Ft!I$3*((1-Ft!I$6)/(1+Ft!I$37*($A302-Ft!I$2)^2)+Ft!I$6*EXP(Ft!I$38*($A302-Ft!I$2)^2)),Ft!I$3*((1-Ft!I$7)/(1+Ft!I$39*($A302-Ft!I$2)^2)+Ft!I$7*EXP(Ft!I$40*($A302-Ft!I$2)^2)))</f>
        <v>0</v>
      </c>
      <c r="N302" s="3">
        <f>IF(($A302-Ft!J$2)&lt;0,Ft!J$3*((1-Ft!J$6)/(1+Ft!J$37*($A302-Ft!J$2)^2)+Ft!J$6*EXP(Ft!J$38*($A302-Ft!J$2)^2)),Ft!J$3*((1-Ft!J$7)/(1+Ft!J$39*($A302-Ft!J$2)^2)+Ft!J$7*EXP(Ft!J$40*($A302-Ft!J$2)^2)))</f>
        <v>0</v>
      </c>
      <c r="O302" s="3">
        <f>IF(($A302-Ft!K$2)&lt;0,Ft!K$3*((1-Ft!K$6)/(1+Ft!K$37*($A302-Ft!K$2)^2)+Ft!K$6*EXP(Ft!K$38*($A302-Ft!K$2)^2)),Ft!K$3*((1-Ft!K$7)/(1+Ft!K$39*($A302-Ft!K$2)^2)+Ft!K$7*EXP(Ft!K$40*($A302-Ft!K$2)^2)))</f>
        <v>0</v>
      </c>
      <c r="P302"/>
      <c r="Q302"/>
    </row>
    <row r="303" spans="1:17">
      <c r="A303" s="20">
        <v>603</v>
      </c>
      <c r="B303" s="29">
        <v>54.403824825290044</v>
      </c>
      <c r="C303" s="7">
        <f t="shared" si="9"/>
        <v>54.22807284951525</v>
      </c>
      <c r="D303" s="3">
        <f t="shared" si="10"/>
        <v>3.0888756988743878E-2</v>
      </c>
      <c r="E303" s="3">
        <f>Ft!$B$12+Ft!$B$14*(Data!A303-Vars!$B$3)</f>
        <v>-200</v>
      </c>
      <c r="F303" s="3">
        <f>IF(($A303-Ft!B$2)&lt;0,Ft!B$3*((1-Ft!B$6)/(1+Ft!B$37*($A303-Ft!B$2)^2)+Ft!B$6*EXP(Ft!B$38*($A303-Ft!B$2)^2)),Ft!B$3*((1-Ft!B$7)/(1+Ft!B$39*($A303-Ft!B$2)^2)+Ft!B$7*EXP(Ft!B$40*($A303-Ft!B$2)^2)))</f>
        <v>35.676953507046697</v>
      </c>
      <c r="G303" s="3">
        <f>IF(($A303-Ft!C$2)&lt;0,Ft!C$3*((1-Ft!C$6)/(1+Ft!C$37*($A303-Ft!C$2)^2)+Ft!C$6*EXP(Ft!C$38*($A303-Ft!C$2)^2)),Ft!C$3*((1-Ft!C$7)/(1+Ft!C$39*($A303-Ft!C$2)^2)+Ft!C$7*EXP(Ft!C$40*($A303-Ft!C$2)^2)))</f>
        <v>50.968987961574697</v>
      </c>
      <c r="H303" s="3">
        <f>IF(($A303-Ft!D$2)&lt;0,Ft!D$3*((1-Ft!D$6)/(1+Ft!D$37*($A303-Ft!D$2)^2)+Ft!D$6*EXP(Ft!D$38*($A303-Ft!D$2)^2)),Ft!D$3*((1-Ft!D$7)/(1+Ft!D$39*($A303-Ft!D$2)^2)+Ft!D$7*EXP(Ft!D$40*($A303-Ft!D$2)^2)))</f>
        <v>5.9151687818846383E-9</v>
      </c>
      <c r="I303" s="3">
        <f>IF(($A303-Ft!E$2)&lt;0,Ft!E$3*((1-Ft!E$6)/(1+Ft!E$37*($A303-Ft!E$2)^2)+Ft!E$6*EXP(Ft!E$38*($A303-Ft!E$2)^2)),Ft!E$3*((1-Ft!E$7)/(1+Ft!E$39*($A303-Ft!E$2)^2)+Ft!E$7*EXP(Ft!E$40*($A303-Ft!E$2)^2)))</f>
        <v>101.19118478220017</v>
      </c>
      <c r="J303" s="3">
        <f>IF(($A303-Ft!F$2)&lt;0,Ft!F$3*((1-Ft!F$6)/(1+Ft!F$37*($A303-Ft!F$2)^2)+Ft!F$6*EXP(Ft!F$38*($A303-Ft!F$2)^2)),Ft!F$3*((1-Ft!F$7)/(1+Ft!F$39*($A303-Ft!F$2)^2)+Ft!F$7*EXP(Ft!F$40*($A303-Ft!F$2)^2)))</f>
        <v>44.191509793743435</v>
      </c>
      <c r="K303" s="3">
        <f>IF(($A303-Ft!G$2)&lt;0,Ft!G$3*((1-Ft!G$6)/(1+Ft!G$37*($A303-Ft!G$2)^2)+Ft!G$6*EXP(Ft!G$38*($A303-Ft!G$2)^2)),Ft!G$3*((1-Ft!G$7)/(1+Ft!G$39*($A303-Ft!G$2)^2)+Ft!G$7*EXP(Ft!G$40*($A303-Ft!G$2)^2)))</f>
        <v>22.199436799035077</v>
      </c>
      <c r="L303" s="3">
        <f>IF(($A303-Ft!H$2)&lt;0,Ft!H$3*((1-Ft!H$6)/(1+Ft!H$37*($A303-Ft!H$2)^2)+Ft!H$6*EXP(Ft!H$38*($A303-Ft!H$2)^2)),Ft!H$3*((1-Ft!H$7)/(1+Ft!H$39*($A303-Ft!H$2)^2)+Ft!H$7*EXP(Ft!H$40*($A303-Ft!H$2)^2)))</f>
        <v>0</v>
      </c>
      <c r="M303" s="3">
        <f>IF(($A303-Ft!I$2)&lt;0,Ft!I$3*((1-Ft!I$6)/(1+Ft!I$37*($A303-Ft!I$2)^2)+Ft!I$6*EXP(Ft!I$38*($A303-Ft!I$2)^2)),Ft!I$3*((1-Ft!I$7)/(1+Ft!I$39*($A303-Ft!I$2)^2)+Ft!I$7*EXP(Ft!I$40*($A303-Ft!I$2)^2)))</f>
        <v>0</v>
      </c>
      <c r="N303" s="3">
        <f>IF(($A303-Ft!J$2)&lt;0,Ft!J$3*((1-Ft!J$6)/(1+Ft!J$37*($A303-Ft!J$2)^2)+Ft!J$6*EXP(Ft!J$38*($A303-Ft!J$2)^2)),Ft!J$3*((1-Ft!J$7)/(1+Ft!J$39*($A303-Ft!J$2)^2)+Ft!J$7*EXP(Ft!J$40*($A303-Ft!J$2)^2)))</f>
        <v>0</v>
      </c>
      <c r="O303" s="3">
        <f>IF(($A303-Ft!K$2)&lt;0,Ft!K$3*((1-Ft!K$6)/(1+Ft!K$37*($A303-Ft!K$2)^2)+Ft!K$6*EXP(Ft!K$38*($A303-Ft!K$2)^2)),Ft!K$3*((1-Ft!K$7)/(1+Ft!K$39*($A303-Ft!K$2)^2)+Ft!K$7*EXP(Ft!K$40*($A303-Ft!K$2)^2)))</f>
        <v>0</v>
      </c>
      <c r="P303"/>
      <c r="Q303"/>
    </row>
    <row r="304" spans="1:17">
      <c r="A304" s="20">
        <v>605</v>
      </c>
      <c r="B304" s="29">
        <v>54.499543723889744</v>
      </c>
      <c r="C304" s="7">
        <f t="shared" si="9"/>
        <v>54.323487099724844</v>
      </c>
      <c r="D304" s="3">
        <f t="shared" si="10"/>
        <v>3.0995934912340921E-2</v>
      </c>
      <c r="E304" s="3">
        <f>Ft!$B$12+Ft!$B$14*(Data!A304-Vars!$B$3)</f>
        <v>-200</v>
      </c>
      <c r="F304" s="3">
        <f>IF(($A304-Ft!B$2)&lt;0,Ft!B$3*((1-Ft!B$6)/(1+Ft!B$37*($A304-Ft!B$2)^2)+Ft!B$6*EXP(Ft!B$38*($A304-Ft!B$2)^2)),Ft!B$3*((1-Ft!B$7)/(1+Ft!B$39*($A304-Ft!B$2)^2)+Ft!B$7*EXP(Ft!B$40*($A304-Ft!B$2)^2)))</f>
        <v>35.396896702300069</v>
      </c>
      <c r="G304" s="3">
        <f>IF(($A304-Ft!C$2)&lt;0,Ft!C$3*((1-Ft!C$6)/(1+Ft!C$37*($A304-Ft!C$2)^2)+Ft!C$6*EXP(Ft!C$38*($A304-Ft!C$2)^2)),Ft!C$3*((1-Ft!C$7)/(1+Ft!C$39*($A304-Ft!C$2)^2)+Ft!C$7*EXP(Ft!C$40*($A304-Ft!C$2)^2)))</f>
        <v>51.03617018460092</v>
      </c>
      <c r="H304" s="3">
        <f>IF(($A304-Ft!D$2)&lt;0,Ft!D$3*((1-Ft!D$6)/(1+Ft!D$37*($A304-Ft!D$2)^2)+Ft!D$6*EXP(Ft!D$38*($A304-Ft!D$2)^2)),Ft!D$3*((1-Ft!D$7)/(1+Ft!D$39*($A304-Ft!D$2)^2)+Ft!D$7*EXP(Ft!D$40*($A304-Ft!D$2)^2)))</f>
        <v>3.7073851184794565E-9</v>
      </c>
      <c r="I304" s="3">
        <f>IF(($A304-Ft!E$2)&lt;0,Ft!E$3*((1-Ft!E$6)/(1+Ft!E$37*($A304-Ft!E$2)^2)+Ft!E$6*EXP(Ft!E$38*($A304-Ft!E$2)^2)),Ft!E$3*((1-Ft!E$7)/(1+Ft!E$39*($A304-Ft!E$2)^2)+Ft!E$7*EXP(Ft!E$40*($A304-Ft!E$2)^2)))</f>
        <v>101.53162854600623</v>
      </c>
      <c r="J304" s="3">
        <f>IF(($A304-Ft!F$2)&lt;0,Ft!F$3*((1-Ft!F$6)/(1+Ft!F$37*($A304-Ft!F$2)^2)+Ft!F$6*EXP(Ft!F$38*($A304-Ft!F$2)^2)),Ft!F$3*((1-Ft!F$7)/(1+Ft!F$39*($A304-Ft!F$2)^2)+Ft!F$7*EXP(Ft!F$40*($A304-Ft!F$2)^2)))</f>
        <v>44.443657665474412</v>
      </c>
      <c r="K304" s="3">
        <f>IF(($A304-Ft!G$2)&lt;0,Ft!G$3*((1-Ft!G$6)/(1+Ft!G$37*($A304-Ft!G$2)^2)+Ft!G$6*EXP(Ft!G$38*($A304-Ft!G$2)^2)),Ft!G$3*((1-Ft!G$7)/(1+Ft!G$39*($A304-Ft!G$2)^2)+Ft!G$7*EXP(Ft!G$40*($A304-Ft!G$2)^2)))</f>
        <v>21.915133997635824</v>
      </c>
      <c r="L304" s="3">
        <f>IF(($A304-Ft!H$2)&lt;0,Ft!H$3*((1-Ft!H$6)/(1+Ft!H$37*($A304-Ft!H$2)^2)+Ft!H$6*EXP(Ft!H$38*($A304-Ft!H$2)^2)),Ft!H$3*((1-Ft!H$7)/(1+Ft!H$39*($A304-Ft!H$2)^2)+Ft!H$7*EXP(Ft!H$40*($A304-Ft!H$2)^2)))</f>
        <v>0</v>
      </c>
      <c r="M304" s="3">
        <f>IF(($A304-Ft!I$2)&lt;0,Ft!I$3*((1-Ft!I$6)/(1+Ft!I$37*($A304-Ft!I$2)^2)+Ft!I$6*EXP(Ft!I$38*($A304-Ft!I$2)^2)),Ft!I$3*((1-Ft!I$7)/(1+Ft!I$39*($A304-Ft!I$2)^2)+Ft!I$7*EXP(Ft!I$40*($A304-Ft!I$2)^2)))</f>
        <v>0</v>
      </c>
      <c r="N304" s="3">
        <f>IF(($A304-Ft!J$2)&lt;0,Ft!J$3*((1-Ft!J$6)/(1+Ft!J$37*($A304-Ft!J$2)^2)+Ft!J$6*EXP(Ft!J$38*($A304-Ft!J$2)^2)),Ft!J$3*((1-Ft!J$7)/(1+Ft!J$39*($A304-Ft!J$2)^2)+Ft!J$7*EXP(Ft!J$40*($A304-Ft!J$2)^2)))</f>
        <v>0</v>
      </c>
      <c r="O304" s="3">
        <f>IF(($A304-Ft!K$2)&lt;0,Ft!K$3*((1-Ft!K$6)/(1+Ft!K$37*($A304-Ft!K$2)^2)+Ft!K$6*EXP(Ft!K$38*($A304-Ft!K$2)^2)),Ft!K$3*((1-Ft!K$7)/(1+Ft!K$39*($A304-Ft!K$2)^2)+Ft!K$7*EXP(Ft!K$40*($A304-Ft!K$2)^2)))</f>
        <v>0</v>
      </c>
      <c r="P304"/>
      <c r="Q304"/>
    </row>
    <row r="305" spans="1:17">
      <c r="A305" s="20">
        <v>607</v>
      </c>
      <c r="B305" s="29">
        <v>54.593275712082331</v>
      </c>
      <c r="C305" s="7">
        <f t="shared" si="9"/>
        <v>54.417550761176749</v>
      </c>
      <c r="D305" s="3">
        <f t="shared" si="10"/>
        <v>3.0879258370769377E-2</v>
      </c>
      <c r="E305" s="3">
        <f>Ft!$B$12+Ft!$B$14*(Data!A305-Vars!$B$3)</f>
        <v>-200</v>
      </c>
      <c r="F305" s="3">
        <f>IF(($A305-Ft!B$2)&lt;0,Ft!B$3*((1-Ft!B$6)/(1+Ft!B$37*($A305-Ft!B$2)^2)+Ft!B$6*EXP(Ft!B$38*($A305-Ft!B$2)^2)),Ft!B$3*((1-Ft!B$7)/(1+Ft!B$39*($A305-Ft!B$2)^2)+Ft!B$7*EXP(Ft!B$40*($A305-Ft!B$2)^2)))</f>
        <v>35.118367984606664</v>
      </c>
      <c r="G305" s="3">
        <f>IF(($A305-Ft!C$2)&lt;0,Ft!C$3*((1-Ft!C$6)/(1+Ft!C$37*($A305-Ft!C$2)^2)+Ft!C$6*EXP(Ft!C$38*($A305-Ft!C$2)^2)),Ft!C$3*((1-Ft!C$7)/(1+Ft!C$39*($A305-Ft!C$2)^2)+Ft!C$7*EXP(Ft!C$40*($A305-Ft!C$2)^2)))</f>
        <v>51.102989424084875</v>
      </c>
      <c r="H305" s="3">
        <f>IF(($A305-Ft!D$2)&lt;0,Ft!D$3*((1-Ft!D$6)/(1+Ft!D$37*($A305-Ft!D$2)^2)+Ft!D$6*EXP(Ft!D$38*($A305-Ft!D$2)^2)),Ft!D$3*((1-Ft!D$7)/(1+Ft!D$39*($A305-Ft!D$2)^2)+Ft!D$7*EXP(Ft!D$40*($A305-Ft!D$2)^2)))</f>
        <v>2.3108531645618421E-9</v>
      </c>
      <c r="I305" s="3">
        <f>IF(($A305-Ft!E$2)&lt;0,Ft!E$3*((1-Ft!E$6)/(1+Ft!E$37*($A305-Ft!E$2)^2)+Ft!E$6*EXP(Ft!E$38*($A305-Ft!E$2)^2)),Ft!E$3*((1-Ft!E$7)/(1+Ft!E$39*($A305-Ft!E$2)^2)+Ft!E$7*EXP(Ft!E$40*($A305-Ft!E$2)^2)))</f>
        <v>101.86731110528254</v>
      </c>
      <c r="J305" s="3">
        <f>IF(($A305-Ft!F$2)&lt;0,Ft!F$3*((1-Ft!F$6)/(1+Ft!F$37*($A305-Ft!F$2)^2)+Ft!F$6*EXP(Ft!F$38*($A305-Ft!F$2)^2)),Ft!F$3*((1-Ft!F$7)/(1+Ft!F$39*($A305-Ft!F$2)^2)+Ft!F$7*EXP(Ft!F$40*($A305-Ft!F$2)^2)))</f>
        <v>44.696655564268973</v>
      </c>
      <c r="K305" s="3">
        <f>IF(($A305-Ft!G$2)&lt;0,Ft!G$3*((1-Ft!G$6)/(1+Ft!G$37*($A305-Ft!G$2)^2)+Ft!G$6*EXP(Ft!G$38*($A305-Ft!G$2)^2)),Ft!G$3*((1-Ft!G$7)/(1+Ft!G$39*($A305-Ft!G$2)^2)+Ft!G$7*EXP(Ft!G$40*($A305-Ft!G$2)^2)))</f>
        <v>21.632226680622836</v>
      </c>
      <c r="L305" s="3">
        <f>IF(($A305-Ft!H$2)&lt;0,Ft!H$3*((1-Ft!H$6)/(1+Ft!H$37*($A305-Ft!H$2)^2)+Ft!H$6*EXP(Ft!H$38*($A305-Ft!H$2)^2)),Ft!H$3*((1-Ft!H$7)/(1+Ft!H$39*($A305-Ft!H$2)^2)+Ft!H$7*EXP(Ft!H$40*($A305-Ft!H$2)^2)))</f>
        <v>0</v>
      </c>
      <c r="M305" s="3">
        <f>IF(($A305-Ft!I$2)&lt;0,Ft!I$3*((1-Ft!I$6)/(1+Ft!I$37*($A305-Ft!I$2)^2)+Ft!I$6*EXP(Ft!I$38*($A305-Ft!I$2)^2)),Ft!I$3*((1-Ft!I$7)/(1+Ft!I$39*($A305-Ft!I$2)^2)+Ft!I$7*EXP(Ft!I$40*($A305-Ft!I$2)^2)))</f>
        <v>0</v>
      </c>
      <c r="N305" s="3">
        <f>IF(($A305-Ft!J$2)&lt;0,Ft!J$3*((1-Ft!J$6)/(1+Ft!J$37*($A305-Ft!J$2)^2)+Ft!J$6*EXP(Ft!J$38*($A305-Ft!J$2)^2)),Ft!J$3*((1-Ft!J$7)/(1+Ft!J$39*($A305-Ft!J$2)^2)+Ft!J$7*EXP(Ft!J$40*($A305-Ft!J$2)^2)))</f>
        <v>0</v>
      </c>
      <c r="O305" s="3">
        <f>IF(($A305-Ft!K$2)&lt;0,Ft!K$3*((1-Ft!K$6)/(1+Ft!K$37*($A305-Ft!K$2)^2)+Ft!K$6*EXP(Ft!K$38*($A305-Ft!K$2)^2)),Ft!K$3*((1-Ft!K$7)/(1+Ft!K$39*($A305-Ft!K$2)^2)+Ft!K$7*EXP(Ft!K$40*($A305-Ft!K$2)^2)))</f>
        <v>0</v>
      </c>
      <c r="P305"/>
      <c r="Q305"/>
    </row>
    <row r="306" spans="1:17">
      <c r="A306" s="20">
        <v>609</v>
      </c>
      <c r="B306" s="29">
        <v>54.685007794935061</v>
      </c>
      <c r="C306" s="7">
        <f t="shared" si="9"/>
        <v>54.510244501591863</v>
      </c>
      <c r="D306" s="3">
        <f t="shared" si="10"/>
        <v>3.0542208700160427E-2</v>
      </c>
      <c r="E306" s="3">
        <f>Ft!$B$12+Ft!$B$14*(Data!A306-Vars!$B$3)</f>
        <v>-200</v>
      </c>
      <c r="F306" s="3">
        <f>IF(($A306-Ft!B$2)&lt;0,Ft!B$3*((1-Ft!B$6)/(1+Ft!B$37*($A306-Ft!B$2)^2)+Ft!B$6*EXP(Ft!B$38*($A306-Ft!B$2)^2)),Ft!B$3*((1-Ft!B$7)/(1+Ft!B$39*($A306-Ft!B$2)^2)+Ft!B$7*EXP(Ft!B$40*($A306-Ft!B$2)^2)))</f>
        <v>34.841365920338077</v>
      </c>
      <c r="G306" s="3">
        <f>IF(($A306-Ft!C$2)&lt;0,Ft!C$3*((1-Ft!C$6)/(1+Ft!C$37*($A306-Ft!C$2)^2)+Ft!C$6*EXP(Ft!C$38*($A306-Ft!C$2)^2)),Ft!C$3*((1-Ft!C$7)/(1+Ft!C$39*($A306-Ft!C$2)^2)+Ft!C$7*EXP(Ft!C$40*($A306-Ft!C$2)^2)))</f>
        <v>51.16944402322234</v>
      </c>
      <c r="H306" s="3">
        <f>IF(($A306-Ft!D$2)&lt;0,Ft!D$3*((1-Ft!D$6)/(1+Ft!D$37*($A306-Ft!D$2)^2)+Ft!D$6*EXP(Ft!D$38*($A306-Ft!D$2)^2)),Ft!D$3*((1-Ft!D$7)/(1+Ft!D$39*($A306-Ft!D$2)^2)+Ft!D$7*EXP(Ft!D$40*($A306-Ft!D$2)^2)))</f>
        <v>1.4324553239332633E-9</v>
      </c>
      <c r="I306" s="3">
        <f>IF(($A306-Ft!E$2)&lt;0,Ft!E$3*((1-Ft!E$6)/(1+Ft!E$37*($A306-Ft!E$2)^2)+Ft!E$6*EXP(Ft!E$38*($A306-Ft!E$2)^2)),Ft!E$3*((1-Ft!E$7)/(1+Ft!E$39*($A306-Ft!E$2)^2)+Ft!E$7*EXP(Ft!E$40*($A306-Ft!E$2)^2)))</f>
        <v>102.19817772868754</v>
      </c>
      <c r="J306" s="3">
        <f>IF(($A306-Ft!F$2)&lt;0,Ft!F$3*((1-Ft!F$6)/(1+Ft!F$37*($A306-Ft!F$2)^2)+Ft!F$6*EXP(Ft!F$38*($A306-Ft!F$2)^2)),Ft!F$3*((1-Ft!F$7)/(1+Ft!F$39*($A306-Ft!F$2)^2)+Ft!F$7*EXP(Ft!F$40*($A306-Ft!F$2)^2)))</f>
        <v>44.950501645845826</v>
      </c>
      <c r="K306" s="3">
        <f>IF(($A306-Ft!G$2)&lt;0,Ft!G$3*((1-Ft!G$6)/(1+Ft!G$37*($A306-Ft!G$2)^2)+Ft!G$6*EXP(Ft!G$38*($A306-Ft!G$2)^2)),Ft!G$3*((1-Ft!G$7)/(1+Ft!G$39*($A306-Ft!G$2)^2)+Ft!G$7*EXP(Ft!G$40*($A306-Ft!G$2)^2)))</f>
        <v>21.350755182065612</v>
      </c>
      <c r="L306" s="3">
        <f>IF(($A306-Ft!H$2)&lt;0,Ft!H$3*((1-Ft!H$6)/(1+Ft!H$37*($A306-Ft!H$2)^2)+Ft!H$6*EXP(Ft!H$38*($A306-Ft!H$2)^2)),Ft!H$3*((1-Ft!H$7)/(1+Ft!H$39*($A306-Ft!H$2)^2)+Ft!H$7*EXP(Ft!H$40*($A306-Ft!H$2)^2)))</f>
        <v>0</v>
      </c>
      <c r="M306" s="3">
        <f>IF(($A306-Ft!I$2)&lt;0,Ft!I$3*((1-Ft!I$6)/(1+Ft!I$37*($A306-Ft!I$2)^2)+Ft!I$6*EXP(Ft!I$38*($A306-Ft!I$2)^2)),Ft!I$3*((1-Ft!I$7)/(1+Ft!I$39*($A306-Ft!I$2)^2)+Ft!I$7*EXP(Ft!I$40*($A306-Ft!I$2)^2)))</f>
        <v>0</v>
      </c>
      <c r="N306" s="3">
        <f>IF(($A306-Ft!J$2)&lt;0,Ft!J$3*((1-Ft!J$6)/(1+Ft!J$37*($A306-Ft!J$2)^2)+Ft!J$6*EXP(Ft!J$38*($A306-Ft!J$2)^2)),Ft!J$3*((1-Ft!J$7)/(1+Ft!J$39*($A306-Ft!J$2)^2)+Ft!J$7*EXP(Ft!J$40*($A306-Ft!J$2)^2)))</f>
        <v>0</v>
      </c>
      <c r="O306" s="3">
        <f>IF(($A306-Ft!K$2)&lt;0,Ft!K$3*((1-Ft!K$6)/(1+Ft!K$37*($A306-Ft!K$2)^2)+Ft!K$6*EXP(Ft!K$38*($A306-Ft!K$2)^2)),Ft!K$3*((1-Ft!K$7)/(1+Ft!K$39*($A306-Ft!K$2)^2)+Ft!K$7*EXP(Ft!K$40*($A306-Ft!K$2)^2)))</f>
        <v>0</v>
      </c>
      <c r="P306"/>
      <c r="Q306"/>
    </row>
    <row r="307" spans="1:17">
      <c r="A307" s="20">
        <v>611</v>
      </c>
      <c r="B307" s="29">
        <v>54.774727185159222</v>
      </c>
      <c r="C307" s="7">
        <f t="shared" si="9"/>
        <v>54.601548569212738</v>
      </c>
      <c r="D307" s="3">
        <f t="shared" si="10"/>
        <v>2.9990833021139526E-2</v>
      </c>
      <c r="E307" s="3">
        <f>Ft!$B$12+Ft!$B$14*(Data!A307-Vars!$B$3)</f>
        <v>-200</v>
      </c>
      <c r="F307" s="3">
        <f>IF(($A307-Ft!B$2)&lt;0,Ft!B$3*((1-Ft!B$6)/(1+Ft!B$37*($A307-Ft!B$2)^2)+Ft!B$6*EXP(Ft!B$38*($A307-Ft!B$2)^2)),Ft!B$3*((1-Ft!B$7)/(1+Ft!B$39*($A307-Ft!B$2)^2)+Ft!B$7*EXP(Ft!B$40*($A307-Ft!B$2)^2)))</f>
        <v>34.565889000089442</v>
      </c>
      <c r="G307" s="3">
        <f>IF(($A307-Ft!C$2)&lt;0,Ft!C$3*((1-Ft!C$6)/(1+Ft!C$37*($A307-Ft!C$2)^2)+Ft!C$6*EXP(Ft!C$38*($A307-Ft!C$2)^2)),Ft!C$3*((1-Ft!C$7)/(1+Ft!C$39*($A307-Ft!C$2)^2)+Ft!C$7*EXP(Ft!C$40*($A307-Ft!C$2)^2)))</f>
        <v>51.235532332719117</v>
      </c>
      <c r="H307" s="3">
        <f>IF(($A307-Ft!D$2)&lt;0,Ft!D$3*((1-Ft!D$6)/(1+Ft!D$37*($A307-Ft!D$2)^2)+Ft!D$6*EXP(Ft!D$38*($A307-Ft!D$2)^2)),Ft!D$3*((1-Ft!D$7)/(1+Ft!D$39*($A307-Ft!D$2)^2)+Ft!D$7*EXP(Ft!D$40*($A307-Ft!D$2)^2)))</f>
        <v>8.8306751378796867E-10</v>
      </c>
      <c r="I307" s="3">
        <f>IF(($A307-Ft!E$2)&lt;0,Ft!E$3*((1-Ft!E$6)/(1+Ft!E$37*($A307-Ft!E$2)^2)+Ft!E$6*EXP(Ft!E$38*($A307-Ft!E$2)^2)),Ft!E$3*((1-Ft!E$7)/(1+Ft!E$39*($A307-Ft!E$2)^2)+Ft!E$7*EXP(Ft!E$40*($A307-Ft!E$2)^2)))</f>
        <v>102.52417434456976</v>
      </c>
      <c r="J307" s="3">
        <f>IF(($A307-Ft!F$2)&lt;0,Ft!F$3*((1-Ft!F$6)/(1+Ft!F$37*($A307-Ft!F$2)^2)+Ft!F$6*EXP(Ft!F$38*($A307-Ft!F$2)^2)),Ft!F$3*((1-Ft!F$7)/(1+Ft!F$39*($A307-Ft!F$2)^2)+Ft!F$7*EXP(Ft!F$40*($A307-Ft!F$2)^2)))</f>
        <v>45.205194021829492</v>
      </c>
      <c r="K307" s="3">
        <f>IF(($A307-Ft!G$2)&lt;0,Ft!G$3*((1-Ft!G$6)/(1+Ft!G$37*($A307-Ft!G$2)^2)+Ft!G$6*EXP(Ft!G$38*($A307-Ft!G$2)^2)),Ft!G$3*((1-Ft!G$7)/(1+Ft!G$39*($A307-Ft!G$2)^2)+Ft!G$7*EXP(Ft!G$40*($A307-Ft!G$2)^2)))</f>
        <v>21.070758869121871</v>
      </c>
      <c r="L307" s="3">
        <f>IF(($A307-Ft!H$2)&lt;0,Ft!H$3*((1-Ft!H$6)/(1+Ft!H$37*($A307-Ft!H$2)^2)+Ft!H$6*EXP(Ft!H$38*($A307-Ft!H$2)^2)),Ft!H$3*((1-Ft!H$7)/(1+Ft!H$39*($A307-Ft!H$2)^2)+Ft!H$7*EXP(Ft!H$40*($A307-Ft!H$2)^2)))</f>
        <v>0</v>
      </c>
      <c r="M307" s="3">
        <f>IF(($A307-Ft!I$2)&lt;0,Ft!I$3*((1-Ft!I$6)/(1+Ft!I$37*($A307-Ft!I$2)^2)+Ft!I$6*EXP(Ft!I$38*($A307-Ft!I$2)^2)),Ft!I$3*((1-Ft!I$7)/(1+Ft!I$39*($A307-Ft!I$2)^2)+Ft!I$7*EXP(Ft!I$40*($A307-Ft!I$2)^2)))</f>
        <v>0</v>
      </c>
      <c r="N307" s="3">
        <f>IF(($A307-Ft!J$2)&lt;0,Ft!J$3*((1-Ft!J$6)/(1+Ft!J$37*($A307-Ft!J$2)^2)+Ft!J$6*EXP(Ft!J$38*($A307-Ft!J$2)^2)),Ft!J$3*((1-Ft!J$7)/(1+Ft!J$39*($A307-Ft!J$2)^2)+Ft!J$7*EXP(Ft!J$40*($A307-Ft!J$2)^2)))</f>
        <v>0</v>
      </c>
      <c r="O307" s="3">
        <f>IF(($A307-Ft!K$2)&lt;0,Ft!K$3*((1-Ft!K$6)/(1+Ft!K$37*($A307-Ft!K$2)^2)+Ft!K$6*EXP(Ft!K$38*($A307-Ft!K$2)^2)),Ft!K$3*((1-Ft!K$7)/(1+Ft!K$39*($A307-Ft!K$2)^2)+Ft!K$7*EXP(Ft!K$40*($A307-Ft!K$2)^2)))</f>
        <v>0</v>
      </c>
      <c r="P307"/>
      <c r="Q307"/>
    </row>
    <row r="308" spans="1:17">
      <c r="A308" s="20">
        <v>613</v>
      </c>
      <c r="B308" s="29">
        <v>54.862421296462387</v>
      </c>
      <c r="C308" s="7">
        <f t="shared" si="9"/>
        <v>54.691442804444151</v>
      </c>
      <c r="D308" s="3">
        <f t="shared" si="10"/>
        <v>2.9233644732829918E-2</v>
      </c>
      <c r="E308" s="3">
        <f>Ft!$B$12+Ft!$B$14*(Data!A308-Vars!$B$3)</f>
        <v>-200</v>
      </c>
      <c r="F308" s="3">
        <f>IF(($A308-Ft!B$2)&lt;0,Ft!B$3*((1-Ft!B$6)/(1+Ft!B$37*($A308-Ft!B$2)^2)+Ft!B$6*EXP(Ft!B$38*($A308-Ft!B$2)^2)),Ft!B$3*((1-Ft!B$7)/(1+Ft!B$39*($A308-Ft!B$2)^2)+Ft!B$7*EXP(Ft!B$40*($A308-Ft!B$2)^2)))</f>
        <v>34.291935639391966</v>
      </c>
      <c r="G308" s="3">
        <f>IF(($A308-Ft!C$2)&lt;0,Ft!C$3*((1-Ft!C$6)/(1+Ft!C$37*($A308-Ft!C$2)^2)+Ft!C$6*EXP(Ft!C$38*($A308-Ft!C$2)^2)),Ft!C$3*((1-Ft!C$7)/(1+Ft!C$39*($A308-Ft!C$2)^2)+Ft!C$7*EXP(Ft!C$40*($A308-Ft!C$2)^2)))</f>
        <v>51.301252710859174</v>
      </c>
      <c r="H308" s="3">
        <f>IF(($A308-Ft!D$2)&lt;0,Ft!D$3*((1-Ft!D$6)/(1+Ft!D$37*($A308-Ft!D$2)^2)+Ft!D$6*EXP(Ft!D$38*($A308-Ft!D$2)^2)),Ft!D$3*((1-Ft!D$7)/(1+Ft!D$39*($A308-Ft!D$2)^2)+Ft!D$7*EXP(Ft!D$40*($A308-Ft!D$2)^2)))</f>
        <v>5.4139073309974858E-10</v>
      </c>
      <c r="I308" s="3">
        <f>IF(($A308-Ft!E$2)&lt;0,Ft!E$3*((1-Ft!E$6)/(1+Ft!E$37*($A308-Ft!E$2)^2)+Ft!E$6*EXP(Ft!E$38*($A308-Ft!E$2)^2)),Ft!E$3*((1-Ft!E$7)/(1+Ft!E$39*($A308-Ft!E$2)^2)+Ft!E$7*EXP(Ft!E$40*($A308-Ft!E$2)^2)))</f>
        <v>102.84524755567084</v>
      </c>
      <c r="J308" s="3">
        <f>IF(($A308-Ft!F$2)&lt;0,Ft!F$3*((1-Ft!F$6)/(1+Ft!F$37*($A308-Ft!F$2)^2)+Ft!F$6*EXP(Ft!F$38*($A308-Ft!F$2)^2)),Ft!F$3*((1-Ft!F$7)/(1+Ft!F$39*($A308-Ft!F$2)^2)+Ft!F$7*EXP(Ft!F$40*($A308-Ft!F$2)^2)))</f>
        <v>45.460730759599748</v>
      </c>
      <c r="K308" s="3">
        <f>IF(($A308-Ft!G$2)&lt;0,Ft!G$3*((1-Ft!G$6)/(1+Ft!G$37*($A308-Ft!G$2)^2)+Ft!G$6*EXP(Ft!G$38*($A308-Ft!G$2)^2)),Ft!G$3*((1-Ft!G$7)/(1+Ft!G$39*($A308-Ft!G$2)^2)+Ft!G$7*EXP(Ft!G$40*($A308-Ft!G$2)^2)))</f>
        <v>20.792276138381034</v>
      </c>
      <c r="L308" s="3">
        <f>IF(($A308-Ft!H$2)&lt;0,Ft!H$3*((1-Ft!H$6)/(1+Ft!H$37*($A308-Ft!H$2)^2)+Ft!H$6*EXP(Ft!H$38*($A308-Ft!H$2)^2)),Ft!H$3*((1-Ft!H$7)/(1+Ft!H$39*($A308-Ft!H$2)^2)+Ft!H$7*EXP(Ft!H$40*($A308-Ft!H$2)^2)))</f>
        <v>0</v>
      </c>
      <c r="M308" s="3">
        <f>IF(($A308-Ft!I$2)&lt;0,Ft!I$3*((1-Ft!I$6)/(1+Ft!I$37*($A308-Ft!I$2)^2)+Ft!I$6*EXP(Ft!I$38*($A308-Ft!I$2)^2)),Ft!I$3*((1-Ft!I$7)/(1+Ft!I$39*($A308-Ft!I$2)^2)+Ft!I$7*EXP(Ft!I$40*($A308-Ft!I$2)^2)))</f>
        <v>0</v>
      </c>
      <c r="N308" s="3">
        <f>IF(($A308-Ft!J$2)&lt;0,Ft!J$3*((1-Ft!J$6)/(1+Ft!J$37*($A308-Ft!J$2)^2)+Ft!J$6*EXP(Ft!J$38*($A308-Ft!J$2)^2)),Ft!J$3*((1-Ft!J$7)/(1+Ft!J$39*($A308-Ft!J$2)^2)+Ft!J$7*EXP(Ft!J$40*($A308-Ft!J$2)^2)))</f>
        <v>0</v>
      </c>
      <c r="O308" s="3">
        <f>IF(($A308-Ft!K$2)&lt;0,Ft!K$3*((1-Ft!K$6)/(1+Ft!K$37*($A308-Ft!K$2)^2)+Ft!K$6*EXP(Ft!K$38*($A308-Ft!K$2)^2)),Ft!K$3*((1-Ft!K$7)/(1+Ft!K$39*($A308-Ft!K$2)^2)+Ft!K$7*EXP(Ft!K$40*($A308-Ft!K$2)^2)))</f>
        <v>0</v>
      </c>
      <c r="P308"/>
      <c r="Q308"/>
    </row>
    <row r="309" spans="1:17">
      <c r="A309" s="20">
        <v>615</v>
      </c>
      <c r="B309" s="29">
        <v>54.948077742039487</v>
      </c>
      <c r="C309" s="7">
        <f t="shared" si="9"/>
        <v>54.779906651908419</v>
      </c>
      <c r="D309" s="3">
        <f t="shared" si="10"/>
        <v>2.82815155558718E-2</v>
      </c>
      <c r="E309" s="3">
        <f>Ft!$B$12+Ft!$B$14*(Data!A309-Vars!$B$3)</f>
        <v>-200</v>
      </c>
      <c r="F309" s="3">
        <f>IF(($A309-Ft!B$2)&lt;0,Ft!B$3*((1-Ft!B$6)/(1+Ft!B$37*($A309-Ft!B$2)^2)+Ft!B$6*EXP(Ft!B$38*($A309-Ft!B$2)^2)),Ft!B$3*((1-Ft!B$7)/(1+Ft!B$39*($A309-Ft!B$2)^2)+Ft!B$7*EXP(Ft!B$40*($A309-Ft!B$2)^2)))</f>
        <v>34.019504179426967</v>
      </c>
      <c r="G309" s="3">
        <f>IF(($A309-Ft!C$2)&lt;0,Ft!C$3*((1-Ft!C$6)/(1+Ft!C$37*($A309-Ft!C$2)^2)+Ft!C$6*EXP(Ft!C$38*($A309-Ft!C$2)^2)),Ft!C$3*((1-Ft!C$7)/(1+Ft!C$39*($A309-Ft!C$2)^2)+Ft!C$7*EXP(Ft!C$40*($A309-Ft!C$2)^2)))</f>
        <v>51.366603523572472</v>
      </c>
      <c r="H309" s="3">
        <f>IF(($A309-Ft!D$2)&lt;0,Ft!D$3*((1-Ft!D$6)/(1+Ft!D$37*($A309-Ft!D$2)^2)+Ft!D$6*EXP(Ft!D$38*($A309-Ft!D$2)^2)),Ft!D$3*((1-Ft!D$7)/(1+Ft!D$39*($A309-Ft!D$2)^2)+Ft!D$7*EXP(Ft!D$40*($A309-Ft!D$2)^2)))</f>
        <v>3.3008957940317754E-10</v>
      </c>
      <c r="I309" s="3">
        <f>IF(($A309-Ft!E$2)&lt;0,Ft!E$3*((1-Ft!E$6)/(1+Ft!E$37*($A309-Ft!E$2)^2)+Ft!E$6*EXP(Ft!E$38*($A309-Ft!E$2)^2)),Ft!E$3*((1-Ft!E$7)/(1+Ft!E$39*($A309-Ft!E$2)^2)+Ft!E$7*EXP(Ft!E$40*($A309-Ft!E$2)^2)))</f>
        <v>103.16134465368005</v>
      </c>
      <c r="J309" s="3">
        <f>IF(($A309-Ft!F$2)&lt;0,Ft!F$3*((1-Ft!F$6)/(1+Ft!F$37*($A309-Ft!F$2)^2)+Ft!F$6*EXP(Ft!F$38*($A309-Ft!F$2)^2)),Ft!F$3*((1-Ft!F$7)/(1+Ft!F$39*($A309-Ft!F$2)^2)+Ft!F$7*EXP(Ft!F$40*($A309-Ft!F$2)^2)))</f>
        <v>45.717109882142935</v>
      </c>
      <c r="K309" s="3">
        <f>IF(($A309-Ft!G$2)&lt;0,Ft!G$3*((1-Ft!G$6)/(1+Ft!G$37*($A309-Ft!G$2)^2)+Ft!G$6*EXP(Ft!G$38*($A309-Ft!G$2)^2)),Ft!G$3*((1-Ft!G$7)/(1+Ft!G$39*($A309-Ft!G$2)^2)+Ft!G$7*EXP(Ft!G$40*($A309-Ft!G$2)^2)))</f>
        <v>20.515344412755891</v>
      </c>
      <c r="L309" s="3">
        <f>IF(($A309-Ft!H$2)&lt;0,Ft!H$3*((1-Ft!H$6)/(1+Ft!H$37*($A309-Ft!H$2)^2)+Ft!H$6*EXP(Ft!H$38*($A309-Ft!H$2)^2)),Ft!H$3*((1-Ft!H$7)/(1+Ft!H$39*($A309-Ft!H$2)^2)+Ft!H$7*EXP(Ft!H$40*($A309-Ft!H$2)^2)))</f>
        <v>0</v>
      </c>
      <c r="M309" s="3">
        <f>IF(($A309-Ft!I$2)&lt;0,Ft!I$3*((1-Ft!I$6)/(1+Ft!I$37*($A309-Ft!I$2)^2)+Ft!I$6*EXP(Ft!I$38*($A309-Ft!I$2)^2)),Ft!I$3*((1-Ft!I$7)/(1+Ft!I$39*($A309-Ft!I$2)^2)+Ft!I$7*EXP(Ft!I$40*($A309-Ft!I$2)^2)))</f>
        <v>0</v>
      </c>
      <c r="N309" s="3">
        <f>IF(($A309-Ft!J$2)&lt;0,Ft!J$3*((1-Ft!J$6)/(1+Ft!J$37*($A309-Ft!J$2)^2)+Ft!J$6*EXP(Ft!J$38*($A309-Ft!J$2)^2)),Ft!J$3*((1-Ft!J$7)/(1+Ft!J$39*($A309-Ft!J$2)^2)+Ft!J$7*EXP(Ft!J$40*($A309-Ft!J$2)^2)))</f>
        <v>0</v>
      </c>
      <c r="O309" s="3">
        <f>IF(($A309-Ft!K$2)&lt;0,Ft!K$3*((1-Ft!K$6)/(1+Ft!K$37*($A309-Ft!K$2)^2)+Ft!K$6*EXP(Ft!K$38*($A309-Ft!K$2)^2)),Ft!K$3*((1-Ft!K$7)/(1+Ft!K$39*($A309-Ft!K$2)^2)+Ft!K$7*EXP(Ft!K$40*($A309-Ft!K$2)^2)))</f>
        <v>0</v>
      </c>
      <c r="P309"/>
      <c r="Q309"/>
    </row>
    <row r="310" spans="1:17">
      <c r="A310" s="20">
        <v>617</v>
      </c>
      <c r="B310" s="29">
        <v>55.031684338061396</v>
      </c>
      <c r="C310" s="7">
        <f t="shared" si="9"/>
        <v>54.866919172901355</v>
      </c>
      <c r="D310" s="3">
        <f t="shared" si="10"/>
        <v>2.7147559650215671E-2</v>
      </c>
      <c r="E310" s="3">
        <f>Ft!$B$12+Ft!$B$14*(Data!A310-Vars!$B$3)</f>
        <v>-200</v>
      </c>
      <c r="F310" s="3">
        <f>IF(($A310-Ft!B$2)&lt;0,Ft!B$3*((1-Ft!B$6)/(1+Ft!B$37*($A310-Ft!B$2)^2)+Ft!B$6*EXP(Ft!B$38*($A310-Ft!B$2)^2)),Ft!B$3*((1-Ft!B$7)/(1+Ft!B$39*($A310-Ft!B$2)^2)+Ft!B$7*EXP(Ft!B$40*($A310-Ft!B$2)^2)))</f>
        <v>33.748592887741118</v>
      </c>
      <c r="G310" s="3">
        <f>IF(($A310-Ft!C$2)&lt;0,Ft!C$3*((1-Ft!C$6)/(1+Ft!C$37*($A310-Ft!C$2)^2)+Ft!C$6*EXP(Ft!C$38*($A310-Ft!C$2)^2)),Ft!C$3*((1-Ft!C$7)/(1+Ft!C$39*($A310-Ft!C$2)^2)+Ft!C$7*EXP(Ft!C$40*($A310-Ft!C$2)^2)))</f>
        <v>51.431583144502547</v>
      </c>
      <c r="H310" s="3">
        <f>IF(($A310-Ft!D$2)&lt;0,Ft!D$3*((1-Ft!D$6)/(1+Ft!D$37*($A310-Ft!D$2)^2)+Ft!D$6*EXP(Ft!D$38*($A310-Ft!D$2)^2)),Ft!D$3*((1-Ft!D$7)/(1+Ft!D$39*($A310-Ft!D$2)^2)+Ft!D$7*EXP(Ft!D$40*($A310-Ft!D$2)^2)))</f>
        <v>2.0015060073716158E-10</v>
      </c>
      <c r="I310" s="3">
        <f>IF(($A310-Ft!E$2)&lt;0,Ft!E$3*((1-Ft!E$6)/(1+Ft!E$37*($A310-Ft!E$2)^2)+Ft!E$6*EXP(Ft!E$38*($A310-Ft!E$2)^2)),Ft!E$3*((1-Ft!E$7)/(1+Ft!E$39*($A310-Ft!E$2)^2)+Ft!E$7*EXP(Ft!E$40*($A310-Ft!E$2)^2)))</f>
        <v>103.47241363363493</v>
      </c>
      <c r="J310" s="3">
        <f>IF(($A310-Ft!F$2)&lt;0,Ft!F$3*((1-Ft!F$6)/(1+Ft!F$37*($A310-Ft!F$2)^2)+Ft!F$6*EXP(Ft!F$38*($A310-Ft!F$2)^2)),Ft!F$3*((1-Ft!F$7)/(1+Ft!F$39*($A310-Ft!F$2)^2)+Ft!F$7*EXP(Ft!F$40*($A310-Ft!F$2)^2)))</f>
        <v>45.974329367905504</v>
      </c>
      <c r="K310" s="3">
        <f>IF(($A310-Ft!G$2)&lt;0,Ft!G$3*((1-Ft!G$6)/(1+Ft!G$37*($A310-Ft!G$2)^2)+Ft!G$6*EXP(Ft!G$38*($A310-Ft!G$2)^2)),Ft!G$3*((1-Ft!G$7)/(1+Ft!G$39*($A310-Ft!G$2)^2)+Ft!G$7*EXP(Ft!G$40*($A310-Ft!G$2)^2)))</f>
        <v>20.240000138917097</v>
      </c>
      <c r="L310" s="3">
        <f>IF(($A310-Ft!H$2)&lt;0,Ft!H$3*((1-Ft!H$6)/(1+Ft!H$37*($A310-Ft!H$2)^2)+Ft!H$6*EXP(Ft!H$38*($A310-Ft!H$2)^2)),Ft!H$3*((1-Ft!H$7)/(1+Ft!H$39*($A310-Ft!H$2)^2)+Ft!H$7*EXP(Ft!H$40*($A310-Ft!H$2)^2)))</f>
        <v>0</v>
      </c>
      <c r="M310" s="3">
        <f>IF(($A310-Ft!I$2)&lt;0,Ft!I$3*((1-Ft!I$6)/(1+Ft!I$37*($A310-Ft!I$2)^2)+Ft!I$6*EXP(Ft!I$38*($A310-Ft!I$2)^2)),Ft!I$3*((1-Ft!I$7)/(1+Ft!I$39*($A310-Ft!I$2)^2)+Ft!I$7*EXP(Ft!I$40*($A310-Ft!I$2)^2)))</f>
        <v>0</v>
      </c>
      <c r="N310" s="3">
        <f>IF(($A310-Ft!J$2)&lt;0,Ft!J$3*((1-Ft!J$6)/(1+Ft!J$37*($A310-Ft!J$2)^2)+Ft!J$6*EXP(Ft!J$38*($A310-Ft!J$2)^2)),Ft!J$3*((1-Ft!J$7)/(1+Ft!J$39*($A310-Ft!J$2)^2)+Ft!J$7*EXP(Ft!J$40*($A310-Ft!J$2)^2)))</f>
        <v>0</v>
      </c>
      <c r="O310" s="3">
        <f>IF(($A310-Ft!K$2)&lt;0,Ft!K$3*((1-Ft!K$6)/(1+Ft!K$37*($A310-Ft!K$2)^2)+Ft!K$6*EXP(Ft!K$38*($A310-Ft!K$2)^2)),Ft!K$3*((1-Ft!K$7)/(1+Ft!K$39*($A310-Ft!K$2)^2)+Ft!K$7*EXP(Ft!K$40*($A310-Ft!K$2)^2)))</f>
        <v>0</v>
      </c>
      <c r="P310"/>
      <c r="Q310"/>
    </row>
    <row r="311" spans="1:17">
      <c r="A311" s="20">
        <v>619</v>
      </c>
      <c r="B311" s="29">
        <v>55.113229112191362</v>
      </c>
      <c r="C311" s="7">
        <f t="shared" si="9"/>
        <v>54.952459058234737</v>
      </c>
      <c r="D311" s="3">
        <f t="shared" si="10"/>
        <v>2.5847010249216193E-2</v>
      </c>
      <c r="E311" s="3">
        <f>Ft!$B$12+Ft!$B$14*(Data!A311-Vars!$B$3)</f>
        <v>-200</v>
      </c>
      <c r="F311" s="3">
        <f>IF(($A311-Ft!B$2)&lt;0,Ft!B$3*((1-Ft!B$6)/(1+Ft!B$37*($A311-Ft!B$2)^2)+Ft!B$6*EXP(Ft!B$38*($A311-Ft!B$2)^2)),Ft!B$3*((1-Ft!B$7)/(1+Ft!B$39*($A311-Ft!B$2)^2)+Ft!B$7*EXP(Ft!B$40*($A311-Ft!B$2)^2)))</f>
        <v>33.47919995896337</v>
      </c>
      <c r="G311" s="3">
        <f>IF(($A311-Ft!C$2)&lt;0,Ft!C$3*((1-Ft!C$6)/(1+Ft!C$37*($A311-Ft!C$2)^2)+Ft!C$6*EXP(Ft!C$38*($A311-Ft!C$2)^2)),Ft!C$3*((1-Ft!C$7)/(1+Ft!C$39*($A311-Ft!C$2)^2)+Ft!C$7*EXP(Ft!C$40*($A311-Ft!C$2)^2)))</f>
        <v>51.496189955073902</v>
      </c>
      <c r="H311" s="3">
        <f>IF(($A311-Ft!D$2)&lt;0,Ft!D$3*((1-Ft!D$6)/(1+Ft!D$37*($A311-Ft!D$2)^2)+Ft!D$6*EXP(Ft!D$38*($A311-Ft!D$2)^2)),Ft!D$3*((1-Ft!D$7)/(1+Ft!D$39*($A311-Ft!D$2)^2)+Ft!D$7*EXP(Ft!D$40*($A311-Ft!D$2)^2)))</f>
        <v>1.2069410779964989E-10</v>
      </c>
      <c r="I311" s="3">
        <f>IF(($A311-Ft!E$2)&lt;0,Ft!E$3*((1-Ft!E$6)/(1+Ft!E$37*($A311-Ft!E$2)^2)+Ft!E$6*EXP(Ft!E$38*($A311-Ft!E$2)^2)),Ft!E$3*((1-Ft!E$7)/(1+Ft!E$39*($A311-Ft!E$2)^2)+Ft!E$7*EXP(Ft!E$40*($A311-Ft!E$2)^2)))</f>
        <v>103.77840320816215</v>
      </c>
      <c r="J311" s="3">
        <f>IF(($A311-Ft!F$2)&lt;0,Ft!F$3*((1-Ft!F$6)/(1+Ft!F$37*($A311-Ft!F$2)^2)+Ft!F$6*EXP(Ft!F$38*($A311-Ft!F$2)^2)),Ft!F$3*((1-Ft!F$7)/(1+Ft!F$39*($A311-Ft!F$2)^2)+Ft!F$7*EXP(Ft!F$40*($A311-Ft!F$2)^2)))</f>
        <v>46.232387150649657</v>
      </c>
      <c r="K311" s="3">
        <f>IF(($A311-Ft!G$2)&lt;0,Ft!G$3*((1-Ft!G$6)/(1+Ft!G$37*($A311-Ft!G$2)^2)+Ft!G$6*EXP(Ft!G$38*($A311-Ft!G$2)^2)),Ft!G$3*((1-Ft!G$7)/(1+Ft!G$39*($A311-Ft!G$2)^2)+Ft!G$7*EXP(Ft!G$40*($A311-Ft!G$2)^2)))</f>
        <v>19.966278785264972</v>
      </c>
      <c r="L311" s="3">
        <f>IF(($A311-Ft!H$2)&lt;0,Ft!H$3*((1-Ft!H$6)/(1+Ft!H$37*($A311-Ft!H$2)^2)+Ft!H$6*EXP(Ft!H$38*($A311-Ft!H$2)^2)),Ft!H$3*((1-Ft!H$7)/(1+Ft!H$39*($A311-Ft!H$2)^2)+Ft!H$7*EXP(Ft!H$40*($A311-Ft!H$2)^2)))</f>
        <v>0</v>
      </c>
      <c r="M311" s="3">
        <f>IF(($A311-Ft!I$2)&lt;0,Ft!I$3*((1-Ft!I$6)/(1+Ft!I$37*($A311-Ft!I$2)^2)+Ft!I$6*EXP(Ft!I$38*($A311-Ft!I$2)^2)),Ft!I$3*((1-Ft!I$7)/(1+Ft!I$39*($A311-Ft!I$2)^2)+Ft!I$7*EXP(Ft!I$40*($A311-Ft!I$2)^2)))</f>
        <v>0</v>
      </c>
      <c r="N311" s="3">
        <f>IF(($A311-Ft!J$2)&lt;0,Ft!J$3*((1-Ft!J$6)/(1+Ft!J$37*($A311-Ft!J$2)^2)+Ft!J$6*EXP(Ft!J$38*($A311-Ft!J$2)^2)),Ft!J$3*((1-Ft!J$7)/(1+Ft!J$39*($A311-Ft!J$2)^2)+Ft!J$7*EXP(Ft!J$40*($A311-Ft!J$2)^2)))</f>
        <v>0</v>
      </c>
      <c r="O311" s="3">
        <f>IF(($A311-Ft!K$2)&lt;0,Ft!K$3*((1-Ft!K$6)/(1+Ft!K$37*($A311-Ft!K$2)^2)+Ft!K$6*EXP(Ft!K$38*($A311-Ft!K$2)^2)),Ft!K$3*((1-Ft!K$7)/(1+Ft!K$39*($A311-Ft!K$2)^2)+Ft!K$7*EXP(Ft!K$40*($A311-Ft!K$2)^2)))</f>
        <v>0</v>
      </c>
      <c r="P311"/>
      <c r="Q311"/>
    </row>
    <row r="312" spans="1:17">
      <c r="A312" s="20">
        <v>621</v>
      </c>
      <c r="B312" s="29">
        <v>55.192700317331486</v>
      </c>
      <c r="C312" s="7">
        <f t="shared" si="9"/>
        <v>55.036504641451486</v>
      </c>
      <c r="D312" s="3">
        <f t="shared" si="10"/>
        <v>2.439708916360982E-2</v>
      </c>
      <c r="E312" s="3">
        <f>Ft!$B$12+Ft!$B$14*(Data!A312-Vars!$B$3)</f>
        <v>-200</v>
      </c>
      <c r="F312" s="3">
        <f>IF(($A312-Ft!B$2)&lt;0,Ft!B$3*((1-Ft!B$6)/(1+Ft!B$37*($A312-Ft!B$2)^2)+Ft!B$6*EXP(Ft!B$38*($A312-Ft!B$2)^2)),Ft!B$3*((1-Ft!B$7)/(1+Ft!B$39*($A312-Ft!B$2)^2)+Ft!B$7*EXP(Ft!B$40*($A312-Ft!B$2)^2)))</f>
        <v>33.211323515522757</v>
      </c>
      <c r="G312" s="3">
        <f>IF(($A312-Ft!C$2)&lt;0,Ft!C$3*((1-Ft!C$6)/(1+Ft!C$37*($A312-Ft!C$2)^2)+Ft!C$6*EXP(Ft!C$38*($A312-Ft!C$2)^2)),Ft!C$3*((1-Ft!C$7)/(1+Ft!C$39*($A312-Ft!C$2)^2)+Ft!C$7*EXP(Ft!C$40*($A312-Ft!C$2)^2)))</f>
        <v>51.560422344559022</v>
      </c>
      <c r="H312" s="3">
        <f>IF(($A312-Ft!D$2)&lt;0,Ft!D$3*((1-Ft!D$6)/(1+Ft!D$37*($A312-Ft!D$2)^2)+Ft!D$6*EXP(Ft!D$38*($A312-Ft!D$2)^2)),Ft!D$3*((1-Ft!D$7)/(1+Ft!D$39*($A312-Ft!D$2)^2)+Ft!D$7*EXP(Ft!D$40*($A312-Ft!D$2)^2)))</f>
        <v>7.2380124612523489E-11</v>
      </c>
      <c r="I312" s="3">
        <f>IF(($A312-Ft!E$2)&lt;0,Ft!E$3*((1-Ft!E$6)/(1+Ft!E$37*($A312-Ft!E$2)^2)+Ft!E$6*EXP(Ft!E$38*($A312-Ft!E$2)^2)),Ft!E$3*((1-Ft!E$7)/(1+Ft!E$39*($A312-Ft!E$2)^2)+Ft!E$7*EXP(Ft!E$40*($A312-Ft!E$2)^2)))</f>
        <v>104.07926282155363</v>
      </c>
      <c r="J312" s="3">
        <f>IF(($A312-Ft!F$2)&lt;0,Ft!F$3*((1-Ft!F$6)/(1+Ft!F$37*($A312-Ft!F$2)^2)+Ft!F$6*EXP(Ft!F$38*($A312-Ft!F$2)^2)),Ft!F$3*((1-Ft!F$7)/(1+Ft!F$39*($A312-Ft!F$2)^2)+Ft!F$7*EXP(Ft!F$40*($A312-Ft!F$2)^2)))</f>
        <v>46.491281119311012</v>
      </c>
      <c r="K312" s="3">
        <f>IF(($A312-Ft!G$2)&lt;0,Ft!G$3*((1-Ft!G$6)/(1+Ft!G$37*($A312-Ft!G$2)^2)+Ft!G$6*EXP(Ft!G$38*($A312-Ft!G$2)^2)),Ft!G$3*((1-Ft!G$7)/(1+Ft!G$39*($A312-Ft!G$2)^2)+Ft!G$7*EXP(Ft!G$40*($A312-Ft!G$2)^2)))</f>
        <v>19.694214840432696</v>
      </c>
      <c r="L312" s="3">
        <f>IF(($A312-Ft!H$2)&lt;0,Ft!H$3*((1-Ft!H$6)/(1+Ft!H$37*($A312-Ft!H$2)^2)+Ft!H$6*EXP(Ft!H$38*($A312-Ft!H$2)^2)),Ft!H$3*((1-Ft!H$7)/(1+Ft!H$39*($A312-Ft!H$2)^2)+Ft!H$7*EXP(Ft!H$40*($A312-Ft!H$2)^2)))</f>
        <v>0</v>
      </c>
      <c r="M312" s="3">
        <f>IF(($A312-Ft!I$2)&lt;0,Ft!I$3*((1-Ft!I$6)/(1+Ft!I$37*($A312-Ft!I$2)^2)+Ft!I$6*EXP(Ft!I$38*($A312-Ft!I$2)^2)),Ft!I$3*((1-Ft!I$7)/(1+Ft!I$39*($A312-Ft!I$2)^2)+Ft!I$7*EXP(Ft!I$40*($A312-Ft!I$2)^2)))</f>
        <v>0</v>
      </c>
      <c r="N312" s="3">
        <f>IF(($A312-Ft!J$2)&lt;0,Ft!J$3*((1-Ft!J$6)/(1+Ft!J$37*($A312-Ft!J$2)^2)+Ft!J$6*EXP(Ft!J$38*($A312-Ft!J$2)^2)),Ft!J$3*((1-Ft!J$7)/(1+Ft!J$39*($A312-Ft!J$2)^2)+Ft!J$7*EXP(Ft!J$40*($A312-Ft!J$2)^2)))</f>
        <v>0</v>
      </c>
      <c r="O312" s="3">
        <f>IF(($A312-Ft!K$2)&lt;0,Ft!K$3*((1-Ft!K$6)/(1+Ft!K$37*($A312-Ft!K$2)^2)+Ft!K$6*EXP(Ft!K$38*($A312-Ft!K$2)^2)),Ft!K$3*((1-Ft!K$7)/(1+Ft!K$39*($A312-Ft!K$2)^2)+Ft!K$7*EXP(Ft!K$40*($A312-Ft!K$2)^2)))</f>
        <v>0</v>
      </c>
      <c r="P312"/>
      <c r="Q312"/>
    </row>
    <row r="313" spans="1:17">
      <c r="A313" s="20">
        <v>623</v>
      </c>
      <c r="B313" s="29">
        <v>55.27008645097284</v>
      </c>
      <c r="C313" s="7">
        <f t="shared" si="9"/>
        <v>55.119033912401378</v>
      </c>
      <c r="D313" s="3">
        <f t="shared" si="10"/>
        <v>2.2816869408883302E-2</v>
      </c>
      <c r="E313" s="3">
        <f>Ft!$B$12+Ft!$B$14*(Data!A313-Vars!$B$3)</f>
        <v>-200</v>
      </c>
      <c r="F313" s="3">
        <f>IF(($A313-Ft!B$2)&lt;0,Ft!B$3*((1-Ft!B$6)/(1+Ft!B$37*($A313-Ft!B$2)^2)+Ft!B$6*EXP(Ft!B$38*($A313-Ft!B$2)^2)),Ft!B$3*((1-Ft!B$7)/(1+Ft!B$39*($A313-Ft!B$2)^2)+Ft!B$7*EXP(Ft!B$40*($A313-Ft!B$2)^2)))</f>
        <v>32.944961608367549</v>
      </c>
      <c r="G313" s="3">
        <f>IF(($A313-Ft!C$2)&lt;0,Ft!C$3*((1-Ft!C$6)/(1+Ft!C$37*($A313-Ft!C$2)^2)+Ft!C$6*EXP(Ft!C$38*($A313-Ft!C$2)^2)),Ft!C$3*((1-Ft!C$7)/(1+Ft!C$39*($A313-Ft!C$2)^2)+Ft!C$7*EXP(Ft!C$40*($A313-Ft!C$2)^2)))</f>
        <v>51.624278710145255</v>
      </c>
      <c r="H313" s="3">
        <f>IF(($A313-Ft!D$2)&lt;0,Ft!D$3*((1-Ft!D$6)/(1+Ft!D$37*($A313-Ft!D$2)^2)+Ft!D$6*EXP(Ft!D$38*($A313-Ft!D$2)^2)),Ft!D$3*((1-Ft!D$7)/(1+Ft!D$39*($A313-Ft!D$2)^2)+Ft!D$7*EXP(Ft!D$40*($A313-Ft!D$2)^2)))</f>
        <v>4.3167477504258092E-11</v>
      </c>
      <c r="I313" s="3">
        <f>IF(($A313-Ft!E$2)&lt;0,Ft!E$3*((1-Ft!E$6)/(1+Ft!E$37*($A313-Ft!E$2)^2)+Ft!E$6*EXP(Ft!E$38*($A313-Ft!E$2)^2)),Ft!E$3*((1-Ft!E$7)/(1+Ft!E$39*($A313-Ft!E$2)^2)+Ft!E$7*EXP(Ft!E$40*($A313-Ft!E$2)^2)))</f>
        <v>104.3749426636721</v>
      </c>
      <c r="J313" s="3">
        <f>IF(($A313-Ft!F$2)&lt;0,Ft!F$3*((1-Ft!F$6)/(1+Ft!F$37*($A313-Ft!F$2)^2)+Ft!F$6*EXP(Ft!F$38*($A313-Ft!F$2)^2)),Ft!F$3*((1-Ft!F$7)/(1+Ft!F$39*($A313-Ft!F$2)^2)+Ft!F$7*EXP(Ft!F$40*($A313-Ft!F$2)^2)))</f>
        <v>46.751009117858636</v>
      </c>
      <c r="K313" s="3">
        <f>IF(($A313-Ft!G$2)&lt;0,Ft!G$3*((1-Ft!G$6)/(1+Ft!G$37*($A313-Ft!G$2)^2)+Ft!G$6*EXP(Ft!G$38*($A313-Ft!G$2)^2)),Ft!G$3*((1-Ft!G$7)/(1+Ft!G$39*($A313-Ft!G$2)^2)+Ft!G$7*EXP(Ft!G$40*($A313-Ft!G$2)^2)))</f>
        <v>19.423841812314659</v>
      </c>
      <c r="L313" s="3">
        <f>IF(($A313-Ft!H$2)&lt;0,Ft!H$3*((1-Ft!H$6)/(1+Ft!H$37*($A313-Ft!H$2)^2)+Ft!H$6*EXP(Ft!H$38*($A313-Ft!H$2)^2)),Ft!H$3*((1-Ft!H$7)/(1+Ft!H$39*($A313-Ft!H$2)^2)+Ft!H$7*EXP(Ft!H$40*($A313-Ft!H$2)^2)))</f>
        <v>0</v>
      </c>
      <c r="M313" s="3">
        <f>IF(($A313-Ft!I$2)&lt;0,Ft!I$3*((1-Ft!I$6)/(1+Ft!I$37*($A313-Ft!I$2)^2)+Ft!I$6*EXP(Ft!I$38*($A313-Ft!I$2)^2)),Ft!I$3*((1-Ft!I$7)/(1+Ft!I$39*($A313-Ft!I$2)^2)+Ft!I$7*EXP(Ft!I$40*($A313-Ft!I$2)^2)))</f>
        <v>0</v>
      </c>
      <c r="N313" s="3">
        <f>IF(($A313-Ft!J$2)&lt;0,Ft!J$3*((1-Ft!J$6)/(1+Ft!J$37*($A313-Ft!J$2)^2)+Ft!J$6*EXP(Ft!J$38*($A313-Ft!J$2)^2)),Ft!J$3*((1-Ft!J$7)/(1+Ft!J$39*($A313-Ft!J$2)^2)+Ft!J$7*EXP(Ft!J$40*($A313-Ft!J$2)^2)))</f>
        <v>0</v>
      </c>
      <c r="O313" s="3">
        <f>IF(($A313-Ft!K$2)&lt;0,Ft!K$3*((1-Ft!K$6)/(1+Ft!K$37*($A313-Ft!K$2)^2)+Ft!K$6*EXP(Ft!K$38*($A313-Ft!K$2)^2)),Ft!K$3*((1-Ft!K$7)/(1+Ft!K$39*($A313-Ft!K$2)^2)+Ft!K$7*EXP(Ft!K$40*($A313-Ft!K$2)^2)))</f>
        <v>0</v>
      </c>
      <c r="P313"/>
      <c r="Q313"/>
    </row>
    <row r="314" spans="1:17">
      <c r="A314" s="20">
        <v>625</v>
      </c>
      <c r="B314" s="29">
        <v>55.34537628069323</v>
      </c>
      <c r="C314" s="7">
        <f t="shared" si="9"/>
        <v>55.200024531163848</v>
      </c>
      <c r="D314" s="3">
        <f t="shared" si="10"/>
        <v>2.1127131091252301E-2</v>
      </c>
      <c r="E314" s="3">
        <f>Ft!$B$12+Ft!$B$14*(Data!A314-Vars!$B$3)</f>
        <v>-200</v>
      </c>
      <c r="F314" s="3">
        <f>IF(($A314-Ft!B$2)&lt;0,Ft!B$3*((1-Ft!B$6)/(1+Ft!B$37*($A314-Ft!B$2)^2)+Ft!B$6*EXP(Ft!B$38*($A314-Ft!B$2)^2)),Ft!B$3*((1-Ft!B$7)/(1+Ft!B$39*($A314-Ft!B$2)^2)+Ft!B$7*EXP(Ft!B$40*($A314-Ft!B$2)^2)))</f>
        <v>32.680112217685377</v>
      </c>
      <c r="G314" s="3">
        <f>IF(($A314-Ft!C$2)&lt;0,Ft!C$3*((1-Ft!C$6)/(1+Ft!C$37*($A314-Ft!C$2)^2)+Ft!C$6*EXP(Ft!C$38*($A314-Ft!C$2)^2)),Ft!C$3*((1-Ft!C$7)/(1+Ft!C$39*($A314-Ft!C$2)^2)+Ft!C$7*EXP(Ft!C$40*($A314-Ft!C$2)^2)))</f>
        <v>51.687757457001346</v>
      </c>
      <c r="H314" s="3">
        <f>IF(($A314-Ft!D$2)&lt;0,Ft!D$3*((1-Ft!D$6)/(1+Ft!D$37*($A314-Ft!D$2)^2)+Ft!D$6*EXP(Ft!D$38*($A314-Ft!D$2)^2)),Ft!D$3*((1-Ft!D$7)/(1+Ft!D$39*($A314-Ft!D$2)^2)+Ft!D$7*EXP(Ft!D$40*($A314-Ft!D$2)^2)))</f>
        <v>2.5603427243104513E-11</v>
      </c>
      <c r="I314" s="3">
        <f>IF(($A314-Ft!E$2)&lt;0,Ft!E$3*((1-Ft!E$6)/(1+Ft!E$37*($A314-Ft!E$2)^2)+Ft!E$6*EXP(Ft!E$38*($A314-Ft!E$2)^2)),Ft!E$3*((1-Ft!E$7)/(1+Ft!E$39*($A314-Ft!E$2)^2)+Ft!E$7*EXP(Ft!E$40*($A314-Ft!E$2)^2)))</f>
        <v>104.66539368368105</v>
      </c>
      <c r="J314" s="3">
        <f>IF(($A314-Ft!F$2)&lt;0,Ft!F$3*((1-Ft!F$6)/(1+Ft!F$37*($A314-Ft!F$2)^2)+Ft!F$6*EXP(Ft!F$38*($A314-Ft!F$2)^2)),Ft!F$3*((1-Ft!F$7)/(1+Ft!F$39*($A314-Ft!F$2)^2)+Ft!F$7*EXP(Ft!F$40*($A314-Ft!F$2)^2)))</f>
        <v>47.011568945156995</v>
      </c>
      <c r="K314" s="3">
        <f>IF(($A314-Ft!G$2)&lt;0,Ft!G$3*((1-Ft!G$6)/(1+Ft!G$37*($A314-Ft!G$2)^2)+Ft!G$6*EXP(Ft!G$38*($A314-Ft!G$2)^2)),Ft!G$3*((1-Ft!G$7)/(1+Ft!G$39*($A314-Ft!G$2)^2)+Ft!G$7*EXP(Ft!G$40*($A314-Ft!G$2)^2)))</f>
        <v>19.155192227613487</v>
      </c>
      <c r="L314" s="3">
        <f>IF(($A314-Ft!H$2)&lt;0,Ft!H$3*((1-Ft!H$6)/(1+Ft!H$37*($A314-Ft!H$2)^2)+Ft!H$6*EXP(Ft!H$38*($A314-Ft!H$2)^2)),Ft!H$3*((1-Ft!H$7)/(1+Ft!H$39*($A314-Ft!H$2)^2)+Ft!H$7*EXP(Ft!H$40*($A314-Ft!H$2)^2)))</f>
        <v>0</v>
      </c>
      <c r="M314" s="3">
        <f>IF(($A314-Ft!I$2)&lt;0,Ft!I$3*((1-Ft!I$6)/(1+Ft!I$37*($A314-Ft!I$2)^2)+Ft!I$6*EXP(Ft!I$38*($A314-Ft!I$2)^2)),Ft!I$3*((1-Ft!I$7)/(1+Ft!I$39*($A314-Ft!I$2)^2)+Ft!I$7*EXP(Ft!I$40*($A314-Ft!I$2)^2)))</f>
        <v>0</v>
      </c>
      <c r="N314" s="3">
        <f>IF(($A314-Ft!J$2)&lt;0,Ft!J$3*((1-Ft!J$6)/(1+Ft!J$37*($A314-Ft!J$2)^2)+Ft!J$6*EXP(Ft!J$38*($A314-Ft!J$2)^2)),Ft!J$3*((1-Ft!J$7)/(1+Ft!J$39*($A314-Ft!J$2)^2)+Ft!J$7*EXP(Ft!J$40*($A314-Ft!J$2)^2)))</f>
        <v>0</v>
      </c>
      <c r="O314" s="3">
        <f>IF(($A314-Ft!K$2)&lt;0,Ft!K$3*((1-Ft!K$6)/(1+Ft!K$37*($A314-Ft!K$2)^2)+Ft!K$6*EXP(Ft!K$38*($A314-Ft!K$2)^2)),Ft!K$3*((1-Ft!K$7)/(1+Ft!K$39*($A314-Ft!K$2)^2)+Ft!K$7*EXP(Ft!K$40*($A314-Ft!K$2)^2)))</f>
        <v>0</v>
      </c>
      <c r="P314"/>
      <c r="Q314"/>
    </row>
    <row r="315" spans="1:17">
      <c r="A315" s="20">
        <v>627</v>
      </c>
      <c r="B315" s="29">
        <v>55.418558876519469</v>
      </c>
      <c r="C315" s="7">
        <f t="shared" si="9"/>
        <v>55.27945384230604</v>
      </c>
      <c r="D315" s="3">
        <f t="shared" si="10"/>
        <v>1.9350210543519319E-2</v>
      </c>
      <c r="E315" s="3">
        <f>Ft!$B$12+Ft!$B$14*(Data!A315-Vars!$B$3)</f>
        <v>-200</v>
      </c>
      <c r="F315" s="3">
        <f>IF(($A315-Ft!B$2)&lt;0,Ft!B$3*((1-Ft!B$6)/(1+Ft!B$37*($A315-Ft!B$2)^2)+Ft!B$6*EXP(Ft!B$38*($A315-Ft!B$2)^2)),Ft!B$3*((1-Ft!B$7)/(1+Ft!B$39*($A315-Ft!B$2)^2)+Ft!B$7*EXP(Ft!B$40*($A315-Ft!B$2)^2)))</f>
        <v>32.416773253624335</v>
      </c>
      <c r="G315" s="3">
        <f>IF(($A315-Ft!C$2)&lt;0,Ft!C$3*((1-Ft!C$6)/(1+Ft!C$37*($A315-Ft!C$2)^2)+Ft!C$6*EXP(Ft!C$38*($A315-Ft!C$2)^2)),Ft!C$3*((1-Ft!C$7)/(1+Ft!C$39*($A315-Ft!C$2)^2)+Ft!C$7*EXP(Ft!C$40*($A315-Ft!C$2)^2)))</f>
        <v>51.750856998343714</v>
      </c>
      <c r="H315" s="3">
        <f>IF(($A315-Ft!D$2)&lt;0,Ft!D$3*((1-Ft!D$6)/(1+Ft!D$37*($A315-Ft!D$2)^2)+Ft!D$6*EXP(Ft!D$38*($A315-Ft!D$2)^2)),Ft!D$3*((1-Ft!D$7)/(1+Ft!D$39*($A315-Ft!D$2)^2)+Ft!D$7*EXP(Ft!D$40*($A315-Ft!D$2)^2)))</f>
        <v>1.5102318406211359E-11</v>
      </c>
      <c r="I315" s="3">
        <f>IF(($A315-Ft!E$2)&lt;0,Ft!E$3*((1-Ft!E$6)/(1+Ft!E$37*($A315-Ft!E$2)^2)+Ft!E$6*EXP(Ft!E$38*($A315-Ft!E$2)^2)),Ft!E$3*((1-Ft!E$7)/(1+Ft!E$39*($A315-Ft!E$2)^2)+Ft!E$7*EXP(Ft!E$40*($A315-Ft!E$2)^2)))</f>
        <v>104.95056760359351</v>
      </c>
      <c r="J315" s="3">
        <f>IF(($A315-Ft!F$2)&lt;0,Ft!F$3*((1-Ft!F$6)/(1+Ft!F$37*($A315-Ft!F$2)^2)+Ft!F$6*EXP(Ft!F$38*($A315-Ft!F$2)^2)),Ft!F$3*((1-Ft!F$7)/(1+Ft!F$39*($A315-Ft!F$2)^2)+Ft!F$7*EXP(Ft!F$40*($A315-Ft!F$2)^2)))</f>
        <v>47.272958354830401</v>
      </c>
      <c r="K315" s="3">
        <f>IF(($A315-Ft!G$2)&lt;0,Ft!G$3*((1-Ft!G$6)/(1+Ft!G$37*($A315-Ft!G$2)^2)+Ft!G$6*EXP(Ft!G$38*($A315-Ft!G$2)^2)),Ft!G$3*((1-Ft!G$7)/(1+Ft!G$39*($A315-Ft!G$2)^2)+Ft!G$7*EXP(Ft!G$40*($A315-Ft!G$2)^2)))</f>
        <v>18.888297631898961</v>
      </c>
      <c r="L315" s="3">
        <f>IF(($A315-Ft!H$2)&lt;0,Ft!H$3*((1-Ft!H$6)/(1+Ft!H$37*($A315-Ft!H$2)^2)+Ft!H$6*EXP(Ft!H$38*($A315-Ft!H$2)^2)),Ft!H$3*((1-Ft!H$7)/(1+Ft!H$39*($A315-Ft!H$2)^2)+Ft!H$7*EXP(Ft!H$40*($A315-Ft!H$2)^2)))</f>
        <v>0</v>
      </c>
      <c r="M315" s="3">
        <f>IF(($A315-Ft!I$2)&lt;0,Ft!I$3*((1-Ft!I$6)/(1+Ft!I$37*($A315-Ft!I$2)^2)+Ft!I$6*EXP(Ft!I$38*($A315-Ft!I$2)^2)),Ft!I$3*((1-Ft!I$7)/(1+Ft!I$39*($A315-Ft!I$2)^2)+Ft!I$7*EXP(Ft!I$40*($A315-Ft!I$2)^2)))</f>
        <v>0</v>
      </c>
      <c r="N315" s="3">
        <f>IF(($A315-Ft!J$2)&lt;0,Ft!J$3*((1-Ft!J$6)/(1+Ft!J$37*($A315-Ft!J$2)^2)+Ft!J$6*EXP(Ft!J$38*($A315-Ft!J$2)^2)),Ft!J$3*((1-Ft!J$7)/(1+Ft!J$39*($A315-Ft!J$2)^2)+Ft!J$7*EXP(Ft!J$40*($A315-Ft!J$2)^2)))</f>
        <v>0</v>
      </c>
      <c r="O315" s="3">
        <f>IF(($A315-Ft!K$2)&lt;0,Ft!K$3*((1-Ft!K$6)/(1+Ft!K$37*($A315-Ft!K$2)^2)+Ft!K$6*EXP(Ft!K$38*($A315-Ft!K$2)^2)),Ft!K$3*((1-Ft!K$7)/(1+Ft!K$39*($A315-Ft!K$2)^2)+Ft!K$7*EXP(Ft!K$40*($A315-Ft!K$2)^2)))</f>
        <v>0</v>
      </c>
      <c r="P315"/>
      <c r="Q315"/>
    </row>
    <row r="316" spans="1:17">
      <c r="A316" s="20">
        <v>629</v>
      </c>
      <c r="B316" s="29">
        <v>55.48962365104083</v>
      </c>
      <c r="C316" s="7">
        <f t="shared" si="9"/>
        <v>55.357298889462243</v>
      </c>
      <c r="D316" s="3">
        <f t="shared" si="10"/>
        <v>1.7509842526830004E-2</v>
      </c>
      <c r="E316" s="3">
        <f>Ft!$B$12+Ft!$B$14*(Data!A316-Vars!$B$3)</f>
        <v>-200</v>
      </c>
      <c r="F316" s="3">
        <f>IF(($A316-Ft!B$2)&lt;0,Ft!B$3*((1-Ft!B$6)/(1+Ft!B$37*($A316-Ft!B$2)^2)+Ft!B$6*EXP(Ft!B$38*($A316-Ft!B$2)^2)),Ft!B$3*((1-Ft!B$7)/(1+Ft!B$39*($A316-Ft!B$2)^2)+Ft!B$7*EXP(Ft!B$40*($A316-Ft!B$2)^2)))</f>
        <v>32.154942557014977</v>
      </c>
      <c r="G316" s="3">
        <f>IF(($A316-Ft!C$2)&lt;0,Ft!C$3*((1-Ft!C$6)/(1+Ft!C$37*($A316-Ft!C$2)^2)+Ft!C$6*EXP(Ft!C$38*($A316-Ft!C$2)^2)),Ft!C$3*((1-Ft!C$7)/(1+Ft!C$39*($A316-Ft!C$2)^2)+Ft!C$7*EXP(Ft!C$40*($A316-Ft!C$2)^2)))</f>
        <v>51.81357575550247</v>
      </c>
      <c r="H316" s="3">
        <f>IF(($A316-Ft!D$2)&lt;0,Ft!D$3*((1-Ft!D$6)/(1+Ft!D$37*($A316-Ft!D$2)^2)+Ft!D$6*EXP(Ft!D$38*($A316-Ft!D$2)^2)),Ft!D$3*((1-Ft!D$7)/(1+Ft!D$39*($A316-Ft!D$2)^2)+Ft!D$7*EXP(Ft!D$40*($A316-Ft!D$2)^2)))</f>
        <v>8.8591739369504184E-12</v>
      </c>
      <c r="I316" s="3">
        <f>IF(($A316-Ft!E$2)&lt;0,Ft!E$3*((1-Ft!E$6)/(1+Ft!E$37*($A316-Ft!E$2)^2)+Ft!E$6*EXP(Ft!E$38*($A316-Ft!E$2)^2)),Ft!E$3*((1-Ft!E$7)/(1+Ft!E$39*($A316-Ft!E$2)^2)+Ft!E$7*EXP(Ft!E$40*($A316-Ft!E$2)^2)))</f>
        <v>105.23041693163474</v>
      </c>
      <c r="J316" s="3">
        <f>IF(($A316-Ft!F$2)&lt;0,Ft!F$3*((1-Ft!F$6)/(1+Ft!F$37*($A316-Ft!F$2)^2)+Ft!F$6*EXP(Ft!F$38*($A316-Ft!F$2)^2)),Ft!F$3*((1-Ft!F$7)/(1+Ft!F$39*($A316-Ft!F$2)^2)+Ft!F$7*EXP(Ft!F$40*($A316-Ft!F$2)^2)))</f>
        <v>47.535175055129422</v>
      </c>
      <c r="K316" s="3">
        <f>IF(($A316-Ft!G$2)&lt;0,Ft!G$3*((1-Ft!G$6)/(1+Ft!G$37*($A316-Ft!G$2)^2)+Ft!G$6*EXP(Ft!G$38*($A316-Ft!G$2)^2)),Ft!G$3*((1-Ft!G$7)/(1+Ft!G$39*($A316-Ft!G$2)^2)+Ft!G$7*EXP(Ft!G$40*($A316-Ft!G$2)^2)))</f>
        <v>18.62318859017179</v>
      </c>
      <c r="L316" s="3">
        <f>IF(($A316-Ft!H$2)&lt;0,Ft!H$3*((1-Ft!H$6)/(1+Ft!H$37*($A316-Ft!H$2)^2)+Ft!H$6*EXP(Ft!H$38*($A316-Ft!H$2)^2)),Ft!H$3*((1-Ft!H$7)/(1+Ft!H$39*($A316-Ft!H$2)^2)+Ft!H$7*EXP(Ft!H$40*($A316-Ft!H$2)^2)))</f>
        <v>0</v>
      </c>
      <c r="M316" s="3">
        <f>IF(($A316-Ft!I$2)&lt;0,Ft!I$3*((1-Ft!I$6)/(1+Ft!I$37*($A316-Ft!I$2)^2)+Ft!I$6*EXP(Ft!I$38*($A316-Ft!I$2)^2)),Ft!I$3*((1-Ft!I$7)/(1+Ft!I$39*($A316-Ft!I$2)^2)+Ft!I$7*EXP(Ft!I$40*($A316-Ft!I$2)^2)))</f>
        <v>0</v>
      </c>
      <c r="N316" s="3">
        <f>IF(($A316-Ft!J$2)&lt;0,Ft!J$3*((1-Ft!J$6)/(1+Ft!J$37*($A316-Ft!J$2)^2)+Ft!J$6*EXP(Ft!J$38*($A316-Ft!J$2)^2)),Ft!J$3*((1-Ft!J$7)/(1+Ft!J$39*($A316-Ft!J$2)^2)+Ft!J$7*EXP(Ft!J$40*($A316-Ft!J$2)^2)))</f>
        <v>0</v>
      </c>
      <c r="O316" s="3">
        <f>IF(($A316-Ft!K$2)&lt;0,Ft!K$3*((1-Ft!K$6)/(1+Ft!K$37*($A316-Ft!K$2)^2)+Ft!K$6*EXP(Ft!K$38*($A316-Ft!K$2)^2)),Ft!K$3*((1-Ft!K$7)/(1+Ft!K$39*($A316-Ft!K$2)^2)+Ft!K$7*EXP(Ft!K$40*($A316-Ft!K$2)^2)))</f>
        <v>0</v>
      </c>
      <c r="P316"/>
      <c r="Q316"/>
    </row>
    <row r="317" spans="1:17">
      <c r="A317" s="20">
        <v>631</v>
      </c>
      <c r="B317" s="29">
        <v>55.558560408332156</v>
      </c>
      <c r="C317" s="7">
        <f t="shared" si="9"/>
        <v>55.433536430223278</v>
      </c>
      <c r="D317" s="3">
        <f t="shared" si="10"/>
        <v>1.5630995102169205E-2</v>
      </c>
      <c r="E317" s="3">
        <f>Ft!$B$12+Ft!$B$14*(Data!A317-Vars!$B$3)</f>
        <v>-200</v>
      </c>
      <c r="F317" s="3">
        <f>IF(($A317-Ft!B$2)&lt;0,Ft!B$3*((1-Ft!B$6)/(1+Ft!B$37*($A317-Ft!B$2)^2)+Ft!B$6*EXP(Ft!B$38*($A317-Ft!B$2)^2)),Ft!B$3*((1-Ft!B$7)/(1+Ft!B$39*($A317-Ft!B$2)^2)+Ft!B$7*EXP(Ft!B$40*($A317-Ft!B$2)^2)))</f>
        <v>31.894617900092989</v>
      </c>
      <c r="G317" s="3">
        <f>IF(($A317-Ft!C$2)&lt;0,Ft!C$3*((1-Ft!C$6)/(1+Ft!C$37*($A317-Ft!C$2)^2)+Ft!C$6*EXP(Ft!C$38*($A317-Ft!C$2)^2)),Ft!C$3*((1-Ft!C$7)/(1+Ft!C$39*($A317-Ft!C$2)^2)+Ft!C$7*EXP(Ft!C$40*($A317-Ft!C$2)^2)))</f>
        <v>51.875912157987166</v>
      </c>
      <c r="H317" s="3">
        <f>IF(($A317-Ft!D$2)&lt;0,Ft!D$3*((1-Ft!D$6)/(1+Ft!D$37*($A317-Ft!D$2)^2)+Ft!D$6*EXP(Ft!D$38*($A317-Ft!D$2)^2)),Ft!D$3*((1-Ft!D$7)/(1+Ft!D$39*($A317-Ft!D$2)^2)+Ft!D$7*EXP(Ft!D$40*($A317-Ft!D$2)^2)))</f>
        <v>5.1682905614291354E-12</v>
      </c>
      <c r="I317" s="3">
        <f>IF(($A317-Ft!E$2)&lt;0,Ft!E$3*((1-Ft!E$6)/(1+Ft!E$37*($A317-Ft!E$2)^2)+Ft!E$6*EXP(Ft!E$38*($A317-Ft!E$2)^2)),Ft!E$3*((1-Ft!E$7)/(1+Ft!E$39*($A317-Ft!E$2)^2)+Ft!E$7*EXP(Ft!E$40*($A317-Ft!E$2)^2)))</f>
        <v>105.50489497541335</v>
      </c>
      <c r="J317" s="3">
        <f>IF(($A317-Ft!F$2)&lt;0,Ft!F$3*((1-Ft!F$6)/(1+Ft!F$37*($A317-Ft!F$2)^2)+Ft!F$6*EXP(Ft!F$38*($A317-Ft!F$2)^2)),Ft!F$3*((1-Ft!F$7)/(1+Ft!F$39*($A317-Ft!F$2)^2)+Ft!F$7*EXP(Ft!F$40*($A317-Ft!F$2)^2)))</f>
        <v>47.798216708799792</v>
      </c>
      <c r="K317" s="3">
        <f>IF(($A317-Ft!G$2)&lt;0,Ft!G$3*((1-Ft!G$6)/(1+Ft!G$37*($A317-Ft!G$2)^2)+Ft!G$6*EXP(Ft!G$38*($A317-Ft!G$2)^2)),Ft!G$3*((1-Ft!G$7)/(1+Ft!G$39*($A317-Ft!G$2)^2)+Ft!G$7*EXP(Ft!G$40*($A317-Ft!G$2)^2)))</f>
        <v>18.359894687924822</v>
      </c>
      <c r="L317" s="3">
        <f>IF(($A317-Ft!H$2)&lt;0,Ft!H$3*((1-Ft!H$6)/(1+Ft!H$37*($A317-Ft!H$2)^2)+Ft!H$6*EXP(Ft!H$38*($A317-Ft!H$2)^2)),Ft!H$3*((1-Ft!H$7)/(1+Ft!H$39*($A317-Ft!H$2)^2)+Ft!H$7*EXP(Ft!H$40*($A317-Ft!H$2)^2)))</f>
        <v>0</v>
      </c>
      <c r="M317" s="3">
        <f>IF(($A317-Ft!I$2)&lt;0,Ft!I$3*((1-Ft!I$6)/(1+Ft!I$37*($A317-Ft!I$2)^2)+Ft!I$6*EXP(Ft!I$38*($A317-Ft!I$2)^2)),Ft!I$3*((1-Ft!I$7)/(1+Ft!I$39*($A317-Ft!I$2)^2)+Ft!I$7*EXP(Ft!I$40*($A317-Ft!I$2)^2)))</f>
        <v>0</v>
      </c>
      <c r="N317" s="3">
        <f>IF(($A317-Ft!J$2)&lt;0,Ft!J$3*((1-Ft!J$6)/(1+Ft!J$37*($A317-Ft!J$2)^2)+Ft!J$6*EXP(Ft!J$38*($A317-Ft!J$2)^2)),Ft!J$3*((1-Ft!J$7)/(1+Ft!J$39*($A317-Ft!J$2)^2)+Ft!J$7*EXP(Ft!J$40*($A317-Ft!J$2)^2)))</f>
        <v>0</v>
      </c>
      <c r="O317" s="3">
        <f>IF(($A317-Ft!K$2)&lt;0,Ft!K$3*((1-Ft!K$6)/(1+Ft!K$37*($A317-Ft!K$2)^2)+Ft!K$6*EXP(Ft!K$38*($A317-Ft!K$2)^2)),Ft!K$3*((1-Ft!K$7)/(1+Ft!K$39*($A317-Ft!K$2)^2)+Ft!K$7*EXP(Ft!K$40*($A317-Ft!K$2)^2)))</f>
        <v>0</v>
      </c>
      <c r="P317"/>
      <c r="Q317"/>
    </row>
    <row r="318" spans="1:17">
      <c r="A318" s="20">
        <v>633</v>
      </c>
      <c r="B318" s="29">
        <v>55.625359402909112</v>
      </c>
      <c r="C318" s="7">
        <f t="shared" si="9"/>
        <v>55.508142951321297</v>
      </c>
      <c r="D318" s="3">
        <f t="shared" si="10"/>
        <v>1.3739696522838608E-2</v>
      </c>
      <c r="E318" s="3">
        <f>Ft!$B$12+Ft!$B$14*(Data!A318-Vars!$B$3)</f>
        <v>-200</v>
      </c>
      <c r="F318" s="3">
        <f>IF(($A318-Ft!B$2)&lt;0,Ft!B$3*((1-Ft!B$6)/(1+Ft!B$37*($A318-Ft!B$2)^2)+Ft!B$6*EXP(Ft!B$38*($A318-Ft!B$2)^2)),Ft!B$3*((1-Ft!B$7)/(1+Ft!B$39*($A318-Ft!B$2)^2)+Ft!B$7*EXP(Ft!B$40*($A318-Ft!B$2)^2)))</f>
        <v>31.635796987222644</v>
      </c>
      <c r="G318" s="3">
        <f>IF(($A318-Ft!C$2)&lt;0,Ft!C$3*((1-Ft!C$6)/(1+Ft!C$37*($A318-Ft!C$2)^2)+Ft!C$6*EXP(Ft!C$38*($A318-Ft!C$2)^2)),Ft!C$3*((1-Ft!C$7)/(1+Ft!C$39*($A318-Ft!C$2)^2)+Ft!C$7*EXP(Ft!C$40*($A318-Ft!C$2)^2)))</f>
        <v>51.93786464355221</v>
      </c>
      <c r="H318" s="3">
        <f>IF(($A318-Ft!D$2)&lt;0,Ft!D$3*((1-Ft!D$6)/(1+Ft!D$37*($A318-Ft!D$2)^2)+Ft!D$6*EXP(Ft!D$38*($A318-Ft!D$2)^2)),Ft!D$3*((1-Ft!D$7)/(1+Ft!D$39*($A318-Ft!D$2)^2)+Ft!D$7*EXP(Ft!D$40*($A318-Ft!D$2)^2)))</f>
        <v>2.9985044798054403E-12</v>
      </c>
      <c r="I318" s="3">
        <f>IF(($A318-Ft!E$2)&lt;0,Ft!E$3*((1-Ft!E$6)/(1+Ft!E$37*($A318-Ft!E$2)^2)+Ft!E$6*EXP(Ft!E$38*($A318-Ft!E$2)^2)),Ft!E$3*((1-Ft!E$7)/(1+Ft!E$39*($A318-Ft!E$2)^2)+Ft!E$7*EXP(Ft!E$40*($A318-Ft!E$2)^2)))</f>
        <v>105.77395585489592</v>
      </c>
      <c r="J318" s="3">
        <f>IF(($A318-Ft!F$2)&lt;0,Ft!F$3*((1-Ft!F$6)/(1+Ft!F$37*($A318-Ft!F$2)^2)+Ft!F$6*EXP(Ft!F$38*($A318-Ft!F$2)^2)),Ft!F$3*((1-Ft!F$7)/(1+Ft!F$39*($A318-Ft!F$2)^2)+Ft!F$7*EXP(Ft!F$40*($A318-Ft!F$2)^2)))</f>
        <v>48.062080932953315</v>
      </c>
      <c r="K318" s="3">
        <f>IF(($A318-Ft!G$2)&lt;0,Ft!G$3*((1-Ft!G$6)/(1+Ft!G$37*($A318-Ft!G$2)^2)+Ft!G$6*EXP(Ft!G$38*($A318-Ft!G$2)^2)),Ft!G$3*((1-Ft!G$7)/(1+Ft!G$39*($A318-Ft!G$2)^2)+Ft!G$7*EXP(Ft!G$40*($A318-Ft!G$2)^2)))</f>
        <v>18.098444532694202</v>
      </c>
      <c r="L318" s="3">
        <f>IF(($A318-Ft!H$2)&lt;0,Ft!H$3*((1-Ft!H$6)/(1+Ft!H$37*($A318-Ft!H$2)^2)+Ft!H$6*EXP(Ft!H$38*($A318-Ft!H$2)^2)),Ft!H$3*((1-Ft!H$7)/(1+Ft!H$39*($A318-Ft!H$2)^2)+Ft!H$7*EXP(Ft!H$40*($A318-Ft!H$2)^2)))</f>
        <v>0</v>
      </c>
      <c r="M318" s="3">
        <f>IF(($A318-Ft!I$2)&lt;0,Ft!I$3*((1-Ft!I$6)/(1+Ft!I$37*($A318-Ft!I$2)^2)+Ft!I$6*EXP(Ft!I$38*($A318-Ft!I$2)^2)),Ft!I$3*((1-Ft!I$7)/(1+Ft!I$39*($A318-Ft!I$2)^2)+Ft!I$7*EXP(Ft!I$40*($A318-Ft!I$2)^2)))</f>
        <v>0</v>
      </c>
      <c r="N318" s="3">
        <f>IF(($A318-Ft!J$2)&lt;0,Ft!J$3*((1-Ft!J$6)/(1+Ft!J$37*($A318-Ft!J$2)^2)+Ft!J$6*EXP(Ft!J$38*($A318-Ft!J$2)^2)),Ft!J$3*((1-Ft!J$7)/(1+Ft!J$39*($A318-Ft!J$2)^2)+Ft!J$7*EXP(Ft!J$40*($A318-Ft!J$2)^2)))</f>
        <v>0</v>
      </c>
      <c r="O318" s="3">
        <f>IF(($A318-Ft!K$2)&lt;0,Ft!K$3*((1-Ft!K$6)/(1+Ft!K$37*($A318-Ft!K$2)^2)+Ft!K$6*EXP(Ft!K$38*($A318-Ft!K$2)^2)),Ft!K$3*((1-Ft!K$7)/(1+Ft!K$39*($A318-Ft!K$2)^2)+Ft!K$7*EXP(Ft!K$40*($A318-Ft!K$2)^2)))</f>
        <v>0</v>
      </c>
      <c r="P318"/>
      <c r="Q318"/>
    </row>
    <row r="319" spans="1:17">
      <c r="A319" s="20">
        <v>635</v>
      </c>
      <c r="B319" s="29">
        <v>55.69001141009592</v>
      </c>
      <c r="C319" s="7">
        <f t="shared" si="9"/>
        <v>55.581094684098815</v>
      </c>
      <c r="D319" s="3">
        <f t="shared" si="10"/>
        <v>1.1862853201928425E-2</v>
      </c>
      <c r="E319" s="3">
        <f>Ft!$B$12+Ft!$B$14*(Data!A319-Vars!$B$3)</f>
        <v>-200</v>
      </c>
      <c r="F319" s="3">
        <f>IF(($A319-Ft!B$2)&lt;0,Ft!B$3*((1-Ft!B$6)/(1+Ft!B$37*($A319-Ft!B$2)^2)+Ft!B$6*EXP(Ft!B$38*($A319-Ft!B$2)^2)),Ft!B$3*((1-Ft!B$7)/(1+Ft!B$39*($A319-Ft!B$2)^2)+Ft!B$7*EXP(Ft!B$40*($A319-Ft!B$2)^2)))</f>
        <v>31.37847745562091</v>
      </c>
      <c r="G319" s="3">
        <f>IF(($A319-Ft!C$2)&lt;0,Ft!C$3*((1-Ft!C$6)/(1+Ft!C$37*($A319-Ft!C$2)^2)+Ft!C$6*EXP(Ft!C$38*($A319-Ft!C$2)^2)),Ft!C$3*((1-Ft!C$7)/(1+Ft!C$39*($A319-Ft!C$2)^2)+Ft!C$7*EXP(Ft!C$40*($A319-Ft!C$2)^2)))</f>
        <v>51.999431658262083</v>
      </c>
      <c r="H319" s="3">
        <f>IF(($A319-Ft!D$2)&lt;0,Ft!D$3*((1-Ft!D$6)/(1+Ft!D$37*($A319-Ft!D$2)^2)+Ft!D$6*EXP(Ft!D$38*($A319-Ft!D$2)^2)),Ft!D$3*((1-Ft!D$7)/(1+Ft!D$39*($A319-Ft!D$2)^2)+Ft!D$7*EXP(Ft!D$40*($A319-Ft!D$2)^2)))</f>
        <v>1.7300815287178662E-12</v>
      </c>
      <c r="I319" s="3">
        <f>IF(($A319-Ft!E$2)&lt;0,Ft!E$3*((1-Ft!E$6)/(1+Ft!E$37*($A319-Ft!E$2)^2)+Ft!E$6*EXP(Ft!E$38*($A319-Ft!E$2)^2)),Ft!E$3*((1-Ft!E$7)/(1+Ft!E$39*($A319-Ft!E$2)^2)+Ft!E$7*EXP(Ft!E$40*($A319-Ft!E$2)^2)))</f>
        <v>106.03755451518009</v>
      </c>
      <c r="J319" s="3">
        <f>IF(($A319-Ft!F$2)&lt;0,Ft!F$3*((1-Ft!F$6)/(1+Ft!F$37*($A319-Ft!F$2)^2)+Ft!F$6*EXP(Ft!F$38*($A319-Ft!F$2)^2)),Ft!F$3*((1-Ft!F$7)/(1+Ft!F$39*($A319-Ft!F$2)^2)+Ft!F$7*EXP(Ft!F$40*($A319-Ft!F$2)^2)))</f>
        <v>48.32676529894141</v>
      </c>
      <c r="K319" s="3">
        <f>IF(($A319-Ft!G$2)&lt;0,Ft!G$3*((1-Ft!G$6)/(1+Ft!G$37*($A319-Ft!G$2)^2)+Ft!G$6*EXP(Ft!G$38*($A319-Ft!G$2)^2)),Ft!G$3*((1-Ft!G$7)/(1+Ft!G$39*($A319-Ft!G$2)^2)+Ft!G$7*EXP(Ft!G$40*($A319-Ft!G$2)^2)))</f>
        <v>17.838865756092606</v>
      </c>
      <c r="L319" s="3">
        <f>IF(($A319-Ft!H$2)&lt;0,Ft!H$3*((1-Ft!H$6)/(1+Ft!H$37*($A319-Ft!H$2)^2)+Ft!H$6*EXP(Ft!H$38*($A319-Ft!H$2)^2)),Ft!H$3*((1-Ft!H$7)/(1+Ft!H$39*($A319-Ft!H$2)^2)+Ft!H$7*EXP(Ft!H$40*($A319-Ft!H$2)^2)))</f>
        <v>0</v>
      </c>
      <c r="M319" s="3">
        <f>IF(($A319-Ft!I$2)&lt;0,Ft!I$3*((1-Ft!I$6)/(1+Ft!I$37*($A319-Ft!I$2)^2)+Ft!I$6*EXP(Ft!I$38*($A319-Ft!I$2)^2)),Ft!I$3*((1-Ft!I$7)/(1+Ft!I$39*($A319-Ft!I$2)^2)+Ft!I$7*EXP(Ft!I$40*($A319-Ft!I$2)^2)))</f>
        <v>0</v>
      </c>
      <c r="N319" s="3">
        <f>IF(($A319-Ft!J$2)&lt;0,Ft!J$3*((1-Ft!J$6)/(1+Ft!J$37*($A319-Ft!J$2)^2)+Ft!J$6*EXP(Ft!J$38*($A319-Ft!J$2)^2)),Ft!J$3*((1-Ft!J$7)/(1+Ft!J$39*($A319-Ft!J$2)^2)+Ft!J$7*EXP(Ft!J$40*($A319-Ft!J$2)^2)))</f>
        <v>0</v>
      </c>
      <c r="O319" s="3">
        <f>IF(($A319-Ft!K$2)&lt;0,Ft!K$3*((1-Ft!K$6)/(1+Ft!K$37*($A319-Ft!K$2)^2)+Ft!K$6*EXP(Ft!K$38*($A319-Ft!K$2)^2)),Ft!K$3*((1-Ft!K$7)/(1+Ft!K$39*($A319-Ft!K$2)^2)+Ft!K$7*EXP(Ft!K$40*($A319-Ft!K$2)^2)))</f>
        <v>0</v>
      </c>
      <c r="P319"/>
      <c r="Q319"/>
    </row>
    <row r="320" spans="1:17">
      <c r="A320" s="20">
        <v>637</v>
      </c>
      <c r="B320" s="29">
        <v>55.752507809330439</v>
      </c>
      <c r="C320" s="7">
        <f t="shared" si="9"/>
        <v>55.652367620247041</v>
      </c>
      <c r="D320" s="3">
        <f t="shared" si="10"/>
        <v>1.0028057469658604E-2</v>
      </c>
      <c r="E320" s="3">
        <f>Ft!$B$12+Ft!$B$14*(Data!A320-Vars!$B$3)</f>
        <v>-200</v>
      </c>
      <c r="F320" s="3">
        <f>IF(($A320-Ft!B$2)&lt;0,Ft!B$3*((1-Ft!B$6)/(1+Ft!B$37*($A320-Ft!B$2)^2)+Ft!B$6*EXP(Ft!B$38*($A320-Ft!B$2)^2)),Ft!B$3*((1-Ft!B$7)/(1+Ft!B$39*($A320-Ft!B$2)^2)+Ft!B$7*EXP(Ft!B$40*($A320-Ft!B$2)^2)))</f>
        <v>31.122656876081855</v>
      </c>
      <c r="G320" s="3">
        <f>IF(($A320-Ft!C$2)&lt;0,Ft!C$3*((1-Ft!C$6)/(1+Ft!C$37*($A320-Ft!C$2)^2)+Ft!C$6*EXP(Ft!C$38*($A320-Ft!C$2)^2)),Ft!C$3*((1-Ft!C$7)/(1+Ft!C$39*($A320-Ft!C$2)^2)+Ft!C$7*EXP(Ft!C$40*($A320-Ft!C$2)^2)))</f>
        <v>52.060611656556169</v>
      </c>
      <c r="H320" s="3">
        <f>IF(($A320-Ft!D$2)&lt;0,Ft!D$3*((1-Ft!D$6)/(1+Ft!D$37*($A320-Ft!D$2)^2)+Ft!D$6*EXP(Ft!D$38*($A320-Ft!D$2)^2)),Ft!D$3*((1-Ft!D$7)/(1+Ft!D$39*($A320-Ft!D$2)^2)+Ft!D$7*EXP(Ft!D$40*($A320-Ft!D$2)^2)))</f>
        <v>9.9273314881965219E-13</v>
      </c>
      <c r="I320" s="3">
        <f>IF(($A320-Ft!E$2)&lt;0,Ft!E$3*((1-Ft!E$6)/(1+Ft!E$37*($A320-Ft!E$2)^2)+Ft!E$6*EXP(Ft!E$38*($A320-Ft!E$2)^2)),Ft!E$3*((1-Ft!E$7)/(1+Ft!E$39*($A320-Ft!E$2)^2)+Ft!E$7*EXP(Ft!E$40*($A320-Ft!E$2)^2)))</f>
        <v>106.29564673906097</v>
      </c>
      <c r="J320" s="3">
        <f>IF(($A320-Ft!F$2)&lt;0,Ft!F$3*((1-Ft!F$6)/(1+Ft!F$37*($A320-Ft!F$2)^2)+Ft!F$6*EXP(Ft!F$38*($A320-Ft!F$2)^2)),Ft!F$3*((1-Ft!F$7)/(1+Ft!F$39*($A320-Ft!F$2)^2)+Ft!F$7*EXP(Ft!F$40*($A320-Ft!F$2)^2)))</f>
        <v>48.592267332230591</v>
      </c>
      <c r="K320" s="3">
        <f>IF(($A320-Ft!G$2)&lt;0,Ft!G$3*((1-Ft!G$6)/(1+Ft!G$37*($A320-Ft!G$2)^2)+Ft!G$6*EXP(Ft!G$38*($A320-Ft!G$2)^2)),Ft!G$3*((1-Ft!G$7)/(1+Ft!G$39*($A320-Ft!G$2)^2)+Ft!G$7*EXP(Ft!G$40*($A320-Ft!G$2)^2)))</f>
        <v>17.581185016316446</v>
      </c>
      <c r="L320" s="3">
        <f>IF(($A320-Ft!H$2)&lt;0,Ft!H$3*((1-Ft!H$6)/(1+Ft!H$37*($A320-Ft!H$2)^2)+Ft!H$6*EXP(Ft!H$38*($A320-Ft!H$2)^2)),Ft!H$3*((1-Ft!H$7)/(1+Ft!H$39*($A320-Ft!H$2)^2)+Ft!H$7*EXP(Ft!H$40*($A320-Ft!H$2)^2)))</f>
        <v>0</v>
      </c>
      <c r="M320" s="3">
        <f>IF(($A320-Ft!I$2)&lt;0,Ft!I$3*((1-Ft!I$6)/(1+Ft!I$37*($A320-Ft!I$2)^2)+Ft!I$6*EXP(Ft!I$38*($A320-Ft!I$2)^2)),Ft!I$3*((1-Ft!I$7)/(1+Ft!I$39*($A320-Ft!I$2)^2)+Ft!I$7*EXP(Ft!I$40*($A320-Ft!I$2)^2)))</f>
        <v>0</v>
      </c>
      <c r="N320" s="3">
        <f>IF(($A320-Ft!J$2)&lt;0,Ft!J$3*((1-Ft!J$6)/(1+Ft!J$37*($A320-Ft!J$2)^2)+Ft!J$6*EXP(Ft!J$38*($A320-Ft!J$2)^2)),Ft!J$3*((1-Ft!J$7)/(1+Ft!J$39*($A320-Ft!J$2)^2)+Ft!J$7*EXP(Ft!J$40*($A320-Ft!J$2)^2)))</f>
        <v>0</v>
      </c>
      <c r="O320" s="3">
        <f>IF(($A320-Ft!K$2)&lt;0,Ft!K$3*((1-Ft!K$6)/(1+Ft!K$37*($A320-Ft!K$2)^2)+Ft!K$6*EXP(Ft!K$38*($A320-Ft!K$2)^2)),Ft!K$3*((1-Ft!K$7)/(1+Ft!K$39*($A320-Ft!K$2)^2)+Ft!K$7*EXP(Ft!K$40*($A320-Ft!K$2)^2)))</f>
        <v>0</v>
      </c>
      <c r="P320"/>
      <c r="Q320"/>
    </row>
    <row r="321" spans="1:17">
      <c r="A321" s="20">
        <v>639</v>
      </c>
      <c r="B321" s="29">
        <v>55.812840682053348</v>
      </c>
      <c r="C321" s="7">
        <f t="shared" si="9"/>
        <v>55.721937527801373</v>
      </c>
      <c r="D321" s="3">
        <f t="shared" si="10"/>
        <v>8.2633834529584685E-3</v>
      </c>
      <c r="E321" s="3">
        <f>Ft!$B$12+Ft!$B$14*(Data!A321-Vars!$B$3)</f>
        <v>-200</v>
      </c>
      <c r="F321" s="3">
        <f>IF(($A321-Ft!B$2)&lt;0,Ft!B$3*((1-Ft!B$6)/(1+Ft!B$37*($A321-Ft!B$2)^2)+Ft!B$6*EXP(Ft!B$38*($A321-Ft!B$2)^2)),Ft!B$3*((1-Ft!B$7)/(1+Ft!B$39*($A321-Ft!B$2)^2)+Ft!B$7*EXP(Ft!B$40*($A321-Ft!B$2)^2)))</f>
        <v>30.86833275370175</v>
      </c>
      <c r="G321" s="3">
        <f>IF(($A321-Ft!C$2)&lt;0,Ft!C$3*((1-Ft!C$6)/(1+Ft!C$37*($A321-Ft!C$2)^2)+Ft!C$6*EXP(Ft!C$38*($A321-Ft!C$2)^2)),Ft!C$3*((1-Ft!C$7)/(1+Ft!C$39*($A321-Ft!C$2)^2)+Ft!C$7*EXP(Ft!C$40*($A321-Ft!C$2)^2)))</f>
        <v>52.121403101313369</v>
      </c>
      <c r="H321" s="3">
        <f>IF(($A321-Ft!D$2)&lt;0,Ft!D$3*((1-Ft!D$6)/(1+Ft!D$37*($A321-Ft!D$2)^2)+Ft!D$6*EXP(Ft!D$38*($A321-Ft!D$2)^2)),Ft!D$3*((1-Ft!D$7)/(1+Ft!D$39*($A321-Ft!D$2)^2)+Ft!D$7*EXP(Ft!D$40*($A321-Ft!D$2)^2)))</f>
        <v>5.6650345826767833E-13</v>
      </c>
      <c r="I321" s="3">
        <f>IF(($A321-Ft!E$2)&lt;0,Ft!E$3*((1-Ft!E$6)/(1+Ft!E$37*($A321-Ft!E$2)^2)+Ft!E$6*EXP(Ft!E$38*($A321-Ft!E$2)^2)),Ft!E$3*((1-Ft!E$7)/(1+Ft!E$39*($A321-Ft!E$2)^2)+Ft!E$7*EXP(Ft!E$40*($A321-Ft!E$2)^2)))</f>
        <v>106.54818915938617</v>
      </c>
      <c r="J321" s="3">
        <f>IF(($A321-Ft!F$2)&lt;0,Ft!F$3*((1-Ft!F$6)/(1+Ft!F$37*($A321-Ft!F$2)^2)+Ft!F$6*EXP(Ft!F$38*($A321-Ft!F$2)^2)),Ft!F$3*((1-Ft!F$7)/(1+Ft!F$39*($A321-Ft!F$2)^2)+Ft!F$7*EXP(Ft!F$40*($A321-Ft!F$2)^2)))</f>
        <v>48.858584512280736</v>
      </c>
      <c r="K321" s="3">
        <f>IF(($A321-Ft!G$2)&lt;0,Ft!G$3*((1-Ft!G$6)/(1+Ft!G$37*($A321-Ft!G$2)^2)+Ft!G$6*EXP(Ft!G$38*($A321-Ft!G$2)^2)),Ft!G$3*((1-Ft!G$7)/(1+Ft!G$39*($A321-Ft!G$2)^2)+Ft!G$7*EXP(Ft!G$40*($A321-Ft!G$2)^2)))</f>
        <v>17.325428001118784</v>
      </c>
      <c r="L321" s="3">
        <f>IF(($A321-Ft!H$2)&lt;0,Ft!H$3*((1-Ft!H$6)/(1+Ft!H$37*($A321-Ft!H$2)^2)+Ft!H$6*EXP(Ft!H$38*($A321-Ft!H$2)^2)),Ft!H$3*((1-Ft!H$7)/(1+Ft!H$39*($A321-Ft!H$2)^2)+Ft!H$7*EXP(Ft!H$40*($A321-Ft!H$2)^2)))</f>
        <v>0</v>
      </c>
      <c r="M321" s="3">
        <f>IF(($A321-Ft!I$2)&lt;0,Ft!I$3*((1-Ft!I$6)/(1+Ft!I$37*($A321-Ft!I$2)^2)+Ft!I$6*EXP(Ft!I$38*($A321-Ft!I$2)^2)),Ft!I$3*((1-Ft!I$7)/(1+Ft!I$39*($A321-Ft!I$2)^2)+Ft!I$7*EXP(Ft!I$40*($A321-Ft!I$2)^2)))</f>
        <v>0</v>
      </c>
      <c r="N321" s="3">
        <f>IF(($A321-Ft!J$2)&lt;0,Ft!J$3*((1-Ft!J$6)/(1+Ft!J$37*($A321-Ft!J$2)^2)+Ft!J$6*EXP(Ft!J$38*($A321-Ft!J$2)^2)),Ft!J$3*((1-Ft!J$7)/(1+Ft!J$39*($A321-Ft!J$2)^2)+Ft!J$7*EXP(Ft!J$40*($A321-Ft!J$2)^2)))</f>
        <v>0</v>
      </c>
      <c r="O321" s="3">
        <f>IF(($A321-Ft!K$2)&lt;0,Ft!K$3*((1-Ft!K$6)/(1+Ft!K$37*($A321-Ft!K$2)^2)+Ft!K$6*EXP(Ft!K$38*($A321-Ft!K$2)^2)),Ft!K$3*((1-Ft!K$7)/(1+Ft!K$39*($A321-Ft!K$2)^2)+Ft!K$7*EXP(Ft!K$40*($A321-Ft!K$2)^2)))</f>
        <v>0</v>
      </c>
      <c r="P321"/>
      <c r="Q321"/>
    </row>
    <row r="322" spans="1:17">
      <c r="A322" s="20">
        <v>641</v>
      </c>
      <c r="B322" s="29">
        <v>55.871002925923989</v>
      </c>
      <c r="C322" s="7">
        <f t="shared" si="9"/>
        <v>55.789779967380191</v>
      </c>
      <c r="D322" s="3">
        <f t="shared" si="10"/>
        <v>6.5971689946074594E-3</v>
      </c>
      <c r="E322" s="3">
        <f>Ft!$B$12+Ft!$B$14*(Data!A322-Vars!$B$3)</f>
        <v>-200</v>
      </c>
      <c r="F322" s="3">
        <f>IF(($A322-Ft!B$2)&lt;0,Ft!B$3*((1-Ft!B$6)/(1+Ft!B$37*($A322-Ft!B$2)^2)+Ft!B$6*EXP(Ft!B$38*($A322-Ft!B$2)^2)),Ft!B$3*((1-Ft!B$7)/(1+Ft!B$39*($A322-Ft!B$2)^2)+Ft!B$7*EXP(Ft!B$40*($A322-Ft!B$2)^2)))</f>
        <v>30.615502528604306</v>
      </c>
      <c r="G322" s="3">
        <f>IF(($A322-Ft!C$2)&lt;0,Ft!C$3*((1-Ft!C$6)/(1+Ft!C$37*($A322-Ft!C$2)^2)+Ft!C$6*EXP(Ft!C$38*($A322-Ft!C$2)^2)),Ft!C$3*((1-Ft!C$7)/(1+Ft!C$39*($A322-Ft!C$2)^2)+Ft!C$7*EXP(Ft!C$40*($A322-Ft!C$2)^2)))</f>
        <v>52.181804463916379</v>
      </c>
      <c r="H322" s="3">
        <f>IF(($A322-Ft!D$2)&lt;0,Ft!D$3*((1-Ft!D$6)/(1+Ft!D$37*($A322-Ft!D$2)^2)+Ft!D$6*EXP(Ft!D$38*($A322-Ft!D$2)^2)),Ft!D$3*((1-Ft!D$7)/(1+Ft!D$39*($A322-Ft!D$2)^2)+Ft!D$7*EXP(Ft!D$40*($A322-Ft!D$2)^2)))</f>
        <v>3.2149682921219389E-13</v>
      </c>
      <c r="I322" s="3">
        <f>IF(($A322-Ft!E$2)&lt;0,Ft!E$3*((1-Ft!E$6)/(1+Ft!E$37*($A322-Ft!E$2)^2)+Ft!E$6*EXP(Ft!E$38*($A322-Ft!E$2)^2)),Ft!E$3*((1-Ft!E$7)/(1+Ft!E$39*($A322-Ft!E$2)^2)+Ft!E$7*EXP(Ft!E$40*($A322-Ft!E$2)^2)))</f>
        <v>106.79513927119451</v>
      </c>
      <c r="J322" s="3">
        <f>IF(($A322-Ft!F$2)&lt;0,Ft!F$3*((1-Ft!F$6)/(1+Ft!F$37*($A322-Ft!F$2)^2)+Ft!F$6*EXP(Ft!F$38*($A322-Ft!F$2)^2)),Ft!F$3*((1-Ft!F$7)/(1+Ft!F$39*($A322-Ft!F$2)^2)+Ft!F$7*EXP(Ft!F$40*($A322-Ft!F$2)^2)))</f>
        <v>49.125714272425206</v>
      </c>
      <c r="K322" s="3">
        <f>IF(($A322-Ft!G$2)&lt;0,Ft!G$3*((1-Ft!G$6)/(1+Ft!G$37*($A322-Ft!G$2)^2)+Ft!G$6*EXP(Ft!G$38*($A322-Ft!G$2)^2)),Ft!G$3*((1-Ft!G$7)/(1+Ft!G$39*($A322-Ft!G$2)^2)+Ft!G$7*EXP(Ft!G$40*($A322-Ft!G$2)^2)))</f>
        <v>17.071619431239455</v>
      </c>
      <c r="L322" s="3">
        <f>IF(($A322-Ft!H$2)&lt;0,Ft!H$3*((1-Ft!H$6)/(1+Ft!H$37*($A322-Ft!H$2)^2)+Ft!H$6*EXP(Ft!H$38*($A322-Ft!H$2)^2)),Ft!H$3*((1-Ft!H$7)/(1+Ft!H$39*($A322-Ft!H$2)^2)+Ft!H$7*EXP(Ft!H$40*($A322-Ft!H$2)^2)))</f>
        <v>0</v>
      </c>
      <c r="M322" s="3">
        <f>IF(($A322-Ft!I$2)&lt;0,Ft!I$3*((1-Ft!I$6)/(1+Ft!I$37*($A322-Ft!I$2)^2)+Ft!I$6*EXP(Ft!I$38*($A322-Ft!I$2)^2)),Ft!I$3*((1-Ft!I$7)/(1+Ft!I$39*($A322-Ft!I$2)^2)+Ft!I$7*EXP(Ft!I$40*($A322-Ft!I$2)^2)))</f>
        <v>0</v>
      </c>
      <c r="N322" s="3">
        <f>IF(($A322-Ft!J$2)&lt;0,Ft!J$3*((1-Ft!J$6)/(1+Ft!J$37*($A322-Ft!J$2)^2)+Ft!J$6*EXP(Ft!J$38*($A322-Ft!J$2)^2)),Ft!J$3*((1-Ft!J$7)/(1+Ft!J$39*($A322-Ft!J$2)^2)+Ft!J$7*EXP(Ft!J$40*($A322-Ft!J$2)^2)))</f>
        <v>0</v>
      </c>
      <c r="O322" s="3">
        <f>IF(($A322-Ft!K$2)&lt;0,Ft!K$3*((1-Ft!K$6)/(1+Ft!K$37*($A322-Ft!K$2)^2)+Ft!K$6*EXP(Ft!K$38*($A322-Ft!K$2)^2)),Ft!K$3*((1-Ft!K$7)/(1+Ft!K$39*($A322-Ft!K$2)^2)+Ft!K$7*EXP(Ft!K$40*($A322-Ft!K$2)^2)))</f>
        <v>0</v>
      </c>
      <c r="P322"/>
      <c r="Q322"/>
    </row>
    <row r="323" spans="1:17">
      <c r="A323" s="20">
        <v>643</v>
      </c>
      <c r="B323" s="29">
        <v>55.926988387159497</v>
      </c>
      <c r="C323" s="7">
        <f t="shared" ref="C323:C386" si="11">SUM(E323:K323)</f>
        <v>55.855870308653422</v>
      </c>
      <c r="D323" s="3">
        <f t="shared" si="10"/>
        <v>5.0577810903962139E-3</v>
      </c>
      <c r="E323" s="3">
        <f>Ft!$B$12+Ft!$B$14*(Data!A323-Vars!$B$3)</f>
        <v>-200</v>
      </c>
      <c r="F323" s="3">
        <f>IF(($A323-Ft!B$2)&lt;0,Ft!B$3*((1-Ft!B$6)/(1+Ft!B$37*($A323-Ft!B$2)^2)+Ft!B$6*EXP(Ft!B$38*($A323-Ft!B$2)^2)),Ft!B$3*((1-Ft!B$7)/(1+Ft!B$39*($A323-Ft!B$2)^2)+Ft!B$7*EXP(Ft!B$40*($A323-Ft!B$2)^2)))</f>
        <v>30.364163576666247</v>
      </c>
      <c r="G323" s="3">
        <f>IF(($A323-Ft!C$2)&lt;0,Ft!C$3*((1-Ft!C$6)/(1+Ft!C$37*($A323-Ft!C$2)^2)+Ft!C$6*EXP(Ft!C$38*($A323-Ft!C$2)^2)),Ft!C$3*((1-Ft!C$7)/(1+Ft!C$39*($A323-Ft!C$2)^2)+Ft!C$7*EXP(Ft!C$40*($A323-Ft!C$2)^2)))</f>
        <v>52.241814224315675</v>
      </c>
      <c r="H323" s="3">
        <f>IF(($A323-Ft!D$2)&lt;0,Ft!D$3*((1-Ft!D$6)/(1+Ft!D$37*($A323-Ft!D$2)^2)+Ft!D$6*EXP(Ft!D$38*($A323-Ft!D$2)^2)),Ft!D$3*((1-Ft!D$7)/(1+Ft!D$39*($A323-Ft!D$2)^2)+Ft!D$7*EXP(Ft!D$40*($A323-Ft!D$2)^2)))</f>
        <v>1.8144913815020814E-13</v>
      </c>
      <c r="I323" s="3">
        <f>IF(($A323-Ft!E$2)&lt;0,Ft!E$3*((1-Ft!E$6)/(1+Ft!E$37*($A323-Ft!E$2)^2)+Ft!E$6*EXP(Ft!E$38*($A323-Ft!E$2)^2)),Ft!E$3*((1-Ft!E$7)/(1+Ft!E$39*($A323-Ft!E$2)^2)+Ft!E$7*EXP(Ft!E$40*($A323-Ft!E$2)^2)))</f>
        <v>107.03645544363378</v>
      </c>
      <c r="J323" s="3">
        <f>IF(($A323-Ft!F$2)&lt;0,Ft!F$3*((1-Ft!F$6)/(1+Ft!F$37*($A323-Ft!F$2)^2)+Ft!F$6*EXP(Ft!F$38*($A323-Ft!F$2)^2)),Ft!F$3*((1-Ft!F$7)/(1+Ft!F$39*($A323-Ft!F$2)^2)+Ft!F$7*EXP(Ft!F$40*($A323-Ft!F$2)^2)))</f>
        <v>49.393653999753916</v>
      </c>
      <c r="K323" s="3">
        <f>IF(($A323-Ft!G$2)&lt;0,Ft!G$3*((1-Ft!G$6)/(1+Ft!G$37*($A323-Ft!G$2)^2)+Ft!G$6*EXP(Ft!G$38*($A323-Ft!G$2)^2)),Ft!G$3*((1-Ft!G$7)/(1+Ft!G$39*($A323-Ft!G$2)^2)+Ft!G$7*EXP(Ft!G$40*($A323-Ft!G$2)^2)))</f>
        <v>16.819783064283616</v>
      </c>
      <c r="L323" s="3">
        <f>IF(($A323-Ft!H$2)&lt;0,Ft!H$3*((1-Ft!H$6)/(1+Ft!H$37*($A323-Ft!H$2)^2)+Ft!H$6*EXP(Ft!H$38*($A323-Ft!H$2)^2)),Ft!H$3*((1-Ft!H$7)/(1+Ft!H$39*($A323-Ft!H$2)^2)+Ft!H$7*EXP(Ft!H$40*($A323-Ft!H$2)^2)))</f>
        <v>0</v>
      </c>
      <c r="M323" s="3">
        <f>IF(($A323-Ft!I$2)&lt;0,Ft!I$3*((1-Ft!I$6)/(1+Ft!I$37*($A323-Ft!I$2)^2)+Ft!I$6*EXP(Ft!I$38*($A323-Ft!I$2)^2)),Ft!I$3*((1-Ft!I$7)/(1+Ft!I$39*($A323-Ft!I$2)^2)+Ft!I$7*EXP(Ft!I$40*($A323-Ft!I$2)^2)))</f>
        <v>0</v>
      </c>
      <c r="N323" s="3">
        <f>IF(($A323-Ft!J$2)&lt;0,Ft!J$3*((1-Ft!J$6)/(1+Ft!J$37*($A323-Ft!J$2)^2)+Ft!J$6*EXP(Ft!J$38*($A323-Ft!J$2)^2)),Ft!J$3*((1-Ft!J$7)/(1+Ft!J$39*($A323-Ft!J$2)^2)+Ft!J$7*EXP(Ft!J$40*($A323-Ft!J$2)^2)))</f>
        <v>0</v>
      </c>
      <c r="O323" s="3">
        <f>IF(($A323-Ft!K$2)&lt;0,Ft!K$3*((1-Ft!K$6)/(1+Ft!K$37*($A323-Ft!K$2)^2)+Ft!K$6*EXP(Ft!K$38*($A323-Ft!K$2)^2)),Ft!K$3*((1-Ft!K$7)/(1+Ft!K$39*($A323-Ft!K$2)^2)+Ft!K$7*EXP(Ft!K$40*($A323-Ft!K$2)^2)))</f>
        <v>0</v>
      </c>
      <c r="P323"/>
      <c r="Q323"/>
    </row>
    <row r="324" spans="1:17">
      <c r="A324" s="20">
        <v>645</v>
      </c>
      <c r="B324" s="29">
        <v>55.980792012796968</v>
      </c>
      <c r="C324" s="7">
        <f t="shared" si="11"/>
        <v>55.920183747026925</v>
      </c>
      <c r="D324" s="3">
        <f t="shared" si="10"/>
        <v>3.673361879652122E-3</v>
      </c>
      <c r="E324" s="3">
        <f>Ft!$B$12+Ft!$B$14*(Data!A324-Vars!$B$3)</f>
        <v>-200</v>
      </c>
      <c r="F324" s="3">
        <f>IF(($A324-Ft!B$2)&lt;0,Ft!B$3*((1-Ft!B$6)/(1+Ft!B$37*($A324-Ft!B$2)^2)+Ft!B$6*EXP(Ft!B$38*($A324-Ft!B$2)^2)),Ft!B$3*((1-Ft!B$7)/(1+Ft!B$39*($A324-Ft!B$2)^2)+Ft!B$7*EXP(Ft!B$40*($A324-Ft!B$2)^2)))</f>
        <v>30.114313210243104</v>
      </c>
      <c r="G324" s="3">
        <f>IF(($A324-Ft!C$2)&lt;0,Ft!C$3*((1-Ft!C$6)/(1+Ft!C$37*($A324-Ft!C$2)^2)+Ft!C$6*EXP(Ft!C$38*($A324-Ft!C$2)^2)),Ft!C$3*((1-Ft!C$7)/(1+Ft!C$39*($A324-Ft!C$2)^2)+Ft!C$7*EXP(Ft!C$40*($A324-Ft!C$2)^2)))</f>
        <v>52.30143087109321</v>
      </c>
      <c r="H324" s="3">
        <f>IF(($A324-Ft!D$2)&lt;0,Ft!D$3*((1-Ft!D$6)/(1+Ft!D$37*($A324-Ft!D$2)^2)+Ft!D$6*EXP(Ft!D$38*($A324-Ft!D$2)^2)),Ft!D$3*((1-Ft!D$7)/(1+Ft!D$39*($A324-Ft!D$2)^2)+Ft!D$7*EXP(Ft!D$40*($A324-Ft!D$2)^2)))</f>
        <v>1.0184441373383424E-13</v>
      </c>
      <c r="I324" s="3">
        <f>IF(($A324-Ft!E$2)&lt;0,Ft!E$3*((1-Ft!E$6)/(1+Ft!E$37*($A324-Ft!E$2)^2)+Ft!E$6*EXP(Ft!E$38*($A324-Ft!E$2)^2)),Ft!E$3*((1-Ft!E$7)/(1+Ft!E$39*($A324-Ft!E$2)^2)+Ft!E$7*EXP(Ft!E$40*($A324-Ft!E$2)^2)))</f>
        <v>107.27209693165244</v>
      </c>
      <c r="J324" s="3">
        <f>IF(($A324-Ft!F$2)&lt;0,Ft!F$3*((1-Ft!F$6)/(1+Ft!F$37*($A324-Ft!F$2)^2)+Ft!F$6*EXP(Ft!F$38*($A324-Ft!F$2)^2)),Ft!F$3*((1-Ft!F$7)/(1+Ft!F$39*($A324-Ft!F$2)^2)+Ft!F$7*EXP(Ft!F$40*($A324-Ft!F$2)^2)))</f>
        <v>49.66240103499824</v>
      </c>
      <c r="K324" s="3">
        <f>IF(($A324-Ft!G$2)&lt;0,Ft!G$3*((1-Ft!G$6)/(1+Ft!G$37*($A324-Ft!G$2)^2)+Ft!G$6*EXP(Ft!G$38*($A324-Ft!G$2)^2)),Ft!G$3*((1-Ft!G$7)/(1+Ft!G$39*($A324-Ft!G$2)^2)+Ft!G$7*EXP(Ft!G$40*($A324-Ft!G$2)^2)))</f>
        <v>16.569941699039848</v>
      </c>
      <c r="L324" s="3">
        <f>IF(($A324-Ft!H$2)&lt;0,Ft!H$3*((1-Ft!H$6)/(1+Ft!H$37*($A324-Ft!H$2)^2)+Ft!H$6*EXP(Ft!H$38*($A324-Ft!H$2)^2)),Ft!H$3*((1-Ft!H$7)/(1+Ft!H$39*($A324-Ft!H$2)^2)+Ft!H$7*EXP(Ft!H$40*($A324-Ft!H$2)^2)))</f>
        <v>0</v>
      </c>
      <c r="M324" s="3">
        <f>IF(($A324-Ft!I$2)&lt;0,Ft!I$3*((1-Ft!I$6)/(1+Ft!I$37*($A324-Ft!I$2)^2)+Ft!I$6*EXP(Ft!I$38*($A324-Ft!I$2)^2)),Ft!I$3*((1-Ft!I$7)/(1+Ft!I$39*($A324-Ft!I$2)^2)+Ft!I$7*EXP(Ft!I$40*($A324-Ft!I$2)^2)))</f>
        <v>0</v>
      </c>
      <c r="N324" s="3">
        <f>IF(($A324-Ft!J$2)&lt;0,Ft!J$3*((1-Ft!J$6)/(1+Ft!J$37*($A324-Ft!J$2)^2)+Ft!J$6*EXP(Ft!J$38*($A324-Ft!J$2)^2)),Ft!J$3*((1-Ft!J$7)/(1+Ft!J$39*($A324-Ft!J$2)^2)+Ft!J$7*EXP(Ft!J$40*($A324-Ft!J$2)^2)))</f>
        <v>0</v>
      </c>
      <c r="O324" s="3">
        <f>IF(($A324-Ft!K$2)&lt;0,Ft!K$3*((1-Ft!K$6)/(1+Ft!K$37*($A324-Ft!K$2)^2)+Ft!K$6*EXP(Ft!K$38*($A324-Ft!K$2)^2)),Ft!K$3*((1-Ft!K$7)/(1+Ft!K$39*($A324-Ft!K$2)^2)+Ft!K$7*EXP(Ft!K$40*($A324-Ft!K$2)^2)))</f>
        <v>0</v>
      </c>
      <c r="P324"/>
      <c r="Q324"/>
    </row>
    <row r="325" spans="1:17">
      <c r="A325" s="20">
        <v>647</v>
      </c>
      <c r="B325" s="29">
        <v>56.032410024617974</v>
      </c>
      <c r="C325" s="7">
        <f t="shared" si="11"/>
        <v>55.982695320529864</v>
      </c>
      <c r="D325" s="3">
        <f t="shared" si="10"/>
        <v>2.4715518025683705E-3</v>
      </c>
      <c r="E325" s="3">
        <f>Ft!$B$12+Ft!$B$14*(Data!A325-Vars!$B$3)</f>
        <v>-200</v>
      </c>
      <c r="F325" s="3">
        <f>IF(($A325-Ft!B$2)&lt;0,Ft!B$3*((1-Ft!B$6)/(1+Ft!B$37*($A325-Ft!B$2)^2)+Ft!B$6*EXP(Ft!B$38*($A325-Ft!B$2)^2)),Ft!B$3*((1-Ft!B$7)/(1+Ft!B$39*($A325-Ft!B$2)^2)+Ft!B$7*EXP(Ft!B$40*($A325-Ft!B$2)^2)))</f>
        <v>29.865948678894949</v>
      </c>
      <c r="G325" s="3">
        <f>IF(($A325-Ft!C$2)&lt;0,Ft!C$3*((1-Ft!C$6)/(1+Ft!C$37*($A325-Ft!C$2)^2)+Ft!C$6*EXP(Ft!C$38*($A325-Ft!C$2)^2)),Ft!C$3*((1-Ft!C$7)/(1+Ft!C$39*($A325-Ft!C$2)^2)+Ft!C$7*EXP(Ft!C$40*($A325-Ft!C$2)^2)))</f>
        <v>52.360652901525775</v>
      </c>
      <c r="H325" s="3">
        <f>IF(($A325-Ft!D$2)&lt;0,Ft!D$3*((1-Ft!D$6)/(1+Ft!D$37*($A325-Ft!D$2)^2)+Ft!D$6*EXP(Ft!D$38*($A325-Ft!D$2)^2)),Ft!D$3*((1-Ft!D$7)/(1+Ft!D$39*($A325-Ft!D$2)^2)+Ft!D$7*EXP(Ft!D$40*($A325-Ft!D$2)^2)))</f>
        <v>5.6849101149911854E-14</v>
      </c>
      <c r="I325" s="3">
        <f>IF(($A325-Ft!E$2)&lt;0,Ft!E$3*((1-Ft!E$6)/(1+Ft!E$37*($A325-Ft!E$2)^2)+Ft!E$6*EXP(Ft!E$38*($A325-Ft!E$2)^2)),Ft!E$3*((1-Ft!E$7)/(1+Ft!E$39*($A325-Ft!E$2)^2)+Ft!E$7*EXP(Ft!E$40*($A325-Ft!E$2)^2)))</f>
        <v>107.50202388746152</v>
      </c>
      <c r="J325" s="3">
        <f>IF(($A325-Ft!F$2)&lt;0,Ft!F$3*((1-Ft!F$6)/(1+Ft!F$37*($A325-Ft!F$2)^2)+Ft!F$6*EXP(Ft!F$38*($A325-Ft!F$2)^2)),Ft!F$3*((1-Ft!F$7)/(1+Ft!F$39*($A325-Ft!F$2)^2)+Ft!F$7*EXP(Ft!F$40*($A325-Ft!F$2)^2)))</f>
        <v>49.931952672418873</v>
      </c>
      <c r="K325" s="3">
        <f>IF(($A325-Ft!G$2)&lt;0,Ft!G$3*((1-Ft!G$6)/(1+Ft!G$37*($A325-Ft!G$2)^2)+Ft!G$6*EXP(Ft!G$38*($A325-Ft!G$2)^2)),Ft!G$3*((1-Ft!G$7)/(1+Ft!G$39*($A325-Ft!G$2)^2)+Ft!G$7*EXP(Ft!G$40*($A325-Ft!G$2)^2)))</f>
        <v>16.322117180228695</v>
      </c>
      <c r="L325" s="3">
        <f>IF(($A325-Ft!H$2)&lt;0,Ft!H$3*((1-Ft!H$6)/(1+Ft!H$37*($A325-Ft!H$2)^2)+Ft!H$6*EXP(Ft!H$38*($A325-Ft!H$2)^2)),Ft!H$3*((1-Ft!H$7)/(1+Ft!H$39*($A325-Ft!H$2)^2)+Ft!H$7*EXP(Ft!H$40*($A325-Ft!H$2)^2)))</f>
        <v>0</v>
      </c>
      <c r="M325" s="3">
        <f>IF(($A325-Ft!I$2)&lt;0,Ft!I$3*((1-Ft!I$6)/(1+Ft!I$37*($A325-Ft!I$2)^2)+Ft!I$6*EXP(Ft!I$38*($A325-Ft!I$2)^2)),Ft!I$3*((1-Ft!I$7)/(1+Ft!I$39*($A325-Ft!I$2)^2)+Ft!I$7*EXP(Ft!I$40*($A325-Ft!I$2)^2)))</f>
        <v>0</v>
      </c>
      <c r="N325" s="3">
        <f>IF(($A325-Ft!J$2)&lt;0,Ft!J$3*((1-Ft!J$6)/(1+Ft!J$37*($A325-Ft!J$2)^2)+Ft!J$6*EXP(Ft!J$38*($A325-Ft!J$2)^2)),Ft!J$3*((1-Ft!J$7)/(1+Ft!J$39*($A325-Ft!J$2)^2)+Ft!J$7*EXP(Ft!J$40*($A325-Ft!J$2)^2)))</f>
        <v>0</v>
      </c>
      <c r="O325" s="3">
        <f>IF(($A325-Ft!K$2)&lt;0,Ft!K$3*((1-Ft!K$6)/(1+Ft!K$37*($A325-Ft!K$2)^2)+Ft!K$6*EXP(Ft!K$38*($A325-Ft!K$2)^2)),Ft!K$3*((1-Ft!K$7)/(1+Ft!K$39*($A325-Ft!K$2)^2)+Ft!K$7*EXP(Ft!K$40*($A325-Ft!K$2)^2)))</f>
        <v>0</v>
      </c>
      <c r="P325"/>
      <c r="Q325"/>
    </row>
    <row r="326" spans="1:17">
      <c r="A326" s="20">
        <v>649</v>
      </c>
      <c r="B326" s="29">
        <v>56.081840116331506</v>
      </c>
      <c r="C326" s="7">
        <f t="shared" si="11"/>
        <v>56.043379926889642</v>
      </c>
      <c r="D326" s="3">
        <f t="shared" si="10"/>
        <v>1.4791861719040433E-3</v>
      </c>
      <c r="E326" s="3">
        <f>Ft!$B$12+Ft!$B$14*(Data!A326-Vars!$B$3)</f>
        <v>-200</v>
      </c>
      <c r="F326" s="3">
        <f>IF(($A326-Ft!B$2)&lt;0,Ft!B$3*((1-Ft!B$6)/(1+Ft!B$37*($A326-Ft!B$2)^2)+Ft!B$6*EXP(Ft!B$38*($A326-Ft!B$2)^2)),Ft!B$3*((1-Ft!B$7)/(1+Ft!B$39*($A326-Ft!B$2)^2)+Ft!B$7*EXP(Ft!B$40*($A326-Ft!B$2)^2)))</f>
        <v>29.619067170112299</v>
      </c>
      <c r="G326" s="3">
        <f>IF(($A326-Ft!C$2)&lt;0,Ft!C$3*((1-Ft!C$6)/(1+Ft!C$37*($A326-Ft!C$2)^2)+Ft!C$6*EXP(Ft!C$38*($A326-Ft!C$2)^2)),Ft!C$3*((1-Ft!C$7)/(1+Ft!C$39*($A326-Ft!C$2)^2)+Ft!C$7*EXP(Ft!C$40*($A326-Ft!C$2)^2)))</f>
        <v>52.419478821648028</v>
      </c>
      <c r="H326" s="3">
        <f>IF(($A326-Ft!D$2)&lt;0,Ft!D$3*((1-Ft!D$6)/(1+Ft!D$37*($A326-Ft!D$2)^2)+Ft!D$6*EXP(Ft!D$38*($A326-Ft!D$2)^2)),Ft!D$3*((1-Ft!D$7)/(1+Ft!D$39*($A326-Ft!D$2)^2)+Ft!D$7*EXP(Ft!D$40*($A326-Ft!D$2)^2)))</f>
        <v>3.1558334805364535E-14</v>
      </c>
      <c r="I326" s="3">
        <f>IF(($A326-Ft!E$2)&lt;0,Ft!E$3*((1-Ft!E$6)/(1+Ft!E$37*($A326-Ft!E$2)^2)+Ft!E$6*EXP(Ft!E$38*($A326-Ft!E$2)^2)),Ft!E$3*((1-Ft!E$7)/(1+Ft!E$39*($A326-Ft!E$2)^2)+Ft!E$7*EXP(Ft!E$40*($A326-Ft!E$2)^2)))</f>
        <v>107.72619737176115</v>
      </c>
      <c r="J326" s="3">
        <f>IF(($A326-Ft!F$2)&lt;0,Ft!F$3*((1-Ft!F$6)/(1+Ft!F$37*($A326-Ft!F$2)^2)+Ft!F$6*EXP(Ft!F$38*($A326-Ft!F$2)^2)),Ft!F$3*((1-Ft!F$7)/(1+Ft!F$39*($A326-Ft!F$2)^2)+Ft!F$7*EXP(Ft!F$40*($A326-Ft!F$2)^2)))</f>
        <v>50.202306159695837</v>
      </c>
      <c r="K326" s="3">
        <f>IF(($A326-Ft!G$2)&lt;0,Ft!G$3*((1-Ft!G$6)/(1+Ft!G$37*($A326-Ft!G$2)^2)+Ft!G$6*EXP(Ft!G$38*($A326-Ft!G$2)^2)),Ft!G$3*((1-Ft!G$7)/(1+Ft!G$39*($A326-Ft!G$2)^2)+Ft!G$7*EXP(Ft!G$40*($A326-Ft!G$2)^2)))</f>
        <v>16.076330403672316</v>
      </c>
      <c r="L326" s="3">
        <f>IF(($A326-Ft!H$2)&lt;0,Ft!H$3*((1-Ft!H$6)/(1+Ft!H$37*($A326-Ft!H$2)^2)+Ft!H$6*EXP(Ft!H$38*($A326-Ft!H$2)^2)),Ft!H$3*((1-Ft!H$7)/(1+Ft!H$39*($A326-Ft!H$2)^2)+Ft!H$7*EXP(Ft!H$40*($A326-Ft!H$2)^2)))</f>
        <v>0</v>
      </c>
      <c r="M326" s="3">
        <f>IF(($A326-Ft!I$2)&lt;0,Ft!I$3*((1-Ft!I$6)/(1+Ft!I$37*($A326-Ft!I$2)^2)+Ft!I$6*EXP(Ft!I$38*($A326-Ft!I$2)^2)),Ft!I$3*((1-Ft!I$7)/(1+Ft!I$39*($A326-Ft!I$2)^2)+Ft!I$7*EXP(Ft!I$40*($A326-Ft!I$2)^2)))</f>
        <v>0</v>
      </c>
      <c r="N326" s="3">
        <f>IF(($A326-Ft!J$2)&lt;0,Ft!J$3*((1-Ft!J$6)/(1+Ft!J$37*($A326-Ft!J$2)^2)+Ft!J$6*EXP(Ft!J$38*($A326-Ft!J$2)^2)),Ft!J$3*((1-Ft!J$7)/(1+Ft!J$39*($A326-Ft!J$2)^2)+Ft!J$7*EXP(Ft!J$40*($A326-Ft!J$2)^2)))</f>
        <v>0</v>
      </c>
      <c r="O326" s="3">
        <f>IF(($A326-Ft!K$2)&lt;0,Ft!K$3*((1-Ft!K$6)/(1+Ft!K$37*($A326-Ft!K$2)^2)+Ft!K$6*EXP(Ft!K$38*($A326-Ft!K$2)^2)),Ft!K$3*((1-Ft!K$7)/(1+Ft!K$39*($A326-Ft!K$2)^2)+Ft!K$7*EXP(Ft!K$40*($A326-Ft!K$2)^2)))</f>
        <v>0</v>
      </c>
      <c r="P326"/>
      <c r="Q326"/>
    </row>
    <row r="327" spans="1:17">
      <c r="A327" s="20">
        <v>651</v>
      </c>
      <c r="B327" s="29">
        <v>56.129081675374678</v>
      </c>
      <c r="C327" s="7">
        <f t="shared" si="11"/>
        <v>56.102212340782295</v>
      </c>
      <c r="D327" s="3">
        <f t="shared" si="10"/>
        <v>7.2196114143746246E-4</v>
      </c>
      <c r="E327" s="3">
        <f>Ft!$B$12+Ft!$B$14*(Data!A327-Vars!$B$3)</f>
        <v>-200</v>
      </c>
      <c r="F327" s="3">
        <f>IF(($A327-Ft!B$2)&lt;0,Ft!B$3*((1-Ft!B$6)/(1+Ft!B$37*($A327-Ft!B$2)^2)+Ft!B$6*EXP(Ft!B$38*($A327-Ft!B$2)^2)),Ft!B$3*((1-Ft!B$7)/(1+Ft!B$39*($A327-Ft!B$2)^2)+Ft!B$7*EXP(Ft!B$40*($A327-Ft!B$2)^2)))</f>
        <v>29.373665810041828</v>
      </c>
      <c r="G327" s="3">
        <f>IF(($A327-Ft!C$2)&lt;0,Ft!C$3*((1-Ft!C$6)/(1+Ft!C$37*($A327-Ft!C$2)^2)+Ft!C$6*EXP(Ft!C$38*($A327-Ft!C$2)^2)),Ft!C$3*((1-Ft!C$7)/(1+Ft!C$39*($A327-Ft!C$2)^2)+Ft!C$7*EXP(Ft!C$40*($A327-Ft!C$2)^2)))</f>
        <v>52.477907146315346</v>
      </c>
      <c r="H327" s="3">
        <f>IF(($A327-Ft!D$2)&lt;0,Ft!D$3*((1-Ft!D$6)/(1+Ft!D$37*($A327-Ft!D$2)^2)+Ft!D$6*EXP(Ft!D$38*($A327-Ft!D$2)^2)),Ft!D$3*((1-Ft!D$7)/(1+Ft!D$39*($A327-Ft!D$2)^2)+Ft!D$7*EXP(Ft!D$40*($A327-Ft!D$2)^2)))</f>
        <v>1.7422426593328501E-14</v>
      </c>
      <c r="I327" s="3">
        <f>IF(($A327-Ft!E$2)&lt;0,Ft!E$3*((1-Ft!E$6)/(1+Ft!E$37*($A327-Ft!E$2)^2)+Ft!E$6*EXP(Ft!E$38*($A327-Ft!E$2)^2)),Ft!E$3*((1-Ft!E$7)/(1+Ft!E$39*($A327-Ft!E$2)^2)+Ft!E$7*EXP(Ft!E$40*($A327-Ft!E$2)^2)))</f>
        <v>107.94457936472824</v>
      </c>
      <c r="J327" s="3">
        <f>IF(($A327-Ft!F$2)&lt;0,Ft!F$3*((1-Ft!F$6)/(1+Ft!F$37*($A327-Ft!F$2)^2)+Ft!F$6*EXP(Ft!F$38*($A327-Ft!F$2)^2)),Ft!F$3*((1-Ft!F$7)/(1+Ft!F$39*($A327-Ft!F$2)^2)+Ft!F$7*EXP(Ft!F$40*($A327-Ft!F$2)^2)))</f>
        <v>50.473458697821002</v>
      </c>
      <c r="K327" s="3">
        <f>IF(($A327-Ft!G$2)&lt;0,Ft!G$3*((1-Ft!G$6)/(1+Ft!G$37*($A327-Ft!G$2)^2)+Ft!G$6*EXP(Ft!G$38*($A327-Ft!G$2)^2)),Ft!G$3*((1-Ft!G$7)/(1+Ft!G$39*($A327-Ft!G$2)^2)+Ft!G$7*EXP(Ft!G$40*($A327-Ft!G$2)^2)))</f>
        <v>15.832601321875879</v>
      </c>
      <c r="L327" s="3">
        <f>IF(($A327-Ft!H$2)&lt;0,Ft!H$3*((1-Ft!H$6)/(1+Ft!H$37*($A327-Ft!H$2)^2)+Ft!H$6*EXP(Ft!H$38*($A327-Ft!H$2)^2)),Ft!H$3*((1-Ft!H$7)/(1+Ft!H$39*($A327-Ft!H$2)^2)+Ft!H$7*EXP(Ft!H$40*($A327-Ft!H$2)^2)))</f>
        <v>0</v>
      </c>
      <c r="M327" s="3">
        <f>IF(($A327-Ft!I$2)&lt;0,Ft!I$3*((1-Ft!I$6)/(1+Ft!I$37*($A327-Ft!I$2)^2)+Ft!I$6*EXP(Ft!I$38*($A327-Ft!I$2)^2)),Ft!I$3*((1-Ft!I$7)/(1+Ft!I$39*($A327-Ft!I$2)^2)+Ft!I$7*EXP(Ft!I$40*($A327-Ft!I$2)^2)))</f>
        <v>0</v>
      </c>
      <c r="N327" s="3">
        <f>IF(($A327-Ft!J$2)&lt;0,Ft!J$3*((1-Ft!J$6)/(1+Ft!J$37*($A327-Ft!J$2)^2)+Ft!J$6*EXP(Ft!J$38*($A327-Ft!J$2)^2)),Ft!J$3*((1-Ft!J$7)/(1+Ft!J$39*($A327-Ft!J$2)^2)+Ft!J$7*EXP(Ft!J$40*($A327-Ft!J$2)^2)))</f>
        <v>0</v>
      </c>
      <c r="O327" s="3">
        <f>IF(($A327-Ft!K$2)&lt;0,Ft!K$3*((1-Ft!K$6)/(1+Ft!K$37*($A327-Ft!K$2)^2)+Ft!K$6*EXP(Ft!K$38*($A327-Ft!K$2)^2)),Ft!K$3*((1-Ft!K$7)/(1+Ft!K$39*($A327-Ft!K$2)^2)+Ft!K$7*EXP(Ft!K$40*($A327-Ft!K$2)^2)))</f>
        <v>0</v>
      </c>
      <c r="P327"/>
      <c r="Q327"/>
    </row>
    <row r="328" spans="1:17">
      <c r="A328" s="20">
        <v>653</v>
      </c>
      <c r="B328" s="29">
        <v>56.174136030339255</v>
      </c>
      <c r="C328" s="7">
        <f t="shared" si="11"/>
        <v>56.15916723124267</v>
      </c>
      <c r="D328" s="3">
        <f t="shared" si="10"/>
        <v>2.2406494639395035E-4</v>
      </c>
      <c r="E328" s="3">
        <f>Ft!$B$12+Ft!$B$14*(Data!A328-Vars!$B$3)</f>
        <v>-200</v>
      </c>
      <c r="F328" s="3">
        <f>IF(($A328-Ft!B$2)&lt;0,Ft!B$3*((1-Ft!B$6)/(1+Ft!B$37*($A328-Ft!B$2)^2)+Ft!B$6*EXP(Ft!B$38*($A328-Ft!B$2)^2)),Ft!B$3*((1-Ft!B$7)/(1+Ft!B$39*($A328-Ft!B$2)^2)+Ft!B$7*EXP(Ft!B$40*($A328-Ft!B$2)^2)))</f>
        <v>29.129741664211934</v>
      </c>
      <c r="G328" s="3">
        <f>IF(($A328-Ft!C$2)&lt;0,Ft!C$3*((1-Ft!C$6)/(1+Ft!C$37*($A328-Ft!C$2)^2)+Ft!C$6*EXP(Ft!C$38*($A328-Ft!C$2)^2)),Ft!C$3*((1-Ft!C$7)/(1+Ft!C$39*($A328-Ft!C$2)^2)+Ft!C$7*EXP(Ft!C$40*($A328-Ft!C$2)^2)))</f>
        <v>52.53593639926612</v>
      </c>
      <c r="H328" s="3">
        <f>IF(($A328-Ft!D$2)&lt;0,Ft!D$3*((1-Ft!D$6)/(1+Ft!D$37*($A328-Ft!D$2)^2)+Ft!D$6*EXP(Ft!D$38*($A328-Ft!D$2)^2)),Ft!D$3*((1-Ft!D$7)/(1+Ft!D$39*($A328-Ft!D$2)^2)+Ft!D$7*EXP(Ft!D$40*($A328-Ft!D$2)^2)))</f>
        <v>9.5654915959119615E-15</v>
      </c>
      <c r="I328" s="3">
        <f>IF(($A328-Ft!E$2)&lt;0,Ft!E$3*((1-Ft!E$6)/(1+Ft!E$37*($A328-Ft!E$2)^2)+Ft!E$6*EXP(Ft!E$38*($A328-Ft!E$2)^2)),Ft!E$3*((1-Ft!E$7)/(1+Ft!E$39*($A328-Ft!E$2)^2)+Ft!E$7*EXP(Ft!E$40*($A328-Ft!E$2)^2)))</f>
        <v>108.15713277676039</v>
      </c>
      <c r="J328" s="3">
        <f>IF(($A328-Ft!F$2)&lt;0,Ft!F$3*((1-Ft!F$6)/(1+Ft!F$37*($A328-Ft!F$2)^2)+Ft!F$6*EXP(Ft!F$38*($A328-Ft!F$2)^2)),Ft!F$3*((1-Ft!F$7)/(1+Ft!F$39*($A328-Ft!F$2)^2)+Ft!F$7*EXP(Ft!F$40*($A328-Ft!F$2)^2)))</f>
        <v>50.745407440993205</v>
      </c>
      <c r="K328" s="3">
        <f>IF(($A328-Ft!G$2)&lt;0,Ft!G$3*((1-Ft!G$6)/(1+Ft!G$37*($A328-Ft!G$2)^2)+Ft!G$6*EXP(Ft!G$38*($A328-Ft!G$2)^2)),Ft!G$3*((1-Ft!G$7)/(1+Ft!G$39*($A328-Ft!G$2)^2)+Ft!G$7*EXP(Ft!G$40*($A328-Ft!G$2)^2)))</f>
        <v>15.590948950011002</v>
      </c>
      <c r="L328" s="3">
        <f>IF(($A328-Ft!H$2)&lt;0,Ft!H$3*((1-Ft!H$6)/(1+Ft!H$37*($A328-Ft!H$2)^2)+Ft!H$6*EXP(Ft!H$38*($A328-Ft!H$2)^2)),Ft!H$3*((1-Ft!H$7)/(1+Ft!H$39*($A328-Ft!H$2)^2)+Ft!H$7*EXP(Ft!H$40*($A328-Ft!H$2)^2)))</f>
        <v>0</v>
      </c>
      <c r="M328" s="3">
        <f>IF(($A328-Ft!I$2)&lt;0,Ft!I$3*((1-Ft!I$6)/(1+Ft!I$37*($A328-Ft!I$2)^2)+Ft!I$6*EXP(Ft!I$38*($A328-Ft!I$2)^2)),Ft!I$3*((1-Ft!I$7)/(1+Ft!I$39*($A328-Ft!I$2)^2)+Ft!I$7*EXP(Ft!I$40*($A328-Ft!I$2)^2)))</f>
        <v>0</v>
      </c>
      <c r="N328" s="3">
        <f>IF(($A328-Ft!J$2)&lt;0,Ft!J$3*((1-Ft!J$6)/(1+Ft!J$37*($A328-Ft!J$2)^2)+Ft!J$6*EXP(Ft!J$38*($A328-Ft!J$2)^2)),Ft!J$3*((1-Ft!J$7)/(1+Ft!J$39*($A328-Ft!J$2)^2)+Ft!J$7*EXP(Ft!J$40*($A328-Ft!J$2)^2)))</f>
        <v>0</v>
      </c>
      <c r="O328" s="3">
        <f>IF(($A328-Ft!K$2)&lt;0,Ft!K$3*((1-Ft!K$6)/(1+Ft!K$37*($A328-Ft!K$2)^2)+Ft!K$6*EXP(Ft!K$38*($A328-Ft!K$2)^2)),Ft!K$3*((1-Ft!K$7)/(1+Ft!K$39*($A328-Ft!K$2)^2)+Ft!K$7*EXP(Ft!K$40*($A328-Ft!K$2)^2)))</f>
        <v>0</v>
      </c>
      <c r="P328"/>
      <c r="Q328"/>
    </row>
    <row r="329" spans="1:17">
      <c r="A329" s="20">
        <v>655</v>
      </c>
      <c r="B329" s="29">
        <v>56.217006724552519</v>
      </c>
      <c r="C329" s="7">
        <f t="shared" si="11"/>
        <v>56.214219179221331</v>
      </c>
      <c r="D329" s="3">
        <f t="shared" si="10"/>
        <v>7.7704089734272218E-6</v>
      </c>
      <c r="E329" s="3">
        <f>Ft!$B$12+Ft!$B$14*(Data!A329-Vars!$B$3)</f>
        <v>-200</v>
      </c>
      <c r="F329" s="3">
        <f>IF(($A329-Ft!B$2)&lt;0,Ft!B$3*((1-Ft!B$6)/(1+Ft!B$37*($A329-Ft!B$2)^2)+Ft!B$6*EXP(Ft!B$38*($A329-Ft!B$2)^2)),Ft!B$3*((1-Ft!B$7)/(1+Ft!B$39*($A329-Ft!B$2)^2)+Ft!B$7*EXP(Ft!B$40*($A329-Ft!B$2)^2)))</f>
        <v>28.887291738258138</v>
      </c>
      <c r="G329" s="3">
        <f>IF(($A329-Ft!C$2)&lt;0,Ft!C$3*((1-Ft!C$6)/(1+Ft!C$37*($A329-Ft!C$2)^2)+Ft!C$6*EXP(Ft!C$38*($A329-Ft!C$2)^2)),Ft!C$3*((1-Ft!C$7)/(1+Ft!C$39*($A329-Ft!C$2)^2)+Ft!C$7*EXP(Ft!C$40*($A329-Ft!C$2)^2)))</f>
        <v>52.593565113183985</v>
      </c>
      <c r="H329" s="3">
        <f>IF(($A329-Ft!D$2)&lt;0,Ft!D$3*((1-Ft!D$6)/(1+Ft!D$37*($A329-Ft!D$2)^2)+Ft!D$6*EXP(Ft!D$38*($A329-Ft!D$2)^2)),Ft!D$3*((1-Ft!D$7)/(1+Ft!D$39*($A329-Ft!D$2)^2)+Ft!D$7*EXP(Ft!D$40*($A329-Ft!D$2)^2)))</f>
        <v>5.2228798196107368E-15</v>
      </c>
      <c r="I329" s="3">
        <f>IF(($A329-Ft!E$2)&lt;0,Ft!E$3*((1-Ft!E$6)/(1+Ft!E$37*($A329-Ft!E$2)^2)+Ft!E$6*EXP(Ft!E$38*($A329-Ft!E$2)^2)),Ft!E$3*((1-Ft!E$7)/(1+Ft!E$39*($A329-Ft!E$2)^2)+Ft!E$7*EXP(Ft!E$40*($A329-Ft!E$2)^2)))</f>
        <v>108.36382145897183</v>
      </c>
      <c r="J329" s="3">
        <f>IF(($A329-Ft!F$2)&lt;0,Ft!F$3*((1-Ft!F$6)/(1+Ft!F$37*($A329-Ft!F$2)^2)+Ft!F$6*EXP(Ft!F$38*($A329-Ft!F$2)^2)),Ft!F$3*((1-Ft!F$7)/(1+Ft!F$39*($A329-Ft!F$2)^2)+Ft!F$7*EXP(Ft!F$40*($A329-Ft!F$2)^2)))</f>
        <v>51.018149496515818</v>
      </c>
      <c r="K329" s="3">
        <f>IF(($A329-Ft!G$2)&lt;0,Ft!G$3*((1-Ft!G$6)/(1+Ft!G$37*($A329-Ft!G$2)^2)+Ft!G$6*EXP(Ft!G$38*($A329-Ft!G$2)^2)),Ft!G$3*((1-Ft!G$7)/(1+Ft!G$39*($A329-Ft!G$2)^2)+Ft!G$7*EXP(Ft!G$40*($A329-Ft!G$2)^2)))</f>
        <v>15.351391372291561</v>
      </c>
      <c r="L329" s="3">
        <f>IF(($A329-Ft!H$2)&lt;0,Ft!H$3*((1-Ft!H$6)/(1+Ft!H$37*($A329-Ft!H$2)^2)+Ft!H$6*EXP(Ft!H$38*($A329-Ft!H$2)^2)),Ft!H$3*((1-Ft!H$7)/(1+Ft!H$39*($A329-Ft!H$2)^2)+Ft!H$7*EXP(Ft!H$40*($A329-Ft!H$2)^2)))</f>
        <v>0</v>
      </c>
      <c r="M329" s="3">
        <f>IF(($A329-Ft!I$2)&lt;0,Ft!I$3*((1-Ft!I$6)/(1+Ft!I$37*($A329-Ft!I$2)^2)+Ft!I$6*EXP(Ft!I$38*($A329-Ft!I$2)^2)),Ft!I$3*((1-Ft!I$7)/(1+Ft!I$39*($A329-Ft!I$2)^2)+Ft!I$7*EXP(Ft!I$40*($A329-Ft!I$2)^2)))</f>
        <v>0</v>
      </c>
      <c r="N329" s="3">
        <f>IF(($A329-Ft!J$2)&lt;0,Ft!J$3*((1-Ft!J$6)/(1+Ft!J$37*($A329-Ft!J$2)^2)+Ft!J$6*EXP(Ft!J$38*($A329-Ft!J$2)^2)),Ft!J$3*((1-Ft!J$7)/(1+Ft!J$39*($A329-Ft!J$2)^2)+Ft!J$7*EXP(Ft!J$40*($A329-Ft!J$2)^2)))</f>
        <v>0</v>
      </c>
      <c r="O329" s="3">
        <f>IF(($A329-Ft!K$2)&lt;0,Ft!K$3*((1-Ft!K$6)/(1+Ft!K$37*($A329-Ft!K$2)^2)+Ft!K$6*EXP(Ft!K$38*($A329-Ft!K$2)^2)),Ft!K$3*((1-Ft!K$7)/(1+Ft!K$39*($A329-Ft!K$2)^2)+Ft!K$7*EXP(Ft!K$40*($A329-Ft!K$2)^2)))</f>
        <v>0</v>
      </c>
      <c r="P329"/>
      <c r="Q329"/>
    </row>
    <row r="330" spans="1:17">
      <c r="A330" s="20">
        <v>657</v>
      </c>
      <c r="B330" s="29">
        <v>56.257699815716407</v>
      </c>
      <c r="C330" s="7">
        <f t="shared" si="11"/>
        <v>56.267342695273896</v>
      </c>
      <c r="D330" s="3">
        <f t="shared" si="10"/>
        <v>9.2985126160247673E-5</v>
      </c>
      <c r="E330" s="3">
        <f>Ft!$B$12+Ft!$B$14*(Data!A330-Vars!$B$3)</f>
        <v>-200</v>
      </c>
      <c r="F330" s="3">
        <f>IF(($A330-Ft!B$2)&lt;0,Ft!B$3*((1-Ft!B$6)/(1+Ft!B$37*($A330-Ft!B$2)^2)+Ft!B$6*EXP(Ft!B$38*($A330-Ft!B$2)^2)),Ft!B$3*((1-Ft!B$7)/(1+Ft!B$39*($A330-Ft!B$2)^2)+Ft!B$7*EXP(Ft!B$40*($A330-Ft!B$2)^2)))</f>
        <v>28.646312978647998</v>
      </c>
      <c r="G330" s="3">
        <f>IF(($A330-Ft!C$2)&lt;0,Ft!C$3*((1-Ft!C$6)/(1+Ft!C$37*($A330-Ft!C$2)^2)+Ft!C$6*EXP(Ft!C$38*($A330-Ft!C$2)^2)),Ft!C$3*((1-Ft!C$7)/(1+Ft!C$39*($A330-Ft!C$2)^2)+Ft!C$7*EXP(Ft!C$40*($A330-Ft!C$2)^2)))</f>
        <v>52.650791829759484</v>
      </c>
      <c r="H330" s="3">
        <f>IF(($A330-Ft!D$2)&lt;0,Ft!D$3*((1-Ft!D$6)/(1+Ft!D$37*($A330-Ft!D$2)^2)+Ft!D$6*EXP(Ft!D$38*($A330-Ft!D$2)^2)),Ft!D$3*((1-Ft!D$7)/(1+Ft!D$39*($A330-Ft!D$2)^2)+Ft!D$7*EXP(Ft!D$40*($A330-Ft!D$2)^2)))</f>
        <v>2.8360694255739768E-15</v>
      </c>
      <c r="I330" s="3">
        <f>IF(($A330-Ft!E$2)&lt;0,Ft!E$3*((1-Ft!E$6)/(1+Ft!E$37*($A330-Ft!E$2)^2)+Ft!E$6*EXP(Ft!E$38*($A330-Ft!E$2)^2)),Ft!E$3*((1-Ft!E$7)/(1+Ft!E$39*($A330-Ft!E$2)^2)+Ft!E$7*EXP(Ft!E$40*($A330-Ft!E$2)^2)))</f>
        <v>108.56461021343763</v>
      </c>
      <c r="J330" s="3">
        <f>IF(($A330-Ft!F$2)&lt;0,Ft!F$3*((1-Ft!F$6)/(1+Ft!F$37*($A330-Ft!F$2)^2)+Ft!F$6*EXP(Ft!F$38*($A330-Ft!F$2)^2)),Ft!F$3*((1-Ft!F$7)/(1+Ft!F$39*($A330-Ft!F$2)^2)+Ft!F$7*EXP(Ft!F$40*($A330-Ft!F$2)^2)))</f>
        <v>51.291681924696881</v>
      </c>
      <c r="K330" s="3">
        <f>IF(($A330-Ft!G$2)&lt;0,Ft!G$3*((1-Ft!G$6)/(1+Ft!G$37*($A330-Ft!G$2)^2)+Ft!G$6*EXP(Ft!G$38*($A330-Ft!G$2)^2)),Ft!G$3*((1-Ft!G$7)/(1+Ft!G$39*($A330-Ft!G$2)^2)+Ft!G$7*EXP(Ft!G$40*($A330-Ft!G$2)^2)))</f>
        <v>15.113945748731915</v>
      </c>
      <c r="L330" s="3">
        <f>IF(($A330-Ft!H$2)&lt;0,Ft!H$3*((1-Ft!H$6)/(1+Ft!H$37*($A330-Ft!H$2)^2)+Ft!H$6*EXP(Ft!H$38*($A330-Ft!H$2)^2)),Ft!H$3*((1-Ft!H$7)/(1+Ft!H$39*($A330-Ft!H$2)^2)+Ft!H$7*EXP(Ft!H$40*($A330-Ft!H$2)^2)))</f>
        <v>0</v>
      </c>
      <c r="M330" s="3">
        <f>IF(($A330-Ft!I$2)&lt;0,Ft!I$3*((1-Ft!I$6)/(1+Ft!I$37*($A330-Ft!I$2)^2)+Ft!I$6*EXP(Ft!I$38*($A330-Ft!I$2)^2)),Ft!I$3*((1-Ft!I$7)/(1+Ft!I$39*($A330-Ft!I$2)^2)+Ft!I$7*EXP(Ft!I$40*($A330-Ft!I$2)^2)))</f>
        <v>0</v>
      </c>
      <c r="N330" s="3">
        <f>IF(($A330-Ft!J$2)&lt;0,Ft!J$3*((1-Ft!J$6)/(1+Ft!J$37*($A330-Ft!J$2)^2)+Ft!J$6*EXP(Ft!J$38*($A330-Ft!J$2)^2)),Ft!J$3*((1-Ft!J$7)/(1+Ft!J$39*($A330-Ft!J$2)^2)+Ft!J$7*EXP(Ft!J$40*($A330-Ft!J$2)^2)))</f>
        <v>0</v>
      </c>
      <c r="O330" s="3">
        <f>IF(($A330-Ft!K$2)&lt;0,Ft!K$3*((1-Ft!K$6)/(1+Ft!K$37*($A330-Ft!K$2)^2)+Ft!K$6*EXP(Ft!K$38*($A330-Ft!K$2)^2)),Ft!K$3*((1-Ft!K$7)/(1+Ft!K$39*($A330-Ft!K$2)^2)+Ft!K$7*EXP(Ft!K$40*($A330-Ft!K$2)^2)))</f>
        <v>0</v>
      </c>
      <c r="P330"/>
      <c r="Q330"/>
    </row>
    <row r="331" spans="1:17">
      <c r="A331" s="20">
        <v>659</v>
      </c>
      <c r="B331" s="29">
        <v>56.296224200725646</v>
      </c>
      <c r="C331" s="7">
        <f t="shared" si="11"/>
        <v>56.318512237368552</v>
      </c>
      <c r="D331" s="3">
        <f t="shared" si="10"/>
        <v>4.9675657739548667E-4</v>
      </c>
      <c r="E331" s="3">
        <f>Ft!$B$12+Ft!$B$14*(Data!A331-Vars!$B$3)</f>
        <v>-200</v>
      </c>
      <c r="F331" s="3">
        <f>IF(($A331-Ft!B$2)&lt;0,Ft!B$3*((1-Ft!B$6)/(1+Ft!B$37*($A331-Ft!B$2)^2)+Ft!B$6*EXP(Ft!B$38*($A331-Ft!B$2)^2)),Ft!B$3*((1-Ft!B$7)/(1+Ft!B$39*($A331-Ft!B$2)^2)+Ft!B$7*EXP(Ft!B$40*($A331-Ft!B$2)^2)))</f>
        <v>28.406802273405855</v>
      </c>
      <c r="G331" s="3">
        <f>IF(($A331-Ft!C$2)&lt;0,Ft!C$3*((1-Ft!C$6)/(1+Ft!C$37*($A331-Ft!C$2)^2)+Ft!C$6*EXP(Ft!C$38*($A331-Ft!C$2)^2)),Ft!C$3*((1-Ft!C$7)/(1+Ft!C$39*($A331-Ft!C$2)^2)+Ft!C$7*EXP(Ft!C$40*($A331-Ft!C$2)^2)))</f>
        <v>52.707615099751621</v>
      </c>
      <c r="H331" s="3">
        <f>IF(($A331-Ft!D$2)&lt;0,Ft!D$3*((1-Ft!D$6)/(1+Ft!D$37*($A331-Ft!D$2)^2)+Ft!D$6*EXP(Ft!D$38*($A331-Ft!D$2)^2)),Ft!D$3*((1-Ft!D$7)/(1+Ft!D$39*($A331-Ft!D$2)^2)+Ft!D$7*EXP(Ft!D$40*($A331-Ft!D$2)^2)))</f>
        <v>1.5315379769806319E-15</v>
      </c>
      <c r="I331" s="3">
        <f>IF(($A331-Ft!E$2)&lt;0,Ft!E$3*((1-Ft!E$6)/(1+Ft!E$37*($A331-Ft!E$2)^2)+Ft!E$6*EXP(Ft!E$38*($A331-Ft!E$2)^2)),Ft!E$3*((1-Ft!E$7)/(1+Ft!E$39*($A331-Ft!E$2)^2)+Ft!E$7*EXP(Ft!E$40*($A331-Ft!E$2)^2)))</f>
        <v>108.75946480318169</v>
      </c>
      <c r="J331" s="3">
        <f>IF(($A331-Ft!F$2)&lt;0,Ft!F$3*((1-Ft!F$6)/(1+Ft!F$37*($A331-Ft!F$2)^2)+Ft!F$6*EXP(Ft!F$38*($A331-Ft!F$2)^2)),Ft!F$3*((1-Ft!F$7)/(1+Ft!F$39*($A331-Ft!F$2)^2)+Ft!F$7*EXP(Ft!F$40*($A331-Ft!F$2)^2)))</f>
        <v>51.566001738751808</v>
      </c>
      <c r="K331" s="3">
        <f>IF(($A331-Ft!G$2)&lt;0,Ft!G$3*((1-Ft!G$6)/(1+Ft!G$37*($A331-Ft!G$2)^2)+Ft!G$6*EXP(Ft!G$38*($A331-Ft!G$2)^2)),Ft!G$3*((1-Ft!G$7)/(1+Ft!G$39*($A331-Ft!G$2)^2)+Ft!G$7*EXP(Ft!G$40*($A331-Ft!G$2)^2)))</f>
        <v>14.878628322277594</v>
      </c>
      <c r="L331" s="3">
        <f>IF(($A331-Ft!H$2)&lt;0,Ft!H$3*((1-Ft!H$6)/(1+Ft!H$37*($A331-Ft!H$2)^2)+Ft!H$6*EXP(Ft!H$38*($A331-Ft!H$2)^2)),Ft!H$3*((1-Ft!H$7)/(1+Ft!H$39*($A331-Ft!H$2)^2)+Ft!H$7*EXP(Ft!H$40*($A331-Ft!H$2)^2)))</f>
        <v>0</v>
      </c>
      <c r="M331" s="3">
        <f>IF(($A331-Ft!I$2)&lt;0,Ft!I$3*((1-Ft!I$6)/(1+Ft!I$37*($A331-Ft!I$2)^2)+Ft!I$6*EXP(Ft!I$38*($A331-Ft!I$2)^2)),Ft!I$3*((1-Ft!I$7)/(1+Ft!I$39*($A331-Ft!I$2)^2)+Ft!I$7*EXP(Ft!I$40*($A331-Ft!I$2)^2)))</f>
        <v>0</v>
      </c>
      <c r="N331" s="3">
        <f>IF(($A331-Ft!J$2)&lt;0,Ft!J$3*((1-Ft!J$6)/(1+Ft!J$37*($A331-Ft!J$2)^2)+Ft!J$6*EXP(Ft!J$38*($A331-Ft!J$2)^2)),Ft!J$3*((1-Ft!J$7)/(1+Ft!J$39*($A331-Ft!J$2)^2)+Ft!J$7*EXP(Ft!J$40*($A331-Ft!J$2)^2)))</f>
        <v>0</v>
      </c>
      <c r="O331" s="3">
        <f>IF(($A331-Ft!K$2)&lt;0,Ft!K$3*((1-Ft!K$6)/(1+Ft!K$37*($A331-Ft!K$2)^2)+Ft!K$6*EXP(Ft!K$38*($A331-Ft!K$2)^2)),Ft!K$3*((1-Ft!K$7)/(1+Ft!K$39*($A331-Ft!K$2)^2)+Ft!K$7*EXP(Ft!K$40*($A331-Ft!K$2)^2)))</f>
        <v>0</v>
      </c>
      <c r="P331"/>
      <c r="Q331"/>
    </row>
    <row r="332" spans="1:17">
      <c r="A332" s="20">
        <v>661</v>
      </c>
      <c r="B332" s="29">
        <v>56.332591963834304</v>
      </c>
      <c r="C332" s="7">
        <f t="shared" si="11"/>
        <v>56.367702228797185</v>
      </c>
      <c r="D332" s="3">
        <f t="shared" si="10"/>
        <v>1.2327307057637363E-3</v>
      </c>
      <c r="E332" s="3">
        <f>Ft!$B$12+Ft!$B$14*(Data!A332-Vars!$B$3)</f>
        <v>-200</v>
      </c>
      <c r="F332" s="3">
        <f>IF(($A332-Ft!B$2)&lt;0,Ft!B$3*((1-Ft!B$6)/(1+Ft!B$37*($A332-Ft!B$2)^2)+Ft!B$6*EXP(Ft!B$38*($A332-Ft!B$2)^2)),Ft!B$3*((1-Ft!B$7)/(1+Ft!B$39*($A332-Ft!B$2)^2)+Ft!B$7*EXP(Ft!B$40*($A332-Ft!B$2)^2)))</f>
        <v>28.168756452836828</v>
      </c>
      <c r="G332" s="3">
        <f>IF(($A332-Ft!C$2)&lt;0,Ft!C$3*((1-Ft!C$6)/(1+Ft!C$37*($A332-Ft!C$2)^2)+Ft!C$6*EXP(Ft!C$38*($A332-Ft!C$2)^2)),Ft!C$3*((1-Ft!C$7)/(1+Ft!C$39*($A332-Ft!C$2)^2)+Ft!C$7*EXP(Ft!C$40*($A332-Ft!C$2)^2)))</f>
        <v>52.764033483048898</v>
      </c>
      <c r="H332" s="3">
        <f>IF(($A332-Ft!D$2)&lt;0,Ft!D$3*((1-Ft!D$6)/(1+Ft!D$37*($A332-Ft!D$2)^2)+Ft!D$6*EXP(Ft!D$38*($A332-Ft!D$2)^2)),Ft!D$3*((1-Ft!D$7)/(1+Ft!D$39*($A332-Ft!D$2)^2)+Ft!D$7*EXP(Ft!D$40*($A332-Ft!D$2)^2)))</f>
        <v>8.2251299803390321E-16</v>
      </c>
      <c r="I332" s="3">
        <f>IF(($A332-Ft!E$2)&lt;0,Ft!E$3*((1-Ft!E$6)/(1+Ft!E$37*($A332-Ft!E$2)^2)+Ft!E$6*EXP(Ft!E$38*($A332-Ft!E$2)^2)),Ft!E$3*((1-Ft!E$7)/(1+Ft!E$39*($A332-Ft!E$2)^2)+Ft!E$7*EXP(Ft!E$40*($A332-Ft!E$2)^2)))</f>
        <v>108.94835196190454</v>
      </c>
      <c r="J332" s="3">
        <f>IF(($A332-Ft!F$2)&lt;0,Ft!F$3*((1-Ft!F$6)/(1+Ft!F$37*($A332-Ft!F$2)^2)+Ft!F$6*EXP(Ft!F$38*($A332-Ft!F$2)^2)),Ft!F$3*((1-Ft!F$7)/(1+Ft!F$39*($A332-Ft!F$2)^2)+Ft!F$7*EXP(Ft!F$40*($A332-Ft!F$2)^2)))</f>
        <v>51.841105904708655</v>
      </c>
      <c r="K332" s="3">
        <f>IF(($A332-Ft!G$2)&lt;0,Ft!G$3*((1-Ft!G$6)/(1+Ft!G$37*($A332-Ft!G$2)^2)+Ft!G$6*EXP(Ft!G$38*($A332-Ft!G$2)^2)),Ft!G$3*((1-Ft!G$7)/(1+Ft!G$39*($A332-Ft!G$2)^2)+Ft!G$7*EXP(Ft!G$40*($A332-Ft!G$2)^2)))</f>
        <v>14.645454426298274</v>
      </c>
      <c r="L332" s="3">
        <f>IF(($A332-Ft!H$2)&lt;0,Ft!H$3*((1-Ft!H$6)/(1+Ft!H$37*($A332-Ft!H$2)^2)+Ft!H$6*EXP(Ft!H$38*($A332-Ft!H$2)^2)),Ft!H$3*((1-Ft!H$7)/(1+Ft!H$39*($A332-Ft!H$2)^2)+Ft!H$7*EXP(Ft!H$40*($A332-Ft!H$2)^2)))</f>
        <v>0</v>
      </c>
      <c r="M332" s="3">
        <f>IF(($A332-Ft!I$2)&lt;0,Ft!I$3*((1-Ft!I$6)/(1+Ft!I$37*($A332-Ft!I$2)^2)+Ft!I$6*EXP(Ft!I$38*($A332-Ft!I$2)^2)),Ft!I$3*((1-Ft!I$7)/(1+Ft!I$39*($A332-Ft!I$2)^2)+Ft!I$7*EXP(Ft!I$40*($A332-Ft!I$2)^2)))</f>
        <v>0</v>
      </c>
      <c r="N332" s="3">
        <f>IF(($A332-Ft!J$2)&lt;0,Ft!J$3*((1-Ft!J$6)/(1+Ft!J$37*($A332-Ft!J$2)^2)+Ft!J$6*EXP(Ft!J$38*($A332-Ft!J$2)^2)),Ft!J$3*((1-Ft!J$7)/(1+Ft!J$39*($A332-Ft!J$2)^2)+Ft!J$7*EXP(Ft!J$40*($A332-Ft!J$2)^2)))</f>
        <v>0</v>
      </c>
      <c r="O332" s="3">
        <f>IF(($A332-Ft!K$2)&lt;0,Ft!K$3*((1-Ft!K$6)/(1+Ft!K$37*($A332-Ft!K$2)^2)+Ft!K$6*EXP(Ft!K$38*($A332-Ft!K$2)^2)),Ft!K$3*((1-Ft!K$7)/(1+Ft!K$39*($A332-Ft!K$2)^2)+Ft!K$7*EXP(Ft!K$40*($A332-Ft!K$2)^2)))</f>
        <v>0</v>
      </c>
      <c r="P332"/>
      <c r="Q332"/>
    </row>
    <row r="333" spans="1:17">
      <c r="A333" s="20">
        <v>663</v>
      </c>
      <c r="B333" s="29">
        <v>56.366818745212328</v>
      </c>
      <c r="C333" s="7">
        <f t="shared" si="11"/>
        <v>56.414887076177067</v>
      </c>
      <c r="D333" s="3">
        <f t="shared" si="10"/>
        <v>2.3105644417356812E-3</v>
      </c>
      <c r="E333" s="3">
        <f>Ft!$B$12+Ft!$B$14*(Data!A333-Vars!$B$3)</f>
        <v>-200</v>
      </c>
      <c r="F333" s="3">
        <f>IF(($A333-Ft!B$2)&lt;0,Ft!B$3*((1-Ft!B$6)/(1+Ft!B$37*($A333-Ft!B$2)^2)+Ft!B$6*EXP(Ft!B$38*($A333-Ft!B$2)^2)),Ft!B$3*((1-Ft!B$7)/(1+Ft!B$39*($A333-Ft!B$2)^2)+Ft!B$7*EXP(Ft!B$40*($A333-Ft!B$2)^2)))</f>
        <v>27.932172290250463</v>
      </c>
      <c r="G333" s="3">
        <f>IF(($A333-Ft!C$2)&lt;0,Ft!C$3*((1-Ft!C$6)/(1+Ft!C$37*($A333-Ft!C$2)^2)+Ft!C$6*EXP(Ft!C$38*($A333-Ft!C$2)^2)),Ft!C$3*((1-Ft!C$7)/(1+Ft!C$39*($A333-Ft!C$2)^2)+Ft!C$7*EXP(Ft!C$40*($A333-Ft!C$2)^2)))</f>
        <v>52.820045548730135</v>
      </c>
      <c r="H333" s="3">
        <f>IF(($A333-Ft!D$2)&lt;0,Ft!D$3*((1-Ft!D$6)/(1+Ft!D$37*($A333-Ft!D$2)^2)+Ft!D$6*EXP(Ft!D$38*($A333-Ft!D$2)^2)),Ft!D$3*((1-Ft!D$7)/(1+Ft!D$39*($A333-Ft!D$2)^2)+Ft!D$7*EXP(Ft!D$40*($A333-Ft!D$2)^2)))</f>
        <v>4.3930066054492977E-16</v>
      </c>
      <c r="I333" s="3">
        <f>IF(($A333-Ft!E$2)&lt;0,Ft!E$3*((1-Ft!E$6)/(1+Ft!E$37*($A333-Ft!E$2)^2)+Ft!E$6*EXP(Ft!E$38*($A333-Ft!E$2)^2)),Ft!E$3*((1-Ft!E$7)/(1+Ft!E$39*($A333-Ft!E$2)^2)+Ft!E$7*EXP(Ft!E$40*($A333-Ft!E$2)^2)))</f>
        <v>109.13123940344761</v>
      </c>
      <c r="J333" s="3">
        <f>IF(($A333-Ft!F$2)&lt;0,Ft!F$3*((1-Ft!F$6)/(1+Ft!F$37*($A333-Ft!F$2)^2)+Ft!F$6*EXP(Ft!F$38*($A333-Ft!F$2)^2)),Ft!F$3*((1-Ft!F$7)/(1+Ft!F$39*($A333-Ft!F$2)^2)+Ft!F$7*EXP(Ft!F$40*($A333-Ft!F$2)^2)))</f>
        <v>52.11699134131603</v>
      </c>
      <c r="K333" s="3">
        <f>IF(($A333-Ft!G$2)&lt;0,Ft!G$3*((1-Ft!G$6)/(1+Ft!G$37*($A333-Ft!G$2)^2)+Ft!G$6*EXP(Ft!G$38*($A333-Ft!G$2)^2)),Ft!G$3*((1-Ft!G$7)/(1+Ft!G$39*($A333-Ft!G$2)^2)+Ft!G$7*EXP(Ft!G$40*($A333-Ft!G$2)^2)))</f>
        <v>14.414438492432829</v>
      </c>
      <c r="L333" s="3">
        <f>IF(($A333-Ft!H$2)&lt;0,Ft!H$3*((1-Ft!H$6)/(1+Ft!H$37*($A333-Ft!H$2)^2)+Ft!H$6*EXP(Ft!H$38*($A333-Ft!H$2)^2)),Ft!H$3*((1-Ft!H$7)/(1+Ft!H$39*($A333-Ft!H$2)^2)+Ft!H$7*EXP(Ft!H$40*($A333-Ft!H$2)^2)))</f>
        <v>0</v>
      </c>
      <c r="M333" s="3">
        <f>IF(($A333-Ft!I$2)&lt;0,Ft!I$3*((1-Ft!I$6)/(1+Ft!I$37*($A333-Ft!I$2)^2)+Ft!I$6*EXP(Ft!I$38*($A333-Ft!I$2)^2)),Ft!I$3*((1-Ft!I$7)/(1+Ft!I$39*($A333-Ft!I$2)^2)+Ft!I$7*EXP(Ft!I$40*($A333-Ft!I$2)^2)))</f>
        <v>0</v>
      </c>
      <c r="N333" s="3">
        <f>IF(($A333-Ft!J$2)&lt;0,Ft!J$3*((1-Ft!J$6)/(1+Ft!J$37*($A333-Ft!J$2)^2)+Ft!J$6*EXP(Ft!J$38*($A333-Ft!J$2)^2)),Ft!J$3*((1-Ft!J$7)/(1+Ft!J$39*($A333-Ft!J$2)^2)+Ft!J$7*EXP(Ft!J$40*($A333-Ft!J$2)^2)))</f>
        <v>0</v>
      </c>
      <c r="O333" s="3">
        <f>IF(($A333-Ft!K$2)&lt;0,Ft!K$3*((1-Ft!K$6)/(1+Ft!K$37*($A333-Ft!K$2)^2)+Ft!K$6*EXP(Ft!K$38*($A333-Ft!K$2)^2)),Ft!K$3*((1-Ft!K$7)/(1+Ft!K$39*($A333-Ft!K$2)^2)+Ft!K$7*EXP(Ft!K$40*($A333-Ft!K$2)^2)))</f>
        <v>0</v>
      </c>
      <c r="P333"/>
      <c r="Q333"/>
    </row>
    <row r="334" spans="1:17">
      <c r="A334" s="20">
        <v>665</v>
      </c>
      <c r="B334" s="29">
        <v>56.398924125630302</v>
      </c>
      <c r="C334" s="7">
        <f t="shared" si="11"/>
        <v>56.460041187527736</v>
      </c>
      <c r="D334" s="3">
        <f t="shared" si="10"/>
        <v>3.7352952549747978E-3</v>
      </c>
      <c r="E334" s="3">
        <f>Ft!$B$12+Ft!$B$14*(Data!A334-Vars!$B$3)</f>
        <v>-200</v>
      </c>
      <c r="F334" s="3">
        <f>IF(($A334-Ft!B$2)&lt;0,Ft!B$3*((1-Ft!B$6)/(1+Ft!B$37*($A334-Ft!B$2)^2)+Ft!B$6*EXP(Ft!B$38*($A334-Ft!B$2)^2)),Ft!B$3*((1-Ft!B$7)/(1+Ft!B$39*($A334-Ft!B$2)^2)+Ft!B$7*EXP(Ft!B$40*($A334-Ft!B$2)^2)))</f>
        <v>27.697046502683634</v>
      </c>
      <c r="G334" s="3">
        <f>IF(($A334-Ft!C$2)&lt;0,Ft!C$3*((1-Ft!C$6)/(1+Ft!C$37*($A334-Ft!C$2)^2)+Ft!C$6*EXP(Ft!C$38*($A334-Ft!C$2)^2)),Ft!C$3*((1-Ft!C$7)/(1+Ft!C$39*($A334-Ft!C$2)^2)+Ft!C$7*EXP(Ft!C$40*($A334-Ft!C$2)^2)))</f>
        <v>52.875649875124914</v>
      </c>
      <c r="H334" s="3">
        <f>IF(($A334-Ft!D$2)&lt;0,Ft!D$3*((1-Ft!D$6)/(1+Ft!D$37*($A334-Ft!D$2)^2)+Ft!D$6*EXP(Ft!D$38*($A334-Ft!D$2)^2)),Ft!D$3*((1-Ft!D$7)/(1+Ft!D$39*($A334-Ft!D$2)^2)+Ft!D$7*EXP(Ft!D$40*($A334-Ft!D$2)^2)))</f>
        <v>2.3333776294797179E-16</v>
      </c>
      <c r="I334" s="3">
        <f>IF(($A334-Ft!E$2)&lt;0,Ft!E$3*((1-Ft!E$6)/(1+Ft!E$37*($A334-Ft!E$2)^2)+Ft!E$6*EXP(Ft!E$38*($A334-Ft!E$2)^2)),Ft!E$3*((1-Ft!E$7)/(1+Ft!E$39*($A334-Ft!E$2)^2)+Ft!E$7*EXP(Ft!E$40*($A334-Ft!E$2)^2)))</f>
        <v>109.30809583098946</v>
      </c>
      <c r="J334" s="3">
        <f>IF(($A334-Ft!F$2)&lt;0,Ft!F$3*((1-Ft!F$6)/(1+Ft!F$37*($A334-Ft!F$2)^2)+Ft!F$6*EXP(Ft!F$38*($A334-Ft!F$2)^2)),Ft!F$3*((1-Ft!F$7)/(1+Ft!F$39*($A334-Ft!F$2)^2)+Ft!F$7*EXP(Ft!F$40*($A334-Ft!F$2)^2)))</f>
        <v>52.393654919953605</v>
      </c>
      <c r="K334" s="3">
        <f>IF(($A334-Ft!G$2)&lt;0,Ft!G$3*((1-Ft!G$6)/(1+Ft!G$37*($A334-Ft!G$2)^2)+Ft!G$6*EXP(Ft!G$38*($A334-Ft!G$2)^2)),Ft!G$3*((1-Ft!G$7)/(1+Ft!G$39*($A334-Ft!G$2)^2)+Ft!G$7*EXP(Ft!G$40*($A334-Ft!G$2)^2)))</f>
        <v>14.185594058776134</v>
      </c>
      <c r="L334" s="3">
        <f>IF(($A334-Ft!H$2)&lt;0,Ft!H$3*((1-Ft!H$6)/(1+Ft!H$37*($A334-Ft!H$2)^2)+Ft!H$6*EXP(Ft!H$38*($A334-Ft!H$2)^2)),Ft!H$3*((1-Ft!H$7)/(1+Ft!H$39*($A334-Ft!H$2)^2)+Ft!H$7*EXP(Ft!H$40*($A334-Ft!H$2)^2)))</f>
        <v>0</v>
      </c>
      <c r="M334" s="3">
        <f>IF(($A334-Ft!I$2)&lt;0,Ft!I$3*((1-Ft!I$6)/(1+Ft!I$37*($A334-Ft!I$2)^2)+Ft!I$6*EXP(Ft!I$38*($A334-Ft!I$2)^2)),Ft!I$3*((1-Ft!I$7)/(1+Ft!I$39*($A334-Ft!I$2)^2)+Ft!I$7*EXP(Ft!I$40*($A334-Ft!I$2)^2)))</f>
        <v>0</v>
      </c>
      <c r="N334" s="3">
        <f>IF(($A334-Ft!J$2)&lt;0,Ft!J$3*((1-Ft!J$6)/(1+Ft!J$37*($A334-Ft!J$2)^2)+Ft!J$6*EXP(Ft!J$38*($A334-Ft!J$2)^2)),Ft!J$3*((1-Ft!J$7)/(1+Ft!J$39*($A334-Ft!J$2)^2)+Ft!J$7*EXP(Ft!J$40*($A334-Ft!J$2)^2)))</f>
        <v>0</v>
      </c>
      <c r="O334" s="3">
        <f>IF(($A334-Ft!K$2)&lt;0,Ft!K$3*((1-Ft!K$6)/(1+Ft!K$37*($A334-Ft!K$2)^2)+Ft!K$6*EXP(Ft!K$38*($A334-Ft!K$2)^2)),Ft!K$3*((1-Ft!K$7)/(1+Ft!K$39*($A334-Ft!K$2)^2)+Ft!K$7*EXP(Ft!K$40*($A334-Ft!K$2)^2)))</f>
        <v>0</v>
      </c>
      <c r="P334"/>
      <c r="Q334"/>
    </row>
    <row r="335" spans="1:17">
      <c r="A335" s="20">
        <v>667</v>
      </c>
      <c r="B335" s="29">
        <v>56.428932021539069</v>
      </c>
      <c r="C335" s="7">
        <f t="shared" si="11"/>
        <v>56.503138990409667</v>
      </c>
      <c r="D335" s="3">
        <f t="shared" si="10"/>
        <v>5.5066742289619289E-3</v>
      </c>
      <c r="E335" s="3">
        <f>Ft!$B$12+Ft!$B$14*(Data!A335-Vars!$B$3)</f>
        <v>-200</v>
      </c>
      <c r="F335" s="3">
        <f>IF(($A335-Ft!B$2)&lt;0,Ft!B$3*((1-Ft!B$6)/(1+Ft!B$37*($A335-Ft!B$2)^2)+Ft!B$6*EXP(Ft!B$38*($A335-Ft!B$2)^2)),Ft!B$3*((1-Ft!B$7)/(1+Ft!B$39*($A335-Ft!B$2)^2)+Ft!B$7*EXP(Ft!B$40*($A335-Ft!B$2)^2)))</f>
        <v>27.463375751622731</v>
      </c>
      <c r="G335" s="3">
        <f>IF(($A335-Ft!C$2)&lt;0,Ft!C$3*((1-Ft!C$6)/(1+Ft!C$37*($A335-Ft!C$2)^2)+Ft!C$6*EXP(Ft!C$38*($A335-Ft!C$2)^2)),Ft!C$3*((1-Ft!C$7)/(1+Ft!C$39*($A335-Ft!C$2)^2)+Ft!C$7*EXP(Ft!C$40*($A335-Ft!C$2)^2)))</f>
        <v>52.930845049873625</v>
      </c>
      <c r="H335" s="3">
        <f>IF(($A335-Ft!D$2)&lt;0,Ft!D$3*((1-Ft!D$6)/(1+Ft!D$37*($A335-Ft!D$2)^2)+Ft!D$6*EXP(Ft!D$38*($A335-Ft!D$2)^2)),Ft!D$3*((1-Ft!D$7)/(1+Ft!D$39*($A335-Ft!D$2)^2)+Ft!D$7*EXP(Ft!D$40*($A335-Ft!D$2)^2)))</f>
        <v>1.2325719796240713E-16</v>
      </c>
      <c r="I335" s="3">
        <f>IF(($A335-Ft!E$2)&lt;0,Ft!E$3*((1-Ft!E$6)/(1+Ft!E$37*($A335-Ft!E$2)^2)+Ft!E$6*EXP(Ft!E$38*($A335-Ft!E$2)^2)),Ft!E$3*((1-Ft!E$7)/(1+Ft!E$39*($A335-Ft!E$2)^2)+Ft!E$7*EXP(Ft!E$40*($A335-Ft!E$2)^2)))</f>
        <v>109.47889094597087</v>
      </c>
      <c r="J335" s="3">
        <f>IF(($A335-Ft!F$2)&lt;0,Ft!F$3*((1-Ft!F$6)/(1+Ft!F$37*($A335-Ft!F$2)^2)+Ft!F$6*EXP(Ft!F$38*($A335-Ft!F$2)^2)),Ft!F$3*((1-Ft!F$7)/(1+Ft!F$39*($A335-Ft!F$2)^2)+Ft!F$7*EXP(Ft!F$40*($A335-Ft!F$2)^2)))</f>
        <v>52.671093464545258</v>
      </c>
      <c r="K335" s="3">
        <f>IF(($A335-Ft!G$2)&lt;0,Ft!G$3*((1-Ft!G$6)/(1+Ft!G$37*($A335-Ft!G$2)^2)+Ft!G$6*EXP(Ft!G$38*($A335-Ft!G$2)^2)),Ft!G$3*((1-Ft!G$7)/(1+Ft!G$39*($A335-Ft!G$2)^2)+Ft!G$7*EXP(Ft!G$40*($A335-Ft!G$2)^2)))</f>
        <v>13.95893377839719</v>
      </c>
      <c r="L335" s="3">
        <f>IF(($A335-Ft!H$2)&lt;0,Ft!H$3*((1-Ft!H$6)/(1+Ft!H$37*($A335-Ft!H$2)^2)+Ft!H$6*EXP(Ft!H$38*($A335-Ft!H$2)^2)),Ft!H$3*((1-Ft!H$7)/(1+Ft!H$39*($A335-Ft!H$2)^2)+Ft!H$7*EXP(Ft!H$40*($A335-Ft!H$2)^2)))</f>
        <v>0</v>
      </c>
      <c r="M335" s="3">
        <f>IF(($A335-Ft!I$2)&lt;0,Ft!I$3*((1-Ft!I$6)/(1+Ft!I$37*($A335-Ft!I$2)^2)+Ft!I$6*EXP(Ft!I$38*($A335-Ft!I$2)^2)),Ft!I$3*((1-Ft!I$7)/(1+Ft!I$39*($A335-Ft!I$2)^2)+Ft!I$7*EXP(Ft!I$40*($A335-Ft!I$2)^2)))</f>
        <v>0</v>
      </c>
      <c r="N335" s="3">
        <f>IF(($A335-Ft!J$2)&lt;0,Ft!J$3*((1-Ft!J$6)/(1+Ft!J$37*($A335-Ft!J$2)^2)+Ft!J$6*EXP(Ft!J$38*($A335-Ft!J$2)^2)),Ft!J$3*((1-Ft!J$7)/(1+Ft!J$39*($A335-Ft!J$2)^2)+Ft!J$7*EXP(Ft!J$40*($A335-Ft!J$2)^2)))</f>
        <v>0</v>
      </c>
      <c r="O335" s="3">
        <f>IF(($A335-Ft!K$2)&lt;0,Ft!K$3*((1-Ft!K$6)/(1+Ft!K$37*($A335-Ft!K$2)^2)+Ft!K$6*EXP(Ft!K$38*($A335-Ft!K$2)^2)),Ft!K$3*((1-Ft!K$7)/(1+Ft!K$39*($A335-Ft!K$2)^2)+Ft!K$7*EXP(Ft!K$40*($A335-Ft!K$2)^2)))</f>
        <v>0</v>
      </c>
      <c r="P335"/>
      <c r="Q335"/>
    </row>
    <row r="336" spans="1:17">
      <c r="A336" s="20">
        <v>669</v>
      </c>
      <c r="B336" s="29">
        <v>56.45687108318306</v>
      </c>
      <c r="C336" s="7">
        <f t="shared" si="11"/>
        <v>56.544154950110453</v>
      </c>
      <c r="D336" s="3">
        <f t="shared" si="10"/>
        <v>7.6184734257988855E-3</v>
      </c>
      <c r="E336" s="3">
        <f>Ft!$B$12+Ft!$B$14*(Data!A336-Vars!$B$3)</f>
        <v>-200</v>
      </c>
      <c r="F336" s="3">
        <f>IF(($A336-Ft!B$2)&lt;0,Ft!B$3*((1-Ft!B$6)/(1+Ft!B$37*($A336-Ft!B$2)^2)+Ft!B$6*EXP(Ft!B$38*($A336-Ft!B$2)^2)),Ft!B$3*((1-Ft!B$7)/(1+Ft!B$39*($A336-Ft!B$2)^2)+Ft!B$7*EXP(Ft!B$40*($A336-Ft!B$2)^2)))</f>
        <v>27.231156643725114</v>
      </c>
      <c r="G336" s="3">
        <f>IF(($A336-Ft!C$2)&lt;0,Ft!C$3*((1-Ft!C$6)/(1+Ft!C$37*($A336-Ft!C$2)^2)+Ft!C$6*EXP(Ft!C$38*($A336-Ft!C$2)^2)),Ft!C$3*((1-Ft!C$7)/(1+Ft!C$39*($A336-Ft!C$2)^2)+Ft!C$7*EXP(Ft!C$40*($A336-Ft!C$2)^2)))</f>
        <v>52.985629669987262</v>
      </c>
      <c r="H336" s="3">
        <f>IF(($A336-Ft!D$2)&lt;0,Ft!D$3*((1-Ft!D$6)/(1+Ft!D$37*($A336-Ft!D$2)^2)+Ft!D$6*EXP(Ft!D$38*($A336-Ft!D$2)^2)),Ft!D$3*((1-Ft!D$7)/(1+Ft!D$39*($A336-Ft!D$2)^2)+Ft!D$7*EXP(Ft!D$40*($A336-Ft!D$2)^2)))</f>
        <v>6.4750576333491238E-17</v>
      </c>
      <c r="I336" s="3">
        <f>IF(($A336-Ft!E$2)&lt;0,Ft!E$3*((1-Ft!E$6)/(1+Ft!E$37*($A336-Ft!E$2)^2)+Ft!E$6*EXP(Ft!E$38*($A336-Ft!E$2)^2)),Ft!E$3*((1-Ft!E$7)/(1+Ft!E$39*($A336-Ft!E$2)^2)+Ft!E$7*EXP(Ft!E$40*($A336-Ft!E$2)^2)))</f>
        <v>109.64359545674499</v>
      </c>
      <c r="J336" s="3">
        <f>IF(($A336-Ft!F$2)&lt;0,Ft!F$3*((1-Ft!F$6)/(1+Ft!F$37*($A336-Ft!F$2)^2)+Ft!F$6*EXP(Ft!F$38*($A336-Ft!F$2)^2)),Ft!F$3*((1-Ft!F$7)/(1+Ft!F$39*($A336-Ft!F$2)^2)+Ft!F$7*EXP(Ft!F$40*($A336-Ft!F$2)^2)))</f>
        <v>52.949303751475</v>
      </c>
      <c r="K336" s="3">
        <f>IF(($A336-Ft!G$2)&lt;0,Ft!G$3*((1-Ft!G$6)/(1+Ft!G$37*($A336-Ft!G$2)^2)+Ft!G$6*EXP(Ft!G$38*($A336-Ft!G$2)^2)),Ft!G$3*((1-Ft!G$7)/(1+Ft!G$39*($A336-Ft!G$2)^2)+Ft!G$7*EXP(Ft!G$40*($A336-Ft!G$2)^2)))</f>
        <v>13.734469428178089</v>
      </c>
      <c r="L336" s="3">
        <f>IF(($A336-Ft!H$2)&lt;0,Ft!H$3*((1-Ft!H$6)/(1+Ft!H$37*($A336-Ft!H$2)^2)+Ft!H$6*EXP(Ft!H$38*($A336-Ft!H$2)^2)),Ft!H$3*((1-Ft!H$7)/(1+Ft!H$39*($A336-Ft!H$2)^2)+Ft!H$7*EXP(Ft!H$40*($A336-Ft!H$2)^2)))</f>
        <v>0</v>
      </c>
      <c r="M336" s="3">
        <f>IF(($A336-Ft!I$2)&lt;0,Ft!I$3*((1-Ft!I$6)/(1+Ft!I$37*($A336-Ft!I$2)^2)+Ft!I$6*EXP(Ft!I$38*($A336-Ft!I$2)^2)),Ft!I$3*((1-Ft!I$7)/(1+Ft!I$39*($A336-Ft!I$2)^2)+Ft!I$7*EXP(Ft!I$40*($A336-Ft!I$2)^2)))</f>
        <v>0</v>
      </c>
      <c r="N336" s="3">
        <f>IF(($A336-Ft!J$2)&lt;0,Ft!J$3*((1-Ft!J$6)/(1+Ft!J$37*($A336-Ft!J$2)^2)+Ft!J$6*EXP(Ft!J$38*($A336-Ft!J$2)^2)),Ft!J$3*((1-Ft!J$7)/(1+Ft!J$39*($A336-Ft!J$2)^2)+Ft!J$7*EXP(Ft!J$40*($A336-Ft!J$2)^2)))</f>
        <v>0</v>
      </c>
      <c r="O336" s="3">
        <f>IF(($A336-Ft!K$2)&lt;0,Ft!K$3*((1-Ft!K$6)/(1+Ft!K$37*($A336-Ft!K$2)^2)+Ft!K$6*EXP(Ft!K$38*($A336-Ft!K$2)^2)),Ft!K$3*((1-Ft!K$7)/(1+Ft!K$39*($A336-Ft!K$2)^2)+Ft!K$7*EXP(Ft!K$40*($A336-Ft!K$2)^2)))</f>
        <v>0</v>
      </c>
      <c r="P336"/>
      <c r="Q336"/>
    </row>
    <row r="337" spans="1:17">
      <c r="A337" s="20">
        <v>671</v>
      </c>
      <c r="B337" s="29">
        <v>56.482775086629758</v>
      </c>
      <c r="C337" s="7">
        <f t="shared" si="11"/>
        <v>56.583063587864245</v>
      </c>
      <c r="D337" s="3">
        <f t="shared" si="10"/>
        <v>1.0057783479859826E-2</v>
      </c>
      <c r="E337" s="3">
        <f>Ft!$B$12+Ft!$B$14*(Data!A337-Vars!$B$3)</f>
        <v>-200</v>
      </c>
      <c r="F337" s="3">
        <f>IF(($A337-Ft!B$2)&lt;0,Ft!B$3*((1-Ft!B$6)/(1+Ft!B$37*($A337-Ft!B$2)^2)+Ft!B$6*EXP(Ft!B$38*($A337-Ft!B$2)^2)),Ft!B$3*((1-Ft!B$7)/(1+Ft!B$39*($A337-Ft!B$2)^2)+Ft!B$7*EXP(Ft!B$40*($A337-Ft!B$2)^2)))</f>
        <v>27.000385731539616</v>
      </c>
      <c r="G337" s="3">
        <f>IF(($A337-Ft!C$2)&lt;0,Ft!C$3*((1-Ft!C$6)/(1+Ft!C$37*($A337-Ft!C$2)^2)+Ft!C$6*EXP(Ft!C$38*($A337-Ft!C$2)^2)),Ft!C$3*((1-Ft!C$7)/(1+Ft!C$39*($A337-Ft!C$2)^2)+Ft!C$7*EXP(Ft!C$40*($A337-Ft!C$2)^2)))</f>
        <v>53.040002341906778</v>
      </c>
      <c r="H337" s="3">
        <f>IF(($A337-Ft!D$2)&lt;0,Ft!D$3*((1-Ft!D$6)/(1+Ft!D$37*($A337-Ft!D$2)^2)+Ft!D$6*EXP(Ft!D$38*($A337-Ft!D$2)^2)),Ft!D$3*((1-Ft!D$7)/(1+Ft!D$39*($A337-Ft!D$2)^2)+Ft!D$7*EXP(Ft!D$40*($A337-Ft!D$2)^2)))</f>
        <v>3.382821430316743E-17</v>
      </c>
      <c r="I337" s="3">
        <f>IF(($A337-Ft!E$2)&lt;0,Ft!E$3*((1-Ft!E$6)/(1+Ft!E$37*($A337-Ft!E$2)^2)+Ft!E$6*EXP(Ft!E$38*($A337-Ft!E$2)^2)),Ft!E$3*((1-Ft!E$7)/(1+Ft!E$39*($A337-Ft!E$2)^2)+Ft!E$7*EXP(Ft!E$40*($A337-Ft!E$2)^2)))</f>
        <v>109.8021810869491</v>
      </c>
      <c r="J337" s="3">
        <f>IF(($A337-Ft!F$2)&lt;0,Ft!F$3*((1-Ft!F$6)/(1+Ft!F$37*($A337-Ft!F$2)^2)+Ft!F$6*EXP(Ft!F$38*($A337-Ft!F$2)^2)),Ft!F$3*((1-Ft!F$7)/(1+Ft!F$39*($A337-Ft!F$2)^2)+Ft!F$7*EXP(Ft!F$40*($A337-Ft!F$2)^2)))</f>
        <v>53.228282509505462</v>
      </c>
      <c r="K337" s="3">
        <f>IF(($A337-Ft!G$2)&lt;0,Ft!G$3*((1-Ft!G$6)/(1+Ft!G$37*($A337-Ft!G$2)^2)+Ft!G$6*EXP(Ft!G$38*($A337-Ft!G$2)^2)),Ft!G$3*((1-Ft!G$7)/(1+Ft!G$39*($A337-Ft!G$2)^2)+Ft!G$7*EXP(Ft!G$40*($A337-Ft!G$2)^2)))</f>
        <v>13.512211917963286</v>
      </c>
      <c r="L337" s="3">
        <f>IF(($A337-Ft!H$2)&lt;0,Ft!H$3*((1-Ft!H$6)/(1+Ft!H$37*($A337-Ft!H$2)^2)+Ft!H$6*EXP(Ft!H$38*($A337-Ft!H$2)^2)),Ft!H$3*((1-Ft!H$7)/(1+Ft!H$39*($A337-Ft!H$2)^2)+Ft!H$7*EXP(Ft!H$40*($A337-Ft!H$2)^2)))</f>
        <v>0</v>
      </c>
      <c r="M337" s="3">
        <f>IF(($A337-Ft!I$2)&lt;0,Ft!I$3*((1-Ft!I$6)/(1+Ft!I$37*($A337-Ft!I$2)^2)+Ft!I$6*EXP(Ft!I$38*($A337-Ft!I$2)^2)),Ft!I$3*((1-Ft!I$7)/(1+Ft!I$39*($A337-Ft!I$2)^2)+Ft!I$7*EXP(Ft!I$40*($A337-Ft!I$2)^2)))</f>
        <v>0</v>
      </c>
      <c r="N337" s="3">
        <f>IF(($A337-Ft!J$2)&lt;0,Ft!J$3*((1-Ft!J$6)/(1+Ft!J$37*($A337-Ft!J$2)^2)+Ft!J$6*EXP(Ft!J$38*($A337-Ft!J$2)^2)),Ft!J$3*((1-Ft!J$7)/(1+Ft!J$39*($A337-Ft!J$2)^2)+Ft!J$7*EXP(Ft!J$40*($A337-Ft!J$2)^2)))</f>
        <v>0</v>
      </c>
      <c r="O337" s="3">
        <f>IF(($A337-Ft!K$2)&lt;0,Ft!K$3*((1-Ft!K$6)/(1+Ft!K$37*($A337-Ft!K$2)^2)+Ft!K$6*EXP(Ft!K$38*($A337-Ft!K$2)^2)),Ft!K$3*((1-Ft!K$7)/(1+Ft!K$39*($A337-Ft!K$2)^2)+Ft!K$7*EXP(Ft!K$40*($A337-Ft!K$2)^2)))</f>
        <v>0</v>
      </c>
      <c r="P337"/>
      <c r="Q337"/>
    </row>
    <row r="338" spans="1:17">
      <c r="A338" s="20">
        <v>673</v>
      </c>
      <c r="B338" s="29">
        <v>56.50668330874835</v>
      </c>
      <c r="C338" s="7">
        <f t="shared" si="11"/>
        <v>56.619839499090567</v>
      </c>
      <c r="D338" s="3">
        <f t="shared" si="10"/>
        <v>1.2804323412763973E-2</v>
      </c>
      <c r="E338" s="3">
        <f>Ft!$B$12+Ft!$B$14*(Data!A338-Vars!$B$3)</f>
        <v>-200</v>
      </c>
      <c r="F338" s="3">
        <f>IF(($A338-Ft!B$2)&lt;0,Ft!B$3*((1-Ft!B$6)/(1+Ft!B$37*($A338-Ft!B$2)^2)+Ft!B$6*EXP(Ft!B$38*($A338-Ft!B$2)^2)),Ft!B$3*((1-Ft!B$7)/(1+Ft!B$39*($A338-Ft!B$2)^2)+Ft!B$7*EXP(Ft!B$40*($A338-Ft!B$2)^2)))</f>
        <v>26.771059514226163</v>
      </c>
      <c r="G338" s="3">
        <f>IF(($A338-Ft!C$2)&lt;0,Ft!C$3*((1-Ft!C$6)/(1+Ft!C$37*($A338-Ft!C$2)^2)+Ft!C$6*EXP(Ft!C$38*($A338-Ft!C$2)^2)),Ft!C$3*((1-Ft!C$7)/(1+Ft!C$39*($A338-Ft!C$2)^2)+Ft!C$7*EXP(Ft!C$40*($A338-Ft!C$2)^2)))</f>
        <v>53.093961681562156</v>
      </c>
      <c r="H338" s="3">
        <f>IF(($A338-Ft!D$2)&lt;0,Ft!D$3*((1-Ft!D$6)/(1+Ft!D$37*($A338-Ft!D$2)^2)+Ft!D$6*EXP(Ft!D$38*($A338-Ft!D$2)^2)),Ft!D$3*((1-Ft!D$7)/(1+Ft!D$39*($A338-Ft!D$2)^2)+Ft!D$7*EXP(Ft!D$40*($A338-Ft!D$2)^2)))</f>
        <v>1.7575941367787038E-17</v>
      </c>
      <c r="I338" s="3">
        <f>IF(($A338-Ft!E$2)&lt;0,Ft!E$3*((1-Ft!E$6)/(1+Ft!E$37*($A338-Ft!E$2)^2)+Ft!E$6*EXP(Ft!E$38*($A338-Ft!E$2)^2)),Ft!E$3*((1-Ft!E$7)/(1+Ft!E$39*($A338-Ft!E$2)^2)+Ft!E$7*EXP(Ft!E$40*($A338-Ft!E$2)^2)))</f>
        <v>109.95462058359466</v>
      </c>
      <c r="J338" s="3">
        <f>IF(($A338-Ft!F$2)&lt;0,Ft!F$3*((1-Ft!F$6)/(1+Ft!F$37*($A338-Ft!F$2)^2)+Ft!F$6*EXP(Ft!F$38*($A338-Ft!F$2)^2)),Ft!F$3*((1-Ft!F$7)/(1+Ft!F$39*($A338-Ft!F$2)^2)+Ft!F$7*EXP(Ft!F$40*($A338-Ft!F$2)^2)))</f>
        <v>53.508026419699085</v>
      </c>
      <c r="K338" s="3">
        <f>IF(($A338-Ft!G$2)&lt;0,Ft!G$3*((1-Ft!G$6)/(1+Ft!G$37*($A338-Ft!G$2)^2)+Ft!G$6*EXP(Ft!G$38*($A338-Ft!G$2)^2)),Ft!G$3*((1-Ft!G$7)/(1+Ft!G$39*($A338-Ft!G$2)^2)+Ft!G$7*EXP(Ft!G$40*($A338-Ft!G$2)^2)))</f>
        <v>13.292171300008519</v>
      </c>
      <c r="L338" s="3">
        <f>IF(($A338-Ft!H$2)&lt;0,Ft!H$3*((1-Ft!H$6)/(1+Ft!H$37*($A338-Ft!H$2)^2)+Ft!H$6*EXP(Ft!H$38*($A338-Ft!H$2)^2)),Ft!H$3*((1-Ft!H$7)/(1+Ft!H$39*($A338-Ft!H$2)^2)+Ft!H$7*EXP(Ft!H$40*($A338-Ft!H$2)^2)))</f>
        <v>0</v>
      </c>
      <c r="M338" s="3">
        <f>IF(($A338-Ft!I$2)&lt;0,Ft!I$3*((1-Ft!I$6)/(1+Ft!I$37*($A338-Ft!I$2)^2)+Ft!I$6*EXP(Ft!I$38*($A338-Ft!I$2)^2)),Ft!I$3*((1-Ft!I$7)/(1+Ft!I$39*($A338-Ft!I$2)^2)+Ft!I$7*EXP(Ft!I$40*($A338-Ft!I$2)^2)))</f>
        <v>0</v>
      </c>
      <c r="N338" s="3">
        <f>IF(($A338-Ft!J$2)&lt;0,Ft!J$3*((1-Ft!J$6)/(1+Ft!J$37*($A338-Ft!J$2)^2)+Ft!J$6*EXP(Ft!J$38*($A338-Ft!J$2)^2)),Ft!J$3*((1-Ft!J$7)/(1+Ft!J$39*($A338-Ft!J$2)^2)+Ft!J$7*EXP(Ft!J$40*($A338-Ft!J$2)^2)))</f>
        <v>0</v>
      </c>
      <c r="O338" s="3">
        <f>IF(($A338-Ft!K$2)&lt;0,Ft!K$3*((1-Ft!K$6)/(1+Ft!K$37*($A338-Ft!K$2)^2)+Ft!K$6*EXP(Ft!K$38*($A338-Ft!K$2)^2)),Ft!K$3*((1-Ft!K$7)/(1+Ft!K$39*($A338-Ft!K$2)^2)+Ft!K$7*EXP(Ft!K$40*($A338-Ft!K$2)^2)))</f>
        <v>0</v>
      </c>
      <c r="P338"/>
      <c r="Q338"/>
    </row>
    <row r="339" spans="1:17">
      <c r="A339" s="20">
        <v>675</v>
      </c>
      <c r="B339" s="29">
        <v>56.528640872274579</v>
      </c>
      <c r="C339" s="7">
        <f t="shared" si="11"/>
        <v>56.654457371638841</v>
      </c>
      <c r="D339" s="3">
        <f t="shared" si="10"/>
        <v>1.5829791512277418E-2</v>
      </c>
      <c r="E339" s="3">
        <f>Ft!$B$12+Ft!$B$14*(Data!A339-Vars!$B$3)</f>
        <v>-200</v>
      </c>
      <c r="F339" s="3">
        <f>IF(($A339-Ft!B$2)&lt;0,Ft!B$3*((1-Ft!B$6)/(1+Ft!B$37*($A339-Ft!B$2)^2)+Ft!B$6*EXP(Ft!B$38*($A339-Ft!B$2)^2)),Ft!B$3*((1-Ft!B$7)/(1+Ft!B$39*($A339-Ft!B$2)^2)+Ft!B$7*EXP(Ft!B$40*($A339-Ft!B$2)^2)))</f>
        <v>26.543174438274384</v>
      </c>
      <c r="G339" s="3">
        <f>IF(($A339-Ft!C$2)&lt;0,Ft!C$3*((1-Ft!C$6)/(1+Ft!C$37*($A339-Ft!C$2)^2)+Ft!C$6*EXP(Ft!C$38*($A339-Ft!C$2)^2)),Ft!C$3*((1-Ft!C$7)/(1+Ft!C$39*($A339-Ft!C$2)^2)+Ft!C$7*EXP(Ft!C$40*($A339-Ft!C$2)^2)))</f>
        <v>53.147506314431055</v>
      </c>
      <c r="H339" s="3">
        <f>IF(($A339-Ft!D$2)&lt;0,Ft!D$3*((1-Ft!D$6)/(1+Ft!D$37*($A339-Ft!D$2)^2)+Ft!D$6*EXP(Ft!D$38*($A339-Ft!D$2)^2)),Ft!D$3*((1-Ft!D$7)/(1+Ft!D$39*($A339-Ft!D$2)^2)+Ft!D$7*EXP(Ft!D$40*($A339-Ft!D$2)^2)))</f>
        <v>9.0815965436251363E-18</v>
      </c>
      <c r="I339" s="3">
        <f>IF(($A339-Ft!E$2)&lt;0,Ft!E$3*((1-Ft!E$6)/(1+Ft!E$37*($A339-Ft!E$2)^2)+Ft!E$6*EXP(Ft!E$38*($A339-Ft!E$2)^2)),Ft!E$3*((1-Ft!E$7)/(1+Ft!E$39*($A339-Ft!E$2)^2)+Ft!E$7*EXP(Ft!E$40*($A339-Ft!E$2)^2)))</f>
        <v>110.10088772487242</v>
      </c>
      <c r="J339" s="3">
        <f>IF(($A339-Ft!F$2)&lt;0,Ft!F$3*((1-Ft!F$6)/(1+Ft!F$37*($A339-Ft!F$2)^2)+Ft!F$6*EXP(Ft!F$38*($A339-Ft!F$2)^2)),Ft!F$3*((1-Ft!F$7)/(1+Ft!F$39*($A339-Ft!F$2)^2)+Ft!F$7*EXP(Ft!F$40*($A339-Ft!F$2)^2)))</f>
        <v>53.788532115342214</v>
      </c>
      <c r="K339" s="3">
        <f>IF(($A339-Ft!G$2)&lt;0,Ft!G$3*((1-Ft!G$6)/(1+Ft!G$37*($A339-Ft!G$2)^2)+Ft!G$6*EXP(Ft!G$38*($A339-Ft!G$2)^2)),Ft!G$3*((1-Ft!G$7)/(1+Ft!G$39*($A339-Ft!G$2)^2)+Ft!G$7*EXP(Ft!G$40*($A339-Ft!G$2)^2)))</f>
        <v>13.074356778718769</v>
      </c>
      <c r="L339" s="3">
        <f>IF(($A339-Ft!H$2)&lt;0,Ft!H$3*((1-Ft!H$6)/(1+Ft!H$37*($A339-Ft!H$2)^2)+Ft!H$6*EXP(Ft!H$38*($A339-Ft!H$2)^2)),Ft!H$3*((1-Ft!H$7)/(1+Ft!H$39*($A339-Ft!H$2)^2)+Ft!H$7*EXP(Ft!H$40*($A339-Ft!H$2)^2)))</f>
        <v>0</v>
      </c>
      <c r="M339" s="3">
        <f>IF(($A339-Ft!I$2)&lt;0,Ft!I$3*((1-Ft!I$6)/(1+Ft!I$37*($A339-Ft!I$2)^2)+Ft!I$6*EXP(Ft!I$38*($A339-Ft!I$2)^2)),Ft!I$3*((1-Ft!I$7)/(1+Ft!I$39*($A339-Ft!I$2)^2)+Ft!I$7*EXP(Ft!I$40*($A339-Ft!I$2)^2)))</f>
        <v>0</v>
      </c>
      <c r="N339" s="3">
        <f>IF(($A339-Ft!J$2)&lt;0,Ft!J$3*((1-Ft!J$6)/(1+Ft!J$37*($A339-Ft!J$2)^2)+Ft!J$6*EXP(Ft!J$38*($A339-Ft!J$2)^2)),Ft!J$3*((1-Ft!J$7)/(1+Ft!J$39*($A339-Ft!J$2)^2)+Ft!J$7*EXP(Ft!J$40*($A339-Ft!J$2)^2)))</f>
        <v>0</v>
      </c>
      <c r="O339" s="3">
        <f>IF(($A339-Ft!K$2)&lt;0,Ft!K$3*((1-Ft!K$6)/(1+Ft!K$37*($A339-Ft!K$2)^2)+Ft!K$6*EXP(Ft!K$38*($A339-Ft!K$2)^2)),Ft!K$3*((1-Ft!K$7)/(1+Ft!K$39*($A339-Ft!K$2)^2)+Ft!K$7*EXP(Ft!K$40*($A339-Ft!K$2)^2)))</f>
        <v>0</v>
      </c>
      <c r="P339"/>
      <c r="Q339"/>
    </row>
    <row r="340" spans="1:17">
      <c r="A340" s="20">
        <v>677</v>
      </c>
      <c r="B340" s="29">
        <v>56.548699046217664</v>
      </c>
      <c r="C340" s="7">
        <f t="shared" si="11"/>
        <v>56.68689200402406</v>
      </c>
      <c r="D340" s="3">
        <f t="shared" si="10"/>
        <v>1.9097293587280365E-2</v>
      </c>
      <c r="E340" s="3">
        <f>Ft!$B$12+Ft!$B$14*(Data!A340-Vars!$B$3)</f>
        <v>-200</v>
      </c>
      <c r="F340" s="3">
        <f>IF(($A340-Ft!B$2)&lt;0,Ft!B$3*((1-Ft!B$6)/(1+Ft!B$37*($A340-Ft!B$2)^2)+Ft!B$6*EXP(Ft!B$38*($A340-Ft!B$2)^2)),Ft!B$3*((1-Ft!B$7)/(1+Ft!B$39*($A340-Ft!B$2)^2)+Ft!B$7*EXP(Ft!B$40*($A340-Ft!B$2)^2)))</f>
        <v>26.316726898221042</v>
      </c>
      <c r="G340" s="3">
        <f>IF(($A340-Ft!C$2)&lt;0,Ft!C$3*((1-Ft!C$6)/(1+Ft!C$37*($A340-Ft!C$2)^2)+Ft!C$6*EXP(Ft!C$38*($A340-Ft!C$2)^2)),Ft!C$3*((1-Ft!C$7)/(1+Ft!C$39*($A340-Ft!C$2)^2)+Ft!C$7*EXP(Ft!C$40*($A340-Ft!C$2)^2)))</f>
        <v>53.20063487559716</v>
      </c>
      <c r="H340" s="3">
        <f>IF(($A340-Ft!D$2)&lt;0,Ft!D$3*((1-Ft!D$6)/(1+Ft!D$37*($A340-Ft!D$2)^2)+Ft!D$6*EXP(Ft!D$38*($A340-Ft!D$2)^2)),Ft!D$3*((1-Ft!D$7)/(1+Ft!D$39*($A340-Ft!D$2)^2)+Ft!D$7*EXP(Ft!D$40*($A340-Ft!D$2)^2)))</f>
        <v>4.6667001848245603E-18</v>
      </c>
      <c r="I340" s="3">
        <f>IF(($A340-Ft!E$2)&lt;0,Ft!E$3*((1-Ft!E$6)/(1+Ft!E$37*($A340-Ft!E$2)^2)+Ft!E$6*EXP(Ft!E$38*($A340-Ft!E$2)^2)),Ft!E$3*((1-Ft!E$7)/(1+Ft!E$39*($A340-Ft!E$2)^2)+Ft!E$7*EXP(Ft!E$40*($A340-Ft!E$2)^2)))</f>
        <v>110.24095732766949</v>
      </c>
      <c r="J340" s="3">
        <f>IF(($A340-Ft!F$2)&lt;0,Ft!F$3*((1-Ft!F$6)/(1+Ft!F$37*($A340-Ft!F$2)^2)+Ft!F$6*EXP(Ft!F$38*($A340-Ft!F$2)^2)),Ft!F$3*((1-Ft!F$7)/(1+Ft!F$39*($A340-Ft!F$2)^2)+Ft!F$7*EXP(Ft!F$40*($A340-Ft!F$2)^2)))</f>
        <v>54.069796181871787</v>
      </c>
      <c r="K340" s="3">
        <f>IF(($A340-Ft!G$2)&lt;0,Ft!G$3*((1-Ft!G$6)/(1+Ft!G$37*($A340-Ft!G$2)^2)+Ft!G$6*EXP(Ft!G$38*($A340-Ft!G$2)^2)),Ft!G$3*((1-Ft!G$7)/(1+Ft!G$39*($A340-Ft!G$2)^2)+Ft!G$7*EXP(Ft!G$40*($A340-Ft!G$2)^2)))</f>
        <v>12.858776720664569</v>
      </c>
      <c r="L340" s="3">
        <f>IF(($A340-Ft!H$2)&lt;0,Ft!H$3*((1-Ft!H$6)/(1+Ft!H$37*($A340-Ft!H$2)^2)+Ft!H$6*EXP(Ft!H$38*($A340-Ft!H$2)^2)),Ft!H$3*((1-Ft!H$7)/(1+Ft!H$39*($A340-Ft!H$2)^2)+Ft!H$7*EXP(Ft!H$40*($A340-Ft!H$2)^2)))</f>
        <v>0</v>
      </c>
      <c r="M340" s="3">
        <f>IF(($A340-Ft!I$2)&lt;0,Ft!I$3*((1-Ft!I$6)/(1+Ft!I$37*($A340-Ft!I$2)^2)+Ft!I$6*EXP(Ft!I$38*($A340-Ft!I$2)^2)),Ft!I$3*((1-Ft!I$7)/(1+Ft!I$39*($A340-Ft!I$2)^2)+Ft!I$7*EXP(Ft!I$40*($A340-Ft!I$2)^2)))</f>
        <v>0</v>
      </c>
      <c r="N340" s="3">
        <f>IF(($A340-Ft!J$2)&lt;0,Ft!J$3*((1-Ft!J$6)/(1+Ft!J$37*($A340-Ft!J$2)^2)+Ft!J$6*EXP(Ft!J$38*($A340-Ft!J$2)^2)),Ft!J$3*((1-Ft!J$7)/(1+Ft!J$39*($A340-Ft!J$2)^2)+Ft!J$7*EXP(Ft!J$40*($A340-Ft!J$2)^2)))</f>
        <v>0</v>
      </c>
      <c r="O340" s="3">
        <f>IF(($A340-Ft!K$2)&lt;0,Ft!K$3*((1-Ft!K$6)/(1+Ft!K$37*($A340-Ft!K$2)^2)+Ft!K$6*EXP(Ft!K$38*($A340-Ft!K$2)^2)),Ft!K$3*((1-Ft!K$7)/(1+Ft!K$39*($A340-Ft!K$2)^2)+Ft!K$7*EXP(Ft!K$40*($A340-Ft!K$2)^2)))</f>
        <v>0</v>
      </c>
      <c r="P340"/>
      <c r="Q340"/>
    </row>
    <row r="341" spans="1:17">
      <c r="A341" s="20">
        <v>679</v>
      </c>
      <c r="B341" s="29">
        <v>56.566915485071632</v>
      </c>
      <c r="C341" s="7">
        <f t="shared" si="11"/>
        <v>56.717118323640499</v>
      </c>
      <c r="D341" s="3">
        <f t="shared" si="10"/>
        <v>2.256089271414484E-2</v>
      </c>
      <c r="E341" s="3">
        <f>Ft!$B$12+Ft!$B$14*(Data!A341-Vars!$B$3)</f>
        <v>-200</v>
      </c>
      <c r="F341" s="3">
        <f>IF(($A341-Ft!B$2)&lt;0,Ft!B$3*((1-Ft!B$6)/(1+Ft!B$37*($A341-Ft!B$2)^2)+Ft!B$6*EXP(Ft!B$38*($A341-Ft!B$2)^2)),Ft!B$3*((1-Ft!B$7)/(1+Ft!B$39*($A341-Ft!B$2)^2)+Ft!B$7*EXP(Ft!B$40*($A341-Ft!B$2)^2)))</f>
        <v>26.091713237366406</v>
      </c>
      <c r="G341" s="3">
        <f>IF(($A341-Ft!C$2)&lt;0,Ft!C$3*((1-Ft!C$6)/(1+Ft!C$37*($A341-Ft!C$2)^2)+Ft!C$6*EXP(Ft!C$38*($A341-Ft!C$2)^2)),Ft!C$3*((1-Ft!C$7)/(1+Ft!C$39*($A341-Ft!C$2)^2)+Ft!C$7*EXP(Ft!C$40*($A341-Ft!C$2)^2)))</f>
        <v>53.253346009808105</v>
      </c>
      <c r="H341" s="3">
        <f>IF(($A341-Ft!D$2)&lt;0,Ft!D$3*((1-Ft!D$6)/(1+Ft!D$37*($A341-Ft!D$2)^2)+Ft!D$6*EXP(Ft!D$38*($A341-Ft!D$2)^2)),Ft!D$3*((1-Ft!D$7)/(1+Ft!D$39*($A341-Ft!D$2)^2)+Ft!D$7*EXP(Ft!D$40*($A341-Ft!D$2)^2)))</f>
        <v>2.3848533773437306E-18</v>
      </c>
      <c r="I341" s="3">
        <f>IF(($A341-Ft!E$2)&lt;0,Ft!E$3*((1-Ft!E$6)/(1+Ft!E$37*($A341-Ft!E$2)^2)+Ft!E$6*EXP(Ft!E$38*($A341-Ft!E$2)^2)),Ft!E$3*((1-Ft!E$7)/(1+Ft!E$39*($A341-Ft!E$2)^2)+Ft!E$7*EXP(Ft!E$40*($A341-Ft!E$2)^2)))</f>
        <v>110.37480525479525</v>
      </c>
      <c r="J341" s="3">
        <f>IF(($A341-Ft!F$2)&lt;0,Ft!F$3*((1-Ft!F$6)/(1+Ft!F$37*($A341-Ft!F$2)^2)+Ft!F$6*EXP(Ft!F$38*($A341-Ft!F$2)^2)),Ft!F$3*((1-Ft!F$7)/(1+Ft!F$39*($A341-Ft!F$2)^2)+Ft!F$7*EXP(Ft!F$40*($A341-Ft!F$2)^2)))</f>
        <v>54.351815156804854</v>
      </c>
      <c r="K341" s="3">
        <f>IF(($A341-Ft!G$2)&lt;0,Ft!G$3*((1-Ft!G$6)/(1+Ft!G$37*($A341-Ft!G$2)^2)+Ft!G$6*EXP(Ft!G$38*($A341-Ft!G$2)^2)),Ft!G$3*((1-Ft!G$7)/(1+Ft!G$39*($A341-Ft!G$2)^2)+Ft!G$7*EXP(Ft!G$40*($A341-Ft!G$2)^2)))</f>
        <v>12.645438664865891</v>
      </c>
      <c r="L341" s="3">
        <f>IF(($A341-Ft!H$2)&lt;0,Ft!H$3*((1-Ft!H$6)/(1+Ft!H$37*($A341-Ft!H$2)^2)+Ft!H$6*EXP(Ft!H$38*($A341-Ft!H$2)^2)),Ft!H$3*((1-Ft!H$7)/(1+Ft!H$39*($A341-Ft!H$2)^2)+Ft!H$7*EXP(Ft!H$40*($A341-Ft!H$2)^2)))</f>
        <v>0</v>
      </c>
      <c r="M341" s="3">
        <f>IF(($A341-Ft!I$2)&lt;0,Ft!I$3*((1-Ft!I$6)/(1+Ft!I$37*($A341-Ft!I$2)^2)+Ft!I$6*EXP(Ft!I$38*($A341-Ft!I$2)^2)),Ft!I$3*((1-Ft!I$7)/(1+Ft!I$39*($A341-Ft!I$2)^2)+Ft!I$7*EXP(Ft!I$40*($A341-Ft!I$2)^2)))</f>
        <v>0</v>
      </c>
      <c r="N341" s="3">
        <f>IF(($A341-Ft!J$2)&lt;0,Ft!J$3*((1-Ft!J$6)/(1+Ft!J$37*($A341-Ft!J$2)^2)+Ft!J$6*EXP(Ft!J$38*($A341-Ft!J$2)^2)),Ft!J$3*((1-Ft!J$7)/(1+Ft!J$39*($A341-Ft!J$2)^2)+Ft!J$7*EXP(Ft!J$40*($A341-Ft!J$2)^2)))</f>
        <v>0</v>
      </c>
      <c r="O341" s="3">
        <f>IF(($A341-Ft!K$2)&lt;0,Ft!K$3*((1-Ft!K$6)/(1+Ft!K$37*($A341-Ft!K$2)^2)+Ft!K$6*EXP(Ft!K$38*($A341-Ft!K$2)^2)),Ft!K$3*((1-Ft!K$7)/(1+Ft!K$39*($A341-Ft!K$2)^2)+Ft!K$7*EXP(Ft!K$40*($A341-Ft!K$2)^2)))</f>
        <v>0</v>
      </c>
      <c r="P341"/>
      <c r="Q341"/>
    </row>
    <row r="342" spans="1:17">
      <c r="A342" s="20">
        <v>681</v>
      </c>
      <c r="B342" s="29">
        <v>56.583354388670102</v>
      </c>
      <c r="C342" s="7">
        <f t="shared" si="11"/>
        <v>56.745111404939536</v>
      </c>
      <c r="D342" s="3">
        <f t="shared" si="10"/>
        <v>2.6165332312389777E-2</v>
      </c>
      <c r="E342" s="3">
        <f>Ft!$B$12+Ft!$B$14*(Data!A342-Vars!$B$3)</f>
        <v>-200</v>
      </c>
      <c r="F342" s="3">
        <f>IF(($A342-Ft!B$2)&lt;0,Ft!B$3*((1-Ft!B$6)/(1+Ft!B$37*($A342-Ft!B$2)^2)+Ft!B$6*EXP(Ft!B$38*($A342-Ft!B$2)^2)),Ft!B$3*((1-Ft!B$7)/(1+Ft!B$39*($A342-Ft!B$2)^2)+Ft!B$7*EXP(Ft!B$40*($A342-Ft!B$2)^2)))</f>
        <v>25.868129748489341</v>
      </c>
      <c r="G342" s="3">
        <f>IF(($A342-Ft!C$2)&lt;0,Ft!C$3*((1-Ft!C$6)/(1+Ft!C$37*($A342-Ft!C$2)^2)+Ft!C$6*EXP(Ft!C$38*($A342-Ft!C$2)^2)),Ft!C$3*((1-Ft!C$7)/(1+Ft!C$39*($A342-Ft!C$2)^2)+Ft!C$7*EXP(Ft!C$40*($A342-Ft!C$2)^2)))</f>
        <v>53.305638371533085</v>
      </c>
      <c r="H342" s="3">
        <f>IF(($A342-Ft!D$2)&lt;0,Ft!D$3*((1-Ft!D$6)/(1+Ft!D$37*($A342-Ft!D$2)^2)+Ft!D$6*EXP(Ft!D$38*($A342-Ft!D$2)^2)),Ft!D$3*((1-Ft!D$7)/(1+Ft!D$39*($A342-Ft!D$2)^2)+Ft!D$7*EXP(Ft!D$40*($A342-Ft!D$2)^2)))</f>
        <v>1.2120416771442355E-18</v>
      </c>
      <c r="I342" s="3">
        <f>IF(($A342-Ft!E$2)&lt;0,Ft!E$3*((1-Ft!E$6)/(1+Ft!E$37*($A342-Ft!E$2)^2)+Ft!E$6*EXP(Ft!E$38*($A342-Ft!E$2)^2)),Ft!E$3*((1-Ft!E$7)/(1+Ft!E$39*($A342-Ft!E$2)^2)+Ft!E$7*EXP(Ft!E$40*($A342-Ft!E$2)^2)))</f>
        <v>110.5024084219133</v>
      </c>
      <c r="J342" s="3">
        <f>IF(($A342-Ft!F$2)&lt;0,Ft!F$3*((1-Ft!F$6)/(1+Ft!F$37*($A342-Ft!F$2)^2)+Ft!F$6*EXP(Ft!F$38*($A342-Ft!F$2)^2)),Ft!F$3*((1-Ft!F$7)/(1+Ft!F$39*($A342-Ft!F$2)^2)+Ft!F$7*EXP(Ft!F$40*($A342-Ft!F$2)^2)))</f>
        <v>54.634585529670879</v>
      </c>
      <c r="K342" s="3">
        <f>IF(($A342-Ft!G$2)&lt;0,Ft!G$3*((1-Ft!G$6)/(1+Ft!G$37*($A342-Ft!G$2)^2)+Ft!G$6*EXP(Ft!G$38*($A342-Ft!G$2)^2)),Ft!G$3*((1-Ft!G$7)/(1+Ft!G$39*($A342-Ft!G$2)^2)+Ft!G$7*EXP(Ft!G$40*($A342-Ft!G$2)^2)))</f>
        <v>12.434349333332927</v>
      </c>
      <c r="L342" s="3">
        <f>IF(($A342-Ft!H$2)&lt;0,Ft!H$3*((1-Ft!H$6)/(1+Ft!H$37*($A342-Ft!H$2)^2)+Ft!H$6*EXP(Ft!H$38*($A342-Ft!H$2)^2)),Ft!H$3*((1-Ft!H$7)/(1+Ft!H$39*($A342-Ft!H$2)^2)+Ft!H$7*EXP(Ft!H$40*($A342-Ft!H$2)^2)))</f>
        <v>0</v>
      </c>
      <c r="M342" s="3">
        <f>IF(($A342-Ft!I$2)&lt;0,Ft!I$3*((1-Ft!I$6)/(1+Ft!I$37*($A342-Ft!I$2)^2)+Ft!I$6*EXP(Ft!I$38*($A342-Ft!I$2)^2)),Ft!I$3*((1-Ft!I$7)/(1+Ft!I$39*($A342-Ft!I$2)^2)+Ft!I$7*EXP(Ft!I$40*($A342-Ft!I$2)^2)))</f>
        <v>0</v>
      </c>
      <c r="N342" s="3">
        <f>IF(($A342-Ft!J$2)&lt;0,Ft!J$3*((1-Ft!J$6)/(1+Ft!J$37*($A342-Ft!J$2)^2)+Ft!J$6*EXP(Ft!J$38*($A342-Ft!J$2)^2)),Ft!J$3*((1-Ft!J$7)/(1+Ft!J$39*($A342-Ft!J$2)^2)+Ft!J$7*EXP(Ft!J$40*($A342-Ft!J$2)^2)))</f>
        <v>0</v>
      </c>
      <c r="O342" s="3">
        <f>IF(($A342-Ft!K$2)&lt;0,Ft!K$3*((1-Ft!K$6)/(1+Ft!K$37*($A342-Ft!K$2)^2)+Ft!K$6*EXP(Ft!K$38*($A342-Ft!K$2)^2)),Ft!K$3*((1-Ft!K$7)/(1+Ft!K$39*($A342-Ft!K$2)^2)+Ft!K$7*EXP(Ft!K$40*($A342-Ft!K$2)^2)))</f>
        <v>0</v>
      </c>
      <c r="P342"/>
      <c r="Q342"/>
    </row>
    <row r="343" spans="1:17">
      <c r="A343" s="20">
        <v>683</v>
      </c>
      <c r="B343" s="29">
        <v>56.598086563167385</v>
      </c>
      <c r="C343" s="7">
        <f t="shared" si="11"/>
        <v>56.770846487557598</v>
      </c>
      <c r="D343" s="3">
        <f t="shared" si="10"/>
        <v>2.984599147531224E-2</v>
      </c>
      <c r="E343" s="3">
        <f>Ft!$B$12+Ft!$B$14*(Data!A343-Vars!$B$3)</f>
        <v>-200</v>
      </c>
      <c r="F343" s="3">
        <f>IF(($A343-Ft!B$2)&lt;0,Ft!B$3*((1-Ft!B$6)/(1+Ft!B$37*($A343-Ft!B$2)^2)+Ft!B$6*EXP(Ft!B$38*($A343-Ft!B$2)^2)),Ft!B$3*((1-Ft!B$7)/(1+Ft!B$39*($A343-Ft!B$2)^2)+Ft!B$7*EXP(Ft!B$40*($A343-Ft!B$2)^2)))</f>
        <v>25.645972674561079</v>
      </c>
      <c r="G343" s="3">
        <f>IF(($A343-Ft!C$2)&lt;0,Ft!C$3*((1-Ft!C$6)/(1+Ft!C$37*($A343-Ft!C$2)^2)+Ft!C$6*EXP(Ft!C$38*($A343-Ft!C$2)^2)),Ft!C$3*((1-Ft!C$7)/(1+Ft!C$39*($A343-Ft!C$2)^2)+Ft!C$7*EXP(Ft!C$40*($A343-Ft!C$2)^2)))</f>
        <v>53.357510625020026</v>
      </c>
      <c r="H343" s="3">
        <f>IF(($A343-Ft!D$2)&lt;0,Ft!D$3*((1-Ft!D$6)/(1+Ft!D$37*($A343-Ft!D$2)^2)+Ft!D$6*EXP(Ft!D$38*($A343-Ft!D$2)^2)),Ft!D$3*((1-Ft!D$7)/(1+Ft!D$39*($A343-Ft!D$2)^2)+Ft!D$7*EXP(Ft!D$40*($A343-Ft!D$2)^2)))</f>
        <v>6.1260073147279943E-19</v>
      </c>
      <c r="I343" s="3">
        <f>IF(($A343-Ft!E$2)&lt;0,Ft!E$3*((1-Ft!E$6)/(1+Ft!E$37*($A343-Ft!E$2)^2)+Ft!E$6*EXP(Ft!E$38*($A343-Ft!E$2)^2)),Ft!E$3*((1-Ft!E$7)/(1+Ft!E$39*($A343-Ft!E$2)^2)+Ft!E$7*EXP(Ft!E$40*($A343-Ft!E$2)^2)))</f>
        <v>110.62374480417661</v>
      </c>
      <c r="J343" s="3">
        <f>IF(($A343-Ft!F$2)&lt;0,Ft!F$3*((1-Ft!F$6)/(1+Ft!F$37*($A343-Ft!F$2)^2)+Ft!F$6*EXP(Ft!F$38*($A343-Ft!F$2)^2)),Ft!F$3*((1-Ft!F$7)/(1+Ft!F$39*($A343-Ft!F$2)^2)+Ft!F$7*EXP(Ft!F$40*($A343-Ft!F$2)^2)))</f>
        <v>54.918103741946872</v>
      </c>
      <c r="K343" s="3">
        <f>IF(($A343-Ft!G$2)&lt;0,Ft!G$3*((1-Ft!G$6)/(1+Ft!G$37*($A343-Ft!G$2)^2)+Ft!G$6*EXP(Ft!G$38*($A343-Ft!G$2)^2)),Ft!G$3*((1-Ft!G$7)/(1+Ft!G$39*($A343-Ft!G$2)^2)+Ft!G$7*EXP(Ft!G$40*($A343-Ft!G$2)^2)))</f>
        <v>12.22551464185301</v>
      </c>
      <c r="L343" s="3">
        <f>IF(($A343-Ft!H$2)&lt;0,Ft!H$3*((1-Ft!H$6)/(1+Ft!H$37*($A343-Ft!H$2)^2)+Ft!H$6*EXP(Ft!H$38*($A343-Ft!H$2)^2)),Ft!H$3*((1-Ft!H$7)/(1+Ft!H$39*($A343-Ft!H$2)^2)+Ft!H$7*EXP(Ft!H$40*($A343-Ft!H$2)^2)))</f>
        <v>0</v>
      </c>
      <c r="M343" s="3">
        <f>IF(($A343-Ft!I$2)&lt;0,Ft!I$3*((1-Ft!I$6)/(1+Ft!I$37*($A343-Ft!I$2)^2)+Ft!I$6*EXP(Ft!I$38*($A343-Ft!I$2)^2)),Ft!I$3*((1-Ft!I$7)/(1+Ft!I$39*($A343-Ft!I$2)^2)+Ft!I$7*EXP(Ft!I$40*($A343-Ft!I$2)^2)))</f>
        <v>0</v>
      </c>
      <c r="N343" s="3">
        <f>IF(($A343-Ft!J$2)&lt;0,Ft!J$3*((1-Ft!J$6)/(1+Ft!J$37*($A343-Ft!J$2)^2)+Ft!J$6*EXP(Ft!J$38*($A343-Ft!J$2)^2)),Ft!J$3*((1-Ft!J$7)/(1+Ft!J$39*($A343-Ft!J$2)^2)+Ft!J$7*EXP(Ft!J$40*($A343-Ft!J$2)^2)))</f>
        <v>0</v>
      </c>
      <c r="O343" s="3">
        <f>IF(($A343-Ft!K$2)&lt;0,Ft!K$3*((1-Ft!K$6)/(1+Ft!K$37*($A343-Ft!K$2)^2)+Ft!K$6*EXP(Ft!K$38*($A343-Ft!K$2)^2)),Ft!K$3*((1-Ft!K$7)/(1+Ft!K$39*($A343-Ft!K$2)^2)+Ft!K$7*EXP(Ft!K$40*($A343-Ft!K$2)^2)))</f>
        <v>0</v>
      </c>
      <c r="P343"/>
      <c r="Q343"/>
    </row>
    <row r="344" spans="1:17">
      <c r="A344" s="20">
        <v>685</v>
      </c>
      <c r="B344" s="29">
        <v>56.611189362640872</v>
      </c>
      <c r="C344" s="7">
        <f t="shared" si="11"/>
        <v>56.794298994381499</v>
      </c>
      <c r="D344" s="3">
        <f t="shared" si="10"/>
        <v>3.3529137236188319E-2</v>
      </c>
      <c r="E344" s="3">
        <f>Ft!$B$12+Ft!$B$14*(Data!A344-Vars!$B$3)</f>
        <v>-200</v>
      </c>
      <c r="F344" s="3">
        <f>IF(($A344-Ft!B$2)&lt;0,Ft!B$3*((1-Ft!B$6)/(1+Ft!B$37*($A344-Ft!B$2)^2)+Ft!B$6*EXP(Ft!B$38*($A344-Ft!B$2)^2)),Ft!B$3*((1-Ft!B$7)/(1+Ft!B$39*($A344-Ft!B$2)^2)+Ft!B$7*EXP(Ft!B$40*($A344-Ft!B$2)^2)))</f>
        <v>25.425238209457643</v>
      </c>
      <c r="G344" s="3">
        <f>IF(($A344-Ft!C$2)&lt;0,Ft!C$3*((1-Ft!C$6)/(1+Ft!C$37*($A344-Ft!C$2)^2)+Ft!C$6*EXP(Ft!C$38*($A344-Ft!C$2)^2)),Ft!C$3*((1-Ft!C$7)/(1+Ft!C$39*($A344-Ft!C$2)^2)+Ft!C$7*EXP(Ft!C$40*($A344-Ft!C$2)^2)))</f>
        <v>53.408961444352471</v>
      </c>
      <c r="H344" s="3">
        <f>IF(($A344-Ft!D$2)&lt;0,Ft!D$3*((1-Ft!D$6)/(1+Ft!D$37*($A344-Ft!D$2)^2)+Ft!D$6*EXP(Ft!D$38*($A344-Ft!D$2)^2)),Ft!D$3*((1-Ft!D$7)/(1+Ft!D$39*($A344-Ft!D$2)^2)+Ft!D$7*EXP(Ft!D$40*($A344-Ft!D$2)^2)))</f>
        <v>3.0792259313554641E-19</v>
      </c>
      <c r="I344" s="3">
        <f>IF(($A344-Ft!E$2)&lt;0,Ft!E$3*((1-Ft!E$6)/(1+Ft!E$37*($A344-Ft!E$2)^2)+Ft!E$6*EXP(Ft!E$38*($A344-Ft!E$2)^2)),Ft!E$3*((1-Ft!E$7)/(1+Ft!E$39*($A344-Ft!E$2)^2)+Ft!E$7*EXP(Ft!E$40*($A344-Ft!E$2)^2)))</f>
        <v>110.73879344256318</v>
      </c>
      <c r="J344" s="3">
        <f>IF(($A344-Ft!F$2)&lt;0,Ft!F$3*((1-Ft!F$6)/(1+Ft!F$37*($A344-Ft!F$2)^2)+Ft!F$6*EXP(Ft!F$38*($A344-Ft!F$2)^2)),Ft!F$3*((1-Ft!F$7)/(1+Ft!F$39*($A344-Ft!F$2)^2)+Ft!F$7*EXP(Ft!F$40*($A344-Ft!F$2)^2)))</f>
        <v>55.202366186995313</v>
      </c>
      <c r="K344" s="3">
        <f>IF(($A344-Ft!G$2)&lt;0,Ft!G$3*((1-Ft!G$6)/(1+Ft!G$37*($A344-Ft!G$2)^2)+Ft!G$6*EXP(Ft!G$38*($A344-Ft!G$2)^2)),Ft!G$3*((1-Ft!G$7)/(1+Ft!G$39*($A344-Ft!G$2)^2)+Ft!G$7*EXP(Ft!G$40*($A344-Ft!G$2)^2)))</f>
        <v>12.018939711012907</v>
      </c>
      <c r="L344" s="3">
        <f>IF(($A344-Ft!H$2)&lt;0,Ft!H$3*((1-Ft!H$6)/(1+Ft!H$37*($A344-Ft!H$2)^2)+Ft!H$6*EXP(Ft!H$38*($A344-Ft!H$2)^2)),Ft!H$3*((1-Ft!H$7)/(1+Ft!H$39*($A344-Ft!H$2)^2)+Ft!H$7*EXP(Ft!H$40*($A344-Ft!H$2)^2)))</f>
        <v>0</v>
      </c>
      <c r="M344" s="3">
        <f>IF(($A344-Ft!I$2)&lt;0,Ft!I$3*((1-Ft!I$6)/(1+Ft!I$37*($A344-Ft!I$2)^2)+Ft!I$6*EXP(Ft!I$38*($A344-Ft!I$2)^2)),Ft!I$3*((1-Ft!I$7)/(1+Ft!I$39*($A344-Ft!I$2)^2)+Ft!I$7*EXP(Ft!I$40*($A344-Ft!I$2)^2)))</f>
        <v>0</v>
      </c>
      <c r="N344" s="3">
        <f>IF(($A344-Ft!J$2)&lt;0,Ft!J$3*((1-Ft!J$6)/(1+Ft!J$37*($A344-Ft!J$2)^2)+Ft!J$6*EXP(Ft!J$38*($A344-Ft!J$2)^2)),Ft!J$3*((1-Ft!J$7)/(1+Ft!J$39*($A344-Ft!J$2)^2)+Ft!J$7*EXP(Ft!J$40*($A344-Ft!J$2)^2)))</f>
        <v>0</v>
      </c>
      <c r="O344" s="3">
        <f>IF(($A344-Ft!K$2)&lt;0,Ft!K$3*((1-Ft!K$6)/(1+Ft!K$37*($A344-Ft!K$2)^2)+Ft!K$6*EXP(Ft!K$38*($A344-Ft!K$2)^2)),Ft!K$3*((1-Ft!K$7)/(1+Ft!K$39*($A344-Ft!K$2)^2)+Ft!K$7*EXP(Ft!K$40*($A344-Ft!K$2)^2)))</f>
        <v>0</v>
      </c>
      <c r="P344"/>
      <c r="Q344"/>
    </row>
    <row r="345" spans="1:17">
      <c r="A345" s="20">
        <v>687</v>
      </c>
      <c r="B345" s="29">
        <v>56.622746490298994</v>
      </c>
      <c r="C345" s="7">
        <f t="shared" si="11"/>
        <v>56.815444549537418</v>
      </c>
      <c r="D345" s="3">
        <f t="shared" si="10"/>
        <v>3.7132542034255159E-2</v>
      </c>
      <c r="E345" s="3">
        <f>Ft!$B$12+Ft!$B$14*(Data!A345-Vars!$B$3)</f>
        <v>-200</v>
      </c>
      <c r="F345" s="3">
        <f>IF(($A345-Ft!B$2)&lt;0,Ft!B$3*((1-Ft!B$6)/(1+Ft!B$37*($A345-Ft!B$2)^2)+Ft!B$6*EXP(Ft!B$38*($A345-Ft!B$2)^2)),Ft!B$3*((1-Ft!B$7)/(1+Ft!B$39*($A345-Ft!B$2)^2)+Ft!B$7*EXP(Ft!B$40*($A345-Ft!B$2)^2)))</f>
        <v>25.205922498670787</v>
      </c>
      <c r="G345" s="3">
        <f>IF(($A345-Ft!C$2)&lt;0,Ft!C$3*((1-Ft!C$6)/(1+Ft!C$37*($A345-Ft!C$2)^2)+Ft!C$6*EXP(Ft!C$38*($A345-Ft!C$2)^2)),Ft!C$3*((1-Ft!C$7)/(1+Ft!C$39*($A345-Ft!C$2)^2)+Ft!C$7*EXP(Ft!C$40*($A345-Ft!C$2)^2)))</f>
        <v>53.459989513505988</v>
      </c>
      <c r="H345" s="3">
        <f>IF(($A345-Ft!D$2)&lt;0,Ft!D$3*((1-Ft!D$6)/(1+Ft!D$37*($A345-Ft!D$2)^2)+Ft!D$6*EXP(Ft!D$38*($A345-Ft!D$2)^2)),Ft!D$3*((1-Ft!D$7)/(1+Ft!D$39*($A345-Ft!D$2)^2)+Ft!D$7*EXP(Ft!D$40*($A345-Ft!D$2)^2)))</f>
        <v>1.5392518597022574E-19</v>
      </c>
      <c r="I345" s="3">
        <f>IF(($A345-Ft!E$2)&lt;0,Ft!E$3*((1-Ft!E$6)/(1+Ft!E$37*($A345-Ft!E$2)^2)+Ft!E$6*EXP(Ft!E$38*($A345-Ft!E$2)^2)),Ft!E$3*((1-Ft!E$7)/(1+Ft!E$39*($A345-Ft!E$2)^2)+Ft!E$7*EXP(Ft!E$40*($A345-Ft!E$2)^2)))</f>
        <v>110.84753444990983</v>
      </c>
      <c r="J345" s="3">
        <f>IF(($A345-Ft!F$2)&lt;0,Ft!F$3*((1-Ft!F$6)/(1+Ft!F$37*($A345-Ft!F$2)^2)+Ft!F$6*EXP(Ft!F$38*($A345-Ft!F$2)^2)),Ft!F$3*((1-Ft!F$7)/(1+Ft!F$39*($A345-Ft!F$2)^2)+Ft!F$7*EXP(Ft!F$40*($A345-Ft!F$2)^2)))</f>
        <v>55.487369210005049</v>
      </c>
      <c r="K345" s="3">
        <f>IF(($A345-Ft!G$2)&lt;0,Ft!G$3*((1-Ft!G$6)/(1+Ft!G$37*($A345-Ft!G$2)^2)+Ft!G$6*EXP(Ft!G$38*($A345-Ft!G$2)^2)),Ft!G$3*((1-Ft!G$7)/(1+Ft!G$39*($A345-Ft!G$2)^2)+Ft!G$7*EXP(Ft!G$40*($A345-Ft!G$2)^2)))</f>
        <v>11.81462887744576</v>
      </c>
      <c r="L345" s="3">
        <f>IF(($A345-Ft!H$2)&lt;0,Ft!H$3*((1-Ft!H$6)/(1+Ft!H$37*($A345-Ft!H$2)^2)+Ft!H$6*EXP(Ft!H$38*($A345-Ft!H$2)^2)),Ft!H$3*((1-Ft!H$7)/(1+Ft!H$39*($A345-Ft!H$2)^2)+Ft!H$7*EXP(Ft!H$40*($A345-Ft!H$2)^2)))</f>
        <v>0</v>
      </c>
      <c r="M345" s="3">
        <f>IF(($A345-Ft!I$2)&lt;0,Ft!I$3*((1-Ft!I$6)/(1+Ft!I$37*($A345-Ft!I$2)^2)+Ft!I$6*EXP(Ft!I$38*($A345-Ft!I$2)^2)),Ft!I$3*((1-Ft!I$7)/(1+Ft!I$39*($A345-Ft!I$2)^2)+Ft!I$7*EXP(Ft!I$40*($A345-Ft!I$2)^2)))</f>
        <v>0</v>
      </c>
      <c r="N345" s="3">
        <f>IF(($A345-Ft!J$2)&lt;0,Ft!J$3*((1-Ft!J$6)/(1+Ft!J$37*($A345-Ft!J$2)^2)+Ft!J$6*EXP(Ft!J$38*($A345-Ft!J$2)^2)),Ft!J$3*((1-Ft!J$7)/(1+Ft!J$39*($A345-Ft!J$2)^2)+Ft!J$7*EXP(Ft!J$40*($A345-Ft!J$2)^2)))</f>
        <v>0</v>
      </c>
      <c r="O345" s="3">
        <f>IF(($A345-Ft!K$2)&lt;0,Ft!K$3*((1-Ft!K$6)/(1+Ft!K$37*($A345-Ft!K$2)^2)+Ft!K$6*EXP(Ft!K$38*($A345-Ft!K$2)^2)),Ft!K$3*((1-Ft!K$7)/(1+Ft!K$39*($A345-Ft!K$2)^2)+Ft!K$7*EXP(Ft!K$40*($A345-Ft!K$2)^2)))</f>
        <v>0</v>
      </c>
      <c r="P345"/>
      <c r="Q345"/>
    </row>
    <row r="346" spans="1:17">
      <c r="A346" s="20">
        <v>689</v>
      </c>
      <c r="B346" s="29">
        <v>56.632847638354619</v>
      </c>
      <c r="C346" s="7">
        <f t="shared" si="11"/>
        <v>56.83425899628989</v>
      </c>
      <c r="D346" s="3">
        <f t="shared" si="10"/>
        <v>4.0566535105329843E-2</v>
      </c>
      <c r="E346" s="3">
        <f>Ft!$B$12+Ft!$B$14*(Data!A346-Vars!$B$3)</f>
        <v>-200</v>
      </c>
      <c r="F346" s="3">
        <f>IF(($A346-Ft!B$2)&lt;0,Ft!B$3*((1-Ft!B$6)/(1+Ft!B$37*($A346-Ft!B$2)^2)+Ft!B$6*EXP(Ft!B$38*($A346-Ft!B$2)^2)),Ft!B$3*((1-Ft!B$7)/(1+Ft!B$39*($A346-Ft!B$2)^2)+Ft!B$7*EXP(Ft!B$40*($A346-Ft!B$2)^2)))</f>
        <v>24.988021640017458</v>
      </c>
      <c r="G346" s="3">
        <f>IF(($A346-Ft!C$2)&lt;0,Ft!C$3*((1-Ft!C$6)/(1+Ft!C$37*($A346-Ft!C$2)^2)+Ft!C$6*EXP(Ft!C$38*($A346-Ft!C$2)^2)),Ft!C$3*((1-Ft!C$7)/(1+Ft!C$39*($A346-Ft!C$2)^2)+Ft!C$7*EXP(Ft!C$40*($A346-Ft!C$2)^2)))</f>
        <v>53.510593526404271</v>
      </c>
      <c r="H346" s="3">
        <f>IF(($A346-Ft!D$2)&lt;0,Ft!D$3*((1-Ft!D$6)/(1+Ft!D$37*($A346-Ft!D$2)^2)+Ft!D$6*EXP(Ft!D$38*($A346-Ft!D$2)^2)),Ft!D$3*((1-Ft!D$7)/(1+Ft!D$39*($A346-Ft!D$2)^2)+Ft!D$7*EXP(Ft!D$40*($A346-Ft!D$2)^2)))</f>
        <v>7.6521223536090689E-20</v>
      </c>
      <c r="I346" s="3">
        <f>IF(($A346-Ft!E$2)&lt;0,Ft!E$3*((1-Ft!E$6)/(1+Ft!E$37*($A346-Ft!E$2)^2)+Ft!E$6*EXP(Ft!E$38*($A346-Ft!E$2)^2)),Ft!E$3*((1-Ft!E$7)/(1+Ft!E$39*($A346-Ft!E$2)^2)+Ft!E$7*EXP(Ft!E$40*($A346-Ft!E$2)^2)))</f>
        <v>110.9499490166413</v>
      </c>
      <c r="J346" s="3">
        <f>IF(($A346-Ft!F$2)&lt;0,Ft!F$3*((1-Ft!F$6)/(1+Ft!F$37*($A346-Ft!F$2)^2)+Ft!F$6*EXP(Ft!F$38*($A346-Ft!F$2)^2)),Ft!F$3*((1-Ft!F$7)/(1+Ft!F$39*($A346-Ft!F$2)^2)+Ft!F$7*EXP(Ft!F$40*($A346-Ft!F$2)^2)))</f>
        <v>55.773109107934872</v>
      </c>
      <c r="K346" s="3">
        <f>IF(($A346-Ft!G$2)&lt;0,Ft!G$3*((1-Ft!G$6)/(1+Ft!G$37*($A346-Ft!G$2)^2)+Ft!G$6*EXP(Ft!G$38*($A346-Ft!G$2)^2)),Ft!G$3*((1-Ft!G$7)/(1+Ft!G$39*($A346-Ft!G$2)^2)+Ft!G$7*EXP(Ft!G$40*($A346-Ft!G$2)^2)))</f>
        <v>11.612585705291993</v>
      </c>
      <c r="L346" s="3">
        <f>IF(($A346-Ft!H$2)&lt;0,Ft!H$3*((1-Ft!H$6)/(1+Ft!H$37*($A346-Ft!H$2)^2)+Ft!H$6*EXP(Ft!H$38*($A346-Ft!H$2)^2)),Ft!H$3*((1-Ft!H$7)/(1+Ft!H$39*($A346-Ft!H$2)^2)+Ft!H$7*EXP(Ft!H$40*($A346-Ft!H$2)^2)))</f>
        <v>0</v>
      </c>
      <c r="M346" s="3">
        <f>IF(($A346-Ft!I$2)&lt;0,Ft!I$3*((1-Ft!I$6)/(1+Ft!I$37*($A346-Ft!I$2)^2)+Ft!I$6*EXP(Ft!I$38*($A346-Ft!I$2)^2)),Ft!I$3*((1-Ft!I$7)/(1+Ft!I$39*($A346-Ft!I$2)^2)+Ft!I$7*EXP(Ft!I$40*($A346-Ft!I$2)^2)))</f>
        <v>0</v>
      </c>
      <c r="N346" s="3">
        <f>IF(($A346-Ft!J$2)&lt;0,Ft!J$3*((1-Ft!J$6)/(1+Ft!J$37*($A346-Ft!J$2)^2)+Ft!J$6*EXP(Ft!J$38*($A346-Ft!J$2)^2)),Ft!J$3*((1-Ft!J$7)/(1+Ft!J$39*($A346-Ft!J$2)^2)+Ft!J$7*EXP(Ft!J$40*($A346-Ft!J$2)^2)))</f>
        <v>0</v>
      </c>
      <c r="O346" s="3">
        <f>IF(($A346-Ft!K$2)&lt;0,Ft!K$3*((1-Ft!K$6)/(1+Ft!K$37*($A346-Ft!K$2)^2)+Ft!K$6*EXP(Ft!K$38*($A346-Ft!K$2)^2)),Ft!K$3*((1-Ft!K$7)/(1+Ft!K$39*($A346-Ft!K$2)^2)+Ft!K$7*EXP(Ft!K$40*($A346-Ft!K$2)^2)))</f>
        <v>0</v>
      </c>
      <c r="P346"/>
      <c r="Q346"/>
    </row>
    <row r="347" spans="1:17">
      <c r="A347" s="20">
        <v>691</v>
      </c>
      <c r="B347" s="29">
        <v>56.641587946393145</v>
      </c>
      <c r="C347" s="7">
        <f t="shared" si="11"/>
        <v>56.850718414839044</v>
      </c>
      <c r="D347" s="3">
        <f t="shared" si="10"/>
        <v>4.3735552832401159E-2</v>
      </c>
      <c r="E347" s="3">
        <f>Ft!$B$12+Ft!$B$14*(Data!A347-Vars!$B$3)</f>
        <v>-200</v>
      </c>
      <c r="F347" s="3">
        <f>IF(($A347-Ft!B$2)&lt;0,Ft!B$3*((1-Ft!B$6)/(1+Ft!B$37*($A347-Ft!B$2)^2)+Ft!B$6*EXP(Ft!B$38*($A347-Ft!B$2)^2)),Ft!B$3*((1-Ft!B$7)/(1+Ft!B$39*($A347-Ft!B$2)^2)+Ft!B$7*EXP(Ft!B$40*($A347-Ft!B$2)^2)))</f>
        <v>24.771531684347675</v>
      </c>
      <c r="G347" s="3">
        <f>IF(($A347-Ft!C$2)&lt;0,Ft!C$3*((1-Ft!C$6)/(1+Ft!C$37*($A347-Ft!C$2)^2)+Ft!C$6*EXP(Ft!C$38*($A347-Ft!C$2)^2)),Ft!C$3*((1-Ft!C$7)/(1+Ft!C$39*($A347-Ft!C$2)^2)+Ft!C$7*EXP(Ft!C$40*($A347-Ft!C$2)^2)))</f>
        <v>53.560772186974837</v>
      </c>
      <c r="H347" s="3">
        <f>IF(($A347-Ft!D$2)&lt;0,Ft!D$3*((1-Ft!D$6)/(1+Ft!D$37*($A347-Ft!D$2)^2)+Ft!D$6*EXP(Ft!D$38*($A347-Ft!D$2)^2)),Ft!D$3*((1-Ft!D$7)/(1+Ft!D$39*($A347-Ft!D$2)^2)+Ft!D$7*EXP(Ft!D$40*($A347-Ft!D$2)^2)))</f>
        <v>3.7831905068464226E-20</v>
      </c>
      <c r="I347" s="3">
        <f>IF(($A347-Ft!E$2)&lt;0,Ft!E$3*((1-Ft!E$6)/(1+Ft!E$37*($A347-Ft!E$2)^2)+Ft!E$6*EXP(Ft!E$38*($A347-Ft!E$2)^2)),Ft!E$3*((1-Ft!E$7)/(1+Ft!E$39*($A347-Ft!E$2)^2)+Ft!E$7*EXP(Ft!E$40*($A347-Ft!E$2)^2)))</f>
        <v>111.04601941619292</v>
      </c>
      <c r="J347" s="3">
        <f>IF(($A347-Ft!F$2)&lt;0,Ft!F$3*((1-Ft!F$6)/(1+Ft!F$37*($A347-Ft!F$2)^2)+Ft!F$6*EXP(Ft!F$38*($A347-Ft!F$2)^2)),Ft!F$3*((1-Ft!F$7)/(1+Ft!F$39*($A347-Ft!F$2)^2)+Ft!F$7*EXP(Ft!F$40*($A347-Ft!F$2)^2)))</f>
        <v>56.059582129460196</v>
      </c>
      <c r="K347" s="3">
        <f>IF(($A347-Ft!G$2)&lt;0,Ft!G$3*((1-Ft!G$6)/(1+Ft!G$37*($A347-Ft!G$2)^2)+Ft!G$6*EXP(Ft!G$38*($A347-Ft!G$2)^2)),Ft!G$3*((1-Ft!G$7)/(1+Ft!G$39*($A347-Ft!G$2)^2)+Ft!G$7*EXP(Ft!G$40*($A347-Ft!G$2)^2)))</f>
        <v>11.412812997863403</v>
      </c>
      <c r="L347" s="3">
        <f>IF(($A347-Ft!H$2)&lt;0,Ft!H$3*((1-Ft!H$6)/(1+Ft!H$37*($A347-Ft!H$2)^2)+Ft!H$6*EXP(Ft!H$38*($A347-Ft!H$2)^2)),Ft!H$3*((1-Ft!H$7)/(1+Ft!H$39*($A347-Ft!H$2)^2)+Ft!H$7*EXP(Ft!H$40*($A347-Ft!H$2)^2)))</f>
        <v>0</v>
      </c>
      <c r="M347" s="3">
        <f>IF(($A347-Ft!I$2)&lt;0,Ft!I$3*((1-Ft!I$6)/(1+Ft!I$37*($A347-Ft!I$2)^2)+Ft!I$6*EXP(Ft!I$38*($A347-Ft!I$2)^2)),Ft!I$3*((1-Ft!I$7)/(1+Ft!I$39*($A347-Ft!I$2)^2)+Ft!I$7*EXP(Ft!I$40*($A347-Ft!I$2)^2)))</f>
        <v>0</v>
      </c>
      <c r="N347" s="3">
        <f>IF(($A347-Ft!J$2)&lt;0,Ft!J$3*((1-Ft!J$6)/(1+Ft!J$37*($A347-Ft!J$2)^2)+Ft!J$6*EXP(Ft!J$38*($A347-Ft!J$2)^2)),Ft!J$3*((1-Ft!J$7)/(1+Ft!J$39*($A347-Ft!J$2)^2)+Ft!J$7*EXP(Ft!J$40*($A347-Ft!J$2)^2)))</f>
        <v>0</v>
      </c>
      <c r="O347" s="3">
        <f>IF(($A347-Ft!K$2)&lt;0,Ft!K$3*((1-Ft!K$6)/(1+Ft!K$37*($A347-Ft!K$2)^2)+Ft!K$6*EXP(Ft!K$38*($A347-Ft!K$2)^2)),Ft!K$3*((1-Ft!K$7)/(1+Ft!K$39*($A347-Ft!K$2)^2)+Ft!K$7*EXP(Ft!K$40*($A347-Ft!K$2)^2)))</f>
        <v>0</v>
      </c>
      <c r="P347"/>
      <c r="Q347"/>
    </row>
    <row r="348" spans="1:17">
      <c r="A348" s="20">
        <v>693</v>
      </c>
      <c r="B348" s="29">
        <v>56.649067259623195</v>
      </c>
      <c r="C348" s="7">
        <f t="shared" si="11"/>
        <v>56.864799140001381</v>
      </c>
      <c r="D348" s="3">
        <f t="shared" si="10"/>
        <v>4.6540244211508063E-2</v>
      </c>
      <c r="E348" s="3">
        <f>Ft!$B$12+Ft!$B$14*(Data!A348-Vars!$B$3)</f>
        <v>-200</v>
      </c>
      <c r="F348" s="3">
        <f>IF(($A348-Ft!B$2)&lt;0,Ft!B$3*((1-Ft!B$6)/(1+Ft!B$37*($A348-Ft!B$2)^2)+Ft!B$6*EXP(Ft!B$38*($A348-Ft!B$2)^2)),Ft!B$3*((1-Ft!B$7)/(1+Ft!B$39*($A348-Ft!B$2)^2)+Ft!B$7*EXP(Ft!B$40*($A348-Ft!B$2)^2)))</f>
        <v>24.556448636250703</v>
      </c>
      <c r="G348" s="3">
        <f>IF(($A348-Ft!C$2)&lt;0,Ft!C$3*((1-Ft!C$6)/(1+Ft!C$37*($A348-Ft!C$2)^2)+Ft!C$6*EXP(Ft!C$38*($A348-Ft!C$2)^2)),Ft!C$3*((1-Ft!C$7)/(1+Ft!C$39*($A348-Ft!C$2)^2)+Ft!C$7*EXP(Ft!C$40*($A348-Ft!C$2)^2)))</f>
        <v>53.610524209204272</v>
      </c>
      <c r="H348" s="3">
        <f>IF(($A348-Ft!D$2)&lt;0,Ft!D$3*((1-Ft!D$6)/(1+Ft!D$37*($A348-Ft!D$2)^2)+Ft!D$6*EXP(Ft!D$38*($A348-Ft!D$2)^2)),Ft!D$3*((1-Ft!D$7)/(1+Ft!D$39*($A348-Ft!D$2)^2)+Ft!D$7*EXP(Ft!D$40*($A348-Ft!D$2)^2)))</f>
        <v>1.8601098991233511E-20</v>
      </c>
      <c r="I348" s="3">
        <f>IF(($A348-Ft!E$2)&lt;0,Ft!E$3*((1-Ft!E$6)/(1+Ft!E$37*($A348-Ft!E$2)^2)+Ft!E$6*EXP(Ft!E$38*($A348-Ft!E$2)^2)),Ft!E$3*((1-Ft!E$7)/(1+Ft!E$39*($A348-Ft!E$2)^2)+Ft!E$7*EXP(Ft!E$40*($A348-Ft!E$2)^2)))</f>
        <v>111.13572901012401</v>
      </c>
      <c r="J348" s="3">
        <f>IF(($A348-Ft!F$2)&lt;0,Ft!F$3*((1-Ft!F$6)/(1+Ft!F$37*($A348-Ft!F$2)^2)+Ft!F$6*EXP(Ft!F$38*($A348-Ft!F$2)^2)),Ft!F$3*((1-Ft!F$7)/(1+Ft!F$39*($A348-Ft!F$2)^2)+Ft!F$7*EXP(Ft!F$40*($A348-Ft!F$2)^2)))</f>
        <v>56.346784474922487</v>
      </c>
      <c r="K348" s="3">
        <f>IF(($A348-Ft!G$2)&lt;0,Ft!G$3*((1-Ft!G$6)/(1+Ft!G$37*($A348-Ft!G$2)^2)+Ft!G$6*EXP(Ft!G$38*($A348-Ft!G$2)^2)),Ft!G$3*((1-Ft!G$7)/(1+Ft!G$39*($A348-Ft!G$2)^2)+Ft!G$7*EXP(Ft!G$40*($A348-Ft!G$2)^2)))</f>
        <v>11.215312809499908</v>
      </c>
      <c r="L348" s="3">
        <f>IF(($A348-Ft!H$2)&lt;0,Ft!H$3*((1-Ft!H$6)/(1+Ft!H$37*($A348-Ft!H$2)^2)+Ft!H$6*EXP(Ft!H$38*($A348-Ft!H$2)^2)),Ft!H$3*((1-Ft!H$7)/(1+Ft!H$39*($A348-Ft!H$2)^2)+Ft!H$7*EXP(Ft!H$40*($A348-Ft!H$2)^2)))</f>
        <v>0</v>
      </c>
      <c r="M348" s="3">
        <f>IF(($A348-Ft!I$2)&lt;0,Ft!I$3*((1-Ft!I$6)/(1+Ft!I$37*($A348-Ft!I$2)^2)+Ft!I$6*EXP(Ft!I$38*($A348-Ft!I$2)^2)),Ft!I$3*((1-Ft!I$7)/(1+Ft!I$39*($A348-Ft!I$2)^2)+Ft!I$7*EXP(Ft!I$40*($A348-Ft!I$2)^2)))</f>
        <v>0</v>
      </c>
      <c r="N348" s="3">
        <f>IF(($A348-Ft!J$2)&lt;0,Ft!J$3*((1-Ft!J$6)/(1+Ft!J$37*($A348-Ft!J$2)^2)+Ft!J$6*EXP(Ft!J$38*($A348-Ft!J$2)^2)),Ft!J$3*((1-Ft!J$7)/(1+Ft!J$39*($A348-Ft!J$2)^2)+Ft!J$7*EXP(Ft!J$40*($A348-Ft!J$2)^2)))</f>
        <v>0</v>
      </c>
      <c r="O348" s="3">
        <f>IF(($A348-Ft!K$2)&lt;0,Ft!K$3*((1-Ft!K$6)/(1+Ft!K$37*($A348-Ft!K$2)^2)+Ft!K$6*EXP(Ft!K$38*($A348-Ft!K$2)^2)),Ft!K$3*((1-Ft!K$7)/(1+Ft!K$39*($A348-Ft!K$2)^2)+Ft!K$7*EXP(Ft!K$40*($A348-Ft!K$2)^2)))</f>
        <v>0</v>
      </c>
      <c r="P348"/>
      <c r="Q348"/>
    </row>
    <row r="349" spans="1:17">
      <c r="A349" s="20">
        <v>695</v>
      </c>
      <c r="B349" s="29">
        <v>56.655389170833757</v>
      </c>
      <c r="C349" s="7">
        <f t="shared" si="11"/>
        <v>56.876477778763288</v>
      </c>
      <c r="D349" s="3">
        <f t="shared" si="10"/>
        <v>4.8880172556217731E-2</v>
      </c>
      <c r="E349" s="3">
        <f>Ft!$B$12+Ft!$B$14*(Data!A349-Vars!$B$3)</f>
        <v>-200</v>
      </c>
      <c r="F349" s="3">
        <f>IF(($A349-Ft!B$2)&lt;0,Ft!B$3*((1-Ft!B$6)/(1+Ft!B$37*($A349-Ft!B$2)^2)+Ft!B$6*EXP(Ft!B$38*($A349-Ft!B$2)^2)),Ft!B$3*((1-Ft!B$7)/(1+Ft!B$39*($A349-Ft!B$2)^2)+Ft!B$7*EXP(Ft!B$40*($A349-Ft!B$2)^2)))</f>
        <v>24.342768454759604</v>
      </c>
      <c r="G349" s="3">
        <f>IF(($A349-Ft!C$2)&lt;0,Ft!C$3*((1-Ft!C$6)/(1+Ft!C$37*($A349-Ft!C$2)^2)+Ft!C$6*EXP(Ft!C$38*($A349-Ft!C$2)^2)),Ft!C$3*((1-Ft!C$7)/(1+Ft!C$39*($A349-Ft!C$2)^2)+Ft!C$7*EXP(Ft!C$40*($A349-Ft!C$2)^2)))</f>
        <v>53.659848317193202</v>
      </c>
      <c r="H349" s="3">
        <f>IF(($A349-Ft!D$2)&lt;0,Ft!D$3*((1-Ft!D$6)/(1+Ft!D$37*($A349-Ft!D$2)^2)+Ft!D$6*EXP(Ft!D$38*($A349-Ft!D$2)^2)),Ft!D$3*((1-Ft!D$7)/(1+Ft!D$39*($A349-Ft!D$2)^2)+Ft!D$7*EXP(Ft!D$40*($A349-Ft!D$2)^2)))</f>
        <v>9.0954268171005976E-21</v>
      </c>
      <c r="I349" s="3">
        <f>IF(($A349-Ft!E$2)&lt;0,Ft!E$3*((1-Ft!E$6)/(1+Ft!E$37*($A349-Ft!E$2)^2)+Ft!E$6*EXP(Ft!E$38*($A349-Ft!E$2)^2)),Ft!E$3*((1-Ft!E$7)/(1+Ft!E$39*($A349-Ft!E$2)^2)+Ft!E$7*EXP(Ft!E$40*($A349-Ft!E$2)^2)))</f>
        <v>111.21906225292058</v>
      </c>
      <c r="J349" s="3">
        <f>IF(($A349-Ft!F$2)&lt;0,Ft!F$3*((1-Ft!F$6)/(1+Ft!F$37*($A349-Ft!F$2)^2)+Ft!F$6*EXP(Ft!F$38*($A349-Ft!F$2)^2)),Ft!F$3*((1-Ft!F$7)/(1+Ft!F$39*($A349-Ft!F$2)^2)+Ft!F$7*EXP(Ft!F$40*($A349-Ft!F$2)^2)))</f>
        <v>56.634712296281705</v>
      </c>
      <c r="K349" s="3">
        <f>IF(($A349-Ft!G$2)&lt;0,Ft!G$3*((1-Ft!G$6)/(1+Ft!G$37*($A349-Ft!G$2)^2)+Ft!G$6*EXP(Ft!G$38*($A349-Ft!G$2)^2)),Ft!G$3*((1-Ft!G$7)/(1+Ft!G$39*($A349-Ft!G$2)^2)+Ft!G$7*EXP(Ft!G$40*($A349-Ft!G$2)^2)))</f>
        <v>11.020086457608199</v>
      </c>
      <c r="L349" s="3">
        <f>IF(($A349-Ft!H$2)&lt;0,Ft!H$3*((1-Ft!H$6)/(1+Ft!H$37*($A349-Ft!H$2)^2)+Ft!H$6*EXP(Ft!H$38*($A349-Ft!H$2)^2)),Ft!H$3*((1-Ft!H$7)/(1+Ft!H$39*($A349-Ft!H$2)^2)+Ft!H$7*EXP(Ft!H$40*($A349-Ft!H$2)^2)))</f>
        <v>0</v>
      </c>
      <c r="M349" s="3">
        <f>IF(($A349-Ft!I$2)&lt;0,Ft!I$3*((1-Ft!I$6)/(1+Ft!I$37*($A349-Ft!I$2)^2)+Ft!I$6*EXP(Ft!I$38*($A349-Ft!I$2)^2)),Ft!I$3*((1-Ft!I$7)/(1+Ft!I$39*($A349-Ft!I$2)^2)+Ft!I$7*EXP(Ft!I$40*($A349-Ft!I$2)^2)))</f>
        <v>0</v>
      </c>
      <c r="N349" s="3">
        <f>IF(($A349-Ft!J$2)&lt;0,Ft!J$3*((1-Ft!J$6)/(1+Ft!J$37*($A349-Ft!J$2)^2)+Ft!J$6*EXP(Ft!J$38*($A349-Ft!J$2)^2)),Ft!J$3*((1-Ft!J$7)/(1+Ft!J$39*($A349-Ft!J$2)^2)+Ft!J$7*EXP(Ft!J$40*($A349-Ft!J$2)^2)))</f>
        <v>0</v>
      </c>
      <c r="O349" s="3">
        <f>IF(($A349-Ft!K$2)&lt;0,Ft!K$3*((1-Ft!K$6)/(1+Ft!K$37*($A349-Ft!K$2)^2)+Ft!K$6*EXP(Ft!K$38*($A349-Ft!K$2)^2)),Ft!K$3*((1-Ft!K$7)/(1+Ft!K$39*($A349-Ft!K$2)^2)+Ft!K$7*EXP(Ft!K$40*($A349-Ft!K$2)^2)))</f>
        <v>0</v>
      </c>
      <c r="P349"/>
      <c r="Q349"/>
    </row>
    <row r="350" spans="1:17">
      <c r="A350" s="20">
        <v>697</v>
      </c>
      <c r="B350" s="29">
        <v>56.660659833251131</v>
      </c>
      <c r="C350" s="7">
        <f t="shared" si="11"/>
        <v>56.885731227693029</v>
      </c>
      <c r="D350" s="3">
        <f t="shared" si="10"/>
        <v>5.0657132596020261E-2</v>
      </c>
      <c r="E350" s="3">
        <f>Ft!$B$12+Ft!$B$14*(Data!A350-Vars!$B$3)</f>
        <v>-200</v>
      </c>
      <c r="F350" s="3">
        <f>IF(($A350-Ft!B$2)&lt;0,Ft!B$3*((1-Ft!B$6)/(1+Ft!B$37*($A350-Ft!B$2)^2)+Ft!B$6*EXP(Ft!B$38*($A350-Ft!B$2)^2)),Ft!B$3*((1-Ft!B$7)/(1+Ft!B$39*($A350-Ft!B$2)^2)+Ft!B$7*EXP(Ft!B$40*($A350-Ft!B$2)^2)))</f>
        <v>24.130487054053905</v>
      </c>
      <c r="G350" s="3">
        <f>IF(($A350-Ft!C$2)&lt;0,Ft!C$3*((1-Ft!C$6)/(1+Ft!C$37*($A350-Ft!C$2)^2)+Ft!C$6*EXP(Ft!C$38*($A350-Ft!C$2)^2)),Ft!C$3*((1-Ft!C$7)/(1+Ft!C$39*($A350-Ft!C$2)^2)+Ft!C$7*EXP(Ft!C$40*($A350-Ft!C$2)^2)))</f>
        <v>53.708743245210755</v>
      </c>
      <c r="H350" s="3">
        <f>IF(($A350-Ft!D$2)&lt;0,Ft!D$3*((1-Ft!D$6)/(1+Ft!D$37*($A350-Ft!D$2)^2)+Ft!D$6*EXP(Ft!D$38*($A350-Ft!D$2)^2)),Ft!D$3*((1-Ft!D$7)/(1+Ft!D$39*($A350-Ft!D$2)^2)+Ft!D$7*EXP(Ft!D$40*($A350-Ft!D$2)^2)))</f>
        <v>4.422946139178688E-21</v>
      </c>
      <c r="I350" s="3">
        <f>IF(($A350-Ft!E$2)&lt;0,Ft!E$3*((1-Ft!E$6)/(1+Ft!E$37*($A350-Ft!E$2)^2)+Ft!E$6*EXP(Ft!E$38*($A350-Ft!E$2)^2)),Ft!E$3*((1-Ft!E$7)/(1+Ft!E$39*($A350-Ft!E$2)^2)+Ft!E$7*EXP(Ft!E$40*($A350-Ft!E$2)^2)))</f>
        <v>111.29600469648484</v>
      </c>
      <c r="J350" s="3">
        <f>IF(($A350-Ft!F$2)&lt;0,Ft!F$3*((1-Ft!F$6)/(1+Ft!F$37*($A350-Ft!F$2)^2)+Ft!F$6*EXP(Ft!F$38*($A350-Ft!F$2)^2)),Ft!F$3*((1-Ft!F$7)/(1+Ft!F$39*($A350-Ft!F$2)^2)+Ft!F$7*EXP(Ft!F$40*($A350-Ft!F$2)^2)))</f>
        <v>56.923361697071677</v>
      </c>
      <c r="K350" s="3">
        <f>IF(($A350-Ft!G$2)&lt;0,Ft!G$3*((1-Ft!G$6)/(1+Ft!G$37*($A350-Ft!G$2)^2)+Ft!G$6*EXP(Ft!G$38*($A350-Ft!G$2)^2)),Ft!G$3*((1-Ft!G$7)/(1+Ft!G$39*($A350-Ft!G$2)^2)+Ft!G$7*EXP(Ft!G$40*($A350-Ft!G$2)^2)))</f>
        <v>10.827134534871856</v>
      </c>
      <c r="L350" s="3">
        <f>IF(($A350-Ft!H$2)&lt;0,Ft!H$3*((1-Ft!H$6)/(1+Ft!H$37*($A350-Ft!H$2)^2)+Ft!H$6*EXP(Ft!H$38*($A350-Ft!H$2)^2)),Ft!H$3*((1-Ft!H$7)/(1+Ft!H$39*($A350-Ft!H$2)^2)+Ft!H$7*EXP(Ft!H$40*($A350-Ft!H$2)^2)))</f>
        <v>0</v>
      </c>
      <c r="M350" s="3">
        <f>IF(($A350-Ft!I$2)&lt;0,Ft!I$3*((1-Ft!I$6)/(1+Ft!I$37*($A350-Ft!I$2)^2)+Ft!I$6*EXP(Ft!I$38*($A350-Ft!I$2)^2)),Ft!I$3*((1-Ft!I$7)/(1+Ft!I$39*($A350-Ft!I$2)^2)+Ft!I$7*EXP(Ft!I$40*($A350-Ft!I$2)^2)))</f>
        <v>0</v>
      </c>
      <c r="N350" s="3">
        <f>IF(($A350-Ft!J$2)&lt;0,Ft!J$3*((1-Ft!J$6)/(1+Ft!J$37*($A350-Ft!J$2)^2)+Ft!J$6*EXP(Ft!J$38*($A350-Ft!J$2)^2)),Ft!J$3*((1-Ft!J$7)/(1+Ft!J$39*($A350-Ft!J$2)^2)+Ft!J$7*EXP(Ft!J$40*($A350-Ft!J$2)^2)))</f>
        <v>0</v>
      </c>
      <c r="O350" s="3">
        <f>IF(($A350-Ft!K$2)&lt;0,Ft!K$3*((1-Ft!K$6)/(1+Ft!K$37*($A350-Ft!K$2)^2)+Ft!K$6*EXP(Ft!K$38*($A350-Ft!K$2)^2)),Ft!K$3*((1-Ft!K$7)/(1+Ft!K$39*($A350-Ft!K$2)^2)+Ft!K$7*EXP(Ft!K$40*($A350-Ft!K$2)^2)))</f>
        <v>0</v>
      </c>
      <c r="P350"/>
      <c r="Q350"/>
    </row>
    <row r="351" spans="1:17">
      <c r="A351" s="20">
        <v>699</v>
      </c>
      <c r="B351" s="29">
        <v>56.664986535835595</v>
      </c>
      <c r="C351" s="7">
        <f t="shared" si="11"/>
        <v>56.89253669020011</v>
      </c>
      <c r="D351" s="3">
        <f t="shared" si="10"/>
        <v>5.1779072751314548E-2</v>
      </c>
      <c r="E351" s="3">
        <f>Ft!$B$12+Ft!$B$14*(Data!A351-Vars!$B$3)</f>
        <v>-200</v>
      </c>
      <c r="F351" s="3">
        <f>IF(($A351-Ft!B$2)&lt;0,Ft!B$3*((1-Ft!B$6)/(1+Ft!B$37*($A351-Ft!B$2)^2)+Ft!B$6*EXP(Ft!B$38*($A351-Ft!B$2)^2)),Ft!B$3*((1-Ft!B$7)/(1+Ft!B$39*($A351-Ft!B$2)^2)+Ft!B$7*EXP(Ft!B$40*($A351-Ft!B$2)^2)))</f>
        <v>23.919600304160511</v>
      </c>
      <c r="G351" s="3">
        <f>IF(($A351-Ft!C$2)&lt;0,Ft!C$3*((1-Ft!C$6)/(1+Ft!C$37*($A351-Ft!C$2)^2)+Ft!C$6*EXP(Ft!C$38*($A351-Ft!C$2)^2)),Ft!C$3*((1-Ft!C$7)/(1+Ft!C$39*($A351-Ft!C$2)^2)+Ft!C$7*EXP(Ft!C$40*($A351-Ft!C$2)^2)))</f>
        <v>53.757207737748701</v>
      </c>
      <c r="H351" s="3">
        <f>IF(($A351-Ft!D$2)&lt;0,Ft!D$3*((1-Ft!D$6)/(1+Ft!D$37*($A351-Ft!D$2)^2)+Ft!D$6*EXP(Ft!D$38*($A351-Ft!D$2)^2)),Ft!D$3*((1-Ft!D$7)/(1+Ft!D$39*($A351-Ft!D$2)^2)+Ft!D$7*EXP(Ft!D$40*($A351-Ft!D$2)^2)))</f>
        <v>2.1389680855893556E-21</v>
      </c>
      <c r="I351" s="3">
        <f>IF(($A351-Ft!E$2)&lt;0,Ft!E$3*((1-Ft!E$6)/(1+Ft!E$37*($A351-Ft!E$2)^2)+Ft!E$6*EXP(Ft!E$38*($A351-Ft!E$2)^2)),Ft!E$3*((1-Ft!E$7)/(1+Ft!E$39*($A351-Ft!E$2)^2)+Ft!E$7*EXP(Ft!E$40*($A351-Ft!E$2)^2)))</f>
        <v>111.36654299431014</v>
      </c>
      <c r="J351" s="3">
        <f>IF(($A351-Ft!F$2)&lt;0,Ft!F$3*((1-Ft!F$6)/(1+Ft!F$37*($A351-Ft!F$2)^2)+Ft!F$6*EXP(Ft!F$38*($A351-Ft!F$2)^2)),Ft!F$3*((1-Ft!F$7)/(1+Ft!F$39*($A351-Ft!F$2)^2)+Ft!F$7*EXP(Ft!F$40*($A351-Ft!F$2)^2)))</f>
        <v>57.212728732358435</v>
      </c>
      <c r="K351" s="3">
        <f>IF(($A351-Ft!G$2)&lt;0,Ft!G$3*((1-Ft!G$6)/(1+Ft!G$37*($A351-Ft!G$2)^2)+Ft!G$6*EXP(Ft!G$38*($A351-Ft!G$2)^2)),Ft!G$3*((1-Ft!G$7)/(1+Ft!G$39*($A351-Ft!G$2)^2)+Ft!G$7*EXP(Ft!G$40*($A351-Ft!G$2)^2)))</f>
        <v>10.636456921622342</v>
      </c>
      <c r="L351" s="3">
        <f>IF(($A351-Ft!H$2)&lt;0,Ft!H$3*((1-Ft!H$6)/(1+Ft!H$37*($A351-Ft!H$2)^2)+Ft!H$6*EXP(Ft!H$38*($A351-Ft!H$2)^2)),Ft!H$3*((1-Ft!H$7)/(1+Ft!H$39*($A351-Ft!H$2)^2)+Ft!H$7*EXP(Ft!H$40*($A351-Ft!H$2)^2)))</f>
        <v>0</v>
      </c>
      <c r="M351" s="3">
        <f>IF(($A351-Ft!I$2)&lt;0,Ft!I$3*((1-Ft!I$6)/(1+Ft!I$37*($A351-Ft!I$2)^2)+Ft!I$6*EXP(Ft!I$38*($A351-Ft!I$2)^2)),Ft!I$3*((1-Ft!I$7)/(1+Ft!I$39*($A351-Ft!I$2)^2)+Ft!I$7*EXP(Ft!I$40*($A351-Ft!I$2)^2)))</f>
        <v>0</v>
      </c>
      <c r="N351" s="3">
        <f>IF(($A351-Ft!J$2)&lt;0,Ft!J$3*((1-Ft!J$6)/(1+Ft!J$37*($A351-Ft!J$2)^2)+Ft!J$6*EXP(Ft!J$38*($A351-Ft!J$2)^2)),Ft!J$3*((1-Ft!J$7)/(1+Ft!J$39*($A351-Ft!J$2)^2)+Ft!J$7*EXP(Ft!J$40*($A351-Ft!J$2)^2)))</f>
        <v>0</v>
      </c>
      <c r="O351" s="3">
        <f>IF(($A351-Ft!K$2)&lt;0,Ft!K$3*((1-Ft!K$6)/(1+Ft!K$37*($A351-Ft!K$2)^2)+Ft!K$6*EXP(Ft!K$38*($A351-Ft!K$2)^2)),Ft!K$3*((1-Ft!K$7)/(1+Ft!K$39*($A351-Ft!K$2)^2)+Ft!K$7*EXP(Ft!K$40*($A351-Ft!K$2)^2)))</f>
        <v>0</v>
      </c>
      <c r="P351"/>
      <c r="Q351"/>
    </row>
    <row r="352" spans="1:17">
      <c r="A352" s="20">
        <v>701</v>
      </c>
      <c r="B352" s="29">
        <v>56.668476037877355</v>
      </c>
      <c r="C352" s="7">
        <f t="shared" si="11"/>
        <v>56.89687169362908</v>
      </c>
      <c r="D352" s="3">
        <f t="shared" si="10"/>
        <v>5.21645755662608E-2</v>
      </c>
      <c r="E352" s="3">
        <f>Ft!$B$12+Ft!$B$14*(Data!A352-Vars!$B$3)</f>
        <v>-200</v>
      </c>
      <c r="F352" s="3">
        <f>IF(($A352-Ft!B$2)&lt;0,Ft!B$3*((1-Ft!B$6)/(1+Ft!B$37*($A352-Ft!B$2)^2)+Ft!B$6*EXP(Ft!B$38*($A352-Ft!B$2)^2)),Ft!B$3*((1-Ft!B$7)/(1+Ft!B$39*($A352-Ft!B$2)^2)+Ft!B$7*EXP(Ft!B$40*($A352-Ft!B$2)^2)))</f>
        <v>23.710104031652634</v>
      </c>
      <c r="G352" s="3">
        <f>IF(($A352-Ft!C$2)&lt;0,Ft!C$3*((1-Ft!C$6)/(1+Ft!C$37*($A352-Ft!C$2)^2)+Ft!C$6*EXP(Ft!C$38*($A352-Ft!C$2)^2)),Ft!C$3*((1-Ft!C$7)/(1+Ft!C$39*($A352-Ft!C$2)^2)+Ft!C$7*EXP(Ft!C$40*($A352-Ft!C$2)^2)))</f>
        <v>53.805240549575139</v>
      </c>
      <c r="H352" s="3">
        <f>IF(($A352-Ft!D$2)&lt;0,Ft!D$3*((1-Ft!D$6)/(1+Ft!D$37*($A352-Ft!D$2)^2)+Ft!D$6*EXP(Ft!D$38*($A352-Ft!D$2)^2)),Ft!D$3*((1-Ft!D$7)/(1+Ft!D$39*($A352-Ft!D$2)^2)+Ft!D$7*EXP(Ft!D$40*($A352-Ft!D$2)^2)))</f>
        <v>1.0287291492309054E-21</v>
      </c>
      <c r="I352" s="3">
        <f>IF(($A352-Ft!E$2)&lt;0,Ft!E$3*((1-Ft!E$6)/(1+Ft!E$37*($A352-Ft!E$2)^2)+Ft!E$6*EXP(Ft!E$38*($A352-Ft!E$2)^2)),Ft!E$3*((1-Ft!E$7)/(1+Ft!E$39*($A352-Ft!E$2)^2)+Ft!E$7*EXP(Ft!E$40*($A352-Ft!E$2)^2)))</f>
        <v>111.4306649053393</v>
      </c>
      <c r="J352" s="3">
        <f>IF(($A352-Ft!F$2)&lt;0,Ft!F$3*((1-Ft!F$6)/(1+Ft!F$37*($A352-Ft!F$2)^2)+Ft!F$6*EXP(Ft!F$38*($A352-Ft!F$2)^2)),Ft!F$3*((1-Ft!F$7)/(1+Ft!F$39*($A352-Ft!F$2)^2)+Ft!F$7*EXP(Ft!F$40*($A352-Ft!F$2)^2)))</f>
        <v>57.502809408701545</v>
      </c>
      <c r="K352" s="3">
        <f>IF(($A352-Ft!G$2)&lt;0,Ft!G$3*((1-Ft!G$6)/(1+Ft!G$37*($A352-Ft!G$2)^2)+Ft!G$6*EXP(Ft!G$38*($A352-Ft!G$2)^2)),Ft!G$3*((1-Ft!G$7)/(1+Ft!G$39*($A352-Ft!G$2)^2)+Ft!G$7*EXP(Ft!G$40*($A352-Ft!G$2)^2)))</f>
        <v>10.448052798360473</v>
      </c>
      <c r="L352" s="3">
        <f>IF(($A352-Ft!H$2)&lt;0,Ft!H$3*((1-Ft!H$6)/(1+Ft!H$37*($A352-Ft!H$2)^2)+Ft!H$6*EXP(Ft!H$38*($A352-Ft!H$2)^2)),Ft!H$3*((1-Ft!H$7)/(1+Ft!H$39*($A352-Ft!H$2)^2)+Ft!H$7*EXP(Ft!H$40*($A352-Ft!H$2)^2)))</f>
        <v>0</v>
      </c>
      <c r="M352" s="3">
        <f>IF(($A352-Ft!I$2)&lt;0,Ft!I$3*((1-Ft!I$6)/(1+Ft!I$37*($A352-Ft!I$2)^2)+Ft!I$6*EXP(Ft!I$38*($A352-Ft!I$2)^2)),Ft!I$3*((1-Ft!I$7)/(1+Ft!I$39*($A352-Ft!I$2)^2)+Ft!I$7*EXP(Ft!I$40*($A352-Ft!I$2)^2)))</f>
        <v>0</v>
      </c>
      <c r="N352" s="3">
        <f>IF(($A352-Ft!J$2)&lt;0,Ft!J$3*((1-Ft!J$6)/(1+Ft!J$37*($A352-Ft!J$2)^2)+Ft!J$6*EXP(Ft!J$38*($A352-Ft!J$2)^2)),Ft!J$3*((1-Ft!J$7)/(1+Ft!J$39*($A352-Ft!J$2)^2)+Ft!J$7*EXP(Ft!J$40*($A352-Ft!J$2)^2)))</f>
        <v>0</v>
      </c>
      <c r="O352" s="3">
        <f>IF(($A352-Ft!K$2)&lt;0,Ft!K$3*((1-Ft!K$6)/(1+Ft!K$37*($A352-Ft!K$2)^2)+Ft!K$6*EXP(Ft!K$38*($A352-Ft!K$2)^2)),Ft!K$3*((1-Ft!K$7)/(1+Ft!K$39*($A352-Ft!K$2)^2)+Ft!K$7*EXP(Ft!K$40*($A352-Ft!K$2)^2)))</f>
        <v>0</v>
      </c>
      <c r="P352"/>
      <c r="Q352"/>
    </row>
    <row r="353" spans="1:17">
      <c r="A353" s="20">
        <v>703</v>
      </c>
      <c r="B353" s="29">
        <v>56.671232666012997</v>
      </c>
      <c r="C353" s="7">
        <f t="shared" si="11"/>
        <v>56.898714106176058</v>
      </c>
      <c r="D353" s="3">
        <f t="shared" si="10"/>
        <v>5.1747805618660173E-2</v>
      </c>
      <c r="E353" s="3">
        <f>Ft!$B$12+Ft!$B$14*(Data!A353-Vars!$B$3)</f>
        <v>-200</v>
      </c>
      <c r="F353" s="3">
        <f>IF(($A353-Ft!B$2)&lt;0,Ft!B$3*((1-Ft!B$6)/(1+Ft!B$37*($A353-Ft!B$2)^2)+Ft!B$6*EXP(Ft!B$38*($A353-Ft!B$2)^2)),Ft!B$3*((1-Ft!B$7)/(1+Ft!B$39*($A353-Ft!B$2)^2)+Ft!B$7*EXP(Ft!B$40*($A353-Ft!B$2)^2)))</f>
        <v>23.501994020346768</v>
      </c>
      <c r="G353" s="3">
        <f>IF(($A353-Ft!C$2)&lt;0,Ft!C$3*((1-Ft!C$6)/(1+Ft!C$37*($A353-Ft!C$2)^2)+Ft!C$6*EXP(Ft!C$38*($A353-Ft!C$2)^2)),Ft!C$3*((1-Ft!C$7)/(1+Ft!C$39*($A353-Ft!C$2)^2)+Ft!C$7*EXP(Ft!C$40*($A353-Ft!C$2)^2)))</f>
        <v>53.852840445787798</v>
      </c>
      <c r="H353" s="3">
        <f>IF(($A353-Ft!D$2)&lt;0,Ft!D$3*((1-Ft!D$6)/(1+Ft!D$37*($A353-Ft!D$2)^2)+Ft!D$6*EXP(Ft!D$38*($A353-Ft!D$2)^2)),Ft!D$3*((1-Ft!D$7)/(1+Ft!D$39*($A353-Ft!D$2)^2)+Ft!D$7*EXP(Ft!D$40*($A353-Ft!D$2)^2)))</f>
        <v>4.9204165884397559E-22</v>
      </c>
      <c r="I353" s="3">
        <f>IF(($A353-Ft!E$2)&lt;0,Ft!E$3*((1-Ft!E$6)/(1+Ft!E$37*($A353-Ft!E$2)^2)+Ft!E$6*EXP(Ft!E$38*($A353-Ft!E$2)^2)),Ft!E$3*((1-Ft!E$7)/(1+Ft!E$39*($A353-Ft!E$2)^2)+Ft!E$7*EXP(Ft!E$40*($A353-Ft!E$2)^2)))</f>
        <v>111.48835929750507</v>
      </c>
      <c r="J353" s="3">
        <f>IF(($A353-Ft!F$2)&lt;0,Ft!F$3*((1-Ft!F$6)/(1+Ft!F$37*($A353-Ft!F$2)^2)+Ft!F$6*EXP(Ft!F$38*($A353-Ft!F$2)^2)),Ft!F$3*((1-Ft!F$7)/(1+Ft!F$39*($A353-Ft!F$2)^2)+Ft!F$7*EXP(Ft!F$40*($A353-Ft!F$2)^2)))</f>
        <v>57.793599684118448</v>
      </c>
      <c r="K353" s="3">
        <f>IF(($A353-Ft!G$2)&lt;0,Ft!G$3*((1-Ft!G$6)/(1+Ft!G$37*($A353-Ft!G$2)^2)+Ft!G$6*EXP(Ft!G$38*($A353-Ft!G$2)^2)),Ft!G$3*((1-Ft!G$7)/(1+Ft!G$39*($A353-Ft!G$2)^2)+Ft!G$7*EXP(Ft!G$40*($A353-Ft!G$2)^2)))</f>
        <v>10.261920658417989</v>
      </c>
      <c r="L353" s="3">
        <f>IF(($A353-Ft!H$2)&lt;0,Ft!H$3*((1-Ft!H$6)/(1+Ft!H$37*($A353-Ft!H$2)^2)+Ft!H$6*EXP(Ft!H$38*($A353-Ft!H$2)^2)),Ft!H$3*((1-Ft!H$7)/(1+Ft!H$39*($A353-Ft!H$2)^2)+Ft!H$7*EXP(Ft!H$40*($A353-Ft!H$2)^2)))</f>
        <v>0</v>
      </c>
      <c r="M353" s="3">
        <f>IF(($A353-Ft!I$2)&lt;0,Ft!I$3*((1-Ft!I$6)/(1+Ft!I$37*($A353-Ft!I$2)^2)+Ft!I$6*EXP(Ft!I$38*($A353-Ft!I$2)^2)),Ft!I$3*((1-Ft!I$7)/(1+Ft!I$39*($A353-Ft!I$2)^2)+Ft!I$7*EXP(Ft!I$40*($A353-Ft!I$2)^2)))</f>
        <v>0</v>
      </c>
      <c r="N353" s="3">
        <f>IF(($A353-Ft!J$2)&lt;0,Ft!J$3*((1-Ft!J$6)/(1+Ft!J$37*($A353-Ft!J$2)^2)+Ft!J$6*EXP(Ft!J$38*($A353-Ft!J$2)^2)),Ft!J$3*((1-Ft!J$7)/(1+Ft!J$39*($A353-Ft!J$2)^2)+Ft!J$7*EXP(Ft!J$40*($A353-Ft!J$2)^2)))</f>
        <v>0</v>
      </c>
      <c r="O353" s="3">
        <f>IF(($A353-Ft!K$2)&lt;0,Ft!K$3*((1-Ft!K$6)/(1+Ft!K$37*($A353-Ft!K$2)^2)+Ft!K$6*EXP(Ft!K$38*($A353-Ft!K$2)^2)),Ft!K$3*((1-Ft!K$7)/(1+Ft!K$39*($A353-Ft!K$2)^2)+Ft!K$7*EXP(Ft!K$40*($A353-Ft!K$2)^2)))</f>
        <v>0</v>
      </c>
      <c r="P353"/>
      <c r="Q353"/>
    </row>
    <row r="354" spans="1:17">
      <c r="A354" s="20">
        <v>705</v>
      </c>
      <c r="B354" s="29">
        <v>56.673356183904588</v>
      </c>
      <c r="C354" s="7">
        <f t="shared" si="11"/>
        <v>56.898042153616601</v>
      </c>
      <c r="D354" s="3">
        <f t="shared" si="10"/>
        <v>5.0483784985427591E-2</v>
      </c>
      <c r="E354" s="3">
        <f>Ft!$B$12+Ft!$B$14*(Data!A354-Vars!$B$3)</f>
        <v>-200</v>
      </c>
      <c r="F354" s="3">
        <f>IF(($A354-Ft!B$2)&lt;0,Ft!B$3*((1-Ft!B$6)/(1+Ft!B$37*($A354-Ft!B$2)^2)+Ft!B$6*EXP(Ft!B$38*($A354-Ft!B$2)^2)),Ft!B$3*((1-Ft!B$7)/(1+Ft!B$39*($A354-Ft!B$2)^2)+Ft!B$7*EXP(Ft!B$40*($A354-Ft!B$2)^2)))</f>
        <v>23.295266011997732</v>
      </c>
      <c r="G354" s="3">
        <f>IF(($A354-Ft!C$2)&lt;0,Ft!C$3*((1-Ft!C$6)/(1+Ft!C$37*($A354-Ft!C$2)^2)+Ft!C$6*EXP(Ft!C$38*($A354-Ft!C$2)^2)),Ft!C$3*((1-Ft!C$7)/(1+Ft!C$39*($A354-Ft!C$2)^2)+Ft!C$7*EXP(Ft!C$40*($A354-Ft!C$2)^2)))</f>
        <v>53.900006201866987</v>
      </c>
      <c r="H354" s="3">
        <f>IF(($A354-Ft!D$2)&lt;0,Ft!D$3*((1-Ft!D$6)/(1+Ft!D$37*($A354-Ft!D$2)^2)+Ft!D$6*EXP(Ft!D$38*($A354-Ft!D$2)^2)),Ft!D$3*((1-Ft!D$7)/(1+Ft!D$39*($A354-Ft!D$2)^2)+Ft!D$7*EXP(Ft!D$40*($A354-Ft!D$2)^2)))</f>
        <v>2.3404899964222991E-22</v>
      </c>
      <c r="I354" s="3">
        <f>IF(($A354-Ft!E$2)&lt;0,Ft!E$3*((1-Ft!E$6)/(1+Ft!E$37*($A354-Ft!E$2)^2)+Ft!E$6*EXP(Ft!E$38*($A354-Ft!E$2)^2)),Ft!E$3*((1-Ft!E$7)/(1+Ft!E$39*($A354-Ft!E$2)^2)+Ft!E$7*EXP(Ft!E$40*($A354-Ft!E$2)^2)))</f>
        <v>111.53961615095108</v>
      </c>
      <c r="J354" s="3">
        <f>IF(($A354-Ft!F$2)&lt;0,Ft!F$3*((1-Ft!F$6)/(1+Ft!F$37*($A354-Ft!F$2)^2)+Ft!F$6*EXP(Ft!F$38*($A354-Ft!F$2)^2)),Ft!F$3*((1-Ft!F$7)/(1+Ft!F$39*($A354-Ft!F$2)^2)+Ft!F$7*EXP(Ft!F$40*($A354-Ft!F$2)^2)))</f>
        <v>58.085095468051826</v>
      </c>
      <c r="K354" s="3">
        <f>IF(($A354-Ft!G$2)&lt;0,Ft!G$3*((1-Ft!G$6)/(1+Ft!G$37*($A354-Ft!G$2)^2)+Ft!G$6*EXP(Ft!G$38*($A354-Ft!G$2)^2)),Ft!G$3*((1-Ft!G$7)/(1+Ft!G$39*($A354-Ft!G$2)^2)+Ft!G$7*EXP(Ft!G$40*($A354-Ft!G$2)^2)))</f>
        <v>10.078058320748974</v>
      </c>
      <c r="L354" s="3">
        <f>IF(($A354-Ft!H$2)&lt;0,Ft!H$3*((1-Ft!H$6)/(1+Ft!H$37*($A354-Ft!H$2)^2)+Ft!H$6*EXP(Ft!H$38*($A354-Ft!H$2)^2)),Ft!H$3*((1-Ft!H$7)/(1+Ft!H$39*($A354-Ft!H$2)^2)+Ft!H$7*EXP(Ft!H$40*($A354-Ft!H$2)^2)))</f>
        <v>0</v>
      </c>
      <c r="M354" s="3">
        <f>IF(($A354-Ft!I$2)&lt;0,Ft!I$3*((1-Ft!I$6)/(1+Ft!I$37*($A354-Ft!I$2)^2)+Ft!I$6*EXP(Ft!I$38*($A354-Ft!I$2)^2)),Ft!I$3*((1-Ft!I$7)/(1+Ft!I$39*($A354-Ft!I$2)^2)+Ft!I$7*EXP(Ft!I$40*($A354-Ft!I$2)^2)))</f>
        <v>0</v>
      </c>
      <c r="N354" s="3">
        <f>IF(($A354-Ft!J$2)&lt;0,Ft!J$3*((1-Ft!J$6)/(1+Ft!J$37*($A354-Ft!J$2)^2)+Ft!J$6*EXP(Ft!J$38*($A354-Ft!J$2)^2)),Ft!J$3*((1-Ft!J$7)/(1+Ft!J$39*($A354-Ft!J$2)^2)+Ft!J$7*EXP(Ft!J$40*($A354-Ft!J$2)^2)))</f>
        <v>0</v>
      </c>
      <c r="O354" s="3">
        <f>IF(($A354-Ft!K$2)&lt;0,Ft!K$3*((1-Ft!K$6)/(1+Ft!K$37*($A354-Ft!K$2)^2)+Ft!K$6*EXP(Ft!K$38*($A354-Ft!K$2)^2)),Ft!K$3*((1-Ft!K$7)/(1+Ft!K$39*($A354-Ft!K$2)^2)+Ft!K$7*EXP(Ft!K$40*($A354-Ft!K$2)^2)))</f>
        <v>0</v>
      </c>
      <c r="P354"/>
      <c r="Q354"/>
    </row>
    <row r="355" spans="1:17">
      <c r="A355" s="20">
        <v>707</v>
      </c>
      <c r="B355" s="29">
        <v>56.674939452681329</v>
      </c>
      <c r="C355" s="7">
        <f t="shared" si="11"/>
        <v>56.894834435832202</v>
      </c>
      <c r="D355" s="3">
        <f t="shared" si="10"/>
        <v>4.8353803614922607E-2</v>
      </c>
      <c r="E355" s="3">
        <f>Ft!$B$12+Ft!$B$14*(Data!A355-Vars!$B$3)</f>
        <v>-200</v>
      </c>
      <c r="F355" s="3">
        <f>IF(($A355-Ft!B$2)&lt;0,Ft!B$3*((1-Ft!B$6)/(1+Ft!B$37*($A355-Ft!B$2)^2)+Ft!B$6*EXP(Ft!B$38*($A355-Ft!B$2)^2)),Ft!B$3*((1-Ft!B$7)/(1+Ft!B$39*($A355-Ft!B$2)^2)+Ft!B$7*EXP(Ft!B$40*($A355-Ft!B$2)^2)))</f>
        <v>23.089915706991409</v>
      </c>
      <c r="G355" s="3">
        <f>IF(($A355-Ft!C$2)&lt;0,Ft!C$3*((1-Ft!C$6)/(1+Ft!C$37*($A355-Ft!C$2)^2)+Ft!C$6*EXP(Ft!C$38*($A355-Ft!C$2)^2)),Ft!C$3*((1-Ft!C$7)/(1+Ft!C$39*($A355-Ft!C$2)^2)+Ft!C$7*EXP(Ft!C$40*($A355-Ft!C$2)^2)))</f>
        <v>53.946736603727963</v>
      </c>
      <c r="H355" s="3">
        <f>IF(($A355-Ft!D$2)&lt;0,Ft!D$3*((1-Ft!D$6)/(1+Ft!D$37*($A355-Ft!D$2)^2)+Ft!D$6*EXP(Ft!D$38*($A355-Ft!D$2)^2)),Ft!D$3*((1-Ft!D$7)/(1+Ft!D$39*($A355-Ft!D$2)^2)+Ft!D$7*EXP(Ft!D$40*($A355-Ft!D$2)^2)))</f>
        <v>1.1071737780949177E-22</v>
      </c>
      <c r="I355" s="3">
        <f>IF(($A355-Ft!E$2)&lt;0,Ft!E$3*((1-Ft!E$6)/(1+Ft!E$37*($A355-Ft!E$2)^2)+Ft!E$6*EXP(Ft!E$38*($A355-Ft!E$2)^2)),Ft!E$3*((1-Ft!E$7)/(1+Ft!E$39*($A355-Ft!E$2)^2)+Ft!E$7*EXP(Ft!E$40*($A355-Ft!E$2)^2)))</f>
        <v>111.584426560932</v>
      </c>
      <c r="J355" s="3">
        <f>IF(($A355-Ft!F$2)&lt;0,Ft!F$3*((1-Ft!F$6)/(1+Ft!F$37*($A355-Ft!F$2)^2)+Ft!F$6*EXP(Ft!F$38*($A355-Ft!F$2)^2)),Ft!F$3*((1-Ft!F$7)/(1+Ft!F$39*($A355-Ft!F$2)^2)+Ft!F$7*EXP(Ft!F$40*($A355-Ft!F$2)^2)))</f>
        <v>58.377292621339969</v>
      </c>
      <c r="K355" s="3">
        <f>IF(($A355-Ft!G$2)&lt;0,Ft!G$3*((1-Ft!G$6)/(1+Ft!G$37*($A355-Ft!G$2)^2)+Ft!G$6*EXP(Ft!G$38*($A355-Ft!G$2)^2)),Ft!G$3*((1-Ft!G$7)/(1+Ft!G$39*($A355-Ft!G$2)^2)+Ft!G$7*EXP(Ft!G$40*($A355-Ft!G$2)^2)))</f>
        <v>9.8964629428408575</v>
      </c>
      <c r="L355" s="3">
        <f>IF(($A355-Ft!H$2)&lt;0,Ft!H$3*((1-Ft!H$6)/(1+Ft!H$37*($A355-Ft!H$2)^2)+Ft!H$6*EXP(Ft!H$38*($A355-Ft!H$2)^2)),Ft!H$3*((1-Ft!H$7)/(1+Ft!H$39*($A355-Ft!H$2)^2)+Ft!H$7*EXP(Ft!H$40*($A355-Ft!H$2)^2)))</f>
        <v>0</v>
      </c>
      <c r="M355" s="3">
        <f>IF(($A355-Ft!I$2)&lt;0,Ft!I$3*((1-Ft!I$6)/(1+Ft!I$37*($A355-Ft!I$2)^2)+Ft!I$6*EXP(Ft!I$38*($A355-Ft!I$2)^2)),Ft!I$3*((1-Ft!I$7)/(1+Ft!I$39*($A355-Ft!I$2)^2)+Ft!I$7*EXP(Ft!I$40*($A355-Ft!I$2)^2)))</f>
        <v>0</v>
      </c>
      <c r="N355" s="3">
        <f>IF(($A355-Ft!J$2)&lt;0,Ft!J$3*((1-Ft!J$6)/(1+Ft!J$37*($A355-Ft!J$2)^2)+Ft!J$6*EXP(Ft!J$38*($A355-Ft!J$2)^2)),Ft!J$3*((1-Ft!J$7)/(1+Ft!J$39*($A355-Ft!J$2)^2)+Ft!J$7*EXP(Ft!J$40*($A355-Ft!J$2)^2)))</f>
        <v>0</v>
      </c>
      <c r="O355" s="3">
        <f>IF(($A355-Ft!K$2)&lt;0,Ft!K$3*((1-Ft!K$6)/(1+Ft!K$37*($A355-Ft!K$2)^2)+Ft!K$6*EXP(Ft!K$38*($A355-Ft!K$2)^2)),Ft!K$3*((1-Ft!K$7)/(1+Ft!K$39*($A355-Ft!K$2)^2)+Ft!K$7*EXP(Ft!K$40*($A355-Ft!K$2)^2)))</f>
        <v>0</v>
      </c>
      <c r="P355"/>
      <c r="Q355"/>
    </row>
    <row r="356" spans="1:17">
      <c r="A356" s="20">
        <v>709</v>
      </c>
      <c r="B356" s="29">
        <v>56.6760659086613</v>
      </c>
      <c r="C356" s="7">
        <f t="shared" si="11"/>
        <v>56.889069943125811</v>
      </c>
      <c r="D356" s="3">
        <f t="shared" si="10"/>
        <v>4.5370718698158584E-2</v>
      </c>
      <c r="E356" s="3">
        <f>Ft!$B$12+Ft!$B$14*(Data!A356-Vars!$B$3)</f>
        <v>-200</v>
      </c>
      <c r="F356" s="3">
        <f>IF(($A356-Ft!B$2)&lt;0,Ft!B$3*((1-Ft!B$6)/(1+Ft!B$37*($A356-Ft!B$2)^2)+Ft!B$6*EXP(Ft!B$38*($A356-Ft!B$2)^2)),Ft!B$3*((1-Ft!B$7)/(1+Ft!B$39*($A356-Ft!B$2)^2)+Ft!B$7*EXP(Ft!B$40*($A356-Ft!B$2)^2)))</f>
        <v>22.88593876503549</v>
      </c>
      <c r="G356" s="3">
        <f>IF(($A356-Ft!C$2)&lt;0,Ft!C$3*((1-Ft!C$6)/(1+Ft!C$37*($A356-Ft!C$2)^2)+Ft!C$6*EXP(Ft!C$38*($A356-Ft!C$2)^2)),Ft!C$3*((1-Ft!C$7)/(1+Ft!C$39*($A356-Ft!C$2)^2)+Ft!C$7*EXP(Ft!C$40*($A356-Ft!C$2)^2)))</f>
        <v>53.993030447773137</v>
      </c>
      <c r="H356" s="3">
        <f>IF(($A356-Ft!D$2)&lt;0,Ft!D$3*((1-Ft!D$6)/(1+Ft!D$37*($A356-Ft!D$2)^2)+Ft!D$6*EXP(Ft!D$38*($A356-Ft!D$2)^2)),Ft!D$3*((1-Ft!D$7)/(1+Ft!D$39*($A356-Ft!D$2)^2)+Ft!D$7*EXP(Ft!D$40*($A356-Ft!D$2)^2)))</f>
        <v>5.2086944400444634E-23</v>
      </c>
      <c r="I356" s="3">
        <f>IF(($A356-Ft!E$2)&lt;0,Ft!E$3*((1-Ft!E$6)/(1+Ft!E$37*($A356-Ft!E$2)^2)+Ft!E$6*EXP(Ft!E$38*($A356-Ft!E$2)^2)),Ft!E$3*((1-Ft!E$7)/(1+Ft!E$39*($A356-Ft!E$2)^2)+Ft!E$7*EXP(Ft!E$40*($A356-Ft!E$2)^2)))</f>
        <v>111.62278274039191</v>
      </c>
      <c r="J356" s="3">
        <f>IF(($A356-Ft!F$2)&lt;0,Ft!F$3*((1-Ft!F$6)/(1+Ft!F$37*($A356-Ft!F$2)^2)+Ft!F$6*EXP(Ft!F$38*($A356-Ft!F$2)^2)),Ft!F$3*((1-Ft!F$7)/(1+Ft!F$39*($A356-Ft!F$2)^2)+Ft!F$7*EXP(Ft!F$40*($A356-Ft!F$2)^2)))</f>
        <v>58.670186956190271</v>
      </c>
      <c r="K356" s="3">
        <f>IF(($A356-Ft!G$2)&lt;0,Ft!G$3*((1-Ft!G$6)/(1+Ft!G$37*($A356-Ft!G$2)^2)+Ft!G$6*EXP(Ft!G$38*($A356-Ft!G$2)^2)),Ft!G$3*((1-Ft!G$7)/(1+Ft!G$39*($A356-Ft!G$2)^2)+Ft!G$7*EXP(Ft!G$40*($A356-Ft!G$2)^2)))</f>
        <v>9.7171310337350008</v>
      </c>
      <c r="L356" s="3">
        <f>IF(($A356-Ft!H$2)&lt;0,Ft!H$3*((1-Ft!H$6)/(1+Ft!H$37*($A356-Ft!H$2)^2)+Ft!H$6*EXP(Ft!H$38*($A356-Ft!H$2)^2)),Ft!H$3*((1-Ft!H$7)/(1+Ft!H$39*($A356-Ft!H$2)^2)+Ft!H$7*EXP(Ft!H$40*($A356-Ft!H$2)^2)))</f>
        <v>0</v>
      </c>
      <c r="M356" s="3">
        <f>IF(($A356-Ft!I$2)&lt;0,Ft!I$3*((1-Ft!I$6)/(1+Ft!I$37*($A356-Ft!I$2)^2)+Ft!I$6*EXP(Ft!I$38*($A356-Ft!I$2)^2)),Ft!I$3*((1-Ft!I$7)/(1+Ft!I$39*($A356-Ft!I$2)^2)+Ft!I$7*EXP(Ft!I$40*($A356-Ft!I$2)^2)))</f>
        <v>0</v>
      </c>
      <c r="N356" s="3">
        <f>IF(($A356-Ft!J$2)&lt;0,Ft!J$3*((1-Ft!J$6)/(1+Ft!J$37*($A356-Ft!J$2)^2)+Ft!J$6*EXP(Ft!J$38*($A356-Ft!J$2)^2)),Ft!J$3*((1-Ft!J$7)/(1+Ft!J$39*($A356-Ft!J$2)^2)+Ft!J$7*EXP(Ft!J$40*($A356-Ft!J$2)^2)))</f>
        <v>0</v>
      </c>
      <c r="O356" s="3">
        <f>IF(($A356-Ft!K$2)&lt;0,Ft!K$3*((1-Ft!K$6)/(1+Ft!K$37*($A356-Ft!K$2)^2)+Ft!K$6*EXP(Ft!K$38*($A356-Ft!K$2)^2)),Ft!K$3*((1-Ft!K$7)/(1+Ft!K$39*($A356-Ft!K$2)^2)+Ft!K$7*EXP(Ft!K$40*($A356-Ft!K$2)^2)))</f>
        <v>0</v>
      </c>
      <c r="P356"/>
      <c r="Q356"/>
    </row>
    <row r="357" spans="1:17">
      <c r="A357" s="20">
        <v>711</v>
      </c>
      <c r="B357" s="29">
        <v>56.676806893628694</v>
      </c>
      <c r="C357" s="7">
        <f t="shared" si="11"/>
        <v>56.88072807231363</v>
      </c>
      <c r="D357" s="3">
        <f t="shared" si="10"/>
        <v>4.1583847116253771E-2</v>
      </c>
      <c r="E357" s="3">
        <f>Ft!$B$12+Ft!$B$14*(Data!A357-Vars!$B$3)</f>
        <v>-200</v>
      </c>
      <c r="F357" s="3">
        <f>IF(($A357-Ft!B$2)&lt;0,Ft!B$3*((1-Ft!B$6)/(1+Ft!B$37*($A357-Ft!B$2)^2)+Ft!B$6*EXP(Ft!B$38*($A357-Ft!B$2)^2)),Ft!B$3*((1-Ft!B$7)/(1+Ft!B$39*($A357-Ft!B$2)^2)+Ft!B$7*EXP(Ft!B$40*($A357-Ft!B$2)^2)))</f>
        <v>22.683330805847987</v>
      </c>
      <c r="G357" s="3">
        <f>IF(($A357-Ft!C$2)&lt;0,Ft!C$3*((1-Ft!C$6)/(1+Ft!C$37*($A357-Ft!C$2)^2)+Ft!C$6*EXP(Ft!C$38*($A357-Ft!C$2)^2)),Ft!C$3*((1-Ft!C$7)/(1+Ft!C$39*($A357-Ft!C$2)^2)+Ft!C$7*EXP(Ft!C$40*($A357-Ft!C$2)^2)))</f>
        <v>54.038886540943594</v>
      </c>
      <c r="H357" s="3">
        <f>IF(($A357-Ft!D$2)&lt;0,Ft!D$3*((1-Ft!D$6)/(1+Ft!D$37*($A357-Ft!D$2)^2)+Ft!D$6*EXP(Ft!D$38*($A357-Ft!D$2)^2)),Ft!D$3*((1-Ft!D$7)/(1+Ft!D$39*($A357-Ft!D$2)^2)+Ft!D$7*EXP(Ft!D$40*($A357-Ft!D$2)^2)))</f>
        <v>2.4369468509520388E-23</v>
      </c>
      <c r="I357" s="3">
        <f>IF(($A357-Ft!E$2)&lt;0,Ft!E$3*((1-Ft!E$6)/(1+Ft!E$37*($A357-Ft!E$2)^2)+Ft!E$6*EXP(Ft!E$38*($A357-Ft!E$2)^2)),Ft!E$3*((1-Ft!E$7)/(1+Ft!E$39*($A357-Ft!E$2)^2)+Ft!E$7*EXP(Ft!E$40*($A357-Ft!E$2)^2)))</f>
        <v>111.65467802221954</v>
      </c>
      <c r="J357" s="3">
        <f>IF(($A357-Ft!F$2)&lt;0,Ft!F$3*((1-Ft!F$6)/(1+Ft!F$37*($A357-Ft!F$2)^2)+Ft!F$6*EXP(Ft!F$38*($A357-Ft!F$2)^2)),Ft!F$3*((1-Ft!F$7)/(1+Ft!F$39*($A357-Ft!F$2)^2)+Ft!F$7*EXP(Ft!F$40*($A357-Ft!F$2)^2)))</f>
        <v>58.963774236155736</v>
      </c>
      <c r="K357" s="3">
        <f>IF(($A357-Ft!G$2)&lt;0,Ft!G$3*((1-Ft!G$6)/(1+Ft!G$37*($A357-Ft!G$2)^2)+Ft!G$6*EXP(Ft!G$38*($A357-Ft!G$2)^2)),Ft!G$3*((1-Ft!G$7)/(1+Ft!G$39*($A357-Ft!G$2)^2)+Ft!G$7*EXP(Ft!G$40*($A357-Ft!G$2)^2)))</f>
        <v>9.540058467146773</v>
      </c>
      <c r="L357" s="3">
        <f>IF(($A357-Ft!H$2)&lt;0,Ft!H$3*((1-Ft!H$6)/(1+Ft!H$37*($A357-Ft!H$2)^2)+Ft!H$6*EXP(Ft!H$38*($A357-Ft!H$2)^2)),Ft!H$3*((1-Ft!H$7)/(1+Ft!H$39*($A357-Ft!H$2)^2)+Ft!H$7*EXP(Ft!H$40*($A357-Ft!H$2)^2)))</f>
        <v>0</v>
      </c>
      <c r="M357" s="3">
        <f>IF(($A357-Ft!I$2)&lt;0,Ft!I$3*((1-Ft!I$6)/(1+Ft!I$37*($A357-Ft!I$2)^2)+Ft!I$6*EXP(Ft!I$38*($A357-Ft!I$2)^2)),Ft!I$3*((1-Ft!I$7)/(1+Ft!I$39*($A357-Ft!I$2)^2)+Ft!I$7*EXP(Ft!I$40*($A357-Ft!I$2)^2)))</f>
        <v>0</v>
      </c>
      <c r="N357" s="3">
        <f>IF(($A357-Ft!J$2)&lt;0,Ft!J$3*((1-Ft!J$6)/(1+Ft!J$37*($A357-Ft!J$2)^2)+Ft!J$6*EXP(Ft!J$38*($A357-Ft!J$2)^2)),Ft!J$3*((1-Ft!J$7)/(1+Ft!J$39*($A357-Ft!J$2)^2)+Ft!J$7*EXP(Ft!J$40*($A357-Ft!J$2)^2)))</f>
        <v>0</v>
      </c>
      <c r="O357" s="3">
        <f>IF(($A357-Ft!K$2)&lt;0,Ft!K$3*((1-Ft!K$6)/(1+Ft!K$37*($A357-Ft!K$2)^2)+Ft!K$6*EXP(Ft!K$38*($A357-Ft!K$2)^2)),Ft!K$3*((1-Ft!K$7)/(1+Ft!K$39*($A357-Ft!K$2)^2)+Ft!K$7*EXP(Ft!K$40*($A357-Ft!K$2)^2)))</f>
        <v>0</v>
      </c>
      <c r="P357"/>
      <c r="Q357"/>
    </row>
    <row r="358" spans="1:17">
      <c r="A358" s="20">
        <v>713</v>
      </c>
      <c r="B358" s="29">
        <v>56.677218881775275</v>
      </c>
      <c r="C358" s="7">
        <f t="shared" si="11"/>
        <v>56.869788642583487</v>
      </c>
      <c r="D358" s="3">
        <f t="shared" ref="D358:D421" si="12">(C358-B358)^2</f>
        <v>3.7083112777731887E-2</v>
      </c>
      <c r="E358" s="3">
        <f>Ft!$B$12+Ft!$B$14*(Data!A358-Vars!$B$3)</f>
        <v>-200</v>
      </c>
      <c r="F358" s="3">
        <f>IF(($A358-Ft!B$2)&lt;0,Ft!B$3*((1-Ft!B$6)/(1+Ft!B$37*($A358-Ft!B$2)^2)+Ft!B$6*EXP(Ft!B$38*($A358-Ft!B$2)^2)),Ft!B$3*((1-Ft!B$7)/(1+Ft!B$39*($A358-Ft!B$2)^2)+Ft!B$7*EXP(Ft!B$40*($A358-Ft!B$2)^2)))</f>
        <v>22.482087409843395</v>
      </c>
      <c r="G358" s="3">
        <f>IF(($A358-Ft!C$2)&lt;0,Ft!C$3*((1-Ft!C$6)/(1+Ft!C$37*($A358-Ft!C$2)^2)+Ft!C$6*EXP(Ft!C$38*($A358-Ft!C$2)^2)),Ft!C$3*((1-Ft!C$7)/(1+Ft!C$39*($A358-Ft!C$2)^2)+Ft!C$7*EXP(Ft!C$40*($A358-Ft!C$2)^2)))</f>
        <v>54.08430370077042</v>
      </c>
      <c r="H358" s="3">
        <f>IF(($A358-Ft!D$2)&lt;0,Ft!D$3*((1-Ft!D$6)/(1+Ft!D$37*($A358-Ft!D$2)^2)+Ft!D$6*EXP(Ft!D$38*($A358-Ft!D$2)^2)),Ft!D$3*((1-Ft!D$7)/(1+Ft!D$39*($A358-Ft!D$2)^2)+Ft!D$7*EXP(Ft!D$40*($A358-Ft!D$2)^2)))</f>
        <v>1.1338805900472016E-23</v>
      </c>
      <c r="I358" s="3">
        <f>IF(($A358-Ft!E$2)&lt;0,Ft!E$3*((1-Ft!E$6)/(1+Ft!E$37*($A358-Ft!E$2)^2)+Ft!E$6*EXP(Ft!E$38*($A358-Ft!E$2)^2)),Ft!E$3*((1-Ft!E$7)/(1+Ft!E$39*($A358-Ft!E$2)^2)+Ft!E$7*EXP(Ft!E$40*($A358-Ft!E$2)^2)))</f>
        <v>111.68010686117975</v>
      </c>
      <c r="J358" s="3">
        <f>IF(($A358-Ft!F$2)&lt;0,Ft!F$3*((1-Ft!F$6)/(1+Ft!F$37*($A358-Ft!F$2)^2)+Ft!F$6*EXP(Ft!F$38*($A358-Ft!F$2)^2)),Ft!F$3*((1-Ft!F$7)/(1+Ft!F$39*($A358-Ft!F$2)^2)+Ft!F$7*EXP(Ft!F$40*($A358-Ft!F$2)^2)))</f>
        <v>59.258050176114629</v>
      </c>
      <c r="K358" s="3">
        <f>IF(($A358-Ft!G$2)&lt;0,Ft!G$3*((1-Ft!G$6)/(1+Ft!G$37*($A358-Ft!G$2)^2)+Ft!G$6*EXP(Ft!G$38*($A358-Ft!G$2)^2)),Ft!G$3*((1-Ft!G$7)/(1+Ft!G$39*($A358-Ft!G$2)^2)+Ft!G$7*EXP(Ft!G$40*($A358-Ft!G$2)^2)))</f>
        <v>9.3652404946752945</v>
      </c>
      <c r="L358" s="3">
        <f>IF(($A358-Ft!H$2)&lt;0,Ft!H$3*((1-Ft!H$6)/(1+Ft!H$37*($A358-Ft!H$2)^2)+Ft!H$6*EXP(Ft!H$38*($A358-Ft!H$2)^2)),Ft!H$3*((1-Ft!H$7)/(1+Ft!H$39*($A358-Ft!H$2)^2)+Ft!H$7*EXP(Ft!H$40*($A358-Ft!H$2)^2)))</f>
        <v>0</v>
      </c>
      <c r="M358" s="3">
        <f>IF(($A358-Ft!I$2)&lt;0,Ft!I$3*((1-Ft!I$6)/(1+Ft!I$37*($A358-Ft!I$2)^2)+Ft!I$6*EXP(Ft!I$38*($A358-Ft!I$2)^2)),Ft!I$3*((1-Ft!I$7)/(1+Ft!I$39*($A358-Ft!I$2)^2)+Ft!I$7*EXP(Ft!I$40*($A358-Ft!I$2)^2)))</f>
        <v>0</v>
      </c>
      <c r="N358" s="3">
        <f>IF(($A358-Ft!J$2)&lt;0,Ft!J$3*((1-Ft!J$6)/(1+Ft!J$37*($A358-Ft!J$2)^2)+Ft!J$6*EXP(Ft!J$38*($A358-Ft!J$2)^2)),Ft!J$3*((1-Ft!J$7)/(1+Ft!J$39*($A358-Ft!J$2)^2)+Ft!J$7*EXP(Ft!J$40*($A358-Ft!J$2)^2)))</f>
        <v>0</v>
      </c>
      <c r="O358" s="3">
        <f>IF(($A358-Ft!K$2)&lt;0,Ft!K$3*((1-Ft!K$6)/(1+Ft!K$37*($A358-Ft!K$2)^2)+Ft!K$6*EXP(Ft!K$38*($A358-Ft!K$2)^2)),Ft!K$3*((1-Ft!K$7)/(1+Ft!K$39*($A358-Ft!K$2)^2)+Ft!K$7*EXP(Ft!K$40*($A358-Ft!K$2)^2)))</f>
        <v>0</v>
      </c>
      <c r="P358"/>
      <c r="Q358"/>
    </row>
    <row r="359" spans="1:17">
      <c r="A359" s="20">
        <v>715</v>
      </c>
      <c r="B359" s="29">
        <v>56.67734065601492</v>
      </c>
      <c r="C359" s="7">
        <f t="shared" si="11"/>
        <v>56.856231911108559</v>
      </c>
      <c r="D359" s="3">
        <f t="shared" si="12"/>
        <v>3.2002081148977346E-2</v>
      </c>
      <c r="E359" s="3">
        <f>Ft!$B$12+Ft!$B$14*(Data!A359-Vars!$B$3)</f>
        <v>-200</v>
      </c>
      <c r="F359" s="3">
        <f>IF(($A359-Ft!B$2)&lt;0,Ft!B$3*((1-Ft!B$6)/(1+Ft!B$37*($A359-Ft!B$2)^2)+Ft!B$6*EXP(Ft!B$38*($A359-Ft!B$2)^2)),Ft!B$3*((1-Ft!B$7)/(1+Ft!B$39*($A359-Ft!B$2)^2)+Ft!B$7*EXP(Ft!B$40*($A359-Ft!B$2)^2)))</f>
        <v>22.28220411881659</v>
      </c>
      <c r="G359" s="3">
        <f>IF(($A359-Ft!C$2)&lt;0,Ft!C$3*((1-Ft!C$6)/(1+Ft!C$37*($A359-Ft!C$2)^2)+Ft!C$6*EXP(Ft!C$38*($A359-Ft!C$2)^2)),Ft!C$3*((1-Ft!C$7)/(1+Ft!C$39*($A359-Ft!C$2)^2)+Ft!C$7*EXP(Ft!C$40*($A359-Ft!C$2)^2)))</f>
        <v>54.129280755425455</v>
      </c>
      <c r="H359" s="3">
        <f>IF(($A359-Ft!D$2)&lt;0,Ft!D$3*((1-Ft!D$6)/(1+Ft!D$37*($A359-Ft!D$2)^2)+Ft!D$6*EXP(Ft!D$38*($A359-Ft!D$2)^2)),Ft!D$3*((1-Ft!D$7)/(1+Ft!D$39*($A359-Ft!D$2)^2)+Ft!D$7*EXP(Ft!D$40*($A359-Ft!D$2)^2)))</f>
        <v>5.2467777926003937E-24</v>
      </c>
      <c r="I359" s="3">
        <f>IF(($A359-Ft!E$2)&lt;0,Ft!E$3*((1-Ft!E$6)/(1+Ft!E$37*($A359-Ft!E$2)^2)+Ft!E$6*EXP(Ft!E$38*($A359-Ft!E$2)^2)),Ft!E$3*((1-Ft!E$7)/(1+Ft!E$39*($A359-Ft!E$2)^2)+Ft!E$7*EXP(Ft!E$40*($A359-Ft!E$2)^2)))</f>
        <v>111.69906483552028</v>
      </c>
      <c r="J359" s="3">
        <f>IF(($A359-Ft!F$2)&lt;0,Ft!F$3*((1-Ft!F$6)/(1+Ft!F$37*($A359-Ft!F$2)^2)+Ft!F$6*EXP(Ft!F$38*($A359-Ft!F$2)^2)),Ft!F$3*((1-Ft!F$7)/(1+Ft!F$39*($A359-Ft!F$2)^2)+Ft!F$7*EXP(Ft!F$40*($A359-Ft!F$2)^2)))</f>
        <v>59.553010442253203</v>
      </c>
      <c r="K359" s="3">
        <f>IF(($A359-Ft!G$2)&lt;0,Ft!G$3*((1-Ft!G$6)/(1+Ft!G$37*($A359-Ft!G$2)^2)+Ft!G$6*EXP(Ft!G$38*($A359-Ft!G$2)^2)),Ft!G$3*((1-Ft!G$7)/(1+Ft!G$39*($A359-Ft!G$2)^2)+Ft!G$7*EXP(Ft!G$40*($A359-Ft!G$2)^2)))</f>
        <v>9.1926717590930327</v>
      </c>
      <c r="L359" s="3">
        <f>IF(($A359-Ft!H$2)&lt;0,Ft!H$3*((1-Ft!H$6)/(1+Ft!H$37*($A359-Ft!H$2)^2)+Ft!H$6*EXP(Ft!H$38*($A359-Ft!H$2)^2)),Ft!H$3*((1-Ft!H$7)/(1+Ft!H$39*($A359-Ft!H$2)^2)+Ft!H$7*EXP(Ft!H$40*($A359-Ft!H$2)^2)))</f>
        <v>0</v>
      </c>
      <c r="M359" s="3">
        <f>IF(($A359-Ft!I$2)&lt;0,Ft!I$3*((1-Ft!I$6)/(1+Ft!I$37*($A359-Ft!I$2)^2)+Ft!I$6*EXP(Ft!I$38*($A359-Ft!I$2)^2)),Ft!I$3*((1-Ft!I$7)/(1+Ft!I$39*($A359-Ft!I$2)^2)+Ft!I$7*EXP(Ft!I$40*($A359-Ft!I$2)^2)))</f>
        <v>0</v>
      </c>
      <c r="N359" s="3">
        <f>IF(($A359-Ft!J$2)&lt;0,Ft!J$3*((1-Ft!J$6)/(1+Ft!J$37*($A359-Ft!J$2)^2)+Ft!J$6*EXP(Ft!J$38*($A359-Ft!J$2)^2)),Ft!J$3*((1-Ft!J$7)/(1+Ft!J$39*($A359-Ft!J$2)^2)+Ft!J$7*EXP(Ft!J$40*($A359-Ft!J$2)^2)))</f>
        <v>0</v>
      </c>
      <c r="O359" s="3">
        <f>IF(($A359-Ft!K$2)&lt;0,Ft!K$3*((1-Ft!K$6)/(1+Ft!K$37*($A359-Ft!K$2)^2)+Ft!K$6*EXP(Ft!K$38*($A359-Ft!K$2)^2)),Ft!K$3*((1-Ft!K$7)/(1+Ft!K$39*($A359-Ft!K$2)^2)+Ft!K$7*EXP(Ft!K$40*($A359-Ft!K$2)^2)))</f>
        <v>0</v>
      </c>
      <c r="P359"/>
      <c r="Q359"/>
    </row>
    <row r="360" spans="1:17">
      <c r="A360" s="20">
        <v>717</v>
      </c>
      <c r="B360" s="29">
        <v>56.677190494414575</v>
      </c>
      <c r="C360" s="7">
        <f t="shared" si="11"/>
        <v>56.840038588406394</v>
      </c>
      <c r="D360" s="3">
        <f t="shared" si="12"/>
        <v>2.6519501716768347E-2</v>
      </c>
      <c r="E360" s="3">
        <f>Ft!$B$12+Ft!$B$14*(Data!A360-Vars!$B$3)</f>
        <v>-200</v>
      </c>
      <c r="F360" s="3">
        <f>IF(($A360-Ft!B$2)&lt;0,Ft!B$3*((1-Ft!B$6)/(1+Ft!B$37*($A360-Ft!B$2)^2)+Ft!B$6*EXP(Ft!B$38*($A360-Ft!B$2)^2)),Ft!B$3*((1-Ft!B$7)/(1+Ft!B$39*($A360-Ft!B$2)^2)+Ft!B$7*EXP(Ft!B$40*($A360-Ft!B$2)^2)))</f>
        <v>22.083676436624291</v>
      </c>
      <c r="G360" s="3">
        <f>IF(($A360-Ft!C$2)&lt;0,Ft!C$3*((1-Ft!C$6)/(1+Ft!C$37*($A360-Ft!C$2)^2)+Ft!C$6*EXP(Ft!C$38*($A360-Ft!C$2)^2)),Ft!C$3*((1-Ft!C$7)/(1+Ft!C$39*($A360-Ft!C$2)^2)+Ft!C$7*EXP(Ft!C$40*($A360-Ft!C$2)^2)))</f>
        <v>54.173816543771672</v>
      </c>
      <c r="H360" s="3">
        <f>IF(($A360-Ft!D$2)&lt;0,Ft!D$3*((1-Ft!D$6)/(1+Ft!D$37*($A360-Ft!D$2)^2)+Ft!D$6*EXP(Ft!D$38*($A360-Ft!D$2)^2)),Ft!D$3*((1-Ft!D$7)/(1+Ft!D$39*($A360-Ft!D$2)^2)+Ft!D$7*EXP(Ft!D$40*($A360-Ft!D$2)^2)))</f>
        <v>2.4144716445307397E-24</v>
      </c>
      <c r="I360" s="3">
        <f>IF(($A360-Ft!E$2)&lt;0,Ft!E$3*((1-Ft!E$6)/(1+Ft!E$37*($A360-Ft!E$2)^2)+Ft!E$6*EXP(Ft!E$38*($A360-Ft!E$2)^2)),Ft!E$3*((1-Ft!E$7)/(1+Ft!E$39*($A360-Ft!E$2)^2)+Ft!E$7*EXP(Ft!E$40*($A360-Ft!E$2)^2)))</f>
        <v>111.7115486482532</v>
      </c>
      <c r="J360" s="3">
        <f>IF(($A360-Ft!F$2)&lt;0,Ft!F$3*((1-Ft!F$6)/(1+Ft!F$37*($A360-Ft!F$2)^2)+Ft!F$6*EXP(Ft!F$38*($A360-Ft!F$2)^2)),Ft!F$3*((1-Ft!F$7)/(1+Ft!F$39*($A360-Ft!F$2)^2)+Ft!F$7*EXP(Ft!F$40*($A360-Ft!F$2)^2)))</f>
        <v>59.848650652051596</v>
      </c>
      <c r="K360" s="3">
        <f>IF(($A360-Ft!G$2)&lt;0,Ft!G$3*((1-Ft!G$6)/(1+Ft!G$37*($A360-Ft!G$2)^2)+Ft!G$6*EXP(Ft!G$38*($A360-Ft!G$2)^2)),Ft!G$3*((1-Ft!G$7)/(1+Ft!G$39*($A360-Ft!G$2)^2)+Ft!G$7*EXP(Ft!G$40*($A360-Ft!G$2)^2)))</f>
        <v>9.0223463077056323</v>
      </c>
      <c r="L360" s="3">
        <f>IF(($A360-Ft!H$2)&lt;0,Ft!H$3*((1-Ft!H$6)/(1+Ft!H$37*($A360-Ft!H$2)^2)+Ft!H$6*EXP(Ft!H$38*($A360-Ft!H$2)^2)),Ft!H$3*((1-Ft!H$7)/(1+Ft!H$39*($A360-Ft!H$2)^2)+Ft!H$7*EXP(Ft!H$40*($A360-Ft!H$2)^2)))</f>
        <v>0</v>
      </c>
      <c r="M360" s="3">
        <f>IF(($A360-Ft!I$2)&lt;0,Ft!I$3*((1-Ft!I$6)/(1+Ft!I$37*($A360-Ft!I$2)^2)+Ft!I$6*EXP(Ft!I$38*($A360-Ft!I$2)^2)),Ft!I$3*((1-Ft!I$7)/(1+Ft!I$39*($A360-Ft!I$2)^2)+Ft!I$7*EXP(Ft!I$40*($A360-Ft!I$2)^2)))</f>
        <v>0</v>
      </c>
      <c r="N360" s="3">
        <f>IF(($A360-Ft!J$2)&lt;0,Ft!J$3*((1-Ft!J$6)/(1+Ft!J$37*($A360-Ft!J$2)^2)+Ft!J$6*EXP(Ft!J$38*($A360-Ft!J$2)^2)),Ft!J$3*((1-Ft!J$7)/(1+Ft!J$39*($A360-Ft!J$2)^2)+Ft!J$7*EXP(Ft!J$40*($A360-Ft!J$2)^2)))</f>
        <v>0</v>
      </c>
      <c r="O360" s="3">
        <f>IF(($A360-Ft!K$2)&lt;0,Ft!K$3*((1-Ft!K$6)/(1+Ft!K$37*($A360-Ft!K$2)^2)+Ft!K$6*EXP(Ft!K$38*($A360-Ft!K$2)^2)),Ft!K$3*((1-Ft!K$7)/(1+Ft!K$39*($A360-Ft!K$2)^2)+Ft!K$7*EXP(Ft!K$40*($A360-Ft!K$2)^2)))</f>
        <v>0</v>
      </c>
      <c r="P360"/>
      <c r="Q360"/>
    </row>
    <row r="361" spans="1:17">
      <c r="A361" s="20">
        <v>719</v>
      </c>
      <c r="B361" s="29">
        <v>56.676763434595614</v>
      </c>
      <c r="C361" s="7">
        <f t="shared" si="11"/>
        <v>56.82118985343299</v>
      </c>
      <c r="D361" s="3">
        <f t="shared" si="12"/>
        <v>2.0858990458189303E-2</v>
      </c>
      <c r="E361" s="3">
        <f>Ft!$B$12+Ft!$B$14*(Data!A361-Vars!$B$3)</f>
        <v>-200</v>
      </c>
      <c r="F361" s="3">
        <f>IF(($A361-Ft!B$2)&lt;0,Ft!B$3*((1-Ft!B$6)/(1+Ft!B$37*($A361-Ft!B$2)^2)+Ft!B$6*EXP(Ft!B$38*($A361-Ft!B$2)^2)),Ft!B$3*((1-Ft!B$7)/(1+Ft!B$39*($A361-Ft!B$2)^2)+Ft!B$7*EXP(Ft!B$40*($A361-Ft!B$2)^2)))</f>
        <v>21.8864998298641</v>
      </c>
      <c r="G361" s="3">
        <f>IF(($A361-Ft!C$2)&lt;0,Ft!C$3*((1-Ft!C$6)/(1+Ft!C$37*($A361-Ft!C$2)^2)+Ft!C$6*EXP(Ft!C$38*($A361-Ft!C$2)^2)),Ft!C$3*((1-Ft!C$7)/(1+Ft!C$39*($A361-Ft!C$2)^2)+Ft!C$7*EXP(Ft!C$40*($A361-Ft!C$2)^2)))</f>
        <v>54.217909915413145</v>
      </c>
      <c r="H361" s="3">
        <f>IF(($A361-Ft!D$2)&lt;0,Ft!D$3*((1-Ft!D$6)/(1+Ft!D$37*($A361-Ft!D$2)^2)+Ft!D$6*EXP(Ft!D$38*($A361-Ft!D$2)^2)),Ft!D$3*((1-Ft!D$7)/(1+Ft!D$39*($A361-Ft!D$2)^2)+Ft!D$7*EXP(Ft!D$40*($A361-Ft!D$2)^2)))</f>
        <v>1.1049830959981403E-24</v>
      </c>
      <c r="I361" s="3">
        <f>IF(($A361-Ft!E$2)&lt;0,Ft!E$3*((1-Ft!E$6)/(1+Ft!E$37*($A361-Ft!E$2)^2)+Ft!E$6*EXP(Ft!E$38*($A361-Ft!E$2)^2)),Ft!E$3*((1-Ft!E$7)/(1+Ft!E$39*($A361-Ft!E$2)^2)+Ft!E$7*EXP(Ft!E$40*($A361-Ft!E$2)^2)))</f>
        <v>111.71755612811056</v>
      </c>
      <c r="J361" s="3">
        <f>IF(($A361-Ft!F$2)&lt;0,Ft!F$3*((1-Ft!F$6)/(1+Ft!F$37*($A361-Ft!F$2)^2)+Ft!F$6*EXP(Ft!F$38*($A361-Ft!F$2)^2)),Ft!F$3*((1-Ft!F$7)/(1+Ft!F$39*($A361-Ft!F$2)^2)+Ft!F$7*EXP(Ft!F$40*($A361-Ft!F$2)^2)))</f>
        <v>60.144966374272784</v>
      </c>
      <c r="K361" s="3">
        <f>IF(($A361-Ft!G$2)&lt;0,Ft!G$3*((1-Ft!G$6)/(1+Ft!G$37*($A361-Ft!G$2)^2)+Ft!G$6*EXP(Ft!G$38*($A361-Ft!G$2)^2)),Ft!G$3*((1-Ft!G$7)/(1+Ft!G$39*($A361-Ft!G$2)^2)+Ft!G$7*EXP(Ft!G$40*($A361-Ft!G$2)^2)))</f>
        <v>8.8542576057723945</v>
      </c>
      <c r="L361" s="3">
        <f>IF(($A361-Ft!H$2)&lt;0,Ft!H$3*((1-Ft!H$6)/(1+Ft!H$37*($A361-Ft!H$2)^2)+Ft!H$6*EXP(Ft!H$38*($A361-Ft!H$2)^2)),Ft!H$3*((1-Ft!H$7)/(1+Ft!H$39*($A361-Ft!H$2)^2)+Ft!H$7*EXP(Ft!H$40*($A361-Ft!H$2)^2)))</f>
        <v>0</v>
      </c>
      <c r="M361" s="3">
        <f>IF(($A361-Ft!I$2)&lt;0,Ft!I$3*((1-Ft!I$6)/(1+Ft!I$37*($A361-Ft!I$2)^2)+Ft!I$6*EXP(Ft!I$38*($A361-Ft!I$2)^2)),Ft!I$3*((1-Ft!I$7)/(1+Ft!I$39*($A361-Ft!I$2)^2)+Ft!I$7*EXP(Ft!I$40*($A361-Ft!I$2)^2)))</f>
        <v>0</v>
      </c>
      <c r="N361" s="3">
        <f>IF(($A361-Ft!J$2)&lt;0,Ft!J$3*((1-Ft!J$6)/(1+Ft!J$37*($A361-Ft!J$2)^2)+Ft!J$6*EXP(Ft!J$38*($A361-Ft!J$2)^2)),Ft!J$3*((1-Ft!J$7)/(1+Ft!J$39*($A361-Ft!J$2)^2)+Ft!J$7*EXP(Ft!J$40*($A361-Ft!J$2)^2)))</f>
        <v>0</v>
      </c>
      <c r="O361" s="3">
        <f>IF(($A361-Ft!K$2)&lt;0,Ft!K$3*((1-Ft!K$6)/(1+Ft!K$37*($A361-Ft!K$2)^2)+Ft!K$6*EXP(Ft!K$38*($A361-Ft!K$2)^2)),Ft!K$3*((1-Ft!K$7)/(1+Ft!K$39*($A361-Ft!K$2)^2)+Ft!K$7*EXP(Ft!K$40*($A361-Ft!K$2)^2)))</f>
        <v>0</v>
      </c>
      <c r="P361"/>
      <c r="Q361"/>
    </row>
    <row r="362" spans="1:17">
      <c r="A362" s="20">
        <v>721</v>
      </c>
      <c r="B362" s="29">
        <v>56.676028689779614</v>
      </c>
      <c r="C362" s="7">
        <f t="shared" si="11"/>
        <v>56.79966736840219</v>
      </c>
      <c r="D362" s="3">
        <f t="shared" si="12"/>
        <v>1.5286522851536753E-2</v>
      </c>
      <c r="E362" s="3">
        <f>Ft!$B$12+Ft!$B$14*(Data!A362-Vars!$B$3)</f>
        <v>-200</v>
      </c>
      <c r="F362" s="3">
        <f>IF(($A362-Ft!B$2)&lt;0,Ft!B$3*((1-Ft!B$6)/(1+Ft!B$37*($A362-Ft!B$2)^2)+Ft!B$6*EXP(Ft!B$38*($A362-Ft!B$2)^2)),Ft!B$3*((1-Ft!B$7)/(1+Ft!B$39*($A362-Ft!B$2)^2)+Ft!B$7*EXP(Ft!B$40*($A362-Ft!B$2)^2)))</f>
        <v>21.690669728551018</v>
      </c>
      <c r="G362" s="3">
        <f>IF(($A362-Ft!C$2)&lt;0,Ft!C$3*((1-Ft!C$6)/(1+Ft!C$37*($A362-Ft!C$2)^2)+Ft!C$6*EXP(Ft!C$38*($A362-Ft!C$2)^2)),Ft!C$3*((1-Ft!C$7)/(1+Ft!C$39*($A362-Ft!C$2)^2)+Ft!C$7*EXP(Ft!C$40*($A362-Ft!C$2)^2)))</f>
        <v>54.26155973074453</v>
      </c>
      <c r="H362" s="3">
        <f>IF(($A362-Ft!D$2)&lt;0,Ft!D$3*((1-Ft!D$6)/(1+Ft!D$37*($A362-Ft!D$2)^2)+Ft!D$6*EXP(Ft!D$38*($A362-Ft!D$2)^2)),Ft!D$3*((1-Ft!D$7)/(1+Ft!D$39*($A362-Ft!D$2)^2)+Ft!D$7*EXP(Ft!D$40*($A362-Ft!D$2)^2)))</f>
        <v>5.0291344482196389E-25</v>
      </c>
      <c r="I362" s="3">
        <f>IF(($A362-Ft!E$2)&lt;0,Ft!E$3*((1-Ft!E$6)/(1+Ft!E$37*($A362-Ft!E$2)^2)+Ft!E$6*EXP(Ft!E$38*($A362-Ft!E$2)^2)),Ft!E$3*((1-Ft!E$7)/(1+Ft!E$39*($A362-Ft!E$2)^2)+Ft!E$7*EXP(Ft!E$40*($A362-Ft!E$2)^2)))</f>
        <v>111.71708623017375</v>
      </c>
      <c r="J362" s="3">
        <f>IF(($A362-Ft!F$2)&lt;0,Ft!F$3*((1-Ft!F$6)/(1+Ft!F$37*($A362-Ft!F$2)^2)+Ft!F$6*EXP(Ft!F$38*($A362-Ft!F$2)^2)),Ft!F$3*((1-Ft!F$7)/(1+Ft!F$39*($A362-Ft!F$2)^2)+Ft!F$7*EXP(Ft!F$40*($A362-Ft!F$2)^2)))</f>
        <v>60.441953128954822</v>
      </c>
      <c r="K362" s="3">
        <f>IF(($A362-Ft!G$2)&lt;0,Ft!G$3*((1-Ft!G$6)/(1+Ft!G$37*($A362-Ft!G$2)^2)+Ft!G$6*EXP(Ft!G$38*($A362-Ft!G$2)^2)),Ft!G$3*((1-Ft!G$7)/(1+Ft!G$39*($A362-Ft!G$2)^2)+Ft!G$7*EXP(Ft!G$40*($A362-Ft!G$2)^2)))</f>
        <v>8.6883985499780678</v>
      </c>
      <c r="L362" s="3">
        <f>IF(($A362-Ft!H$2)&lt;0,Ft!H$3*((1-Ft!H$6)/(1+Ft!H$37*($A362-Ft!H$2)^2)+Ft!H$6*EXP(Ft!H$38*($A362-Ft!H$2)^2)),Ft!H$3*((1-Ft!H$7)/(1+Ft!H$39*($A362-Ft!H$2)^2)+Ft!H$7*EXP(Ft!H$40*($A362-Ft!H$2)^2)))</f>
        <v>0</v>
      </c>
      <c r="M362" s="3">
        <f>IF(($A362-Ft!I$2)&lt;0,Ft!I$3*((1-Ft!I$6)/(1+Ft!I$37*($A362-Ft!I$2)^2)+Ft!I$6*EXP(Ft!I$38*($A362-Ft!I$2)^2)),Ft!I$3*((1-Ft!I$7)/(1+Ft!I$39*($A362-Ft!I$2)^2)+Ft!I$7*EXP(Ft!I$40*($A362-Ft!I$2)^2)))</f>
        <v>0</v>
      </c>
      <c r="N362" s="3">
        <f>IF(($A362-Ft!J$2)&lt;0,Ft!J$3*((1-Ft!J$6)/(1+Ft!J$37*($A362-Ft!J$2)^2)+Ft!J$6*EXP(Ft!J$38*($A362-Ft!J$2)^2)),Ft!J$3*((1-Ft!J$7)/(1+Ft!J$39*($A362-Ft!J$2)^2)+Ft!J$7*EXP(Ft!J$40*($A362-Ft!J$2)^2)))</f>
        <v>0</v>
      </c>
      <c r="O362" s="3">
        <f>IF(($A362-Ft!K$2)&lt;0,Ft!K$3*((1-Ft!K$6)/(1+Ft!K$37*($A362-Ft!K$2)^2)+Ft!K$6*EXP(Ft!K$38*($A362-Ft!K$2)^2)),Ft!K$3*((1-Ft!K$7)/(1+Ft!K$39*($A362-Ft!K$2)^2)+Ft!K$7*EXP(Ft!K$40*($A362-Ft!K$2)^2)))</f>
        <v>0</v>
      </c>
      <c r="P362"/>
      <c r="Q362"/>
    </row>
    <row r="363" spans="1:17">
      <c r="A363" s="20">
        <v>723</v>
      </c>
      <c r="B363" s="29">
        <v>56.674927294330132</v>
      </c>
      <c r="C363" s="7">
        <f t="shared" si="11"/>
        <v>56.775453293320865</v>
      </c>
      <c r="D363" s="3">
        <f t="shared" si="12"/>
        <v>1.0105476473084853E-2</v>
      </c>
      <c r="E363" s="3">
        <f>Ft!$B$12+Ft!$B$14*(Data!A363-Vars!$B$3)</f>
        <v>-200</v>
      </c>
      <c r="F363" s="3">
        <f>IF(($A363-Ft!B$2)&lt;0,Ft!B$3*((1-Ft!B$6)/(1+Ft!B$37*($A363-Ft!B$2)^2)+Ft!B$6*EXP(Ft!B$38*($A363-Ft!B$2)^2)),Ft!B$3*((1-Ft!B$7)/(1+Ft!B$39*($A363-Ft!B$2)^2)+Ft!B$7*EXP(Ft!B$40*($A363-Ft!B$2)^2)))</f>
        <v>21.496181526791442</v>
      </c>
      <c r="G363" s="3">
        <f>IF(($A363-Ft!C$2)&lt;0,Ft!C$3*((1-Ft!C$6)/(1+Ft!C$37*($A363-Ft!C$2)^2)+Ft!C$6*EXP(Ft!C$38*($A363-Ft!C$2)^2)),Ft!C$3*((1-Ft!C$7)/(1+Ft!C$39*($A363-Ft!C$2)^2)+Ft!C$7*EXP(Ft!C$40*($A363-Ft!C$2)^2)))</f>
        <v>54.30476486100018</v>
      </c>
      <c r="H363" s="3">
        <f>IF(($A363-Ft!D$2)&lt;0,Ft!D$3*((1-Ft!D$6)/(1+Ft!D$37*($A363-Ft!D$2)^2)+Ft!D$6*EXP(Ft!D$38*($A363-Ft!D$2)^2)),Ft!D$3*((1-Ft!D$7)/(1+Ft!D$39*($A363-Ft!D$2)^2)+Ft!D$7*EXP(Ft!D$40*($A363-Ft!D$2)^2)))</f>
        <v>2.2763285485859634E-25</v>
      </c>
      <c r="I363" s="3">
        <f>IF(($A363-Ft!E$2)&lt;0,Ft!E$3*((1-Ft!E$6)/(1+Ft!E$37*($A363-Ft!E$2)^2)+Ft!E$6*EXP(Ft!E$38*($A363-Ft!E$2)^2)),Ft!E$3*((1-Ft!E$7)/(1+Ft!E$39*($A363-Ft!E$2)^2)+Ft!E$7*EXP(Ft!E$40*($A363-Ft!E$2)^2)))</f>
        <v>111.71013903617641</v>
      </c>
      <c r="J363" s="3">
        <f>IF(($A363-Ft!F$2)&lt;0,Ft!F$3*((1-Ft!F$6)/(1+Ft!F$37*($A363-Ft!F$2)^2)+Ft!F$6*EXP(Ft!F$38*($A363-Ft!F$2)^2)),Ft!F$3*((1-Ft!F$7)/(1+Ft!F$39*($A363-Ft!F$2)^2)+Ft!F$7*EXP(Ft!F$40*($A363-Ft!F$2)^2)))</f>
        <v>60.73960638740617</v>
      </c>
      <c r="K363" s="3">
        <f>IF(($A363-Ft!G$2)&lt;0,Ft!G$3*((1-Ft!G$6)/(1+Ft!G$37*($A363-Ft!G$2)^2)+Ft!G$6*EXP(Ft!G$38*($A363-Ft!G$2)^2)),Ft!G$3*((1-Ft!G$7)/(1+Ft!G$39*($A363-Ft!G$2)^2)+Ft!G$7*EXP(Ft!G$40*($A363-Ft!G$2)^2)))</f>
        <v>8.5247614819466531</v>
      </c>
      <c r="L363" s="3">
        <f>IF(($A363-Ft!H$2)&lt;0,Ft!H$3*((1-Ft!H$6)/(1+Ft!H$37*($A363-Ft!H$2)^2)+Ft!H$6*EXP(Ft!H$38*($A363-Ft!H$2)^2)),Ft!H$3*((1-Ft!H$7)/(1+Ft!H$39*($A363-Ft!H$2)^2)+Ft!H$7*EXP(Ft!H$40*($A363-Ft!H$2)^2)))</f>
        <v>0</v>
      </c>
      <c r="M363" s="3">
        <f>IF(($A363-Ft!I$2)&lt;0,Ft!I$3*((1-Ft!I$6)/(1+Ft!I$37*($A363-Ft!I$2)^2)+Ft!I$6*EXP(Ft!I$38*($A363-Ft!I$2)^2)),Ft!I$3*((1-Ft!I$7)/(1+Ft!I$39*($A363-Ft!I$2)^2)+Ft!I$7*EXP(Ft!I$40*($A363-Ft!I$2)^2)))</f>
        <v>0</v>
      </c>
      <c r="N363" s="3">
        <f>IF(($A363-Ft!J$2)&lt;0,Ft!J$3*((1-Ft!J$6)/(1+Ft!J$37*($A363-Ft!J$2)^2)+Ft!J$6*EXP(Ft!J$38*($A363-Ft!J$2)^2)),Ft!J$3*((1-Ft!J$7)/(1+Ft!J$39*($A363-Ft!J$2)^2)+Ft!J$7*EXP(Ft!J$40*($A363-Ft!J$2)^2)))</f>
        <v>0</v>
      </c>
      <c r="O363" s="3">
        <f>IF(($A363-Ft!K$2)&lt;0,Ft!K$3*((1-Ft!K$6)/(1+Ft!K$37*($A363-Ft!K$2)^2)+Ft!K$6*EXP(Ft!K$38*($A363-Ft!K$2)^2)),Ft!K$3*((1-Ft!K$7)/(1+Ft!K$39*($A363-Ft!K$2)^2)+Ft!K$7*EXP(Ft!K$40*($A363-Ft!K$2)^2)))</f>
        <v>0</v>
      </c>
      <c r="P363"/>
      <c r="Q363"/>
    </row>
    <row r="364" spans="1:17">
      <c r="A364" s="20">
        <v>725</v>
      </c>
      <c r="B364" s="29">
        <v>56.673370058836213</v>
      </c>
      <c r="C364" s="7">
        <f t="shared" si="11"/>
        <v>56.748530300230328</v>
      </c>
      <c r="D364" s="3">
        <f t="shared" si="12"/>
        <v>5.6490618864217437E-3</v>
      </c>
      <c r="E364" s="3">
        <f>Ft!$B$12+Ft!$B$14*(Data!A364-Vars!$B$3)</f>
        <v>-200</v>
      </c>
      <c r="F364" s="3">
        <f>IF(($A364-Ft!B$2)&lt;0,Ft!B$3*((1-Ft!B$6)/(1+Ft!B$37*($A364-Ft!B$2)^2)+Ft!B$6*EXP(Ft!B$38*($A364-Ft!B$2)^2)),Ft!B$3*((1-Ft!B$7)/(1+Ft!B$39*($A364-Ft!B$2)^2)+Ft!B$7*EXP(Ft!B$40*($A364-Ft!B$2)^2)))</f>
        <v>21.303030583454508</v>
      </c>
      <c r="G364" s="3">
        <f>IF(($A364-Ft!C$2)&lt;0,Ft!C$3*((1-Ft!C$6)/(1+Ft!C$37*($A364-Ft!C$2)^2)+Ft!C$6*EXP(Ft!C$38*($A364-Ft!C$2)^2)),Ft!C$3*((1-Ft!C$7)/(1+Ft!C$39*($A364-Ft!C$2)^2)+Ft!C$7*EXP(Ft!C$40*($A364-Ft!C$2)^2)))</f>
        <v>54.347524188302735</v>
      </c>
      <c r="H364" s="3">
        <f>IF(($A364-Ft!D$2)&lt;0,Ft!D$3*((1-Ft!D$6)/(1+Ft!D$37*($A364-Ft!D$2)^2)+Ft!D$6*EXP(Ft!D$38*($A364-Ft!D$2)^2)),Ft!D$3*((1-Ft!D$7)/(1+Ft!D$39*($A364-Ft!D$2)^2)+Ft!D$7*EXP(Ft!D$40*($A364-Ft!D$2)^2)))</f>
        <v>1.0246622375304445E-25</v>
      </c>
      <c r="I364" s="3">
        <f>IF(($A364-Ft!E$2)&lt;0,Ft!E$3*((1-Ft!E$6)/(1+Ft!E$37*($A364-Ft!E$2)^2)+Ft!E$6*EXP(Ft!E$38*($A364-Ft!E$2)^2)),Ft!E$3*((1-Ft!E$7)/(1+Ft!E$39*($A364-Ft!E$2)^2)+Ft!E$7*EXP(Ft!E$40*($A364-Ft!E$2)^2)))</f>
        <v>111.69671575448076</v>
      </c>
      <c r="J364" s="3">
        <f>IF(($A364-Ft!F$2)&lt;0,Ft!F$3*((1-Ft!F$6)/(1+Ft!F$37*($A364-Ft!F$2)^2)+Ft!F$6*EXP(Ft!F$38*($A364-Ft!F$2)^2)),Ft!F$3*((1-Ft!F$7)/(1+Ft!F$39*($A364-Ft!F$2)^2)+Ft!F$7*EXP(Ft!F$40*($A364-Ft!F$2)^2)))</f>
        <v>61.037921572204219</v>
      </c>
      <c r="K364" s="3">
        <f>IF(($A364-Ft!G$2)&lt;0,Ft!G$3*((1-Ft!G$6)/(1+Ft!G$37*($A364-Ft!G$2)^2)+Ft!G$6*EXP(Ft!G$38*($A364-Ft!G$2)^2)),Ft!G$3*((1-Ft!G$7)/(1+Ft!G$39*($A364-Ft!G$2)^2)+Ft!G$7*EXP(Ft!G$40*($A364-Ft!G$2)^2)))</f>
        <v>8.3633382017881051</v>
      </c>
      <c r="L364" s="3">
        <f>IF(($A364-Ft!H$2)&lt;0,Ft!H$3*((1-Ft!H$6)/(1+Ft!H$37*($A364-Ft!H$2)^2)+Ft!H$6*EXP(Ft!H$38*($A364-Ft!H$2)^2)),Ft!H$3*((1-Ft!H$7)/(1+Ft!H$39*($A364-Ft!H$2)^2)+Ft!H$7*EXP(Ft!H$40*($A364-Ft!H$2)^2)))</f>
        <v>0</v>
      </c>
      <c r="M364" s="3">
        <f>IF(($A364-Ft!I$2)&lt;0,Ft!I$3*((1-Ft!I$6)/(1+Ft!I$37*($A364-Ft!I$2)^2)+Ft!I$6*EXP(Ft!I$38*($A364-Ft!I$2)^2)),Ft!I$3*((1-Ft!I$7)/(1+Ft!I$39*($A364-Ft!I$2)^2)+Ft!I$7*EXP(Ft!I$40*($A364-Ft!I$2)^2)))</f>
        <v>0</v>
      </c>
      <c r="N364" s="3">
        <f>IF(($A364-Ft!J$2)&lt;0,Ft!J$3*((1-Ft!J$6)/(1+Ft!J$37*($A364-Ft!J$2)^2)+Ft!J$6*EXP(Ft!J$38*($A364-Ft!J$2)^2)),Ft!J$3*((1-Ft!J$7)/(1+Ft!J$39*($A364-Ft!J$2)^2)+Ft!J$7*EXP(Ft!J$40*($A364-Ft!J$2)^2)))</f>
        <v>0</v>
      </c>
      <c r="O364" s="3">
        <f>IF(($A364-Ft!K$2)&lt;0,Ft!K$3*((1-Ft!K$6)/(1+Ft!K$37*($A364-Ft!K$2)^2)+Ft!K$6*EXP(Ft!K$38*($A364-Ft!K$2)^2)),Ft!K$3*((1-Ft!K$7)/(1+Ft!K$39*($A364-Ft!K$2)^2)+Ft!K$7*EXP(Ft!K$40*($A364-Ft!K$2)^2)))</f>
        <v>0</v>
      </c>
      <c r="P364"/>
      <c r="Q364"/>
    </row>
    <row r="365" spans="1:17">
      <c r="A365" s="20">
        <v>727</v>
      </c>
      <c r="B365" s="29">
        <v>56.671235914707196</v>
      </c>
      <c r="C365" s="7">
        <f t="shared" si="11"/>
        <v>56.718881587145461</v>
      </c>
      <c r="D365" s="3">
        <f t="shared" si="12"/>
        <v>2.2701101020943825E-3</v>
      </c>
      <c r="E365" s="3">
        <f>Ft!$B$12+Ft!$B$14*(Data!A365-Vars!$B$3)</f>
        <v>-200</v>
      </c>
      <c r="F365" s="3">
        <f>IF(($A365-Ft!B$2)&lt;0,Ft!B$3*((1-Ft!B$6)/(1+Ft!B$37*($A365-Ft!B$2)^2)+Ft!B$6*EXP(Ft!B$38*($A365-Ft!B$2)^2)),Ft!B$3*((1-Ft!B$7)/(1+Ft!B$39*($A365-Ft!B$2)^2)+Ft!B$7*EXP(Ft!B$40*($A365-Ft!B$2)^2)))</f>
        <v>21.111212222840742</v>
      </c>
      <c r="G365" s="3">
        <f>IF(($A365-Ft!C$2)&lt;0,Ft!C$3*((1-Ft!C$6)/(1+Ft!C$37*($A365-Ft!C$2)^2)+Ft!C$6*EXP(Ft!C$38*($A365-Ft!C$2)^2)),Ft!C$3*((1-Ft!C$7)/(1+Ft!C$39*($A365-Ft!C$2)^2)+Ft!C$7*EXP(Ft!C$40*($A365-Ft!C$2)^2)))</f>
        <v>54.389836605711366</v>
      </c>
      <c r="H365" s="3">
        <f>IF(($A365-Ft!D$2)&lt;0,Ft!D$3*((1-Ft!D$6)/(1+Ft!D$37*($A365-Ft!D$2)^2)+Ft!D$6*EXP(Ft!D$38*($A365-Ft!D$2)^2)),Ft!D$3*((1-Ft!D$7)/(1+Ft!D$39*($A365-Ft!D$2)^2)+Ft!D$7*EXP(Ft!D$40*($A365-Ft!D$2)^2)))</f>
        <v>4.5870196897598961E-26</v>
      </c>
      <c r="I365" s="3">
        <f>IF(($A365-Ft!E$2)&lt;0,Ft!E$3*((1-Ft!E$6)/(1+Ft!E$37*($A365-Ft!E$2)^2)+Ft!E$6*EXP(Ft!E$38*($A365-Ft!E$2)^2)),Ft!E$3*((1-Ft!E$7)/(1+Ft!E$39*($A365-Ft!E$2)^2)+Ft!E$7*EXP(Ft!E$40*($A365-Ft!E$2)^2)))</f>
        <v>111.67681871972725</v>
      </c>
      <c r="J365" s="3">
        <f>IF(($A365-Ft!F$2)&lt;0,Ft!F$3*((1-Ft!F$6)/(1+Ft!F$37*($A365-Ft!F$2)^2)+Ft!F$6*EXP(Ft!F$38*($A365-Ft!F$2)^2)),Ft!F$3*((1-Ft!F$7)/(1+Ft!F$39*($A365-Ft!F$2)^2)+Ft!F$7*EXP(Ft!F$40*($A365-Ft!F$2)^2)))</f>
        <v>61.336894057197107</v>
      </c>
      <c r="K365" s="3">
        <f>IF(($A365-Ft!G$2)&lt;0,Ft!G$3*((1-Ft!G$6)/(1+Ft!G$37*($A365-Ft!G$2)^2)+Ft!G$6*EXP(Ft!G$38*($A365-Ft!G$2)^2)),Ft!G$3*((1-Ft!G$7)/(1+Ft!G$39*($A365-Ft!G$2)^2)+Ft!G$7*EXP(Ft!G$40*($A365-Ft!G$2)^2)))</f>
        <v>8.2041199816689847</v>
      </c>
      <c r="L365" s="3">
        <f>IF(($A365-Ft!H$2)&lt;0,Ft!H$3*((1-Ft!H$6)/(1+Ft!H$37*($A365-Ft!H$2)^2)+Ft!H$6*EXP(Ft!H$38*($A365-Ft!H$2)^2)),Ft!H$3*((1-Ft!H$7)/(1+Ft!H$39*($A365-Ft!H$2)^2)+Ft!H$7*EXP(Ft!H$40*($A365-Ft!H$2)^2)))</f>
        <v>0</v>
      </c>
      <c r="M365" s="3">
        <f>IF(($A365-Ft!I$2)&lt;0,Ft!I$3*((1-Ft!I$6)/(1+Ft!I$37*($A365-Ft!I$2)^2)+Ft!I$6*EXP(Ft!I$38*($A365-Ft!I$2)^2)),Ft!I$3*((1-Ft!I$7)/(1+Ft!I$39*($A365-Ft!I$2)^2)+Ft!I$7*EXP(Ft!I$40*($A365-Ft!I$2)^2)))</f>
        <v>0</v>
      </c>
      <c r="N365" s="3">
        <f>IF(($A365-Ft!J$2)&lt;0,Ft!J$3*((1-Ft!J$6)/(1+Ft!J$37*($A365-Ft!J$2)^2)+Ft!J$6*EXP(Ft!J$38*($A365-Ft!J$2)^2)),Ft!J$3*((1-Ft!J$7)/(1+Ft!J$39*($A365-Ft!J$2)^2)+Ft!J$7*EXP(Ft!J$40*($A365-Ft!J$2)^2)))</f>
        <v>0</v>
      </c>
      <c r="O365" s="3">
        <f>IF(($A365-Ft!K$2)&lt;0,Ft!K$3*((1-Ft!K$6)/(1+Ft!K$37*($A365-Ft!K$2)^2)+Ft!K$6*EXP(Ft!K$38*($A365-Ft!K$2)^2)),Ft!K$3*((1-Ft!K$7)/(1+Ft!K$39*($A365-Ft!K$2)^2)+Ft!K$7*EXP(Ft!K$40*($A365-Ft!K$2)^2)))</f>
        <v>0</v>
      </c>
      <c r="P365"/>
      <c r="Q365"/>
    </row>
    <row r="366" spans="1:17">
      <c r="A366" s="20">
        <v>729</v>
      </c>
      <c r="B366" s="29">
        <v>56.668370725661404</v>
      </c>
      <c r="C366" s="7">
        <f t="shared" si="11"/>
        <v>56.686490891682354</v>
      </c>
      <c r="D366" s="3">
        <f t="shared" si="12"/>
        <v>3.2834041662677533E-4</v>
      </c>
      <c r="E366" s="3">
        <f>Ft!$B$12+Ft!$B$14*(Data!A366-Vars!$B$3)</f>
        <v>-200</v>
      </c>
      <c r="F366" s="3">
        <f>IF(($A366-Ft!B$2)&lt;0,Ft!B$3*((1-Ft!B$6)/(1+Ft!B$37*($A366-Ft!B$2)^2)+Ft!B$6*EXP(Ft!B$38*($A366-Ft!B$2)^2)),Ft!B$3*((1-Ft!B$7)/(1+Ft!B$39*($A366-Ft!B$2)^2)+Ft!B$7*EXP(Ft!B$40*($A366-Ft!B$2)^2)))</f>
        <v>20.920721735348099</v>
      </c>
      <c r="G366" s="3">
        <f>IF(($A366-Ft!C$2)&lt;0,Ft!C$3*((1-Ft!C$6)/(1+Ft!C$37*($A366-Ft!C$2)^2)+Ft!C$6*EXP(Ft!C$38*($A366-Ft!C$2)^2)),Ft!C$3*((1-Ft!C$7)/(1+Ft!C$39*($A366-Ft!C$2)^2)+Ft!C$7*EXP(Ft!C$40*($A366-Ft!C$2)^2)))</f>
        <v>54.431701017269482</v>
      </c>
      <c r="H366" s="3">
        <f>IF(($A366-Ft!D$2)&lt;0,Ft!D$3*((1-Ft!D$6)/(1+Ft!D$37*($A366-Ft!D$2)^2)+Ft!D$6*EXP(Ft!D$38*($A366-Ft!D$2)^2)),Ft!D$3*((1-Ft!D$7)/(1+Ft!D$39*($A366-Ft!D$2)^2)+Ft!D$7*EXP(Ft!D$40*($A366-Ft!D$2)^2)))</f>
        <v>2.0421355447158763E-26</v>
      </c>
      <c r="I366" s="3">
        <f>IF(($A366-Ft!E$2)&lt;0,Ft!E$3*((1-Ft!E$6)/(1+Ft!E$37*($A366-Ft!E$2)^2)+Ft!E$6*EXP(Ft!E$38*($A366-Ft!E$2)^2)),Ft!E$3*((1-Ft!E$7)/(1+Ft!E$39*($A366-Ft!E$2)^2)+Ft!E$7*EXP(Ft!E$40*($A366-Ft!E$2)^2)))</f>
        <v>111.65045139215793</v>
      </c>
      <c r="J366" s="3">
        <f>IF(($A366-Ft!F$2)&lt;0,Ft!F$3*((1-Ft!F$6)/(1+Ft!F$37*($A366-Ft!F$2)^2)+Ft!F$6*EXP(Ft!F$38*($A366-Ft!F$2)^2)),Ft!F$3*((1-Ft!F$7)/(1+Ft!F$39*($A366-Ft!F$2)^2)+Ft!F$7*EXP(Ft!F$40*($A366-Ft!F$2)^2)))</f>
        <v>61.636519167508631</v>
      </c>
      <c r="K366" s="3">
        <f>IF(($A366-Ft!G$2)&lt;0,Ft!G$3*((1-Ft!G$6)/(1+Ft!G$37*($A366-Ft!G$2)^2)+Ft!G$6*EXP(Ft!G$38*($A366-Ft!G$2)^2)),Ft!G$3*((1-Ft!G$7)/(1+Ft!G$39*($A366-Ft!G$2)^2)+Ft!G$7*EXP(Ft!G$40*($A366-Ft!G$2)^2)))</f>
        <v>8.0470975793981907</v>
      </c>
      <c r="L366" s="3">
        <f>IF(($A366-Ft!H$2)&lt;0,Ft!H$3*((1-Ft!H$6)/(1+Ft!H$37*($A366-Ft!H$2)^2)+Ft!H$6*EXP(Ft!H$38*($A366-Ft!H$2)^2)),Ft!H$3*((1-Ft!H$7)/(1+Ft!H$39*($A366-Ft!H$2)^2)+Ft!H$7*EXP(Ft!H$40*($A366-Ft!H$2)^2)))</f>
        <v>0</v>
      </c>
      <c r="M366" s="3">
        <f>IF(($A366-Ft!I$2)&lt;0,Ft!I$3*((1-Ft!I$6)/(1+Ft!I$37*($A366-Ft!I$2)^2)+Ft!I$6*EXP(Ft!I$38*($A366-Ft!I$2)^2)),Ft!I$3*((1-Ft!I$7)/(1+Ft!I$39*($A366-Ft!I$2)^2)+Ft!I$7*EXP(Ft!I$40*($A366-Ft!I$2)^2)))</f>
        <v>0</v>
      </c>
      <c r="N366" s="3">
        <f>IF(($A366-Ft!J$2)&lt;0,Ft!J$3*((1-Ft!J$6)/(1+Ft!J$37*($A366-Ft!J$2)^2)+Ft!J$6*EXP(Ft!J$38*($A366-Ft!J$2)^2)),Ft!J$3*((1-Ft!J$7)/(1+Ft!J$39*($A366-Ft!J$2)^2)+Ft!J$7*EXP(Ft!J$40*($A366-Ft!J$2)^2)))</f>
        <v>0</v>
      </c>
      <c r="O366" s="3">
        <f>IF(($A366-Ft!K$2)&lt;0,Ft!K$3*((1-Ft!K$6)/(1+Ft!K$37*($A366-Ft!K$2)^2)+Ft!K$6*EXP(Ft!K$38*($A366-Ft!K$2)^2)),Ft!K$3*((1-Ft!K$7)/(1+Ft!K$39*($A366-Ft!K$2)^2)+Ft!K$7*EXP(Ft!K$40*($A366-Ft!K$2)^2)))</f>
        <v>0</v>
      </c>
      <c r="P366"/>
      <c r="Q366"/>
    </row>
    <row r="367" spans="1:17">
      <c r="A367" s="20">
        <v>731</v>
      </c>
      <c r="B367" s="29">
        <v>56.664586638233899</v>
      </c>
      <c r="C367" s="7">
        <f t="shared" si="11"/>
        <v>56.651342504366255</v>
      </c>
      <c r="D367" s="3">
        <f t="shared" si="12"/>
        <v>1.7540708190408373E-4</v>
      </c>
      <c r="E367" s="3">
        <f>Ft!$B$12+Ft!$B$14*(Data!A367-Vars!$B$3)</f>
        <v>-200</v>
      </c>
      <c r="F367" s="3">
        <f>IF(($A367-Ft!B$2)&lt;0,Ft!B$3*((1-Ft!B$6)/(1+Ft!B$37*($A367-Ft!B$2)^2)+Ft!B$6*EXP(Ft!B$38*($A367-Ft!B$2)^2)),Ft!B$3*((1-Ft!B$7)/(1+Ft!B$39*($A367-Ft!B$2)^2)+Ft!B$7*EXP(Ft!B$40*($A367-Ft!B$2)^2)))</f>
        <v>20.731554378135154</v>
      </c>
      <c r="G367" s="3">
        <f>IF(($A367-Ft!C$2)&lt;0,Ft!C$3*((1-Ft!C$6)/(1+Ft!C$37*($A367-Ft!C$2)^2)+Ft!C$6*EXP(Ft!C$38*($A367-Ft!C$2)^2)),Ft!C$3*((1-Ft!C$7)/(1+Ft!C$39*($A367-Ft!C$2)^2)+Ft!C$7*EXP(Ft!C$40*($A367-Ft!C$2)^2)))</f>
        <v>54.473116338052058</v>
      </c>
      <c r="H367" s="3">
        <f>IF(($A367-Ft!D$2)&lt;0,Ft!D$3*((1-Ft!D$6)/(1+Ft!D$37*($A367-Ft!D$2)^2)+Ft!D$6*EXP(Ft!D$38*($A367-Ft!D$2)^2)),Ft!D$3*((1-Ft!D$7)/(1+Ft!D$39*($A367-Ft!D$2)^2)+Ft!D$7*EXP(Ft!D$40*($A367-Ft!D$2)^2)))</f>
        <v>9.0415442452685793E-27</v>
      </c>
      <c r="I367" s="3">
        <f>IF(($A367-Ft!E$2)&lt;0,Ft!E$3*((1-Ft!E$6)/(1+Ft!E$37*($A367-Ft!E$2)^2)+Ft!E$6*EXP(Ft!E$38*($A367-Ft!E$2)^2)),Ft!E$3*((1-Ft!E$7)/(1+Ft!E$39*($A367-Ft!E$2)^2)+Ft!E$7*EXP(Ft!E$40*($A367-Ft!E$2)^2)))</f>
        <v>111.61761835661339</v>
      </c>
      <c r="J367" s="3">
        <f>IF(($A367-Ft!F$2)&lt;0,Ft!F$3*((1-Ft!F$6)/(1+Ft!F$37*($A367-Ft!F$2)^2)+Ft!F$6*EXP(Ft!F$38*($A367-Ft!F$2)^2)),Ft!F$3*((1-Ft!F$7)/(1+Ft!F$39*($A367-Ft!F$2)^2)+Ft!F$7*EXP(Ft!F$40*($A367-Ft!F$2)^2)))</f>
        <v>61.936792179546515</v>
      </c>
      <c r="K367" s="3">
        <f>IF(($A367-Ft!G$2)&lt;0,Ft!G$3*((1-Ft!G$6)/(1+Ft!G$37*($A367-Ft!G$2)^2)+Ft!G$6*EXP(Ft!G$38*($A367-Ft!G$2)^2)),Ft!G$3*((1-Ft!G$7)/(1+Ft!G$39*($A367-Ft!G$2)^2)+Ft!G$7*EXP(Ft!G$40*($A367-Ft!G$2)^2)))</f>
        <v>7.8922612520191517</v>
      </c>
      <c r="L367" s="3">
        <f>IF(($A367-Ft!H$2)&lt;0,Ft!H$3*((1-Ft!H$6)/(1+Ft!H$37*($A367-Ft!H$2)^2)+Ft!H$6*EXP(Ft!H$38*($A367-Ft!H$2)^2)),Ft!H$3*((1-Ft!H$7)/(1+Ft!H$39*($A367-Ft!H$2)^2)+Ft!H$7*EXP(Ft!H$40*($A367-Ft!H$2)^2)))</f>
        <v>0</v>
      </c>
      <c r="M367" s="3">
        <f>IF(($A367-Ft!I$2)&lt;0,Ft!I$3*((1-Ft!I$6)/(1+Ft!I$37*($A367-Ft!I$2)^2)+Ft!I$6*EXP(Ft!I$38*($A367-Ft!I$2)^2)),Ft!I$3*((1-Ft!I$7)/(1+Ft!I$39*($A367-Ft!I$2)^2)+Ft!I$7*EXP(Ft!I$40*($A367-Ft!I$2)^2)))</f>
        <v>0</v>
      </c>
      <c r="N367" s="3">
        <f>IF(($A367-Ft!J$2)&lt;0,Ft!J$3*((1-Ft!J$6)/(1+Ft!J$37*($A367-Ft!J$2)^2)+Ft!J$6*EXP(Ft!J$38*($A367-Ft!J$2)^2)),Ft!J$3*((1-Ft!J$7)/(1+Ft!J$39*($A367-Ft!J$2)^2)+Ft!J$7*EXP(Ft!J$40*($A367-Ft!J$2)^2)))</f>
        <v>0</v>
      </c>
      <c r="O367" s="3">
        <f>IF(($A367-Ft!K$2)&lt;0,Ft!K$3*((1-Ft!K$6)/(1+Ft!K$37*($A367-Ft!K$2)^2)+Ft!K$6*EXP(Ft!K$38*($A367-Ft!K$2)^2)),Ft!K$3*((1-Ft!K$7)/(1+Ft!K$39*($A367-Ft!K$2)^2)+Ft!K$7*EXP(Ft!K$40*($A367-Ft!K$2)^2)))</f>
        <v>0</v>
      </c>
      <c r="P367"/>
      <c r="Q367"/>
    </row>
    <row r="368" spans="1:17">
      <c r="A368" s="20">
        <v>733</v>
      </c>
      <c r="B368" s="29">
        <v>56.659662035425512</v>
      </c>
      <c r="C368" s="7">
        <f t="shared" si="11"/>
        <v>56.613421281611942</v>
      </c>
      <c r="D368" s="3">
        <f t="shared" si="12"/>
        <v>2.1382073132472563E-3</v>
      </c>
      <c r="E368" s="3">
        <f>Ft!$B$12+Ft!$B$14*(Data!A368-Vars!$B$3)</f>
        <v>-200</v>
      </c>
      <c r="F368" s="3">
        <f>IF(($A368-Ft!B$2)&lt;0,Ft!B$3*((1-Ft!B$6)/(1+Ft!B$37*($A368-Ft!B$2)^2)+Ft!B$6*EXP(Ft!B$38*($A368-Ft!B$2)^2)),Ft!B$3*((1-Ft!B$7)/(1+Ft!B$39*($A368-Ft!B$2)^2)+Ft!B$7*EXP(Ft!B$40*($A368-Ft!B$2)^2)))</f>
        <v>20.543705375781418</v>
      </c>
      <c r="G368" s="3">
        <f>IF(($A368-Ft!C$2)&lt;0,Ft!C$3*((1-Ft!C$6)/(1+Ft!C$37*($A368-Ft!C$2)^2)+Ft!C$6*EXP(Ft!C$38*($A368-Ft!C$2)^2)),Ft!C$3*((1-Ft!C$7)/(1+Ft!C$39*($A368-Ft!C$2)^2)+Ft!C$7*EXP(Ft!C$40*($A368-Ft!C$2)^2)))</f>
        <v>54.514081494212469</v>
      </c>
      <c r="H368" s="3">
        <f>IF(($A368-Ft!D$2)&lt;0,Ft!D$3*((1-Ft!D$6)/(1+Ft!D$37*($A368-Ft!D$2)^2)+Ft!D$6*EXP(Ft!D$38*($A368-Ft!D$2)^2)),Ft!D$3*((1-Ft!D$7)/(1+Ft!D$39*($A368-Ft!D$2)^2)+Ft!D$7*EXP(Ft!D$40*($A368-Ft!D$2)^2)))</f>
        <v>3.981115213725335E-27</v>
      </c>
      <c r="I368" s="3">
        <f>IF(($A368-Ft!E$2)&lt;0,Ft!E$3*((1-Ft!E$6)/(1+Ft!E$37*($A368-Ft!E$2)^2)+Ft!E$6*EXP(Ft!E$38*($A368-Ft!E$2)^2)),Ft!E$3*((1-Ft!E$7)/(1+Ft!E$39*($A368-Ft!E$2)^2)+Ft!E$7*EXP(Ft!E$40*($A368-Ft!E$2)^2)))</f>
        <v>111.57832532120422</v>
      </c>
      <c r="J368" s="3">
        <f>IF(($A368-Ft!F$2)&lt;0,Ft!F$3*((1-Ft!F$6)/(1+Ft!F$37*($A368-Ft!F$2)^2)+Ft!F$6*EXP(Ft!F$38*($A368-Ft!F$2)^2)),Ft!F$3*((1-Ft!F$7)/(1+Ft!F$39*($A368-Ft!F$2)^2)+Ft!F$7*EXP(Ft!F$40*($A368-Ft!F$2)^2)))</f>
        <v>62.237708321013869</v>
      </c>
      <c r="K368" s="3">
        <f>IF(($A368-Ft!G$2)&lt;0,Ft!G$3*((1-Ft!G$6)/(1+Ft!G$37*($A368-Ft!G$2)^2)+Ft!G$6*EXP(Ft!G$38*($A368-Ft!G$2)^2)),Ft!G$3*((1-Ft!G$7)/(1+Ft!G$39*($A368-Ft!G$2)^2)+Ft!G$7*EXP(Ft!G$40*($A368-Ft!G$2)^2)))</f>
        <v>7.7396007693999644</v>
      </c>
      <c r="L368" s="3">
        <f>IF(($A368-Ft!H$2)&lt;0,Ft!H$3*((1-Ft!H$6)/(1+Ft!H$37*($A368-Ft!H$2)^2)+Ft!H$6*EXP(Ft!H$38*($A368-Ft!H$2)^2)),Ft!H$3*((1-Ft!H$7)/(1+Ft!H$39*($A368-Ft!H$2)^2)+Ft!H$7*EXP(Ft!H$40*($A368-Ft!H$2)^2)))</f>
        <v>0</v>
      </c>
      <c r="M368" s="3">
        <f>IF(($A368-Ft!I$2)&lt;0,Ft!I$3*((1-Ft!I$6)/(1+Ft!I$37*($A368-Ft!I$2)^2)+Ft!I$6*EXP(Ft!I$38*($A368-Ft!I$2)^2)),Ft!I$3*((1-Ft!I$7)/(1+Ft!I$39*($A368-Ft!I$2)^2)+Ft!I$7*EXP(Ft!I$40*($A368-Ft!I$2)^2)))</f>
        <v>0</v>
      </c>
      <c r="N368" s="3">
        <f>IF(($A368-Ft!J$2)&lt;0,Ft!J$3*((1-Ft!J$6)/(1+Ft!J$37*($A368-Ft!J$2)^2)+Ft!J$6*EXP(Ft!J$38*($A368-Ft!J$2)^2)),Ft!J$3*((1-Ft!J$7)/(1+Ft!J$39*($A368-Ft!J$2)^2)+Ft!J$7*EXP(Ft!J$40*($A368-Ft!J$2)^2)))</f>
        <v>0</v>
      </c>
      <c r="O368" s="3">
        <f>IF(($A368-Ft!K$2)&lt;0,Ft!K$3*((1-Ft!K$6)/(1+Ft!K$37*($A368-Ft!K$2)^2)+Ft!K$6*EXP(Ft!K$38*($A368-Ft!K$2)^2)),Ft!K$3*((1-Ft!K$7)/(1+Ft!K$39*($A368-Ft!K$2)^2)+Ft!K$7*EXP(Ft!K$40*($A368-Ft!K$2)^2)))</f>
        <v>0</v>
      </c>
      <c r="P368"/>
      <c r="Q368"/>
    </row>
    <row r="369" spans="1:17">
      <c r="A369" s="20">
        <v>735</v>
      </c>
      <c r="B369" s="29">
        <v>56.653342146892228</v>
      </c>
      <c r="C369" s="7">
        <f t="shared" si="11"/>
        <v>56.572712658367927</v>
      </c>
      <c r="D369" s="3">
        <f t="shared" si="12"/>
        <v>6.5011144196905415E-3</v>
      </c>
      <c r="E369" s="3">
        <f>Ft!$B$12+Ft!$B$14*(Data!A369-Vars!$B$3)</f>
        <v>-200</v>
      </c>
      <c r="F369" s="3">
        <f>IF(($A369-Ft!B$2)&lt;0,Ft!B$3*((1-Ft!B$6)/(1+Ft!B$37*($A369-Ft!B$2)^2)+Ft!B$6*EXP(Ft!B$38*($A369-Ft!B$2)^2)),Ft!B$3*((1-Ft!B$7)/(1+Ft!B$39*($A369-Ft!B$2)^2)+Ft!B$7*EXP(Ft!B$40*($A369-Ft!B$2)^2)))</f>
        <v>20.357169920944958</v>
      </c>
      <c r="G369" s="3">
        <f>IF(($A369-Ft!C$2)&lt;0,Ft!C$3*((1-Ft!C$6)/(1+Ft!C$37*($A369-Ft!C$2)^2)+Ft!C$6*EXP(Ft!C$38*($A369-Ft!C$2)^2)),Ft!C$3*((1-Ft!C$7)/(1+Ft!C$39*($A369-Ft!C$2)^2)+Ft!C$7*EXP(Ft!C$40*($A369-Ft!C$2)^2)))</f>
        <v>54.554595423028893</v>
      </c>
      <c r="H369" s="3">
        <f>IF(($A369-Ft!D$2)&lt;0,Ft!D$3*((1-Ft!D$6)/(1+Ft!D$37*($A369-Ft!D$2)^2)+Ft!D$6*EXP(Ft!D$38*($A369-Ft!D$2)^2)),Ft!D$3*((1-Ft!D$7)/(1+Ft!D$39*($A369-Ft!D$2)^2)+Ft!D$7*EXP(Ft!D$40*($A369-Ft!D$2)^2)))</f>
        <v>1.7432953339883321E-27</v>
      </c>
      <c r="I369" s="3">
        <f>IF(($A369-Ft!E$2)&lt;0,Ft!E$3*((1-Ft!E$6)/(1+Ft!E$37*($A369-Ft!E$2)^2)+Ft!E$6*EXP(Ft!E$38*($A369-Ft!E$2)^2)),Ft!E$3*((1-Ft!E$7)/(1+Ft!E$39*($A369-Ft!E$2)^2)+Ft!E$7*EXP(Ft!E$40*($A369-Ft!E$2)^2)))</f>
        <v>111.53257911565699</v>
      </c>
      <c r="J369" s="3">
        <f>IF(($A369-Ft!F$2)&lt;0,Ft!F$3*((1-Ft!F$6)/(1+Ft!F$37*($A369-Ft!F$2)^2)+Ft!F$6*EXP(Ft!F$38*($A369-Ft!F$2)^2)),Ft!F$3*((1-Ft!F$7)/(1+Ft!F$39*($A369-Ft!F$2)^2)+Ft!F$7*EXP(Ft!F$40*($A369-Ft!F$2)^2)))</f>
        <v>62.539262770923983</v>
      </c>
      <c r="K369" s="3">
        <f>IF(($A369-Ft!G$2)&lt;0,Ft!G$3*((1-Ft!G$6)/(1+Ft!G$37*($A369-Ft!G$2)^2)+Ft!G$6*EXP(Ft!G$38*($A369-Ft!G$2)^2)),Ft!G$3*((1-Ft!G$7)/(1+Ft!G$39*($A369-Ft!G$2)^2)+Ft!G$7*EXP(Ft!G$40*($A369-Ft!G$2)^2)))</f>
        <v>7.5891054278131049</v>
      </c>
      <c r="L369" s="3">
        <f>IF(($A369-Ft!H$2)&lt;0,Ft!H$3*((1-Ft!H$6)/(1+Ft!H$37*($A369-Ft!H$2)^2)+Ft!H$6*EXP(Ft!H$38*($A369-Ft!H$2)^2)),Ft!H$3*((1-Ft!H$7)/(1+Ft!H$39*($A369-Ft!H$2)^2)+Ft!H$7*EXP(Ft!H$40*($A369-Ft!H$2)^2)))</f>
        <v>0</v>
      </c>
      <c r="M369" s="3">
        <f>IF(($A369-Ft!I$2)&lt;0,Ft!I$3*((1-Ft!I$6)/(1+Ft!I$37*($A369-Ft!I$2)^2)+Ft!I$6*EXP(Ft!I$38*($A369-Ft!I$2)^2)),Ft!I$3*((1-Ft!I$7)/(1+Ft!I$39*($A369-Ft!I$2)^2)+Ft!I$7*EXP(Ft!I$40*($A369-Ft!I$2)^2)))</f>
        <v>0</v>
      </c>
      <c r="N369" s="3">
        <f>IF(($A369-Ft!J$2)&lt;0,Ft!J$3*((1-Ft!J$6)/(1+Ft!J$37*($A369-Ft!J$2)^2)+Ft!J$6*EXP(Ft!J$38*($A369-Ft!J$2)^2)),Ft!J$3*((1-Ft!J$7)/(1+Ft!J$39*($A369-Ft!J$2)^2)+Ft!J$7*EXP(Ft!J$40*($A369-Ft!J$2)^2)))</f>
        <v>0</v>
      </c>
      <c r="O369" s="3">
        <f>IF(($A369-Ft!K$2)&lt;0,Ft!K$3*((1-Ft!K$6)/(1+Ft!K$37*($A369-Ft!K$2)^2)+Ft!K$6*EXP(Ft!K$38*($A369-Ft!K$2)^2)),Ft!K$3*((1-Ft!K$7)/(1+Ft!K$39*($A369-Ft!K$2)^2)+Ft!K$7*EXP(Ft!K$40*($A369-Ft!K$2)^2)))</f>
        <v>0</v>
      </c>
      <c r="P369"/>
      <c r="Q369"/>
    </row>
    <row r="370" spans="1:17">
      <c r="A370" s="20">
        <v>737</v>
      </c>
      <c r="B370" s="29">
        <v>56.6453403557652</v>
      </c>
      <c r="C370" s="7">
        <f t="shared" si="11"/>
        <v>56.529202660417788</v>
      </c>
      <c r="D370" s="3">
        <f t="shared" si="12"/>
        <v>1.3487964280608238E-2</v>
      </c>
      <c r="E370" s="3">
        <f>Ft!$B$12+Ft!$B$14*(Data!A370-Vars!$B$3)</f>
        <v>-200</v>
      </c>
      <c r="F370" s="3">
        <f>IF(($A370-Ft!B$2)&lt;0,Ft!B$3*((1-Ft!B$6)/(1+Ft!B$37*($A370-Ft!B$2)^2)+Ft!B$6*EXP(Ft!B$38*($A370-Ft!B$2)^2)),Ft!B$3*((1-Ft!B$7)/(1+Ft!B$39*($A370-Ft!B$2)^2)+Ft!B$7*EXP(Ft!B$40*($A370-Ft!B$2)^2)))</f>
        <v>20.17194317501691</v>
      </c>
      <c r="G370" s="3">
        <f>IF(($A370-Ft!C$2)&lt;0,Ft!C$3*((1-Ft!C$6)/(1+Ft!C$37*($A370-Ft!C$2)^2)+Ft!C$6*EXP(Ft!C$38*($A370-Ft!C$2)^2)),Ft!C$3*((1-Ft!C$7)/(1+Ft!C$39*($A370-Ft!C$2)^2)+Ft!C$7*EXP(Ft!C$40*($A370-Ft!C$2)^2)))</f>
        <v>54.594657072950262</v>
      </c>
      <c r="H370" s="3">
        <f>IF(($A370-Ft!D$2)&lt;0,Ft!D$3*((1-Ft!D$6)/(1+Ft!D$37*($A370-Ft!D$2)^2)+Ft!D$6*EXP(Ft!D$38*($A370-Ft!D$2)^2)),Ft!D$3*((1-Ft!D$7)/(1+Ft!D$39*($A370-Ft!D$2)^2)+Ft!D$7*EXP(Ft!D$40*($A370-Ft!D$2)^2)))</f>
        <v>7.5917391301872884E-28</v>
      </c>
      <c r="I370" s="3">
        <f>IF(($A370-Ft!E$2)&lt;0,Ft!E$3*((1-Ft!E$6)/(1+Ft!E$37*($A370-Ft!E$2)^2)+Ft!E$6*EXP(Ft!E$38*($A370-Ft!E$2)^2)),Ft!E$3*((1-Ft!E$7)/(1+Ft!E$39*($A370-Ft!E$2)^2)+Ft!E$7*EXP(Ft!E$40*($A370-Ft!E$2)^2)))</f>
        <v>111.48038768933579</v>
      </c>
      <c r="J370" s="3">
        <f>IF(($A370-Ft!F$2)&lt;0,Ft!F$3*((1-Ft!F$6)/(1+Ft!F$37*($A370-Ft!F$2)^2)+Ft!F$6*EXP(Ft!F$38*($A370-Ft!F$2)^2)),Ft!F$3*((1-Ft!F$7)/(1+Ft!F$39*($A370-Ft!F$2)^2)+Ft!F$7*EXP(Ft!F$40*($A370-Ft!F$2)^2)))</f>
        <v>62.841450659618253</v>
      </c>
      <c r="K370" s="3">
        <f>IF(($A370-Ft!G$2)&lt;0,Ft!G$3*((1-Ft!G$6)/(1+Ft!G$37*($A370-Ft!G$2)^2)+Ft!G$6*EXP(Ft!G$38*($A370-Ft!G$2)^2)),Ft!G$3*((1-Ft!G$7)/(1+Ft!G$39*($A370-Ft!G$2)^2)+Ft!G$7*EXP(Ft!G$40*($A370-Ft!G$2)^2)))</f>
        <v>7.4407640634965739</v>
      </c>
      <c r="L370" s="3">
        <f>IF(($A370-Ft!H$2)&lt;0,Ft!H$3*((1-Ft!H$6)/(1+Ft!H$37*($A370-Ft!H$2)^2)+Ft!H$6*EXP(Ft!H$38*($A370-Ft!H$2)^2)),Ft!H$3*((1-Ft!H$7)/(1+Ft!H$39*($A370-Ft!H$2)^2)+Ft!H$7*EXP(Ft!H$40*($A370-Ft!H$2)^2)))</f>
        <v>0</v>
      </c>
      <c r="M370" s="3">
        <f>IF(($A370-Ft!I$2)&lt;0,Ft!I$3*((1-Ft!I$6)/(1+Ft!I$37*($A370-Ft!I$2)^2)+Ft!I$6*EXP(Ft!I$38*($A370-Ft!I$2)^2)),Ft!I$3*((1-Ft!I$7)/(1+Ft!I$39*($A370-Ft!I$2)^2)+Ft!I$7*EXP(Ft!I$40*($A370-Ft!I$2)^2)))</f>
        <v>0</v>
      </c>
      <c r="N370" s="3">
        <f>IF(($A370-Ft!J$2)&lt;0,Ft!J$3*((1-Ft!J$6)/(1+Ft!J$37*($A370-Ft!J$2)^2)+Ft!J$6*EXP(Ft!J$38*($A370-Ft!J$2)^2)),Ft!J$3*((1-Ft!J$7)/(1+Ft!J$39*($A370-Ft!J$2)^2)+Ft!J$7*EXP(Ft!J$40*($A370-Ft!J$2)^2)))</f>
        <v>0</v>
      </c>
      <c r="O370" s="3">
        <f>IF(($A370-Ft!K$2)&lt;0,Ft!K$3*((1-Ft!K$6)/(1+Ft!K$37*($A370-Ft!K$2)^2)+Ft!K$6*EXP(Ft!K$38*($A370-Ft!K$2)^2)),Ft!K$3*((1-Ft!K$7)/(1+Ft!K$39*($A370-Ft!K$2)^2)+Ft!K$7*EXP(Ft!K$40*($A370-Ft!K$2)^2)))</f>
        <v>0</v>
      </c>
      <c r="P370"/>
      <c r="Q370"/>
    </row>
    <row r="371" spans="1:17">
      <c r="A371" s="20">
        <v>739</v>
      </c>
      <c r="B371" s="29">
        <v>56.635340226542311</v>
      </c>
      <c r="C371" s="7">
        <f t="shared" si="11"/>
        <v>56.482877916331013</v>
      </c>
      <c r="D371" s="3">
        <f t="shared" si="12"/>
        <v>2.3244756034966153E-2</v>
      </c>
      <c r="E371" s="3">
        <f>Ft!$B$12+Ft!$B$14*(Data!A371-Vars!$B$3)</f>
        <v>-200</v>
      </c>
      <c r="F371" s="3">
        <f>IF(($A371-Ft!B$2)&lt;0,Ft!B$3*((1-Ft!B$6)/(1+Ft!B$37*($A371-Ft!B$2)^2)+Ft!B$6*EXP(Ft!B$38*($A371-Ft!B$2)^2)),Ft!B$3*((1-Ft!B$7)/(1+Ft!B$39*($A371-Ft!B$2)^2)+Ft!B$7*EXP(Ft!B$40*($A371-Ft!B$2)^2)))</f>
        <v>19.98802026877312</v>
      </c>
      <c r="G371" s="3">
        <f>IF(($A371-Ft!C$2)&lt;0,Ft!C$3*((1-Ft!C$6)/(1+Ft!C$37*($A371-Ft!C$2)^2)+Ft!C$6*EXP(Ft!C$38*($A371-Ft!C$2)^2)),Ft!C$3*((1-Ft!C$7)/(1+Ft!C$39*($A371-Ft!C$2)^2)+Ft!C$7*EXP(Ft!C$40*($A371-Ft!C$2)^2)))</f>
        <v>54.634265403641727</v>
      </c>
      <c r="H371" s="3">
        <f>IF(($A371-Ft!D$2)&lt;0,Ft!D$3*((1-Ft!D$6)/(1+Ft!D$37*($A371-Ft!D$2)^2)+Ft!D$6*EXP(Ft!D$38*($A371-Ft!D$2)^2)),Ft!D$3*((1-Ft!D$7)/(1+Ft!D$39*($A371-Ft!D$2)^2)+Ft!D$7*EXP(Ft!D$40*($A371-Ft!D$2)^2)))</f>
        <v>3.2878778312493415E-28</v>
      </c>
      <c r="I371" s="3">
        <f>IF(($A371-Ft!E$2)&lt;0,Ft!E$3*((1-Ft!E$6)/(1+Ft!E$37*($A371-Ft!E$2)^2)+Ft!E$6*EXP(Ft!E$38*($A371-Ft!E$2)^2)),Ft!E$3*((1-Ft!E$7)/(1+Ft!E$39*($A371-Ft!E$2)^2)+Ft!E$7*EXP(Ft!E$40*($A371-Ft!E$2)^2)))</f>
        <v>111.42176010894002</v>
      </c>
      <c r="J371" s="3">
        <f>IF(($A371-Ft!F$2)&lt;0,Ft!F$3*((1-Ft!F$6)/(1+Ft!F$37*($A371-Ft!F$2)^2)+Ft!F$6*EXP(Ft!F$38*($A371-Ft!F$2)^2)),Ft!F$3*((1-Ft!F$7)/(1+Ft!F$39*($A371-Ft!F$2)^2)+Ft!F$7*EXP(Ft!F$40*($A371-Ft!F$2)^2)))</f>
        <v>63.144267068787691</v>
      </c>
      <c r="K371" s="3">
        <f>IF(($A371-Ft!G$2)&lt;0,Ft!G$3*((1-Ft!G$6)/(1+Ft!G$37*($A371-Ft!G$2)^2)+Ft!G$6*EXP(Ft!G$38*($A371-Ft!G$2)^2)),Ft!G$3*((1-Ft!G$7)/(1+Ft!G$39*($A371-Ft!G$2)^2)+Ft!G$7*EXP(Ft!G$40*($A371-Ft!G$2)^2)))</f>
        <v>7.2945650661884534</v>
      </c>
      <c r="L371" s="3">
        <f>IF(($A371-Ft!H$2)&lt;0,Ft!H$3*((1-Ft!H$6)/(1+Ft!H$37*($A371-Ft!H$2)^2)+Ft!H$6*EXP(Ft!H$38*($A371-Ft!H$2)^2)),Ft!H$3*((1-Ft!H$7)/(1+Ft!H$39*($A371-Ft!H$2)^2)+Ft!H$7*EXP(Ft!H$40*($A371-Ft!H$2)^2)))</f>
        <v>0</v>
      </c>
      <c r="M371" s="3">
        <f>IF(($A371-Ft!I$2)&lt;0,Ft!I$3*((1-Ft!I$6)/(1+Ft!I$37*($A371-Ft!I$2)^2)+Ft!I$6*EXP(Ft!I$38*($A371-Ft!I$2)^2)),Ft!I$3*((1-Ft!I$7)/(1+Ft!I$39*($A371-Ft!I$2)^2)+Ft!I$7*EXP(Ft!I$40*($A371-Ft!I$2)^2)))</f>
        <v>0</v>
      </c>
      <c r="N371" s="3">
        <f>IF(($A371-Ft!J$2)&lt;0,Ft!J$3*((1-Ft!J$6)/(1+Ft!J$37*($A371-Ft!J$2)^2)+Ft!J$6*EXP(Ft!J$38*($A371-Ft!J$2)^2)),Ft!J$3*((1-Ft!J$7)/(1+Ft!J$39*($A371-Ft!J$2)^2)+Ft!J$7*EXP(Ft!J$40*($A371-Ft!J$2)^2)))</f>
        <v>0</v>
      </c>
      <c r="O371" s="3">
        <f>IF(($A371-Ft!K$2)&lt;0,Ft!K$3*((1-Ft!K$6)/(1+Ft!K$37*($A371-Ft!K$2)^2)+Ft!K$6*EXP(Ft!K$38*($A371-Ft!K$2)^2)),Ft!K$3*((1-Ft!K$7)/(1+Ft!K$39*($A371-Ft!K$2)^2)+Ft!K$7*EXP(Ft!K$40*($A371-Ft!K$2)^2)))</f>
        <v>0</v>
      </c>
      <c r="P371"/>
      <c r="Q371"/>
    </row>
    <row r="372" spans="1:17">
      <c r="A372" s="20">
        <v>741</v>
      </c>
      <c r="B372" s="29">
        <v>56.622998260857173</v>
      </c>
      <c r="C372" s="7">
        <f t="shared" si="11"/>
        <v>56.433725669056287</v>
      </c>
      <c r="D372" s="3">
        <f t="shared" si="12"/>
        <v>3.5824114007024968E-2</v>
      </c>
      <c r="E372" s="3">
        <f>Ft!$B$12+Ft!$B$14*(Data!A372-Vars!$B$3)</f>
        <v>-200</v>
      </c>
      <c r="F372" s="3">
        <f>IF(($A372-Ft!B$2)&lt;0,Ft!B$3*((1-Ft!B$6)/(1+Ft!B$37*($A372-Ft!B$2)^2)+Ft!B$6*EXP(Ft!B$38*($A372-Ft!B$2)^2)),Ft!B$3*((1-Ft!B$7)/(1+Ft!B$39*($A372-Ft!B$2)^2)+Ft!B$7*EXP(Ft!B$40*($A372-Ft!B$2)^2)))</f>
        <v>19.805396303022814</v>
      </c>
      <c r="G372" s="3">
        <f>IF(($A372-Ft!C$2)&lt;0,Ft!C$3*((1-Ft!C$6)/(1+Ft!C$37*($A372-Ft!C$2)^2)+Ft!C$6*EXP(Ft!C$38*($A372-Ft!C$2)^2)),Ft!C$3*((1-Ft!C$7)/(1+Ft!C$39*($A372-Ft!C$2)^2)+Ft!C$7*EXP(Ft!C$40*($A372-Ft!C$2)^2)))</f>
        <v>54.673419386029678</v>
      </c>
      <c r="H372" s="3">
        <f>IF(($A372-Ft!D$2)&lt;0,Ft!D$3*((1-Ft!D$6)/(1+Ft!D$37*($A372-Ft!D$2)^2)+Ft!D$6*EXP(Ft!D$38*($A372-Ft!D$2)^2)),Ft!D$3*((1-Ft!D$7)/(1+Ft!D$39*($A372-Ft!D$2)^2)+Ft!D$7*EXP(Ft!D$40*($A372-Ft!D$2)^2)))</f>
        <v>1.416100756093878E-28</v>
      </c>
      <c r="I372" s="3">
        <f>IF(($A372-Ft!E$2)&lt;0,Ft!E$3*((1-Ft!E$6)/(1+Ft!E$37*($A372-Ft!E$2)^2)+Ft!E$6*EXP(Ft!E$38*($A372-Ft!E$2)^2)),Ft!E$3*((1-Ft!E$7)/(1+Ft!E$39*($A372-Ft!E$2)^2)+Ft!E$7*EXP(Ft!E$40*($A372-Ft!E$2)^2)))</f>
        <v>111.35670655587936</v>
      </c>
      <c r="J372" s="3">
        <f>IF(($A372-Ft!F$2)&lt;0,Ft!F$3*((1-Ft!F$6)/(1+Ft!F$37*($A372-Ft!F$2)^2)+Ft!F$6*EXP(Ft!F$38*($A372-Ft!F$2)^2)),Ft!F$3*((1-Ft!F$7)/(1+Ft!F$39*($A372-Ft!F$2)^2)+Ft!F$7*EXP(Ft!F$40*($A372-Ft!F$2)^2)))</f>
        <v>63.44770703149738</v>
      </c>
      <c r="K372" s="3">
        <f>IF(($A372-Ft!G$2)&lt;0,Ft!G$3*((1-Ft!G$6)/(1+Ft!G$37*($A372-Ft!G$2)^2)+Ft!G$6*EXP(Ft!G$38*($A372-Ft!G$2)^2)),Ft!G$3*((1-Ft!G$7)/(1+Ft!G$39*($A372-Ft!G$2)^2)+Ft!G$7*EXP(Ft!G$40*($A372-Ft!G$2)^2)))</f>
        <v>7.150496392627069</v>
      </c>
      <c r="L372" s="3">
        <f>IF(($A372-Ft!H$2)&lt;0,Ft!H$3*((1-Ft!H$6)/(1+Ft!H$37*($A372-Ft!H$2)^2)+Ft!H$6*EXP(Ft!H$38*($A372-Ft!H$2)^2)),Ft!H$3*((1-Ft!H$7)/(1+Ft!H$39*($A372-Ft!H$2)^2)+Ft!H$7*EXP(Ft!H$40*($A372-Ft!H$2)^2)))</f>
        <v>0</v>
      </c>
      <c r="M372" s="3">
        <f>IF(($A372-Ft!I$2)&lt;0,Ft!I$3*((1-Ft!I$6)/(1+Ft!I$37*($A372-Ft!I$2)^2)+Ft!I$6*EXP(Ft!I$38*($A372-Ft!I$2)^2)),Ft!I$3*((1-Ft!I$7)/(1+Ft!I$39*($A372-Ft!I$2)^2)+Ft!I$7*EXP(Ft!I$40*($A372-Ft!I$2)^2)))</f>
        <v>0</v>
      </c>
      <c r="N372" s="3">
        <f>IF(($A372-Ft!J$2)&lt;0,Ft!J$3*((1-Ft!J$6)/(1+Ft!J$37*($A372-Ft!J$2)^2)+Ft!J$6*EXP(Ft!J$38*($A372-Ft!J$2)^2)),Ft!J$3*((1-Ft!J$7)/(1+Ft!J$39*($A372-Ft!J$2)^2)+Ft!J$7*EXP(Ft!J$40*($A372-Ft!J$2)^2)))</f>
        <v>0</v>
      </c>
      <c r="O372" s="3">
        <f>IF(($A372-Ft!K$2)&lt;0,Ft!K$3*((1-Ft!K$6)/(1+Ft!K$37*($A372-Ft!K$2)^2)+Ft!K$6*EXP(Ft!K$38*($A372-Ft!K$2)^2)),Ft!K$3*((1-Ft!K$7)/(1+Ft!K$39*($A372-Ft!K$2)^2)+Ft!K$7*EXP(Ft!K$40*($A372-Ft!K$2)^2)))</f>
        <v>0</v>
      </c>
      <c r="P372"/>
      <c r="Q372"/>
    </row>
    <row r="373" spans="1:17">
      <c r="A373" s="20">
        <v>743</v>
      </c>
      <c r="B373" s="29">
        <v>56.607947368773665</v>
      </c>
      <c r="C373" s="7">
        <f t="shared" si="11"/>
        <v>56.381733787150843</v>
      </c>
      <c r="D373" s="3">
        <f t="shared" si="12"/>
        <v>5.1172584510625306E-2</v>
      </c>
      <c r="E373" s="3">
        <f>Ft!$B$12+Ft!$B$14*(Data!A373-Vars!$B$3)</f>
        <v>-200</v>
      </c>
      <c r="F373" s="3">
        <f>IF(($A373-Ft!B$2)&lt;0,Ft!B$3*((1-Ft!B$6)/(1+Ft!B$37*($A373-Ft!B$2)^2)+Ft!B$6*EXP(Ft!B$38*($A373-Ft!B$2)^2)),Ft!B$3*((1-Ft!B$7)/(1+Ft!B$39*($A373-Ft!B$2)^2)+Ft!B$7*EXP(Ft!B$40*($A373-Ft!B$2)^2)))</f>
        <v>19.624066349254068</v>
      </c>
      <c r="G373" s="3">
        <f>IF(($A373-Ft!C$2)&lt;0,Ft!C$3*((1-Ft!C$6)/(1+Ft!C$37*($A373-Ft!C$2)^2)+Ft!C$6*EXP(Ft!C$38*($A373-Ft!C$2)^2)),Ft!C$3*((1-Ft!C$7)/(1+Ft!C$39*($A373-Ft!C$2)^2)+Ft!C$7*EXP(Ft!C$40*($A373-Ft!C$2)^2)))</f>
        <v>54.712118002346287</v>
      </c>
      <c r="H373" s="3">
        <f>IF(($A373-Ft!D$2)&lt;0,Ft!D$3*((1-Ft!D$6)/(1+Ft!D$37*($A373-Ft!D$2)^2)+Ft!D$6*EXP(Ft!D$38*($A373-Ft!D$2)^2)),Ft!D$3*((1-Ft!D$7)/(1+Ft!D$39*($A373-Ft!D$2)^2)+Ft!D$7*EXP(Ft!D$40*($A373-Ft!D$2)^2)))</f>
        <v>6.065641304660128E-29</v>
      </c>
      <c r="I373" s="3">
        <f>IF(($A373-Ft!E$2)&lt;0,Ft!E$3*((1-Ft!E$6)/(1+Ft!E$37*($A373-Ft!E$2)^2)+Ft!E$6*EXP(Ft!E$38*($A373-Ft!E$2)^2)),Ft!E$3*((1-Ft!E$7)/(1+Ft!E$39*($A373-Ft!E$2)^2)+Ft!E$7*EXP(Ft!E$40*($A373-Ft!E$2)^2)))</f>
        <v>111.28523832332681</v>
      </c>
      <c r="J373" s="3">
        <f>IF(($A373-Ft!F$2)&lt;0,Ft!F$3*((1-Ft!F$6)/(1+Ft!F$37*($A373-Ft!F$2)^2)+Ft!F$6*EXP(Ft!F$38*($A373-Ft!F$2)^2)),Ft!F$3*((1-Ft!F$7)/(1+Ft!F$39*($A373-Ft!F$2)^2)+Ft!F$7*EXP(Ft!F$40*($A373-Ft!F$2)^2)))</f>
        <v>63.751765532214641</v>
      </c>
      <c r="K373" s="3">
        <f>IF(($A373-Ft!G$2)&lt;0,Ft!G$3*((1-Ft!G$6)/(1+Ft!G$37*($A373-Ft!G$2)^2)+Ft!G$6*EXP(Ft!G$38*($A373-Ft!G$2)^2)),Ft!G$3*((1-Ft!G$7)/(1+Ft!G$39*($A373-Ft!G$2)^2)+Ft!G$7*EXP(Ft!G$40*($A373-Ft!G$2)^2)))</f>
        <v>7.0085455800090424</v>
      </c>
      <c r="L373" s="3">
        <f>IF(($A373-Ft!H$2)&lt;0,Ft!H$3*((1-Ft!H$6)/(1+Ft!H$37*($A373-Ft!H$2)^2)+Ft!H$6*EXP(Ft!H$38*($A373-Ft!H$2)^2)),Ft!H$3*((1-Ft!H$7)/(1+Ft!H$39*($A373-Ft!H$2)^2)+Ft!H$7*EXP(Ft!H$40*($A373-Ft!H$2)^2)))</f>
        <v>0</v>
      </c>
      <c r="M373" s="3">
        <f>IF(($A373-Ft!I$2)&lt;0,Ft!I$3*((1-Ft!I$6)/(1+Ft!I$37*($A373-Ft!I$2)^2)+Ft!I$6*EXP(Ft!I$38*($A373-Ft!I$2)^2)),Ft!I$3*((1-Ft!I$7)/(1+Ft!I$39*($A373-Ft!I$2)^2)+Ft!I$7*EXP(Ft!I$40*($A373-Ft!I$2)^2)))</f>
        <v>0</v>
      </c>
      <c r="N373" s="3">
        <f>IF(($A373-Ft!J$2)&lt;0,Ft!J$3*((1-Ft!J$6)/(1+Ft!J$37*($A373-Ft!J$2)^2)+Ft!J$6*EXP(Ft!J$38*($A373-Ft!J$2)^2)),Ft!J$3*((1-Ft!J$7)/(1+Ft!J$39*($A373-Ft!J$2)^2)+Ft!J$7*EXP(Ft!J$40*($A373-Ft!J$2)^2)))</f>
        <v>0</v>
      </c>
      <c r="O373" s="3">
        <f>IF(($A373-Ft!K$2)&lt;0,Ft!K$3*((1-Ft!K$6)/(1+Ft!K$37*($A373-Ft!K$2)^2)+Ft!K$6*EXP(Ft!K$38*($A373-Ft!K$2)^2)),Ft!K$3*((1-Ft!K$7)/(1+Ft!K$39*($A373-Ft!K$2)^2)+Ft!K$7*EXP(Ft!K$40*($A373-Ft!K$2)^2)))</f>
        <v>0</v>
      </c>
      <c r="P373"/>
      <c r="Q373"/>
    </row>
    <row r="374" spans="1:17">
      <c r="A374" s="20">
        <v>745</v>
      </c>
      <c r="B374" s="29">
        <v>56.589801023124764</v>
      </c>
      <c r="C374" s="7">
        <f t="shared" si="11"/>
        <v>56.326890775639505</v>
      </c>
      <c r="D374" s="3">
        <f t="shared" si="12"/>
        <v>6.9121798232759976E-2</v>
      </c>
      <c r="E374" s="3">
        <f>Ft!$B$12+Ft!$B$14*(Data!A374-Vars!$B$3)</f>
        <v>-200</v>
      </c>
      <c r="F374" s="3">
        <f>IF(($A374-Ft!B$2)&lt;0,Ft!B$3*((1-Ft!B$6)/(1+Ft!B$37*($A374-Ft!B$2)^2)+Ft!B$6*EXP(Ft!B$38*($A374-Ft!B$2)^2)),Ft!B$3*((1-Ft!B$7)/(1+Ft!B$39*($A374-Ft!B$2)^2)+Ft!B$7*EXP(Ft!B$40*($A374-Ft!B$2)^2)))</f>
        <v>19.444025450276317</v>
      </c>
      <c r="G374" s="3">
        <f>IF(($A374-Ft!C$2)&lt;0,Ft!C$3*((1-Ft!C$6)/(1+Ft!C$37*($A374-Ft!C$2)^2)+Ft!C$6*EXP(Ft!C$38*($A374-Ft!C$2)^2)),Ft!C$3*((1-Ft!C$7)/(1+Ft!C$39*($A374-Ft!C$2)^2)+Ft!C$7*EXP(Ft!C$40*($A374-Ft!C$2)^2)))</f>
        <v>54.750360246173635</v>
      </c>
      <c r="H374" s="3">
        <f>IF(($A374-Ft!D$2)&lt;0,Ft!D$3*((1-Ft!D$6)/(1+Ft!D$37*($A374-Ft!D$2)^2)+Ft!D$6*EXP(Ft!D$38*($A374-Ft!D$2)^2)),Ft!D$3*((1-Ft!D$7)/(1+Ft!D$39*($A374-Ft!D$2)^2)+Ft!D$7*EXP(Ft!D$40*($A374-Ft!D$2)^2)))</f>
        <v>2.5838266978923249E-29</v>
      </c>
      <c r="I374" s="3">
        <f>IF(($A374-Ft!E$2)&lt;0,Ft!E$3*((1-Ft!E$6)/(1+Ft!E$37*($A374-Ft!E$2)^2)+Ft!E$6*EXP(Ft!E$38*($A374-Ft!E$2)^2)),Ft!E$3*((1-Ft!E$7)/(1+Ft!E$39*($A374-Ft!E$2)^2)+Ft!E$7*EXP(Ft!E$40*($A374-Ft!E$2)^2)))</f>
        <v>111.2073678129515</v>
      </c>
      <c r="J374" s="3">
        <f>IF(($A374-Ft!F$2)&lt;0,Ft!F$3*((1-Ft!F$6)/(1+Ft!F$37*($A374-Ft!F$2)^2)+Ft!F$6*EXP(Ft!F$38*($A374-Ft!F$2)^2)),Ft!F$3*((1-Ft!F$7)/(1+Ft!F$39*($A374-Ft!F$2)^2)+Ft!F$7*EXP(Ft!F$40*($A374-Ft!F$2)^2)))</f>
        <v>64.056437506840183</v>
      </c>
      <c r="K374" s="3">
        <f>IF(($A374-Ft!G$2)&lt;0,Ft!G$3*((1-Ft!G$6)/(1+Ft!G$37*($A374-Ft!G$2)^2)+Ft!G$6*EXP(Ft!G$38*($A374-Ft!G$2)^2)),Ft!G$3*((1-Ft!G$7)/(1+Ft!G$39*($A374-Ft!G$2)^2)+Ft!G$7*EXP(Ft!G$40*($A374-Ft!G$2)^2)))</f>
        <v>6.8686997593978614</v>
      </c>
      <c r="L374" s="3">
        <f>IF(($A374-Ft!H$2)&lt;0,Ft!H$3*((1-Ft!H$6)/(1+Ft!H$37*($A374-Ft!H$2)^2)+Ft!H$6*EXP(Ft!H$38*($A374-Ft!H$2)^2)),Ft!H$3*((1-Ft!H$7)/(1+Ft!H$39*($A374-Ft!H$2)^2)+Ft!H$7*EXP(Ft!H$40*($A374-Ft!H$2)^2)))</f>
        <v>0</v>
      </c>
      <c r="M374" s="3">
        <f>IF(($A374-Ft!I$2)&lt;0,Ft!I$3*((1-Ft!I$6)/(1+Ft!I$37*($A374-Ft!I$2)^2)+Ft!I$6*EXP(Ft!I$38*($A374-Ft!I$2)^2)),Ft!I$3*((1-Ft!I$7)/(1+Ft!I$39*($A374-Ft!I$2)^2)+Ft!I$7*EXP(Ft!I$40*($A374-Ft!I$2)^2)))</f>
        <v>0</v>
      </c>
      <c r="N374" s="3">
        <f>IF(($A374-Ft!J$2)&lt;0,Ft!J$3*((1-Ft!J$6)/(1+Ft!J$37*($A374-Ft!J$2)^2)+Ft!J$6*EXP(Ft!J$38*($A374-Ft!J$2)^2)),Ft!J$3*((1-Ft!J$7)/(1+Ft!J$39*($A374-Ft!J$2)^2)+Ft!J$7*EXP(Ft!J$40*($A374-Ft!J$2)^2)))</f>
        <v>0</v>
      </c>
      <c r="O374" s="3">
        <f>IF(($A374-Ft!K$2)&lt;0,Ft!K$3*((1-Ft!K$6)/(1+Ft!K$37*($A374-Ft!K$2)^2)+Ft!K$6*EXP(Ft!K$38*($A374-Ft!K$2)^2)),Ft!K$3*((1-Ft!K$7)/(1+Ft!K$39*($A374-Ft!K$2)^2)+Ft!K$7*EXP(Ft!K$40*($A374-Ft!K$2)^2)))</f>
        <v>0</v>
      </c>
      <c r="P374"/>
      <c r="Q374"/>
    </row>
    <row r="375" spans="1:17">
      <c r="A375" s="20">
        <v>747</v>
      </c>
      <c r="B375" s="29">
        <v>56.568158043946482</v>
      </c>
      <c r="C375" s="7">
        <f t="shared" si="11"/>
        <v>56.269185786497303</v>
      </c>
      <c r="D375" s="3">
        <f t="shared" si="12"/>
        <v>8.9384410724258359E-2</v>
      </c>
      <c r="E375" s="3">
        <f>Ft!$B$12+Ft!$B$14*(Data!A375-Vars!$B$3)</f>
        <v>-200</v>
      </c>
      <c r="F375" s="3">
        <f>IF(($A375-Ft!B$2)&lt;0,Ft!B$3*((1-Ft!B$6)/(1+Ft!B$37*($A375-Ft!B$2)^2)+Ft!B$6*EXP(Ft!B$38*($A375-Ft!B$2)^2)),Ft!B$3*((1-Ft!B$7)/(1+Ft!B$39*($A375-Ft!B$2)^2)+Ft!B$7*EXP(Ft!B$40*($A375-Ft!B$2)^2)))</f>
        <v>19.265268620859619</v>
      </c>
      <c r="G375" s="3">
        <f>IF(($A375-Ft!C$2)&lt;0,Ft!C$3*((1-Ft!C$6)/(1+Ft!C$37*($A375-Ft!C$2)^2)+Ft!C$6*EXP(Ft!C$38*($A375-Ft!C$2)^2)),Ft!C$3*((1-Ft!C$7)/(1+Ft!C$39*($A375-Ft!C$2)^2)+Ft!C$7*EXP(Ft!C$40*($A375-Ft!C$2)^2)))</f>
        <v>54.788145122487286</v>
      </c>
      <c r="H375" s="3">
        <f>IF(($A375-Ft!D$2)&lt;0,Ft!D$3*((1-Ft!D$6)/(1+Ft!D$37*($A375-Ft!D$2)^2)+Ft!D$6*EXP(Ft!D$38*($A375-Ft!D$2)^2)),Ft!D$3*((1-Ft!D$7)/(1+Ft!D$39*($A375-Ft!D$2)^2)+Ft!D$7*EXP(Ft!D$40*($A375-Ft!D$2)^2)))</f>
        <v>1.094596676879129E-29</v>
      </c>
      <c r="I375" s="3">
        <f>IF(($A375-Ft!E$2)&lt;0,Ft!E$3*((1-Ft!E$6)/(1+Ft!E$37*($A375-Ft!E$2)^2)+Ft!E$6*EXP(Ft!E$38*($A375-Ft!E$2)^2)),Ft!E$3*((1-Ft!E$7)/(1+Ft!E$39*($A375-Ft!E$2)^2)+Ft!E$7*EXP(Ft!E$40*($A375-Ft!E$2)^2)))</f>
        <v>111.12310853133188</v>
      </c>
      <c r="J375" s="3">
        <f>IF(($A375-Ft!F$2)&lt;0,Ft!F$3*((1-Ft!F$6)/(1+Ft!F$37*($A375-Ft!F$2)^2)+Ft!F$6*EXP(Ft!F$38*($A375-Ft!F$2)^2)),Ft!F$3*((1-Ft!F$7)/(1+Ft!F$39*($A375-Ft!F$2)^2)+Ft!F$7*EXP(Ft!F$40*($A375-Ft!F$2)^2)))</f>
        <v>64.36171784274292</v>
      </c>
      <c r="K375" s="3">
        <f>IF(($A375-Ft!G$2)&lt;0,Ft!G$3*((1-Ft!G$6)/(1+Ft!G$37*($A375-Ft!G$2)^2)+Ft!G$6*EXP(Ft!G$38*($A375-Ft!G$2)^2)),Ft!G$3*((1-Ft!G$7)/(1+Ft!G$39*($A375-Ft!G$2)^2)+Ft!G$7*EXP(Ft!G$40*($A375-Ft!G$2)^2)))</f>
        <v>6.7309456690755951</v>
      </c>
      <c r="L375" s="3">
        <f>IF(($A375-Ft!H$2)&lt;0,Ft!H$3*((1-Ft!H$6)/(1+Ft!H$37*($A375-Ft!H$2)^2)+Ft!H$6*EXP(Ft!H$38*($A375-Ft!H$2)^2)),Ft!H$3*((1-Ft!H$7)/(1+Ft!H$39*($A375-Ft!H$2)^2)+Ft!H$7*EXP(Ft!H$40*($A375-Ft!H$2)^2)))</f>
        <v>0</v>
      </c>
      <c r="M375" s="3">
        <f>IF(($A375-Ft!I$2)&lt;0,Ft!I$3*((1-Ft!I$6)/(1+Ft!I$37*($A375-Ft!I$2)^2)+Ft!I$6*EXP(Ft!I$38*($A375-Ft!I$2)^2)),Ft!I$3*((1-Ft!I$7)/(1+Ft!I$39*($A375-Ft!I$2)^2)+Ft!I$7*EXP(Ft!I$40*($A375-Ft!I$2)^2)))</f>
        <v>0</v>
      </c>
      <c r="N375" s="3">
        <f>IF(($A375-Ft!J$2)&lt;0,Ft!J$3*((1-Ft!J$6)/(1+Ft!J$37*($A375-Ft!J$2)^2)+Ft!J$6*EXP(Ft!J$38*($A375-Ft!J$2)^2)),Ft!J$3*((1-Ft!J$7)/(1+Ft!J$39*($A375-Ft!J$2)^2)+Ft!J$7*EXP(Ft!J$40*($A375-Ft!J$2)^2)))</f>
        <v>0</v>
      </c>
      <c r="O375" s="3">
        <f>IF(($A375-Ft!K$2)&lt;0,Ft!K$3*((1-Ft!K$6)/(1+Ft!K$37*($A375-Ft!K$2)^2)+Ft!K$6*EXP(Ft!K$38*($A375-Ft!K$2)^2)),Ft!K$3*((1-Ft!K$7)/(1+Ft!K$39*($A375-Ft!K$2)^2)+Ft!K$7*EXP(Ft!K$40*($A375-Ft!K$2)^2)))</f>
        <v>0</v>
      </c>
      <c r="P375"/>
      <c r="Q375"/>
    </row>
    <row r="376" spans="1:17">
      <c r="A376" s="20">
        <v>749</v>
      </c>
      <c r="B376" s="29">
        <v>56.542607939932708</v>
      </c>
      <c r="C376" s="7">
        <f t="shared" si="11"/>
        <v>56.208608628750248</v>
      </c>
      <c r="D376" s="3">
        <f t="shared" si="12"/>
        <v>0.11155553987035757</v>
      </c>
      <c r="E376" s="3">
        <f>Ft!$B$12+Ft!$B$14*(Data!A376-Vars!$B$3)</f>
        <v>-200</v>
      </c>
      <c r="F376" s="3">
        <f>IF(($A376-Ft!B$2)&lt;0,Ft!B$3*((1-Ft!B$6)/(1+Ft!B$37*($A376-Ft!B$2)^2)+Ft!B$6*EXP(Ft!B$38*($A376-Ft!B$2)^2)),Ft!B$3*((1-Ft!B$7)/(1+Ft!B$39*($A376-Ft!B$2)^2)+Ft!B$7*EXP(Ft!B$40*($A376-Ft!B$2)^2)))</f>
        <v>19.087790848370744</v>
      </c>
      <c r="G376" s="3">
        <f>IF(($A376-Ft!C$2)&lt;0,Ft!C$3*((1-Ft!C$6)/(1+Ft!C$37*($A376-Ft!C$2)^2)+Ft!C$6*EXP(Ft!C$38*($A376-Ft!C$2)^2)),Ft!C$3*((1-Ft!C$7)/(1+Ft!C$39*($A376-Ft!C$2)^2)+Ft!C$7*EXP(Ft!C$40*($A376-Ft!C$2)^2)))</f>
        <v>54.825471647699437</v>
      </c>
      <c r="H376" s="3">
        <f>IF(($A376-Ft!D$2)&lt;0,Ft!D$3*((1-Ft!D$6)/(1+Ft!D$37*($A376-Ft!D$2)^2)+Ft!D$6*EXP(Ft!D$38*($A376-Ft!D$2)^2)),Ft!D$3*((1-Ft!D$7)/(1+Ft!D$39*($A376-Ft!D$2)^2)+Ft!D$7*EXP(Ft!D$40*($A376-Ft!D$2)^2)))</f>
        <v>4.6115716044233943E-30</v>
      </c>
      <c r="I376" s="3">
        <f>IF(($A376-Ft!E$2)&lt;0,Ft!E$3*((1-Ft!E$6)/(1+Ft!E$37*($A376-Ft!E$2)^2)+Ft!E$6*EXP(Ft!E$38*($A376-Ft!E$2)^2)),Ft!E$3*((1-Ft!E$7)/(1+Ft!E$39*($A376-Ft!E$2)^2)+Ft!E$7*EXP(Ft!E$40*($A376-Ft!E$2)^2)))</f>
        <v>111.03247508605145</v>
      </c>
      <c r="J376" s="3">
        <f>IF(($A376-Ft!F$2)&lt;0,Ft!F$3*((1-Ft!F$6)/(1+Ft!F$37*($A376-Ft!F$2)^2)+Ft!F$6*EXP(Ft!F$38*($A376-Ft!F$2)^2)),Ft!F$3*((1-Ft!F$7)/(1+Ft!F$39*($A376-Ft!F$2)^2)+Ft!F$7*EXP(Ft!F$40*($A376-Ft!F$2)^2)))</f>
        <v>64.667601378797954</v>
      </c>
      <c r="K376" s="3">
        <f>IF(($A376-Ft!G$2)&lt;0,Ft!G$3*((1-Ft!G$6)/(1+Ft!G$37*($A376-Ft!G$2)^2)+Ft!G$6*EXP(Ft!G$38*($A376-Ft!G$2)^2)),Ft!G$3*((1-Ft!G$7)/(1+Ft!G$39*($A376-Ft!G$2)^2)+Ft!G$7*EXP(Ft!G$40*($A376-Ft!G$2)^2)))</f>
        <v>6.5952696678306859</v>
      </c>
      <c r="L376" s="3">
        <f>IF(($A376-Ft!H$2)&lt;0,Ft!H$3*((1-Ft!H$6)/(1+Ft!H$37*($A376-Ft!H$2)^2)+Ft!H$6*EXP(Ft!H$38*($A376-Ft!H$2)^2)),Ft!H$3*((1-Ft!H$7)/(1+Ft!H$39*($A376-Ft!H$2)^2)+Ft!H$7*EXP(Ft!H$40*($A376-Ft!H$2)^2)))</f>
        <v>0</v>
      </c>
      <c r="M376" s="3">
        <f>IF(($A376-Ft!I$2)&lt;0,Ft!I$3*((1-Ft!I$6)/(1+Ft!I$37*($A376-Ft!I$2)^2)+Ft!I$6*EXP(Ft!I$38*($A376-Ft!I$2)^2)),Ft!I$3*((1-Ft!I$7)/(1+Ft!I$39*($A376-Ft!I$2)^2)+Ft!I$7*EXP(Ft!I$40*($A376-Ft!I$2)^2)))</f>
        <v>0</v>
      </c>
      <c r="N376" s="3">
        <f>IF(($A376-Ft!J$2)&lt;0,Ft!J$3*((1-Ft!J$6)/(1+Ft!J$37*($A376-Ft!J$2)^2)+Ft!J$6*EXP(Ft!J$38*($A376-Ft!J$2)^2)),Ft!J$3*((1-Ft!J$7)/(1+Ft!J$39*($A376-Ft!J$2)^2)+Ft!J$7*EXP(Ft!J$40*($A376-Ft!J$2)^2)))</f>
        <v>0</v>
      </c>
      <c r="O376" s="3">
        <f>IF(($A376-Ft!K$2)&lt;0,Ft!K$3*((1-Ft!K$6)/(1+Ft!K$37*($A376-Ft!K$2)^2)+Ft!K$6*EXP(Ft!K$38*($A376-Ft!K$2)^2)),Ft!K$3*((1-Ft!K$7)/(1+Ft!K$39*($A376-Ft!K$2)^2)+Ft!K$7*EXP(Ft!K$40*($A376-Ft!K$2)^2)))</f>
        <v>0</v>
      </c>
      <c r="P376"/>
      <c r="Q376"/>
    </row>
    <row r="377" spans="1:17">
      <c r="A377" s="20">
        <v>751</v>
      </c>
      <c r="B377" s="29">
        <v>56.512736714772856</v>
      </c>
      <c r="C377" s="7">
        <f t="shared" si="11"/>
        <v>56.145149778188568</v>
      </c>
      <c r="D377" s="3">
        <f t="shared" si="12"/>
        <v>0.13512015594742177</v>
      </c>
      <c r="E377" s="3">
        <f>Ft!$B$12+Ft!$B$14*(Data!A377-Vars!$B$3)</f>
        <v>-200</v>
      </c>
      <c r="F377" s="3">
        <f>IF(($A377-Ft!B$2)&lt;0,Ft!B$3*((1-Ft!B$6)/(1+Ft!B$37*($A377-Ft!B$2)^2)+Ft!B$6*EXP(Ft!B$38*($A377-Ft!B$2)^2)),Ft!B$3*((1-Ft!B$7)/(1+Ft!B$39*($A377-Ft!B$2)^2)+Ft!B$7*EXP(Ft!B$40*($A377-Ft!B$2)^2)))</f>
        <v>18.911587093406087</v>
      </c>
      <c r="G377" s="3">
        <f>IF(($A377-Ft!C$2)&lt;0,Ft!C$3*((1-Ft!C$6)/(1+Ft!C$37*($A377-Ft!C$2)^2)+Ft!C$6*EXP(Ft!C$38*($A377-Ft!C$2)^2)),Ft!C$3*((1-Ft!C$7)/(1+Ft!C$39*($A377-Ft!C$2)^2)+Ft!C$7*EXP(Ft!C$40*($A377-Ft!C$2)^2)))</f>
        <v>54.862338849701622</v>
      </c>
      <c r="H377" s="3">
        <f>IF(($A377-Ft!D$2)&lt;0,Ft!D$3*((1-Ft!D$6)/(1+Ft!D$37*($A377-Ft!D$2)^2)+Ft!D$6*EXP(Ft!D$38*($A377-Ft!D$2)^2)),Ft!D$3*((1-Ft!D$7)/(1+Ft!D$39*($A377-Ft!D$2)^2)+Ft!D$7*EXP(Ft!D$40*($A377-Ft!D$2)^2)))</f>
        <v>1.9321812994905565E-30</v>
      </c>
      <c r="I377" s="3">
        <f>IF(($A377-Ft!E$2)&lt;0,Ft!E$3*((1-Ft!E$6)/(1+Ft!E$37*($A377-Ft!E$2)^2)+Ft!E$6*EXP(Ft!E$38*($A377-Ft!E$2)^2)),Ft!E$3*((1-Ft!E$7)/(1+Ft!E$39*($A377-Ft!E$2)^2)+Ft!E$7*EXP(Ft!E$40*($A377-Ft!E$2)^2)))</f>
        <v>110.93548318147796</v>
      </c>
      <c r="J377" s="3">
        <f>IF(($A377-Ft!F$2)&lt;0,Ft!F$3*((1-Ft!F$6)/(1+Ft!F$37*($A377-Ft!F$2)^2)+Ft!F$6*EXP(Ft!F$38*($A377-Ft!F$2)^2)),Ft!F$3*((1-Ft!F$7)/(1+Ft!F$39*($A377-Ft!F$2)^2)+Ft!F$7*EXP(Ft!F$40*($A377-Ft!F$2)^2)))</f>
        <v>64.974082905427991</v>
      </c>
      <c r="K377" s="3">
        <f>IF(($A377-Ft!G$2)&lt;0,Ft!G$3*((1-Ft!G$6)/(1+Ft!G$37*($A377-Ft!G$2)^2)+Ft!G$6*EXP(Ft!G$38*($A377-Ft!G$2)^2)),Ft!G$3*((1-Ft!G$7)/(1+Ft!G$39*($A377-Ft!G$2)^2)+Ft!G$7*EXP(Ft!G$40*($A377-Ft!G$2)^2)))</f>
        <v>6.4616577481748987</v>
      </c>
      <c r="L377" s="3">
        <f>IF(($A377-Ft!H$2)&lt;0,Ft!H$3*((1-Ft!H$6)/(1+Ft!H$37*($A377-Ft!H$2)^2)+Ft!H$6*EXP(Ft!H$38*($A377-Ft!H$2)^2)),Ft!H$3*((1-Ft!H$7)/(1+Ft!H$39*($A377-Ft!H$2)^2)+Ft!H$7*EXP(Ft!H$40*($A377-Ft!H$2)^2)))</f>
        <v>0</v>
      </c>
      <c r="M377" s="3">
        <f>IF(($A377-Ft!I$2)&lt;0,Ft!I$3*((1-Ft!I$6)/(1+Ft!I$37*($A377-Ft!I$2)^2)+Ft!I$6*EXP(Ft!I$38*($A377-Ft!I$2)^2)),Ft!I$3*((1-Ft!I$7)/(1+Ft!I$39*($A377-Ft!I$2)^2)+Ft!I$7*EXP(Ft!I$40*($A377-Ft!I$2)^2)))</f>
        <v>0</v>
      </c>
      <c r="N377" s="3">
        <f>IF(($A377-Ft!J$2)&lt;0,Ft!J$3*((1-Ft!J$6)/(1+Ft!J$37*($A377-Ft!J$2)^2)+Ft!J$6*EXP(Ft!J$38*($A377-Ft!J$2)^2)),Ft!J$3*((1-Ft!J$7)/(1+Ft!J$39*($A377-Ft!J$2)^2)+Ft!J$7*EXP(Ft!J$40*($A377-Ft!J$2)^2)))</f>
        <v>0</v>
      </c>
      <c r="O377" s="3">
        <f>IF(($A377-Ft!K$2)&lt;0,Ft!K$3*((1-Ft!K$6)/(1+Ft!K$37*($A377-Ft!K$2)^2)+Ft!K$6*EXP(Ft!K$38*($A377-Ft!K$2)^2)),Ft!K$3*((1-Ft!K$7)/(1+Ft!K$39*($A377-Ft!K$2)^2)+Ft!K$7*EXP(Ft!K$40*($A377-Ft!K$2)^2)))</f>
        <v>0</v>
      </c>
      <c r="P377"/>
      <c r="Q377"/>
    </row>
    <row r="378" spans="1:17">
      <c r="A378" s="20">
        <v>753</v>
      </c>
      <c r="B378" s="29">
        <v>56.478133028943859</v>
      </c>
      <c r="C378" s="7">
        <f t="shared" si="11"/>
        <v>56.078800386687405</v>
      </c>
      <c r="D378" s="3">
        <f t="shared" si="12"/>
        <v>0.15946655917152075</v>
      </c>
      <c r="E378" s="3">
        <f>Ft!$B$12+Ft!$B$14*(Data!A378-Vars!$B$3)</f>
        <v>-200</v>
      </c>
      <c r="F378" s="3">
        <f>IF(($A378-Ft!B$2)&lt;0,Ft!B$3*((1-Ft!B$6)/(1+Ft!B$37*($A378-Ft!B$2)^2)+Ft!B$6*EXP(Ft!B$38*($A378-Ft!B$2)^2)),Ft!B$3*((1-Ft!B$7)/(1+Ft!B$39*($A378-Ft!B$2)^2)+Ft!B$7*EXP(Ft!B$40*($A378-Ft!B$2)^2)))</f>
        <v>18.736652290421191</v>
      </c>
      <c r="G378" s="3">
        <f>IF(($A378-Ft!C$2)&lt;0,Ft!C$3*((1-Ft!C$6)/(1+Ft!C$37*($A378-Ft!C$2)^2)+Ft!C$6*EXP(Ft!C$38*($A378-Ft!C$2)^2)),Ft!C$3*((1-Ft!C$7)/(1+Ft!C$39*($A378-Ft!C$2)^2)+Ft!C$7*EXP(Ft!C$40*($A378-Ft!C$2)^2)))</f>
        <v>54.898745767906838</v>
      </c>
      <c r="H378" s="3">
        <f>IF(($A378-Ft!D$2)&lt;0,Ft!D$3*((1-Ft!D$6)/(1+Ft!D$37*($A378-Ft!D$2)^2)+Ft!D$6*EXP(Ft!D$38*($A378-Ft!D$2)^2)),Ft!D$3*((1-Ft!D$7)/(1+Ft!D$39*($A378-Ft!D$2)^2)+Ft!D$7*EXP(Ft!D$40*($A378-Ft!D$2)^2)))</f>
        <v>8.0510195219316499E-31</v>
      </c>
      <c r="I378" s="3">
        <f>IF(($A378-Ft!E$2)&lt;0,Ft!E$3*((1-Ft!E$6)/(1+Ft!E$37*($A378-Ft!E$2)^2)+Ft!E$6*EXP(Ft!E$38*($A378-Ft!E$2)^2)),Ft!E$3*((1-Ft!E$7)/(1+Ft!E$39*($A378-Ft!E$2)^2)+Ft!E$7*EXP(Ft!E$40*($A378-Ft!E$2)^2)))</f>
        <v>110.83214961422844</v>
      </c>
      <c r="J378" s="3">
        <f>IF(($A378-Ft!F$2)&lt;0,Ft!F$3*((1-Ft!F$6)/(1+Ft!F$37*($A378-Ft!F$2)^2)+Ft!F$6*EXP(Ft!F$38*($A378-Ft!F$2)^2)),Ft!F$3*((1-Ft!F$7)/(1+Ft!F$39*($A378-Ft!F$2)^2)+Ft!F$7*EXP(Ft!F$40*($A378-Ft!F$2)^2)))</f>
        <v>65.281157164648221</v>
      </c>
      <c r="K378" s="3">
        <f>IF(($A378-Ft!G$2)&lt;0,Ft!G$3*((1-Ft!G$6)/(1+Ft!G$37*($A378-Ft!G$2)^2)+Ft!G$6*EXP(Ft!G$38*($A378-Ft!G$2)^2)),Ft!G$3*((1-Ft!G$7)/(1+Ft!G$39*($A378-Ft!G$2)^2)+Ft!G$7*EXP(Ft!G$40*($A378-Ft!G$2)^2)))</f>
        <v>6.3300955494827056</v>
      </c>
      <c r="L378" s="3">
        <f>IF(($A378-Ft!H$2)&lt;0,Ft!H$3*((1-Ft!H$6)/(1+Ft!H$37*($A378-Ft!H$2)^2)+Ft!H$6*EXP(Ft!H$38*($A378-Ft!H$2)^2)),Ft!H$3*((1-Ft!H$7)/(1+Ft!H$39*($A378-Ft!H$2)^2)+Ft!H$7*EXP(Ft!H$40*($A378-Ft!H$2)^2)))</f>
        <v>0</v>
      </c>
      <c r="M378" s="3">
        <f>IF(($A378-Ft!I$2)&lt;0,Ft!I$3*((1-Ft!I$6)/(1+Ft!I$37*($A378-Ft!I$2)^2)+Ft!I$6*EXP(Ft!I$38*($A378-Ft!I$2)^2)),Ft!I$3*((1-Ft!I$7)/(1+Ft!I$39*($A378-Ft!I$2)^2)+Ft!I$7*EXP(Ft!I$40*($A378-Ft!I$2)^2)))</f>
        <v>0</v>
      </c>
      <c r="N378" s="3">
        <f>IF(($A378-Ft!J$2)&lt;0,Ft!J$3*((1-Ft!J$6)/(1+Ft!J$37*($A378-Ft!J$2)^2)+Ft!J$6*EXP(Ft!J$38*($A378-Ft!J$2)^2)),Ft!J$3*((1-Ft!J$7)/(1+Ft!J$39*($A378-Ft!J$2)^2)+Ft!J$7*EXP(Ft!J$40*($A378-Ft!J$2)^2)))</f>
        <v>0</v>
      </c>
      <c r="O378" s="3">
        <f>IF(($A378-Ft!K$2)&lt;0,Ft!K$3*((1-Ft!K$6)/(1+Ft!K$37*($A378-Ft!K$2)^2)+Ft!K$6*EXP(Ft!K$38*($A378-Ft!K$2)^2)),Ft!K$3*((1-Ft!K$7)/(1+Ft!K$39*($A378-Ft!K$2)^2)+Ft!K$7*EXP(Ft!K$40*($A378-Ft!K$2)^2)))</f>
        <v>0</v>
      </c>
      <c r="P378"/>
      <c r="Q378"/>
    </row>
    <row r="379" spans="1:17">
      <c r="A379" s="20">
        <v>755</v>
      </c>
      <c r="B379" s="29">
        <v>56.438394592702309</v>
      </c>
      <c r="C379" s="7">
        <f t="shared" si="11"/>
        <v>56.009552291130632</v>
      </c>
      <c r="D379" s="3">
        <f t="shared" si="12"/>
        <v>0.18390571961729346</v>
      </c>
      <c r="E379" s="3">
        <f>Ft!$B$12+Ft!$B$14*(Data!A379-Vars!$B$3)</f>
        <v>-200</v>
      </c>
      <c r="F379" s="3">
        <f>IF(($A379-Ft!B$2)&lt;0,Ft!B$3*((1-Ft!B$6)/(1+Ft!B$37*($A379-Ft!B$2)^2)+Ft!B$6*EXP(Ft!B$38*($A379-Ft!B$2)^2)),Ft!B$3*((1-Ft!B$7)/(1+Ft!B$39*($A379-Ft!B$2)^2)+Ft!B$7*EXP(Ft!B$40*($A379-Ft!B$2)^2)))</f>
        <v>18.562981348357003</v>
      </c>
      <c r="G379" s="3">
        <f>IF(($A379-Ft!C$2)&lt;0,Ft!C$3*((1-Ft!C$6)/(1+Ft!C$37*($A379-Ft!C$2)^2)+Ft!C$6*EXP(Ft!C$38*($A379-Ft!C$2)^2)),Ft!C$3*((1-Ft!C$7)/(1+Ft!C$39*($A379-Ft!C$2)^2)+Ft!C$7*EXP(Ft!C$40*($A379-Ft!C$2)^2)))</f>
        <v>54.9346914532913</v>
      </c>
      <c r="H379" s="3">
        <f>IF(($A379-Ft!D$2)&lt;0,Ft!D$3*((1-Ft!D$6)/(1+Ft!D$37*($A379-Ft!D$2)^2)+Ft!D$6*EXP(Ft!D$38*($A379-Ft!D$2)^2)),Ft!D$3*((1-Ft!D$7)/(1+Ft!D$39*($A379-Ft!D$2)^2)+Ft!D$7*EXP(Ft!D$40*($A379-Ft!D$2)^2)))</f>
        <v>3.3362452771852969E-31</v>
      </c>
      <c r="I379" s="3">
        <f>IF(($A379-Ft!E$2)&lt;0,Ft!E$3*((1-Ft!E$6)/(1+Ft!E$37*($A379-Ft!E$2)^2)+Ft!E$6*EXP(Ft!E$38*($A379-Ft!E$2)^2)),Ft!E$3*((1-Ft!E$7)/(1+Ft!E$39*($A379-Ft!E$2)^2)+Ft!E$7*EXP(Ft!E$40*($A379-Ft!E$2)^2)))</f>
        <v>110.7224922683213</v>
      </c>
      <c r="J379" s="3">
        <f>IF(($A379-Ft!F$2)&lt;0,Ft!F$3*((1-Ft!F$6)/(1+Ft!F$37*($A379-Ft!F$2)^2)+Ft!F$6*EXP(Ft!F$38*($A379-Ft!F$2)^2)),Ft!F$3*((1-Ft!F$7)/(1+Ft!F$39*($A379-Ft!F$2)^2)+Ft!F$7*EXP(Ft!F$40*($A379-Ft!F$2)^2)))</f>
        <v>65.588818850114492</v>
      </c>
      <c r="K379" s="3">
        <f>IF(($A379-Ft!G$2)&lt;0,Ft!G$3*((1-Ft!G$6)/(1+Ft!G$37*($A379-Ft!G$2)^2)+Ft!G$6*EXP(Ft!G$38*($A379-Ft!G$2)^2)),Ft!G$3*((1-Ft!G$7)/(1+Ft!G$39*($A379-Ft!G$2)^2)+Ft!G$7*EXP(Ft!G$40*($A379-Ft!G$2)^2)))</f>
        <v>6.2005683710465433</v>
      </c>
      <c r="L379" s="3">
        <f>IF(($A379-Ft!H$2)&lt;0,Ft!H$3*((1-Ft!H$6)/(1+Ft!H$37*($A379-Ft!H$2)^2)+Ft!H$6*EXP(Ft!H$38*($A379-Ft!H$2)^2)),Ft!H$3*((1-Ft!H$7)/(1+Ft!H$39*($A379-Ft!H$2)^2)+Ft!H$7*EXP(Ft!H$40*($A379-Ft!H$2)^2)))</f>
        <v>0</v>
      </c>
      <c r="M379" s="3">
        <f>IF(($A379-Ft!I$2)&lt;0,Ft!I$3*((1-Ft!I$6)/(1+Ft!I$37*($A379-Ft!I$2)^2)+Ft!I$6*EXP(Ft!I$38*($A379-Ft!I$2)^2)),Ft!I$3*((1-Ft!I$7)/(1+Ft!I$39*($A379-Ft!I$2)^2)+Ft!I$7*EXP(Ft!I$40*($A379-Ft!I$2)^2)))</f>
        <v>0</v>
      </c>
      <c r="N379" s="3">
        <f>IF(($A379-Ft!J$2)&lt;0,Ft!J$3*((1-Ft!J$6)/(1+Ft!J$37*($A379-Ft!J$2)^2)+Ft!J$6*EXP(Ft!J$38*($A379-Ft!J$2)^2)),Ft!J$3*((1-Ft!J$7)/(1+Ft!J$39*($A379-Ft!J$2)^2)+Ft!J$7*EXP(Ft!J$40*($A379-Ft!J$2)^2)))</f>
        <v>0</v>
      </c>
      <c r="O379" s="3">
        <f>IF(($A379-Ft!K$2)&lt;0,Ft!K$3*((1-Ft!K$6)/(1+Ft!K$37*($A379-Ft!K$2)^2)+Ft!K$6*EXP(Ft!K$38*($A379-Ft!K$2)^2)),Ft!K$3*((1-Ft!K$7)/(1+Ft!K$39*($A379-Ft!K$2)^2)+Ft!K$7*EXP(Ft!K$40*($A379-Ft!K$2)^2)))</f>
        <v>0</v>
      </c>
      <c r="P379"/>
      <c r="Q379"/>
    </row>
    <row r="380" spans="1:17">
      <c r="A380" s="20">
        <v>757</v>
      </c>
      <c r="B380" s="29">
        <v>56.393134654285575</v>
      </c>
      <c r="C380" s="7">
        <f t="shared" si="11"/>
        <v>55.937398021933042</v>
      </c>
      <c r="D380" s="3">
        <f t="shared" si="12"/>
        <v>0.20769587806802775</v>
      </c>
      <c r="E380" s="3">
        <f>Ft!$B$12+Ft!$B$14*(Data!A380-Vars!$B$3)</f>
        <v>-200</v>
      </c>
      <c r="F380" s="3">
        <f>IF(($A380-Ft!B$2)&lt;0,Ft!B$3*((1-Ft!B$6)/(1+Ft!B$37*($A380-Ft!B$2)^2)+Ft!B$6*EXP(Ft!B$38*($A380-Ft!B$2)^2)),Ft!B$3*((1-Ft!B$7)/(1+Ft!B$39*($A380-Ft!B$2)^2)+Ft!B$7*EXP(Ft!B$40*($A380-Ft!B$2)^2)))</f>
        <v>18.39056915126282</v>
      </c>
      <c r="G380" s="3">
        <f>IF(($A380-Ft!C$2)&lt;0,Ft!C$3*((1-Ft!C$6)/(1+Ft!C$37*($A380-Ft!C$2)^2)+Ft!C$6*EXP(Ft!C$38*($A380-Ft!C$2)^2)),Ft!C$3*((1-Ft!C$7)/(1+Ft!C$39*($A380-Ft!C$2)^2)+Ft!C$7*EXP(Ft!C$40*($A380-Ft!C$2)^2)))</f>
        <v>54.970174968435671</v>
      </c>
      <c r="H380" s="3">
        <f>IF(($A380-Ft!D$2)&lt;0,Ft!D$3*((1-Ft!D$6)/(1+Ft!D$37*($A380-Ft!D$2)^2)+Ft!D$6*EXP(Ft!D$38*($A380-Ft!D$2)^2)),Ft!D$3*((1-Ft!D$7)/(1+Ft!D$39*($A380-Ft!D$2)^2)+Ft!D$7*EXP(Ft!D$40*($A380-Ft!D$2)^2)))</f>
        <v>1.3748937931531457E-31</v>
      </c>
      <c r="I380" s="3">
        <f>IF(($A380-Ft!E$2)&lt;0,Ft!E$3*((1-Ft!E$6)/(1+Ft!E$37*($A380-Ft!E$2)^2)+Ft!E$6*EXP(Ft!E$38*($A380-Ft!E$2)^2)),Ft!E$3*((1-Ft!E$7)/(1+Ft!E$39*($A380-Ft!E$2)^2)+Ft!E$7*EXP(Ft!E$40*($A380-Ft!E$2)^2)))</f>
        <v>110.60653011001787</v>
      </c>
      <c r="J380" s="3">
        <f>IF(($A380-Ft!F$2)&lt;0,Ft!F$3*((1-Ft!F$6)/(1+Ft!F$37*($A380-Ft!F$2)^2)+Ft!F$6*EXP(Ft!F$38*($A380-Ft!F$2)^2)),Ft!F$3*((1-Ft!F$7)/(1+Ft!F$39*($A380-Ft!F$2)^2)+Ft!F$7*EXP(Ft!F$40*($A380-Ft!F$2)^2)))</f>
        <v>65.897062607175044</v>
      </c>
      <c r="K380" s="3">
        <f>IF(($A380-Ft!G$2)&lt;0,Ft!G$3*((1-Ft!G$6)/(1+Ft!G$37*($A380-Ft!G$2)^2)+Ft!G$6*EXP(Ft!G$38*($A380-Ft!G$2)^2)),Ft!G$3*((1-Ft!G$7)/(1+Ft!G$39*($A380-Ft!G$2)^2)+Ft!G$7*EXP(Ft!G$40*($A380-Ft!G$2)^2)))</f>
        <v>6.0730611850416452</v>
      </c>
      <c r="L380" s="3">
        <f>IF(($A380-Ft!H$2)&lt;0,Ft!H$3*((1-Ft!H$6)/(1+Ft!H$37*($A380-Ft!H$2)^2)+Ft!H$6*EXP(Ft!H$38*($A380-Ft!H$2)^2)),Ft!H$3*((1-Ft!H$7)/(1+Ft!H$39*($A380-Ft!H$2)^2)+Ft!H$7*EXP(Ft!H$40*($A380-Ft!H$2)^2)))</f>
        <v>0</v>
      </c>
      <c r="M380" s="3">
        <f>IF(($A380-Ft!I$2)&lt;0,Ft!I$3*((1-Ft!I$6)/(1+Ft!I$37*($A380-Ft!I$2)^2)+Ft!I$6*EXP(Ft!I$38*($A380-Ft!I$2)^2)),Ft!I$3*((1-Ft!I$7)/(1+Ft!I$39*($A380-Ft!I$2)^2)+Ft!I$7*EXP(Ft!I$40*($A380-Ft!I$2)^2)))</f>
        <v>0</v>
      </c>
      <c r="N380" s="3">
        <f>IF(($A380-Ft!J$2)&lt;0,Ft!J$3*((1-Ft!J$6)/(1+Ft!J$37*($A380-Ft!J$2)^2)+Ft!J$6*EXP(Ft!J$38*($A380-Ft!J$2)^2)),Ft!J$3*((1-Ft!J$7)/(1+Ft!J$39*($A380-Ft!J$2)^2)+Ft!J$7*EXP(Ft!J$40*($A380-Ft!J$2)^2)))</f>
        <v>0</v>
      </c>
      <c r="O380" s="3">
        <f>IF(($A380-Ft!K$2)&lt;0,Ft!K$3*((1-Ft!K$6)/(1+Ft!K$37*($A380-Ft!K$2)^2)+Ft!K$6*EXP(Ft!K$38*($A380-Ft!K$2)^2)),Ft!K$3*((1-Ft!K$7)/(1+Ft!K$39*($A380-Ft!K$2)^2)+Ft!K$7*EXP(Ft!K$40*($A380-Ft!K$2)^2)))</f>
        <v>0</v>
      </c>
      <c r="P380"/>
      <c r="Q380"/>
    </row>
    <row r="381" spans="1:17">
      <c r="A381" s="20">
        <v>759</v>
      </c>
      <c r="B381" s="29">
        <v>56.34198843922556</v>
      </c>
      <c r="C381" s="7">
        <f t="shared" si="11"/>
        <v>55.862330811156397</v>
      </c>
      <c r="D381" s="3">
        <f t="shared" si="12"/>
        <v>0.23007144016493497</v>
      </c>
      <c r="E381" s="3">
        <f>Ft!$B$12+Ft!$B$14*(Data!A381-Vars!$B$3)</f>
        <v>-200</v>
      </c>
      <c r="F381" s="3">
        <f>IF(($A381-Ft!B$2)&lt;0,Ft!B$3*((1-Ft!B$6)/(1+Ft!B$37*($A381-Ft!B$2)^2)+Ft!B$6*EXP(Ft!B$38*($A381-Ft!B$2)^2)),Ft!B$3*((1-Ft!B$7)/(1+Ft!B$39*($A381-Ft!B$2)^2)+Ft!B$7*EXP(Ft!B$40*($A381-Ft!B$2)^2)))</f>
        <v>18.219410558915719</v>
      </c>
      <c r="G381" s="3">
        <f>IF(($A381-Ft!C$2)&lt;0,Ft!C$3*((1-Ft!C$6)/(1+Ft!C$37*($A381-Ft!C$2)^2)+Ft!C$6*EXP(Ft!C$38*($A381-Ft!C$2)^2)),Ft!C$3*((1-Ft!C$7)/(1+Ft!C$39*($A381-Ft!C$2)^2)+Ft!C$7*EXP(Ft!C$40*($A381-Ft!C$2)^2)))</f>
        <v>55.005195387565763</v>
      </c>
      <c r="H381" s="3">
        <f>IF(($A381-Ft!D$2)&lt;0,Ft!D$3*((1-Ft!D$6)/(1+Ft!D$37*($A381-Ft!D$2)^2)+Ft!D$6*EXP(Ft!D$38*($A381-Ft!D$2)^2)),Ft!D$3*((1-Ft!D$7)/(1+Ft!D$39*($A381-Ft!D$2)^2)+Ft!D$7*EXP(Ft!D$40*($A381-Ft!D$2)^2)))</f>
        <v>5.6348767052240528E-32</v>
      </c>
      <c r="I381" s="3">
        <f>IF(($A381-Ft!E$2)&lt;0,Ft!E$3*((1-Ft!E$6)/(1+Ft!E$37*($A381-Ft!E$2)^2)+Ft!E$6*EXP(Ft!E$38*($A381-Ft!E$2)^2)),Ft!E$3*((1-Ft!E$7)/(1+Ft!E$39*($A381-Ft!E$2)^2)+Ft!E$7*EXP(Ft!E$40*($A381-Ft!E$2)^2)))</f>
        <v>110.48428318235516</v>
      </c>
      <c r="J381" s="3">
        <f>IF(($A381-Ft!F$2)&lt;0,Ft!F$3*((1-Ft!F$6)/(1+Ft!F$37*($A381-Ft!F$2)^2)+Ft!F$6*EXP(Ft!F$38*($A381-Ft!F$2)^2)),Ft!F$3*((1-Ft!F$7)/(1+Ft!F$39*($A381-Ft!F$2)^2)+Ft!F$7*EXP(Ft!F$40*($A381-Ft!F$2)^2)))</f>
        <v>66.205883032925513</v>
      </c>
      <c r="K381" s="3">
        <f>IF(($A381-Ft!G$2)&lt;0,Ft!G$3*((1-Ft!G$6)/(1+Ft!G$37*($A381-Ft!G$2)^2)+Ft!G$6*EXP(Ft!G$38*($A381-Ft!G$2)^2)),Ft!G$3*((1-Ft!G$7)/(1+Ft!G$39*($A381-Ft!G$2)^2)+Ft!G$7*EXP(Ft!G$40*($A381-Ft!G$2)^2)))</f>
        <v>5.9475586493942547</v>
      </c>
      <c r="L381" s="3">
        <f>IF(($A381-Ft!H$2)&lt;0,Ft!H$3*((1-Ft!H$6)/(1+Ft!H$37*($A381-Ft!H$2)^2)+Ft!H$6*EXP(Ft!H$38*($A381-Ft!H$2)^2)),Ft!H$3*((1-Ft!H$7)/(1+Ft!H$39*($A381-Ft!H$2)^2)+Ft!H$7*EXP(Ft!H$40*($A381-Ft!H$2)^2)))</f>
        <v>0</v>
      </c>
      <c r="M381" s="3">
        <f>IF(($A381-Ft!I$2)&lt;0,Ft!I$3*((1-Ft!I$6)/(1+Ft!I$37*($A381-Ft!I$2)^2)+Ft!I$6*EXP(Ft!I$38*($A381-Ft!I$2)^2)),Ft!I$3*((1-Ft!I$7)/(1+Ft!I$39*($A381-Ft!I$2)^2)+Ft!I$7*EXP(Ft!I$40*($A381-Ft!I$2)^2)))</f>
        <v>0</v>
      </c>
      <c r="N381" s="3">
        <f>IF(($A381-Ft!J$2)&lt;0,Ft!J$3*((1-Ft!J$6)/(1+Ft!J$37*($A381-Ft!J$2)^2)+Ft!J$6*EXP(Ft!J$38*($A381-Ft!J$2)^2)),Ft!J$3*((1-Ft!J$7)/(1+Ft!J$39*($A381-Ft!J$2)^2)+Ft!J$7*EXP(Ft!J$40*($A381-Ft!J$2)^2)))</f>
        <v>0</v>
      </c>
      <c r="O381" s="3">
        <f>IF(($A381-Ft!K$2)&lt;0,Ft!K$3*((1-Ft!K$6)/(1+Ft!K$37*($A381-Ft!K$2)^2)+Ft!K$6*EXP(Ft!K$38*($A381-Ft!K$2)^2)),Ft!K$3*((1-Ft!K$7)/(1+Ft!K$39*($A381-Ft!K$2)^2)+Ft!K$7*EXP(Ft!K$40*($A381-Ft!K$2)^2)))</f>
        <v>0</v>
      </c>
      <c r="P381"/>
      <c r="Q381"/>
    </row>
    <row r="382" spans="1:17">
      <c r="A382" s="20">
        <v>761</v>
      </c>
      <c r="B382" s="29">
        <v>56.284619392631242</v>
      </c>
      <c r="C382" s="7">
        <f t="shared" si="11"/>
        <v>55.784344600216635</v>
      </c>
      <c r="D382" s="3">
        <f t="shared" si="12"/>
        <v>0.25027486792547893</v>
      </c>
      <c r="E382" s="3">
        <f>Ft!$B$12+Ft!$B$14*(Data!A382-Vars!$B$3)</f>
        <v>-200</v>
      </c>
      <c r="F382" s="3">
        <f>IF(($A382-Ft!B$2)&lt;0,Ft!B$3*((1-Ft!B$6)/(1+Ft!B$37*($A382-Ft!B$2)^2)+Ft!B$6*EXP(Ft!B$38*($A382-Ft!B$2)^2)),Ft!B$3*((1-Ft!B$7)/(1+Ft!B$39*($A382-Ft!B$2)^2)+Ft!B$7*EXP(Ft!B$40*($A382-Ft!B$2)^2)))</f>
        <v>18.049500407436646</v>
      </c>
      <c r="G382" s="3">
        <f>IF(($A382-Ft!C$2)&lt;0,Ft!C$3*((1-Ft!C$6)/(1+Ft!C$37*($A382-Ft!C$2)^2)+Ft!C$6*EXP(Ft!C$38*($A382-Ft!C$2)^2)),Ft!C$3*((1-Ft!C$7)/(1+Ft!C$39*($A382-Ft!C$2)^2)+Ft!C$7*EXP(Ft!C$40*($A382-Ft!C$2)^2)))</f>
        <v>55.039751796592832</v>
      </c>
      <c r="H382" s="3">
        <f>IF(($A382-Ft!D$2)&lt;0,Ft!D$3*((1-Ft!D$6)/(1+Ft!D$37*($A382-Ft!D$2)^2)+Ft!D$6*EXP(Ft!D$38*($A382-Ft!D$2)^2)),Ft!D$3*((1-Ft!D$7)/(1+Ft!D$39*($A382-Ft!D$2)^2)+Ft!D$7*EXP(Ft!D$40*($A382-Ft!D$2)^2)))</f>
        <v>2.2966973610076703E-32</v>
      </c>
      <c r="I382" s="3">
        <f>IF(($A382-Ft!E$2)&lt;0,Ft!E$3*((1-Ft!E$6)/(1+Ft!E$37*($A382-Ft!E$2)^2)+Ft!E$6*EXP(Ft!E$38*($A382-Ft!E$2)^2)),Ft!E$3*((1-Ft!E$7)/(1+Ft!E$39*($A382-Ft!E$2)^2)+Ft!E$7*EXP(Ft!E$40*($A382-Ft!E$2)^2)))</f>
        <v>110.35577259937239</v>
      </c>
      <c r="J382" s="3">
        <f>IF(($A382-Ft!F$2)&lt;0,Ft!F$3*((1-Ft!F$6)/(1+Ft!F$37*($A382-Ft!F$2)^2)+Ft!F$6*EXP(Ft!F$38*($A382-Ft!F$2)^2)),Ft!F$3*((1-Ft!F$7)/(1+Ft!F$39*($A382-Ft!F$2)^2)+Ft!F$7*EXP(Ft!F$40*($A382-Ft!F$2)^2)))</f>
        <v>66.515274676267467</v>
      </c>
      <c r="K382" s="3">
        <f>IF(($A382-Ft!G$2)&lt;0,Ft!G$3*((1-Ft!G$6)/(1+Ft!G$37*($A382-Ft!G$2)^2)+Ft!G$6*EXP(Ft!G$38*($A382-Ft!G$2)^2)),Ft!G$3*((1-Ft!G$7)/(1+Ft!G$39*($A382-Ft!G$2)^2)+Ft!G$7*EXP(Ft!G$40*($A382-Ft!G$2)^2)))</f>
        <v>5.8240451205472912</v>
      </c>
      <c r="L382" s="3">
        <f>IF(($A382-Ft!H$2)&lt;0,Ft!H$3*((1-Ft!H$6)/(1+Ft!H$37*($A382-Ft!H$2)^2)+Ft!H$6*EXP(Ft!H$38*($A382-Ft!H$2)^2)),Ft!H$3*((1-Ft!H$7)/(1+Ft!H$39*($A382-Ft!H$2)^2)+Ft!H$7*EXP(Ft!H$40*($A382-Ft!H$2)^2)))</f>
        <v>0</v>
      </c>
      <c r="M382" s="3">
        <f>IF(($A382-Ft!I$2)&lt;0,Ft!I$3*((1-Ft!I$6)/(1+Ft!I$37*($A382-Ft!I$2)^2)+Ft!I$6*EXP(Ft!I$38*($A382-Ft!I$2)^2)),Ft!I$3*((1-Ft!I$7)/(1+Ft!I$39*($A382-Ft!I$2)^2)+Ft!I$7*EXP(Ft!I$40*($A382-Ft!I$2)^2)))</f>
        <v>0</v>
      </c>
      <c r="N382" s="3">
        <f>IF(($A382-Ft!J$2)&lt;0,Ft!J$3*((1-Ft!J$6)/(1+Ft!J$37*($A382-Ft!J$2)^2)+Ft!J$6*EXP(Ft!J$38*($A382-Ft!J$2)^2)),Ft!J$3*((1-Ft!J$7)/(1+Ft!J$39*($A382-Ft!J$2)^2)+Ft!J$7*EXP(Ft!J$40*($A382-Ft!J$2)^2)))</f>
        <v>0</v>
      </c>
      <c r="O382" s="3">
        <f>IF(($A382-Ft!K$2)&lt;0,Ft!K$3*((1-Ft!K$6)/(1+Ft!K$37*($A382-Ft!K$2)^2)+Ft!K$6*EXP(Ft!K$38*($A382-Ft!K$2)^2)),Ft!K$3*((1-Ft!K$7)/(1+Ft!K$39*($A382-Ft!K$2)^2)+Ft!K$7*EXP(Ft!K$40*($A382-Ft!K$2)^2)))</f>
        <v>0</v>
      </c>
      <c r="P382"/>
      <c r="Q382"/>
    </row>
    <row r="383" spans="1:17">
      <c r="A383" s="20">
        <v>763</v>
      </c>
      <c r="B383" s="29">
        <v>56.220725076590199</v>
      </c>
      <c r="C383" s="7">
        <f t="shared" si="11"/>
        <v>55.703434047177765</v>
      </c>
      <c r="D383" s="3">
        <f t="shared" si="12"/>
        <v>0.26759000911057518</v>
      </c>
      <c r="E383" s="3">
        <f>Ft!$B$12+Ft!$B$14*(Data!A383-Vars!$B$3)</f>
        <v>-200</v>
      </c>
      <c r="F383" s="3">
        <f>IF(($A383-Ft!B$2)&lt;0,Ft!B$3*((1-Ft!B$6)/(1+Ft!B$37*($A383-Ft!B$2)^2)+Ft!B$6*EXP(Ft!B$38*($A383-Ft!B$2)^2)),Ft!B$3*((1-Ft!B$7)/(1+Ft!B$39*($A383-Ft!B$2)^2)+Ft!B$7*EXP(Ft!B$40*($A383-Ft!B$2)^2)))</f>
        <v>17.880833509902963</v>
      </c>
      <c r="G383" s="3">
        <f>IF(($A383-Ft!C$2)&lt;0,Ft!C$3*((1-Ft!C$6)/(1+Ft!C$37*($A383-Ft!C$2)^2)+Ft!C$6*EXP(Ft!C$38*($A383-Ft!C$2)^2)),Ft!C$3*((1-Ft!C$7)/(1+Ft!C$39*($A383-Ft!C$2)^2)+Ft!C$7*EXP(Ft!C$40*($A383-Ft!C$2)^2)))</f>
        <v>55.073843293153296</v>
      </c>
      <c r="H383" s="3">
        <f>IF(($A383-Ft!D$2)&lt;0,Ft!D$3*((1-Ft!D$6)/(1+Ft!D$37*($A383-Ft!D$2)^2)+Ft!D$6*EXP(Ft!D$38*($A383-Ft!D$2)^2)),Ft!D$3*((1-Ft!D$7)/(1+Ft!D$39*($A383-Ft!D$2)^2)+Ft!D$7*EXP(Ft!D$40*($A383-Ft!D$2)^2)))</f>
        <v>9.3095183434347267E-33</v>
      </c>
      <c r="I383" s="3">
        <f>IF(($A383-Ft!E$2)&lt;0,Ft!E$3*((1-Ft!E$6)/(1+Ft!E$37*($A383-Ft!E$2)^2)+Ft!E$6*EXP(Ft!E$38*($A383-Ft!E$2)^2)),Ft!E$3*((1-Ft!E$7)/(1+Ft!E$39*($A383-Ft!E$2)^2)+Ft!E$7*EXP(Ft!E$40*($A383-Ft!E$2)^2)))</f>
        <v>110.22102054003331</v>
      </c>
      <c r="J383" s="3">
        <f>IF(($A383-Ft!F$2)&lt;0,Ft!F$3*((1-Ft!F$6)/(1+Ft!F$37*($A383-Ft!F$2)^2)+Ft!F$6*EXP(Ft!F$38*($A383-Ft!F$2)^2)),Ft!F$3*((1-Ft!F$7)/(1+Ft!F$39*($A383-Ft!F$2)^2)+Ft!F$7*EXP(Ft!F$40*($A383-Ft!F$2)^2)))</f>
        <v>66.825232037970494</v>
      </c>
      <c r="K383" s="3">
        <f>IF(($A383-Ft!G$2)&lt;0,Ft!G$3*((1-Ft!G$6)/(1+Ft!G$37*($A383-Ft!G$2)^2)+Ft!G$6*EXP(Ft!G$38*($A383-Ft!G$2)^2)),Ft!G$3*((1-Ft!G$7)/(1+Ft!G$39*($A383-Ft!G$2)^2)+Ft!G$7*EXP(Ft!G$40*($A383-Ft!G$2)^2)))</f>
        <v>5.7025046661177061</v>
      </c>
      <c r="L383" s="3">
        <f>IF(($A383-Ft!H$2)&lt;0,Ft!H$3*((1-Ft!H$6)/(1+Ft!H$37*($A383-Ft!H$2)^2)+Ft!H$6*EXP(Ft!H$38*($A383-Ft!H$2)^2)),Ft!H$3*((1-Ft!H$7)/(1+Ft!H$39*($A383-Ft!H$2)^2)+Ft!H$7*EXP(Ft!H$40*($A383-Ft!H$2)^2)))</f>
        <v>0</v>
      </c>
      <c r="M383" s="3">
        <f>IF(($A383-Ft!I$2)&lt;0,Ft!I$3*((1-Ft!I$6)/(1+Ft!I$37*($A383-Ft!I$2)^2)+Ft!I$6*EXP(Ft!I$38*($A383-Ft!I$2)^2)),Ft!I$3*((1-Ft!I$7)/(1+Ft!I$39*($A383-Ft!I$2)^2)+Ft!I$7*EXP(Ft!I$40*($A383-Ft!I$2)^2)))</f>
        <v>0</v>
      </c>
      <c r="N383" s="3">
        <f>IF(($A383-Ft!J$2)&lt;0,Ft!J$3*((1-Ft!J$6)/(1+Ft!J$37*($A383-Ft!J$2)^2)+Ft!J$6*EXP(Ft!J$38*($A383-Ft!J$2)^2)),Ft!J$3*((1-Ft!J$7)/(1+Ft!J$39*($A383-Ft!J$2)^2)+Ft!J$7*EXP(Ft!J$40*($A383-Ft!J$2)^2)))</f>
        <v>0</v>
      </c>
      <c r="O383" s="3">
        <f>IF(($A383-Ft!K$2)&lt;0,Ft!K$3*((1-Ft!K$6)/(1+Ft!K$37*($A383-Ft!K$2)^2)+Ft!K$6*EXP(Ft!K$38*($A383-Ft!K$2)^2)),Ft!K$3*((1-Ft!K$7)/(1+Ft!K$39*($A383-Ft!K$2)^2)+Ft!K$7*EXP(Ft!K$40*($A383-Ft!K$2)^2)))</f>
        <v>0</v>
      </c>
      <c r="P383"/>
      <c r="Q383"/>
    </row>
    <row r="384" spans="1:17">
      <c r="A384" s="20">
        <v>765</v>
      </c>
      <c r="B384" s="29">
        <v>56.150042579616311</v>
      </c>
      <c r="C384" s="7">
        <f t="shared" si="11"/>
        <v>55.619594533629879</v>
      </c>
      <c r="D384" s="3">
        <f t="shared" si="12"/>
        <v>0.28137512949082416</v>
      </c>
      <c r="E384" s="3">
        <f>Ft!$B$12+Ft!$B$14*(Data!A384-Vars!$B$3)</f>
        <v>-200</v>
      </c>
      <c r="F384" s="3">
        <f>IF(($A384-Ft!B$2)&lt;0,Ft!B$3*((1-Ft!B$6)/(1+Ft!B$37*($A384-Ft!B$2)^2)+Ft!B$6*EXP(Ft!B$38*($A384-Ft!B$2)^2)),Ft!B$3*((1-Ft!B$7)/(1+Ft!B$39*($A384-Ft!B$2)^2)+Ft!B$7*EXP(Ft!B$40*($A384-Ft!B$2)^2)))</f>
        <v>17.713404656957493</v>
      </c>
      <c r="G384" s="3">
        <f>IF(($A384-Ft!C$2)&lt;0,Ft!C$3*((1-Ft!C$6)/(1+Ft!C$37*($A384-Ft!C$2)^2)+Ft!C$6*EXP(Ft!C$38*($A384-Ft!C$2)^2)),Ft!C$3*((1-Ft!C$7)/(1+Ft!C$39*($A384-Ft!C$2)^2)+Ft!C$7*EXP(Ft!C$40*($A384-Ft!C$2)^2)))</f>
        <v>55.107468986648058</v>
      </c>
      <c r="H384" s="3">
        <f>IF(($A384-Ft!D$2)&lt;0,Ft!D$3*((1-Ft!D$6)/(1+Ft!D$37*($A384-Ft!D$2)^2)+Ft!D$6*EXP(Ft!D$38*($A384-Ft!D$2)^2)),Ft!D$3*((1-Ft!D$7)/(1+Ft!D$39*($A384-Ft!D$2)^2)+Ft!D$7*EXP(Ft!D$40*($A384-Ft!D$2)^2)))</f>
        <v>3.7527941220121428E-33</v>
      </c>
      <c r="I384" s="3">
        <f>IF(($A384-Ft!E$2)&lt;0,Ft!E$3*((1-Ft!E$6)/(1+Ft!E$37*($A384-Ft!E$2)^2)+Ft!E$6*EXP(Ft!E$38*($A384-Ft!E$2)^2)),Ft!E$3*((1-Ft!E$7)/(1+Ft!E$39*($A384-Ft!E$2)^2)+Ft!E$7*EXP(Ft!E$40*($A384-Ft!E$2)^2)))</f>
        <v>110.08005024184686</v>
      </c>
      <c r="J384" s="3">
        <f>IF(($A384-Ft!F$2)&lt;0,Ft!F$3*((1-Ft!F$6)/(1+Ft!F$37*($A384-Ft!F$2)^2)+Ft!F$6*EXP(Ft!F$38*($A384-Ft!F$2)^2)),Ft!F$3*((1-Ft!F$7)/(1+Ft!F$39*($A384-Ft!F$2)^2)+Ft!F$7*EXP(Ft!F$40*($A384-Ft!F$2)^2)))</f>
        <v>67.135749570737516</v>
      </c>
      <c r="K384" s="3">
        <f>IF(($A384-Ft!G$2)&lt;0,Ft!G$3*((1-Ft!G$6)/(1+Ft!G$37*($A384-Ft!G$2)^2)+Ft!G$6*EXP(Ft!G$38*($A384-Ft!G$2)^2)),Ft!G$3*((1-Ft!G$7)/(1+Ft!G$39*($A384-Ft!G$2)^2)+Ft!G$7*EXP(Ft!G$40*($A384-Ft!G$2)^2)))</f>
        <v>5.5829210774399503</v>
      </c>
      <c r="L384" s="3">
        <f>IF(($A384-Ft!H$2)&lt;0,Ft!H$3*((1-Ft!H$6)/(1+Ft!H$37*($A384-Ft!H$2)^2)+Ft!H$6*EXP(Ft!H$38*($A384-Ft!H$2)^2)),Ft!H$3*((1-Ft!H$7)/(1+Ft!H$39*($A384-Ft!H$2)^2)+Ft!H$7*EXP(Ft!H$40*($A384-Ft!H$2)^2)))</f>
        <v>0</v>
      </c>
      <c r="M384" s="3">
        <f>IF(($A384-Ft!I$2)&lt;0,Ft!I$3*((1-Ft!I$6)/(1+Ft!I$37*($A384-Ft!I$2)^2)+Ft!I$6*EXP(Ft!I$38*($A384-Ft!I$2)^2)),Ft!I$3*((1-Ft!I$7)/(1+Ft!I$39*($A384-Ft!I$2)^2)+Ft!I$7*EXP(Ft!I$40*($A384-Ft!I$2)^2)))</f>
        <v>0</v>
      </c>
      <c r="N384" s="3">
        <f>IF(($A384-Ft!J$2)&lt;0,Ft!J$3*((1-Ft!J$6)/(1+Ft!J$37*($A384-Ft!J$2)^2)+Ft!J$6*EXP(Ft!J$38*($A384-Ft!J$2)^2)),Ft!J$3*((1-Ft!J$7)/(1+Ft!J$39*($A384-Ft!J$2)^2)+Ft!J$7*EXP(Ft!J$40*($A384-Ft!J$2)^2)))</f>
        <v>0</v>
      </c>
      <c r="O384" s="3">
        <f>IF(($A384-Ft!K$2)&lt;0,Ft!K$3*((1-Ft!K$6)/(1+Ft!K$37*($A384-Ft!K$2)^2)+Ft!K$6*EXP(Ft!K$38*($A384-Ft!K$2)^2)),Ft!K$3*((1-Ft!K$7)/(1+Ft!K$39*($A384-Ft!K$2)^2)+Ft!K$7*EXP(Ft!K$40*($A384-Ft!K$2)^2)))</f>
        <v>0</v>
      </c>
      <c r="P384"/>
      <c r="Q384"/>
    </row>
    <row r="385" spans="1:17">
      <c r="A385" s="20">
        <v>767</v>
      </c>
      <c r="B385" s="29">
        <v>56.072353304292847</v>
      </c>
      <c r="C385" s="7">
        <f t="shared" si="11"/>
        <v>55.532822171148162</v>
      </c>
      <c r="D385" s="3">
        <f t="shared" si="12"/>
        <v>0.29109384363238761</v>
      </c>
      <c r="E385" s="3">
        <f>Ft!$B$12+Ft!$B$14*(Data!A385-Vars!$B$3)</f>
        <v>-200</v>
      </c>
      <c r="F385" s="3">
        <f>IF(($A385-Ft!B$2)&lt;0,Ft!B$3*((1-Ft!B$6)/(1+Ft!B$37*($A385-Ft!B$2)^2)+Ft!B$6*EXP(Ft!B$38*($A385-Ft!B$2)^2)),Ft!B$3*((1-Ft!B$7)/(1+Ft!B$39*($A385-Ft!B$2)^2)+Ft!B$7*EXP(Ft!B$40*($A385-Ft!B$2)^2)))</f>
        <v>17.547208617414043</v>
      </c>
      <c r="G385" s="3">
        <f>IF(($A385-Ft!C$2)&lt;0,Ft!C$3*((1-Ft!C$6)/(1+Ft!C$37*($A385-Ft!C$2)^2)+Ft!C$6*EXP(Ft!C$38*($A385-Ft!C$2)^2)),Ft!C$3*((1-Ft!C$7)/(1+Ft!C$39*($A385-Ft!C$2)^2)+Ft!C$7*EXP(Ft!C$40*($A385-Ft!C$2)^2)))</f>
        <v>55.140627998281218</v>
      </c>
      <c r="H385" s="3">
        <f>IF(($A385-Ft!D$2)&lt;0,Ft!D$3*((1-Ft!D$6)/(1+Ft!D$37*($A385-Ft!D$2)^2)+Ft!D$6*EXP(Ft!D$38*($A385-Ft!D$2)^2)),Ft!D$3*((1-Ft!D$7)/(1+Ft!D$39*($A385-Ft!D$2)^2)+Ft!D$7*EXP(Ft!D$40*($A385-Ft!D$2)^2)))</f>
        <v>1.5044797773466823E-33</v>
      </c>
      <c r="I385" s="3">
        <f>IF(($A385-Ft!E$2)&lt;0,Ft!E$3*((1-Ft!E$6)/(1+Ft!E$37*($A385-Ft!E$2)^2)+Ft!E$6*EXP(Ft!E$38*($A385-Ft!E$2)^2)),Ft!E$3*((1-Ft!E$7)/(1+Ft!E$39*($A385-Ft!E$2)^2)+Ft!E$7*EXP(Ft!E$40*($A385-Ft!E$2)^2)))</f>
        <v>109.93288599418884</v>
      </c>
      <c r="J385" s="3">
        <f>IF(($A385-Ft!F$2)&lt;0,Ft!F$3*((1-Ft!F$6)/(1+Ft!F$37*($A385-Ft!F$2)^2)+Ft!F$6*EXP(Ft!F$38*($A385-Ft!F$2)^2)),Ft!F$3*((1-Ft!F$7)/(1+Ft!F$39*($A385-Ft!F$2)^2)+Ft!F$7*EXP(Ft!F$40*($A385-Ft!F$2)^2)))</f>
        <v>67.446821679273839</v>
      </c>
      <c r="K385" s="3">
        <f>IF(($A385-Ft!G$2)&lt;0,Ft!G$3*((1-Ft!G$6)/(1+Ft!G$37*($A385-Ft!G$2)^2)+Ft!G$6*EXP(Ft!G$38*($A385-Ft!G$2)^2)),Ft!G$3*((1-Ft!G$7)/(1+Ft!G$39*($A385-Ft!G$2)^2)+Ft!G$7*EXP(Ft!G$40*($A385-Ft!G$2)^2)))</f>
        <v>5.4652778819902226</v>
      </c>
      <c r="L385" s="3">
        <f>IF(($A385-Ft!H$2)&lt;0,Ft!H$3*((1-Ft!H$6)/(1+Ft!H$37*($A385-Ft!H$2)^2)+Ft!H$6*EXP(Ft!H$38*($A385-Ft!H$2)^2)),Ft!H$3*((1-Ft!H$7)/(1+Ft!H$39*($A385-Ft!H$2)^2)+Ft!H$7*EXP(Ft!H$40*($A385-Ft!H$2)^2)))</f>
        <v>0</v>
      </c>
      <c r="M385" s="3">
        <f>IF(($A385-Ft!I$2)&lt;0,Ft!I$3*((1-Ft!I$6)/(1+Ft!I$37*($A385-Ft!I$2)^2)+Ft!I$6*EXP(Ft!I$38*($A385-Ft!I$2)^2)),Ft!I$3*((1-Ft!I$7)/(1+Ft!I$39*($A385-Ft!I$2)^2)+Ft!I$7*EXP(Ft!I$40*($A385-Ft!I$2)^2)))</f>
        <v>0</v>
      </c>
      <c r="N385" s="3">
        <f>IF(($A385-Ft!J$2)&lt;0,Ft!J$3*((1-Ft!J$6)/(1+Ft!J$37*($A385-Ft!J$2)^2)+Ft!J$6*EXP(Ft!J$38*($A385-Ft!J$2)^2)),Ft!J$3*((1-Ft!J$7)/(1+Ft!J$39*($A385-Ft!J$2)^2)+Ft!J$7*EXP(Ft!J$40*($A385-Ft!J$2)^2)))</f>
        <v>0</v>
      </c>
      <c r="O385" s="3">
        <f>IF(($A385-Ft!K$2)&lt;0,Ft!K$3*((1-Ft!K$6)/(1+Ft!K$37*($A385-Ft!K$2)^2)+Ft!K$6*EXP(Ft!K$38*($A385-Ft!K$2)^2)),Ft!K$3*((1-Ft!K$7)/(1+Ft!K$39*($A385-Ft!K$2)^2)+Ft!K$7*EXP(Ft!K$40*($A385-Ft!K$2)^2)))</f>
        <v>0</v>
      </c>
      <c r="P385"/>
      <c r="Q385"/>
    </row>
    <row r="386" spans="1:17">
      <c r="A386" s="20">
        <v>769</v>
      </c>
      <c r="B386" s="29">
        <v>55.987487012733567</v>
      </c>
      <c r="C386" s="7">
        <f t="shared" si="11"/>
        <v>55.443113807330491</v>
      </c>
      <c r="D386" s="3">
        <f t="shared" si="12"/>
        <v>0.29634218676081969</v>
      </c>
      <c r="E386" s="3">
        <f>Ft!$B$12+Ft!$B$14*(Data!A386-Vars!$B$3)</f>
        <v>-200</v>
      </c>
      <c r="F386" s="3">
        <f>IF(($A386-Ft!B$2)&lt;0,Ft!B$3*((1-Ft!B$6)/(1+Ft!B$37*($A386-Ft!B$2)^2)+Ft!B$6*EXP(Ft!B$38*($A386-Ft!B$2)^2)),Ft!B$3*((1-Ft!B$7)/(1+Ft!B$39*($A386-Ft!B$2)^2)+Ft!B$7*EXP(Ft!B$40*($A386-Ft!B$2)^2)))</f>
        <v>17.382240138859249</v>
      </c>
      <c r="G386" s="3">
        <f>IF(($A386-Ft!C$2)&lt;0,Ft!C$3*((1-Ft!C$6)/(1+Ft!C$37*($A386-Ft!C$2)^2)+Ft!C$6*EXP(Ft!C$38*($A386-Ft!C$2)^2)),Ft!C$3*((1-Ft!C$7)/(1+Ft!C$39*($A386-Ft!C$2)^2)+Ft!C$7*EXP(Ft!C$40*($A386-Ft!C$2)^2)))</f>
        <v>55.173319461098401</v>
      </c>
      <c r="H386" s="3">
        <f>IF(($A386-Ft!D$2)&lt;0,Ft!D$3*((1-Ft!D$6)/(1+Ft!D$37*($A386-Ft!D$2)^2)+Ft!D$6*EXP(Ft!D$38*($A386-Ft!D$2)^2)),Ft!D$3*((1-Ft!D$7)/(1+Ft!D$39*($A386-Ft!D$2)^2)+Ft!D$7*EXP(Ft!D$40*($A386-Ft!D$2)^2)))</f>
        <v>5.9982153840529802E-34</v>
      </c>
      <c r="I386" s="3">
        <f>IF(($A386-Ft!E$2)&lt;0,Ft!E$3*((1-Ft!E$6)/(1+Ft!E$37*($A386-Ft!E$2)^2)+Ft!E$6*EXP(Ft!E$38*($A386-Ft!E$2)^2)),Ft!E$3*((1-Ft!E$7)/(1+Ft!E$39*($A386-Ft!E$2)^2)+Ft!E$7*EXP(Ft!E$40*($A386-Ft!E$2)^2)))</f>
        <v>109.77955313132705</v>
      </c>
      <c r="J386" s="3">
        <f>IF(($A386-Ft!F$2)&lt;0,Ft!F$3*((1-Ft!F$6)/(1+Ft!F$37*($A386-Ft!F$2)^2)+Ft!F$6*EXP(Ft!F$38*($A386-Ft!F$2)^2)),Ft!F$3*((1-Ft!F$7)/(1+Ft!F$39*($A386-Ft!F$2)^2)+Ft!F$7*EXP(Ft!F$40*($A386-Ft!F$2)^2)))</f>
        <v>67.758442720359497</v>
      </c>
      <c r="K386" s="3">
        <f>IF(($A386-Ft!G$2)&lt;0,Ft!G$3*((1-Ft!G$6)/(1+Ft!G$37*($A386-Ft!G$2)^2)+Ft!G$6*EXP(Ft!G$38*($A386-Ft!G$2)^2)),Ft!G$3*((1-Ft!G$7)/(1+Ft!G$39*($A386-Ft!G$2)^2)+Ft!G$7*EXP(Ft!G$40*($A386-Ft!G$2)^2)))</f>
        <v>5.3495583556862876</v>
      </c>
      <c r="L386" s="3">
        <f>IF(($A386-Ft!H$2)&lt;0,Ft!H$3*((1-Ft!H$6)/(1+Ft!H$37*($A386-Ft!H$2)^2)+Ft!H$6*EXP(Ft!H$38*($A386-Ft!H$2)^2)),Ft!H$3*((1-Ft!H$7)/(1+Ft!H$39*($A386-Ft!H$2)^2)+Ft!H$7*EXP(Ft!H$40*($A386-Ft!H$2)^2)))</f>
        <v>0</v>
      </c>
      <c r="M386" s="3">
        <f>IF(($A386-Ft!I$2)&lt;0,Ft!I$3*((1-Ft!I$6)/(1+Ft!I$37*($A386-Ft!I$2)^2)+Ft!I$6*EXP(Ft!I$38*($A386-Ft!I$2)^2)),Ft!I$3*((1-Ft!I$7)/(1+Ft!I$39*($A386-Ft!I$2)^2)+Ft!I$7*EXP(Ft!I$40*($A386-Ft!I$2)^2)))</f>
        <v>0</v>
      </c>
      <c r="N386" s="3">
        <f>IF(($A386-Ft!J$2)&lt;0,Ft!J$3*((1-Ft!J$6)/(1+Ft!J$37*($A386-Ft!J$2)^2)+Ft!J$6*EXP(Ft!J$38*($A386-Ft!J$2)^2)),Ft!J$3*((1-Ft!J$7)/(1+Ft!J$39*($A386-Ft!J$2)^2)+Ft!J$7*EXP(Ft!J$40*($A386-Ft!J$2)^2)))</f>
        <v>0</v>
      </c>
      <c r="O386" s="3">
        <f>IF(($A386-Ft!K$2)&lt;0,Ft!K$3*((1-Ft!K$6)/(1+Ft!K$37*($A386-Ft!K$2)^2)+Ft!K$6*EXP(Ft!K$38*($A386-Ft!K$2)^2)),Ft!K$3*((1-Ft!K$7)/(1+Ft!K$39*($A386-Ft!K$2)^2)+Ft!K$7*EXP(Ft!K$40*($A386-Ft!K$2)^2)))</f>
        <v>0</v>
      </c>
      <c r="P386"/>
      <c r="Q386"/>
    </row>
    <row r="387" spans="1:17">
      <c r="A387" s="20">
        <v>771</v>
      </c>
      <c r="B387" s="29">
        <v>55.89532502684294</v>
      </c>
      <c r="C387" s="7">
        <f t="shared" ref="C387:C450" si="13">SUM(E387:K387)</f>
        <v>55.350467031411668</v>
      </c>
      <c r="D387" s="3">
        <f t="shared" si="12"/>
        <v>0.29687023518538402</v>
      </c>
      <c r="E387" s="3">
        <f>Ft!$B$12+Ft!$B$14*(Data!A387-Vars!$B$3)</f>
        <v>-200</v>
      </c>
      <c r="F387" s="3">
        <f>IF(($A387-Ft!B$2)&lt;0,Ft!B$3*((1-Ft!B$6)/(1+Ft!B$37*($A387-Ft!B$2)^2)+Ft!B$6*EXP(Ft!B$38*($A387-Ft!B$2)^2)),Ft!B$3*((1-Ft!B$7)/(1+Ft!B$39*($A387-Ft!B$2)^2)+Ft!B$7*EXP(Ft!B$40*($A387-Ft!B$2)^2)))</f>
        <v>17.218493948250927</v>
      </c>
      <c r="G387" s="3">
        <f>IF(($A387-Ft!C$2)&lt;0,Ft!C$3*((1-Ft!C$6)/(1+Ft!C$37*($A387-Ft!C$2)^2)+Ft!C$6*EXP(Ft!C$38*($A387-Ft!C$2)^2)),Ft!C$3*((1-Ft!C$7)/(1+Ft!C$39*($A387-Ft!C$2)^2)+Ft!C$7*EXP(Ft!C$40*($A387-Ft!C$2)^2)))</f>
        <v>55.205542520024487</v>
      </c>
      <c r="H387" s="3">
        <f>IF(($A387-Ft!D$2)&lt;0,Ft!D$3*((1-Ft!D$6)/(1+Ft!D$37*($A387-Ft!D$2)^2)+Ft!D$6*EXP(Ft!D$38*($A387-Ft!D$2)^2)),Ft!D$3*((1-Ft!D$7)/(1+Ft!D$39*($A387-Ft!D$2)^2)+Ft!D$7*EXP(Ft!D$40*($A387-Ft!D$2)^2)))</f>
        <v>2.3782737658931663E-34</v>
      </c>
      <c r="I387" s="3">
        <f>IF(($A387-Ft!E$2)&lt;0,Ft!E$3*((1-Ft!E$6)/(1+Ft!E$37*($A387-Ft!E$2)^2)+Ft!E$6*EXP(Ft!E$38*($A387-Ft!E$2)^2)),Ft!E$3*((1-Ft!E$7)/(1+Ft!E$39*($A387-Ft!E$2)^2)+Ft!E$7*EXP(Ft!E$40*($A387-Ft!E$2)^2)))</f>
        <v>109.62007802515309</v>
      </c>
      <c r="J387" s="3">
        <f>IF(($A387-Ft!F$2)&lt;0,Ft!F$3*((1-Ft!F$6)/(1+Ft!F$37*($A387-Ft!F$2)^2)+Ft!F$6*EXP(Ft!F$38*($A387-Ft!F$2)^2)),Ft!F$3*((1-Ft!F$7)/(1+Ft!F$39*($A387-Ft!F$2)^2)+Ft!F$7*EXP(Ft!F$40*($A387-Ft!F$2)^2)))</f>
        <v>68.070607002925215</v>
      </c>
      <c r="K387" s="3">
        <f>IF(($A387-Ft!G$2)&lt;0,Ft!G$3*((1-Ft!G$6)/(1+Ft!G$37*($A387-Ft!G$2)^2)+Ft!G$6*EXP(Ft!G$38*($A387-Ft!G$2)^2)),Ft!G$3*((1-Ft!G$7)/(1+Ft!G$39*($A387-Ft!G$2)^2)+Ft!G$7*EXP(Ft!G$40*($A387-Ft!G$2)^2)))</f>
        <v>5.2357455350579327</v>
      </c>
      <c r="L387" s="3">
        <f>IF(($A387-Ft!H$2)&lt;0,Ft!H$3*((1-Ft!H$6)/(1+Ft!H$37*($A387-Ft!H$2)^2)+Ft!H$6*EXP(Ft!H$38*($A387-Ft!H$2)^2)),Ft!H$3*((1-Ft!H$7)/(1+Ft!H$39*($A387-Ft!H$2)^2)+Ft!H$7*EXP(Ft!H$40*($A387-Ft!H$2)^2)))</f>
        <v>0</v>
      </c>
      <c r="M387" s="3">
        <f>IF(($A387-Ft!I$2)&lt;0,Ft!I$3*((1-Ft!I$6)/(1+Ft!I$37*($A387-Ft!I$2)^2)+Ft!I$6*EXP(Ft!I$38*($A387-Ft!I$2)^2)),Ft!I$3*((1-Ft!I$7)/(1+Ft!I$39*($A387-Ft!I$2)^2)+Ft!I$7*EXP(Ft!I$40*($A387-Ft!I$2)^2)))</f>
        <v>0</v>
      </c>
      <c r="N387" s="3">
        <f>IF(($A387-Ft!J$2)&lt;0,Ft!J$3*((1-Ft!J$6)/(1+Ft!J$37*($A387-Ft!J$2)^2)+Ft!J$6*EXP(Ft!J$38*($A387-Ft!J$2)^2)),Ft!J$3*((1-Ft!J$7)/(1+Ft!J$39*($A387-Ft!J$2)^2)+Ft!J$7*EXP(Ft!J$40*($A387-Ft!J$2)^2)))</f>
        <v>0</v>
      </c>
      <c r="O387" s="3">
        <f>IF(($A387-Ft!K$2)&lt;0,Ft!K$3*((1-Ft!K$6)/(1+Ft!K$37*($A387-Ft!K$2)^2)+Ft!K$6*EXP(Ft!K$38*($A387-Ft!K$2)^2)),Ft!K$3*((1-Ft!K$7)/(1+Ft!K$39*($A387-Ft!K$2)^2)+Ft!K$7*EXP(Ft!K$40*($A387-Ft!K$2)^2)))</f>
        <v>0</v>
      </c>
      <c r="P387"/>
      <c r="Q387"/>
    </row>
    <row r="388" spans="1:17">
      <c r="A388" s="20">
        <v>773</v>
      </c>
      <c r="B388" s="29">
        <v>55.795802501083827</v>
      </c>
      <c r="C388" s="7">
        <f t="shared" si="13"/>
        <v>55.254880179451774</v>
      </c>
      <c r="D388" s="3">
        <f t="shared" si="12"/>
        <v>0.29259695803980984</v>
      </c>
      <c r="E388" s="3">
        <f>Ft!$B$12+Ft!$B$14*(Data!A388-Vars!$B$3)</f>
        <v>-200</v>
      </c>
      <c r="F388" s="3">
        <f>IF(($A388-Ft!B$2)&lt;0,Ft!B$3*((1-Ft!B$6)/(1+Ft!B$37*($A388-Ft!B$2)^2)+Ft!B$6*EXP(Ft!B$38*($A388-Ft!B$2)^2)),Ft!B$3*((1-Ft!B$7)/(1+Ft!B$39*($A388-Ft!B$2)^2)+Ft!B$7*EXP(Ft!B$40*($A388-Ft!B$2)^2)))</f>
        <v>17.055964752512647</v>
      </c>
      <c r="G388" s="3">
        <f>IF(($A388-Ft!C$2)&lt;0,Ft!C$3*((1-Ft!C$6)/(1+Ft!C$37*($A388-Ft!C$2)^2)+Ft!C$6*EXP(Ft!C$38*($A388-Ft!C$2)^2)),Ft!C$3*((1-Ft!C$7)/(1+Ft!C$39*($A388-Ft!C$2)^2)+Ft!C$7*EXP(Ft!C$40*($A388-Ft!C$2)^2)))</f>
        <v>55.237296331900929</v>
      </c>
      <c r="H388" s="3">
        <f>IF(($A388-Ft!D$2)&lt;0,Ft!D$3*((1-Ft!D$6)/(1+Ft!D$37*($A388-Ft!D$2)^2)+Ft!D$6*EXP(Ft!D$38*($A388-Ft!D$2)^2)),Ft!D$3*((1-Ft!D$7)/(1+Ft!D$39*($A388-Ft!D$2)^2)+Ft!D$7*EXP(Ft!D$40*($A388-Ft!D$2)^2)))</f>
        <v>9.3779026766226378E-35</v>
      </c>
      <c r="I388" s="3">
        <f>IF(($A388-Ft!E$2)&lt;0,Ft!E$3*((1-Ft!E$6)/(1+Ft!E$37*($A388-Ft!E$2)^2)+Ft!E$6*EXP(Ft!E$38*($A388-Ft!E$2)^2)),Ft!E$3*((1-Ft!E$7)/(1+Ft!E$39*($A388-Ft!E$2)^2)+Ft!E$7*EXP(Ft!E$40*($A388-Ft!E$2)^2)))</f>
        <v>109.45448807762317</v>
      </c>
      <c r="J388" s="3">
        <f>IF(($A388-Ft!F$2)&lt;0,Ft!F$3*((1-Ft!F$6)/(1+Ft!F$37*($A388-Ft!F$2)^2)+Ft!F$6*EXP(Ft!F$38*($A388-Ft!F$2)^2)),Ft!F$3*((1-Ft!F$7)/(1+Ft!F$39*($A388-Ft!F$2)^2)+Ft!F$7*EXP(Ft!F$40*($A388-Ft!F$2)^2)))</f>
        <v>68.383308788131785</v>
      </c>
      <c r="K388" s="3">
        <f>IF(($A388-Ft!G$2)&lt;0,Ft!G$3*((1-Ft!G$6)/(1+Ft!G$37*($A388-Ft!G$2)^2)+Ft!G$6*EXP(Ft!G$38*($A388-Ft!G$2)^2)),Ft!G$3*((1-Ft!G$7)/(1+Ft!G$39*($A388-Ft!G$2)^2)+Ft!G$7*EXP(Ft!G$40*($A388-Ft!G$2)^2)))</f>
        <v>5.1238222292832623</v>
      </c>
      <c r="L388" s="3">
        <f>IF(($A388-Ft!H$2)&lt;0,Ft!H$3*((1-Ft!H$6)/(1+Ft!H$37*($A388-Ft!H$2)^2)+Ft!H$6*EXP(Ft!H$38*($A388-Ft!H$2)^2)),Ft!H$3*((1-Ft!H$7)/(1+Ft!H$39*($A388-Ft!H$2)^2)+Ft!H$7*EXP(Ft!H$40*($A388-Ft!H$2)^2)))</f>
        <v>0</v>
      </c>
      <c r="M388" s="3">
        <f>IF(($A388-Ft!I$2)&lt;0,Ft!I$3*((1-Ft!I$6)/(1+Ft!I$37*($A388-Ft!I$2)^2)+Ft!I$6*EXP(Ft!I$38*($A388-Ft!I$2)^2)),Ft!I$3*((1-Ft!I$7)/(1+Ft!I$39*($A388-Ft!I$2)^2)+Ft!I$7*EXP(Ft!I$40*($A388-Ft!I$2)^2)))</f>
        <v>0</v>
      </c>
      <c r="N388" s="3">
        <f>IF(($A388-Ft!J$2)&lt;0,Ft!J$3*((1-Ft!J$6)/(1+Ft!J$37*($A388-Ft!J$2)^2)+Ft!J$6*EXP(Ft!J$38*($A388-Ft!J$2)^2)),Ft!J$3*((1-Ft!J$7)/(1+Ft!J$39*($A388-Ft!J$2)^2)+Ft!J$7*EXP(Ft!J$40*($A388-Ft!J$2)^2)))</f>
        <v>0</v>
      </c>
      <c r="O388" s="3">
        <f>IF(($A388-Ft!K$2)&lt;0,Ft!K$3*((1-Ft!K$6)/(1+Ft!K$37*($A388-Ft!K$2)^2)+Ft!K$6*EXP(Ft!K$38*($A388-Ft!K$2)^2)),Ft!K$3*((1-Ft!K$7)/(1+Ft!K$39*($A388-Ft!K$2)^2)+Ft!K$7*EXP(Ft!K$40*($A388-Ft!K$2)^2)))</f>
        <v>0</v>
      </c>
      <c r="P388"/>
      <c r="Q388"/>
    </row>
    <row r="389" spans="1:17">
      <c r="A389" s="20">
        <v>775</v>
      </c>
      <c r="B389" s="29">
        <v>55.688909708907531</v>
      </c>
      <c r="C389" s="7">
        <f t="shared" si="13"/>
        <v>55.156352339098085</v>
      </c>
      <c r="D389" s="3">
        <f t="shared" si="12"/>
        <v>0.28361735213835493</v>
      </c>
      <c r="E389" s="3">
        <f>Ft!$B$12+Ft!$B$14*(Data!A389-Vars!$B$3)</f>
        <v>-200</v>
      </c>
      <c r="F389" s="3">
        <f>IF(($A389-Ft!B$2)&lt;0,Ft!B$3*((1-Ft!B$6)/(1+Ft!B$37*($A389-Ft!B$2)^2)+Ft!B$6*EXP(Ft!B$38*($A389-Ft!B$2)^2)),Ft!B$3*((1-Ft!B$7)/(1+Ft!B$39*($A389-Ft!B$2)^2)+Ft!B$7*EXP(Ft!B$40*($A389-Ft!B$2)^2)))</f>
        <v>16.894647239124662</v>
      </c>
      <c r="G389" s="3">
        <f>IF(($A389-Ft!C$2)&lt;0,Ft!C$3*((1-Ft!C$6)/(1+Ft!C$37*($A389-Ft!C$2)^2)+Ft!C$6*EXP(Ft!C$38*($A389-Ft!C$2)^2)),Ft!C$3*((1-Ft!C$7)/(1+Ft!C$39*($A389-Ft!C$2)^2)+Ft!C$7*EXP(Ft!C$40*($A389-Ft!C$2)^2)))</f>
        <v>55.268580065522485</v>
      </c>
      <c r="H389" s="3">
        <f>IF(($A389-Ft!D$2)&lt;0,Ft!D$3*((1-Ft!D$6)/(1+Ft!D$37*($A389-Ft!D$2)^2)+Ft!D$6*EXP(Ft!D$38*($A389-Ft!D$2)^2)),Ft!D$3*((1-Ft!D$7)/(1+Ft!D$39*($A389-Ft!D$2)^2)+Ft!D$7*EXP(Ft!D$40*($A389-Ft!D$2)^2)))</f>
        <v>3.6775084936373097E-35</v>
      </c>
      <c r="I389" s="3">
        <f>IF(($A389-Ft!E$2)&lt;0,Ft!E$3*((1-Ft!E$6)/(1+Ft!E$37*($A389-Ft!E$2)^2)+Ft!E$6*EXP(Ft!E$38*($A389-Ft!E$2)^2)),Ft!E$3*((1-Ft!E$7)/(1+Ft!E$39*($A389-Ft!E$2)^2)+Ft!E$7*EXP(Ft!E$40*($A389-Ft!E$2)^2)))</f>
        <v>109.28281171291155</v>
      </c>
      <c r="J389" s="3">
        <f>IF(($A389-Ft!F$2)&lt;0,Ft!F$3*((1-Ft!F$6)/(1+Ft!F$37*($A389-Ft!F$2)^2)+Ft!F$6*EXP(Ft!F$38*($A389-Ft!F$2)^2)),Ft!F$3*((1-Ft!F$7)/(1+Ft!F$39*($A389-Ft!F$2)^2)+Ft!F$7*EXP(Ft!F$40*($A389-Ft!F$2)^2)))</f>
        <v>68.69654228945312</v>
      </c>
      <c r="K389" s="3">
        <f>IF(($A389-Ft!G$2)&lt;0,Ft!G$3*((1-Ft!G$6)/(1+Ft!G$37*($A389-Ft!G$2)^2)+Ft!G$6*EXP(Ft!G$38*($A389-Ft!G$2)^2)),Ft!G$3*((1-Ft!G$7)/(1+Ft!G$39*($A389-Ft!G$2)^2)+Ft!G$7*EXP(Ft!G$40*($A389-Ft!G$2)^2)))</f>
        <v>5.0137710320862734</v>
      </c>
      <c r="L389" s="3">
        <f>IF(($A389-Ft!H$2)&lt;0,Ft!H$3*((1-Ft!H$6)/(1+Ft!H$37*($A389-Ft!H$2)^2)+Ft!H$6*EXP(Ft!H$38*($A389-Ft!H$2)^2)),Ft!H$3*((1-Ft!H$7)/(1+Ft!H$39*($A389-Ft!H$2)^2)+Ft!H$7*EXP(Ft!H$40*($A389-Ft!H$2)^2)))</f>
        <v>0</v>
      </c>
      <c r="M389" s="3">
        <f>IF(($A389-Ft!I$2)&lt;0,Ft!I$3*((1-Ft!I$6)/(1+Ft!I$37*($A389-Ft!I$2)^2)+Ft!I$6*EXP(Ft!I$38*($A389-Ft!I$2)^2)),Ft!I$3*((1-Ft!I$7)/(1+Ft!I$39*($A389-Ft!I$2)^2)+Ft!I$7*EXP(Ft!I$40*($A389-Ft!I$2)^2)))</f>
        <v>0</v>
      </c>
      <c r="N389" s="3">
        <f>IF(($A389-Ft!J$2)&lt;0,Ft!J$3*((1-Ft!J$6)/(1+Ft!J$37*($A389-Ft!J$2)^2)+Ft!J$6*EXP(Ft!J$38*($A389-Ft!J$2)^2)),Ft!J$3*((1-Ft!J$7)/(1+Ft!J$39*($A389-Ft!J$2)^2)+Ft!J$7*EXP(Ft!J$40*($A389-Ft!J$2)^2)))</f>
        <v>0</v>
      </c>
      <c r="O389" s="3">
        <f>IF(($A389-Ft!K$2)&lt;0,Ft!K$3*((1-Ft!K$6)/(1+Ft!K$37*($A389-Ft!K$2)^2)+Ft!K$6*EXP(Ft!K$38*($A389-Ft!K$2)^2)),Ft!K$3*((1-Ft!K$7)/(1+Ft!K$39*($A389-Ft!K$2)^2)+Ft!K$7*EXP(Ft!K$40*($A389-Ft!K$2)^2)))</f>
        <v>0</v>
      </c>
      <c r="P389"/>
      <c r="Q389"/>
    </row>
    <row r="390" spans="1:17">
      <c r="A390" s="20">
        <v>777</v>
      </c>
      <c r="B390" s="29">
        <v>55.574692309403957</v>
      </c>
      <c r="C390" s="7">
        <f t="shared" si="13"/>
        <v>55.054883353917972</v>
      </c>
      <c r="D390" s="3">
        <f t="shared" si="12"/>
        <v>0.27020135020343056</v>
      </c>
      <c r="E390" s="3">
        <f>Ft!$B$12+Ft!$B$14*(Data!A390-Vars!$B$3)</f>
        <v>-200</v>
      </c>
      <c r="F390" s="3">
        <f>IF(($A390-Ft!B$2)&lt;0,Ft!B$3*((1-Ft!B$6)/(1+Ft!B$37*($A390-Ft!B$2)^2)+Ft!B$6*EXP(Ft!B$38*($A390-Ft!B$2)^2)),Ft!B$3*((1-Ft!B$7)/(1+Ft!B$39*($A390-Ft!B$2)^2)+Ft!B$7*EXP(Ft!B$40*($A390-Ft!B$2)^2)))</f>
        <v>16.734536076711123</v>
      </c>
      <c r="G390" s="3">
        <f>IF(($A390-Ft!C$2)&lt;0,Ft!C$3*((1-Ft!C$6)/(1+Ft!C$37*($A390-Ft!C$2)^2)+Ft!C$6*EXP(Ft!C$38*($A390-Ft!C$2)^2)),Ft!C$3*((1-Ft!C$7)/(1+Ft!C$39*($A390-Ft!C$2)^2)+Ft!C$7*EXP(Ft!C$40*($A390-Ft!C$2)^2)))</f>
        <v>55.299392901673485</v>
      </c>
      <c r="H390" s="3">
        <f>IF(($A390-Ft!D$2)&lt;0,Ft!D$3*((1-Ft!D$6)/(1+Ft!D$37*($A390-Ft!D$2)^2)+Ft!D$6*EXP(Ft!D$38*($A390-Ft!D$2)^2)),Ft!D$3*((1-Ft!D$7)/(1+Ft!D$39*($A390-Ft!D$2)^2)+Ft!D$7*EXP(Ft!D$40*($A390-Ft!D$2)^2)))</f>
        <v>1.4341868450287867E-35</v>
      </c>
      <c r="I390" s="3">
        <f>IF(($A390-Ft!E$2)&lt;0,Ft!E$3*((1-Ft!E$6)/(1+Ft!E$37*($A390-Ft!E$2)^2)+Ft!E$6*EXP(Ft!E$38*($A390-Ft!E$2)^2)),Ft!E$3*((1-Ft!E$7)/(1+Ft!E$39*($A390-Ft!E$2)^2)+Ft!E$7*EXP(Ft!E$40*($A390-Ft!E$2)^2)))</f>
        <v>109.10507836927944</v>
      </c>
      <c r="J390" s="3">
        <f>IF(($A390-Ft!F$2)&lt;0,Ft!F$3*((1-Ft!F$6)/(1+Ft!F$37*($A390-Ft!F$2)^2)+Ft!F$6*EXP(Ft!F$38*($A390-Ft!F$2)^2)),Ft!F$3*((1-Ft!F$7)/(1+Ft!F$39*($A390-Ft!F$2)^2)+Ft!F$7*EXP(Ft!F$40*($A390-Ft!F$2)^2)))</f>
        <v>69.010301672762594</v>
      </c>
      <c r="K390" s="3">
        <f>IF(($A390-Ft!G$2)&lt;0,Ft!G$3*((1-Ft!G$6)/(1+Ft!G$37*($A390-Ft!G$2)^2)+Ft!G$6*EXP(Ft!G$38*($A390-Ft!G$2)^2)),Ft!G$3*((1-Ft!G$7)/(1+Ft!G$39*($A390-Ft!G$2)^2)+Ft!G$7*EXP(Ft!G$40*($A390-Ft!G$2)^2)))</f>
        <v>4.9055743334913302</v>
      </c>
      <c r="L390" s="3">
        <f>IF(($A390-Ft!H$2)&lt;0,Ft!H$3*((1-Ft!H$6)/(1+Ft!H$37*($A390-Ft!H$2)^2)+Ft!H$6*EXP(Ft!H$38*($A390-Ft!H$2)^2)),Ft!H$3*((1-Ft!H$7)/(1+Ft!H$39*($A390-Ft!H$2)^2)+Ft!H$7*EXP(Ft!H$40*($A390-Ft!H$2)^2)))</f>
        <v>0</v>
      </c>
      <c r="M390" s="3">
        <f>IF(($A390-Ft!I$2)&lt;0,Ft!I$3*((1-Ft!I$6)/(1+Ft!I$37*($A390-Ft!I$2)^2)+Ft!I$6*EXP(Ft!I$38*($A390-Ft!I$2)^2)),Ft!I$3*((1-Ft!I$7)/(1+Ft!I$39*($A390-Ft!I$2)^2)+Ft!I$7*EXP(Ft!I$40*($A390-Ft!I$2)^2)))</f>
        <v>0</v>
      </c>
      <c r="N390" s="3">
        <f>IF(($A390-Ft!J$2)&lt;0,Ft!J$3*((1-Ft!J$6)/(1+Ft!J$37*($A390-Ft!J$2)^2)+Ft!J$6*EXP(Ft!J$38*($A390-Ft!J$2)^2)),Ft!J$3*((1-Ft!J$7)/(1+Ft!J$39*($A390-Ft!J$2)^2)+Ft!J$7*EXP(Ft!J$40*($A390-Ft!J$2)^2)))</f>
        <v>0</v>
      </c>
      <c r="O390" s="3">
        <f>IF(($A390-Ft!K$2)&lt;0,Ft!K$3*((1-Ft!K$6)/(1+Ft!K$37*($A390-Ft!K$2)^2)+Ft!K$6*EXP(Ft!K$38*($A390-Ft!K$2)^2)),Ft!K$3*((1-Ft!K$7)/(1+Ft!K$39*($A390-Ft!K$2)^2)+Ft!K$7*EXP(Ft!K$40*($A390-Ft!K$2)^2)))</f>
        <v>0</v>
      </c>
      <c r="P390"/>
      <c r="Q390"/>
    </row>
    <row r="391" spans="1:17">
      <c r="A391" s="20">
        <v>779</v>
      </c>
      <c r="B391" s="29">
        <v>55.453250587250892</v>
      </c>
      <c r="C391" s="7">
        <f t="shared" si="13"/>
        <v>54.950473827303099</v>
      </c>
      <c r="D391" s="3">
        <f t="shared" si="12"/>
        <v>0.25278447034360024</v>
      </c>
      <c r="E391" s="3">
        <f>Ft!$B$12+Ft!$B$14*(Data!A391-Vars!$B$3)</f>
        <v>-200</v>
      </c>
      <c r="F391" s="3">
        <f>IF(($A391-Ft!B$2)&lt;0,Ft!B$3*((1-Ft!B$6)/(1+Ft!B$37*($A391-Ft!B$2)^2)+Ft!B$6*EXP(Ft!B$38*($A391-Ft!B$2)^2)),Ft!B$3*((1-Ft!B$7)/(1+Ft!B$39*($A391-Ft!B$2)^2)+Ft!B$7*EXP(Ft!B$40*($A391-Ft!B$2)^2)))</f>
        <v>16.575625915623487</v>
      </c>
      <c r="G391" s="3">
        <f>IF(($A391-Ft!C$2)&lt;0,Ft!C$3*((1-Ft!C$6)/(1+Ft!C$37*($A391-Ft!C$2)^2)+Ft!C$6*EXP(Ft!C$38*($A391-Ft!C$2)^2)),Ft!C$3*((1-Ft!C$7)/(1+Ft!C$39*($A391-Ft!C$2)^2)+Ft!C$7*EXP(Ft!C$40*($A391-Ft!C$2)^2)))</f>
        <v>55.329734033163597</v>
      </c>
      <c r="H391" s="3">
        <f>IF(($A391-Ft!D$2)&lt;0,Ft!D$3*((1-Ft!D$6)/(1+Ft!D$37*($A391-Ft!D$2)^2)+Ft!D$6*EXP(Ft!D$38*($A391-Ft!D$2)^2)),Ft!D$3*((1-Ft!D$7)/(1+Ft!D$39*($A391-Ft!D$2)^2)+Ft!D$7*EXP(Ft!D$40*($A391-Ft!D$2)^2)))</f>
        <v>5.5623955883264929E-36</v>
      </c>
      <c r="I391" s="3">
        <f>IF(($A391-Ft!E$2)&lt;0,Ft!E$3*((1-Ft!E$6)/(1+Ft!E$37*($A391-Ft!E$2)^2)+Ft!E$6*EXP(Ft!E$38*($A391-Ft!E$2)^2)),Ft!E$3*((1-Ft!E$7)/(1+Ft!E$39*($A391-Ft!E$2)^2)+Ft!E$7*EXP(Ft!E$40*($A391-Ft!E$2)^2)))</f>
        <v>108.92131849066251</v>
      </c>
      <c r="J391" s="3">
        <f>IF(($A391-Ft!F$2)&lt;0,Ft!F$3*((1-Ft!F$6)/(1+Ft!F$37*($A391-Ft!F$2)^2)+Ft!F$6*EXP(Ft!F$38*($A391-Ft!F$2)^2)),Ft!F$3*((1-Ft!F$7)/(1+Ft!F$39*($A391-Ft!F$2)^2)+Ft!F$7*EXP(Ft!F$40*($A391-Ft!F$2)^2)))</f>
        <v>69.32458105642317</v>
      </c>
      <c r="K391" s="3">
        <f>IF(($A391-Ft!G$2)&lt;0,Ft!G$3*((1-Ft!G$6)/(1+Ft!G$37*($A391-Ft!G$2)^2)+Ft!G$6*EXP(Ft!G$38*($A391-Ft!G$2)^2)),Ft!G$3*((1-Ft!G$7)/(1+Ft!G$39*($A391-Ft!G$2)^2)+Ft!G$7*EXP(Ft!G$40*($A391-Ft!G$2)^2)))</f>
        <v>4.7992143314303455</v>
      </c>
      <c r="L391" s="3">
        <f>IF(($A391-Ft!H$2)&lt;0,Ft!H$3*((1-Ft!H$6)/(1+Ft!H$37*($A391-Ft!H$2)^2)+Ft!H$6*EXP(Ft!H$38*($A391-Ft!H$2)^2)),Ft!H$3*((1-Ft!H$7)/(1+Ft!H$39*($A391-Ft!H$2)^2)+Ft!H$7*EXP(Ft!H$40*($A391-Ft!H$2)^2)))</f>
        <v>0</v>
      </c>
      <c r="M391" s="3">
        <f>IF(($A391-Ft!I$2)&lt;0,Ft!I$3*((1-Ft!I$6)/(1+Ft!I$37*($A391-Ft!I$2)^2)+Ft!I$6*EXP(Ft!I$38*($A391-Ft!I$2)^2)),Ft!I$3*((1-Ft!I$7)/(1+Ft!I$39*($A391-Ft!I$2)^2)+Ft!I$7*EXP(Ft!I$40*($A391-Ft!I$2)^2)))</f>
        <v>0</v>
      </c>
      <c r="N391" s="3">
        <f>IF(($A391-Ft!J$2)&lt;0,Ft!J$3*((1-Ft!J$6)/(1+Ft!J$37*($A391-Ft!J$2)^2)+Ft!J$6*EXP(Ft!J$38*($A391-Ft!J$2)^2)),Ft!J$3*((1-Ft!J$7)/(1+Ft!J$39*($A391-Ft!J$2)^2)+Ft!J$7*EXP(Ft!J$40*($A391-Ft!J$2)^2)))</f>
        <v>0</v>
      </c>
      <c r="O391" s="3">
        <f>IF(($A391-Ft!K$2)&lt;0,Ft!K$3*((1-Ft!K$6)/(1+Ft!K$37*($A391-Ft!K$2)^2)+Ft!K$6*EXP(Ft!K$38*($A391-Ft!K$2)^2)),Ft!K$3*((1-Ft!K$7)/(1+Ft!K$39*($A391-Ft!K$2)^2)+Ft!K$7*EXP(Ft!K$40*($A391-Ft!K$2)^2)))</f>
        <v>0</v>
      </c>
      <c r="P391"/>
      <c r="Q391"/>
    </row>
    <row r="392" spans="1:17">
      <c r="A392" s="20">
        <v>781</v>
      </c>
      <c r="B392" s="29">
        <v>55.324737685793579</v>
      </c>
      <c r="C392" s="7">
        <f t="shared" si="13"/>
        <v>54.843125125943693</v>
      </c>
      <c r="D392" s="3">
        <f t="shared" si="12"/>
        <v>0.23195065780515975</v>
      </c>
      <c r="E392" s="3">
        <f>Ft!$B$12+Ft!$B$14*(Data!A392-Vars!$B$3)</f>
        <v>-200</v>
      </c>
      <c r="F392" s="3">
        <f>IF(($A392-Ft!B$2)&lt;0,Ft!B$3*((1-Ft!B$6)/(1+Ft!B$37*($A392-Ft!B$2)^2)+Ft!B$6*EXP(Ft!B$38*($A392-Ft!B$2)^2)),Ft!B$3*((1-Ft!B$7)/(1+Ft!B$39*($A392-Ft!B$2)^2)+Ft!B$7*EXP(Ft!B$40*($A392-Ft!B$2)^2)))</f>
        <v>16.417911388520253</v>
      </c>
      <c r="G392" s="3">
        <f>IF(($A392-Ft!C$2)&lt;0,Ft!C$3*((1-Ft!C$6)/(1+Ft!C$37*($A392-Ft!C$2)^2)+Ft!C$6*EXP(Ft!C$38*($A392-Ft!C$2)^2)),Ft!C$3*((1-Ft!C$7)/(1+Ft!C$39*($A392-Ft!C$2)^2)+Ft!C$7*EXP(Ft!C$40*($A392-Ft!C$2)^2)))</f>
        <v>55.359602664863068</v>
      </c>
      <c r="H392" s="3">
        <f>IF(($A392-Ft!D$2)&lt;0,Ft!D$3*((1-Ft!D$6)/(1+Ft!D$37*($A392-Ft!D$2)^2)+Ft!D$6*EXP(Ft!D$38*($A392-Ft!D$2)^2)),Ft!D$3*((1-Ft!D$7)/(1+Ft!D$39*($A392-Ft!D$2)^2)+Ft!D$7*EXP(Ft!D$40*($A392-Ft!D$2)^2)))</f>
        <v>2.1454682714228234E-36</v>
      </c>
      <c r="I392" s="3">
        <f>IF(($A392-Ft!E$2)&lt;0,Ft!E$3*((1-Ft!E$6)/(1+Ft!E$37*($A392-Ft!E$2)^2)+Ft!E$6*EXP(Ft!E$38*($A392-Ft!E$2)^2)),Ft!E$3*((1-Ft!E$7)/(1+Ft!E$39*($A392-Ft!E$2)^2)+Ft!E$7*EXP(Ft!E$40*($A392-Ft!E$2)^2)))</f>
        <v>108.73156351798076</v>
      </c>
      <c r="J392" s="3">
        <f>IF(($A392-Ft!F$2)&lt;0,Ft!F$3*((1-Ft!F$6)/(1+Ft!F$37*($A392-Ft!F$2)^2)+Ft!F$6*EXP(Ft!F$38*($A392-Ft!F$2)^2)),Ft!F$3*((1-Ft!F$7)/(1+Ft!F$39*($A392-Ft!F$2)^2)+Ft!F$7*EXP(Ft!F$40*($A392-Ft!F$2)^2)))</f>
        <v>69.639374511380922</v>
      </c>
      <c r="K392" s="3">
        <f>IF(($A392-Ft!G$2)&lt;0,Ft!G$3*((1-Ft!G$6)/(1+Ft!G$37*($A392-Ft!G$2)^2)+Ft!G$6*EXP(Ft!G$38*($A392-Ft!G$2)^2)),Ft!G$3*((1-Ft!G$7)/(1+Ft!G$39*($A392-Ft!G$2)^2)+Ft!G$7*EXP(Ft!G$40*($A392-Ft!G$2)^2)))</f>
        <v>4.6946730431986827</v>
      </c>
      <c r="L392" s="3">
        <f>IF(($A392-Ft!H$2)&lt;0,Ft!H$3*((1-Ft!H$6)/(1+Ft!H$37*($A392-Ft!H$2)^2)+Ft!H$6*EXP(Ft!H$38*($A392-Ft!H$2)^2)),Ft!H$3*((1-Ft!H$7)/(1+Ft!H$39*($A392-Ft!H$2)^2)+Ft!H$7*EXP(Ft!H$40*($A392-Ft!H$2)^2)))</f>
        <v>0</v>
      </c>
      <c r="M392" s="3">
        <f>IF(($A392-Ft!I$2)&lt;0,Ft!I$3*((1-Ft!I$6)/(1+Ft!I$37*($A392-Ft!I$2)^2)+Ft!I$6*EXP(Ft!I$38*($A392-Ft!I$2)^2)),Ft!I$3*((1-Ft!I$7)/(1+Ft!I$39*($A392-Ft!I$2)^2)+Ft!I$7*EXP(Ft!I$40*($A392-Ft!I$2)^2)))</f>
        <v>0</v>
      </c>
      <c r="N392" s="3">
        <f>IF(($A392-Ft!J$2)&lt;0,Ft!J$3*((1-Ft!J$6)/(1+Ft!J$37*($A392-Ft!J$2)^2)+Ft!J$6*EXP(Ft!J$38*($A392-Ft!J$2)^2)),Ft!J$3*((1-Ft!J$7)/(1+Ft!J$39*($A392-Ft!J$2)^2)+Ft!J$7*EXP(Ft!J$40*($A392-Ft!J$2)^2)))</f>
        <v>0</v>
      </c>
      <c r="O392" s="3">
        <f>IF(($A392-Ft!K$2)&lt;0,Ft!K$3*((1-Ft!K$6)/(1+Ft!K$37*($A392-Ft!K$2)^2)+Ft!K$6*EXP(Ft!K$38*($A392-Ft!K$2)^2)),Ft!K$3*((1-Ft!K$7)/(1+Ft!K$39*($A392-Ft!K$2)^2)+Ft!K$7*EXP(Ft!K$40*($A392-Ft!K$2)^2)))</f>
        <v>0</v>
      </c>
      <c r="P392"/>
      <c r="Q392"/>
    </row>
    <row r="393" spans="1:17">
      <c r="A393" s="20">
        <v>783</v>
      </c>
      <c r="B393" s="29">
        <v>55.189356879174539</v>
      </c>
      <c r="C393" s="7">
        <f t="shared" si="13"/>
        <v>54.732839382872079</v>
      </c>
      <c r="D393" s="3">
        <f t="shared" si="12"/>
        <v>0.20840822443026685</v>
      </c>
      <c r="E393" s="3">
        <f>Ft!$B$12+Ft!$B$14*(Data!A393-Vars!$B$3)</f>
        <v>-200</v>
      </c>
      <c r="F393" s="3">
        <f>IF(($A393-Ft!B$2)&lt;0,Ft!B$3*((1-Ft!B$6)/(1+Ft!B$37*($A393-Ft!B$2)^2)+Ft!B$6*EXP(Ft!B$38*($A393-Ft!B$2)^2)),Ft!B$3*((1-Ft!B$7)/(1+Ft!B$39*($A393-Ft!B$2)^2)+Ft!B$7*EXP(Ft!B$40*($A393-Ft!B$2)^2)))</f>
        <v>16.261387110942692</v>
      </c>
      <c r="G393" s="3">
        <f>IF(($A393-Ft!C$2)&lt;0,Ft!C$3*((1-Ft!C$6)/(1+Ft!C$37*($A393-Ft!C$2)^2)+Ft!C$6*EXP(Ft!C$38*($A393-Ft!C$2)^2)),Ft!C$3*((1-Ft!C$7)/(1+Ft!C$39*($A393-Ft!C$2)^2)+Ft!C$7*EXP(Ft!C$40*($A393-Ft!C$2)^2)))</f>
        <v>55.388998013737428</v>
      </c>
      <c r="H393" s="3">
        <f>IF(($A393-Ft!D$2)&lt;0,Ft!D$3*((1-Ft!D$6)/(1+Ft!D$37*($A393-Ft!D$2)^2)+Ft!D$6*EXP(Ft!D$38*($A393-Ft!D$2)^2)),Ft!D$3*((1-Ft!D$7)/(1+Ft!D$39*($A393-Ft!D$2)^2)+Ft!D$7*EXP(Ft!D$40*($A393-Ft!D$2)^2)))</f>
        <v>8.2297455494289433E-37</v>
      </c>
      <c r="I393" s="3">
        <f>IF(($A393-Ft!E$2)&lt;0,Ft!E$3*((1-Ft!E$6)/(1+Ft!E$37*($A393-Ft!E$2)^2)+Ft!E$6*EXP(Ft!E$38*($A393-Ft!E$2)^2)),Ft!E$3*((1-Ft!E$7)/(1+Ft!E$39*($A393-Ft!E$2)^2)+Ft!E$7*EXP(Ft!E$40*($A393-Ft!E$2)^2)))</f>
        <v>108.53584588017382</v>
      </c>
      <c r="J393" s="3">
        <f>IF(($A393-Ft!F$2)&lt;0,Ft!F$3*((1-Ft!F$6)/(1+Ft!F$37*($A393-Ft!F$2)^2)+Ft!F$6*EXP(Ft!F$38*($A393-Ft!F$2)^2)),Ft!F$3*((1-Ft!F$7)/(1+Ft!F$39*($A393-Ft!F$2)^2)+Ft!F$7*EXP(Ft!F$40*($A393-Ft!F$2)^2)))</f>
        <v>69.954676061262148</v>
      </c>
      <c r="K393" s="3">
        <f>IF(($A393-Ft!G$2)&lt;0,Ft!G$3*((1-Ft!G$6)/(1+Ft!G$37*($A393-Ft!G$2)^2)+Ft!G$6*EXP(Ft!G$38*($A393-Ft!G$2)^2)),Ft!G$3*((1-Ft!G$7)/(1+Ft!G$39*($A393-Ft!G$2)^2)+Ft!G$7*EXP(Ft!G$40*($A393-Ft!G$2)^2)))</f>
        <v>4.5919323167560071</v>
      </c>
      <c r="L393" s="3">
        <f>IF(($A393-Ft!H$2)&lt;0,Ft!H$3*((1-Ft!H$6)/(1+Ft!H$37*($A393-Ft!H$2)^2)+Ft!H$6*EXP(Ft!H$38*($A393-Ft!H$2)^2)),Ft!H$3*((1-Ft!H$7)/(1+Ft!H$39*($A393-Ft!H$2)^2)+Ft!H$7*EXP(Ft!H$40*($A393-Ft!H$2)^2)))</f>
        <v>0</v>
      </c>
      <c r="M393" s="3">
        <f>IF(($A393-Ft!I$2)&lt;0,Ft!I$3*((1-Ft!I$6)/(1+Ft!I$37*($A393-Ft!I$2)^2)+Ft!I$6*EXP(Ft!I$38*($A393-Ft!I$2)^2)),Ft!I$3*((1-Ft!I$7)/(1+Ft!I$39*($A393-Ft!I$2)^2)+Ft!I$7*EXP(Ft!I$40*($A393-Ft!I$2)^2)))</f>
        <v>0</v>
      </c>
      <c r="N393" s="3">
        <f>IF(($A393-Ft!J$2)&lt;0,Ft!J$3*((1-Ft!J$6)/(1+Ft!J$37*($A393-Ft!J$2)^2)+Ft!J$6*EXP(Ft!J$38*($A393-Ft!J$2)^2)),Ft!J$3*((1-Ft!J$7)/(1+Ft!J$39*($A393-Ft!J$2)^2)+Ft!J$7*EXP(Ft!J$40*($A393-Ft!J$2)^2)))</f>
        <v>0</v>
      </c>
      <c r="O393" s="3">
        <f>IF(($A393-Ft!K$2)&lt;0,Ft!K$3*((1-Ft!K$6)/(1+Ft!K$37*($A393-Ft!K$2)^2)+Ft!K$6*EXP(Ft!K$38*($A393-Ft!K$2)^2)),Ft!K$3*((1-Ft!K$7)/(1+Ft!K$39*($A393-Ft!K$2)^2)+Ft!K$7*EXP(Ft!K$40*($A393-Ft!K$2)^2)))</f>
        <v>0</v>
      </c>
      <c r="P393"/>
      <c r="Q393"/>
    </row>
    <row r="394" spans="1:17">
      <c r="A394" s="20">
        <v>785</v>
      </c>
      <c r="B394" s="29">
        <v>55.047357953991849</v>
      </c>
      <c r="C394" s="7">
        <f t="shared" si="13"/>
        <v>54.61961950007678</v>
      </c>
      <c r="D394" s="3">
        <f t="shared" si="12"/>
        <v>0.18296018495765345</v>
      </c>
      <c r="E394" s="3">
        <f>Ft!$B$12+Ft!$B$14*(Data!A394-Vars!$B$3)</f>
        <v>-200</v>
      </c>
      <c r="F394" s="3">
        <f>IF(($A394-Ft!B$2)&lt;0,Ft!B$3*((1-Ft!B$6)/(1+Ft!B$37*($A394-Ft!B$2)^2)+Ft!B$6*EXP(Ft!B$38*($A394-Ft!B$2)^2)),Ft!B$3*((1-Ft!B$7)/(1+Ft!B$39*($A394-Ft!B$2)^2)+Ft!B$7*EXP(Ft!B$40*($A394-Ft!B$2)^2)))</f>
        <v>16.106047681886917</v>
      </c>
      <c r="G394" s="3">
        <f>IF(($A394-Ft!C$2)&lt;0,Ft!C$3*((1-Ft!C$6)/(1+Ft!C$37*($A394-Ft!C$2)^2)+Ft!C$6*EXP(Ft!C$38*($A394-Ft!C$2)^2)),Ft!C$3*((1-Ft!C$7)/(1+Ft!C$39*($A394-Ft!C$2)^2)+Ft!C$7*EXP(Ft!C$40*($A394-Ft!C$2)^2)))</f>
        <v>55.417919308881743</v>
      </c>
      <c r="H394" s="3">
        <f>IF(($A394-Ft!D$2)&lt;0,Ft!D$3*((1-Ft!D$6)/(1+Ft!D$37*($A394-Ft!D$2)^2)+Ft!D$6*EXP(Ft!D$38*($A394-Ft!D$2)^2)),Ft!D$3*((1-Ft!D$7)/(1+Ft!D$39*($A394-Ft!D$2)^2)+Ft!D$7*EXP(Ft!D$40*($A394-Ft!D$2)^2)))</f>
        <v>3.1394589314872636E-37</v>
      </c>
      <c r="I394" s="3">
        <f>IF(($A394-Ft!E$2)&lt;0,Ft!E$3*((1-Ft!E$6)/(1+Ft!E$37*($A394-Ft!E$2)^2)+Ft!E$6*EXP(Ft!E$38*($A394-Ft!E$2)^2)),Ft!E$3*((1-Ft!E$7)/(1+Ft!E$39*($A394-Ft!E$2)^2)+Ft!E$7*EXP(Ft!E$40*($A394-Ft!E$2)^2)))</f>
        <v>108.33419898496558</v>
      </c>
      <c r="J394" s="3">
        <f>IF(($A394-Ft!F$2)&lt;0,Ft!F$3*((1-Ft!F$6)/(1+Ft!F$37*($A394-Ft!F$2)^2)+Ft!F$6*EXP(Ft!F$38*($A394-Ft!F$2)^2)),Ft!F$3*((1-Ft!F$7)/(1+Ft!F$39*($A394-Ft!F$2)^2)+Ft!F$7*EXP(Ft!F$40*($A394-Ft!F$2)^2)))</f>
        <v>70.270479682474075</v>
      </c>
      <c r="K394" s="3">
        <f>IF(($A394-Ft!G$2)&lt;0,Ft!G$3*((1-Ft!G$6)/(1+Ft!G$37*($A394-Ft!G$2)^2)+Ft!G$6*EXP(Ft!G$38*($A394-Ft!G$2)^2)),Ft!G$3*((1-Ft!G$7)/(1+Ft!G$39*($A394-Ft!G$2)^2)+Ft!G$7*EXP(Ft!G$40*($A394-Ft!G$2)^2)))</f>
        <v>4.4909738418684668</v>
      </c>
      <c r="L394" s="3">
        <f>IF(($A394-Ft!H$2)&lt;0,Ft!H$3*((1-Ft!H$6)/(1+Ft!H$37*($A394-Ft!H$2)^2)+Ft!H$6*EXP(Ft!H$38*($A394-Ft!H$2)^2)),Ft!H$3*((1-Ft!H$7)/(1+Ft!H$39*($A394-Ft!H$2)^2)+Ft!H$7*EXP(Ft!H$40*($A394-Ft!H$2)^2)))</f>
        <v>0</v>
      </c>
      <c r="M394" s="3">
        <f>IF(($A394-Ft!I$2)&lt;0,Ft!I$3*((1-Ft!I$6)/(1+Ft!I$37*($A394-Ft!I$2)^2)+Ft!I$6*EXP(Ft!I$38*($A394-Ft!I$2)^2)),Ft!I$3*((1-Ft!I$7)/(1+Ft!I$39*($A394-Ft!I$2)^2)+Ft!I$7*EXP(Ft!I$40*($A394-Ft!I$2)^2)))</f>
        <v>0</v>
      </c>
      <c r="N394" s="3">
        <f>IF(($A394-Ft!J$2)&lt;0,Ft!J$3*((1-Ft!J$6)/(1+Ft!J$37*($A394-Ft!J$2)^2)+Ft!J$6*EXP(Ft!J$38*($A394-Ft!J$2)^2)),Ft!J$3*((1-Ft!J$7)/(1+Ft!J$39*($A394-Ft!J$2)^2)+Ft!J$7*EXP(Ft!J$40*($A394-Ft!J$2)^2)))</f>
        <v>0</v>
      </c>
      <c r="O394" s="3">
        <f>IF(($A394-Ft!K$2)&lt;0,Ft!K$3*((1-Ft!K$6)/(1+Ft!K$37*($A394-Ft!K$2)^2)+Ft!K$6*EXP(Ft!K$38*($A394-Ft!K$2)^2)),Ft!K$3*((1-Ft!K$7)/(1+Ft!K$39*($A394-Ft!K$2)^2)+Ft!K$7*EXP(Ft!K$40*($A394-Ft!K$2)^2)))</f>
        <v>0</v>
      </c>
      <c r="P394"/>
      <c r="Q394"/>
    </row>
    <row r="395" spans="1:17">
      <c r="A395" s="20">
        <v>787</v>
      </c>
      <c r="B395" s="29">
        <v>54.899032793182826</v>
      </c>
      <c r="C395" s="7">
        <f t="shared" si="13"/>
        <v>54.503469150685547</v>
      </c>
      <c r="D395" s="3">
        <f t="shared" si="12"/>
        <v>0.15647059526571552</v>
      </c>
      <c r="E395" s="3">
        <f>Ft!$B$12+Ft!$B$14*(Data!A395-Vars!$B$3)</f>
        <v>-200</v>
      </c>
      <c r="F395" s="3">
        <f>IF(($A395-Ft!B$2)&lt;0,Ft!B$3*((1-Ft!B$6)/(1+Ft!B$37*($A395-Ft!B$2)^2)+Ft!B$6*EXP(Ft!B$38*($A395-Ft!B$2)^2)),Ft!B$3*((1-Ft!B$7)/(1+Ft!B$39*($A395-Ft!B$2)^2)+Ft!B$7*EXP(Ft!B$40*($A395-Ft!B$2)^2)))</f>
        <v>15.951887684371957</v>
      </c>
      <c r="G395" s="3">
        <f>IF(($A395-Ft!C$2)&lt;0,Ft!C$3*((1-Ft!C$6)/(1+Ft!C$37*($A395-Ft!C$2)^2)+Ft!C$6*EXP(Ft!C$38*($A395-Ft!C$2)^2)),Ft!C$3*((1-Ft!C$7)/(1+Ft!C$39*($A395-Ft!C$2)^2)+Ft!C$7*EXP(Ft!C$40*($A395-Ft!C$2)^2)))</f>
        <v>55.446365791554236</v>
      </c>
      <c r="H395" s="3">
        <f>IF(($A395-Ft!D$2)&lt;0,Ft!D$3*((1-Ft!D$6)/(1+Ft!D$37*($A395-Ft!D$2)^2)+Ft!D$6*EXP(Ft!D$38*($A395-Ft!D$2)^2)),Ft!D$3*((1-Ft!D$7)/(1+Ft!D$39*($A395-Ft!D$2)^2)+Ft!D$7*EXP(Ft!D$40*($A395-Ft!D$2)^2)))</f>
        <v>1.1910425909334507E-37</v>
      </c>
      <c r="I395" s="3">
        <f>IF(($A395-Ft!E$2)&lt;0,Ft!E$3*((1-Ft!E$6)/(1+Ft!E$37*($A395-Ft!E$2)^2)+Ft!E$6*EXP(Ft!E$38*($A395-Ft!E$2)^2)),Ft!E$3*((1-Ft!E$7)/(1+Ft!E$39*($A395-Ft!E$2)^2)+Ft!E$7*EXP(Ft!E$40*($A395-Ft!E$2)^2)))</f>
        <v>108.12665720936148</v>
      </c>
      <c r="J395" s="3">
        <f>IF(($A395-Ft!F$2)&lt;0,Ft!F$3*((1-Ft!F$6)/(1+Ft!F$37*($A395-Ft!F$2)^2)+Ft!F$6*EXP(Ft!F$38*($A395-Ft!F$2)^2)),Ft!F$3*((1-Ft!F$7)/(1+Ft!F$39*($A395-Ft!F$2)^2)+Ft!F$7*EXP(Ft!F$40*($A395-Ft!F$2)^2)))</f>
        <v>70.586779304309076</v>
      </c>
      <c r="K395" s="3">
        <f>IF(($A395-Ft!G$2)&lt;0,Ft!G$3*((1-Ft!G$6)/(1+Ft!G$37*($A395-Ft!G$2)^2)+Ft!G$6*EXP(Ft!G$38*($A395-Ft!G$2)^2)),Ft!G$3*((1-Ft!G$7)/(1+Ft!G$39*($A395-Ft!G$2)^2)+Ft!G$7*EXP(Ft!G$40*($A395-Ft!G$2)^2)))</f>
        <v>4.39177916108879</v>
      </c>
      <c r="L395" s="3">
        <f>IF(($A395-Ft!H$2)&lt;0,Ft!H$3*((1-Ft!H$6)/(1+Ft!H$37*($A395-Ft!H$2)^2)+Ft!H$6*EXP(Ft!H$38*($A395-Ft!H$2)^2)),Ft!H$3*((1-Ft!H$7)/(1+Ft!H$39*($A395-Ft!H$2)^2)+Ft!H$7*EXP(Ft!H$40*($A395-Ft!H$2)^2)))</f>
        <v>0</v>
      </c>
      <c r="M395" s="3">
        <f>IF(($A395-Ft!I$2)&lt;0,Ft!I$3*((1-Ft!I$6)/(1+Ft!I$37*($A395-Ft!I$2)^2)+Ft!I$6*EXP(Ft!I$38*($A395-Ft!I$2)^2)),Ft!I$3*((1-Ft!I$7)/(1+Ft!I$39*($A395-Ft!I$2)^2)+Ft!I$7*EXP(Ft!I$40*($A395-Ft!I$2)^2)))</f>
        <v>0</v>
      </c>
      <c r="N395" s="3">
        <f>IF(($A395-Ft!J$2)&lt;0,Ft!J$3*((1-Ft!J$6)/(1+Ft!J$37*($A395-Ft!J$2)^2)+Ft!J$6*EXP(Ft!J$38*($A395-Ft!J$2)^2)),Ft!J$3*((1-Ft!J$7)/(1+Ft!J$39*($A395-Ft!J$2)^2)+Ft!J$7*EXP(Ft!J$40*($A395-Ft!J$2)^2)))</f>
        <v>0</v>
      </c>
      <c r="O395" s="3">
        <f>IF(($A395-Ft!K$2)&lt;0,Ft!K$3*((1-Ft!K$6)/(1+Ft!K$37*($A395-Ft!K$2)^2)+Ft!K$6*EXP(Ft!K$38*($A395-Ft!K$2)^2)),Ft!K$3*((1-Ft!K$7)/(1+Ft!K$39*($A395-Ft!K$2)^2)+Ft!K$7*EXP(Ft!K$40*($A395-Ft!K$2)^2)))</f>
        <v>0</v>
      </c>
      <c r="P395"/>
      <c r="Q395"/>
    </row>
    <row r="396" spans="1:17">
      <c r="A396" s="20">
        <v>789</v>
      </c>
      <c r="B396" s="29">
        <v>54.744710274002941</v>
      </c>
      <c r="C396" s="7">
        <f t="shared" si="13"/>
        <v>54.384392780719956</v>
      </c>
      <c r="D396" s="3">
        <f t="shared" si="12"/>
        <v>0.12982869596573354</v>
      </c>
      <c r="E396" s="3">
        <f>Ft!$B$12+Ft!$B$14*(Data!A396-Vars!$B$3)</f>
        <v>-200</v>
      </c>
      <c r="F396" s="3">
        <f>IF(($A396-Ft!B$2)&lt;0,Ft!B$3*((1-Ft!B$6)/(1+Ft!B$37*($A396-Ft!B$2)^2)+Ft!B$6*EXP(Ft!B$38*($A396-Ft!B$2)^2)),Ft!B$3*((1-Ft!B$7)/(1+Ft!B$39*($A396-Ft!B$2)^2)+Ft!B$7*EXP(Ft!B$40*($A396-Ft!B$2)^2)))</f>
        <v>15.798901686003974</v>
      </c>
      <c r="G396" s="3">
        <f>IF(($A396-Ft!C$2)&lt;0,Ft!C$3*((1-Ft!C$6)/(1+Ft!C$37*($A396-Ft!C$2)^2)+Ft!C$6*EXP(Ft!C$38*($A396-Ft!C$2)^2)),Ft!C$3*((1-Ft!C$7)/(1+Ft!C$39*($A396-Ft!C$2)^2)+Ft!C$7*EXP(Ft!C$40*($A396-Ft!C$2)^2)))</f>
        <v>55.474336715209553</v>
      </c>
      <c r="H396" s="3">
        <f>IF(($A396-Ft!D$2)&lt;0,Ft!D$3*((1-Ft!D$6)/(1+Ft!D$37*($A396-Ft!D$2)^2)+Ft!D$6*EXP(Ft!D$38*($A396-Ft!D$2)^2)),Ft!D$3*((1-Ft!D$7)/(1+Ft!D$39*($A396-Ft!D$2)^2)+Ft!D$7*EXP(Ft!D$40*($A396-Ft!D$2)^2)))</f>
        <v>4.4936978172811086E-38</v>
      </c>
      <c r="I396" s="3">
        <f>IF(($A396-Ft!E$2)&lt;0,Ft!E$3*((1-Ft!E$6)/(1+Ft!E$37*($A396-Ft!E$2)^2)+Ft!E$6*EXP(Ft!E$38*($A396-Ft!E$2)^2)),Ft!E$3*((1-Ft!E$7)/(1+Ft!E$39*($A396-Ft!E$2)^2)+Ft!E$7*EXP(Ft!E$40*($A396-Ft!E$2)^2)))</f>
        <v>107.91325588988276</v>
      </c>
      <c r="J396" s="3">
        <f>IF(($A396-Ft!F$2)&lt;0,Ft!F$3*((1-Ft!F$6)/(1+Ft!F$37*($A396-Ft!F$2)^2)+Ft!F$6*EXP(Ft!F$38*($A396-Ft!F$2)^2)),Ft!F$3*((1-Ft!F$7)/(1+Ft!F$39*($A396-Ft!F$2)^2)+Ft!F$7*EXP(Ft!F$40*($A396-Ft!F$2)^2)))</f>
        <v>70.903568809052558</v>
      </c>
      <c r="K396" s="3">
        <f>IF(($A396-Ft!G$2)&lt;0,Ft!G$3*((1-Ft!G$6)/(1+Ft!G$37*($A396-Ft!G$2)^2)+Ft!G$6*EXP(Ft!G$38*($A396-Ft!G$2)^2)),Ft!G$3*((1-Ft!G$7)/(1+Ft!G$39*($A396-Ft!G$2)^2)+Ft!G$7*EXP(Ft!G$40*($A396-Ft!G$2)^2)))</f>
        <v>4.2943296805711153</v>
      </c>
      <c r="L396" s="3">
        <f>IF(($A396-Ft!H$2)&lt;0,Ft!H$3*((1-Ft!H$6)/(1+Ft!H$37*($A396-Ft!H$2)^2)+Ft!H$6*EXP(Ft!H$38*($A396-Ft!H$2)^2)),Ft!H$3*((1-Ft!H$7)/(1+Ft!H$39*($A396-Ft!H$2)^2)+Ft!H$7*EXP(Ft!H$40*($A396-Ft!H$2)^2)))</f>
        <v>0</v>
      </c>
      <c r="M396" s="3">
        <f>IF(($A396-Ft!I$2)&lt;0,Ft!I$3*((1-Ft!I$6)/(1+Ft!I$37*($A396-Ft!I$2)^2)+Ft!I$6*EXP(Ft!I$38*($A396-Ft!I$2)^2)),Ft!I$3*((1-Ft!I$7)/(1+Ft!I$39*($A396-Ft!I$2)^2)+Ft!I$7*EXP(Ft!I$40*($A396-Ft!I$2)^2)))</f>
        <v>0</v>
      </c>
      <c r="N396" s="3">
        <f>IF(($A396-Ft!J$2)&lt;0,Ft!J$3*((1-Ft!J$6)/(1+Ft!J$37*($A396-Ft!J$2)^2)+Ft!J$6*EXP(Ft!J$38*($A396-Ft!J$2)^2)),Ft!J$3*((1-Ft!J$7)/(1+Ft!J$39*($A396-Ft!J$2)^2)+Ft!J$7*EXP(Ft!J$40*($A396-Ft!J$2)^2)))</f>
        <v>0</v>
      </c>
      <c r="O396" s="3">
        <f>IF(($A396-Ft!K$2)&lt;0,Ft!K$3*((1-Ft!K$6)/(1+Ft!K$37*($A396-Ft!K$2)^2)+Ft!K$6*EXP(Ft!K$38*($A396-Ft!K$2)^2)),Ft!K$3*((1-Ft!K$7)/(1+Ft!K$39*($A396-Ft!K$2)^2)+Ft!K$7*EXP(Ft!K$40*($A396-Ft!K$2)^2)))</f>
        <v>0</v>
      </c>
      <c r="P396"/>
      <c r="Q396"/>
    </row>
    <row r="397" spans="1:17">
      <c r="A397" s="20">
        <v>791</v>
      </c>
      <c r="B397" s="29">
        <v>54.584750607503665</v>
      </c>
      <c r="C397" s="7">
        <f t="shared" si="13"/>
        <v>54.262395610420697</v>
      </c>
      <c r="D397" s="3">
        <f t="shared" si="12"/>
        <v>0.1039127441443603</v>
      </c>
      <c r="E397" s="3">
        <f>Ft!$B$12+Ft!$B$14*(Data!A397-Vars!$B$3)</f>
        <v>-200</v>
      </c>
      <c r="F397" s="3">
        <f>IF(($A397-Ft!B$2)&lt;0,Ft!B$3*((1-Ft!B$6)/(1+Ft!B$37*($A397-Ft!B$2)^2)+Ft!B$6*EXP(Ft!B$38*($A397-Ft!B$2)^2)),Ft!B$3*((1-Ft!B$7)/(1+Ft!B$39*($A397-Ft!B$2)^2)+Ft!B$7*EXP(Ft!B$40*($A397-Ft!B$2)^2)))</f>
        <v>15.647084239536545</v>
      </c>
      <c r="G397" s="3">
        <f>IF(($A397-Ft!C$2)&lt;0,Ft!C$3*((1-Ft!C$6)/(1+Ft!C$37*($A397-Ft!C$2)^2)+Ft!C$6*EXP(Ft!C$38*($A397-Ft!C$2)^2)),Ft!C$3*((1-Ft!C$7)/(1+Ft!C$39*($A397-Ft!C$2)^2)+Ft!C$7*EXP(Ft!C$40*($A397-Ft!C$2)^2)))</f>
        <v>55.50183134553135</v>
      </c>
      <c r="H397" s="3">
        <f>IF(($A397-Ft!D$2)&lt;0,Ft!D$3*((1-Ft!D$6)/(1+Ft!D$37*($A397-Ft!D$2)^2)+Ft!D$6*EXP(Ft!D$38*($A397-Ft!D$2)^2)),Ft!D$3*((1-Ft!D$7)/(1+Ft!D$39*($A397-Ft!D$2)^2)+Ft!D$7*EXP(Ft!D$40*($A397-Ft!D$2)^2)))</f>
        <v>1.6861046430460933E-38</v>
      </c>
      <c r="I397" s="3">
        <f>IF(($A397-Ft!E$2)&lt;0,Ft!E$3*((1-Ft!E$6)/(1+Ft!E$37*($A397-Ft!E$2)^2)+Ft!E$6*EXP(Ft!E$38*($A397-Ft!E$2)^2)),Ft!E$3*((1-Ft!E$7)/(1+Ft!E$39*($A397-Ft!E$2)^2)+Ft!E$7*EXP(Ft!E$40*($A397-Ft!E$2)^2)))</f>
        <v>107.6940313125409</v>
      </c>
      <c r="J397" s="3">
        <f>IF(($A397-Ft!F$2)&lt;0,Ft!F$3*((1-Ft!F$6)/(1+Ft!F$37*($A397-Ft!F$2)^2)+Ft!F$6*EXP(Ft!F$38*($A397-Ft!F$2)^2)),Ft!F$3*((1-Ft!F$7)/(1+Ft!F$39*($A397-Ft!F$2)^2)+Ft!F$7*EXP(Ft!F$40*($A397-Ft!F$2)^2)))</f>
        <v>71.220842032094396</v>
      </c>
      <c r="K397" s="3">
        <f>IF(($A397-Ft!G$2)&lt;0,Ft!G$3*((1-Ft!G$6)/(1+Ft!G$37*($A397-Ft!G$2)^2)+Ft!G$6*EXP(Ft!G$38*($A397-Ft!G$2)^2)),Ft!G$3*((1-Ft!G$7)/(1+Ft!G$39*($A397-Ft!G$2)^2)+Ft!G$7*EXP(Ft!G$40*($A397-Ft!G$2)^2)))</f>
        <v>4.1986066807175035</v>
      </c>
      <c r="L397" s="3">
        <f>IF(($A397-Ft!H$2)&lt;0,Ft!H$3*((1-Ft!H$6)/(1+Ft!H$37*($A397-Ft!H$2)^2)+Ft!H$6*EXP(Ft!H$38*($A397-Ft!H$2)^2)),Ft!H$3*((1-Ft!H$7)/(1+Ft!H$39*($A397-Ft!H$2)^2)+Ft!H$7*EXP(Ft!H$40*($A397-Ft!H$2)^2)))</f>
        <v>0</v>
      </c>
      <c r="M397" s="3">
        <f>IF(($A397-Ft!I$2)&lt;0,Ft!I$3*((1-Ft!I$6)/(1+Ft!I$37*($A397-Ft!I$2)^2)+Ft!I$6*EXP(Ft!I$38*($A397-Ft!I$2)^2)),Ft!I$3*((1-Ft!I$7)/(1+Ft!I$39*($A397-Ft!I$2)^2)+Ft!I$7*EXP(Ft!I$40*($A397-Ft!I$2)^2)))</f>
        <v>0</v>
      </c>
      <c r="N397" s="3">
        <f>IF(($A397-Ft!J$2)&lt;0,Ft!J$3*((1-Ft!J$6)/(1+Ft!J$37*($A397-Ft!J$2)^2)+Ft!J$6*EXP(Ft!J$38*($A397-Ft!J$2)^2)),Ft!J$3*((1-Ft!J$7)/(1+Ft!J$39*($A397-Ft!J$2)^2)+Ft!J$7*EXP(Ft!J$40*($A397-Ft!J$2)^2)))</f>
        <v>0</v>
      </c>
      <c r="O397" s="3">
        <f>IF(($A397-Ft!K$2)&lt;0,Ft!K$3*((1-Ft!K$6)/(1+Ft!K$37*($A397-Ft!K$2)^2)+Ft!K$6*EXP(Ft!K$38*($A397-Ft!K$2)^2)),Ft!K$3*((1-Ft!K$7)/(1+Ft!K$39*($A397-Ft!K$2)^2)+Ft!K$7*EXP(Ft!K$40*($A397-Ft!K$2)^2)))</f>
        <v>0</v>
      </c>
      <c r="P397"/>
      <c r="Q397"/>
    </row>
    <row r="398" spans="1:17">
      <c r="A398" s="20">
        <v>793</v>
      </c>
      <c r="B398" s="29">
        <v>54.419539258365674</v>
      </c>
      <c r="C398" s="7">
        <f t="shared" si="13"/>
        <v>54.137483635145415</v>
      </c>
      <c r="D398" s="3">
        <f t="shared" si="12"/>
        <v>7.9555374590168773E-2</v>
      </c>
      <c r="E398" s="3">
        <f>Ft!$B$12+Ft!$B$14*(Data!A398-Vars!$B$3)</f>
        <v>-200</v>
      </c>
      <c r="F398" s="3">
        <f>IF(($A398-Ft!B$2)&lt;0,Ft!B$3*((1-Ft!B$6)/(1+Ft!B$37*($A398-Ft!B$2)^2)+Ft!B$6*EXP(Ft!B$38*($A398-Ft!B$2)^2)),Ft!B$3*((1-Ft!B$7)/(1+Ft!B$39*($A398-Ft!B$2)^2)+Ft!B$7*EXP(Ft!B$40*($A398-Ft!B$2)^2)))</f>
        <v>15.49642988342697</v>
      </c>
      <c r="G398" s="3">
        <f>IF(($A398-Ft!C$2)&lt;0,Ft!C$3*((1-Ft!C$6)/(1+Ft!C$37*($A398-Ft!C$2)^2)+Ft!C$6*EXP(Ft!C$38*($A398-Ft!C$2)^2)),Ft!C$3*((1-Ft!C$7)/(1+Ft!C$39*($A398-Ft!C$2)^2)+Ft!C$7*EXP(Ft!C$40*($A398-Ft!C$2)^2)))</f>
        <v>55.528848960464444</v>
      </c>
      <c r="H398" s="3">
        <f>IF(($A398-Ft!D$2)&lt;0,Ft!D$3*((1-Ft!D$6)/(1+Ft!D$37*($A398-Ft!D$2)^2)+Ft!D$6*EXP(Ft!D$38*($A398-Ft!D$2)^2)),Ft!D$3*((1-Ft!D$7)/(1+Ft!D$39*($A398-Ft!D$2)^2)+Ft!D$7*EXP(Ft!D$40*($A398-Ft!D$2)^2)))</f>
        <v>6.2917183218431182E-39</v>
      </c>
      <c r="I398" s="3">
        <f>IF(($A398-Ft!E$2)&lt;0,Ft!E$3*((1-Ft!E$6)/(1+Ft!E$37*($A398-Ft!E$2)^2)+Ft!E$6*EXP(Ft!E$38*($A398-Ft!E$2)^2)),Ft!E$3*((1-Ft!E$7)/(1+Ft!E$39*($A398-Ft!E$2)^2)+Ft!E$7*EXP(Ft!E$40*($A398-Ft!E$2)^2)))</f>
        <v>107.46902070255683</v>
      </c>
      <c r="J398" s="3">
        <f>IF(($A398-Ft!F$2)&lt;0,Ft!F$3*((1-Ft!F$6)/(1+Ft!F$37*($A398-Ft!F$2)^2)+Ft!F$6*EXP(Ft!F$38*($A398-Ft!F$2)^2)),Ft!F$3*((1-Ft!F$7)/(1+Ft!F$39*($A398-Ft!F$2)^2)+Ft!F$7*EXP(Ft!F$40*($A398-Ft!F$2)^2)))</f>
        <v>71.538592762043891</v>
      </c>
      <c r="K398" s="3">
        <f>IF(($A398-Ft!G$2)&lt;0,Ft!G$3*((1-Ft!G$6)/(1+Ft!G$37*($A398-Ft!G$2)^2)+Ft!G$6*EXP(Ft!G$38*($A398-Ft!G$2)^2)),Ft!G$3*((1-Ft!G$7)/(1+Ft!G$39*($A398-Ft!G$2)^2)+Ft!G$7*EXP(Ft!G$40*($A398-Ft!G$2)^2)))</f>
        <v>4.1045913266532752</v>
      </c>
      <c r="L398" s="3">
        <f>IF(($A398-Ft!H$2)&lt;0,Ft!H$3*((1-Ft!H$6)/(1+Ft!H$37*($A398-Ft!H$2)^2)+Ft!H$6*EXP(Ft!H$38*($A398-Ft!H$2)^2)),Ft!H$3*((1-Ft!H$7)/(1+Ft!H$39*($A398-Ft!H$2)^2)+Ft!H$7*EXP(Ft!H$40*($A398-Ft!H$2)^2)))</f>
        <v>0</v>
      </c>
      <c r="M398" s="3">
        <f>IF(($A398-Ft!I$2)&lt;0,Ft!I$3*((1-Ft!I$6)/(1+Ft!I$37*($A398-Ft!I$2)^2)+Ft!I$6*EXP(Ft!I$38*($A398-Ft!I$2)^2)),Ft!I$3*((1-Ft!I$7)/(1+Ft!I$39*($A398-Ft!I$2)^2)+Ft!I$7*EXP(Ft!I$40*($A398-Ft!I$2)^2)))</f>
        <v>0</v>
      </c>
      <c r="N398" s="3">
        <f>IF(($A398-Ft!J$2)&lt;0,Ft!J$3*((1-Ft!J$6)/(1+Ft!J$37*($A398-Ft!J$2)^2)+Ft!J$6*EXP(Ft!J$38*($A398-Ft!J$2)^2)),Ft!J$3*((1-Ft!J$7)/(1+Ft!J$39*($A398-Ft!J$2)^2)+Ft!J$7*EXP(Ft!J$40*($A398-Ft!J$2)^2)))</f>
        <v>0</v>
      </c>
      <c r="O398" s="3">
        <f>IF(($A398-Ft!K$2)&lt;0,Ft!K$3*((1-Ft!K$6)/(1+Ft!K$37*($A398-Ft!K$2)^2)+Ft!K$6*EXP(Ft!K$38*($A398-Ft!K$2)^2)),Ft!K$3*((1-Ft!K$7)/(1+Ft!K$39*($A398-Ft!K$2)^2)+Ft!K$7*EXP(Ft!K$40*($A398-Ft!K$2)^2)))</f>
        <v>0</v>
      </c>
      <c r="P398"/>
      <c r="Q398"/>
    </row>
    <row r="399" spans="1:17">
      <c r="A399" s="20">
        <v>795</v>
      </c>
      <c r="B399" s="29">
        <v>54.249480591030817</v>
      </c>
      <c r="C399" s="7">
        <f t="shared" si="13"/>
        <v>54.009663625840723</v>
      </c>
      <c r="D399" s="3">
        <f t="shared" si="12"/>
        <v>5.751217679298691E-2</v>
      </c>
      <c r="E399" s="3">
        <f>Ft!$B$12+Ft!$B$14*(Data!A399-Vars!$B$3)</f>
        <v>-200</v>
      </c>
      <c r="F399" s="3">
        <f>IF(($A399-Ft!B$2)&lt;0,Ft!B$3*((1-Ft!B$6)/(1+Ft!B$37*($A399-Ft!B$2)^2)+Ft!B$6*EXP(Ft!B$38*($A399-Ft!B$2)^2)),Ft!B$3*((1-Ft!B$7)/(1+Ft!B$39*($A399-Ft!B$2)^2)+Ft!B$7*EXP(Ft!B$40*($A399-Ft!B$2)^2)))</f>
        <v>15.346933142388634</v>
      </c>
      <c r="G399" s="3">
        <f>IF(($A399-Ft!C$2)&lt;0,Ft!C$3*((1-Ft!C$6)/(1+Ft!C$37*($A399-Ft!C$2)^2)+Ft!C$6*EXP(Ft!C$38*($A399-Ft!C$2)^2)),Ft!C$3*((1-Ft!C$7)/(1+Ft!C$39*($A399-Ft!C$2)^2)+Ft!C$7*EXP(Ft!C$40*($A399-Ft!C$2)^2)))</f>
        <v>55.555388850246423</v>
      </c>
      <c r="H399" s="3">
        <f>IF(($A399-Ft!D$2)&lt;0,Ft!D$3*((1-Ft!D$6)/(1+Ft!D$37*($A399-Ft!D$2)^2)+Ft!D$6*EXP(Ft!D$38*($A399-Ft!D$2)^2)),Ft!D$3*((1-Ft!D$7)/(1+Ft!D$39*($A399-Ft!D$2)^2)+Ft!D$7*EXP(Ft!D$40*($A399-Ft!D$2)^2)))</f>
        <v>2.3348452694722058E-39</v>
      </c>
      <c r="I399" s="3">
        <f>IF(($A399-Ft!E$2)&lt;0,Ft!E$3*((1-Ft!E$6)/(1+Ft!E$37*($A399-Ft!E$2)^2)+Ft!E$6*EXP(Ft!E$38*($A399-Ft!E$2)^2)),Ft!E$3*((1-Ft!E$7)/(1+Ft!E$39*($A399-Ft!E$2)^2)+Ft!E$7*EXP(Ft!E$40*($A399-Ft!E$2)^2)))</f>
        <v>107.23826221382862</v>
      </c>
      <c r="J399" s="3">
        <f>IF(($A399-Ft!F$2)&lt;0,Ft!F$3*((1-Ft!F$6)/(1+Ft!F$37*($A399-Ft!F$2)^2)+Ft!F$6*EXP(Ft!F$38*($A399-Ft!F$2)^2)),Ft!F$3*((1-Ft!F$7)/(1+Ft!F$39*($A399-Ft!F$2)^2)+Ft!F$7*EXP(Ft!F$40*($A399-Ft!F$2)^2)))</f>
        <v>71.856814740848478</v>
      </c>
      <c r="K399" s="3">
        <f>IF(($A399-Ft!G$2)&lt;0,Ft!G$3*((1-Ft!G$6)/(1+Ft!G$37*($A399-Ft!G$2)^2)+Ft!G$6*EXP(Ft!G$38*($A399-Ft!G$2)^2)),Ft!G$3*((1-Ft!G$7)/(1+Ft!G$39*($A399-Ft!G$2)^2)+Ft!G$7*EXP(Ft!G$40*($A399-Ft!G$2)^2)))</f>
        <v>4.0122646785285738</v>
      </c>
      <c r="L399" s="3">
        <f>IF(($A399-Ft!H$2)&lt;0,Ft!H$3*((1-Ft!H$6)/(1+Ft!H$37*($A399-Ft!H$2)^2)+Ft!H$6*EXP(Ft!H$38*($A399-Ft!H$2)^2)),Ft!H$3*((1-Ft!H$7)/(1+Ft!H$39*($A399-Ft!H$2)^2)+Ft!H$7*EXP(Ft!H$40*($A399-Ft!H$2)^2)))</f>
        <v>0</v>
      </c>
      <c r="M399" s="3">
        <f>IF(($A399-Ft!I$2)&lt;0,Ft!I$3*((1-Ft!I$6)/(1+Ft!I$37*($A399-Ft!I$2)^2)+Ft!I$6*EXP(Ft!I$38*($A399-Ft!I$2)^2)),Ft!I$3*((1-Ft!I$7)/(1+Ft!I$39*($A399-Ft!I$2)^2)+Ft!I$7*EXP(Ft!I$40*($A399-Ft!I$2)^2)))</f>
        <v>0</v>
      </c>
      <c r="N399" s="3">
        <f>IF(($A399-Ft!J$2)&lt;0,Ft!J$3*((1-Ft!J$6)/(1+Ft!J$37*($A399-Ft!J$2)^2)+Ft!J$6*EXP(Ft!J$38*($A399-Ft!J$2)^2)),Ft!J$3*((1-Ft!J$7)/(1+Ft!J$39*($A399-Ft!J$2)^2)+Ft!J$7*EXP(Ft!J$40*($A399-Ft!J$2)^2)))</f>
        <v>0</v>
      </c>
      <c r="O399" s="3">
        <f>IF(($A399-Ft!K$2)&lt;0,Ft!K$3*((1-Ft!K$6)/(1+Ft!K$37*($A399-Ft!K$2)^2)+Ft!K$6*EXP(Ft!K$38*($A399-Ft!K$2)^2)),Ft!K$3*((1-Ft!K$7)/(1+Ft!K$39*($A399-Ft!K$2)^2)+Ft!K$7*EXP(Ft!K$40*($A399-Ft!K$2)^2)))</f>
        <v>0</v>
      </c>
      <c r="P399"/>
      <c r="Q399"/>
    </row>
    <row r="400" spans="1:17">
      <c r="A400" s="20">
        <v>797</v>
      </c>
      <c r="B400" s="29">
        <v>54.074991390677667</v>
      </c>
      <c r="C400" s="7">
        <f t="shared" si="13"/>
        <v>53.878943129089393</v>
      </c>
      <c r="D400" s="3">
        <f t="shared" si="12"/>
        <v>3.8434920871784281E-2</v>
      </c>
      <c r="E400" s="3">
        <f>Ft!$B$12+Ft!$B$14*(Data!A400-Vars!$B$3)</f>
        <v>-200</v>
      </c>
      <c r="F400" s="3">
        <f>IF(($A400-Ft!B$2)&lt;0,Ft!B$3*((1-Ft!B$6)/(1+Ft!B$37*($A400-Ft!B$2)^2)+Ft!B$6*EXP(Ft!B$38*($A400-Ft!B$2)^2)),Ft!B$3*((1-Ft!B$7)/(1+Ft!B$39*($A400-Ft!B$2)^2)+Ft!B$7*EXP(Ft!B$40*($A400-Ft!B$2)^2)))</f>
        <v>15.198588527939295</v>
      </c>
      <c r="G400" s="3">
        <f>IF(($A400-Ft!C$2)&lt;0,Ft!C$3*((1-Ft!C$6)/(1+Ft!C$37*($A400-Ft!C$2)^2)+Ft!C$6*EXP(Ft!C$38*($A400-Ft!C$2)^2)),Ft!C$3*((1-Ft!C$7)/(1+Ft!C$39*($A400-Ft!C$2)^2)+Ft!C$7*EXP(Ft!C$40*($A400-Ft!C$2)^2)))</f>
        <v>55.58145031743868</v>
      </c>
      <c r="H400" s="3">
        <f>IF(($A400-Ft!D$2)&lt;0,Ft!D$3*((1-Ft!D$6)/(1+Ft!D$37*($A400-Ft!D$2)^2)+Ft!D$6*EXP(Ft!D$38*($A400-Ft!D$2)^2)),Ft!D$3*((1-Ft!D$7)/(1+Ft!D$39*($A400-Ft!D$2)^2)+Ft!D$7*EXP(Ft!D$40*($A400-Ft!D$2)^2)))</f>
        <v>8.6168994676733498E-40</v>
      </c>
      <c r="I400" s="3">
        <f>IF(($A400-Ft!E$2)&lt;0,Ft!E$3*((1-Ft!E$6)/(1+Ft!E$37*($A400-Ft!E$2)^2)+Ft!E$6*EXP(Ft!E$38*($A400-Ft!E$2)^2)),Ft!E$3*((1-Ft!E$7)/(1+Ft!E$39*($A400-Ft!E$2)^2)+Ft!E$7*EXP(Ft!E$40*($A400-Ft!E$2)^2)))</f>
        <v>107.00179491815192</v>
      </c>
      <c r="J400" s="3">
        <f>IF(($A400-Ft!F$2)&lt;0,Ft!F$3*((1-Ft!F$6)/(1+Ft!F$37*($A400-Ft!F$2)^2)+Ft!F$6*EXP(Ft!F$38*($A400-Ft!F$2)^2)),Ft!F$3*((1-Ft!F$7)/(1+Ft!F$39*($A400-Ft!F$2)^2)+Ft!F$7*EXP(Ft!F$40*($A400-Ft!F$2)^2)))</f>
        <v>72.175501663915853</v>
      </c>
      <c r="K400" s="3">
        <f>IF(($A400-Ft!G$2)&lt;0,Ft!G$3*((1-Ft!G$6)/(1+Ft!G$37*($A400-Ft!G$2)^2)+Ft!G$6*EXP(Ft!G$38*($A400-Ft!G$2)^2)),Ft!G$3*((1-Ft!G$7)/(1+Ft!G$39*($A400-Ft!G$2)^2)+Ft!G$7*EXP(Ft!G$40*($A400-Ft!G$2)^2)))</f>
        <v>3.9216077016436377</v>
      </c>
      <c r="L400" s="3">
        <f>IF(($A400-Ft!H$2)&lt;0,Ft!H$3*((1-Ft!H$6)/(1+Ft!H$37*($A400-Ft!H$2)^2)+Ft!H$6*EXP(Ft!H$38*($A400-Ft!H$2)^2)),Ft!H$3*((1-Ft!H$7)/(1+Ft!H$39*($A400-Ft!H$2)^2)+Ft!H$7*EXP(Ft!H$40*($A400-Ft!H$2)^2)))</f>
        <v>0</v>
      </c>
      <c r="M400" s="3">
        <f>IF(($A400-Ft!I$2)&lt;0,Ft!I$3*((1-Ft!I$6)/(1+Ft!I$37*($A400-Ft!I$2)^2)+Ft!I$6*EXP(Ft!I$38*($A400-Ft!I$2)^2)),Ft!I$3*((1-Ft!I$7)/(1+Ft!I$39*($A400-Ft!I$2)^2)+Ft!I$7*EXP(Ft!I$40*($A400-Ft!I$2)^2)))</f>
        <v>0</v>
      </c>
      <c r="N400" s="3">
        <f>IF(($A400-Ft!J$2)&lt;0,Ft!J$3*((1-Ft!J$6)/(1+Ft!J$37*($A400-Ft!J$2)^2)+Ft!J$6*EXP(Ft!J$38*($A400-Ft!J$2)^2)),Ft!J$3*((1-Ft!J$7)/(1+Ft!J$39*($A400-Ft!J$2)^2)+Ft!J$7*EXP(Ft!J$40*($A400-Ft!J$2)^2)))</f>
        <v>0</v>
      </c>
      <c r="O400" s="3">
        <f>IF(($A400-Ft!K$2)&lt;0,Ft!K$3*((1-Ft!K$6)/(1+Ft!K$37*($A400-Ft!K$2)^2)+Ft!K$6*EXP(Ft!K$38*($A400-Ft!K$2)^2)),Ft!K$3*((1-Ft!K$7)/(1+Ft!K$39*($A400-Ft!K$2)^2)+Ft!K$7*EXP(Ft!K$40*($A400-Ft!K$2)^2)))</f>
        <v>0</v>
      </c>
      <c r="P400"/>
      <c r="Q400"/>
    </row>
    <row r="401" spans="1:17">
      <c r="A401" s="20">
        <v>799</v>
      </c>
      <c r="B401" s="29">
        <v>53.896494405754169</v>
      </c>
      <c r="C401" s="7">
        <f t="shared" si="13"/>
        <v>53.745330466735417</v>
      </c>
      <c r="D401" s="3">
        <f t="shared" si="12"/>
        <v>2.2850536459664714E-2</v>
      </c>
      <c r="E401" s="3">
        <f>Ft!$B$12+Ft!$B$14*(Data!A401-Vars!$B$3)</f>
        <v>-200</v>
      </c>
      <c r="F401" s="3">
        <f>IF(($A401-Ft!B$2)&lt;0,Ft!B$3*((1-Ft!B$6)/(1+Ft!B$37*($A401-Ft!B$2)^2)+Ft!B$6*EXP(Ft!B$38*($A401-Ft!B$2)^2)),Ft!B$3*((1-Ft!B$7)/(1+Ft!B$39*($A401-Ft!B$2)^2)+Ft!B$7*EXP(Ft!B$40*($A401-Ft!B$2)^2)))</f>
        <v>15.051390538945421</v>
      </c>
      <c r="G401" s="3">
        <f>IF(($A401-Ft!C$2)&lt;0,Ft!C$3*((1-Ft!C$6)/(1+Ft!C$37*($A401-Ft!C$2)^2)+Ft!C$6*EXP(Ft!C$38*($A401-Ft!C$2)^2)),Ft!C$3*((1-Ft!C$7)/(1+Ft!C$39*($A401-Ft!C$2)^2)+Ft!C$7*EXP(Ft!C$40*($A401-Ft!C$2)^2)))</f>
        <v>55.60703267695704</v>
      </c>
      <c r="H401" s="3">
        <f>IF(($A401-Ft!D$2)&lt;0,Ft!D$3*((1-Ft!D$6)/(1+Ft!D$37*($A401-Ft!D$2)^2)+Ft!D$6*EXP(Ft!D$38*($A401-Ft!D$2)^2)),Ft!D$3*((1-Ft!D$7)/(1+Ft!D$39*($A401-Ft!D$2)^2)+Ft!D$7*EXP(Ft!D$40*($A401-Ft!D$2)^2)))</f>
        <v>3.1626274364575993E-40</v>
      </c>
      <c r="I401" s="3">
        <f>IF(($A401-Ft!E$2)&lt;0,Ft!E$3*((1-Ft!E$6)/(1+Ft!E$37*($A401-Ft!E$2)^2)+Ft!E$6*EXP(Ft!E$38*($A401-Ft!E$2)^2)),Ft!E$3*((1-Ft!E$7)/(1+Ft!E$39*($A401-Ft!E$2)^2)+Ft!E$7*EXP(Ft!E$40*($A401-Ft!E$2)^2)))</f>
        <v>106.75965879419748</v>
      </c>
      <c r="J401" s="3">
        <f>IF(($A401-Ft!F$2)&lt;0,Ft!F$3*((1-Ft!F$6)/(1+Ft!F$37*($A401-Ft!F$2)^2)+Ft!F$6*EXP(Ft!F$38*($A401-Ft!F$2)^2)),Ft!F$3*((1-Ft!F$7)/(1+Ft!F$39*($A401-Ft!F$2)^2)+Ft!F$7*EXP(Ft!F$40*($A401-Ft!F$2)^2)))</f>
        <v>72.49464718023998</v>
      </c>
      <c r="K401" s="3">
        <f>IF(($A401-Ft!G$2)&lt;0,Ft!G$3*((1-Ft!G$6)/(1+Ft!G$37*($A401-Ft!G$2)^2)+Ft!G$6*EXP(Ft!G$38*($A401-Ft!G$2)^2)),Ft!G$3*((1-Ft!G$7)/(1+Ft!G$39*($A401-Ft!G$2)^2)+Ft!G$7*EXP(Ft!G$40*($A401-Ft!G$2)^2)))</f>
        <v>3.8326012763955122</v>
      </c>
      <c r="L401" s="3">
        <f>IF(($A401-Ft!H$2)&lt;0,Ft!H$3*((1-Ft!H$6)/(1+Ft!H$37*($A401-Ft!H$2)^2)+Ft!H$6*EXP(Ft!H$38*($A401-Ft!H$2)^2)),Ft!H$3*((1-Ft!H$7)/(1+Ft!H$39*($A401-Ft!H$2)^2)+Ft!H$7*EXP(Ft!H$40*($A401-Ft!H$2)^2)))</f>
        <v>0</v>
      </c>
      <c r="M401" s="3">
        <f>IF(($A401-Ft!I$2)&lt;0,Ft!I$3*((1-Ft!I$6)/(1+Ft!I$37*($A401-Ft!I$2)^2)+Ft!I$6*EXP(Ft!I$38*($A401-Ft!I$2)^2)),Ft!I$3*((1-Ft!I$7)/(1+Ft!I$39*($A401-Ft!I$2)^2)+Ft!I$7*EXP(Ft!I$40*($A401-Ft!I$2)^2)))</f>
        <v>0</v>
      </c>
      <c r="N401" s="3">
        <f>IF(($A401-Ft!J$2)&lt;0,Ft!J$3*((1-Ft!J$6)/(1+Ft!J$37*($A401-Ft!J$2)^2)+Ft!J$6*EXP(Ft!J$38*($A401-Ft!J$2)^2)),Ft!J$3*((1-Ft!J$7)/(1+Ft!J$39*($A401-Ft!J$2)^2)+Ft!J$7*EXP(Ft!J$40*($A401-Ft!J$2)^2)))</f>
        <v>0</v>
      </c>
      <c r="O401" s="3">
        <f>IF(($A401-Ft!K$2)&lt;0,Ft!K$3*((1-Ft!K$6)/(1+Ft!K$37*($A401-Ft!K$2)^2)+Ft!K$6*EXP(Ft!K$38*($A401-Ft!K$2)^2)),Ft!K$3*((1-Ft!K$7)/(1+Ft!K$39*($A401-Ft!K$2)^2)+Ft!K$7*EXP(Ft!K$40*($A401-Ft!K$2)^2)))</f>
        <v>0</v>
      </c>
      <c r="P401"/>
      <c r="Q401"/>
    </row>
    <row r="402" spans="1:17">
      <c r="A402" s="20">
        <v>801</v>
      </c>
      <c r="B402" s="29">
        <v>53.714412052724825</v>
      </c>
      <c r="C402" s="7">
        <f t="shared" si="13"/>
        <v>53.608834735088635</v>
      </c>
      <c r="D402" s="3">
        <f t="shared" si="12"/>
        <v>1.1146569999252873E-2</v>
      </c>
      <c r="E402" s="3">
        <f>Ft!$B$12+Ft!$B$14*(Data!A402-Vars!$B$3)</f>
        <v>-200</v>
      </c>
      <c r="F402" s="3">
        <f>IF(($A402-Ft!B$2)&lt;0,Ft!B$3*((1-Ft!B$6)/(1+Ft!B$37*($A402-Ft!B$2)^2)+Ft!B$6*EXP(Ft!B$38*($A402-Ft!B$2)^2)),Ft!B$3*((1-Ft!B$7)/(1+Ft!B$39*($A402-Ft!B$2)^2)+Ft!B$7*EXP(Ft!B$40*($A402-Ft!B$2)^2)))</f>
        <v>14.905333662162418</v>
      </c>
      <c r="G402" s="3">
        <f>IF(($A402-Ft!C$2)&lt;0,Ft!C$3*((1-Ft!C$6)/(1+Ft!C$37*($A402-Ft!C$2)^2)+Ft!C$6*EXP(Ft!C$38*($A402-Ft!C$2)^2)),Ft!C$3*((1-Ft!C$7)/(1+Ft!C$39*($A402-Ft!C$2)^2)+Ft!C$7*EXP(Ft!C$40*($A402-Ft!C$2)^2)))</f>
        <v>55.63213525610167</v>
      </c>
      <c r="H402" s="3">
        <f>IF(($A402-Ft!D$2)&lt;0,Ft!D$3*((1-Ft!D$6)/(1+Ft!D$37*($A402-Ft!D$2)^2)+Ft!D$6*EXP(Ft!D$38*($A402-Ft!D$2)^2)),Ft!D$3*((1-Ft!D$7)/(1+Ft!D$39*($A402-Ft!D$2)^2)+Ft!D$7*EXP(Ft!D$40*($A402-Ft!D$2)^2)))</f>
        <v>1.1543808918558862E-40</v>
      </c>
      <c r="I402" s="3">
        <f>IF(($A402-Ft!E$2)&lt;0,Ft!E$3*((1-Ft!E$6)/(1+Ft!E$37*($A402-Ft!E$2)^2)+Ft!E$6*EXP(Ft!E$38*($A402-Ft!E$2)^2)),Ft!E$3*((1-Ft!E$7)/(1+Ft!E$39*($A402-Ft!E$2)^2)+Ft!E$7*EXP(Ft!E$40*($A402-Ft!E$2)^2)))</f>
        <v>106.51189471625007</v>
      </c>
      <c r="J402" s="3">
        <f>IF(($A402-Ft!F$2)&lt;0,Ft!F$3*((1-Ft!F$6)/(1+Ft!F$37*($A402-Ft!F$2)^2)+Ft!F$6*EXP(Ft!F$38*($A402-Ft!F$2)^2)),Ft!F$3*((1-Ft!F$7)/(1+Ft!F$39*($A402-Ft!F$2)^2)+Ft!F$7*EXP(Ft!F$40*($A402-Ft!F$2)^2)))</f>
        <v>72.814244892530411</v>
      </c>
      <c r="K402" s="3">
        <f>IF(($A402-Ft!G$2)&lt;0,Ft!G$3*((1-Ft!G$6)/(1+Ft!G$37*($A402-Ft!G$2)^2)+Ft!G$6*EXP(Ft!G$38*($A402-Ft!G$2)^2)),Ft!G$3*((1-Ft!G$7)/(1+Ft!G$39*($A402-Ft!G$2)^2)+Ft!G$7*EXP(Ft!G$40*($A402-Ft!G$2)^2)))</f>
        <v>3.7452262080440879</v>
      </c>
      <c r="L402" s="3">
        <f>IF(($A402-Ft!H$2)&lt;0,Ft!H$3*((1-Ft!H$6)/(1+Ft!H$37*($A402-Ft!H$2)^2)+Ft!H$6*EXP(Ft!H$38*($A402-Ft!H$2)^2)),Ft!H$3*((1-Ft!H$7)/(1+Ft!H$39*($A402-Ft!H$2)^2)+Ft!H$7*EXP(Ft!H$40*($A402-Ft!H$2)^2)))</f>
        <v>0</v>
      </c>
      <c r="M402" s="3">
        <f>IF(($A402-Ft!I$2)&lt;0,Ft!I$3*((1-Ft!I$6)/(1+Ft!I$37*($A402-Ft!I$2)^2)+Ft!I$6*EXP(Ft!I$38*($A402-Ft!I$2)^2)),Ft!I$3*((1-Ft!I$7)/(1+Ft!I$39*($A402-Ft!I$2)^2)+Ft!I$7*EXP(Ft!I$40*($A402-Ft!I$2)^2)))</f>
        <v>0</v>
      </c>
      <c r="N402" s="3">
        <f>IF(($A402-Ft!J$2)&lt;0,Ft!J$3*((1-Ft!J$6)/(1+Ft!J$37*($A402-Ft!J$2)^2)+Ft!J$6*EXP(Ft!J$38*($A402-Ft!J$2)^2)),Ft!J$3*((1-Ft!J$7)/(1+Ft!J$39*($A402-Ft!J$2)^2)+Ft!J$7*EXP(Ft!J$40*($A402-Ft!J$2)^2)))</f>
        <v>0</v>
      </c>
      <c r="O402" s="3">
        <f>IF(($A402-Ft!K$2)&lt;0,Ft!K$3*((1-Ft!K$6)/(1+Ft!K$37*($A402-Ft!K$2)^2)+Ft!K$6*EXP(Ft!K$38*($A402-Ft!K$2)^2)),Ft!K$3*((1-Ft!K$7)/(1+Ft!K$39*($A402-Ft!K$2)^2)+Ft!K$7*EXP(Ft!K$40*($A402-Ft!K$2)^2)))</f>
        <v>0</v>
      </c>
      <c r="P402"/>
      <c r="Q402"/>
    </row>
    <row r="403" spans="1:17">
      <c r="A403" s="20">
        <v>803</v>
      </c>
      <c r="B403" s="29">
        <v>53.529160413767684</v>
      </c>
      <c r="C403" s="7">
        <f t="shared" si="13"/>
        <v>53.469465803711572</v>
      </c>
      <c r="D403" s="3">
        <f t="shared" si="12"/>
        <v>3.5634464697513455E-3</v>
      </c>
      <c r="E403" s="3">
        <f>Ft!$B$12+Ft!$B$14*(Data!A403-Vars!$B$3)</f>
        <v>-200</v>
      </c>
      <c r="F403" s="3">
        <f>IF(($A403-Ft!B$2)&lt;0,Ft!B$3*((1-Ft!B$6)/(1+Ft!B$37*($A403-Ft!B$2)^2)+Ft!B$6*EXP(Ft!B$38*($A403-Ft!B$2)^2)),Ft!B$3*((1-Ft!B$7)/(1+Ft!B$39*($A403-Ft!B$2)^2)+Ft!B$7*EXP(Ft!B$40*($A403-Ft!B$2)^2)))</f>
        <v>14.760412372770794</v>
      </c>
      <c r="G403" s="3">
        <f>IF(($A403-Ft!C$2)&lt;0,Ft!C$3*((1-Ft!C$6)/(1+Ft!C$37*($A403-Ft!C$2)^2)+Ft!C$6*EXP(Ft!C$38*($A403-Ft!C$2)^2)),Ft!C$3*((1-Ft!C$7)/(1+Ft!C$39*($A403-Ft!C$2)^2)+Ft!C$7*EXP(Ft!C$40*($A403-Ft!C$2)^2)))</f>
        <v>55.656757394586656</v>
      </c>
      <c r="H403" s="3">
        <f>IF(($A403-Ft!D$2)&lt;0,Ft!D$3*((1-Ft!D$6)/(1+Ft!D$37*($A403-Ft!D$2)^2)+Ft!D$6*EXP(Ft!D$38*($A403-Ft!D$2)^2)),Ft!D$3*((1-Ft!D$7)/(1+Ft!D$39*($A403-Ft!D$2)^2)+Ft!D$7*EXP(Ft!D$40*($A403-Ft!D$2)^2)))</f>
        <v>4.1903887164703985E-41</v>
      </c>
      <c r="I403" s="3">
        <f>IF(($A403-Ft!E$2)&lt;0,Ft!E$3*((1-Ft!E$6)/(1+Ft!E$37*($A403-Ft!E$2)^2)+Ft!E$6*EXP(Ft!E$38*($A403-Ft!E$2)^2)),Ft!E$3*((1-Ft!E$7)/(1+Ft!E$39*($A403-Ft!E$2)^2)+Ft!E$7*EXP(Ft!E$40*($A403-Ft!E$2)^2)))</f>
        <v>106.25854444271307</v>
      </c>
      <c r="J403" s="3">
        <f>IF(($A403-Ft!F$2)&lt;0,Ft!F$3*((1-Ft!F$6)/(1+Ft!F$37*($A403-Ft!F$2)^2)+Ft!F$6*EXP(Ft!F$38*($A403-Ft!F$2)^2)),Ft!F$3*((1-Ft!F$7)/(1+Ft!F$39*($A403-Ft!F$2)^2)+Ft!F$7*EXP(Ft!F$40*($A403-Ft!F$2)^2)))</f>
        <v>73.134288357345497</v>
      </c>
      <c r="K403" s="3">
        <f>IF(($A403-Ft!G$2)&lt;0,Ft!G$3*((1-Ft!G$6)/(1+Ft!G$37*($A403-Ft!G$2)^2)+Ft!G$6*EXP(Ft!G$38*($A403-Ft!G$2)^2)),Ft!G$3*((1-Ft!G$7)/(1+Ft!G$39*($A403-Ft!G$2)^2)+Ft!G$7*EXP(Ft!G$40*($A403-Ft!G$2)^2)))</f>
        <v>3.6594632362955513</v>
      </c>
      <c r="L403" s="3">
        <f>IF(($A403-Ft!H$2)&lt;0,Ft!H$3*((1-Ft!H$6)/(1+Ft!H$37*($A403-Ft!H$2)^2)+Ft!H$6*EXP(Ft!H$38*($A403-Ft!H$2)^2)),Ft!H$3*((1-Ft!H$7)/(1+Ft!H$39*($A403-Ft!H$2)^2)+Ft!H$7*EXP(Ft!H$40*($A403-Ft!H$2)^2)))</f>
        <v>0</v>
      </c>
      <c r="M403" s="3">
        <f>IF(($A403-Ft!I$2)&lt;0,Ft!I$3*((1-Ft!I$6)/(1+Ft!I$37*($A403-Ft!I$2)^2)+Ft!I$6*EXP(Ft!I$38*($A403-Ft!I$2)^2)),Ft!I$3*((1-Ft!I$7)/(1+Ft!I$39*($A403-Ft!I$2)^2)+Ft!I$7*EXP(Ft!I$40*($A403-Ft!I$2)^2)))</f>
        <v>0</v>
      </c>
      <c r="N403" s="3">
        <f>IF(($A403-Ft!J$2)&lt;0,Ft!J$3*((1-Ft!J$6)/(1+Ft!J$37*($A403-Ft!J$2)^2)+Ft!J$6*EXP(Ft!J$38*($A403-Ft!J$2)^2)),Ft!J$3*((1-Ft!J$7)/(1+Ft!J$39*($A403-Ft!J$2)^2)+Ft!J$7*EXP(Ft!J$40*($A403-Ft!J$2)^2)))</f>
        <v>0</v>
      </c>
      <c r="O403" s="3">
        <f>IF(($A403-Ft!K$2)&lt;0,Ft!K$3*((1-Ft!K$6)/(1+Ft!K$37*($A403-Ft!K$2)^2)+Ft!K$6*EXP(Ft!K$38*($A403-Ft!K$2)^2)),Ft!K$3*((1-Ft!K$7)/(1+Ft!K$39*($A403-Ft!K$2)^2)+Ft!K$7*EXP(Ft!K$40*($A403-Ft!K$2)^2)))</f>
        <v>0</v>
      </c>
      <c r="P403"/>
      <c r="Q403"/>
    </row>
    <row r="404" spans="1:17">
      <c r="A404" s="20">
        <v>805</v>
      </c>
      <c r="B404" s="29">
        <v>53.341143644852593</v>
      </c>
      <c r="C404" s="7">
        <f t="shared" si="13"/>
        <v>53.327234313791216</v>
      </c>
      <c r="D404" s="3">
        <f t="shared" si="12"/>
        <v>1.9346949057499739E-4</v>
      </c>
      <c r="E404" s="3">
        <f>Ft!$B$12+Ft!$B$14*(Data!A404-Vars!$B$3)</f>
        <v>-200</v>
      </c>
      <c r="F404" s="3">
        <f>IF(($A404-Ft!B$2)&lt;0,Ft!B$3*((1-Ft!B$6)/(1+Ft!B$37*($A404-Ft!B$2)^2)+Ft!B$6*EXP(Ft!B$38*($A404-Ft!B$2)^2)),Ft!B$3*((1-Ft!B$7)/(1+Ft!B$39*($A404-Ft!B$2)^2)+Ft!B$7*EXP(Ft!B$40*($A404-Ft!B$2)^2)))</f>
        <v>14.616621134908234</v>
      </c>
      <c r="G404" s="3">
        <f>IF(($A404-Ft!C$2)&lt;0,Ft!C$3*((1-Ft!C$6)/(1+Ft!C$37*($A404-Ft!C$2)^2)+Ft!C$6*EXP(Ft!C$38*($A404-Ft!C$2)^2)),Ft!C$3*((1-Ft!C$7)/(1+Ft!C$39*($A404-Ft!C$2)^2)+Ft!C$7*EXP(Ft!C$40*($A404-Ft!C$2)^2)))</f>
        <v>55.680898444568889</v>
      </c>
      <c r="H404" s="3">
        <f>IF(($A404-Ft!D$2)&lt;0,Ft!D$3*((1-Ft!D$6)/(1+Ft!D$37*($A404-Ft!D$2)^2)+Ft!D$6*EXP(Ft!D$38*($A404-Ft!D$2)^2)),Ft!D$3*((1-Ft!D$7)/(1+Ft!D$39*($A404-Ft!D$2)^2)+Ft!D$7*EXP(Ft!D$40*($A404-Ft!D$2)^2)))</f>
        <v>1.5127375279402319E-41</v>
      </c>
      <c r="I404" s="3">
        <f>IF(($A404-Ft!E$2)&lt;0,Ft!E$3*((1-Ft!E$6)/(1+Ft!E$37*($A404-Ft!E$2)^2)+Ft!E$6*EXP(Ft!E$38*($A404-Ft!E$2)^2)),Ft!E$3*((1-Ft!E$7)/(1+Ft!E$39*($A404-Ft!E$2)^2)+Ft!E$7*EXP(Ft!E$40*($A404-Ft!E$2)^2)))</f>
        <v>105.99965060438358</v>
      </c>
      <c r="J404" s="3">
        <f>IF(($A404-Ft!F$2)&lt;0,Ft!F$3*((1-Ft!F$6)/(1+Ft!F$37*($A404-Ft!F$2)^2)+Ft!F$6*EXP(Ft!F$38*($A404-Ft!F$2)^2)),Ft!F$3*((1-Ft!F$7)/(1+Ft!F$39*($A404-Ft!F$2)^2)+Ft!F$7*EXP(Ft!F$40*($A404-Ft!F$2)^2)))</f>
        <v>73.454771085229055</v>
      </c>
      <c r="K404" s="3">
        <f>IF(($A404-Ft!G$2)&lt;0,Ft!G$3*((1-Ft!G$6)/(1+Ft!G$37*($A404-Ft!G$2)^2)+Ft!G$6*EXP(Ft!G$38*($A404-Ft!G$2)^2)),Ft!G$3*((1-Ft!G$7)/(1+Ft!G$39*($A404-Ft!G$2)^2)+Ft!G$7*EXP(Ft!G$40*($A404-Ft!G$2)^2)))</f>
        <v>3.5752930447014633</v>
      </c>
      <c r="L404" s="3">
        <f>IF(($A404-Ft!H$2)&lt;0,Ft!H$3*((1-Ft!H$6)/(1+Ft!H$37*($A404-Ft!H$2)^2)+Ft!H$6*EXP(Ft!H$38*($A404-Ft!H$2)^2)),Ft!H$3*((1-Ft!H$7)/(1+Ft!H$39*($A404-Ft!H$2)^2)+Ft!H$7*EXP(Ft!H$40*($A404-Ft!H$2)^2)))</f>
        <v>0</v>
      </c>
      <c r="M404" s="3">
        <f>IF(($A404-Ft!I$2)&lt;0,Ft!I$3*((1-Ft!I$6)/(1+Ft!I$37*($A404-Ft!I$2)^2)+Ft!I$6*EXP(Ft!I$38*($A404-Ft!I$2)^2)),Ft!I$3*((1-Ft!I$7)/(1+Ft!I$39*($A404-Ft!I$2)^2)+Ft!I$7*EXP(Ft!I$40*($A404-Ft!I$2)^2)))</f>
        <v>0</v>
      </c>
      <c r="N404" s="3">
        <f>IF(($A404-Ft!J$2)&lt;0,Ft!J$3*((1-Ft!J$6)/(1+Ft!J$37*($A404-Ft!J$2)^2)+Ft!J$6*EXP(Ft!J$38*($A404-Ft!J$2)^2)),Ft!J$3*((1-Ft!J$7)/(1+Ft!J$39*($A404-Ft!J$2)^2)+Ft!J$7*EXP(Ft!J$40*($A404-Ft!J$2)^2)))</f>
        <v>0</v>
      </c>
      <c r="O404" s="3">
        <f>IF(($A404-Ft!K$2)&lt;0,Ft!K$3*((1-Ft!K$6)/(1+Ft!K$37*($A404-Ft!K$2)^2)+Ft!K$6*EXP(Ft!K$38*($A404-Ft!K$2)^2)),Ft!K$3*((1-Ft!K$7)/(1+Ft!K$39*($A404-Ft!K$2)^2)+Ft!K$7*EXP(Ft!K$40*($A404-Ft!K$2)^2)))</f>
        <v>0</v>
      </c>
      <c r="P404"/>
      <c r="Q404"/>
    </row>
    <row r="405" spans="1:17">
      <c r="A405" s="20">
        <v>807</v>
      </c>
      <c r="B405" s="29">
        <v>53.150748895530356</v>
      </c>
      <c r="C405" s="7">
        <f t="shared" si="13"/>
        <v>53.182151676099032</v>
      </c>
      <c r="D405" s="3">
        <f t="shared" si="12"/>
        <v>9.8613462744443327E-4</v>
      </c>
      <c r="E405" s="3">
        <f>Ft!$B$12+Ft!$B$14*(Data!A405-Vars!$B$3)</f>
        <v>-200</v>
      </c>
      <c r="F405" s="3">
        <f>IF(($A405-Ft!B$2)&lt;0,Ft!B$3*((1-Ft!B$6)/(1+Ft!B$37*($A405-Ft!B$2)^2)+Ft!B$6*EXP(Ft!B$38*($A405-Ft!B$2)^2)),Ft!B$3*((1-Ft!B$7)/(1+Ft!B$39*($A405-Ft!B$2)^2)+Ft!B$7*EXP(Ft!B$40*($A405-Ft!B$2)^2)))</f>
        <v>14.473954402197537</v>
      </c>
      <c r="G405" s="3">
        <f>IF(($A405-Ft!C$2)&lt;0,Ft!C$3*((1-Ft!C$6)/(1+Ft!C$37*($A405-Ft!C$2)^2)+Ft!C$6*EXP(Ft!C$38*($A405-Ft!C$2)^2)),Ft!C$3*((1-Ft!C$7)/(1+Ft!C$39*($A405-Ft!C$2)^2)+Ft!C$7*EXP(Ft!C$40*($A405-Ft!C$2)^2)))</f>
        <v>55.704557770676487</v>
      </c>
      <c r="H405" s="3">
        <f>IF(($A405-Ft!D$2)&lt;0,Ft!D$3*((1-Ft!D$6)/(1+Ft!D$37*($A405-Ft!D$2)^2)+Ft!D$6*EXP(Ft!D$38*($A405-Ft!D$2)^2)),Ft!D$3*((1-Ft!D$7)/(1+Ft!D$39*($A405-Ft!D$2)^2)+Ft!D$7*EXP(Ft!D$40*($A405-Ft!D$2)^2)))</f>
        <v>5.4309641676406448E-42</v>
      </c>
      <c r="I405" s="3">
        <f>IF(($A405-Ft!E$2)&lt;0,Ft!E$3*((1-Ft!E$6)/(1+Ft!E$37*($A405-Ft!E$2)^2)+Ft!E$6*EXP(Ft!E$38*($A405-Ft!E$2)^2)),Ft!E$3*((1-Ft!E$7)/(1+Ft!E$39*($A405-Ft!E$2)^2)+Ft!E$7*EXP(Ft!E$40*($A405-Ft!E$2)^2)))</f>
        <v>105.73525669250232</v>
      </c>
      <c r="J405" s="3">
        <f>IF(($A405-Ft!F$2)&lt;0,Ft!F$3*((1-Ft!F$6)/(1+Ft!F$37*($A405-Ft!F$2)^2)+Ft!F$6*EXP(Ft!F$38*($A405-Ft!F$2)^2)),Ft!F$3*((1-Ft!F$7)/(1+Ft!F$39*($A405-Ft!F$2)^2)+Ft!F$7*EXP(Ft!F$40*($A405-Ft!F$2)^2)))</f>
        <v>73.775686540850771</v>
      </c>
      <c r="K405" s="3">
        <f>IF(($A405-Ft!G$2)&lt;0,Ft!G$3*((1-Ft!G$6)/(1+Ft!G$37*($A405-Ft!G$2)^2)+Ft!G$6*EXP(Ft!G$38*($A405-Ft!G$2)^2)),Ft!G$3*((1-Ft!G$7)/(1+Ft!G$39*($A405-Ft!G$2)^2)+Ft!G$7*EXP(Ft!G$40*($A405-Ft!G$2)^2)))</f>
        <v>3.4926962698719093</v>
      </c>
      <c r="L405" s="3">
        <f>IF(($A405-Ft!H$2)&lt;0,Ft!H$3*((1-Ft!H$6)/(1+Ft!H$37*($A405-Ft!H$2)^2)+Ft!H$6*EXP(Ft!H$38*($A405-Ft!H$2)^2)),Ft!H$3*((1-Ft!H$7)/(1+Ft!H$39*($A405-Ft!H$2)^2)+Ft!H$7*EXP(Ft!H$40*($A405-Ft!H$2)^2)))</f>
        <v>0</v>
      </c>
      <c r="M405" s="3">
        <f>IF(($A405-Ft!I$2)&lt;0,Ft!I$3*((1-Ft!I$6)/(1+Ft!I$37*($A405-Ft!I$2)^2)+Ft!I$6*EXP(Ft!I$38*($A405-Ft!I$2)^2)),Ft!I$3*((1-Ft!I$7)/(1+Ft!I$39*($A405-Ft!I$2)^2)+Ft!I$7*EXP(Ft!I$40*($A405-Ft!I$2)^2)))</f>
        <v>0</v>
      </c>
      <c r="N405" s="3">
        <f>IF(($A405-Ft!J$2)&lt;0,Ft!J$3*((1-Ft!J$6)/(1+Ft!J$37*($A405-Ft!J$2)^2)+Ft!J$6*EXP(Ft!J$38*($A405-Ft!J$2)^2)),Ft!J$3*((1-Ft!J$7)/(1+Ft!J$39*($A405-Ft!J$2)^2)+Ft!J$7*EXP(Ft!J$40*($A405-Ft!J$2)^2)))</f>
        <v>0</v>
      </c>
      <c r="O405" s="3">
        <f>IF(($A405-Ft!K$2)&lt;0,Ft!K$3*((1-Ft!K$6)/(1+Ft!K$37*($A405-Ft!K$2)^2)+Ft!K$6*EXP(Ft!K$38*($A405-Ft!K$2)^2)),Ft!K$3*((1-Ft!K$7)/(1+Ft!K$39*($A405-Ft!K$2)^2)+Ft!K$7*EXP(Ft!K$40*($A405-Ft!K$2)^2)))</f>
        <v>0</v>
      </c>
      <c r="P405"/>
      <c r="Q405"/>
    </row>
    <row r="406" spans="1:17">
      <c r="A406" s="20">
        <v>809</v>
      </c>
      <c r="B406" s="29">
        <v>52.958341823527121</v>
      </c>
      <c r="C406" s="7">
        <f t="shared" si="13"/>
        <v>53.034230068542008</v>
      </c>
      <c r="D406" s="3">
        <f t="shared" si="12"/>
        <v>5.7590257314395895E-3</v>
      </c>
      <c r="E406" s="3">
        <f>Ft!$B$12+Ft!$B$14*(Data!A406-Vars!$B$3)</f>
        <v>-200</v>
      </c>
      <c r="F406" s="3">
        <f>IF(($A406-Ft!B$2)&lt;0,Ft!B$3*((1-Ft!B$6)/(1+Ft!B$37*($A406-Ft!B$2)^2)+Ft!B$6*EXP(Ft!B$38*($A406-Ft!B$2)^2)),Ft!B$3*((1-Ft!B$7)/(1+Ft!B$39*($A406-Ft!B$2)^2)+Ft!B$7*EXP(Ft!B$40*($A406-Ft!B$2)^2)))</f>
        <v>14.332406618270435</v>
      </c>
      <c r="G406" s="3">
        <f>IF(($A406-Ft!C$2)&lt;0,Ft!C$3*((1-Ft!C$6)/(1+Ft!C$37*($A406-Ft!C$2)^2)+Ft!C$6*EXP(Ft!C$38*($A406-Ft!C$2)^2)),Ft!C$3*((1-Ft!C$7)/(1+Ft!C$39*($A406-Ft!C$2)^2)+Ft!C$7*EXP(Ft!C$40*($A406-Ft!C$2)^2)))</f>
        <v>55.727734750036682</v>
      </c>
      <c r="H406" s="3">
        <f>IF(($A406-Ft!D$2)&lt;0,Ft!D$3*((1-Ft!D$6)/(1+Ft!D$37*($A406-Ft!D$2)^2)+Ft!D$6*EXP(Ft!D$38*($A406-Ft!D$2)^2)),Ft!D$3*((1-Ft!D$7)/(1+Ft!D$39*($A406-Ft!D$2)^2)+Ft!D$7*EXP(Ft!D$40*($A406-Ft!D$2)^2)))</f>
        <v>1.9390739899417012E-42</v>
      </c>
      <c r="I406" s="3">
        <f>IF(($A406-Ft!E$2)&lt;0,Ft!E$3*((1-Ft!E$6)/(1+Ft!E$37*($A406-Ft!E$2)^2)+Ft!E$6*EXP(Ft!E$38*($A406-Ft!E$2)^2)),Ft!E$3*((1-Ft!E$7)/(1+Ft!E$39*($A406-Ft!E$2)^2)+Ft!E$7*EXP(Ft!E$40*($A406-Ft!E$2)^2)))</f>
        <v>105.46540704658335</v>
      </c>
      <c r="J406" s="3">
        <f>IF(($A406-Ft!F$2)&lt;0,Ft!F$3*((1-Ft!F$6)/(1+Ft!F$37*($A406-Ft!F$2)^2)+Ft!F$6*EXP(Ft!F$38*($A406-Ft!F$2)^2)),Ft!F$3*((1-Ft!F$7)/(1+Ft!F$39*($A406-Ft!F$2)^2)+Ft!F$7*EXP(Ft!F$40*($A406-Ft!F$2)^2)))</f>
        <v>74.097028143150254</v>
      </c>
      <c r="K406" s="3">
        <f>IF(($A406-Ft!G$2)&lt;0,Ft!G$3*((1-Ft!G$6)/(1+Ft!G$37*($A406-Ft!G$2)^2)+Ft!G$6*EXP(Ft!G$38*($A406-Ft!G$2)^2)),Ft!G$3*((1-Ft!G$7)/(1+Ft!G$39*($A406-Ft!G$2)^2)+Ft!G$7*EXP(Ft!G$40*($A406-Ft!G$2)^2)))</f>
        <v>3.4116535105012886</v>
      </c>
      <c r="L406" s="3">
        <f>IF(($A406-Ft!H$2)&lt;0,Ft!H$3*((1-Ft!H$6)/(1+Ft!H$37*($A406-Ft!H$2)^2)+Ft!H$6*EXP(Ft!H$38*($A406-Ft!H$2)^2)),Ft!H$3*((1-Ft!H$7)/(1+Ft!H$39*($A406-Ft!H$2)^2)+Ft!H$7*EXP(Ft!H$40*($A406-Ft!H$2)^2)))</f>
        <v>0</v>
      </c>
      <c r="M406" s="3">
        <f>IF(($A406-Ft!I$2)&lt;0,Ft!I$3*((1-Ft!I$6)/(1+Ft!I$37*($A406-Ft!I$2)^2)+Ft!I$6*EXP(Ft!I$38*($A406-Ft!I$2)^2)),Ft!I$3*((1-Ft!I$7)/(1+Ft!I$39*($A406-Ft!I$2)^2)+Ft!I$7*EXP(Ft!I$40*($A406-Ft!I$2)^2)))</f>
        <v>0</v>
      </c>
      <c r="N406" s="3">
        <f>IF(($A406-Ft!J$2)&lt;0,Ft!J$3*((1-Ft!J$6)/(1+Ft!J$37*($A406-Ft!J$2)^2)+Ft!J$6*EXP(Ft!J$38*($A406-Ft!J$2)^2)),Ft!J$3*((1-Ft!J$7)/(1+Ft!J$39*($A406-Ft!J$2)^2)+Ft!J$7*EXP(Ft!J$40*($A406-Ft!J$2)^2)))</f>
        <v>0</v>
      </c>
      <c r="O406" s="3">
        <f>IF(($A406-Ft!K$2)&lt;0,Ft!K$3*((1-Ft!K$6)/(1+Ft!K$37*($A406-Ft!K$2)^2)+Ft!K$6*EXP(Ft!K$38*($A406-Ft!K$2)^2)),Ft!K$3*((1-Ft!K$7)/(1+Ft!K$39*($A406-Ft!K$2)^2)+Ft!K$7*EXP(Ft!K$40*($A406-Ft!K$2)^2)))</f>
        <v>0</v>
      </c>
      <c r="P406"/>
      <c r="Q406"/>
    </row>
    <row r="407" spans="1:17">
      <c r="A407" s="20">
        <v>811</v>
      </c>
      <c r="B407" s="29">
        <v>52.764262767570528</v>
      </c>
      <c r="C407" s="7">
        <f t="shared" si="13"/>
        <v>52.883482433308444</v>
      </c>
      <c r="D407" s="3">
        <f t="shared" si="12"/>
        <v>1.4213328698660339E-2</v>
      </c>
      <c r="E407" s="3">
        <f>Ft!$B$12+Ft!$B$14*(Data!A407-Vars!$B$3)</f>
        <v>-200</v>
      </c>
      <c r="F407" s="3">
        <f>IF(($A407-Ft!B$2)&lt;0,Ft!B$3*((1-Ft!B$6)/(1+Ft!B$37*($A407-Ft!B$2)^2)+Ft!B$6*EXP(Ft!B$38*($A407-Ft!B$2)^2)),Ft!B$3*((1-Ft!B$7)/(1+Ft!B$39*($A407-Ft!B$2)^2)+Ft!B$7*EXP(Ft!B$40*($A407-Ft!B$2)^2)))</f>
        <v>14.191972217287249</v>
      </c>
      <c r="G407" s="3">
        <f>IF(($A407-Ft!C$2)&lt;0,Ft!C$3*((1-Ft!C$6)/(1+Ft!C$37*($A407-Ft!C$2)^2)+Ft!C$6*EXP(Ft!C$38*($A407-Ft!C$2)^2)),Ft!C$3*((1-Ft!C$7)/(1+Ft!C$39*($A407-Ft!C$2)^2)+Ft!C$7*EXP(Ft!C$40*($A407-Ft!C$2)^2)))</f>
        <v>55.750428772303117</v>
      </c>
      <c r="H407" s="3">
        <f>IF(($A407-Ft!D$2)&lt;0,Ft!D$3*((1-Ft!D$6)/(1+Ft!D$37*($A407-Ft!D$2)^2)+Ft!D$6*EXP(Ft!D$38*($A407-Ft!D$2)^2)),Ft!D$3*((1-Ft!D$7)/(1+Ft!D$39*($A407-Ft!D$2)^2)+Ft!D$7*EXP(Ft!D$40*($A407-Ft!D$2)^2)))</f>
        <v>6.8851897177821971E-43</v>
      </c>
      <c r="I407" s="3">
        <f>IF(($A407-Ft!E$2)&lt;0,Ft!E$3*((1-Ft!E$6)/(1+Ft!E$37*($A407-Ft!E$2)^2)+Ft!E$6*EXP(Ft!E$38*($A407-Ft!E$2)^2)),Ft!E$3*((1-Ft!E$7)/(1+Ft!E$39*($A407-Ft!E$2)^2)+Ft!E$7*EXP(Ft!E$40*($A407-Ft!E$2)^2)))</f>
        <v>105.19014684202794</v>
      </c>
      <c r="J407" s="3">
        <f>IF(($A407-Ft!F$2)&lt;0,Ft!F$3*((1-Ft!F$6)/(1+Ft!F$37*($A407-Ft!F$2)^2)+Ft!F$6*EXP(Ft!F$38*($A407-Ft!F$2)^2)),Ft!F$3*((1-Ft!F$7)/(1+Ft!F$39*($A407-Ft!F$2)^2)+Ft!F$7*EXP(Ft!F$40*($A407-Ft!F$2)^2)))</f>
        <v>74.418789265484619</v>
      </c>
      <c r="K407" s="3">
        <f>IF(($A407-Ft!G$2)&lt;0,Ft!G$3*((1-Ft!G$6)/(1+Ft!G$37*($A407-Ft!G$2)^2)+Ft!G$6*EXP(Ft!G$38*($A407-Ft!G$2)^2)),Ft!G$3*((1-Ft!G$7)/(1+Ft!G$39*($A407-Ft!G$2)^2)+Ft!G$7*EXP(Ft!G$40*($A407-Ft!G$2)^2)))</f>
        <v>3.3321453362055116</v>
      </c>
      <c r="L407" s="3">
        <f>IF(($A407-Ft!H$2)&lt;0,Ft!H$3*((1-Ft!H$6)/(1+Ft!H$37*($A407-Ft!H$2)^2)+Ft!H$6*EXP(Ft!H$38*($A407-Ft!H$2)^2)),Ft!H$3*((1-Ft!H$7)/(1+Ft!H$39*($A407-Ft!H$2)^2)+Ft!H$7*EXP(Ft!H$40*($A407-Ft!H$2)^2)))</f>
        <v>0</v>
      </c>
      <c r="M407" s="3">
        <f>IF(($A407-Ft!I$2)&lt;0,Ft!I$3*((1-Ft!I$6)/(1+Ft!I$37*($A407-Ft!I$2)^2)+Ft!I$6*EXP(Ft!I$38*($A407-Ft!I$2)^2)),Ft!I$3*((1-Ft!I$7)/(1+Ft!I$39*($A407-Ft!I$2)^2)+Ft!I$7*EXP(Ft!I$40*($A407-Ft!I$2)^2)))</f>
        <v>0</v>
      </c>
      <c r="N407" s="3">
        <f>IF(($A407-Ft!J$2)&lt;0,Ft!J$3*((1-Ft!J$6)/(1+Ft!J$37*($A407-Ft!J$2)^2)+Ft!J$6*EXP(Ft!J$38*($A407-Ft!J$2)^2)),Ft!J$3*((1-Ft!J$7)/(1+Ft!J$39*($A407-Ft!J$2)^2)+Ft!J$7*EXP(Ft!J$40*($A407-Ft!J$2)^2)))</f>
        <v>0</v>
      </c>
      <c r="O407" s="3">
        <f>IF(($A407-Ft!K$2)&lt;0,Ft!K$3*((1-Ft!K$6)/(1+Ft!K$37*($A407-Ft!K$2)^2)+Ft!K$6*EXP(Ft!K$38*($A407-Ft!K$2)^2)),Ft!K$3*((1-Ft!K$7)/(1+Ft!K$39*($A407-Ft!K$2)^2)+Ft!K$7*EXP(Ft!K$40*($A407-Ft!K$2)^2)))</f>
        <v>0</v>
      </c>
      <c r="P407"/>
      <c r="Q407"/>
    </row>
    <row r="408" spans="1:17">
      <c r="A408" s="20">
        <v>813</v>
      </c>
      <c r="B408" s="29">
        <v>52.56882362149554</v>
      </c>
      <c r="C408" s="7">
        <f t="shared" si="13"/>
        <v>52.729922473612376</v>
      </c>
      <c r="D408" s="3">
        <f t="shared" si="12"/>
        <v>2.595284015336239E-2</v>
      </c>
      <c r="E408" s="3">
        <f>Ft!$B$12+Ft!$B$14*(Data!A408-Vars!$B$3)</f>
        <v>-200</v>
      </c>
      <c r="F408" s="3">
        <f>IF(($A408-Ft!B$2)&lt;0,Ft!B$3*((1-Ft!B$6)/(1+Ft!B$37*($A408-Ft!B$2)^2)+Ft!B$6*EXP(Ft!B$38*($A408-Ft!B$2)^2)),Ft!B$3*((1-Ft!B$7)/(1+Ft!B$39*($A408-Ft!B$2)^2)+Ft!B$7*EXP(Ft!B$40*($A408-Ft!B$2)^2)))</f>
        <v>14.052645624452362</v>
      </c>
      <c r="G408" s="3">
        <f>IF(($A408-Ft!C$2)&lt;0,Ft!C$3*((1-Ft!C$6)/(1+Ft!C$37*($A408-Ft!C$2)^2)+Ft!C$6*EXP(Ft!C$38*($A408-Ft!C$2)^2)),Ft!C$3*((1-Ft!C$7)/(1+Ft!C$39*($A408-Ft!C$2)^2)+Ft!C$7*EXP(Ft!C$40*($A408-Ft!C$2)^2)))</f>
        <v>55.772639239682675</v>
      </c>
      <c r="H408" s="3">
        <f>IF(($A408-Ft!D$2)&lt;0,Ft!D$3*((1-Ft!D$6)/(1+Ft!D$37*($A408-Ft!D$2)^2)+Ft!D$6*EXP(Ft!D$38*($A408-Ft!D$2)^2)),Ft!D$3*((1-Ft!D$7)/(1+Ft!D$39*($A408-Ft!D$2)^2)+Ft!D$7*EXP(Ft!D$40*($A408-Ft!D$2)^2)))</f>
        <v>2.4313166778817209E-43</v>
      </c>
      <c r="I408" s="3">
        <f>IF(($A408-Ft!E$2)&lt;0,Ft!E$3*((1-Ft!E$6)/(1+Ft!E$37*($A408-Ft!E$2)^2)+Ft!E$6*EXP(Ft!E$38*($A408-Ft!E$2)^2)),Ft!E$3*((1-Ft!E$7)/(1+Ft!E$39*($A408-Ft!E$2)^2)+Ft!E$7*EXP(Ft!E$40*($A408-Ft!E$2)^2)))</f>
        <v>104.90952207752797</v>
      </c>
      <c r="J408" s="3">
        <f>IF(($A408-Ft!F$2)&lt;0,Ft!F$3*((1-Ft!F$6)/(1+Ft!F$37*($A408-Ft!F$2)^2)+Ft!F$6*EXP(Ft!F$38*($A408-Ft!F$2)^2)),Ft!F$3*((1-Ft!F$7)/(1+Ft!F$39*($A408-Ft!F$2)^2)+Ft!F$7*EXP(Ft!F$40*($A408-Ft!F$2)^2)))</f>
        <v>74.740963235779873</v>
      </c>
      <c r="K408" s="3">
        <f>IF(($A408-Ft!G$2)&lt;0,Ft!G$3*((1-Ft!G$6)/(1+Ft!G$37*($A408-Ft!G$2)^2)+Ft!G$6*EXP(Ft!G$38*($A408-Ft!G$2)^2)),Ft!G$3*((1-Ft!G$7)/(1+Ft!G$39*($A408-Ft!G$2)^2)+Ft!G$7*EXP(Ft!G$40*($A408-Ft!G$2)^2)))</f>
        <v>3.2541522961695111</v>
      </c>
      <c r="L408" s="3">
        <f>IF(($A408-Ft!H$2)&lt;0,Ft!H$3*((1-Ft!H$6)/(1+Ft!H$37*($A408-Ft!H$2)^2)+Ft!H$6*EXP(Ft!H$38*($A408-Ft!H$2)^2)),Ft!H$3*((1-Ft!H$7)/(1+Ft!H$39*($A408-Ft!H$2)^2)+Ft!H$7*EXP(Ft!H$40*($A408-Ft!H$2)^2)))</f>
        <v>0</v>
      </c>
      <c r="M408" s="3">
        <f>IF(($A408-Ft!I$2)&lt;0,Ft!I$3*((1-Ft!I$6)/(1+Ft!I$37*($A408-Ft!I$2)^2)+Ft!I$6*EXP(Ft!I$38*($A408-Ft!I$2)^2)),Ft!I$3*((1-Ft!I$7)/(1+Ft!I$39*($A408-Ft!I$2)^2)+Ft!I$7*EXP(Ft!I$40*($A408-Ft!I$2)^2)))</f>
        <v>0</v>
      </c>
      <c r="N408" s="3">
        <f>IF(($A408-Ft!J$2)&lt;0,Ft!J$3*((1-Ft!J$6)/(1+Ft!J$37*($A408-Ft!J$2)^2)+Ft!J$6*EXP(Ft!J$38*($A408-Ft!J$2)^2)),Ft!J$3*((1-Ft!J$7)/(1+Ft!J$39*($A408-Ft!J$2)^2)+Ft!J$7*EXP(Ft!J$40*($A408-Ft!J$2)^2)))</f>
        <v>0</v>
      </c>
      <c r="O408" s="3">
        <f>IF(($A408-Ft!K$2)&lt;0,Ft!K$3*((1-Ft!K$6)/(1+Ft!K$37*($A408-Ft!K$2)^2)+Ft!K$6*EXP(Ft!K$38*($A408-Ft!K$2)^2)),Ft!K$3*((1-Ft!K$7)/(1+Ft!K$39*($A408-Ft!K$2)^2)+Ft!K$7*EXP(Ft!K$40*($A408-Ft!K$2)^2)))</f>
        <v>0</v>
      </c>
      <c r="P408"/>
      <c r="Q408"/>
    </row>
    <row r="409" spans="1:17">
      <c r="A409" s="20">
        <v>815</v>
      </c>
      <c r="B409" s="29">
        <v>52.372305432290915</v>
      </c>
      <c r="C409" s="7">
        <f t="shared" si="13"/>
        <v>52.57356465004036</v>
      </c>
      <c r="D409" s="3">
        <f t="shared" si="12"/>
        <v>4.0505272729118698E-2</v>
      </c>
      <c r="E409" s="3">
        <f>Ft!$B$12+Ft!$B$14*(Data!A409-Vars!$B$3)</f>
        <v>-200</v>
      </c>
      <c r="F409" s="3">
        <f>IF(($A409-Ft!B$2)&lt;0,Ft!B$3*((1-Ft!B$6)/(1+Ft!B$37*($A409-Ft!B$2)^2)+Ft!B$6*EXP(Ft!B$38*($A409-Ft!B$2)^2)),Ft!B$3*((1-Ft!B$7)/(1+Ft!B$39*($A409-Ft!B$2)^2)+Ft!B$7*EXP(Ft!B$40*($A409-Ft!B$2)^2)))</f>
        <v>13.914421256525456</v>
      </c>
      <c r="G409" s="3">
        <f>IF(($A409-Ft!C$2)&lt;0,Ft!C$3*((1-Ft!C$6)/(1+Ft!C$37*($A409-Ft!C$2)^2)+Ft!C$6*EXP(Ft!C$38*($A409-Ft!C$2)^2)),Ft!C$3*((1-Ft!C$7)/(1+Ft!C$39*($A409-Ft!C$2)^2)+Ft!C$7*EXP(Ft!C$40*($A409-Ft!C$2)^2)))</f>
        <v>55.794365566961702</v>
      </c>
      <c r="H409" s="3">
        <f>IF(($A409-Ft!D$2)&lt;0,Ft!D$3*((1-Ft!D$6)/(1+Ft!D$37*($A409-Ft!D$2)^2)+Ft!D$6*EXP(Ft!D$38*($A409-Ft!D$2)^2)),Ft!D$3*((1-Ft!D$7)/(1+Ft!D$39*($A409-Ft!D$2)^2)+Ft!D$7*EXP(Ft!D$40*($A409-Ft!D$2)^2)))</f>
        <v>8.5382965381830531E-44</v>
      </c>
      <c r="I409" s="3">
        <f>IF(($A409-Ft!E$2)&lt;0,Ft!E$3*((1-Ft!E$6)/(1+Ft!E$37*($A409-Ft!E$2)^2)+Ft!E$6*EXP(Ft!E$38*($A409-Ft!E$2)^2)),Ft!E$3*((1-Ft!E$7)/(1+Ft!E$39*($A409-Ft!E$2)^2)+Ft!E$7*EXP(Ft!E$40*($A409-Ft!E$2)^2)))</f>
        <v>104.62357956226317</v>
      </c>
      <c r="J409" s="3">
        <f>IF(($A409-Ft!F$2)&lt;0,Ft!F$3*((1-Ft!F$6)/(1+Ft!F$37*($A409-Ft!F$2)^2)+Ft!F$6*EXP(Ft!F$38*($A409-Ft!F$2)^2)),Ft!F$3*((1-Ft!F$7)/(1+Ft!F$39*($A409-Ft!F$2)^2)+Ft!F$7*EXP(Ft!F$40*($A409-Ft!F$2)^2)))</f>
        <v>75.063543336685868</v>
      </c>
      <c r="K409" s="3">
        <f>IF(($A409-Ft!G$2)&lt;0,Ft!G$3*((1-Ft!G$6)/(1+Ft!G$37*($A409-Ft!G$2)^2)+Ft!G$6*EXP(Ft!G$38*($A409-Ft!G$2)^2)),Ft!G$3*((1-Ft!G$7)/(1+Ft!G$39*($A409-Ft!G$2)^2)+Ft!G$7*EXP(Ft!G$40*($A409-Ft!G$2)^2)))</f>
        <v>3.1776549276041455</v>
      </c>
      <c r="L409" s="3">
        <f>IF(($A409-Ft!H$2)&lt;0,Ft!H$3*((1-Ft!H$6)/(1+Ft!H$37*($A409-Ft!H$2)^2)+Ft!H$6*EXP(Ft!H$38*($A409-Ft!H$2)^2)),Ft!H$3*((1-Ft!H$7)/(1+Ft!H$39*($A409-Ft!H$2)^2)+Ft!H$7*EXP(Ft!H$40*($A409-Ft!H$2)^2)))</f>
        <v>0</v>
      </c>
      <c r="M409" s="3">
        <f>IF(($A409-Ft!I$2)&lt;0,Ft!I$3*((1-Ft!I$6)/(1+Ft!I$37*($A409-Ft!I$2)^2)+Ft!I$6*EXP(Ft!I$38*($A409-Ft!I$2)^2)),Ft!I$3*((1-Ft!I$7)/(1+Ft!I$39*($A409-Ft!I$2)^2)+Ft!I$7*EXP(Ft!I$40*($A409-Ft!I$2)^2)))</f>
        <v>0</v>
      </c>
      <c r="N409" s="3">
        <f>IF(($A409-Ft!J$2)&lt;0,Ft!J$3*((1-Ft!J$6)/(1+Ft!J$37*($A409-Ft!J$2)^2)+Ft!J$6*EXP(Ft!J$38*($A409-Ft!J$2)^2)),Ft!J$3*((1-Ft!J$7)/(1+Ft!J$39*($A409-Ft!J$2)^2)+Ft!J$7*EXP(Ft!J$40*($A409-Ft!J$2)^2)))</f>
        <v>0</v>
      </c>
      <c r="O409" s="3">
        <f>IF(($A409-Ft!K$2)&lt;0,Ft!K$3*((1-Ft!K$6)/(1+Ft!K$37*($A409-Ft!K$2)^2)+Ft!K$6*EXP(Ft!K$38*($A409-Ft!K$2)^2)),Ft!K$3*((1-Ft!K$7)/(1+Ft!K$39*($A409-Ft!K$2)^2)+Ft!K$7*EXP(Ft!K$40*($A409-Ft!K$2)^2)))</f>
        <v>0</v>
      </c>
      <c r="P409"/>
      <c r="Q409"/>
    </row>
    <row r="410" spans="1:17">
      <c r="A410" s="20">
        <v>817</v>
      </c>
      <c r="B410" s="29">
        <v>52.174956725013473</v>
      </c>
      <c r="C410" s="7">
        <f t="shared" si="13"/>
        <v>52.414424176504802</v>
      </c>
      <c r="D410" s="3">
        <f t="shared" si="12"/>
        <v>5.7344660323752052E-2</v>
      </c>
      <c r="E410" s="3">
        <f>Ft!$B$12+Ft!$B$14*(Data!A410-Vars!$B$3)</f>
        <v>-200</v>
      </c>
      <c r="F410" s="3">
        <f>IF(($A410-Ft!B$2)&lt;0,Ft!B$3*((1-Ft!B$6)/(1+Ft!B$37*($A410-Ft!B$2)^2)+Ft!B$6*EXP(Ft!B$38*($A410-Ft!B$2)^2)),Ft!B$3*((1-Ft!B$7)/(1+Ft!B$39*($A410-Ft!B$2)^2)+Ft!B$7*EXP(Ft!B$40*($A410-Ft!B$2)^2)))</f>
        <v>13.777293522328632</v>
      </c>
      <c r="G410" s="3">
        <f>IF(($A410-Ft!C$2)&lt;0,Ft!C$3*((1-Ft!C$6)/(1+Ft!C$37*($A410-Ft!C$2)^2)+Ft!C$6*EXP(Ft!C$38*($A410-Ft!C$2)^2)),Ft!C$3*((1-Ft!C$7)/(1+Ft!C$39*($A410-Ft!C$2)^2)+Ft!C$7*EXP(Ft!C$40*($A410-Ft!C$2)^2)))</f>
        <v>55.815607181531668</v>
      </c>
      <c r="H410" s="3">
        <f>IF(($A410-Ft!D$2)&lt;0,Ft!D$3*((1-Ft!D$6)/(1+Ft!D$37*($A410-Ft!D$2)^2)+Ft!D$6*EXP(Ft!D$38*($A410-Ft!D$2)^2)),Ft!D$3*((1-Ft!D$7)/(1+Ft!D$39*($A410-Ft!D$2)^2)+Ft!D$7*EXP(Ft!D$40*($A410-Ft!D$2)^2)))</f>
        <v>2.9819820560183546E-44</v>
      </c>
      <c r="I410" s="3">
        <f>IF(($A410-Ft!E$2)&lt;0,Ft!E$3*((1-Ft!E$6)/(1+Ft!E$37*($A410-Ft!E$2)^2)+Ft!E$6*EXP(Ft!E$38*($A410-Ft!E$2)^2)),Ft!E$3*((1-Ft!E$7)/(1+Ft!E$39*($A410-Ft!E$2)^2)+Ft!E$7*EXP(Ft!E$40*($A410-Ft!E$2)^2)))</f>
        <v>104.33236690289783</v>
      </c>
      <c r="J410" s="3">
        <f>IF(($A410-Ft!F$2)&lt;0,Ft!F$3*((1-Ft!F$6)/(1+Ft!F$37*($A410-Ft!F$2)^2)+Ft!F$6*EXP(Ft!F$38*($A410-Ft!F$2)^2)),Ft!F$3*((1-Ft!F$7)/(1+Ft!F$39*($A410-Ft!F$2)^2)+Ft!F$7*EXP(Ft!F$40*($A410-Ft!F$2)^2)))</f>
        <v>75.386522805734927</v>
      </c>
      <c r="K410" s="3">
        <f>IF(($A410-Ft!G$2)&lt;0,Ft!G$3*((1-Ft!G$6)/(1+Ft!G$37*($A410-Ft!G$2)^2)+Ft!G$6*EXP(Ft!G$38*($A410-Ft!G$2)^2)),Ft!G$3*((1-Ft!G$7)/(1+Ft!G$39*($A410-Ft!G$2)^2)+Ft!G$7*EXP(Ft!G$40*($A410-Ft!G$2)^2)))</f>
        <v>3.1026337640117458</v>
      </c>
      <c r="L410" s="3">
        <f>IF(($A410-Ft!H$2)&lt;0,Ft!H$3*((1-Ft!H$6)/(1+Ft!H$37*($A410-Ft!H$2)^2)+Ft!H$6*EXP(Ft!H$38*($A410-Ft!H$2)^2)),Ft!H$3*((1-Ft!H$7)/(1+Ft!H$39*($A410-Ft!H$2)^2)+Ft!H$7*EXP(Ft!H$40*($A410-Ft!H$2)^2)))</f>
        <v>0</v>
      </c>
      <c r="M410" s="3">
        <f>IF(($A410-Ft!I$2)&lt;0,Ft!I$3*((1-Ft!I$6)/(1+Ft!I$37*($A410-Ft!I$2)^2)+Ft!I$6*EXP(Ft!I$38*($A410-Ft!I$2)^2)),Ft!I$3*((1-Ft!I$7)/(1+Ft!I$39*($A410-Ft!I$2)^2)+Ft!I$7*EXP(Ft!I$40*($A410-Ft!I$2)^2)))</f>
        <v>0</v>
      </c>
      <c r="N410" s="3">
        <f>IF(($A410-Ft!J$2)&lt;0,Ft!J$3*((1-Ft!J$6)/(1+Ft!J$37*($A410-Ft!J$2)^2)+Ft!J$6*EXP(Ft!J$38*($A410-Ft!J$2)^2)),Ft!J$3*((1-Ft!J$7)/(1+Ft!J$39*($A410-Ft!J$2)^2)+Ft!J$7*EXP(Ft!J$40*($A410-Ft!J$2)^2)))</f>
        <v>0</v>
      </c>
      <c r="O410" s="3">
        <f>IF(($A410-Ft!K$2)&lt;0,Ft!K$3*((1-Ft!K$6)/(1+Ft!K$37*($A410-Ft!K$2)^2)+Ft!K$6*EXP(Ft!K$38*($A410-Ft!K$2)^2)),Ft!K$3*((1-Ft!K$7)/(1+Ft!K$39*($A410-Ft!K$2)^2)+Ft!K$7*EXP(Ft!K$40*($A410-Ft!K$2)^2)))</f>
        <v>0</v>
      </c>
      <c r="P410"/>
      <c r="Q410"/>
    </row>
    <row r="411" spans="1:17">
      <c r="A411" s="20">
        <v>819</v>
      </c>
      <c r="B411" s="29">
        <v>51.976992539012258</v>
      </c>
      <c r="C411" s="7">
        <f t="shared" si="13"/>
        <v>52.25251701580892</v>
      </c>
      <c r="D411" s="3">
        <f t="shared" si="12"/>
        <v>7.5913737314074109E-2</v>
      </c>
      <c r="E411" s="3">
        <f>Ft!$B$12+Ft!$B$14*(Data!A411-Vars!$B$3)</f>
        <v>-200</v>
      </c>
      <c r="F411" s="3">
        <f>IF(($A411-Ft!B$2)&lt;0,Ft!B$3*((1-Ft!B$6)/(1+Ft!B$37*($A411-Ft!B$2)^2)+Ft!B$6*EXP(Ft!B$38*($A411-Ft!B$2)^2)),Ft!B$3*((1-Ft!B$7)/(1+Ft!B$39*($A411-Ft!B$2)^2)+Ft!B$7*EXP(Ft!B$40*($A411-Ft!B$2)^2)))</f>
        <v>13.641256823249234</v>
      </c>
      <c r="G411" s="3">
        <f>IF(($A411-Ft!C$2)&lt;0,Ft!C$3*((1-Ft!C$6)/(1+Ft!C$37*($A411-Ft!C$2)^2)+Ft!C$6*EXP(Ft!C$38*($A411-Ft!C$2)^2)),Ft!C$3*((1-Ft!C$7)/(1+Ft!C$39*($A411-Ft!C$2)^2)+Ft!C$7*EXP(Ft!C$40*($A411-Ft!C$2)^2)))</f>
        <v>55.836363523414406</v>
      </c>
      <c r="H411" s="3">
        <f>IF(($A411-Ft!D$2)&lt;0,Ft!D$3*((1-Ft!D$6)/(1+Ft!D$37*($A411-Ft!D$2)^2)+Ft!D$6*EXP(Ft!D$38*($A411-Ft!D$2)^2)),Ft!D$3*((1-Ft!D$7)/(1+Ft!D$39*($A411-Ft!D$2)^2)+Ft!D$7*EXP(Ft!D$40*($A411-Ft!D$2)^2)))</f>
        <v>1.0357212926533976E-44</v>
      </c>
      <c r="I411" s="3">
        <f>IF(($A411-Ft!E$2)&lt;0,Ft!E$3*((1-Ft!E$6)/(1+Ft!E$37*($A411-Ft!E$2)^2)+Ft!E$6*EXP(Ft!E$38*($A411-Ft!E$2)^2)),Ft!E$3*((1-Ft!E$7)/(1+Ft!E$39*($A411-Ft!E$2)^2)+Ft!E$7*EXP(Ft!E$40*($A411-Ft!E$2)^2)))</f>
        <v>104.03593249038143</v>
      </c>
      <c r="J411" s="3">
        <f>IF(($A411-Ft!F$2)&lt;0,Ft!F$3*((1-Ft!F$6)/(1+Ft!F$37*($A411-Ft!F$2)^2)+Ft!F$6*EXP(Ft!F$38*($A411-Ft!F$2)^2)),Ft!F$3*((1-Ft!F$7)/(1+Ft!F$39*($A411-Ft!F$2)^2)+Ft!F$7*EXP(Ft!F$40*($A411-Ft!F$2)^2)))</f>
        <v>75.709894835504187</v>
      </c>
      <c r="K411" s="3">
        <f>IF(($A411-Ft!G$2)&lt;0,Ft!G$3*((1-Ft!G$6)/(1+Ft!G$37*($A411-Ft!G$2)^2)+Ft!G$6*EXP(Ft!G$38*($A411-Ft!G$2)^2)),Ft!G$3*((1-Ft!G$7)/(1+Ft!G$39*($A411-Ft!G$2)^2)+Ft!G$7*EXP(Ft!G$40*($A411-Ft!G$2)^2)))</f>
        <v>3.0290693432596782</v>
      </c>
      <c r="L411" s="3">
        <f>IF(($A411-Ft!H$2)&lt;0,Ft!H$3*((1-Ft!H$6)/(1+Ft!H$37*($A411-Ft!H$2)^2)+Ft!H$6*EXP(Ft!H$38*($A411-Ft!H$2)^2)),Ft!H$3*((1-Ft!H$7)/(1+Ft!H$39*($A411-Ft!H$2)^2)+Ft!H$7*EXP(Ft!H$40*($A411-Ft!H$2)^2)))</f>
        <v>0</v>
      </c>
      <c r="M411" s="3">
        <f>IF(($A411-Ft!I$2)&lt;0,Ft!I$3*((1-Ft!I$6)/(1+Ft!I$37*($A411-Ft!I$2)^2)+Ft!I$6*EXP(Ft!I$38*($A411-Ft!I$2)^2)),Ft!I$3*((1-Ft!I$7)/(1+Ft!I$39*($A411-Ft!I$2)^2)+Ft!I$7*EXP(Ft!I$40*($A411-Ft!I$2)^2)))</f>
        <v>0</v>
      </c>
      <c r="N411" s="3">
        <f>IF(($A411-Ft!J$2)&lt;0,Ft!J$3*((1-Ft!J$6)/(1+Ft!J$37*($A411-Ft!J$2)^2)+Ft!J$6*EXP(Ft!J$38*($A411-Ft!J$2)^2)),Ft!J$3*((1-Ft!J$7)/(1+Ft!J$39*($A411-Ft!J$2)^2)+Ft!J$7*EXP(Ft!J$40*($A411-Ft!J$2)^2)))</f>
        <v>0</v>
      </c>
      <c r="O411" s="3">
        <f>IF(($A411-Ft!K$2)&lt;0,Ft!K$3*((1-Ft!K$6)/(1+Ft!K$37*($A411-Ft!K$2)^2)+Ft!K$6*EXP(Ft!K$38*($A411-Ft!K$2)^2)),Ft!K$3*((1-Ft!K$7)/(1+Ft!K$39*($A411-Ft!K$2)^2)+Ft!K$7*EXP(Ft!K$40*($A411-Ft!K$2)^2)))</f>
        <v>0</v>
      </c>
      <c r="P411"/>
      <c r="Q411"/>
    </row>
    <row r="412" spans="1:17">
      <c r="A412" s="20">
        <v>821</v>
      </c>
      <c r="B412" s="29">
        <v>51.778594143179191</v>
      </c>
      <c r="C412" s="7">
        <f t="shared" si="13"/>
        <v>52.087859874826719</v>
      </c>
      <c r="D412" s="3">
        <f t="shared" si="12"/>
        <v>9.5645292771480955E-2</v>
      </c>
      <c r="E412" s="3">
        <f>Ft!$B$12+Ft!$B$14*(Data!A412-Vars!$B$3)</f>
        <v>-200</v>
      </c>
      <c r="F412" s="3">
        <f>IF(($A412-Ft!B$2)&lt;0,Ft!B$3*((1-Ft!B$6)/(1+Ft!B$37*($A412-Ft!B$2)^2)+Ft!B$6*EXP(Ft!B$38*($A412-Ft!B$2)^2)),Ft!B$3*((1-Ft!B$7)/(1+Ft!B$39*($A412-Ft!B$2)^2)+Ft!B$7*EXP(Ft!B$40*($A412-Ft!B$2)^2)))</f>
        <v>13.506305553738393</v>
      </c>
      <c r="G412" s="3">
        <f>IF(($A412-Ft!C$2)&lt;0,Ft!C$3*((1-Ft!C$6)/(1+Ft!C$37*($A412-Ft!C$2)^2)+Ft!C$6*EXP(Ft!C$38*($A412-Ft!C$2)^2)),Ft!C$3*((1-Ft!C$7)/(1+Ft!C$39*($A412-Ft!C$2)^2)+Ft!C$7*EXP(Ft!C$40*($A412-Ft!C$2)^2)))</f>
        <v>55.856634045286647</v>
      </c>
      <c r="H412" s="3">
        <f>IF(($A412-Ft!D$2)&lt;0,Ft!D$3*((1-Ft!D$6)/(1+Ft!D$37*($A412-Ft!D$2)^2)+Ft!D$6*EXP(Ft!D$38*($A412-Ft!D$2)^2)),Ft!D$3*((1-Ft!D$7)/(1+Ft!D$39*($A412-Ft!D$2)^2)+Ft!D$7*EXP(Ft!D$40*($A412-Ft!D$2)^2)))</f>
        <v>3.5775430679985128E-45</v>
      </c>
      <c r="I412" s="3">
        <f>IF(($A412-Ft!E$2)&lt;0,Ft!E$3*((1-Ft!E$6)/(1+Ft!E$37*($A412-Ft!E$2)^2)+Ft!E$6*EXP(Ft!E$38*($A412-Ft!E$2)^2)),Ft!E$3*((1-Ft!E$7)/(1+Ft!E$39*($A412-Ft!E$2)^2)+Ft!E$7*EXP(Ft!E$40*($A412-Ft!E$2)^2)))</f>
        <v>103.7343254865587</v>
      </c>
      <c r="J412" s="3">
        <f>IF(($A412-Ft!F$2)&lt;0,Ft!F$3*((1-Ft!F$6)/(1+Ft!F$37*($A412-Ft!F$2)^2)+Ft!F$6*EXP(Ft!F$38*($A412-Ft!F$2)^2)),Ft!F$3*((1-Ft!F$7)/(1+Ft!F$39*($A412-Ft!F$2)^2)+Ft!F$7*EXP(Ft!F$40*($A412-Ft!F$2)^2)))</f>
        <v>76.033652573781481</v>
      </c>
      <c r="K412" s="3">
        <f>IF(($A412-Ft!G$2)&lt;0,Ft!G$3*((1-Ft!G$6)/(1+Ft!G$37*($A412-Ft!G$2)^2)+Ft!G$6*EXP(Ft!G$38*($A412-Ft!G$2)^2)),Ft!G$3*((1-Ft!G$7)/(1+Ft!G$39*($A412-Ft!G$2)^2)+Ft!G$7*EXP(Ft!G$40*($A412-Ft!G$2)^2)))</f>
        <v>2.9569422154614844</v>
      </c>
      <c r="L412" s="3">
        <f>IF(($A412-Ft!H$2)&lt;0,Ft!H$3*((1-Ft!H$6)/(1+Ft!H$37*($A412-Ft!H$2)^2)+Ft!H$6*EXP(Ft!H$38*($A412-Ft!H$2)^2)),Ft!H$3*((1-Ft!H$7)/(1+Ft!H$39*($A412-Ft!H$2)^2)+Ft!H$7*EXP(Ft!H$40*($A412-Ft!H$2)^2)))</f>
        <v>0</v>
      </c>
      <c r="M412" s="3">
        <f>IF(($A412-Ft!I$2)&lt;0,Ft!I$3*((1-Ft!I$6)/(1+Ft!I$37*($A412-Ft!I$2)^2)+Ft!I$6*EXP(Ft!I$38*($A412-Ft!I$2)^2)),Ft!I$3*((1-Ft!I$7)/(1+Ft!I$39*($A412-Ft!I$2)^2)+Ft!I$7*EXP(Ft!I$40*($A412-Ft!I$2)^2)))</f>
        <v>0</v>
      </c>
      <c r="N412" s="3">
        <f>IF(($A412-Ft!J$2)&lt;0,Ft!J$3*((1-Ft!J$6)/(1+Ft!J$37*($A412-Ft!J$2)^2)+Ft!J$6*EXP(Ft!J$38*($A412-Ft!J$2)^2)),Ft!J$3*((1-Ft!J$7)/(1+Ft!J$39*($A412-Ft!J$2)^2)+Ft!J$7*EXP(Ft!J$40*($A412-Ft!J$2)^2)))</f>
        <v>0</v>
      </c>
      <c r="O412" s="3">
        <f>IF(($A412-Ft!K$2)&lt;0,Ft!K$3*((1-Ft!K$6)/(1+Ft!K$37*($A412-Ft!K$2)^2)+Ft!K$6*EXP(Ft!K$38*($A412-Ft!K$2)^2)),Ft!K$3*((1-Ft!K$7)/(1+Ft!K$39*($A412-Ft!K$2)^2)+Ft!K$7*EXP(Ft!K$40*($A412-Ft!K$2)^2)))</f>
        <v>0</v>
      </c>
      <c r="P412"/>
      <c r="Q412"/>
    </row>
    <row r="413" spans="1:17">
      <c r="A413" s="20">
        <v>823</v>
      </c>
      <c r="B413" s="29">
        <v>51.579909383387047</v>
      </c>
      <c r="C413" s="7">
        <f t="shared" si="13"/>
        <v>51.920470199304027</v>
      </c>
      <c r="D413" s="3">
        <f t="shared" si="12"/>
        <v>0.11598166933803926</v>
      </c>
      <c r="E413" s="3">
        <f>Ft!$B$12+Ft!$B$14*(Data!A413-Vars!$B$3)</f>
        <v>-200</v>
      </c>
      <c r="F413" s="3">
        <f>IF(($A413-Ft!B$2)&lt;0,Ft!B$3*((1-Ft!B$6)/(1+Ft!B$37*($A413-Ft!B$2)^2)+Ft!B$6*EXP(Ft!B$38*($A413-Ft!B$2)^2)),Ft!B$3*((1-Ft!B$7)/(1+Ft!B$39*($A413-Ft!B$2)^2)+Ft!B$7*EXP(Ft!B$40*($A413-Ft!B$2)^2)))</f>
        <v>13.372434101805435</v>
      </c>
      <c r="G413" s="3">
        <f>IF(($A413-Ft!C$2)&lt;0,Ft!C$3*((1-Ft!C$6)/(1+Ft!C$37*($A413-Ft!C$2)^2)+Ft!C$6*EXP(Ft!C$38*($A413-Ft!C$2)^2)),Ft!C$3*((1-Ft!C$7)/(1+Ft!C$39*($A413-Ft!C$2)^2)+Ft!C$7*EXP(Ft!C$40*($A413-Ft!C$2)^2)))</f>
        <v>55.87641821250407</v>
      </c>
      <c r="H413" s="3">
        <f>IF(($A413-Ft!D$2)&lt;0,Ft!D$3*((1-Ft!D$6)/(1+Ft!D$37*($A413-Ft!D$2)^2)+Ft!D$6*EXP(Ft!D$38*($A413-Ft!D$2)^2)),Ft!D$3*((1-Ft!D$7)/(1+Ft!D$39*($A413-Ft!D$2)^2)+Ft!D$7*EXP(Ft!D$40*($A413-Ft!D$2)^2)))</f>
        <v>1.228940689699356E-45</v>
      </c>
      <c r="I413" s="3">
        <f>IF(($A413-Ft!E$2)&lt;0,Ft!E$3*((1-Ft!E$6)/(1+Ft!E$37*($A413-Ft!E$2)^2)+Ft!E$6*EXP(Ft!E$38*($A413-Ft!E$2)^2)),Ft!E$3*((1-Ft!E$7)/(1+Ft!E$39*($A413-Ft!E$2)^2)+Ft!E$7*EXP(Ft!E$40*($A413-Ft!E$2)^2)))</f>
        <v>103.42759581059424</v>
      </c>
      <c r="J413" s="3">
        <f>IF(($A413-Ft!F$2)&lt;0,Ft!F$3*((1-Ft!F$6)/(1+Ft!F$37*($A413-Ft!F$2)^2)+Ft!F$6*EXP(Ft!F$38*($A413-Ft!F$2)^2)),Ft!F$3*((1-Ft!F$7)/(1+Ft!F$39*($A413-Ft!F$2)^2)+Ft!F$7*EXP(Ft!F$40*($A413-Ft!F$2)^2)))</f>
        <v>76.357789123735017</v>
      </c>
      <c r="K413" s="3">
        <f>IF(($A413-Ft!G$2)&lt;0,Ft!G$3*((1-Ft!G$6)/(1+Ft!G$37*($A413-Ft!G$2)^2)+Ft!G$6*EXP(Ft!G$38*($A413-Ft!G$2)^2)),Ft!G$3*((1-Ft!G$7)/(1+Ft!G$39*($A413-Ft!G$2)^2)+Ft!G$7*EXP(Ft!G$40*($A413-Ft!G$2)^2)))</f>
        <v>2.8862329506652791</v>
      </c>
      <c r="L413" s="3">
        <f>IF(($A413-Ft!H$2)&lt;0,Ft!H$3*((1-Ft!H$6)/(1+Ft!H$37*($A413-Ft!H$2)^2)+Ft!H$6*EXP(Ft!H$38*($A413-Ft!H$2)^2)),Ft!H$3*((1-Ft!H$7)/(1+Ft!H$39*($A413-Ft!H$2)^2)+Ft!H$7*EXP(Ft!H$40*($A413-Ft!H$2)^2)))</f>
        <v>0</v>
      </c>
      <c r="M413" s="3">
        <f>IF(($A413-Ft!I$2)&lt;0,Ft!I$3*((1-Ft!I$6)/(1+Ft!I$37*($A413-Ft!I$2)^2)+Ft!I$6*EXP(Ft!I$38*($A413-Ft!I$2)^2)),Ft!I$3*((1-Ft!I$7)/(1+Ft!I$39*($A413-Ft!I$2)^2)+Ft!I$7*EXP(Ft!I$40*($A413-Ft!I$2)^2)))</f>
        <v>0</v>
      </c>
      <c r="N413" s="3">
        <f>IF(($A413-Ft!J$2)&lt;0,Ft!J$3*((1-Ft!J$6)/(1+Ft!J$37*($A413-Ft!J$2)^2)+Ft!J$6*EXP(Ft!J$38*($A413-Ft!J$2)^2)),Ft!J$3*((1-Ft!J$7)/(1+Ft!J$39*($A413-Ft!J$2)^2)+Ft!J$7*EXP(Ft!J$40*($A413-Ft!J$2)^2)))</f>
        <v>0</v>
      </c>
      <c r="O413" s="3">
        <f>IF(($A413-Ft!K$2)&lt;0,Ft!K$3*((1-Ft!K$6)/(1+Ft!K$37*($A413-Ft!K$2)^2)+Ft!K$6*EXP(Ft!K$38*($A413-Ft!K$2)^2)),Ft!K$3*((1-Ft!K$7)/(1+Ft!K$39*($A413-Ft!K$2)^2)+Ft!K$7*EXP(Ft!K$40*($A413-Ft!K$2)^2)))</f>
        <v>0</v>
      </c>
      <c r="P413"/>
      <c r="Q413"/>
    </row>
    <row r="414" spans="1:17">
      <c r="A414" s="20">
        <v>825</v>
      </c>
      <c r="B414" s="29">
        <v>51.381053603194374</v>
      </c>
      <c r="C414" s="7">
        <f t="shared" si="13"/>
        <v>51.750366168285453</v>
      </c>
      <c r="D414" s="3">
        <f t="shared" si="12"/>
        <v>0.13639177073415223</v>
      </c>
      <c r="E414" s="3">
        <f>Ft!$B$12+Ft!$B$14*(Data!A414-Vars!$B$3)</f>
        <v>-200</v>
      </c>
      <c r="F414" s="3">
        <f>IF(($A414-Ft!B$2)&lt;0,Ft!B$3*((1-Ft!B$6)/(1+Ft!B$37*($A414-Ft!B$2)^2)+Ft!B$6*EXP(Ft!B$38*($A414-Ft!B$2)^2)),Ft!B$3*((1-Ft!B$7)/(1+Ft!B$39*($A414-Ft!B$2)^2)+Ft!B$7*EXP(Ft!B$40*($A414-Ft!B$2)^2)))</f>
        <v>13.23963684950788</v>
      </c>
      <c r="G414" s="3">
        <f>IF(($A414-Ft!C$2)&lt;0,Ft!C$3*((1-Ft!C$6)/(1+Ft!C$37*($A414-Ft!C$2)^2)+Ft!C$6*EXP(Ft!C$38*($A414-Ft!C$2)^2)),Ft!C$3*((1-Ft!C$7)/(1+Ft!C$39*($A414-Ft!C$2)^2)+Ft!C$7*EXP(Ft!C$40*($A414-Ft!C$2)^2)))</f>
        <v>55.895715503124869</v>
      </c>
      <c r="H414" s="3">
        <f>IF(($A414-Ft!D$2)&lt;0,Ft!D$3*((1-Ft!D$6)/(1+Ft!D$37*($A414-Ft!D$2)^2)+Ft!D$6*EXP(Ft!D$38*($A414-Ft!D$2)^2)),Ft!D$3*((1-Ft!D$7)/(1+Ft!D$39*($A414-Ft!D$2)^2)+Ft!D$7*EXP(Ft!D$40*($A414-Ft!D$2)^2)))</f>
        <v>4.1983734208655921E-46</v>
      </c>
      <c r="I414" s="3">
        <f>IF(($A414-Ft!E$2)&lt;0,Ft!E$3*((1-Ft!E$6)/(1+Ft!E$37*($A414-Ft!E$2)^2)+Ft!E$6*EXP(Ft!E$38*($A414-Ft!E$2)^2)),Ft!E$3*((1-Ft!E$7)/(1+Ft!E$39*($A414-Ft!E$2)^2)+Ft!E$7*EXP(Ft!E$40*($A414-Ft!E$2)^2)))</f>
        <v>103.11579412521669</v>
      </c>
      <c r="J414" s="3">
        <f>IF(($A414-Ft!F$2)&lt;0,Ft!F$3*((1-Ft!F$6)/(1+Ft!F$37*($A414-Ft!F$2)^2)+Ft!F$6*EXP(Ft!F$38*($A414-Ft!F$2)^2)),Ft!F$3*((1-Ft!F$7)/(1+Ft!F$39*($A414-Ft!F$2)^2)+Ft!F$7*EXP(Ft!F$40*($A414-Ft!F$2)^2)))</f>
        <v>76.682297544086737</v>
      </c>
      <c r="K414" s="3">
        <f>IF(($A414-Ft!G$2)&lt;0,Ft!G$3*((1-Ft!G$6)/(1+Ft!G$37*($A414-Ft!G$2)^2)+Ft!G$6*EXP(Ft!G$38*($A414-Ft!G$2)^2)),Ft!G$3*((1-Ft!G$7)/(1+Ft!G$39*($A414-Ft!G$2)^2)+Ft!G$7*EXP(Ft!G$40*($A414-Ft!G$2)^2)))</f>
        <v>2.8169221463492553</v>
      </c>
      <c r="L414" s="3">
        <f>IF(($A414-Ft!H$2)&lt;0,Ft!H$3*((1-Ft!H$6)/(1+Ft!H$37*($A414-Ft!H$2)^2)+Ft!H$6*EXP(Ft!H$38*($A414-Ft!H$2)^2)),Ft!H$3*((1-Ft!H$7)/(1+Ft!H$39*($A414-Ft!H$2)^2)+Ft!H$7*EXP(Ft!H$40*($A414-Ft!H$2)^2)))</f>
        <v>0</v>
      </c>
      <c r="M414" s="3">
        <f>IF(($A414-Ft!I$2)&lt;0,Ft!I$3*((1-Ft!I$6)/(1+Ft!I$37*($A414-Ft!I$2)^2)+Ft!I$6*EXP(Ft!I$38*($A414-Ft!I$2)^2)),Ft!I$3*((1-Ft!I$7)/(1+Ft!I$39*($A414-Ft!I$2)^2)+Ft!I$7*EXP(Ft!I$40*($A414-Ft!I$2)^2)))</f>
        <v>0</v>
      </c>
      <c r="N414" s="3">
        <f>IF(($A414-Ft!J$2)&lt;0,Ft!J$3*((1-Ft!J$6)/(1+Ft!J$37*($A414-Ft!J$2)^2)+Ft!J$6*EXP(Ft!J$38*($A414-Ft!J$2)^2)),Ft!J$3*((1-Ft!J$7)/(1+Ft!J$39*($A414-Ft!J$2)^2)+Ft!J$7*EXP(Ft!J$40*($A414-Ft!J$2)^2)))</f>
        <v>0</v>
      </c>
      <c r="O414" s="3">
        <f>IF(($A414-Ft!K$2)&lt;0,Ft!K$3*((1-Ft!K$6)/(1+Ft!K$37*($A414-Ft!K$2)^2)+Ft!K$6*EXP(Ft!K$38*($A414-Ft!K$2)^2)),Ft!K$3*((1-Ft!K$7)/(1+Ft!K$39*($A414-Ft!K$2)^2)+Ft!K$7*EXP(Ft!K$40*($A414-Ft!K$2)^2)))</f>
        <v>0</v>
      </c>
      <c r="P414"/>
      <c r="Q414"/>
    </row>
    <row r="415" spans="1:17">
      <c r="A415" s="20">
        <v>827</v>
      </c>
      <c r="B415" s="29">
        <v>51.182111069479475</v>
      </c>
      <c r="C415" s="7">
        <f t="shared" si="13"/>
        <v>51.577566688171437</v>
      </c>
      <c r="D415" s="3">
        <f t="shared" si="12"/>
        <v>0.15638514635504228</v>
      </c>
      <c r="E415" s="3">
        <f>Ft!$B$12+Ft!$B$14*(Data!A415-Vars!$B$3)</f>
        <v>-200</v>
      </c>
      <c r="F415" s="3">
        <f>IF(($A415-Ft!B$2)&lt;0,Ft!B$3*((1-Ft!B$6)/(1+Ft!B$37*($A415-Ft!B$2)^2)+Ft!B$6*EXP(Ft!B$38*($A415-Ft!B$2)^2)),Ft!B$3*((1-Ft!B$7)/(1+Ft!B$39*($A415-Ft!B$2)^2)+Ft!B$7*EXP(Ft!B$40*($A415-Ft!B$2)^2)))</f>
        <v>13.10790817343722</v>
      </c>
      <c r="G415" s="3">
        <f>IF(($A415-Ft!C$2)&lt;0,Ft!C$3*((1-Ft!C$6)/(1+Ft!C$37*($A415-Ft!C$2)^2)+Ft!C$6*EXP(Ft!C$38*($A415-Ft!C$2)^2)),Ft!C$3*((1-Ft!C$7)/(1+Ft!C$39*($A415-Ft!C$2)^2)+Ft!C$7*EXP(Ft!C$40*($A415-Ft!C$2)^2)))</f>
        <v>55.914525407932622</v>
      </c>
      <c r="H415" s="3">
        <f>IF(($A415-Ft!D$2)&lt;0,Ft!D$3*((1-Ft!D$6)/(1+Ft!D$37*($A415-Ft!D$2)^2)+Ft!D$6*EXP(Ft!D$38*($A415-Ft!D$2)^2)),Ft!D$3*((1-Ft!D$7)/(1+Ft!D$39*($A415-Ft!D$2)^2)+Ft!D$7*EXP(Ft!D$40*($A415-Ft!D$2)^2)))</f>
        <v>1.426380165622344E-46</v>
      </c>
      <c r="I415" s="3">
        <f>IF(($A415-Ft!E$2)&lt;0,Ft!E$3*((1-Ft!E$6)/(1+Ft!E$37*($A415-Ft!E$2)^2)+Ft!E$6*EXP(Ft!E$38*($A415-Ft!E$2)^2)),Ft!E$3*((1-Ft!E$7)/(1+Ft!E$39*($A415-Ft!E$2)^2)+Ft!E$7*EXP(Ft!E$40*($A415-Ft!E$2)^2)))</f>
        <v>102.79897182278818</v>
      </c>
      <c r="J415" s="3">
        <f>IF(($A415-Ft!F$2)&lt;0,Ft!F$3*((1-Ft!F$6)/(1+Ft!F$37*($A415-Ft!F$2)^2)+Ft!F$6*EXP(Ft!F$38*($A415-Ft!F$2)^2)),Ft!F$3*((1-Ft!F$7)/(1+Ft!F$39*($A415-Ft!F$2)^2)+Ft!F$7*EXP(Ft!F$40*($A415-Ft!F$2)^2)))</f>
        <v>77.007170849289167</v>
      </c>
      <c r="K415" s="3">
        <f>IF(($A415-Ft!G$2)&lt;0,Ft!G$3*((1-Ft!G$6)/(1+Ft!G$37*($A415-Ft!G$2)^2)+Ft!G$6*EXP(Ft!G$38*($A415-Ft!G$2)^2)),Ft!G$3*((1-Ft!G$7)/(1+Ft!G$39*($A415-Ft!G$2)^2)+Ft!G$7*EXP(Ft!G$40*($A415-Ft!G$2)^2)))</f>
        <v>2.7489904347242731</v>
      </c>
      <c r="L415" s="3">
        <f>IF(($A415-Ft!H$2)&lt;0,Ft!H$3*((1-Ft!H$6)/(1+Ft!H$37*($A415-Ft!H$2)^2)+Ft!H$6*EXP(Ft!H$38*($A415-Ft!H$2)^2)),Ft!H$3*((1-Ft!H$7)/(1+Ft!H$39*($A415-Ft!H$2)^2)+Ft!H$7*EXP(Ft!H$40*($A415-Ft!H$2)^2)))</f>
        <v>0</v>
      </c>
      <c r="M415" s="3">
        <f>IF(($A415-Ft!I$2)&lt;0,Ft!I$3*((1-Ft!I$6)/(1+Ft!I$37*($A415-Ft!I$2)^2)+Ft!I$6*EXP(Ft!I$38*($A415-Ft!I$2)^2)),Ft!I$3*((1-Ft!I$7)/(1+Ft!I$39*($A415-Ft!I$2)^2)+Ft!I$7*EXP(Ft!I$40*($A415-Ft!I$2)^2)))</f>
        <v>0</v>
      </c>
      <c r="N415" s="3">
        <f>IF(($A415-Ft!J$2)&lt;0,Ft!J$3*((1-Ft!J$6)/(1+Ft!J$37*($A415-Ft!J$2)^2)+Ft!J$6*EXP(Ft!J$38*($A415-Ft!J$2)^2)),Ft!J$3*((1-Ft!J$7)/(1+Ft!J$39*($A415-Ft!J$2)^2)+Ft!J$7*EXP(Ft!J$40*($A415-Ft!J$2)^2)))</f>
        <v>0</v>
      </c>
      <c r="O415" s="3">
        <f>IF(($A415-Ft!K$2)&lt;0,Ft!K$3*((1-Ft!K$6)/(1+Ft!K$37*($A415-Ft!K$2)^2)+Ft!K$6*EXP(Ft!K$38*($A415-Ft!K$2)^2)),Ft!K$3*((1-Ft!K$7)/(1+Ft!K$39*($A415-Ft!K$2)^2)+Ft!K$7*EXP(Ft!K$40*($A415-Ft!K$2)^2)))</f>
        <v>0</v>
      </c>
      <c r="P415"/>
      <c r="Q415"/>
    </row>
    <row r="416" spans="1:17">
      <c r="A416" s="20">
        <v>829</v>
      </c>
      <c r="B416" s="29">
        <v>50.983136827993519</v>
      </c>
      <c r="C416" s="7">
        <f t="shared" si="13"/>
        <v>51.402091386412948</v>
      </c>
      <c r="D416" s="3">
        <f t="shared" si="12"/>
        <v>0.17552292202041891</v>
      </c>
      <c r="E416" s="3">
        <f>Ft!$B$12+Ft!$B$14*(Data!A416-Vars!$B$3)</f>
        <v>-200</v>
      </c>
      <c r="F416" s="3">
        <f>IF(($A416-Ft!B$2)&lt;0,Ft!B$3*((1-Ft!B$6)/(1+Ft!B$37*($A416-Ft!B$2)^2)+Ft!B$6*EXP(Ft!B$38*($A416-Ft!B$2)^2)),Ft!B$3*((1-Ft!B$7)/(1+Ft!B$39*($A416-Ft!B$2)^2)+Ft!B$7*EXP(Ft!B$40*($A416-Ft!B$2)^2)))</f>
        <v>12.977242445200416</v>
      </c>
      <c r="G416" s="3">
        <f>IF(($A416-Ft!C$2)&lt;0,Ft!C$3*((1-Ft!C$6)/(1+Ft!C$37*($A416-Ft!C$2)^2)+Ft!C$6*EXP(Ft!C$38*($A416-Ft!C$2)^2)),Ft!C$3*((1-Ft!C$7)/(1+Ft!C$39*($A416-Ft!C$2)^2)+Ft!C$7*EXP(Ft!C$40*($A416-Ft!C$2)^2)))</f>
        <v>55.932847430458743</v>
      </c>
      <c r="H416" s="3">
        <f>IF(($A416-Ft!D$2)&lt;0,Ft!D$3*((1-Ft!D$6)/(1+Ft!D$37*($A416-Ft!D$2)^2)+Ft!D$6*EXP(Ft!D$38*($A416-Ft!D$2)^2)),Ft!D$3*((1-Ft!D$7)/(1+Ft!D$39*($A416-Ft!D$2)^2)+Ft!D$7*EXP(Ft!D$40*($A416-Ft!D$2)^2)))</f>
        <v>4.8194070153540222E-47</v>
      </c>
      <c r="I416" s="3">
        <f>IF(($A416-Ft!E$2)&lt;0,Ft!E$3*((1-Ft!E$6)/(1+Ft!E$37*($A416-Ft!E$2)^2)+Ft!E$6*EXP(Ft!E$38*($A416-Ft!E$2)^2)),Ft!E$3*((1-Ft!E$7)/(1+Ft!E$39*($A416-Ft!E$2)^2)+Ft!E$7*EXP(Ft!E$40*($A416-Ft!E$2)^2)))</f>
        <v>102.47718101120392</v>
      </c>
      <c r="J416" s="3">
        <f>IF(($A416-Ft!F$2)&lt;0,Ft!F$3*((1-Ft!F$6)/(1+Ft!F$37*($A416-Ft!F$2)^2)+Ft!F$6*EXP(Ft!F$38*($A416-Ft!F$2)^2)),Ft!F$3*((1-Ft!F$7)/(1+Ft!F$39*($A416-Ft!F$2)^2)+Ft!F$7*EXP(Ft!F$40*($A416-Ft!F$2)^2)))</f>
        <v>77.332402009706243</v>
      </c>
      <c r="K416" s="3">
        <f>IF(($A416-Ft!G$2)&lt;0,Ft!G$3*((1-Ft!G$6)/(1+Ft!G$37*($A416-Ft!G$2)^2)+Ft!G$6*EXP(Ft!G$38*($A416-Ft!G$2)^2)),Ft!G$3*((1-Ft!G$7)/(1+Ft!G$39*($A416-Ft!G$2)^2)+Ft!G$7*EXP(Ft!G$40*($A416-Ft!G$2)^2)))</f>
        <v>2.6824184898436423</v>
      </c>
      <c r="L416" s="3">
        <f>IF(($A416-Ft!H$2)&lt;0,Ft!H$3*((1-Ft!H$6)/(1+Ft!H$37*($A416-Ft!H$2)^2)+Ft!H$6*EXP(Ft!H$38*($A416-Ft!H$2)^2)),Ft!H$3*((1-Ft!H$7)/(1+Ft!H$39*($A416-Ft!H$2)^2)+Ft!H$7*EXP(Ft!H$40*($A416-Ft!H$2)^2)))</f>
        <v>0</v>
      </c>
      <c r="M416" s="3">
        <f>IF(($A416-Ft!I$2)&lt;0,Ft!I$3*((1-Ft!I$6)/(1+Ft!I$37*($A416-Ft!I$2)^2)+Ft!I$6*EXP(Ft!I$38*($A416-Ft!I$2)^2)),Ft!I$3*((1-Ft!I$7)/(1+Ft!I$39*($A416-Ft!I$2)^2)+Ft!I$7*EXP(Ft!I$40*($A416-Ft!I$2)^2)))</f>
        <v>0</v>
      </c>
      <c r="N416" s="3">
        <f>IF(($A416-Ft!J$2)&lt;0,Ft!J$3*((1-Ft!J$6)/(1+Ft!J$37*($A416-Ft!J$2)^2)+Ft!J$6*EXP(Ft!J$38*($A416-Ft!J$2)^2)),Ft!J$3*((1-Ft!J$7)/(1+Ft!J$39*($A416-Ft!J$2)^2)+Ft!J$7*EXP(Ft!J$40*($A416-Ft!J$2)^2)))</f>
        <v>0</v>
      </c>
      <c r="O416" s="3">
        <f>IF(($A416-Ft!K$2)&lt;0,Ft!K$3*((1-Ft!K$6)/(1+Ft!K$37*($A416-Ft!K$2)^2)+Ft!K$6*EXP(Ft!K$38*($A416-Ft!K$2)^2)),Ft!K$3*((1-Ft!K$7)/(1+Ft!K$39*($A416-Ft!K$2)^2)+Ft!K$7*EXP(Ft!K$40*($A416-Ft!K$2)^2)))</f>
        <v>0</v>
      </c>
      <c r="P416"/>
      <c r="Q416"/>
    </row>
    <row r="417" spans="1:17">
      <c r="A417" s="20">
        <v>831</v>
      </c>
      <c r="B417" s="29">
        <v>50.784158909872559</v>
      </c>
      <c r="C417" s="7">
        <f t="shared" si="13"/>
        <v>51.223960604846894</v>
      </c>
      <c r="D417" s="3">
        <f t="shared" si="12"/>
        <v>0.19342553090229808</v>
      </c>
      <c r="E417" s="3">
        <f>Ft!$B$12+Ft!$B$14*(Data!A417-Vars!$B$3)</f>
        <v>-200</v>
      </c>
      <c r="F417" s="3">
        <f>IF(($A417-Ft!B$2)&lt;0,Ft!B$3*((1-Ft!B$6)/(1+Ft!B$37*($A417-Ft!B$2)^2)+Ft!B$6*EXP(Ft!B$38*($A417-Ft!B$2)^2)),Ft!B$3*((1-Ft!B$7)/(1+Ft!B$39*($A417-Ft!B$2)^2)+Ft!B$7*EXP(Ft!B$40*($A417-Ft!B$2)^2)))</f>
        <v>12.847634031897035</v>
      </c>
      <c r="G417" s="3">
        <f>IF(($A417-Ft!C$2)&lt;0,Ft!C$3*((1-Ft!C$6)/(1+Ft!C$37*($A417-Ft!C$2)^2)+Ft!C$6*EXP(Ft!C$38*($A417-Ft!C$2)^2)),Ft!C$3*((1-Ft!C$7)/(1+Ft!C$39*($A417-Ft!C$2)^2)+Ft!C$7*EXP(Ft!C$40*($A417-Ft!C$2)^2)))</f>
        <v>55.950681087004298</v>
      </c>
      <c r="H417" s="3">
        <f>IF(($A417-Ft!D$2)&lt;0,Ft!D$3*((1-Ft!D$6)/(1+Ft!D$37*($A417-Ft!D$2)^2)+Ft!D$6*EXP(Ft!D$38*($A417-Ft!D$2)^2)),Ft!D$3*((1-Ft!D$7)/(1+Ft!D$39*($A417-Ft!D$2)^2)+Ft!D$7*EXP(Ft!D$40*($A417-Ft!D$2)^2)))</f>
        <v>1.6194069802202972E-47</v>
      </c>
      <c r="I417" s="3">
        <f>IF(($A417-Ft!E$2)&lt;0,Ft!E$3*((1-Ft!E$6)/(1+Ft!E$37*($A417-Ft!E$2)^2)+Ft!E$6*EXP(Ft!E$38*($A417-Ft!E$2)^2)),Ft!E$3*((1-Ft!E$7)/(1+Ft!E$39*($A417-Ft!E$2)^2)+Ft!E$7*EXP(Ft!E$40*($A417-Ft!E$2)^2)))</f>
        <v>102.15047449962779</v>
      </c>
      <c r="J417" s="3">
        <f>IF(($A417-Ft!F$2)&lt;0,Ft!F$3*((1-Ft!F$6)/(1+Ft!F$37*($A417-Ft!F$2)^2)+Ft!F$6*EXP(Ft!F$38*($A417-Ft!F$2)^2)),Ft!F$3*((1-Ft!F$7)/(1+Ft!F$39*($A417-Ft!F$2)^2)+Ft!F$7*EXP(Ft!F$40*($A417-Ft!F$2)^2)))</f>
        <v>77.657983951797405</v>
      </c>
      <c r="K417" s="3">
        <f>IF(($A417-Ft!G$2)&lt;0,Ft!G$3*((1-Ft!G$6)/(1+Ft!G$37*($A417-Ft!G$2)^2)+Ft!G$6*EXP(Ft!G$38*($A417-Ft!G$2)^2)),Ft!G$3*((1-Ft!G$7)/(1+Ft!G$39*($A417-Ft!G$2)^2)+Ft!G$7*EXP(Ft!G$40*($A417-Ft!G$2)^2)))</f>
        <v>2.617187034520382</v>
      </c>
      <c r="L417" s="3">
        <f>IF(($A417-Ft!H$2)&lt;0,Ft!H$3*((1-Ft!H$6)/(1+Ft!H$37*($A417-Ft!H$2)^2)+Ft!H$6*EXP(Ft!H$38*($A417-Ft!H$2)^2)),Ft!H$3*((1-Ft!H$7)/(1+Ft!H$39*($A417-Ft!H$2)^2)+Ft!H$7*EXP(Ft!H$40*($A417-Ft!H$2)^2)))</f>
        <v>0</v>
      </c>
      <c r="M417" s="3">
        <f>IF(($A417-Ft!I$2)&lt;0,Ft!I$3*((1-Ft!I$6)/(1+Ft!I$37*($A417-Ft!I$2)^2)+Ft!I$6*EXP(Ft!I$38*($A417-Ft!I$2)^2)),Ft!I$3*((1-Ft!I$7)/(1+Ft!I$39*($A417-Ft!I$2)^2)+Ft!I$7*EXP(Ft!I$40*($A417-Ft!I$2)^2)))</f>
        <v>0</v>
      </c>
      <c r="N417" s="3">
        <f>IF(($A417-Ft!J$2)&lt;0,Ft!J$3*((1-Ft!J$6)/(1+Ft!J$37*($A417-Ft!J$2)^2)+Ft!J$6*EXP(Ft!J$38*($A417-Ft!J$2)^2)),Ft!J$3*((1-Ft!J$7)/(1+Ft!J$39*($A417-Ft!J$2)^2)+Ft!J$7*EXP(Ft!J$40*($A417-Ft!J$2)^2)))</f>
        <v>0</v>
      </c>
      <c r="O417" s="3">
        <f>IF(($A417-Ft!K$2)&lt;0,Ft!K$3*((1-Ft!K$6)/(1+Ft!K$37*($A417-Ft!K$2)^2)+Ft!K$6*EXP(Ft!K$38*($A417-Ft!K$2)^2)),Ft!K$3*((1-Ft!K$7)/(1+Ft!K$39*($A417-Ft!K$2)^2)+Ft!K$7*EXP(Ft!K$40*($A417-Ft!K$2)^2)))</f>
        <v>0</v>
      </c>
      <c r="P417"/>
      <c r="Q417"/>
    </row>
    <row r="418" spans="1:17">
      <c r="A418" s="20">
        <v>833</v>
      </c>
      <c r="B418" s="29">
        <v>50.585180808800089</v>
      </c>
      <c r="C418" s="7">
        <f t="shared" si="13"/>
        <v>51.043195392680623</v>
      </c>
      <c r="D418" s="3">
        <f t="shared" si="12"/>
        <v>0.20977735904725836</v>
      </c>
      <c r="E418" s="3">
        <f>Ft!$B$12+Ft!$B$14*(Data!A418-Vars!$B$3)</f>
        <v>-200</v>
      </c>
      <c r="F418" s="3">
        <f>IF(($A418-Ft!B$2)&lt;0,Ft!B$3*((1-Ft!B$6)/(1+Ft!B$37*($A418-Ft!B$2)^2)+Ft!B$6*EXP(Ft!B$38*($A418-Ft!B$2)^2)),Ft!B$3*((1-Ft!B$7)/(1+Ft!B$39*($A418-Ft!B$2)^2)+Ft!B$7*EXP(Ft!B$40*($A418-Ft!B$2)^2)))</f>
        <v>12.719077296592081</v>
      </c>
      <c r="G418" s="3">
        <f>IF(($A418-Ft!C$2)&lt;0,Ft!C$3*((1-Ft!C$6)/(1+Ft!C$37*($A418-Ft!C$2)^2)+Ft!C$6*EXP(Ft!C$38*($A418-Ft!C$2)^2)),Ft!C$3*((1-Ft!C$7)/(1+Ft!C$39*($A418-Ft!C$2)^2)+Ft!C$7*EXP(Ft!C$40*($A418-Ft!C$2)^2)))</f>
        <v>55.968025906661296</v>
      </c>
      <c r="H418" s="3">
        <f>IF(($A418-Ft!D$2)&lt;0,Ft!D$3*((1-Ft!D$6)/(1+Ft!D$37*($A418-Ft!D$2)^2)+Ft!D$6*EXP(Ft!D$38*($A418-Ft!D$2)^2)),Ft!D$3*((1-Ft!D$7)/(1+Ft!D$39*($A418-Ft!D$2)^2)+Ft!D$7*EXP(Ft!D$40*($A418-Ft!D$2)^2)))</f>
        <v>5.4115602168426782E-48</v>
      </c>
      <c r="I418" s="3">
        <f>IF(($A418-Ft!E$2)&lt;0,Ft!E$3*((1-Ft!E$6)/(1+Ft!E$37*($A418-Ft!E$2)^2)+Ft!E$6*EXP(Ft!E$38*($A418-Ft!E$2)^2)),Ft!E$3*((1-Ft!E$7)/(1+Ft!E$39*($A418-Ft!E$2)^2)+Ft!E$7*EXP(Ft!E$40*($A418-Ft!E$2)^2)))</f>
        <v>101.81890578406913</v>
      </c>
      <c r="J418" s="3">
        <f>IF(($A418-Ft!F$2)&lt;0,Ft!F$3*((1-Ft!F$6)/(1+Ft!F$37*($A418-Ft!F$2)^2)+Ft!F$6*EXP(Ft!F$38*($A418-Ft!F$2)^2)),Ft!F$3*((1-Ft!F$7)/(1+Ft!F$39*($A418-Ft!F$2)^2)+Ft!F$7*EXP(Ft!F$40*($A418-Ft!F$2)^2)))</f>
        <v>77.983909558305811</v>
      </c>
      <c r="K418" s="3">
        <f>IF(($A418-Ft!G$2)&lt;0,Ft!G$3*((1-Ft!G$6)/(1+Ft!G$37*($A418-Ft!G$2)^2)+Ft!G$6*EXP(Ft!G$38*($A418-Ft!G$2)^2)),Ft!G$3*((1-Ft!G$7)/(1+Ft!G$39*($A418-Ft!G$2)^2)+Ft!G$7*EXP(Ft!G$40*($A418-Ft!G$2)^2)))</f>
        <v>2.5532768470523091</v>
      </c>
      <c r="L418" s="3">
        <f>IF(($A418-Ft!H$2)&lt;0,Ft!H$3*((1-Ft!H$6)/(1+Ft!H$37*($A418-Ft!H$2)^2)+Ft!H$6*EXP(Ft!H$38*($A418-Ft!H$2)^2)),Ft!H$3*((1-Ft!H$7)/(1+Ft!H$39*($A418-Ft!H$2)^2)+Ft!H$7*EXP(Ft!H$40*($A418-Ft!H$2)^2)))</f>
        <v>0</v>
      </c>
      <c r="M418" s="3">
        <f>IF(($A418-Ft!I$2)&lt;0,Ft!I$3*((1-Ft!I$6)/(1+Ft!I$37*($A418-Ft!I$2)^2)+Ft!I$6*EXP(Ft!I$38*($A418-Ft!I$2)^2)),Ft!I$3*((1-Ft!I$7)/(1+Ft!I$39*($A418-Ft!I$2)^2)+Ft!I$7*EXP(Ft!I$40*($A418-Ft!I$2)^2)))</f>
        <v>0</v>
      </c>
      <c r="N418" s="3">
        <f>IF(($A418-Ft!J$2)&lt;0,Ft!J$3*((1-Ft!J$6)/(1+Ft!J$37*($A418-Ft!J$2)^2)+Ft!J$6*EXP(Ft!J$38*($A418-Ft!J$2)^2)),Ft!J$3*((1-Ft!J$7)/(1+Ft!J$39*($A418-Ft!J$2)^2)+Ft!J$7*EXP(Ft!J$40*($A418-Ft!J$2)^2)))</f>
        <v>0</v>
      </c>
      <c r="O418" s="3">
        <f>IF(($A418-Ft!K$2)&lt;0,Ft!K$3*((1-Ft!K$6)/(1+Ft!K$37*($A418-Ft!K$2)^2)+Ft!K$6*EXP(Ft!K$38*($A418-Ft!K$2)^2)),Ft!K$3*((1-Ft!K$7)/(1+Ft!K$39*($A418-Ft!K$2)^2)+Ft!K$7*EXP(Ft!K$40*($A418-Ft!K$2)^2)))</f>
        <v>0</v>
      </c>
      <c r="P418"/>
      <c r="Q418"/>
    </row>
    <row r="419" spans="1:17">
      <c r="A419" s="20">
        <v>835</v>
      </c>
      <c r="B419" s="29">
        <v>50.386184149567697</v>
      </c>
      <c r="C419" s="7">
        <f t="shared" si="13"/>
        <v>50.859817499129555</v>
      </c>
      <c r="D419" s="3">
        <f t="shared" si="12"/>
        <v>0.22432854981718525</v>
      </c>
      <c r="E419" s="3">
        <f>Ft!$B$12+Ft!$B$14*(Data!A419-Vars!$B$3)</f>
        <v>-200</v>
      </c>
      <c r="F419" s="3">
        <f>IF(($A419-Ft!B$2)&lt;0,Ft!B$3*((1-Ft!B$6)/(1+Ft!B$37*($A419-Ft!B$2)^2)+Ft!B$6*EXP(Ft!B$38*($A419-Ft!B$2)^2)),Ft!B$3*((1-Ft!B$7)/(1+Ft!B$39*($A419-Ft!B$2)^2)+Ft!B$7*EXP(Ft!B$40*($A419-Ft!B$2)^2)))</f>
        <v>12.591566598784498</v>
      </c>
      <c r="G419" s="3">
        <f>IF(($A419-Ft!C$2)&lt;0,Ft!C$3*((1-Ft!C$6)/(1+Ft!C$37*($A419-Ft!C$2)^2)+Ft!C$6*EXP(Ft!C$38*($A419-Ft!C$2)^2)),Ft!C$3*((1-Ft!C$7)/(1+Ft!C$39*($A419-Ft!C$2)^2)+Ft!C$7*EXP(Ft!C$40*($A419-Ft!C$2)^2)))</f>
        <v>55.984881431333406</v>
      </c>
      <c r="H419" s="3">
        <f>IF(($A419-Ft!D$2)&lt;0,Ft!D$3*((1-Ft!D$6)/(1+Ft!D$37*($A419-Ft!D$2)^2)+Ft!D$6*EXP(Ft!D$38*($A419-Ft!D$2)^2)),Ft!D$3*((1-Ft!D$7)/(1+Ft!D$39*($A419-Ft!D$2)^2)+Ft!D$7*EXP(Ft!D$40*($A419-Ft!D$2)^2)))</f>
        <v>1.798428063901992E-48</v>
      </c>
      <c r="I419" s="3">
        <f>IF(($A419-Ft!E$2)&lt;0,Ft!E$3*((1-Ft!E$6)/(1+Ft!E$37*($A419-Ft!E$2)^2)+Ft!E$6*EXP(Ft!E$38*($A419-Ft!E$2)^2)),Ft!E$3*((1-Ft!E$7)/(1+Ft!E$39*($A419-Ft!E$2)^2)+Ft!E$7*EXP(Ft!E$40*($A419-Ft!E$2)^2)))</f>
        <v>101.48252903280623</v>
      </c>
      <c r="J419" s="3">
        <f>IF(($A419-Ft!F$2)&lt;0,Ft!F$3*((1-Ft!F$6)/(1+Ft!F$37*($A419-Ft!F$2)^2)+Ft!F$6*EXP(Ft!F$38*($A419-Ft!F$2)^2)),Ft!F$3*((1-Ft!F$7)/(1+Ft!F$39*($A419-Ft!F$2)^2)+Ft!F$7*EXP(Ft!F$40*($A419-Ft!F$2)^2)))</f>
        <v>78.310171668449911</v>
      </c>
      <c r="K419" s="3">
        <f>IF(($A419-Ft!G$2)&lt;0,Ft!G$3*((1-Ft!G$6)/(1+Ft!G$37*($A419-Ft!G$2)^2)+Ft!G$6*EXP(Ft!G$38*($A419-Ft!G$2)^2)),Ft!G$3*((1-Ft!G$7)/(1+Ft!G$39*($A419-Ft!G$2)^2)+Ft!G$7*EXP(Ft!G$40*($A419-Ft!G$2)^2)))</f>
        <v>2.4906687677554986</v>
      </c>
      <c r="L419" s="3">
        <f>IF(($A419-Ft!H$2)&lt;0,Ft!H$3*((1-Ft!H$6)/(1+Ft!H$37*($A419-Ft!H$2)^2)+Ft!H$6*EXP(Ft!H$38*($A419-Ft!H$2)^2)),Ft!H$3*((1-Ft!H$7)/(1+Ft!H$39*($A419-Ft!H$2)^2)+Ft!H$7*EXP(Ft!H$40*($A419-Ft!H$2)^2)))</f>
        <v>0</v>
      </c>
      <c r="M419" s="3">
        <f>IF(($A419-Ft!I$2)&lt;0,Ft!I$3*((1-Ft!I$6)/(1+Ft!I$37*($A419-Ft!I$2)^2)+Ft!I$6*EXP(Ft!I$38*($A419-Ft!I$2)^2)),Ft!I$3*((1-Ft!I$7)/(1+Ft!I$39*($A419-Ft!I$2)^2)+Ft!I$7*EXP(Ft!I$40*($A419-Ft!I$2)^2)))</f>
        <v>0</v>
      </c>
      <c r="N419" s="3">
        <f>IF(($A419-Ft!J$2)&lt;0,Ft!J$3*((1-Ft!J$6)/(1+Ft!J$37*($A419-Ft!J$2)^2)+Ft!J$6*EXP(Ft!J$38*($A419-Ft!J$2)^2)),Ft!J$3*((1-Ft!J$7)/(1+Ft!J$39*($A419-Ft!J$2)^2)+Ft!J$7*EXP(Ft!J$40*($A419-Ft!J$2)^2)))</f>
        <v>0</v>
      </c>
      <c r="O419" s="3">
        <f>IF(($A419-Ft!K$2)&lt;0,Ft!K$3*((1-Ft!K$6)/(1+Ft!K$37*($A419-Ft!K$2)^2)+Ft!K$6*EXP(Ft!K$38*($A419-Ft!K$2)^2)),Ft!K$3*((1-Ft!K$7)/(1+Ft!K$39*($A419-Ft!K$2)^2)+Ft!K$7*EXP(Ft!K$40*($A419-Ft!K$2)^2)))</f>
        <v>0</v>
      </c>
      <c r="P419"/>
      <c r="Q419"/>
    </row>
    <row r="420" spans="1:17">
      <c r="A420" s="20">
        <v>837</v>
      </c>
      <c r="B420" s="29">
        <v>50.187131471974737</v>
      </c>
      <c r="C420" s="7">
        <f t="shared" si="13"/>
        <v>50.673849365715341</v>
      </c>
      <c r="D420" s="3">
        <f t="shared" si="12"/>
        <v>0.2368943080872897</v>
      </c>
      <c r="E420" s="3">
        <f>Ft!$B$12+Ft!$B$14*(Data!A420-Vars!$B$3)</f>
        <v>-200</v>
      </c>
      <c r="F420" s="3">
        <f>IF(($A420-Ft!B$2)&lt;0,Ft!B$3*((1-Ft!B$6)/(1+Ft!B$37*($A420-Ft!B$2)^2)+Ft!B$6*EXP(Ft!B$38*($A420-Ft!B$2)^2)),Ft!B$3*((1-Ft!B$7)/(1+Ft!B$39*($A420-Ft!B$2)^2)+Ft!B$7*EXP(Ft!B$40*($A420-Ft!B$2)^2)))</f>
        <v>12.465096294871334</v>
      </c>
      <c r="G420" s="3">
        <f>IF(($A420-Ft!C$2)&lt;0,Ft!C$3*((1-Ft!C$6)/(1+Ft!C$37*($A420-Ft!C$2)^2)+Ft!C$6*EXP(Ft!C$38*($A420-Ft!C$2)^2)),Ft!C$3*((1-Ft!C$7)/(1+Ft!C$39*($A420-Ft!C$2)^2)+Ft!C$7*EXP(Ft!C$40*($A420-Ft!C$2)^2)))</f>
        <v>56.001247215756109</v>
      </c>
      <c r="H420" s="3">
        <f>IF(($A420-Ft!D$2)&lt;0,Ft!D$3*((1-Ft!D$6)/(1+Ft!D$37*($A420-Ft!D$2)^2)+Ft!D$6*EXP(Ft!D$38*($A420-Ft!D$2)^2)),Ft!D$3*((1-Ft!D$7)/(1+Ft!D$39*($A420-Ft!D$2)^2)+Ft!D$7*EXP(Ft!D$40*($A420-Ft!D$2)^2)))</f>
        <v>5.9438485309484682E-49</v>
      </c>
      <c r="I420" s="3">
        <f>IF(($A420-Ft!E$2)&lt;0,Ft!E$3*((1-Ft!E$6)/(1+Ft!E$37*($A420-Ft!E$2)^2)+Ft!E$6*EXP(Ft!E$38*($A420-Ft!E$2)^2)),Ft!E$3*((1-Ft!E$7)/(1+Ft!E$39*($A420-Ft!E$2)^2)+Ft!E$7*EXP(Ft!E$40*($A420-Ft!E$2)^2)))</f>
        <v>101.14139907166224</v>
      </c>
      <c r="J420" s="3">
        <f>IF(($A420-Ft!F$2)&lt;0,Ft!F$3*((1-Ft!F$6)/(1+Ft!F$37*($A420-Ft!F$2)^2)+Ft!F$6*EXP(Ft!F$38*($A420-Ft!F$2)^2)),Ft!F$3*((1-Ft!F$7)/(1+Ft!F$39*($A420-Ft!F$2)^2)+Ft!F$7*EXP(Ft!F$40*($A420-Ft!F$2)^2)))</f>
        <v>78.636763078118918</v>
      </c>
      <c r="K420" s="3">
        <f>IF(($A420-Ft!G$2)&lt;0,Ft!G$3*((1-Ft!G$6)/(1+Ft!G$37*($A420-Ft!G$2)^2)+Ft!G$6*EXP(Ft!G$38*($A420-Ft!G$2)^2)),Ft!G$3*((1-Ft!G$7)/(1+Ft!G$39*($A420-Ft!G$2)^2)+Ft!G$7*EXP(Ft!G$40*($A420-Ft!G$2)^2)))</f>
        <v>2.4293437053067479</v>
      </c>
      <c r="L420" s="3">
        <f>IF(($A420-Ft!H$2)&lt;0,Ft!H$3*((1-Ft!H$6)/(1+Ft!H$37*($A420-Ft!H$2)^2)+Ft!H$6*EXP(Ft!H$38*($A420-Ft!H$2)^2)),Ft!H$3*((1-Ft!H$7)/(1+Ft!H$39*($A420-Ft!H$2)^2)+Ft!H$7*EXP(Ft!H$40*($A420-Ft!H$2)^2)))</f>
        <v>0</v>
      </c>
      <c r="M420" s="3">
        <f>IF(($A420-Ft!I$2)&lt;0,Ft!I$3*((1-Ft!I$6)/(1+Ft!I$37*($A420-Ft!I$2)^2)+Ft!I$6*EXP(Ft!I$38*($A420-Ft!I$2)^2)),Ft!I$3*((1-Ft!I$7)/(1+Ft!I$39*($A420-Ft!I$2)^2)+Ft!I$7*EXP(Ft!I$40*($A420-Ft!I$2)^2)))</f>
        <v>0</v>
      </c>
      <c r="N420" s="3">
        <f>IF(($A420-Ft!J$2)&lt;0,Ft!J$3*((1-Ft!J$6)/(1+Ft!J$37*($A420-Ft!J$2)^2)+Ft!J$6*EXP(Ft!J$38*($A420-Ft!J$2)^2)),Ft!J$3*((1-Ft!J$7)/(1+Ft!J$39*($A420-Ft!J$2)^2)+Ft!J$7*EXP(Ft!J$40*($A420-Ft!J$2)^2)))</f>
        <v>0</v>
      </c>
      <c r="O420" s="3">
        <f>IF(($A420-Ft!K$2)&lt;0,Ft!K$3*((1-Ft!K$6)/(1+Ft!K$37*($A420-Ft!K$2)^2)+Ft!K$6*EXP(Ft!K$38*($A420-Ft!K$2)^2)),Ft!K$3*((1-Ft!K$7)/(1+Ft!K$39*($A420-Ft!K$2)^2)+Ft!K$7*EXP(Ft!K$40*($A420-Ft!K$2)^2)))</f>
        <v>0</v>
      </c>
      <c r="P420"/>
      <c r="Q420"/>
    </row>
    <row r="421" spans="1:17">
      <c r="A421" s="20">
        <v>839</v>
      </c>
      <c r="B421" s="29">
        <v>49.987969059021822</v>
      </c>
      <c r="C421" s="7">
        <f t="shared" si="13"/>
        <v>50.485314118230342</v>
      </c>
      <c r="D421" s="3">
        <f t="shared" si="12"/>
        <v>0.24735210791912629</v>
      </c>
      <c r="E421" s="3">
        <f>Ft!$B$12+Ft!$B$14*(Data!A421-Vars!$B$3)</f>
        <v>-200</v>
      </c>
      <c r="F421" s="3">
        <f>IF(($A421-Ft!B$2)&lt;0,Ft!B$3*((1-Ft!B$6)/(1+Ft!B$37*($A421-Ft!B$2)^2)+Ft!B$6*EXP(Ft!B$38*($A421-Ft!B$2)^2)),Ft!B$3*((1-Ft!B$7)/(1+Ft!B$39*($A421-Ft!B$2)^2)+Ft!B$7*EXP(Ft!B$40*($A421-Ft!B$2)^2)))</f>
        <v>12.339660738607524</v>
      </c>
      <c r="G421" s="3">
        <f>IF(($A421-Ft!C$2)&lt;0,Ft!C$3*((1-Ft!C$6)/(1+Ft!C$37*($A421-Ft!C$2)^2)+Ft!C$6*EXP(Ft!C$38*($A421-Ft!C$2)^2)),Ft!C$3*((1-Ft!C$7)/(1+Ft!C$39*($A421-Ft!C$2)^2)+Ft!C$7*EXP(Ft!C$40*($A421-Ft!C$2)^2)))</f>
        <v>56.01712282751636</v>
      </c>
      <c r="H421" s="3">
        <f>IF(($A421-Ft!D$2)&lt;0,Ft!D$3*((1-Ft!D$6)/(1+Ft!D$37*($A421-Ft!D$2)^2)+Ft!D$6*EXP(Ft!D$38*($A421-Ft!D$2)^2)),Ft!D$3*((1-Ft!D$7)/(1+Ft!D$39*($A421-Ft!D$2)^2)+Ft!D$7*EXP(Ft!D$40*($A421-Ft!D$2)^2)))</f>
        <v>1.9536487479298082E-49</v>
      </c>
      <c r="I421" s="3">
        <f>IF(($A421-Ft!E$2)&lt;0,Ft!E$3*((1-Ft!E$6)/(1+Ft!E$37*($A421-Ft!E$2)^2)+Ft!E$6*EXP(Ft!E$38*($A421-Ft!E$2)^2)),Ft!E$3*((1-Ft!E$7)/(1+Ft!E$39*($A421-Ft!E$2)^2)+Ft!E$7*EXP(Ft!E$40*($A421-Ft!E$2)^2)))</f>
        <v>100.79557136913897</v>
      </c>
      <c r="J421" s="3">
        <f>IF(($A421-Ft!F$2)&lt;0,Ft!F$3*((1-Ft!F$6)/(1+Ft!F$37*($A421-Ft!F$2)^2)+Ft!F$6*EXP(Ft!F$38*($A421-Ft!F$2)^2)),Ft!F$3*((1-Ft!F$7)/(1+Ft!F$39*($A421-Ft!F$2)^2)+Ft!F$7*EXP(Ft!F$40*($A421-Ft!F$2)^2)))</f>
        <v>78.96367654007166</v>
      </c>
      <c r="K421" s="3">
        <f>IF(($A421-Ft!G$2)&lt;0,Ft!G$3*((1-Ft!G$6)/(1+Ft!G$37*($A421-Ft!G$2)^2)+Ft!G$6*EXP(Ft!G$38*($A421-Ft!G$2)^2)),Ft!G$3*((1-Ft!G$7)/(1+Ft!G$39*($A421-Ft!G$2)^2)+Ft!G$7*EXP(Ft!G$40*($A421-Ft!G$2)^2)))</f>
        <v>2.369282642895806</v>
      </c>
      <c r="L421" s="3">
        <f>IF(($A421-Ft!H$2)&lt;0,Ft!H$3*((1-Ft!H$6)/(1+Ft!H$37*($A421-Ft!H$2)^2)+Ft!H$6*EXP(Ft!H$38*($A421-Ft!H$2)^2)),Ft!H$3*((1-Ft!H$7)/(1+Ft!H$39*($A421-Ft!H$2)^2)+Ft!H$7*EXP(Ft!H$40*($A421-Ft!H$2)^2)))</f>
        <v>0</v>
      </c>
      <c r="M421" s="3">
        <f>IF(($A421-Ft!I$2)&lt;0,Ft!I$3*((1-Ft!I$6)/(1+Ft!I$37*($A421-Ft!I$2)^2)+Ft!I$6*EXP(Ft!I$38*($A421-Ft!I$2)^2)),Ft!I$3*((1-Ft!I$7)/(1+Ft!I$39*($A421-Ft!I$2)^2)+Ft!I$7*EXP(Ft!I$40*($A421-Ft!I$2)^2)))</f>
        <v>0</v>
      </c>
      <c r="N421" s="3">
        <f>IF(($A421-Ft!J$2)&lt;0,Ft!J$3*((1-Ft!J$6)/(1+Ft!J$37*($A421-Ft!J$2)^2)+Ft!J$6*EXP(Ft!J$38*($A421-Ft!J$2)^2)),Ft!J$3*((1-Ft!J$7)/(1+Ft!J$39*($A421-Ft!J$2)^2)+Ft!J$7*EXP(Ft!J$40*($A421-Ft!J$2)^2)))</f>
        <v>0</v>
      </c>
      <c r="O421" s="3">
        <f>IF(($A421-Ft!K$2)&lt;0,Ft!K$3*((1-Ft!K$6)/(1+Ft!K$37*($A421-Ft!K$2)^2)+Ft!K$6*EXP(Ft!K$38*($A421-Ft!K$2)^2)),Ft!K$3*((1-Ft!K$7)/(1+Ft!K$39*($A421-Ft!K$2)^2)+Ft!K$7*EXP(Ft!K$40*($A421-Ft!K$2)^2)))</f>
        <v>0</v>
      </c>
      <c r="P421"/>
      <c r="Q421"/>
    </row>
    <row r="422" spans="1:17">
      <c r="A422" s="20">
        <v>841</v>
      </c>
      <c r="B422" s="29">
        <v>49.788629744845039</v>
      </c>
      <c r="C422" s="7">
        <f t="shared" si="13"/>
        <v>50.294235558374737</v>
      </c>
      <c r="D422" s="3">
        <f t="shared" ref="D422:D485" si="14">(C422-B422)^2</f>
        <v>0.25563723867502763</v>
      </c>
      <c r="E422" s="3">
        <f>Ft!$B$12+Ft!$B$14*(Data!A422-Vars!$B$3)</f>
        <v>-200</v>
      </c>
      <c r="F422" s="3">
        <f>IF(($A422-Ft!B$2)&lt;0,Ft!B$3*((1-Ft!B$6)/(1+Ft!B$37*($A422-Ft!B$2)^2)+Ft!B$6*EXP(Ft!B$38*($A422-Ft!B$2)^2)),Ft!B$3*((1-Ft!B$7)/(1+Ft!B$39*($A422-Ft!B$2)^2)+Ft!B$7*EXP(Ft!B$40*($A422-Ft!B$2)^2)))</f>
        <v>12.215254281561331</v>
      </c>
      <c r="G422" s="3">
        <f>IF(($A422-Ft!C$2)&lt;0,Ft!C$3*((1-Ft!C$6)/(1+Ft!C$37*($A422-Ft!C$2)^2)+Ft!C$6*EXP(Ft!C$38*($A422-Ft!C$2)^2)),Ft!C$3*((1-Ft!C$7)/(1+Ft!C$39*($A422-Ft!C$2)^2)+Ft!C$7*EXP(Ft!C$40*($A422-Ft!C$2)^2)))</f>
        <v>56.032507847071535</v>
      </c>
      <c r="H422" s="3">
        <f>IF(($A422-Ft!D$2)&lt;0,Ft!D$3*((1-Ft!D$6)/(1+Ft!D$37*($A422-Ft!D$2)^2)+Ft!D$6*EXP(Ft!D$38*($A422-Ft!D$2)^2)),Ft!D$3*((1-Ft!D$7)/(1+Ft!D$39*($A422-Ft!D$2)^2)+Ft!D$7*EXP(Ft!D$40*($A422-Ft!D$2)^2)))</f>
        <v>6.3860059695767051E-50</v>
      </c>
      <c r="I422" s="3">
        <f>IF(($A422-Ft!E$2)&lt;0,Ft!E$3*((1-Ft!E$6)/(1+Ft!E$37*($A422-Ft!E$2)^2)+Ft!E$6*EXP(Ft!E$38*($A422-Ft!E$2)^2)),Ft!E$3*((1-Ft!E$7)/(1+Ft!E$39*($A422-Ft!E$2)^2)+Ft!E$7*EXP(Ft!E$40*($A422-Ft!E$2)^2)))</f>
        <v>100.44510202141419</v>
      </c>
      <c r="J422" s="3">
        <f>IF(($A422-Ft!F$2)&lt;0,Ft!F$3*((1-Ft!F$6)/(1+Ft!F$37*($A422-Ft!F$2)^2)+Ft!F$6*EXP(Ft!F$38*($A422-Ft!F$2)^2)),Ft!F$3*((1-Ft!F$7)/(1+Ft!F$39*($A422-Ft!F$2)^2)+Ft!F$7*EXP(Ft!F$40*($A422-Ft!F$2)^2)))</f>
        <v>79.290904764139427</v>
      </c>
      <c r="K422" s="3">
        <f>IF(($A422-Ft!G$2)&lt;0,Ft!G$3*((1-Ft!G$6)/(1+Ft!G$37*($A422-Ft!G$2)^2)+Ft!G$6*EXP(Ft!G$38*($A422-Ft!G$2)^2)),Ft!G$3*((1-Ft!G$7)/(1+Ft!G$39*($A422-Ft!G$2)^2)+Ft!G$7*EXP(Ft!G$40*($A422-Ft!G$2)^2)))</f>
        <v>2.3104666441882498</v>
      </c>
      <c r="L422" s="3">
        <f>IF(($A422-Ft!H$2)&lt;0,Ft!H$3*((1-Ft!H$6)/(1+Ft!H$37*($A422-Ft!H$2)^2)+Ft!H$6*EXP(Ft!H$38*($A422-Ft!H$2)^2)),Ft!H$3*((1-Ft!H$7)/(1+Ft!H$39*($A422-Ft!H$2)^2)+Ft!H$7*EXP(Ft!H$40*($A422-Ft!H$2)^2)))</f>
        <v>0</v>
      </c>
      <c r="M422" s="3">
        <f>IF(($A422-Ft!I$2)&lt;0,Ft!I$3*((1-Ft!I$6)/(1+Ft!I$37*($A422-Ft!I$2)^2)+Ft!I$6*EXP(Ft!I$38*($A422-Ft!I$2)^2)),Ft!I$3*((1-Ft!I$7)/(1+Ft!I$39*($A422-Ft!I$2)^2)+Ft!I$7*EXP(Ft!I$40*($A422-Ft!I$2)^2)))</f>
        <v>0</v>
      </c>
      <c r="N422" s="3">
        <f>IF(($A422-Ft!J$2)&lt;0,Ft!J$3*((1-Ft!J$6)/(1+Ft!J$37*($A422-Ft!J$2)^2)+Ft!J$6*EXP(Ft!J$38*($A422-Ft!J$2)^2)),Ft!J$3*((1-Ft!J$7)/(1+Ft!J$39*($A422-Ft!J$2)^2)+Ft!J$7*EXP(Ft!J$40*($A422-Ft!J$2)^2)))</f>
        <v>0</v>
      </c>
      <c r="O422" s="3">
        <f>IF(($A422-Ft!K$2)&lt;0,Ft!K$3*((1-Ft!K$6)/(1+Ft!K$37*($A422-Ft!K$2)^2)+Ft!K$6*EXP(Ft!K$38*($A422-Ft!K$2)^2)),Ft!K$3*((1-Ft!K$7)/(1+Ft!K$39*($A422-Ft!K$2)^2)+Ft!K$7*EXP(Ft!K$40*($A422-Ft!K$2)^2)))</f>
        <v>0</v>
      </c>
      <c r="P422"/>
      <c r="Q422"/>
    </row>
    <row r="423" spans="1:17">
      <c r="A423" s="20">
        <v>843</v>
      </c>
      <c r="B423" s="29">
        <v>49.589035645438742</v>
      </c>
      <c r="C423" s="7">
        <f t="shared" si="13"/>
        <v>50.100638155073931</v>
      </c>
      <c r="D423" s="3">
        <f t="shared" si="14"/>
        <v>0.26173712786502373</v>
      </c>
      <c r="E423" s="3">
        <f>Ft!$B$12+Ft!$B$14*(Data!A423-Vars!$B$3)</f>
        <v>-200</v>
      </c>
      <c r="F423" s="3">
        <f>IF(($A423-Ft!B$2)&lt;0,Ft!B$3*((1-Ft!B$6)/(1+Ft!B$37*($A423-Ft!B$2)^2)+Ft!B$6*EXP(Ft!B$38*($A423-Ft!B$2)^2)),Ft!B$3*((1-Ft!B$7)/(1+Ft!B$39*($A423-Ft!B$2)^2)+Ft!B$7*EXP(Ft!B$40*($A423-Ft!B$2)^2)))</f>
        <v>12.091871273565422</v>
      </c>
      <c r="G423" s="3">
        <f>IF(($A423-Ft!C$2)&lt;0,Ft!C$3*((1-Ft!C$6)/(1+Ft!C$37*($A423-Ft!C$2)^2)+Ft!C$6*EXP(Ft!C$38*($A423-Ft!C$2)^2)),Ft!C$3*((1-Ft!C$7)/(1+Ft!C$39*($A423-Ft!C$2)^2)+Ft!C$7*EXP(Ft!C$40*($A423-Ft!C$2)^2)))</f>
        <v>56.047401867767988</v>
      </c>
      <c r="H423" s="3">
        <f>IF(($A423-Ft!D$2)&lt;0,Ft!D$3*((1-Ft!D$6)/(1+Ft!D$37*($A423-Ft!D$2)^2)+Ft!D$6*EXP(Ft!D$38*($A423-Ft!D$2)^2)),Ft!D$3*((1-Ft!D$7)/(1+Ft!D$39*($A423-Ft!D$2)^2)+Ft!D$7*EXP(Ft!D$40*($A423-Ft!D$2)^2)))</f>
        <v>2.0759469164562273E-50</v>
      </c>
      <c r="I423" s="3">
        <f>IF(($A423-Ft!E$2)&lt;0,Ft!E$3*((1-Ft!E$6)/(1+Ft!E$37*($A423-Ft!E$2)^2)+Ft!E$6*EXP(Ft!E$38*($A423-Ft!E$2)^2)),Ft!E$3*((1-Ft!E$7)/(1+Ft!E$39*($A423-Ft!E$2)^2)+Ft!E$7*EXP(Ft!E$40*($A423-Ft!E$2)^2)))</f>
        <v>100.09004773720814</v>
      </c>
      <c r="J423" s="3">
        <f>IF(($A423-Ft!F$2)&lt;0,Ft!F$3*((1-Ft!F$6)/(1+Ft!F$37*($A423-Ft!F$2)^2)+Ft!F$6*EXP(Ft!F$38*($A423-Ft!F$2)^2)),Ft!F$3*((1-Ft!F$7)/(1+Ft!F$39*($A423-Ft!F$2)^2)+Ft!F$7*EXP(Ft!F$40*($A423-Ft!F$2)^2)))</f>
        <v>79.618440417432353</v>
      </c>
      <c r="K423" s="3">
        <f>IF(($A423-Ft!G$2)&lt;0,Ft!G$3*((1-Ft!G$6)/(1+Ft!G$37*($A423-Ft!G$2)^2)+Ft!G$6*EXP(Ft!G$38*($A423-Ft!G$2)^2)),Ft!G$3*((1-Ft!G$7)/(1+Ft!G$39*($A423-Ft!G$2)^2)+Ft!G$7*EXP(Ft!G$40*($A423-Ft!G$2)^2)))</f>
        <v>2.2528768591000055</v>
      </c>
      <c r="L423" s="3">
        <f>IF(($A423-Ft!H$2)&lt;0,Ft!H$3*((1-Ft!H$6)/(1+Ft!H$37*($A423-Ft!H$2)^2)+Ft!H$6*EXP(Ft!H$38*($A423-Ft!H$2)^2)),Ft!H$3*((1-Ft!H$7)/(1+Ft!H$39*($A423-Ft!H$2)^2)+Ft!H$7*EXP(Ft!H$40*($A423-Ft!H$2)^2)))</f>
        <v>0</v>
      </c>
      <c r="M423" s="3">
        <f>IF(($A423-Ft!I$2)&lt;0,Ft!I$3*((1-Ft!I$6)/(1+Ft!I$37*($A423-Ft!I$2)^2)+Ft!I$6*EXP(Ft!I$38*($A423-Ft!I$2)^2)),Ft!I$3*((1-Ft!I$7)/(1+Ft!I$39*($A423-Ft!I$2)^2)+Ft!I$7*EXP(Ft!I$40*($A423-Ft!I$2)^2)))</f>
        <v>0</v>
      </c>
      <c r="N423" s="3">
        <f>IF(($A423-Ft!J$2)&lt;0,Ft!J$3*((1-Ft!J$6)/(1+Ft!J$37*($A423-Ft!J$2)^2)+Ft!J$6*EXP(Ft!J$38*($A423-Ft!J$2)^2)),Ft!J$3*((1-Ft!J$7)/(1+Ft!J$39*($A423-Ft!J$2)^2)+Ft!J$7*EXP(Ft!J$40*($A423-Ft!J$2)^2)))</f>
        <v>0</v>
      </c>
      <c r="O423" s="3">
        <f>IF(($A423-Ft!K$2)&lt;0,Ft!K$3*((1-Ft!K$6)/(1+Ft!K$37*($A423-Ft!K$2)^2)+Ft!K$6*EXP(Ft!K$38*($A423-Ft!K$2)^2)),Ft!K$3*((1-Ft!K$7)/(1+Ft!K$39*($A423-Ft!K$2)^2)+Ft!K$7*EXP(Ft!K$40*($A423-Ft!K$2)^2)))</f>
        <v>0</v>
      </c>
      <c r="P423"/>
      <c r="Q423"/>
    </row>
    <row r="424" spans="1:17">
      <c r="A424" s="20">
        <v>845</v>
      </c>
      <c r="B424" s="29">
        <v>49.389100763566859</v>
      </c>
      <c r="C424" s="7">
        <f t="shared" si="13"/>
        <v>49.90454703548167</v>
      </c>
      <c r="D424" s="3">
        <f t="shared" si="14"/>
        <v>0.2656848592308777</v>
      </c>
      <c r="E424" s="3">
        <f>Ft!$B$12+Ft!$B$14*(Data!A424-Vars!$B$3)</f>
        <v>-200</v>
      </c>
      <c r="F424" s="3">
        <f>IF(($A424-Ft!B$2)&lt;0,Ft!B$3*((1-Ft!B$6)/(1+Ft!B$37*($A424-Ft!B$2)^2)+Ft!B$6*EXP(Ft!B$38*($A424-Ft!B$2)^2)),Ft!B$3*((1-Ft!B$7)/(1+Ft!B$39*($A424-Ft!B$2)^2)+Ft!B$7*EXP(Ft!B$40*($A424-Ft!B$2)^2)))</f>
        <v>11.969506063163539</v>
      </c>
      <c r="G424" s="3">
        <f>IF(($A424-Ft!C$2)&lt;0,Ft!C$3*((1-Ft!C$6)/(1+Ft!C$37*($A424-Ft!C$2)^2)+Ft!C$6*EXP(Ft!C$38*($A424-Ft!C$2)^2)),Ft!C$3*((1-Ft!C$7)/(1+Ft!C$39*($A424-Ft!C$2)^2)+Ft!C$7*EXP(Ft!C$40*($A424-Ft!C$2)^2)))</f>
        <v>56.061804495858958</v>
      </c>
      <c r="H424" s="3">
        <f>IF(($A424-Ft!D$2)&lt;0,Ft!D$3*((1-Ft!D$6)/(1+Ft!D$37*($A424-Ft!D$2)^2)+Ft!D$6*EXP(Ft!D$38*($A424-Ft!D$2)^2)),Ft!D$3*((1-Ft!D$7)/(1+Ft!D$39*($A424-Ft!D$2)^2)+Ft!D$7*EXP(Ft!D$40*($A424-Ft!D$2)^2)))</f>
        <v>6.711309311099533E-51</v>
      </c>
      <c r="I424" s="3">
        <f>IF(($A424-Ft!E$2)&lt;0,Ft!E$3*((1-Ft!E$6)/(1+Ft!E$37*($A424-Ft!E$2)^2)+Ft!E$6*EXP(Ft!E$38*($A424-Ft!E$2)^2)),Ft!E$3*((1-Ft!E$7)/(1+Ft!E$39*($A424-Ft!E$2)^2)+Ft!E$7*EXP(Ft!E$40*($A424-Ft!E$2)^2)))</f>
        <v>99.730465822525048</v>
      </c>
      <c r="J424" s="3">
        <f>IF(($A424-Ft!F$2)&lt;0,Ft!F$3*((1-Ft!F$6)/(1+Ft!F$37*($A424-Ft!F$2)^2)+Ft!F$6*EXP(Ft!F$38*($A424-Ft!F$2)^2)),Ft!F$3*((1-Ft!F$7)/(1+Ft!F$39*($A424-Ft!F$2)^2)+Ft!F$7*EXP(Ft!F$40*($A424-Ft!F$2)^2)))</f>
        <v>79.946276124549513</v>
      </c>
      <c r="K424" s="3">
        <f>IF(($A424-Ft!G$2)&lt;0,Ft!G$3*((1-Ft!G$6)/(1+Ft!G$37*($A424-Ft!G$2)^2)+Ft!G$6*EXP(Ft!G$38*($A424-Ft!G$2)^2)),Ft!G$3*((1-Ft!G$7)/(1+Ft!G$39*($A424-Ft!G$2)^2)+Ft!G$7*EXP(Ft!G$40*($A424-Ft!G$2)^2)))</f>
        <v>2.1964945293846085</v>
      </c>
      <c r="L424" s="3">
        <f>IF(($A424-Ft!H$2)&lt;0,Ft!H$3*((1-Ft!H$6)/(1+Ft!H$37*($A424-Ft!H$2)^2)+Ft!H$6*EXP(Ft!H$38*($A424-Ft!H$2)^2)),Ft!H$3*((1-Ft!H$7)/(1+Ft!H$39*($A424-Ft!H$2)^2)+Ft!H$7*EXP(Ft!H$40*($A424-Ft!H$2)^2)))</f>
        <v>0</v>
      </c>
      <c r="M424" s="3">
        <f>IF(($A424-Ft!I$2)&lt;0,Ft!I$3*((1-Ft!I$6)/(1+Ft!I$37*($A424-Ft!I$2)^2)+Ft!I$6*EXP(Ft!I$38*($A424-Ft!I$2)^2)),Ft!I$3*((1-Ft!I$7)/(1+Ft!I$39*($A424-Ft!I$2)^2)+Ft!I$7*EXP(Ft!I$40*($A424-Ft!I$2)^2)))</f>
        <v>0</v>
      </c>
      <c r="N424" s="3">
        <f>IF(($A424-Ft!J$2)&lt;0,Ft!J$3*((1-Ft!J$6)/(1+Ft!J$37*($A424-Ft!J$2)^2)+Ft!J$6*EXP(Ft!J$38*($A424-Ft!J$2)^2)),Ft!J$3*((1-Ft!J$7)/(1+Ft!J$39*($A424-Ft!J$2)^2)+Ft!J$7*EXP(Ft!J$40*($A424-Ft!J$2)^2)))</f>
        <v>0</v>
      </c>
      <c r="O424" s="3">
        <f>IF(($A424-Ft!K$2)&lt;0,Ft!K$3*((1-Ft!K$6)/(1+Ft!K$37*($A424-Ft!K$2)^2)+Ft!K$6*EXP(Ft!K$38*($A424-Ft!K$2)^2)),Ft!K$3*((1-Ft!K$7)/(1+Ft!K$39*($A424-Ft!K$2)^2)+Ft!K$7*EXP(Ft!K$40*($A424-Ft!K$2)^2)))</f>
        <v>0</v>
      </c>
      <c r="P424"/>
      <c r="Q424"/>
    </row>
    <row r="425" spans="1:17">
      <c r="A425" s="20">
        <v>847</v>
      </c>
      <c r="B425" s="29">
        <v>49.188733428016988</v>
      </c>
      <c r="C425" s="7">
        <f t="shared" si="13"/>
        <v>49.705987975676777</v>
      </c>
      <c r="D425" s="3">
        <f t="shared" si="14"/>
        <v>0.2675522670747329</v>
      </c>
      <c r="E425" s="3">
        <f>Ft!$B$12+Ft!$B$14*(Data!A425-Vars!$B$3)</f>
        <v>-200</v>
      </c>
      <c r="F425" s="3">
        <f>IF(($A425-Ft!B$2)&lt;0,Ft!B$3*((1-Ft!B$6)/(1+Ft!B$37*($A425-Ft!B$2)^2)+Ft!B$6*EXP(Ft!B$38*($A425-Ft!B$2)^2)),Ft!B$3*((1-Ft!B$7)/(1+Ft!B$39*($A425-Ft!B$2)^2)+Ft!B$7*EXP(Ft!B$40*($A425-Ft!B$2)^2)))</f>
        <v>11.848152998052811</v>
      </c>
      <c r="G425" s="3">
        <f>IF(($A425-Ft!C$2)&lt;0,Ft!C$3*((1-Ft!C$6)/(1+Ft!C$37*($A425-Ft!C$2)^2)+Ft!C$6*EXP(Ft!C$38*($A425-Ft!C$2)^2)),Ft!C$3*((1-Ft!C$7)/(1+Ft!C$39*($A425-Ft!C$2)^2)+Ft!C$7*EXP(Ft!C$40*($A425-Ft!C$2)^2)))</f>
        <v>56.075715350521854</v>
      </c>
      <c r="H425" s="3">
        <f>IF(($A425-Ft!D$2)&lt;0,Ft!D$3*((1-Ft!D$6)/(1+Ft!D$37*($A425-Ft!D$2)^2)+Ft!D$6*EXP(Ft!D$38*($A425-Ft!D$2)^2)),Ft!D$3*((1-Ft!D$7)/(1+Ft!D$39*($A425-Ft!D$2)^2)+Ft!D$7*EXP(Ft!D$40*($A425-Ft!D$2)^2)))</f>
        <v>2.1577561004184654E-51</v>
      </c>
      <c r="I425" s="3">
        <f>IF(($A425-Ft!E$2)&lt;0,Ft!E$3*((1-Ft!E$6)/(1+Ft!E$37*($A425-Ft!E$2)^2)+Ft!E$6*EXP(Ft!E$38*($A425-Ft!E$2)^2)),Ft!E$3*((1-Ft!E$7)/(1+Ft!E$39*($A425-Ft!E$2)^2)+Ft!E$7*EXP(Ft!E$40*($A425-Ft!E$2)^2)))</f>
        <v>99.366414165275174</v>
      </c>
      <c r="J425" s="3">
        <f>IF(($A425-Ft!F$2)&lt;0,Ft!F$3*((1-Ft!F$6)/(1+Ft!F$37*($A425-Ft!F$2)^2)+Ft!F$6*EXP(Ft!F$38*($A425-Ft!F$2)^2)),Ft!F$3*((1-Ft!F$7)/(1+Ft!F$39*($A425-Ft!F$2)^2)+Ft!F$7*EXP(Ft!F$40*($A425-Ft!F$2)^2)))</f>
        <v>80.274404467792522</v>
      </c>
      <c r="K425" s="3">
        <f>IF(($A425-Ft!G$2)&lt;0,Ft!G$3*((1-Ft!G$6)/(1+Ft!G$37*($A425-Ft!G$2)^2)+Ft!G$6*EXP(Ft!G$38*($A425-Ft!G$2)^2)),Ft!G$3*((1-Ft!G$7)/(1+Ft!G$39*($A425-Ft!G$2)^2)+Ft!G$7*EXP(Ft!G$40*($A425-Ft!G$2)^2)))</f>
        <v>2.1413009940344345</v>
      </c>
      <c r="L425" s="3">
        <f>IF(($A425-Ft!H$2)&lt;0,Ft!H$3*((1-Ft!H$6)/(1+Ft!H$37*($A425-Ft!H$2)^2)+Ft!H$6*EXP(Ft!H$38*($A425-Ft!H$2)^2)),Ft!H$3*((1-Ft!H$7)/(1+Ft!H$39*($A425-Ft!H$2)^2)+Ft!H$7*EXP(Ft!H$40*($A425-Ft!H$2)^2)))</f>
        <v>0</v>
      </c>
      <c r="M425" s="3">
        <f>IF(($A425-Ft!I$2)&lt;0,Ft!I$3*((1-Ft!I$6)/(1+Ft!I$37*($A425-Ft!I$2)^2)+Ft!I$6*EXP(Ft!I$38*($A425-Ft!I$2)^2)),Ft!I$3*((1-Ft!I$7)/(1+Ft!I$39*($A425-Ft!I$2)^2)+Ft!I$7*EXP(Ft!I$40*($A425-Ft!I$2)^2)))</f>
        <v>0</v>
      </c>
      <c r="N425" s="3">
        <f>IF(($A425-Ft!J$2)&lt;0,Ft!J$3*((1-Ft!J$6)/(1+Ft!J$37*($A425-Ft!J$2)^2)+Ft!J$6*EXP(Ft!J$38*($A425-Ft!J$2)^2)),Ft!J$3*((1-Ft!J$7)/(1+Ft!J$39*($A425-Ft!J$2)^2)+Ft!J$7*EXP(Ft!J$40*($A425-Ft!J$2)^2)))</f>
        <v>0</v>
      </c>
      <c r="O425" s="3">
        <f>IF(($A425-Ft!K$2)&lt;0,Ft!K$3*((1-Ft!K$6)/(1+Ft!K$37*($A425-Ft!K$2)^2)+Ft!K$6*EXP(Ft!K$38*($A425-Ft!K$2)^2)),Ft!K$3*((1-Ft!K$7)/(1+Ft!K$39*($A425-Ft!K$2)^2)+Ft!K$7*EXP(Ft!K$40*($A425-Ft!K$2)^2)))</f>
        <v>0</v>
      </c>
      <c r="P425"/>
      <c r="Q425"/>
    </row>
    <row r="426" spans="1:17">
      <c r="A426" s="20">
        <v>849</v>
      </c>
      <c r="B426" s="29">
        <v>48.98783853618221</v>
      </c>
      <c r="C426" s="7">
        <f t="shared" si="13"/>
        <v>49.504987391060503</v>
      </c>
      <c r="D426" s="3">
        <f t="shared" si="14"/>
        <v>0.26744293810192998</v>
      </c>
      <c r="E426" s="3">
        <f>Ft!$B$12+Ft!$B$14*(Data!A426-Vars!$B$3)</f>
        <v>-200</v>
      </c>
      <c r="F426" s="3">
        <f>IF(($A426-Ft!B$2)&lt;0,Ft!B$3*((1-Ft!B$6)/(1+Ft!B$37*($A426-Ft!B$2)^2)+Ft!B$6*EXP(Ft!B$38*($A426-Ft!B$2)^2)),Ft!B$3*((1-Ft!B$7)/(1+Ft!B$39*($A426-Ft!B$2)^2)+Ft!B$7*EXP(Ft!B$40*($A426-Ft!B$2)^2)))</f>
        <v>11.727806425521662</v>
      </c>
      <c r="G426" s="3">
        <f>IF(($A426-Ft!C$2)&lt;0,Ft!C$3*((1-Ft!C$6)/(1+Ft!C$37*($A426-Ft!C$2)^2)+Ft!C$6*EXP(Ft!C$38*($A426-Ft!C$2)^2)),Ft!C$3*((1-Ft!C$7)/(1+Ft!C$39*($A426-Ft!C$2)^2)+Ft!C$7*EXP(Ft!C$40*($A426-Ft!C$2)^2)))</f>
        <v>56.089134063875115</v>
      </c>
      <c r="H426" s="3">
        <f>IF(($A426-Ft!D$2)&lt;0,Ft!D$3*((1-Ft!D$6)/(1+Ft!D$37*($A426-Ft!D$2)^2)+Ft!D$6*EXP(Ft!D$38*($A426-Ft!D$2)^2)),Ft!D$3*((1-Ft!D$7)/(1+Ft!D$39*($A426-Ft!D$2)^2)+Ft!D$7*EXP(Ft!D$40*($A426-Ft!D$2)^2)))</f>
        <v>6.8992445354867266E-52</v>
      </c>
      <c r="I426" s="3">
        <f>IF(($A426-Ft!E$2)&lt;0,Ft!E$3*((1-Ft!E$6)/(1+Ft!E$37*($A426-Ft!E$2)^2)+Ft!E$6*EXP(Ft!E$38*($A426-Ft!E$2)^2)),Ft!E$3*((1-Ft!E$7)/(1+Ft!E$39*($A426-Ft!E$2)^2)+Ft!E$7*EXP(Ft!E$40*($A426-Ft!E$2)^2)))</f>
        <v>98.997951219783417</v>
      </c>
      <c r="J426" s="3">
        <f>IF(($A426-Ft!F$2)&lt;0,Ft!F$3*((1-Ft!F$6)/(1+Ft!F$37*($A426-Ft!F$2)^2)+Ft!F$6*EXP(Ft!F$38*($A426-Ft!F$2)^2)),Ft!F$3*((1-Ft!F$7)/(1+Ft!F$39*($A426-Ft!F$2)^2)+Ft!F$7*EXP(Ft!F$40*($A426-Ft!F$2)^2)))</f>
        <v>80.602817987383105</v>
      </c>
      <c r="K426" s="3">
        <f>IF(($A426-Ft!G$2)&lt;0,Ft!G$3*((1-Ft!G$6)/(1+Ft!G$37*($A426-Ft!G$2)^2)+Ft!G$6*EXP(Ft!G$38*($A426-Ft!G$2)^2)),Ft!G$3*((1-Ft!G$7)/(1+Ft!G$39*($A426-Ft!G$2)^2)+Ft!G$7*EXP(Ft!G$40*($A426-Ft!G$2)^2)))</f>
        <v>2.087277694497196</v>
      </c>
      <c r="L426" s="3">
        <f>IF(($A426-Ft!H$2)&lt;0,Ft!H$3*((1-Ft!H$6)/(1+Ft!H$37*($A426-Ft!H$2)^2)+Ft!H$6*EXP(Ft!H$38*($A426-Ft!H$2)^2)),Ft!H$3*((1-Ft!H$7)/(1+Ft!H$39*($A426-Ft!H$2)^2)+Ft!H$7*EXP(Ft!H$40*($A426-Ft!H$2)^2)))</f>
        <v>0</v>
      </c>
      <c r="M426" s="3">
        <f>IF(($A426-Ft!I$2)&lt;0,Ft!I$3*((1-Ft!I$6)/(1+Ft!I$37*($A426-Ft!I$2)^2)+Ft!I$6*EXP(Ft!I$38*($A426-Ft!I$2)^2)),Ft!I$3*((1-Ft!I$7)/(1+Ft!I$39*($A426-Ft!I$2)^2)+Ft!I$7*EXP(Ft!I$40*($A426-Ft!I$2)^2)))</f>
        <v>0</v>
      </c>
      <c r="N426" s="3">
        <f>IF(($A426-Ft!J$2)&lt;0,Ft!J$3*((1-Ft!J$6)/(1+Ft!J$37*($A426-Ft!J$2)^2)+Ft!J$6*EXP(Ft!J$38*($A426-Ft!J$2)^2)),Ft!J$3*((1-Ft!J$7)/(1+Ft!J$39*($A426-Ft!J$2)^2)+Ft!J$7*EXP(Ft!J$40*($A426-Ft!J$2)^2)))</f>
        <v>0</v>
      </c>
      <c r="O426" s="3">
        <f>IF(($A426-Ft!K$2)&lt;0,Ft!K$3*((1-Ft!K$6)/(1+Ft!K$37*($A426-Ft!K$2)^2)+Ft!K$6*EXP(Ft!K$38*($A426-Ft!K$2)^2)),Ft!K$3*((1-Ft!K$7)/(1+Ft!K$39*($A426-Ft!K$2)^2)+Ft!K$7*EXP(Ft!K$40*($A426-Ft!K$2)^2)))</f>
        <v>0</v>
      </c>
      <c r="P426"/>
      <c r="Q426"/>
    </row>
    <row r="427" spans="1:17">
      <c r="A427" s="20">
        <v>851</v>
      </c>
      <c r="B427" s="29">
        <v>48.786319577581466</v>
      </c>
      <c r="C427" s="7">
        <f t="shared" si="13"/>
        <v>49.301572326460942</v>
      </c>
      <c r="D427" s="3">
        <f t="shared" si="14"/>
        <v>0.26548539522785641</v>
      </c>
      <c r="E427" s="3">
        <f>Ft!$B$12+Ft!$B$14*(Data!A427-Vars!$B$3)</f>
        <v>-200</v>
      </c>
      <c r="F427" s="3">
        <f>IF(($A427-Ft!B$2)&lt;0,Ft!B$3*((1-Ft!B$6)/(1+Ft!B$37*($A427-Ft!B$2)^2)+Ft!B$6*EXP(Ft!B$38*($A427-Ft!B$2)^2)),Ft!B$3*((1-Ft!B$7)/(1+Ft!B$39*($A427-Ft!B$2)^2)+Ft!B$7*EXP(Ft!B$40*($A427-Ft!B$2)^2)))</f>
        <v>11.608460692883328</v>
      </c>
      <c r="G427" s="3">
        <f>IF(($A427-Ft!C$2)&lt;0,Ft!C$3*((1-Ft!C$6)/(1+Ft!C$37*($A427-Ft!C$2)^2)+Ft!C$6*EXP(Ft!C$38*($A427-Ft!C$2)^2)),Ft!C$3*((1-Ft!C$7)/(1+Ft!C$39*($A427-Ft!C$2)^2)+Ft!C$7*EXP(Ft!C$40*($A427-Ft!C$2)^2)))</f>
        <v>56.102060280994387</v>
      </c>
      <c r="H427" s="3">
        <f>IF(($A427-Ft!D$2)&lt;0,Ft!D$3*((1-Ft!D$6)/(1+Ft!D$37*($A427-Ft!D$2)^2)+Ft!D$6*EXP(Ft!D$38*($A427-Ft!D$2)^2)),Ft!D$3*((1-Ft!D$7)/(1+Ft!D$39*($A427-Ft!D$2)^2)+Ft!D$7*EXP(Ft!D$40*($A427-Ft!D$2)^2)))</f>
        <v>2.1938392919942938E-52</v>
      </c>
      <c r="I427" s="3">
        <f>IF(($A427-Ft!E$2)&lt;0,Ft!E$3*((1-Ft!E$6)/(1+Ft!E$37*($A427-Ft!E$2)^2)+Ft!E$6*EXP(Ft!E$38*($A427-Ft!E$2)^2)),Ft!E$3*((1-Ft!E$7)/(1+Ft!E$39*($A427-Ft!E$2)^2)+Ft!E$7*EXP(Ft!E$40*($A427-Ft!E$2)^2)))</f>
        <v>98.625135991189936</v>
      </c>
      <c r="J427" s="3">
        <f>IF(($A427-Ft!F$2)&lt;0,Ft!F$3*((1-Ft!F$6)/(1+Ft!F$37*($A427-Ft!F$2)^2)+Ft!F$6*EXP(Ft!F$38*($A427-Ft!F$2)^2)),Ft!F$3*((1-Ft!F$7)/(1+Ft!F$39*($A427-Ft!F$2)^2)+Ft!F$7*EXP(Ft!F$40*($A427-Ft!F$2)^2)))</f>
        <v>80.931509181684149</v>
      </c>
      <c r="K427" s="3">
        <f>IF(($A427-Ft!G$2)&lt;0,Ft!G$3*((1-Ft!G$6)/(1+Ft!G$37*($A427-Ft!G$2)^2)+Ft!G$6*EXP(Ft!G$38*($A427-Ft!G$2)^2)),Ft!G$3*((1-Ft!G$7)/(1+Ft!G$39*($A427-Ft!G$2)^2)+Ft!G$7*EXP(Ft!G$40*($A427-Ft!G$2)^2)))</f>
        <v>2.034406179709134</v>
      </c>
      <c r="L427" s="3">
        <f>IF(($A427-Ft!H$2)&lt;0,Ft!H$3*((1-Ft!H$6)/(1+Ft!H$37*($A427-Ft!H$2)^2)+Ft!H$6*EXP(Ft!H$38*($A427-Ft!H$2)^2)),Ft!H$3*((1-Ft!H$7)/(1+Ft!H$39*($A427-Ft!H$2)^2)+Ft!H$7*EXP(Ft!H$40*($A427-Ft!H$2)^2)))</f>
        <v>0</v>
      </c>
      <c r="M427" s="3">
        <f>IF(($A427-Ft!I$2)&lt;0,Ft!I$3*((1-Ft!I$6)/(1+Ft!I$37*($A427-Ft!I$2)^2)+Ft!I$6*EXP(Ft!I$38*($A427-Ft!I$2)^2)),Ft!I$3*((1-Ft!I$7)/(1+Ft!I$39*($A427-Ft!I$2)^2)+Ft!I$7*EXP(Ft!I$40*($A427-Ft!I$2)^2)))</f>
        <v>0</v>
      </c>
      <c r="N427" s="3">
        <f>IF(($A427-Ft!J$2)&lt;0,Ft!J$3*((1-Ft!J$6)/(1+Ft!J$37*($A427-Ft!J$2)^2)+Ft!J$6*EXP(Ft!J$38*($A427-Ft!J$2)^2)),Ft!J$3*((1-Ft!J$7)/(1+Ft!J$39*($A427-Ft!J$2)^2)+Ft!J$7*EXP(Ft!J$40*($A427-Ft!J$2)^2)))</f>
        <v>0</v>
      </c>
      <c r="O427" s="3">
        <f>IF(($A427-Ft!K$2)&lt;0,Ft!K$3*((1-Ft!K$6)/(1+Ft!K$37*($A427-Ft!K$2)^2)+Ft!K$6*EXP(Ft!K$38*($A427-Ft!K$2)^2)),Ft!K$3*((1-Ft!K$7)/(1+Ft!K$39*($A427-Ft!K$2)^2)+Ft!K$7*EXP(Ft!K$40*($A427-Ft!K$2)^2)))</f>
        <v>0</v>
      </c>
      <c r="P427"/>
      <c r="Q427"/>
    </row>
    <row r="428" spans="1:17">
      <c r="A428" s="20">
        <v>853</v>
      </c>
      <c r="B428" s="29">
        <v>48.584080424099724</v>
      </c>
      <c r="C428" s="7">
        <f t="shared" si="13"/>
        <v>49.095770445952866</v>
      </c>
      <c r="D428" s="3">
        <f t="shared" si="14"/>
        <v>0.26182667846406821</v>
      </c>
      <c r="E428" s="3">
        <f>Ft!$B$12+Ft!$B$14*(Data!A428-Vars!$B$3)</f>
        <v>-200</v>
      </c>
      <c r="F428" s="3">
        <f>IF(($A428-Ft!B$2)&lt;0,Ft!B$3*((1-Ft!B$6)/(1+Ft!B$37*($A428-Ft!B$2)^2)+Ft!B$6*EXP(Ft!B$38*($A428-Ft!B$2)^2)),Ft!B$3*((1-Ft!B$7)/(1+Ft!B$39*($A428-Ft!B$2)^2)+Ft!B$7*EXP(Ft!B$40*($A428-Ft!B$2)^2)))</f>
        <v>11.490110147904959</v>
      </c>
      <c r="G428" s="3">
        <f>IF(($A428-Ft!C$2)&lt;0,Ft!C$3*((1-Ft!C$6)/(1+Ft!C$37*($A428-Ft!C$2)^2)+Ft!C$6*EXP(Ft!C$38*($A428-Ft!C$2)^2)),Ft!C$3*((1-Ft!C$7)/(1+Ft!C$39*($A428-Ft!C$2)^2)+Ft!C$7*EXP(Ft!C$40*($A428-Ft!C$2)^2)))</f>
        <v>56.114493659928158</v>
      </c>
      <c r="H428" s="3">
        <f>IF(($A428-Ft!D$2)&lt;0,Ft!D$3*((1-Ft!D$6)/(1+Ft!D$37*($A428-Ft!D$2)^2)+Ft!D$6*EXP(Ft!D$38*($A428-Ft!D$2)^2)),Ft!D$3*((1-Ft!D$7)/(1+Ft!D$39*($A428-Ft!D$2)^2)+Ft!D$7*EXP(Ft!D$40*($A428-Ft!D$2)^2)))</f>
        <v>6.9376465435258047E-53</v>
      </c>
      <c r="I428" s="3">
        <f>IF(($A428-Ft!E$2)&lt;0,Ft!E$3*((1-Ft!E$6)/(1+Ft!E$37*($A428-Ft!E$2)^2)+Ft!E$6*EXP(Ft!E$38*($A428-Ft!E$2)^2)),Ft!E$3*((1-Ft!E$7)/(1+Ft!E$39*($A428-Ft!E$2)^2)+Ft!E$7*EXP(Ft!E$40*($A428-Ft!E$2)^2)))</f>
        <v>98.248028019748915</v>
      </c>
      <c r="J428" s="3">
        <f>IF(($A428-Ft!F$2)&lt;0,Ft!F$3*((1-Ft!F$6)/(1+Ft!F$37*($A428-Ft!F$2)^2)+Ft!F$6*EXP(Ft!F$38*($A428-Ft!F$2)^2)),Ft!F$3*((1-Ft!F$7)/(1+Ft!F$39*($A428-Ft!F$2)^2)+Ft!F$7*EXP(Ft!F$40*($A428-Ft!F$2)^2)))</f>
        <v>81.260470507424401</v>
      </c>
      <c r="K428" s="3">
        <f>IF(($A428-Ft!G$2)&lt;0,Ft!G$3*((1-Ft!G$6)/(1+Ft!G$37*($A428-Ft!G$2)^2)+Ft!G$6*EXP(Ft!G$38*($A428-Ft!G$2)^2)),Ft!G$3*((1-Ft!G$7)/(1+Ft!G$39*($A428-Ft!G$2)^2)+Ft!G$7*EXP(Ft!G$40*($A428-Ft!G$2)^2)))</f>
        <v>1.9826681109464062</v>
      </c>
      <c r="L428" s="3">
        <f>IF(($A428-Ft!H$2)&lt;0,Ft!H$3*((1-Ft!H$6)/(1+Ft!H$37*($A428-Ft!H$2)^2)+Ft!H$6*EXP(Ft!H$38*($A428-Ft!H$2)^2)),Ft!H$3*((1-Ft!H$7)/(1+Ft!H$39*($A428-Ft!H$2)^2)+Ft!H$7*EXP(Ft!H$40*($A428-Ft!H$2)^2)))</f>
        <v>0</v>
      </c>
      <c r="M428" s="3">
        <f>IF(($A428-Ft!I$2)&lt;0,Ft!I$3*((1-Ft!I$6)/(1+Ft!I$37*($A428-Ft!I$2)^2)+Ft!I$6*EXP(Ft!I$38*($A428-Ft!I$2)^2)),Ft!I$3*((1-Ft!I$7)/(1+Ft!I$39*($A428-Ft!I$2)^2)+Ft!I$7*EXP(Ft!I$40*($A428-Ft!I$2)^2)))</f>
        <v>0</v>
      </c>
      <c r="N428" s="3">
        <f>IF(($A428-Ft!J$2)&lt;0,Ft!J$3*((1-Ft!J$6)/(1+Ft!J$37*($A428-Ft!J$2)^2)+Ft!J$6*EXP(Ft!J$38*($A428-Ft!J$2)^2)),Ft!J$3*((1-Ft!J$7)/(1+Ft!J$39*($A428-Ft!J$2)^2)+Ft!J$7*EXP(Ft!J$40*($A428-Ft!J$2)^2)))</f>
        <v>0</v>
      </c>
      <c r="O428" s="3">
        <f>IF(($A428-Ft!K$2)&lt;0,Ft!K$3*((1-Ft!K$6)/(1+Ft!K$37*($A428-Ft!K$2)^2)+Ft!K$6*EXP(Ft!K$38*($A428-Ft!K$2)^2)),Ft!K$3*((1-Ft!K$7)/(1+Ft!K$39*($A428-Ft!K$2)^2)+Ft!K$7*EXP(Ft!K$40*($A428-Ft!K$2)^2)))</f>
        <v>0</v>
      </c>
      <c r="P428"/>
      <c r="Q428"/>
    </row>
    <row r="429" spans="1:17">
      <c r="A429" s="20">
        <v>855</v>
      </c>
      <c r="B429" s="29">
        <v>48.381026880249294</v>
      </c>
      <c r="C429" s="7">
        <f t="shared" si="13"/>
        <v>48.887610022399556</v>
      </c>
      <c r="D429" s="3">
        <f t="shared" si="14"/>
        <v>0.25662647991083282</v>
      </c>
      <c r="E429" s="3">
        <f>Ft!$B$12+Ft!$B$14*(Data!A429-Vars!$B$3)</f>
        <v>-200</v>
      </c>
      <c r="F429" s="3">
        <f>IF(($A429-Ft!B$2)&lt;0,Ft!B$3*((1-Ft!B$6)/(1+Ft!B$37*($A429-Ft!B$2)^2)+Ft!B$6*EXP(Ft!B$38*($A429-Ft!B$2)^2)),Ft!B$3*((1-Ft!B$7)/(1+Ft!B$39*($A429-Ft!B$2)^2)+Ft!B$7*EXP(Ft!B$40*($A429-Ft!B$2)^2)))</f>
        <v>11.372749139232326</v>
      </c>
      <c r="G429" s="3">
        <f>IF(($A429-Ft!C$2)&lt;0,Ft!C$3*((1-Ft!C$6)/(1+Ft!C$37*($A429-Ft!C$2)^2)+Ft!C$6*EXP(Ft!C$38*($A429-Ft!C$2)^2)),Ft!C$3*((1-Ft!C$7)/(1+Ft!C$39*($A429-Ft!C$2)^2)+Ft!C$7*EXP(Ft!C$40*($A429-Ft!C$2)^2)))</f>
        <v>56.126433871712869</v>
      </c>
      <c r="H429" s="3">
        <f>IF(($A429-Ft!D$2)&lt;0,Ft!D$3*((1-Ft!D$6)/(1+Ft!D$37*($A429-Ft!D$2)^2)+Ft!D$6*EXP(Ft!D$38*($A429-Ft!D$2)^2)),Ft!D$3*((1-Ft!D$7)/(1+Ft!D$39*($A429-Ft!D$2)^2)+Ft!D$7*EXP(Ft!D$40*($A429-Ft!D$2)^2)))</f>
        <v>2.1818436007179659E-53</v>
      </c>
      <c r="I429" s="3">
        <f>IF(($A429-Ft!E$2)&lt;0,Ft!E$3*((1-Ft!E$6)/(1+Ft!E$37*($A429-Ft!E$2)^2)+Ft!E$6*EXP(Ft!E$38*($A429-Ft!E$2)^2)),Ft!E$3*((1-Ft!E$7)/(1+Ft!E$39*($A429-Ft!E$2)^2)+Ft!E$7*EXP(Ft!E$40*($A429-Ft!E$2)^2)))</f>
        <v>97.866687365031183</v>
      </c>
      <c r="J429" s="3">
        <f>IF(($A429-Ft!F$2)&lt;0,Ft!F$3*((1-Ft!F$6)/(1+Ft!F$37*($A429-Ft!F$2)^2)+Ft!F$6*EXP(Ft!F$38*($A429-Ft!F$2)^2)),Ft!F$3*((1-Ft!F$7)/(1+Ft!F$39*($A429-Ft!F$2)^2)+Ft!F$7*EXP(Ft!F$40*($A429-Ft!F$2)^2)))</f>
        <v>81.589694379926897</v>
      </c>
      <c r="K429" s="3">
        <f>IF(($A429-Ft!G$2)&lt;0,Ft!G$3*((1-Ft!G$6)/(1+Ft!G$37*($A429-Ft!G$2)^2)+Ft!G$6*EXP(Ft!G$38*($A429-Ft!G$2)^2)),Ft!G$3*((1-Ft!G$7)/(1+Ft!G$39*($A429-Ft!G$2)^2)+Ft!G$7*EXP(Ft!G$40*($A429-Ft!G$2)^2)))</f>
        <v>1.9320452664962917</v>
      </c>
      <c r="L429" s="3">
        <f>IF(($A429-Ft!H$2)&lt;0,Ft!H$3*((1-Ft!H$6)/(1+Ft!H$37*($A429-Ft!H$2)^2)+Ft!H$6*EXP(Ft!H$38*($A429-Ft!H$2)^2)),Ft!H$3*((1-Ft!H$7)/(1+Ft!H$39*($A429-Ft!H$2)^2)+Ft!H$7*EXP(Ft!H$40*($A429-Ft!H$2)^2)))</f>
        <v>0</v>
      </c>
      <c r="M429" s="3">
        <f>IF(($A429-Ft!I$2)&lt;0,Ft!I$3*((1-Ft!I$6)/(1+Ft!I$37*($A429-Ft!I$2)^2)+Ft!I$6*EXP(Ft!I$38*($A429-Ft!I$2)^2)),Ft!I$3*((1-Ft!I$7)/(1+Ft!I$39*($A429-Ft!I$2)^2)+Ft!I$7*EXP(Ft!I$40*($A429-Ft!I$2)^2)))</f>
        <v>0</v>
      </c>
      <c r="N429" s="3">
        <f>IF(($A429-Ft!J$2)&lt;0,Ft!J$3*((1-Ft!J$6)/(1+Ft!J$37*($A429-Ft!J$2)^2)+Ft!J$6*EXP(Ft!J$38*($A429-Ft!J$2)^2)),Ft!J$3*((1-Ft!J$7)/(1+Ft!J$39*($A429-Ft!J$2)^2)+Ft!J$7*EXP(Ft!J$40*($A429-Ft!J$2)^2)))</f>
        <v>0</v>
      </c>
      <c r="O429" s="3">
        <f>IF(($A429-Ft!K$2)&lt;0,Ft!K$3*((1-Ft!K$6)/(1+Ft!K$37*($A429-Ft!K$2)^2)+Ft!K$6*EXP(Ft!K$38*($A429-Ft!K$2)^2)),Ft!K$3*((1-Ft!K$7)/(1+Ft!K$39*($A429-Ft!K$2)^2)+Ft!K$7*EXP(Ft!K$40*($A429-Ft!K$2)^2)))</f>
        <v>0</v>
      </c>
      <c r="P429"/>
      <c r="Q429"/>
    </row>
    <row r="430" spans="1:17">
      <c r="A430" s="20">
        <v>857</v>
      </c>
      <c r="B430" s="29">
        <v>48.177067993472591</v>
      </c>
      <c r="C430" s="7">
        <f t="shared" si="13"/>
        <v>48.677119926724849</v>
      </c>
      <c r="D430" s="3">
        <f t="shared" si="14"/>
        <v>0.25005193594932129</v>
      </c>
      <c r="E430" s="3">
        <f>Ft!$B$12+Ft!$B$14*(Data!A430-Vars!$B$3)</f>
        <v>-200</v>
      </c>
      <c r="F430" s="3">
        <f>IF(($A430-Ft!B$2)&lt;0,Ft!B$3*((1-Ft!B$6)/(1+Ft!B$37*($A430-Ft!B$2)^2)+Ft!B$6*EXP(Ft!B$38*($A430-Ft!B$2)^2)),Ft!B$3*((1-Ft!B$7)/(1+Ft!B$39*($A430-Ft!B$2)^2)+Ft!B$7*EXP(Ft!B$40*($A430-Ft!B$2)^2)))</f>
        <v>11.256372016810133</v>
      </c>
      <c r="G430" s="3">
        <f>IF(($A430-Ft!C$2)&lt;0,Ft!C$3*((1-Ft!C$6)/(1+Ft!C$37*($A430-Ft!C$2)^2)+Ft!C$6*EXP(Ft!C$38*($A430-Ft!C$2)^2)),Ft!C$3*((1-Ft!C$7)/(1+Ft!C$39*($A430-Ft!C$2)^2)+Ft!C$7*EXP(Ft!C$40*($A430-Ft!C$2)^2)))</f>
        <v>56.137880600387383</v>
      </c>
      <c r="H430" s="3">
        <f>IF(($A430-Ft!D$2)&lt;0,Ft!D$3*((1-Ft!D$6)/(1+Ft!D$37*($A430-Ft!D$2)^2)+Ft!D$6*EXP(Ft!D$38*($A430-Ft!D$2)^2)),Ft!D$3*((1-Ft!D$7)/(1+Ft!D$39*($A430-Ft!D$2)^2)+Ft!D$7*EXP(Ft!D$40*($A430-Ft!D$2)^2)))</f>
        <v>6.8240020664198613E-54</v>
      </c>
      <c r="I430" s="3">
        <f>IF(($A430-Ft!E$2)&lt;0,Ft!E$3*((1-Ft!E$6)/(1+Ft!E$37*($A430-Ft!E$2)^2)+Ft!E$6*EXP(Ft!E$38*($A430-Ft!E$2)^2)),Ft!E$3*((1-Ft!E$7)/(1+Ft!E$39*($A430-Ft!E$2)^2)+Ft!E$7*EXP(Ft!E$40*($A430-Ft!E$2)^2)))</f>
        <v>97.48117459003636</v>
      </c>
      <c r="J430" s="3">
        <f>IF(($A430-Ft!F$2)&lt;0,Ft!F$3*((1-Ft!F$6)/(1+Ft!F$37*($A430-Ft!F$2)^2)+Ft!F$6*EXP(Ft!F$38*($A430-Ft!F$2)^2)),Ft!F$3*((1-Ft!F$7)/(1+Ft!F$39*($A430-Ft!F$2)^2)+Ft!F$7*EXP(Ft!F$40*($A430-Ft!F$2)^2)))</f>
        <v>81.919173173341107</v>
      </c>
      <c r="K430" s="3">
        <f>IF(($A430-Ft!G$2)&lt;0,Ft!G$3*((1-Ft!G$6)/(1+Ft!G$37*($A430-Ft!G$2)^2)+Ft!G$6*EXP(Ft!G$38*($A430-Ft!G$2)^2)),Ft!G$3*((1-Ft!G$7)/(1+Ft!G$39*($A430-Ft!G$2)^2)+Ft!G$7*EXP(Ft!G$40*($A430-Ft!G$2)^2)))</f>
        <v>1.8825195461498725</v>
      </c>
      <c r="L430" s="3">
        <f>IF(($A430-Ft!H$2)&lt;0,Ft!H$3*((1-Ft!H$6)/(1+Ft!H$37*($A430-Ft!H$2)^2)+Ft!H$6*EXP(Ft!H$38*($A430-Ft!H$2)^2)),Ft!H$3*((1-Ft!H$7)/(1+Ft!H$39*($A430-Ft!H$2)^2)+Ft!H$7*EXP(Ft!H$40*($A430-Ft!H$2)^2)))</f>
        <v>0</v>
      </c>
      <c r="M430" s="3">
        <f>IF(($A430-Ft!I$2)&lt;0,Ft!I$3*((1-Ft!I$6)/(1+Ft!I$37*($A430-Ft!I$2)^2)+Ft!I$6*EXP(Ft!I$38*($A430-Ft!I$2)^2)),Ft!I$3*((1-Ft!I$7)/(1+Ft!I$39*($A430-Ft!I$2)^2)+Ft!I$7*EXP(Ft!I$40*($A430-Ft!I$2)^2)))</f>
        <v>0</v>
      </c>
      <c r="N430" s="3">
        <f>IF(($A430-Ft!J$2)&lt;0,Ft!J$3*((1-Ft!J$6)/(1+Ft!J$37*($A430-Ft!J$2)^2)+Ft!J$6*EXP(Ft!J$38*($A430-Ft!J$2)^2)),Ft!J$3*((1-Ft!J$7)/(1+Ft!J$39*($A430-Ft!J$2)^2)+Ft!J$7*EXP(Ft!J$40*($A430-Ft!J$2)^2)))</f>
        <v>0</v>
      </c>
      <c r="O430" s="3">
        <f>IF(($A430-Ft!K$2)&lt;0,Ft!K$3*((1-Ft!K$6)/(1+Ft!K$37*($A430-Ft!K$2)^2)+Ft!K$6*EXP(Ft!K$38*($A430-Ft!K$2)^2)),Ft!K$3*((1-Ft!K$7)/(1+Ft!K$39*($A430-Ft!K$2)^2)+Ft!K$7*EXP(Ft!K$40*($A430-Ft!K$2)^2)))</f>
        <v>0</v>
      </c>
      <c r="P430"/>
      <c r="Q430"/>
    </row>
    <row r="431" spans="1:17">
      <c r="A431" s="20">
        <v>859</v>
      </c>
      <c r="B431" s="29">
        <v>47.972117130318793</v>
      </c>
      <c r="C431" s="7">
        <f t="shared" si="13"/>
        <v>48.464329616922214</v>
      </c>
      <c r="D431" s="3">
        <f t="shared" si="14"/>
        <v>0.24227313196832287</v>
      </c>
      <c r="E431" s="3">
        <f>Ft!$B$12+Ft!$B$14*(Data!A431-Vars!$B$3)</f>
        <v>-200</v>
      </c>
      <c r="F431" s="3">
        <f>IF(($A431-Ft!B$2)&lt;0,Ft!B$3*((1-Ft!B$6)/(1+Ft!B$37*($A431-Ft!B$2)^2)+Ft!B$6*EXP(Ft!B$38*($A431-Ft!B$2)^2)),Ft!B$3*((1-Ft!B$7)/(1+Ft!B$39*($A431-Ft!B$2)^2)+Ft!B$7*EXP(Ft!B$40*($A431-Ft!B$2)^2)))</f>
        <v>11.140973132297898</v>
      </c>
      <c r="G431" s="3">
        <f>IF(($A431-Ft!C$2)&lt;0,Ft!C$3*((1-Ft!C$6)/(1+Ft!C$37*($A431-Ft!C$2)^2)+Ft!C$6*EXP(Ft!C$38*($A431-Ft!C$2)^2)),Ft!C$3*((1-Ft!C$7)/(1+Ft!C$39*($A431-Ft!C$2)^2)+Ft!C$7*EXP(Ft!C$40*($A431-Ft!C$2)^2)))</f>
        <v>56.148833543006958</v>
      </c>
      <c r="H431" s="3">
        <f>IF(($A431-Ft!D$2)&lt;0,Ft!D$3*((1-Ft!D$6)/(1+Ft!D$37*($A431-Ft!D$2)^2)+Ft!D$6*EXP(Ft!D$38*($A431-Ft!D$2)^2)),Ft!D$3*((1-Ft!D$7)/(1+Ft!D$39*($A431-Ft!D$2)^2)+Ft!D$7*EXP(Ft!D$40*($A431-Ft!D$2)^2)))</f>
        <v>2.1225541088058622E-54</v>
      </c>
      <c r="I431" s="3">
        <f>IF(($A431-Ft!E$2)&lt;0,Ft!E$3*((1-Ft!E$6)/(1+Ft!E$37*($A431-Ft!E$2)^2)+Ft!E$6*EXP(Ft!E$38*($A431-Ft!E$2)^2)),Ft!E$3*((1-Ft!E$7)/(1+Ft!E$39*($A431-Ft!E$2)^2)+Ft!E$7*EXP(Ft!E$40*($A431-Ft!E$2)^2)))</f>
        <v>97.091550745220758</v>
      </c>
      <c r="J431" s="3">
        <f>IF(($A431-Ft!F$2)&lt;0,Ft!F$3*((1-Ft!F$6)/(1+Ft!F$37*($A431-Ft!F$2)^2)+Ft!F$6*EXP(Ft!F$38*($A431-Ft!F$2)^2)),Ft!F$3*((1-Ft!F$7)/(1+Ft!F$39*($A431-Ft!F$2)^2)+Ft!F$7*EXP(Ft!F$40*($A431-Ft!F$2)^2)))</f>
        <v>82.248899220878599</v>
      </c>
      <c r="K431" s="3">
        <f>IF(($A431-Ft!G$2)&lt;0,Ft!G$3*((1-Ft!G$6)/(1+Ft!G$37*($A431-Ft!G$2)^2)+Ft!G$6*EXP(Ft!G$38*($A431-Ft!G$2)^2)),Ft!G$3*((1-Ft!G$7)/(1+Ft!G$39*($A431-Ft!G$2)^2)+Ft!G$7*EXP(Ft!G$40*($A431-Ft!G$2)^2)))</f>
        <v>1.8340729755180147</v>
      </c>
      <c r="L431" s="3">
        <f>IF(($A431-Ft!H$2)&lt;0,Ft!H$3*((1-Ft!H$6)/(1+Ft!H$37*($A431-Ft!H$2)^2)+Ft!H$6*EXP(Ft!H$38*($A431-Ft!H$2)^2)),Ft!H$3*((1-Ft!H$7)/(1+Ft!H$39*($A431-Ft!H$2)^2)+Ft!H$7*EXP(Ft!H$40*($A431-Ft!H$2)^2)))</f>
        <v>0</v>
      </c>
      <c r="M431" s="3">
        <f>IF(($A431-Ft!I$2)&lt;0,Ft!I$3*((1-Ft!I$6)/(1+Ft!I$37*($A431-Ft!I$2)^2)+Ft!I$6*EXP(Ft!I$38*($A431-Ft!I$2)^2)),Ft!I$3*((1-Ft!I$7)/(1+Ft!I$39*($A431-Ft!I$2)^2)+Ft!I$7*EXP(Ft!I$40*($A431-Ft!I$2)^2)))</f>
        <v>0</v>
      </c>
      <c r="N431" s="3">
        <f>IF(($A431-Ft!J$2)&lt;0,Ft!J$3*((1-Ft!J$6)/(1+Ft!J$37*($A431-Ft!J$2)^2)+Ft!J$6*EXP(Ft!J$38*($A431-Ft!J$2)^2)),Ft!J$3*((1-Ft!J$7)/(1+Ft!J$39*($A431-Ft!J$2)^2)+Ft!J$7*EXP(Ft!J$40*($A431-Ft!J$2)^2)))</f>
        <v>0</v>
      </c>
      <c r="O431" s="3">
        <f>IF(($A431-Ft!K$2)&lt;0,Ft!K$3*((1-Ft!K$6)/(1+Ft!K$37*($A431-Ft!K$2)^2)+Ft!K$6*EXP(Ft!K$38*($A431-Ft!K$2)^2)),Ft!K$3*((1-Ft!K$7)/(1+Ft!K$39*($A431-Ft!K$2)^2)+Ft!K$7*EXP(Ft!K$40*($A431-Ft!K$2)^2)))</f>
        <v>0</v>
      </c>
      <c r="P431"/>
      <c r="Q431"/>
    </row>
    <row r="432" spans="1:17">
      <c r="A432" s="20">
        <v>861</v>
      </c>
      <c r="B432" s="29">
        <v>47.766092829178888</v>
      </c>
      <c r="C432" s="7">
        <f t="shared" si="13"/>
        <v>48.249269126809494</v>
      </c>
      <c r="D432" s="3">
        <f t="shared" si="14"/>
        <v>0.23345933459202059</v>
      </c>
      <c r="E432" s="3">
        <f>Ft!$B$12+Ft!$B$14*(Data!A432-Vars!$B$3)</f>
        <v>-200</v>
      </c>
      <c r="F432" s="3">
        <f>IF(($A432-Ft!B$2)&lt;0,Ft!B$3*((1-Ft!B$6)/(1+Ft!B$37*($A432-Ft!B$2)^2)+Ft!B$6*EXP(Ft!B$38*($A432-Ft!B$2)^2)),Ft!B$3*((1-Ft!B$7)/(1+Ft!B$39*($A432-Ft!B$2)^2)+Ft!B$7*EXP(Ft!B$40*($A432-Ft!B$2)^2)))</f>
        <v>11.026546839481393</v>
      </c>
      <c r="G432" s="3">
        <f>IF(($A432-Ft!C$2)&lt;0,Ft!C$3*((1-Ft!C$6)/(1+Ft!C$37*($A432-Ft!C$2)^2)+Ft!C$6*EXP(Ft!C$38*($A432-Ft!C$2)^2)),Ft!C$3*((1-Ft!C$7)/(1+Ft!C$39*($A432-Ft!C$2)^2)+Ft!C$7*EXP(Ft!C$40*($A432-Ft!C$2)^2)))</f>
        <v>56.15929240965658</v>
      </c>
      <c r="H432" s="3">
        <f>IF(($A432-Ft!D$2)&lt;0,Ft!D$3*((1-Ft!D$6)/(1+Ft!D$37*($A432-Ft!D$2)^2)+Ft!D$6*EXP(Ft!D$38*($A432-Ft!D$2)^2)),Ft!D$3*((1-Ft!D$7)/(1+Ft!D$39*($A432-Ft!D$2)^2)+Ft!D$7*EXP(Ft!D$40*($A432-Ft!D$2)^2)))</f>
        <v>6.5657218124495962E-55</v>
      </c>
      <c r="I432" s="3">
        <f>IF(($A432-Ft!E$2)&lt;0,Ft!E$3*((1-Ft!E$6)/(1+Ft!E$37*($A432-Ft!E$2)^2)+Ft!E$6*EXP(Ft!E$38*($A432-Ft!E$2)^2)),Ft!E$3*((1-Ft!E$7)/(1+Ft!E$39*($A432-Ft!E$2)^2)+Ft!E$7*EXP(Ft!E$40*($A432-Ft!E$2)^2)))</f>
        <v>96.697877352446525</v>
      </c>
      <c r="J432" s="3">
        <f>IF(($A432-Ft!F$2)&lt;0,Ft!F$3*((1-Ft!F$6)/(1+Ft!F$37*($A432-Ft!F$2)^2)+Ft!F$6*EXP(Ft!F$38*($A432-Ft!F$2)^2)),Ft!F$3*((1-Ft!F$7)/(1+Ft!F$39*($A432-Ft!F$2)^2)+Ft!F$7*EXP(Ft!F$40*($A432-Ft!F$2)^2)))</f>
        <v>82.578864815052526</v>
      </c>
      <c r="K432" s="3">
        <f>IF(($A432-Ft!G$2)&lt;0,Ft!G$3*((1-Ft!G$6)/(1+Ft!G$37*($A432-Ft!G$2)^2)+Ft!G$6*EXP(Ft!G$38*($A432-Ft!G$2)^2)),Ft!G$3*((1-Ft!G$7)/(1+Ft!G$39*($A432-Ft!G$2)^2)+Ft!G$7*EXP(Ft!G$40*($A432-Ft!G$2)^2)))</f>
        <v>1.7866877101724592</v>
      </c>
      <c r="L432" s="3">
        <f>IF(($A432-Ft!H$2)&lt;0,Ft!H$3*((1-Ft!H$6)/(1+Ft!H$37*($A432-Ft!H$2)^2)+Ft!H$6*EXP(Ft!H$38*($A432-Ft!H$2)^2)),Ft!H$3*((1-Ft!H$7)/(1+Ft!H$39*($A432-Ft!H$2)^2)+Ft!H$7*EXP(Ft!H$40*($A432-Ft!H$2)^2)))</f>
        <v>0</v>
      </c>
      <c r="M432" s="3">
        <f>IF(($A432-Ft!I$2)&lt;0,Ft!I$3*((1-Ft!I$6)/(1+Ft!I$37*($A432-Ft!I$2)^2)+Ft!I$6*EXP(Ft!I$38*($A432-Ft!I$2)^2)),Ft!I$3*((1-Ft!I$7)/(1+Ft!I$39*($A432-Ft!I$2)^2)+Ft!I$7*EXP(Ft!I$40*($A432-Ft!I$2)^2)))</f>
        <v>0</v>
      </c>
      <c r="N432" s="3">
        <f>IF(($A432-Ft!J$2)&lt;0,Ft!J$3*((1-Ft!J$6)/(1+Ft!J$37*($A432-Ft!J$2)^2)+Ft!J$6*EXP(Ft!J$38*($A432-Ft!J$2)^2)),Ft!J$3*((1-Ft!J$7)/(1+Ft!J$39*($A432-Ft!J$2)^2)+Ft!J$7*EXP(Ft!J$40*($A432-Ft!J$2)^2)))</f>
        <v>0</v>
      </c>
      <c r="O432" s="3">
        <f>IF(($A432-Ft!K$2)&lt;0,Ft!K$3*((1-Ft!K$6)/(1+Ft!K$37*($A432-Ft!K$2)^2)+Ft!K$6*EXP(Ft!K$38*($A432-Ft!K$2)^2)),Ft!K$3*((1-Ft!K$7)/(1+Ft!K$39*($A432-Ft!K$2)^2)+Ft!K$7*EXP(Ft!K$40*($A432-Ft!K$2)^2)))</f>
        <v>0</v>
      </c>
      <c r="P432"/>
      <c r="Q432"/>
    </row>
    <row r="433" spans="1:17">
      <c r="A433" s="20">
        <v>863</v>
      </c>
      <c r="B433" s="29">
        <v>47.558919444133949</v>
      </c>
      <c r="C433" s="7">
        <f t="shared" si="13"/>
        <v>48.031969054536269</v>
      </c>
      <c r="D433" s="3">
        <f t="shared" si="14"/>
        <v>0.22377593390178702</v>
      </c>
      <c r="E433" s="3">
        <f>Ft!$B$12+Ft!$B$14*(Data!A433-Vars!$B$3)</f>
        <v>-200</v>
      </c>
      <c r="F433" s="3">
        <f>IF(($A433-Ft!B$2)&lt;0,Ft!B$3*((1-Ft!B$6)/(1+Ft!B$37*($A433-Ft!B$2)^2)+Ft!B$6*EXP(Ft!B$38*($A433-Ft!B$2)^2)),Ft!B$3*((1-Ft!B$7)/(1+Ft!B$39*($A433-Ft!B$2)^2)+Ft!B$7*EXP(Ft!B$40*($A433-Ft!B$2)^2)))</f>
        <v>10.913087494679736</v>
      </c>
      <c r="G433" s="3">
        <f>IF(($A433-Ft!C$2)&lt;0,Ft!C$3*((1-Ft!C$6)/(1+Ft!C$37*($A433-Ft!C$2)^2)+Ft!C$6*EXP(Ft!C$38*($A433-Ft!C$2)^2)),Ft!C$3*((1-Ft!C$7)/(1+Ft!C$39*($A433-Ft!C$2)^2)+Ft!C$7*EXP(Ft!C$40*($A433-Ft!C$2)^2)))</f>
        <v>56.169256923463763</v>
      </c>
      <c r="H433" s="3">
        <f>IF(($A433-Ft!D$2)&lt;0,Ft!D$3*((1-Ft!D$6)/(1+Ft!D$37*($A433-Ft!D$2)^2)+Ft!D$6*EXP(Ft!D$38*($A433-Ft!D$2)^2)),Ft!D$3*((1-Ft!D$7)/(1+Ft!D$39*($A433-Ft!D$2)^2)+Ft!D$7*EXP(Ft!D$40*($A433-Ft!D$2)^2)))</f>
        <v>2.0198088584122195E-55</v>
      </c>
      <c r="I433" s="3">
        <f>IF(($A433-Ft!E$2)&lt;0,Ft!E$3*((1-Ft!E$6)/(1+Ft!E$37*($A433-Ft!E$2)^2)+Ft!E$6*EXP(Ft!E$38*($A433-Ft!E$2)^2)),Ft!E$3*((1-Ft!E$7)/(1+Ft!E$39*($A433-Ft!E$2)^2)+Ft!E$7*EXP(Ft!E$40*($A433-Ft!E$2)^2)))</f>
        <v>96.30021638885826</v>
      </c>
      <c r="J433" s="3">
        <f>IF(($A433-Ft!F$2)&lt;0,Ft!F$3*((1-Ft!F$6)/(1+Ft!F$37*($A433-Ft!F$2)^2)+Ft!F$6*EXP(Ft!F$38*($A433-Ft!F$2)^2)),Ft!F$3*((1-Ft!F$7)/(1+Ft!F$39*($A433-Ft!F$2)^2)+Ft!F$7*EXP(Ft!F$40*($A433-Ft!F$2)^2)))</f>
        <v>82.909062207920513</v>
      </c>
      <c r="K433" s="3">
        <f>IF(($A433-Ft!G$2)&lt;0,Ft!G$3*((1-Ft!G$6)/(1+Ft!G$37*($A433-Ft!G$2)^2)+Ft!G$6*EXP(Ft!G$38*($A433-Ft!G$2)^2)),Ft!G$3*((1-Ft!G$7)/(1+Ft!G$39*($A433-Ft!G$2)^2)+Ft!G$7*EXP(Ft!G$40*($A433-Ft!G$2)^2)))</f>
        <v>1.7403460396140027</v>
      </c>
      <c r="L433" s="3">
        <f>IF(($A433-Ft!H$2)&lt;0,Ft!H$3*((1-Ft!H$6)/(1+Ft!H$37*($A433-Ft!H$2)^2)+Ft!H$6*EXP(Ft!H$38*($A433-Ft!H$2)^2)),Ft!H$3*((1-Ft!H$7)/(1+Ft!H$39*($A433-Ft!H$2)^2)+Ft!H$7*EXP(Ft!H$40*($A433-Ft!H$2)^2)))</f>
        <v>0</v>
      </c>
      <c r="M433" s="3">
        <f>IF(($A433-Ft!I$2)&lt;0,Ft!I$3*((1-Ft!I$6)/(1+Ft!I$37*($A433-Ft!I$2)^2)+Ft!I$6*EXP(Ft!I$38*($A433-Ft!I$2)^2)),Ft!I$3*((1-Ft!I$7)/(1+Ft!I$39*($A433-Ft!I$2)^2)+Ft!I$7*EXP(Ft!I$40*($A433-Ft!I$2)^2)))</f>
        <v>0</v>
      </c>
      <c r="N433" s="3">
        <f>IF(($A433-Ft!J$2)&lt;0,Ft!J$3*((1-Ft!J$6)/(1+Ft!J$37*($A433-Ft!J$2)^2)+Ft!J$6*EXP(Ft!J$38*($A433-Ft!J$2)^2)),Ft!J$3*((1-Ft!J$7)/(1+Ft!J$39*($A433-Ft!J$2)^2)+Ft!J$7*EXP(Ft!J$40*($A433-Ft!J$2)^2)))</f>
        <v>0</v>
      </c>
      <c r="O433" s="3">
        <f>IF(($A433-Ft!K$2)&lt;0,Ft!K$3*((1-Ft!K$6)/(1+Ft!K$37*($A433-Ft!K$2)^2)+Ft!K$6*EXP(Ft!K$38*($A433-Ft!K$2)^2)),Ft!K$3*((1-Ft!K$7)/(1+Ft!K$39*($A433-Ft!K$2)^2)+Ft!K$7*EXP(Ft!K$40*($A433-Ft!K$2)^2)))</f>
        <v>0</v>
      </c>
      <c r="P433"/>
      <c r="Q433"/>
    </row>
    <row r="434" spans="1:17">
      <c r="A434" s="20">
        <v>865</v>
      </c>
      <c r="B434" s="29">
        <v>47.350527597384314</v>
      </c>
      <c r="C434" s="7">
        <f t="shared" si="13"/>
        <v>47.812460550852677</v>
      </c>
      <c r="D434" s="3">
        <f t="shared" si="14"/>
        <v>0.21338205350000475</v>
      </c>
      <c r="E434" s="3">
        <f>Ft!$B$12+Ft!$B$14*(Data!A434-Vars!$B$3)</f>
        <v>-200</v>
      </c>
      <c r="F434" s="3">
        <f>IF(($A434-Ft!B$2)&lt;0,Ft!B$3*((1-Ft!B$6)/(1+Ft!B$37*($A434-Ft!B$2)^2)+Ft!B$6*EXP(Ft!B$38*($A434-Ft!B$2)^2)),Ft!B$3*((1-Ft!B$7)/(1+Ft!B$39*($A434-Ft!B$2)^2)+Ft!B$7*EXP(Ft!B$40*($A434-Ft!B$2)^2)))</f>
        <v>10.800589457148019</v>
      </c>
      <c r="G434" s="3">
        <f>IF(($A434-Ft!C$2)&lt;0,Ft!C$3*((1-Ft!C$6)/(1+Ft!C$37*($A434-Ft!C$2)^2)+Ft!C$6*EXP(Ft!C$38*($A434-Ft!C$2)^2)),Ft!C$3*((1-Ft!C$7)/(1+Ft!C$39*($A434-Ft!C$2)^2)+Ft!C$7*EXP(Ft!C$40*($A434-Ft!C$2)^2)))</f>
        <v>56.178726820610748</v>
      </c>
      <c r="H434" s="3">
        <f>IF(($A434-Ft!D$2)&lt;0,Ft!D$3*((1-Ft!D$6)/(1+Ft!D$37*($A434-Ft!D$2)^2)+Ft!D$6*EXP(Ft!D$38*($A434-Ft!D$2)^2)),Ft!D$3*((1-Ft!D$7)/(1+Ft!D$39*($A434-Ft!D$2)^2)+Ft!D$7*EXP(Ft!D$40*($A434-Ft!D$2)^2)))</f>
        <v>6.179340892640798E-56</v>
      </c>
      <c r="I434" s="3">
        <f>IF(($A434-Ft!E$2)&lt;0,Ft!E$3*((1-Ft!E$6)/(1+Ft!E$37*($A434-Ft!E$2)^2)+Ft!E$6*EXP(Ft!E$38*($A434-Ft!E$2)^2)),Ft!E$3*((1-Ft!E$7)/(1+Ft!E$39*($A434-Ft!E$2)^2)+Ft!E$7*EXP(Ft!E$40*($A434-Ft!E$2)^2)))</f>
        <v>95.898630270692635</v>
      </c>
      <c r="J434" s="3">
        <f>IF(($A434-Ft!F$2)&lt;0,Ft!F$3*((1-Ft!F$6)/(1+Ft!F$37*($A434-Ft!F$2)^2)+Ft!F$6*EXP(Ft!F$38*($A434-Ft!F$2)^2)),Ft!F$3*((1-Ft!F$7)/(1+Ft!F$39*($A434-Ft!F$2)^2)+Ft!F$7*EXP(Ft!F$40*($A434-Ft!F$2)^2)))</f>
        <v>83.239483611331536</v>
      </c>
      <c r="K434" s="3">
        <f>IF(($A434-Ft!G$2)&lt;0,Ft!G$3*((1-Ft!G$6)/(1+Ft!G$37*($A434-Ft!G$2)^2)+Ft!G$6*EXP(Ft!G$38*($A434-Ft!G$2)^2)),Ft!G$3*((1-Ft!G$7)/(1+Ft!G$39*($A434-Ft!G$2)^2)+Ft!G$7*EXP(Ft!G$40*($A434-Ft!G$2)^2)))</f>
        <v>1.6950303910697475</v>
      </c>
      <c r="L434" s="3">
        <f>IF(($A434-Ft!H$2)&lt;0,Ft!H$3*((1-Ft!H$6)/(1+Ft!H$37*($A434-Ft!H$2)^2)+Ft!H$6*EXP(Ft!H$38*($A434-Ft!H$2)^2)),Ft!H$3*((1-Ft!H$7)/(1+Ft!H$39*($A434-Ft!H$2)^2)+Ft!H$7*EXP(Ft!H$40*($A434-Ft!H$2)^2)))</f>
        <v>0</v>
      </c>
      <c r="M434" s="3">
        <f>IF(($A434-Ft!I$2)&lt;0,Ft!I$3*((1-Ft!I$6)/(1+Ft!I$37*($A434-Ft!I$2)^2)+Ft!I$6*EXP(Ft!I$38*($A434-Ft!I$2)^2)),Ft!I$3*((1-Ft!I$7)/(1+Ft!I$39*($A434-Ft!I$2)^2)+Ft!I$7*EXP(Ft!I$40*($A434-Ft!I$2)^2)))</f>
        <v>0</v>
      </c>
      <c r="N434" s="3">
        <f>IF(($A434-Ft!J$2)&lt;0,Ft!J$3*((1-Ft!J$6)/(1+Ft!J$37*($A434-Ft!J$2)^2)+Ft!J$6*EXP(Ft!J$38*($A434-Ft!J$2)^2)),Ft!J$3*((1-Ft!J$7)/(1+Ft!J$39*($A434-Ft!J$2)^2)+Ft!J$7*EXP(Ft!J$40*($A434-Ft!J$2)^2)))</f>
        <v>0</v>
      </c>
      <c r="O434" s="3">
        <f>IF(($A434-Ft!K$2)&lt;0,Ft!K$3*((1-Ft!K$6)/(1+Ft!K$37*($A434-Ft!K$2)^2)+Ft!K$6*EXP(Ft!K$38*($A434-Ft!K$2)^2)),Ft!K$3*((1-Ft!K$7)/(1+Ft!K$39*($A434-Ft!K$2)^2)+Ft!K$7*EXP(Ft!K$40*($A434-Ft!K$2)^2)))</f>
        <v>0</v>
      </c>
      <c r="P434"/>
      <c r="Q434"/>
    </row>
    <row r="435" spans="1:17">
      <c r="A435" s="20">
        <v>867</v>
      </c>
      <c r="B435" s="29">
        <v>47.140854459728629</v>
      </c>
      <c r="C435" s="7">
        <f t="shared" si="13"/>
        <v>47.590775307146586</v>
      </c>
      <c r="D435" s="3">
        <f t="shared" si="14"/>
        <v>0.20242876894129236</v>
      </c>
      <c r="E435" s="3">
        <f>Ft!$B$12+Ft!$B$14*(Data!A435-Vars!$B$3)</f>
        <v>-200</v>
      </c>
      <c r="F435" s="3">
        <f>IF(($A435-Ft!B$2)&lt;0,Ft!B$3*((1-Ft!B$6)/(1+Ft!B$37*($A435-Ft!B$2)^2)+Ft!B$6*EXP(Ft!B$38*($A435-Ft!B$2)^2)),Ft!B$3*((1-Ft!B$7)/(1+Ft!B$39*($A435-Ft!B$2)^2)+Ft!B$7*EXP(Ft!B$40*($A435-Ft!B$2)^2)))</f>
        <v>10.689047089475499</v>
      </c>
      <c r="G435" s="3">
        <f>IF(($A435-Ft!C$2)&lt;0,Ft!C$3*((1-Ft!C$6)/(1+Ft!C$37*($A435-Ft!C$2)^2)+Ft!C$6*EXP(Ft!C$38*($A435-Ft!C$2)^2)),Ft!C$3*((1-Ft!C$7)/(1+Ft!C$39*($A435-Ft!C$2)^2)+Ft!C$7*EXP(Ft!C$40*($A435-Ft!C$2)^2)))</f>
        <v>56.187701850346208</v>
      </c>
      <c r="H435" s="3">
        <f>IF(($A435-Ft!D$2)&lt;0,Ft!D$3*((1-Ft!D$6)/(1+Ft!D$37*($A435-Ft!D$2)^2)+Ft!D$6*EXP(Ft!D$38*($A435-Ft!D$2)^2)),Ft!D$3*((1-Ft!D$7)/(1+Ft!D$39*($A435-Ft!D$2)^2)+Ft!D$7*EXP(Ft!D$40*($A435-Ft!D$2)^2)))</f>
        <v>1.8800877653716906E-56</v>
      </c>
      <c r="I435" s="3">
        <f>IF(($A435-Ft!E$2)&lt;0,Ft!E$3*((1-Ft!E$6)/(1+Ft!E$37*($A435-Ft!E$2)^2)+Ft!E$6*EXP(Ft!E$38*($A435-Ft!E$2)^2)),Ft!E$3*((1-Ft!E$7)/(1+Ft!E$39*($A435-Ft!E$2)^2)+Ft!E$7*EXP(Ft!E$40*($A435-Ft!E$2)^2)))</f>
        <v>95.493181837027237</v>
      </c>
      <c r="J435" s="3">
        <f>IF(($A435-Ft!F$2)&lt;0,Ft!F$3*((1-Ft!F$6)/(1+Ft!F$37*($A435-Ft!F$2)^2)+Ft!F$6*EXP(Ft!F$38*($A435-Ft!F$2)^2)),Ft!F$3*((1-Ft!F$7)/(1+Ft!F$39*($A435-Ft!F$2)^2)+Ft!F$7*EXP(Ft!F$40*($A435-Ft!F$2)^2)))</f>
        <v>83.570121197176121</v>
      </c>
      <c r="K435" s="3">
        <f>IF(($A435-Ft!G$2)&lt;0,Ft!G$3*((1-Ft!G$6)/(1+Ft!G$37*($A435-Ft!G$2)^2)+Ft!G$6*EXP(Ft!G$38*($A435-Ft!G$2)^2)),Ft!G$3*((1-Ft!G$7)/(1+Ft!G$39*($A435-Ft!G$2)^2)+Ft!G$7*EXP(Ft!G$40*($A435-Ft!G$2)^2)))</f>
        <v>1.6507233331215176</v>
      </c>
      <c r="L435" s="3">
        <f>IF(($A435-Ft!H$2)&lt;0,Ft!H$3*((1-Ft!H$6)/(1+Ft!H$37*($A435-Ft!H$2)^2)+Ft!H$6*EXP(Ft!H$38*($A435-Ft!H$2)^2)),Ft!H$3*((1-Ft!H$7)/(1+Ft!H$39*($A435-Ft!H$2)^2)+Ft!H$7*EXP(Ft!H$40*($A435-Ft!H$2)^2)))</f>
        <v>0</v>
      </c>
      <c r="M435" s="3">
        <f>IF(($A435-Ft!I$2)&lt;0,Ft!I$3*((1-Ft!I$6)/(1+Ft!I$37*($A435-Ft!I$2)^2)+Ft!I$6*EXP(Ft!I$38*($A435-Ft!I$2)^2)),Ft!I$3*((1-Ft!I$7)/(1+Ft!I$39*($A435-Ft!I$2)^2)+Ft!I$7*EXP(Ft!I$40*($A435-Ft!I$2)^2)))</f>
        <v>0</v>
      </c>
      <c r="N435" s="3">
        <f>IF(($A435-Ft!J$2)&lt;0,Ft!J$3*((1-Ft!J$6)/(1+Ft!J$37*($A435-Ft!J$2)^2)+Ft!J$6*EXP(Ft!J$38*($A435-Ft!J$2)^2)),Ft!J$3*((1-Ft!J$7)/(1+Ft!J$39*($A435-Ft!J$2)^2)+Ft!J$7*EXP(Ft!J$40*($A435-Ft!J$2)^2)))</f>
        <v>0</v>
      </c>
      <c r="O435" s="3">
        <f>IF(($A435-Ft!K$2)&lt;0,Ft!K$3*((1-Ft!K$6)/(1+Ft!K$37*($A435-Ft!K$2)^2)+Ft!K$6*EXP(Ft!K$38*($A435-Ft!K$2)^2)),Ft!K$3*((1-Ft!K$7)/(1+Ft!K$39*($A435-Ft!K$2)^2)+Ft!K$7*EXP(Ft!K$40*($A435-Ft!K$2)^2)))</f>
        <v>0</v>
      </c>
      <c r="P435"/>
      <c r="Q435"/>
    </row>
    <row r="436" spans="1:17">
      <c r="A436" s="20">
        <v>869</v>
      </c>
      <c r="B436" s="29">
        <v>46.929843879728381</v>
      </c>
      <c r="C436" s="7">
        <f t="shared" si="13"/>
        <v>47.366945543257955</v>
      </c>
      <c r="D436" s="3">
        <f t="shared" si="14"/>
        <v>0.19105786426032142</v>
      </c>
      <c r="E436" s="3">
        <f>Ft!$B$12+Ft!$B$14*(Data!A436-Vars!$B$3)</f>
        <v>-200</v>
      </c>
      <c r="F436" s="3">
        <f>IF(($A436-Ft!B$2)&lt;0,Ft!B$3*((1-Ft!B$6)/(1+Ft!B$37*($A436-Ft!B$2)^2)+Ft!B$6*EXP(Ft!B$38*($A436-Ft!B$2)^2)),Ft!B$3*((1-Ft!B$7)/(1+Ft!B$39*($A436-Ft!B$2)^2)+Ft!B$7*EXP(Ft!B$40*($A436-Ft!B$2)^2)))</f>
        <v>10.578454757979436</v>
      </c>
      <c r="G436" s="3">
        <f>IF(($A436-Ft!C$2)&lt;0,Ft!C$3*((1-Ft!C$6)/(1+Ft!C$37*($A436-Ft!C$2)^2)+Ft!C$6*EXP(Ft!C$38*($A436-Ft!C$2)^2)),Ft!C$3*((1-Ft!C$7)/(1+Ft!C$39*($A436-Ft!C$2)^2)+Ft!C$7*EXP(Ft!C$40*($A436-Ft!C$2)^2)))</f>
        <v>56.196181774996205</v>
      </c>
      <c r="H436" s="3">
        <f>IF(($A436-Ft!D$2)&lt;0,Ft!D$3*((1-Ft!D$6)/(1+Ft!D$37*($A436-Ft!D$2)^2)+Ft!D$6*EXP(Ft!D$38*($A436-Ft!D$2)^2)),Ft!D$3*((1-Ft!D$7)/(1+Ft!D$39*($A436-Ft!D$2)^2)+Ft!D$7*EXP(Ft!D$40*($A436-Ft!D$2)^2)))</f>
        <v>5.6887674308772933E-57</v>
      </c>
      <c r="I436" s="3">
        <f>IF(($A436-Ft!E$2)&lt;0,Ft!E$3*((1-Ft!E$6)/(1+Ft!E$37*($A436-Ft!E$2)^2)+Ft!E$6*EXP(Ft!E$38*($A436-Ft!E$2)^2)),Ft!E$3*((1-Ft!E$7)/(1+Ft!E$39*($A436-Ft!E$2)^2)+Ft!E$7*EXP(Ft!E$40*($A436-Ft!E$2)^2)))</f>
        <v>95.083934333474346</v>
      </c>
      <c r="J436" s="3">
        <f>IF(($A436-Ft!F$2)&lt;0,Ft!F$3*((1-Ft!F$6)/(1+Ft!F$37*($A436-Ft!F$2)^2)+Ft!F$6*EXP(Ft!F$38*($A436-Ft!F$2)^2)),Ft!F$3*((1-Ft!F$7)/(1+Ft!F$39*($A436-Ft!F$2)^2)+Ft!F$7*EXP(Ft!F$40*($A436-Ft!F$2)^2)))</f>
        <v>83.900967097640375</v>
      </c>
      <c r="K436" s="3">
        <f>IF(($A436-Ft!G$2)&lt;0,Ft!G$3*((1-Ft!G$6)/(1+Ft!G$37*($A436-Ft!G$2)^2)+Ft!G$6*EXP(Ft!G$38*($A436-Ft!G$2)^2)),Ft!G$3*((1-Ft!G$7)/(1+Ft!G$39*($A436-Ft!G$2)^2)+Ft!G$7*EXP(Ft!G$40*($A436-Ft!G$2)^2)))</f>
        <v>1.6074075791675873</v>
      </c>
      <c r="L436" s="3">
        <f>IF(($A436-Ft!H$2)&lt;0,Ft!H$3*((1-Ft!H$6)/(1+Ft!H$37*($A436-Ft!H$2)^2)+Ft!H$6*EXP(Ft!H$38*($A436-Ft!H$2)^2)),Ft!H$3*((1-Ft!H$7)/(1+Ft!H$39*($A436-Ft!H$2)^2)+Ft!H$7*EXP(Ft!H$40*($A436-Ft!H$2)^2)))</f>
        <v>0</v>
      </c>
      <c r="M436" s="3">
        <f>IF(($A436-Ft!I$2)&lt;0,Ft!I$3*((1-Ft!I$6)/(1+Ft!I$37*($A436-Ft!I$2)^2)+Ft!I$6*EXP(Ft!I$38*($A436-Ft!I$2)^2)),Ft!I$3*((1-Ft!I$7)/(1+Ft!I$39*($A436-Ft!I$2)^2)+Ft!I$7*EXP(Ft!I$40*($A436-Ft!I$2)^2)))</f>
        <v>0</v>
      </c>
      <c r="N436" s="3">
        <f>IF(($A436-Ft!J$2)&lt;0,Ft!J$3*((1-Ft!J$6)/(1+Ft!J$37*($A436-Ft!J$2)^2)+Ft!J$6*EXP(Ft!J$38*($A436-Ft!J$2)^2)),Ft!J$3*((1-Ft!J$7)/(1+Ft!J$39*($A436-Ft!J$2)^2)+Ft!J$7*EXP(Ft!J$40*($A436-Ft!J$2)^2)))</f>
        <v>0</v>
      </c>
      <c r="O436" s="3">
        <f>IF(($A436-Ft!K$2)&lt;0,Ft!K$3*((1-Ft!K$6)/(1+Ft!K$37*($A436-Ft!K$2)^2)+Ft!K$6*EXP(Ft!K$38*($A436-Ft!K$2)^2)),Ft!K$3*((1-Ft!K$7)/(1+Ft!K$39*($A436-Ft!K$2)^2)+Ft!K$7*EXP(Ft!K$40*($A436-Ft!K$2)^2)))</f>
        <v>0</v>
      </c>
      <c r="P436"/>
      <c r="Q436"/>
    </row>
    <row r="437" spans="1:17">
      <c r="A437" s="20">
        <v>871</v>
      </c>
      <c r="B437" s="29">
        <v>46.717446382612849</v>
      </c>
      <c r="C437" s="7">
        <f t="shared" si="13"/>
        <v>47.1410039950784</v>
      </c>
      <c r="D437" s="3">
        <f t="shared" si="14"/>
        <v>0.1794010510775178</v>
      </c>
      <c r="E437" s="3">
        <f>Ft!$B$12+Ft!$B$14*(Data!A437-Vars!$B$3)</f>
        <v>-200</v>
      </c>
      <c r="F437" s="3">
        <f>IF(($A437-Ft!B$2)&lt;0,Ft!B$3*((1-Ft!B$6)/(1+Ft!B$37*($A437-Ft!B$2)^2)+Ft!B$6*EXP(Ft!B$38*($A437-Ft!B$2)^2)),Ft!B$3*((1-Ft!B$7)/(1+Ft!B$39*($A437-Ft!B$2)^2)+Ft!B$7*EXP(Ft!B$40*($A437-Ft!B$2)^2)))</f>
        <v>10.46880683309446</v>
      </c>
      <c r="G437" s="3">
        <f>IF(($A437-Ft!C$2)&lt;0,Ft!C$3*((1-Ft!C$6)/(1+Ft!C$37*($A437-Ft!C$2)^2)+Ft!C$6*EXP(Ft!C$38*($A437-Ft!C$2)^2)),Ft!C$3*((1-Ft!C$7)/(1+Ft!C$39*($A437-Ft!C$2)^2)+Ft!C$7*EXP(Ft!C$40*($A437-Ft!C$2)^2)))</f>
        <v>56.2041663699748</v>
      </c>
      <c r="H437" s="3">
        <f>IF(($A437-Ft!D$2)&lt;0,Ft!D$3*((1-Ft!D$6)/(1+Ft!D$37*($A437-Ft!D$2)^2)+Ft!D$6*EXP(Ft!D$38*($A437-Ft!D$2)^2)),Ft!D$3*((1-Ft!D$7)/(1+Ft!D$39*($A437-Ft!D$2)^2)+Ft!D$7*EXP(Ft!D$40*($A437-Ft!D$2)^2)))</f>
        <v>1.7118366578898683E-57</v>
      </c>
      <c r="I437" s="3">
        <f>IF(($A437-Ft!E$2)&lt;0,Ft!E$3*((1-Ft!E$6)/(1+Ft!E$37*($A437-Ft!E$2)^2)+Ft!E$6*EXP(Ft!E$38*($A437-Ft!E$2)^2)),Ft!E$3*((1-Ft!E$7)/(1+Ft!E$39*($A437-Ft!E$2)^2)+Ft!E$7*EXP(Ft!E$40*($A437-Ft!E$2)^2)))</f>
        <v>94.670951395825625</v>
      </c>
      <c r="J437" s="3">
        <f>IF(($A437-Ft!F$2)&lt;0,Ft!F$3*((1-Ft!F$6)/(1+Ft!F$37*($A437-Ft!F$2)^2)+Ft!F$6*EXP(Ft!F$38*($A437-Ft!F$2)^2)),Ft!F$3*((1-Ft!F$7)/(1+Ft!F$39*($A437-Ft!F$2)^2)+Ft!F$7*EXP(Ft!F$40*($A437-Ft!F$2)^2)))</f>
        <v>84.232013405463576</v>
      </c>
      <c r="K437" s="3">
        <f>IF(($A437-Ft!G$2)&lt;0,Ft!G$3*((1-Ft!G$6)/(1+Ft!G$37*($A437-Ft!G$2)^2)+Ft!G$6*EXP(Ft!G$38*($A437-Ft!G$2)^2)),Ft!G$3*((1-Ft!G$7)/(1+Ft!G$39*($A437-Ft!G$2)^2)+Ft!G$7*EXP(Ft!G$40*($A437-Ft!G$2)^2)))</f>
        <v>1.5650659907199354</v>
      </c>
      <c r="L437" s="3">
        <f>IF(($A437-Ft!H$2)&lt;0,Ft!H$3*((1-Ft!H$6)/(1+Ft!H$37*($A437-Ft!H$2)^2)+Ft!H$6*EXP(Ft!H$38*($A437-Ft!H$2)^2)),Ft!H$3*((1-Ft!H$7)/(1+Ft!H$39*($A437-Ft!H$2)^2)+Ft!H$7*EXP(Ft!H$40*($A437-Ft!H$2)^2)))</f>
        <v>0</v>
      </c>
      <c r="M437" s="3">
        <f>IF(($A437-Ft!I$2)&lt;0,Ft!I$3*((1-Ft!I$6)/(1+Ft!I$37*($A437-Ft!I$2)^2)+Ft!I$6*EXP(Ft!I$38*($A437-Ft!I$2)^2)),Ft!I$3*((1-Ft!I$7)/(1+Ft!I$39*($A437-Ft!I$2)^2)+Ft!I$7*EXP(Ft!I$40*($A437-Ft!I$2)^2)))</f>
        <v>0</v>
      </c>
      <c r="N437" s="3">
        <f>IF(($A437-Ft!J$2)&lt;0,Ft!J$3*((1-Ft!J$6)/(1+Ft!J$37*($A437-Ft!J$2)^2)+Ft!J$6*EXP(Ft!J$38*($A437-Ft!J$2)^2)),Ft!J$3*((1-Ft!J$7)/(1+Ft!J$39*($A437-Ft!J$2)^2)+Ft!J$7*EXP(Ft!J$40*($A437-Ft!J$2)^2)))</f>
        <v>0</v>
      </c>
      <c r="O437" s="3">
        <f>IF(($A437-Ft!K$2)&lt;0,Ft!K$3*((1-Ft!K$6)/(1+Ft!K$37*($A437-Ft!K$2)^2)+Ft!K$6*EXP(Ft!K$38*($A437-Ft!K$2)^2)),Ft!K$3*((1-Ft!K$7)/(1+Ft!K$39*($A437-Ft!K$2)^2)+Ft!K$7*EXP(Ft!K$40*($A437-Ft!K$2)^2)))</f>
        <v>0</v>
      </c>
      <c r="P437"/>
      <c r="Q437"/>
    </row>
    <row r="438" spans="1:17">
      <c r="A438" s="20">
        <v>873</v>
      </c>
      <c r="B438" s="29">
        <v>46.503619059759899</v>
      </c>
      <c r="C438" s="7">
        <f t="shared" si="13"/>
        <v>46.912983901943363</v>
      </c>
      <c r="D438" s="3">
        <f t="shared" si="14"/>
        <v>0.16757957401589268</v>
      </c>
      <c r="E438" s="3">
        <f>Ft!$B$12+Ft!$B$14*(Data!A438-Vars!$B$3)</f>
        <v>-200</v>
      </c>
      <c r="F438" s="3">
        <f>IF(($A438-Ft!B$2)&lt;0,Ft!B$3*((1-Ft!B$6)/(1+Ft!B$37*($A438-Ft!B$2)^2)+Ft!B$6*EXP(Ft!B$38*($A438-Ft!B$2)^2)),Ft!B$3*((1-Ft!B$7)/(1+Ft!B$39*($A438-Ft!B$2)^2)+Ft!B$7*EXP(Ft!B$40*($A438-Ft!B$2)^2)))</f>
        <v>10.360097689757529</v>
      </c>
      <c r="G438" s="3">
        <f>IF(($A438-Ft!C$2)&lt;0,Ft!C$3*((1-Ft!C$6)/(1+Ft!C$37*($A438-Ft!C$2)^2)+Ft!C$6*EXP(Ft!C$38*($A438-Ft!C$2)^2)),Ft!C$3*((1-Ft!C$7)/(1+Ft!C$39*($A438-Ft!C$2)^2)+Ft!C$7*EXP(Ft!C$40*($A438-Ft!C$2)^2)))</f>
        <v>56.211655423793857</v>
      </c>
      <c r="H438" s="3">
        <f>IF(($A438-Ft!D$2)&lt;0,Ft!D$3*((1-Ft!D$6)/(1+Ft!D$37*($A438-Ft!D$2)^2)+Ft!D$6*EXP(Ft!D$38*($A438-Ft!D$2)^2)),Ft!D$3*((1-Ft!D$7)/(1+Ft!D$39*($A438-Ft!D$2)^2)+Ft!D$7*EXP(Ft!D$40*($A438-Ft!D$2)^2)))</f>
        <v>5.122837174901752E-58</v>
      </c>
      <c r="I438" s="3">
        <f>IF(($A438-Ft!E$2)&lt;0,Ft!E$3*((1-Ft!E$6)/(1+Ft!E$37*($A438-Ft!E$2)^2)+Ft!E$6*EXP(Ft!E$38*($A438-Ft!E$2)^2)),Ft!E$3*((1-Ft!E$7)/(1+Ft!E$39*($A438-Ft!E$2)^2)+Ft!E$7*EXP(Ft!E$40*($A438-Ft!E$2)^2)))</f>
        <v>94.254297033653373</v>
      </c>
      <c r="J438" s="3">
        <f>IF(($A438-Ft!F$2)&lt;0,Ft!F$3*((1-Ft!F$6)/(1+Ft!F$37*($A438-Ft!F$2)^2)+Ft!F$6*EXP(Ft!F$38*($A438-Ft!F$2)^2)),Ft!F$3*((1-Ft!F$7)/(1+Ft!F$39*($A438-Ft!F$2)^2)+Ft!F$7*EXP(Ft!F$40*($A438-Ft!F$2)^2)))</f>
        <v>84.56325217419932</v>
      </c>
      <c r="K438" s="3">
        <f>IF(($A438-Ft!G$2)&lt;0,Ft!G$3*((1-Ft!G$6)/(1+Ft!G$37*($A438-Ft!G$2)^2)+Ft!G$6*EXP(Ft!G$38*($A438-Ft!G$2)^2)),Ft!G$3*((1-Ft!G$7)/(1+Ft!G$39*($A438-Ft!G$2)^2)+Ft!G$7*EXP(Ft!G$40*($A438-Ft!G$2)^2)))</f>
        <v>1.5236815805392896</v>
      </c>
      <c r="L438" s="3">
        <f>IF(($A438-Ft!H$2)&lt;0,Ft!H$3*((1-Ft!H$6)/(1+Ft!H$37*($A438-Ft!H$2)^2)+Ft!H$6*EXP(Ft!H$38*($A438-Ft!H$2)^2)),Ft!H$3*((1-Ft!H$7)/(1+Ft!H$39*($A438-Ft!H$2)^2)+Ft!H$7*EXP(Ft!H$40*($A438-Ft!H$2)^2)))</f>
        <v>0</v>
      </c>
      <c r="M438" s="3">
        <f>IF(($A438-Ft!I$2)&lt;0,Ft!I$3*((1-Ft!I$6)/(1+Ft!I$37*($A438-Ft!I$2)^2)+Ft!I$6*EXP(Ft!I$38*($A438-Ft!I$2)^2)),Ft!I$3*((1-Ft!I$7)/(1+Ft!I$39*($A438-Ft!I$2)^2)+Ft!I$7*EXP(Ft!I$40*($A438-Ft!I$2)^2)))</f>
        <v>0</v>
      </c>
      <c r="N438" s="3">
        <f>IF(($A438-Ft!J$2)&lt;0,Ft!J$3*((1-Ft!J$6)/(1+Ft!J$37*($A438-Ft!J$2)^2)+Ft!J$6*EXP(Ft!J$38*($A438-Ft!J$2)^2)),Ft!J$3*((1-Ft!J$7)/(1+Ft!J$39*($A438-Ft!J$2)^2)+Ft!J$7*EXP(Ft!J$40*($A438-Ft!J$2)^2)))</f>
        <v>0</v>
      </c>
      <c r="O438" s="3">
        <f>IF(($A438-Ft!K$2)&lt;0,Ft!K$3*((1-Ft!K$6)/(1+Ft!K$37*($A438-Ft!K$2)^2)+Ft!K$6*EXP(Ft!K$38*($A438-Ft!K$2)^2)),Ft!K$3*((1-Ft!K$7)/(1+Ft!K$39*($A438-Ft!K$2)^2)+Ft!K$7*EXP(Ft!K$40*($A438-Ft!K$2)^2)))</f>
        <v>0</v>
      </c>
      <c r="P438"/>
      <c r="Q438"/>
    </row>
    <row r="439" spans="1:17">
      <c r="A439" s="20">
        <v>875</v>
      </c>
      <c r="B439" s="29">
        <v>46.28832536883084</v>
      </c>
      <c r="C439" s="7">
        <f t="shared" si="13"/>
        <v>46.682918993826448</v>
      </c>
      <c r="D439" s="3">
        <f t="shared" si="14"/>
        <v>0.15570412888717428</v>
      </c>
      <c r="E439" s="3">
        <f>Ft!$B$12+Ft!$B$14*(Data!A439-Vars!$B$3)</f>
        <v>-200</v>
      </c>
      <c r="F439" s="3">
        <f>IF(($A439-Ft!B$2)&lt;0,Ft!B$3*((1-Ft!B$6)/(1+Ft!B$37*($A439-Ft!B$2)^2)+Ft!B$6*EXP(Ft!B$38*($A439-Ft!B$2)^2)),Ft!B$3*((1-Ft!B$7)/(1+Ft!B$39*($A439-Ft!B$2)^2)+Ft!B$7*EXP(Ft!B$40*($A439-Ft!B$2)^2)))</f>
        <v>10.252321707788493</v>
      </c>
      <c r="G439" s="3">
        <f>IF(($A439-Ft!C$2)&lt;0,Ft!C$3*((1-Ft!C$6)/(1+Ft!C$37*($A439-Ft!C$2)^2)+Ft!C$6*EXP(Ft!C$38*($A439-Ft!C$2)^2)),Ft!C$3*((1-Ft!C$7)/(1+Ft!C$39*($A439-Ft!C$2)^2)+Ft!C$7*EXP(Ft!C$40*($A439-Ft!C$2)^2)))</f>
        <v>56.21864873807246</v>
      </c>
      <c r="H439" s="3">
        <f>IF(($A439-Ft!D$2)&lt;0,Ft!D$3*((1-Ft!D$6)/(1+Ft!D$37*($A439-Ft!D$2)^2)+Ft!D$6*EXP(Ft!D$38*($A439-Ft!D$2)^2)),Ft!D$3*((1-Ft!D$7)/(1+Ft!D$39*($A439-Ft!D$2)^2)+Ft!D$7*EXP(Ft!D$40*($A439-Ft!D$2)^2)))</f>
        <v>1.5246244130112531E-58</v>
      </c>
      <c r="I439" s="3">
        <f>IF(($A439-Ft!E$2)&lt;0,Ft!E$3*((1-Ft!E$6)/(1+Ft!E$37*($A439-Ft!E$2)^2)+Ft!E$6*EXP(Ft!E$38*($A439-Ft!E$2)^2)),Ft!E$3*((1-Ft!E$7)/(1+Ft!E$39*($A439-Ft!E$2)^2)+Ft!E$7*EXP(Ft!E$40*($A439-Ft!E$2)^2)))</f>
        <v>93.83403561387469</v>
      </c>
      <c r="J439" s="3">
        <f>IF(($A439-Ft!F$2)&lt;0,Ft!F$3*((1-Ft!F$6)/(1+Ft!F$37*($A439-Ft!F$2)^2)+Ft!F$6*EXP(Ft!F$38*($A439-Ft!F$2)^2)),Ft!F$3*((1-Ft!F$7)/(1+Ft!F$39*($A439-Ft!F$2)^2)+Ft!F$7*EXP(Ft!F$40*($A439-Ft!F$2)^2)))</f>
        <v>84.894675418480489</v>
      </c>
      <c r="K439" s="3">
        <f>IF(($A439-Ft!G$2)&lt;0,Ft!G$3*((1-Ft!G$6)/(1+Ft!G$37*($A439-Ft!G$2)^2)+Ft!G$6*EXP(Ft!G$38*($A439-Ft!G$2)^2)),Ft!G$3*((1-Ft!G$7)/(1+Ft!G$39*($A439-Ft!G$2)^2)+Ft!G$7*EXP(Ft!G$40*($A439-Ft!G$2)^2)))</f>
        <v>1.4832375156103108</v>
      </c>
      <c r="L439" s="3">
        <f>IF(($A439-Ft!H$2)&lt;0,Ft!H$3*((1-Ft!H$6)/(1+Ft!H$37*($A439-Ft!H$2)^2)+Ft!H$6*EXP(Ft!H$38*($A439-Ft!H$2)^2)),Ft!H$3*((1-Ft!H$7)/(1+Ft!H$39*($A439-Ft!H$2)^2)+Ft!H$7*EXP(Ft!H$40*($A439-Ft!H$2)^2)))</f>
        <v>0</v>
      </c>
      <c r="M439" s="3">
        <f>IF(($A439-Ft!I$2)&lt;0,Ft!I$3*((1-Ft!I$6)/(1+Ft!I$37*($A439-Ft!I$2)^2)+Ft!I$6*EXP(Ft!I$38*($A439-Ft!I$2)^2)),Ft!I$3*((1-Ft!I$7)/(1+Ft!I$39*($A439-Ft!I$2)^2)+Ft!I$7*EXP(Ft!I$40*($A439-Ft!I$2)^2)))</f>
        <v>0</v>
      </c>
      <c r="N439" s="3">
        <f>IF(($A439-Ft!J$2)&lt;0,Ft!J$3*((1-Ft!J$6)/(1+Ft!J$37*($A439-Ft!J$2)^2)+Ft!J$6*EXP(Ft!J$38*($A439-Ft!J$2)^2)),Ft!J$3*((1-Ft!J$7)/(1+Ft!J$39*($A439-Ft!J$2)^2)+Ft!J$7*EXP(Ft!J$40*($A439-Ft!J$2)^2)))</f>
        <v>0</v>
      </c>
      <c r="O439" s="3">
        <f>IF(($A439-Ft!K$2)&lt;0,Ft!K$3*((1-Ft!K$6)/(1+Ft!K$37*($A439-Ft!K$2)^2)+Ft!K$6*EXP(Ft!K$38*($A439-Ft!K$2)^2)),Ft!K$3*((1-Ft!K$7)/(1+Ft!K$39*($A439-Ft!K$2)^2)+Ft!K$7*EXP(Ft!K$40*($A439-Ft!K$2)^2)))</f>
        <v>0</v>
      </c>
      <c r="P439"/>
      <c r="Q439"/>
    </row>
    <row r="440" spans="1:17">
      <c r="A440" s="20">
        <v>877</v>
      </c>
      <c r="B440" s="29">
        <v>46.071534863459846</v>
      </c>
      <c r="C440" s="7">
        <f t="shared" si="13"/>
        <v>46.450843478342648</v>
      </c>
      <c r="D440" s="3">
        <f t="shared" si="14"/>
        <v>0.14387502532431012</v>
      </c>
      <c r="E440" s="3">
        <f>Ft!$B$12+Ft!$B$14*(Data!A440-Vars!$B$3)</f>
        <v>-200</v>
      </c>
      <c r="F440" s="3">
        <f>IF(($A440-Ft!B$2)&lt;0,Ft!B$3*((1-Ft!B$6)/(1+Ft!B$37*($A440-Ft!B$2)^2)+Ft!B$6*EXP(Ft!B$38*($A440-Ft!B$2)^2)),Ft!B$3*((1-Ft!B$7)/(1+Ft!B$39*($A440-Ft!B$2)^2)+Ft!B$7*EXP(Ft!B$40*($A440-Ft!B$2)^2)))</f>
        <v>10.145473272266239</v>
      </c>
      <c r="G440" s="3">
        <f>IF(($A440-Ft!C$2)&lt;0,Ft!C$3*((1-Ft!C$6)/(1+Ft!C$37*($A440-Ft!C$2)^2)+Ft!C$6*EXP(Ft!C$38*($A440-Ft!C$2)^2)),Ft!C$3*((1-Ft!C$7)/(1+Ft!C$39*($A440-Ft!C$2)^2)+Ft!C$7*EXP(Ft!C$40*($A440-Ft!C$2)^2)))</f>
        <v>56.225146127545635</v>
      </c>
      <c r="H440" s="3">
        <f>IF(($A440-Ft!D$2)&lt;0,Ft!D$3*((1-Ft!D$6)/(1+Ft!D$37*($A440-Ft!D$2)^2)+Ft!D$6*EXP(Ft!D$38*($A440-Ft!D$2)^2)),Ft!D$3*((1-Ft!D$7)/(1+Ft!D$39*($A440-Ft!D$2)^2)+Ft!D$7*EXP(Ft!D$40*($A440-Ft!D$2)^2)))</f>
        <v>4.5125213939019657E-59</v>
      </c>
      <c r="I440" s="3">
        <f>IF(($A440-Ft!E$2)&lt;0,Ft!E$3*((1-Ft!E$6)/(1+Ft!E$37*($A440-Ft!E$2)^2)+Ft!E$6*EXP(Ft!E$38*($A440-Ft!E$2)^2)),Ft!E$3*((1-Ft!E$7)/(1+Ft!E$39*($A440-Ft!E$2)^2)+Ft!E$7*EXP(Ft!E$40*($A440-Ft!E$2)^2)))</f>
        <v>93.410231844283913</v>
      </c>
      <c r="J440" s="3">
        <f>IF(($A440-Ft!F$2)&lt;0,Ft!F$3*((1-Ft!F$6)/(1+Ft!F$37*($A440-Ft!F$2)^2)+Ft!F$6*EXP(Ft!F$38*($A440-Ft!F$2)^2)),Ft!F$3*((1-Ft!F$7)/(1+Ft!F$39*($A440-Ft!F$2)^2)+Ft!F$7*EXP(Ft!F$40*($A440-Ft!F$2)^2)))</f>
        <v>85.226275114287603</v>
      </c>
      <c r="K440" s="3">
        <f>IF(($A440-Ft!G$2)&lt;0,Ft!G$3*((1-Ft!G$6)/(1+Ft!G$37*($A440-Ft!G$2)^2)+Ft!G$6*EXP(Ft!G$38*($A440-Ft!G$2)^2)),Ft!G$3*((1-Ft!G$7)/(1+Ft!G$39*($A440-Ft!G$2)^2)+Ft!G$7*EXP(Ft!G$40*($A440-Ft!G$2)^2)))</f>
        <v>1.4437171199592751</v>
      </c>
      <c r="L440" s="3">
        <f>IF(($A440-Ft!H$2)&lt;0,Ft!H$3*((1-Ft!H$6)/(1+Ft!H$37*($A440-Ft!H$2)^2)+Ft!H$6*EXP(Ft!H$38*($A440-Ft!H$2)^2)),Ft!H$3*((1-Ft!H$7)/(1+Ft!H$39*($A440-Ft!H$2)^2)+Ft!H$7*EXP(Ft!H$40*($A440-Ft!H$2)^2)))</f>
        <v>0</v>
      </c>
      <c r="M440" s="3">
        <f>IF(($A440-Ft!I$2)&lt;0,Ft!I$3*((1-Ft!I$6)/(1+Ft!I$37*($A440-Ft!I$2)^2)+Ft!I$6*EXP(Ft!I$38*($A440-Ft!I$2)^2)),Ft!I$3*((1-Ft!I$7)/(1+Ft!I$39*($A440-Ft!I$2)^2)+Ft!I$7*EXP(Ft!I$40*($A440-Ft!I$2)^2)))</f>
        <v>0</v>
      </c>
      <c r="N440" s="3">
        <f>IF(($A440-Ft!J$2)&lt;0,Ft!J$3*((1-Ft!J$6)/(1+Ft!J$37*($A440-Ft!J$2)^2)+Ft!J$6*EXP(Ft!J$38*($A440-Ft!J$2)^2)),Ft!J$3*((1-Ft!J$7)/(1+Ft!J$39*($A440-Ft!J$2)^2)+Ft!J$7*EXP(Ft!J$40*($A440-Ft!J$2)^2)))</f>
        <v>0</v>
      </c>
      <c r="O440" s="3">
        <f>IF(($A440-Ft!K$2)&lt;0,Ft!K$3*((1-Ft!K$6)/(1+Ft!K$37*($A440-Ft!K$2)^2)+Ft!K$6*EXP(Ft!K$38*($A440-Ft!K$2)^2)),Ft!K$3*((1-Ft!K$7)/(1+Ft!K$39*($A440-Ft!K$2)^2)+Ft!K$7*EXP(Ft!K$40*($A440-Ft!K$2)^2)))</f>
        <v>0</v>
      </c>
      <c r="P440"/>
      <c r="Q440"/>
    </row>
    <row r="441" spans="1:17">
      <c r="A441" s="20">
        <v>879</v>
      </c>
      <c r="B441" s="29">
        <v>45.853222869899326</v>
      </c>
      <c r="C441" s="7">
        <f t="shared" si="13"/>
        <v>46.216792027570101</v>
      </c>
      <c r="D441" s="3">
        <f t="shared" si="14"/>
        <v>0.13218253240943631</v>
      </c>
      <c r="E441" s="3">
        <f>Ft!$B$12+Ft!$B$14*(Data!A441-Vars!$B$3)</f>
        <v>-200</v>
      </c>
      <c r="F441" s="3">
        <f>IF(($A441-Ft!B$2)&lt;0,Ft!B$3*((1-Ft!B$6)/(1+Ft!B$37*($A441-Ft!B$2)^2)+Ft!B$6*EXP(Ft!B$38*($A441-Ft!B$2)^2)),Ft!B$3*((1-Ft!B$7)/(1+Ft!B$39*($A441-Ft!B$2)^2)+Ft!B$7*EXP(Ft!B$40*($A441-Ft!B$2)^2)))</f>
        <v>10.039546773900422</v>
      </c>
      <c r="G441" s="3">
        <f>IF(($A441-Ft!C$2)&lt;0,Ft!C$3*((1-Ft!C$6)/(1+Ft!C$37*($A441-Ft!C$2)^2)+Ft!C$6*EXP(Ft!C$38*($A441-Ft!C$2)^2)),Ft!C$3*((1-Ft!C$7)/(1+Ft!C$39*($A441-Ft!C$2)^2)+Ft!C$7*EXP(Ft!C$40*($A441-Ft!C$2)^2)))</f>
        <v>56.231147420072546</v>
      </c>
      <c r="H441" s="3">
        <f>IF(($A441-Ft!D$2)&lt;0,Ft!D$3*((1-Ft!D$6)/(1+Ft!D$37*($A441-Ft!D$2)^2)+Ft!D$6*EXP(Ft!D$38*($A441-Ft!D$2)^2)),Ft!D$3*((1-Ft!D$7)/(1+Ft!D$39*($A441-Ft!D$2)^2)+Ft!D$7*EXP(Ft!D$40*($A441-Ft!D$2)^2)))</f>
        <v>1.3282498186530895E-59</v>
      </c>
      <c r="I441" s="3">
        <f>IF(($A441-Ft!E$2)&lt;0,Ft!E$3*((1-Ft!E$6)/(1+Ft!E$37*($A441-Ft!E$2)^2)+Ft!E$6*EXP(Ft!E$38*($A441-Ft!E$2)^2)),Ft!E$3*((1-Ft!E$7)/(1+Ft!E$39*($A441-Ft!E$2)^2)+Ft!E$7*EXP(Ft!E$40*($A441-Ft!E$2)^2)))</f>
        <v>92.982950757059484</v>
      </c>
      <c r="J441" s="3">
        <f>IF(($A441-Ft!F$2)&lt;0,Ft!F$3*((1-Ft!F$6)/(1+Ft!F$37*($A441-Ft!F$2)^2)+Ft!F$6*EXP(Ft!F$38*($A441-Ft!F$2)^2)),Ft!F$3*((1-Ft!F$7)/(1+Ft!F$39*($A441-Ft!F$2)^2)+Ft!F$7*EXP(Ft!F$40*($A441-Ft!F$2)^2)))</f>
        <v>85.558043199220961</v>
      </c>
      <c r="K441" s="3">
        <f>IF(($A441-Ft!G$2)&lt;0,Ft!G$3*((1-Ft!G$6)/(1+Ft!G$37*($A441-Ft!G$2)^2)+Ft!G$6*EXP(Ft!G$38*($A441-Ft!G$2)^2)),Ft!G$3*((1-Ft!G$7)/(1+Ft!G$39*($A441-Ft!G$2)^2)+Ft!G$7*EXP(Ft!G$40*($A441-Ft!G$2)^2)))</f>
        <v>1.4051038773166966</v>
      </c>
      <c r="L441" s="3">
        <f>IF(($A441-Ft!H$2)&lt;0,Ft!H$3*((1-Ft!H$6)/(1+Ft!H$37*($A441-Ft!H$2)^2)+Ft!H$6*EXP(Ft!H$38*($A441-Ft!H$2)^2)),Ft!H$3*((1-Ft!H$7)/(1+Ft!H$39*($A441-Ft!H$2)^2)+Ft!H$7*EXP(Ft!H$40*($A441-Ft!H$2)^2)))</f>
        <v>0</v>
      </c>
      <c r="M441" s="3">
        <f>IF(($A441-Ft!I$2)&lt;0,Ft!I$3*((1-Ft!I$6)/(1+Ft!I$37*($A441-Ft!I$2)^2)+Ft!I$6*EXP(Ft!I$38*($A441-Ft!I$2)^2)),Ft!I$3*((1-Ft!I$7)/(1+Ft!I$39*($A441-Ft!I$2)^2)+Ft!I$7*EXP(Ft!I$40*($A441-Ft!I$2)^2)))</f>
        <v>0</v>
      </c>
      <c r="N441" s="3">
        <f>IF(($A441-Ft!J$2)&lt;0,Ft!J$3*((1-Ft!J$6)/(1+Ft!J$37*($A441-Ft!J$2)^2)+Ft!J$6*EXP(Ft!J$38*($A441-Ft!J$2)^2)),Ft!J$3*((1-Ft!J$7)/(1+Ft!J$39*($A441-Ft!J$2)^2)+Ft!J$7*EXP(Ft!J$40*($A441-Ft!J$2)^2)))</f>
        <v>0</v>
      </c>
      <c r="O441" s="3">
        <f>IF(($A441-Ft!K$2)&lt;0,Ft!K$3*((1-Ft!K$6)/(1+Ft!K$37*($A441-Ft!K$2)^2)+Ft!K$6*EXP(Ft!K$38*($A441-Ft!K$2)^2)),Ft!K$3*((1-Ft!K$7)/(1+Ft!K$39*($A441-Ft!K$2)^2)+Ft!K$7*EXP(Ft!K$40*($A441-Ft!K$2)^2)))</f>
        <v>0</v>
      </c>
      <c r="P441"/>
      <c r="Q441"/>
    </row>
    <row r="442" spans="1:17">
      <c r="A442" s="20">
        <v>881</v>
      </c>
      <c r="B442" s="29">
        <v>45.633370126307028</v>
      </c>
      <c r="C442" s="7">
        <f t="shared" si="13"/>
        <v>45.980799764697466</v>
      </c>
      <c r="D442" s="3">
        <f t="shared" si="14"/>
        <v>0.12070735363211009</v>
      </c>
      <c r="E442" s="3">
        <f>Ft!$B$12+Ft!$B$14*(Data!A442-Vars!$B$3)</f>
        <v>-200</v>
      </c>
      <c r="F442" s="3">
        <f>IF(($A442-Ft!B$2)&lt;0,Ft!B$3*((1-Ft!B$6)/(1+Ft!B$37*($A442-Ft!B$2)^2)+Ft!B$6*EXP(Ft!B$38*($A442-Ft!B$2)^2)),Ft!B$3*((1-Ft!B$7)/(1+Ft!B$39*($A442-Ft!B$2)^2)+Ft!B$7*EXP(Ft!B$40*($A442-Ft!B$2)^2)))</f>
        <v>9.9345366093987764</v>
      </c>
      <c r="G442" s="3">
        <f>IF(($A442-Ft!C$2)&lt;0,Ft!C$3*((1-Ft!C$6)/(1+Ft!C$37*($A442-Ft!C$2)^2)+Ft!C$6*EXP(Ft!C$38*($A442-Ft!C$2)^2)),Ft!C$3*((1-Ft!C$7)/(1+Ft!C$39*($A442-Ft!C$2)^2)+Ft!C$7*EXP(Ft!C$40*($A442-Ft!C$2)^2)))</f>
        <v>56.236652456644059</v>
      </c>
      <c r="H442" s="3">
        <f>IF(($A442-Ft!D$2)&lt;0,Ft!D$3*((1-Ft!D$6)/(1+Ft!D$37*($A442-Ft!D$2)^2)+Ft!D$6*EXP(Ft!D$38*($A442-Ft!D$2)^2)),Ft!D$3*((1-Ft!D$7)/(1+Ft!D$39*($A442-Ft!D$2)^2)+Ft!D$7*EXP(Ft!D$40*($A442-Ft!D$2)^2)))</f>
        <v>3.8881619307351072E-60</v>
      </c>
      <c r="I442" s="3">
        <f>IF(($A442-Ft!E$2)&lt;0,Ft!E$3*((1-Ft!E$6)/(1+Ft!E$37*($A442-Ft!E$2)^2)+Ft!E$6*EXP(Ft!E$38*($A442-Ft!E$2)^2)),Ft!E$3*((1-Ft!E$7)/(1+Ft!E$39*($A442-Ft!E$2)^2)+Ft!E$7*EXP(Ft!E$40*($A442-Ft!E$2)^2)))</f>
        <v>92.552257692251018</v>
      </c>
      <c r="J442" s="3">
        <f>IF(($A442-Ft!F$2)&lt;0,Ft!F$3*((1-Ft!F$6)/(1+Ft!F$37*($A442-Ft!F$2)^2)+Ft!F$6*EXP(Ft!F$38*($A442-Ft!F$2)^2)),Ft!F$3*((1-Ft!F$7)/(1+Ft!F$39*($A442-Ft!F$2)^2)+Ft!F$7*EXP(Ft!F$40*($A442-Ft!F$2)^2)))</f>
        <v>85.889971572776219</v>
      </c>
      <c r="K442" s="3">
        <f>IF(($A442-Ft!G$2)&lt;0,Ft!G$3*((1-Ft!G$6)/(1+Ft!G$37*($A442-Ft!G$2)^2)+Ft!G$6*EXP(Ft!G$38*($A442-Ft!G$2)^2)),Ft!G$3*((1-Ft!G$7)/(1+Ft!G$39*($A442-Ft!G$2)^2)+Ft!G$7*EXP(Ft!G$40*($A442-Ft!G$2)^2)))</f>
        <v>1.3673814336273875</v>
      </c>
      <c r="L442" s="3">
        <f>IF(($A442-Ft!H$2)&lt;0,Ft!H$3*((1-Ft!H$6)/(1+Ft!H$37*($A442-Ft!H$2)^2)+Ft!H$6*EXP(Ft!H$38*($A442-Ft!H$2)^2)),Ft!H$3*((1-Ft!H$7)/(1+Ft!H$39*($A442-Ft!H$2)^2)+Ft!H$7*EXP(Ft!H$40*($A442-Ft!H$2)^2)))</f>
        <v>0</v>
      </c>
      <c r="M442" s="3">
        <f>IF(($A442-Ft!I$2)&lt;0,Ft!I$3*((1-Ft!I$6)/(1+Ft!I$37*($A442-Ft!I$2)^2)+Ft!I$6*EXP(Ft!I$38*($A442-Ft!I$2)^2)),Ft!I$3*((1-Ft!I$7)/(1+Ft!I$39*($A442-Ft!I$2)^2)+Ft!I$7*EXP(Ft!I$40*($A442-Ft!I$2)^2)))</f>
        <v>0</v>
      </c>
      <c r="N442" s="3">
        <f>IF(($A442-Ft!J$2)&lt;0,Ft!J$3*((1-Ft!J$6)/(1+Ft!J$37*($A442-Ft!J$2)^2)+Ft!J$6*EXP(Ft!J$38*($A442-Ft!J$2)^2)),Ft!J$3*((1-Ft!J$7)/(1+Ft!J$39*($A442-Ft!J$2)^2)+Ft!J$7*EXP(Ft!J$40*($A442-Ft!J$2)^2)))</f>
        <v>0</v>
      </c>
      <c r="O442" s="3">
        <f>IF(($A442-Ft!K$2)&lt;0,Ft!K$3*((1-Ft!K$6)/(1+Ft!K$37*($A442-Ft!K$2)^2)+Ft!K$6*EXP(Ft!K$38*($A442-Ft!K$2)^2)),Ft!K$3*((1-Ft!K$7)/(1+Ft!K$39*($A442-Ft!K$2)^2)+Ft!K$7*EXP(Ft!K$40*($A442-Ft!K$2)^2)))</f>
        <v>0</v>
      </c>
      <c r="P442"/>
      <c r="Q442"/>
    </row>
    <row r="443" spans="1:17">
      <c r="A443" s="20">
        <v>883</v>
      </c>
      <c r="B443" s="29">
        <v>45.411962398513708</v>
      </c>
      <c r="C443" s="7">
        <f t="shared" si="13"/>
        <v>45.74290225050629</v>
      </c>
      <c r="D443" s="3">
        <f t="shared" si="14"/>
        <v>0.10952118563687217</v>
      </c>
      <c r="E443" s="3">
        <f>Ft!$B$12+Ft!$B$14*(Data!A443-Vars!$B$3)</f>
        <v>-200</v>
      </c>
      <c r="F443" s="3">
        <f>IF(($A443-Ft!B$2)&lt;0,Ft!B$3*((1-Ft!B$6)/(1+Ft!B$37*($A443-Ft!B$2)^2)+Ft!B$6*EXP(Ft!B$38*($A443-Ft!B$2)^2)),Ft!B$3*((1-Ft!B$7)/(1+Ft!B$39*($A443-Ft!B$2)^2)+Ft!B$7*EXP(Ft!B$40*($A443-Ft!B$2)^2)))</f>
        <v>9.8304371818300655</v>
      </c>
      <c r="G443" s="3">
        <f>IF(($A443-Ft!C$2)&lt;0,Ft!C$3*((1-Ft!C$6)/(1+Ft!C$37*($A443-Ft!C$2)^2)+Ft!C$6*EXP(Ft!C$38*($A443-Ft!C$2)^2)),Ft!C$3*((1-Ft!C$7)/(1+Ft!C$39*($A443-Ft!C$2)^2)+Ft!C$7*EXP(Ft!C$40*($A443-Ft!C$2)^2)))</f>
        <v>56.241661091389815</v>
      </c>
      <c r="H443" s="3">
        <f>IF(($A443-Ft!D$2)&lt;0,Ft!D$3*((1-Ft!D$6)/(1+Ft!D$37*($A443-Ft!D$2)^2)+Ft!D$6*EXP(Ft!D$38*($A443-Ft!D$2)^2)),Ft!D$3*((1-Ft!D$7)/(1+Ft!D$39*($A443-Ft!D$2)^2)+Ft!D$7*EXP(Ft!D$40*($A443-Ft!D$2)^2)))</f>
        <v>1.1319128995764559E-60</v>
      </c>
      <c r="I443" s="3">
        <f>IF(($A443-Ft!E$2)&lt;0,Ft!E$3*((1-Ft!E$6)/(1+Ft!E$37*($A443-Ft!E$2)^2)+Ft!E$6*EXP(Ft!E$38*($A443-Ft!E$2)^2)),Ft!E$3*((1-Ft!E$7)/(1+Ft!E$39*($A443-Ft!E$2)^2)+Ft!E$7*EXP(Ft!E$40*($A443-Ft!E$2)^2)))</f>
        <v>92.118218281252368</v>
      </c>
      <c r="J443" s="3">
        <f>IF(($A443-Ft!F$2)&lt;0,Ft!F$3*((1-Ft!F$6)/(1+Ft!F$37*($A443-Ft!F$2)^2)+Ft!F$6*EXP(Ft!F$38*($A443-Ft!F$2)^2)),Ft!F$3*((1-Ft!F$7)/(1+Ft!F$39*($A443-Ft!F$2)^2)+Ft!F$7*EXP(Ft!F$40*($A443-Ft!F$2)^2)))</f>
        <v>86.222052096623614</v>
      </c>
      <c r="K443" s="3">
        <f>IF(($A443-Ft!G$2)&lt;0,Ft!G$3*((1-Ft!G$6)/(1+Ft!G$37*($A443-Ft!G$2)^2)+Ft!G$6*EXP(Ft!G$38*($A443-Ft!G$2)^2)),Ft!G$3*((1-Ft!G$7)/(1+Ft!G$39*($A443-Ft!G$2)^2)+Ft!G$7*EXP(Ft!G$40*($A443-Ft!G$2)^2)))</f>
        <v>1.3305335994104441</v>
      </c>
      <c r="L443" s="3">
        <f>IF(($A443-Ft!H$2)&lt;0,Ft!H$3*((1-Ft!H$6)/(1+Ft!H$37*($A443-Ft!H$2)^2)+Ft!H$6*EXP(Ft!H$38*($A443-Ft!H$2)^2)),Ft!H$3*((1-Ft!H$7)/(1+Ft!H$39*($A443-Ft!H$2)^2)+Ft!H$7*EXP(Ft!H$40*($A443-Ft!H$2)^2)))</f>
        <v>0</v>
      </c>
      <c r="M443" s="3">
        <f>IF(($A443-Ft!I$2)&lt;0,Ft!I$3*((1-Ft!I$6)/(1+Ft!I$37*($A443-Ft!I$2)^2)+Ft!I$6*EXP(Ft!I$38*($A443-Ft!I$2)^2)),Ft!I$3*((1-Ft!I$7)/(1+Ft!I$39*($A443-Ft!I$2)^2)+Ft!I$7*EXP(Ft!I$40*($A443-Ft!I$2)^2)))</f>
        <v>0</v>
      </c>
      <c r="N443" s="3">
        <f>IF(($A443-Ft!J$2)&lt;0,Ft!J$3*((1-Ft!J$6)/(1+Ft!J$37*($A443-Ft!J$2)^2)+Ft!J$6*EXP(Ft!J$38*($A443-Ft!J$2)^2)),Ft!J$3*((1-Ft!J$7)/(1+Ft!J$39*($A443-Ft!J$2)^2)+Ft!J$7*EXP(Ft!J$40*($A443-Ft!J$2)^2)))</f>
        <v>0</v>
      </c>
      <c r="O443" s="3">
        <f>IF(($A443-Ft!K$2)&lt;0,Ft!K$3*((1-Ft!K$6)/(1+Ft!K$37*($A443-Ft!K$2)^2)+Ft!K$6*EXP(Ft!K$38*($A443-Ft!K$2)^2)),Ft!K$3*((1-Ft!K$7)/(1+Ft!K$39*($A443-Ft!K$2)^2)+Ft!K$7*EXP(Ft!K$40*($A443-Ft!K$2)^2)))</f>
        <v>0</v>
      </c>
      <c r="P443"/>
      <c r="Q443"/>
    </row>
    <row r="444" spans="1:17">
      <c r="A444" s="20">
        <v>885</v>
      </c>
      <c r="B444" s="29">
        <v>45.188990084214197</v>
      </c>
      <c r="C444" s="7">
        <f t="shared" si="13"/>
        <v>45.503135469696424</v>
      </c>
      <c r="D444" s="3">
        <f t="shared" si="14"/>
        <v>9.8687323219777232E-2</v>
      </c>
      <c r="E444" s="3">
        <f>Ft!$B$12+Ft!$B$14*(Data!A444-Vars!$B$3)</f>
        <v>-200</v>
      </c>
      <c r="F444" s="3">
        <f>IF(($A444-Ft!B$2)&lt;0,Ft!B$3*((1-Ft!B$6)/(1+Ft!B$37*($A444-Ft!B$2)^2)+Ft!B$6*EXP(Ft!B$38*($A444-Ft!B$2)^2)),Ft!B$3*((1-Ft!B$7)/(1+Ft!B$39*($A444-Ft!B$2)^2)+Ft!B$7*EXP(Ft!B$40*($A444-Ft!B$2)^2)))</f>
        <v>9.7272429009826222</v>
      </c>
      <c r="G444" s="3">
        <f>IF(($A444-Ft!C$2)&lt;0,Ft!C$3*((1-Ft!C$6)/(1+Ft!C$37*($A444-Ft!C$2)^2)+Ft!C$6*EXP(Ft!C$38*($A444-Ft!C$2)^2)),Ft!C$3*((1-Ft!C$7)/(1+Ft!C$39*($A444-Ft!C$2)^2)+Ft!C$7*EXP(Ft!C$40*($A444-Ft!C$2)^2)))</f>
        <v>56.246173191584653</v>
      </c>
      <c r="H444" s="3">
        <f>IF(($A444-Ft!D$2)&lt;0,Ft!D$3*((1-Ft!D$6)/(1+Ft!D$37*($A444-Ft!D$2)^2)+Ft!D$6*EXP(Ft!D$38*($A444-Ft!D$2)^2)),Ft!D$3*((1-Ft!D$7)/(1+Ft!D$39*($A444-Ft!D$2)^2)+Ft!D$7*EXP(Ft!D$40*($A444-Ft!D$2)^2)))</f>
        <v>3.2770703294112085E-61</v>
      </c>
      <c r="I444" s="3">
        <f>IF(($A444-Ft!E$2)&lt;0,Ft!E$3*((1-Ft!E$6)/(1+Ft!E$37*($A444-Ft!E$2)^2)+Ft!E$6*EXP(Ft!E$38*($A444-Ft!E$2)^2)),Ft!E$3*((1-Ft!E$7)/(1+Ft!E$39*($A444-Ft!E$2)^2)+Ft!E$7*EXP(Ft!E$40*($A444-Ft!E$2)^2)))</f>
        <v>91.68089843026651</v>
      </c>
      <c r="J444" s="3">
        <f>IF(($A444-Ft!F$2)&lt;0,Ft!F$3*((1-Ft!F$6)/(1+Ft!F$37*($A444-Ft!F$2)^2)+Ft!F$6*EXP(Ft!F$38*($A444-Ft!F$2)^2)),Ft!F$3*((1-Ft!F$7)/(1+Ft!F$39*($A444-Ft!F$2)^2)+Ft!F$7*EXP(Ft!F$40*($A444-Ft!F$2)^2)))</f>
        <v>86.554276594890879</v>
      </c>
      <c r="K444" s="3">
        <f>IF(($A444-Ft!G$2)&lt;0,Ft!G$3*((1-Ft!G$6)/(1+Ft!G$37*($A444-Ft!G$2)^2)+Ft!G$6*EXP(Ft!G$38*($A444-Ft!G$2)^2)),Ft!G$3*((1-Ft!G$7)/(1+Ft!G$39*($A444-Ft!G$2)^2)+Ft!G$7*EXP(Ft!G$40*($A444-Ft!G$2)^2)))</f>
        <v>1.2945443519717592</v>
      </c>
      <c r="L444" s="3">
        <f>IF(($A444-Ft!H$2)&lt;0,Ft!H$3*((1-Ft!H$6)/(1+Ft!H$37*($A444-Ft!H$2)^2)+Ft!H$6*EXP(Ft!H$38*($A444-Ft!H$2)^2)),Ft!H$3*((1-Ft!H$7)/(1+Ft!H$39*($A444-Ft!H$2)^2)+Ft!H$7*EXP(Ft!H$40*($A444-Ft!H$2)^2)))</f>
        <v>0</v>
      </c>
      <c r="M444" s="3">
        <f>IF(($A444-Ft!I$2)&lt;0,Ft!I$3*((1-Ft!I$6)/(1+Ft!I$37*($A444-Ft!I$2)^2)+Ft!I$6*EXP(Ft!I$38*($A444-Ft!I$2)^2)),Ft!I$3*((1-Ft!I$7)/(1+Ft!I$39*($A444-Ft!I$2)^2)+Ft!I$7*EXP(Ft!I$40*($A444-Ft!I$2)^2)))</f>
        <v>0</v>
      </c>
      <c r="N444" s="3">
        <f>IF(($A444-Ft!J$2)&lt;0,Ft!J$3*((1-Ft!J$6)/(1+Ft!J$37*($A444-Ft!J$2)^2)+Ft!J$6*EXP(Ft!J$38*($A444-Ft!J$2)^2)),Ft!J$3*((1-Ft!J$7)/(1+Ft!J$39*($A444-Ft!J$2)^2)+Ft!J$7*EXP(Ft!J$40*($A444-Ft!J$2)^2)))</f>
        <v>0</v>
      </c>
      <c r="O444" s="3">
        <f>IF(($A444-Ft!K$2)&lt;0,Ft!K$3*((1-Ft!K$6)/(1+Ft!K$37*($A444-Ft!K$2)^2)+Ft!K$6*EXP(Ft!K$38*($A444-Ft!K$2)^2)),Ft!K$3*((1-Ft!K$7)/(1+Ft!K$39*($A444-Ft!K$2)^2)+Ft!K$7*EXP(Ft!K$40*($A444-Ft!K$2)^2)))</f>
        <v>0</v>
      </c>
      <c r="P444"/>
      <c r="Q444"/>
    </row>
    <row r="445" spans="1:17">
      <c r="A445" s="20">
        <v>887</v>
      </c>
      <c r="B445" s="29">
        <v>44.964447815643965</v>
      </c>
      <c r="C445" s="7">
        <f t="shared" si="13"/>
        <v>45.261535817061997</v>
      </c>
      <c r="D445" s="3">
        <f t="shared" si="14"/>
        <v>8.8261280586560811E-2</v>
      </c>
      <c r="E445" s="3">
        <f>Ft!$B$12+Ft!$B$14*(Data!A445-Vars!$B$3)</f>
        <v>-200</v>
      </c>
      <c r="F445" s="3">
        <f>IF(($A445-Ft!B$2)&lt;0,Ft!B$3*((1-Ft!B$6)/(1+Ft!B$37*($A445-Ft!B$2)^2)+Ft!B$6*EXP(Ft!B$38*($A445-Ft!B$2)^2)),Ft!B$3*((1-Ft!B$7)/(1+Ft!B$39*($A445-Ft!B$2)^2)+Ft!B$7*EXP(Ft!B$40*($A445-Ft!B$2)^2)))</f>
        <v>9.6249481837184341</v>
      </c>
      <c r="G445" s="3">
        <f>IF(($A445-Ft!C$2)&lt;0,Ft!C$3*((1-Ft!C$6)/(1+Ft!C$37*($A445-Ft!C$2)^2)+Ft!C$6*EXP(Ft!C$38*($A445-Ft!C$2)^2)),Ft!C$3*((1-Ft!C$7)/(1+Ft!C$39*($A445-Ft!C$2)^2)+Ft!C$7*EXP(Ft!C$40*($A445-Ft!C$2)^2)))</f>
        <v>56.250188637654432</v>
      </c>
      <c r="H445" s="3">
        <f>IF(($A445-Ft!D$2)&lt;0,Ft!D$3*((1-Ft!D$6)/(1+Ft!D$37*($A445-Ft!D$2)^2)+Ft!D$6*EXP(Ft!D$38*($A445-Ft!D$2)^2)),Ft!D$3*((1-Ft!D$7)/(1+Ft!D$39*($A445-Ft!D$2)^2)+Ft!D$7*EXP(Ft!D$40*($A445-Ft!D$2)^2)))</f>
        <v>9.4354496530531631E-62</v>
      </c>
      <c r="I445" s="3">
        <f>IF(($A445-Ft!E$2)&lt;0,Ft!E$3*((1-Ft!E$6)/(1+Ft!E$37*($A445-Ft!E$2)^2)+Ft!E$6*EXP(Ft!E$38*($A445-Ft!E$2)^2)),Ft!E$3*((1-Ft!E$7)/(1+Ft!E$39*($A445-Ft!E$2)^2)+Ft!E$7*EXP(Ft!E$40*($A445-Ft!E$2)^2)))</f>
        <v>91.240364303767905</v>
      </c>
      <c r="J445" s="3">
        <f>IF(($A445-Ft!F$2)&lt;0,Ft!F$3*((1-Ft!F$6)/(1+Ft!F$37*($A445-Ft!F$2)^2)+Ft!F$6*EXP(Ft!F$38*($A445-Ft!F$2)^2)),Ft!F$3*((1-Ft!F$7)/(1+Ft!F$39*($A445-Ft!F$2)^2)+Ft!F$7*EXP(Ft!F$40*($A445-Ft!F$2)^2)))</f>
        <v>86.88663685444962</v>
      </c>
      <c r="K445" s="3">
        <f>IF(($A445-Ft!G$2)&lt;0,Ft!G$3*((1-Ft!G$6)/(1+Ft!G$37*($A445-Ft!G$2)^2)+Ft!G$6*EXP(Ft!G$38*($A445-Ft!G$2)^2)),Ft!G$3*((1-Ft!G$7)/(1+Ft!G$39*($A445-Ft!G$2)^2)+Ft!G$7*EXP(Ft!G$40*($A445-Ft!G$2)^2)))</f>
        <v>1.2593978374716277</v>
      </c>
      <c r="L445" s="3">
        <f>IF(($A445-Ft!H$2)&lt;0,Ft!H$3*((1-Ft!H$6)/(1+Ft!H$37*($A445-Ft!H$2)^2)+Ft!H$6*EXP(Ft!H$38*($A445-Ft!H$2)^2)),Ft!H$3*((1-Ft!H$7)/(1+Ft!H$39*($A445-Ft!H$2)^2)+Ft!H$7*EXP(Ft!H$40*($A445-Ft!H$2)^2)))</f>
        <v>0</v>
      </c>
      <c r="M445" s="3">
        <f>IF(($A445-Ft!I$2)&lt;0,Ft!I$3*((1-Ft!I$6)/(1+Ft!I$37*($A445-Ft!I$2)^2)+Ft!I$6*EXP(Ft!I$38*($A445-Ft!I$2)^2)),Ft!I$3*((1-Ft!I$7)/(1+Ft!I$39*($A445-Ft!I$2)^2)+Ft!I$7*EXP(Ft!I$40*($A445-Ft!I$2)^2)))</f>
        <v>0</v>
      </c>
      <c r="N445" s="3">
        <f>IF(($A445-Ft!J$2)&lt;0,Ft!J$3*((1-Ft!J$6)/(1+Ft!J$37*($A445-Ft!J$2)^2)+Ft!J$6*EXP(Ft!J$38*($A445-Ft!J$2)^2)),Ft!J$3*((1-Ft!J$7)/(1+Ft!J$39*($A445-Ft!J$2)^2)+Ft!J$7*EXP(Ft!J$40*($A445-Ft!J$2)^2)))</f>
        <v>0</v>
      </c>
      <c r="O445" s="3">
        <f>IF(($A445-Ft!K$2)&lt;0,Ft!K$3*((1-Ft!K$6)/(1+Ft!K$37*($A445-Ft!K$2)^2)+Ft!K$6*EXP(Ft!K$38*($A445-Ft!K$2)^2)),Ft!K$3*((1-Ft!K$7)/(1+Ft!K$39*($A445-Ft!K$2)^2)+Ft!K$7*EXP(Ft!K$40*($A445-Ft!K$2)^2)))</f>
        <v>0</v>
      </c>
      <c r="P445"/>
      <c r="Q445"/>
    </row>
    <row r="446" spans="1:17">
      <c r="A446" s="20">
        <v>889</v>
      </c>
      <c r="B446" s="29">
        <v>44.738334068993339</v>
      </c>
      <c r="C446" s="7">
        <f t="shared" si="13"/>
        <v>45.018140083528046</v>
      </c>
      <c r="D446" s="3">
        <f t="shared" si="14"/>
        <v>7.8291405769796416E-2</v>
      </c>
      <c r="E446" s="3">
        <f>Ft!$B$12+Ft!$B$14*(Data!A446-Vars!$B$3)</f>
        <v>-200</v>
      </c>
      <c r="F446" s="3">
        <f>IF(($A446-Ft!B$2)&lt;0,Ft!B$3*((1-Ft!B$6)/(1+Ft!B$37*($A446-Ft!B$2)^2)+Ft!B$6*EXP(Ft!B$38*($A446-Ft!B$2)^2)),Ft!B$3*((1-Ft!B$7)/(1+Ft!B$39*($A446-Ft!B$2)^2)+Ft!B$7*EXP(Ft!B$40*($A446-Ft!B$2)^2)))</f>
        <v>9.523547454322955</v>
      </c>
      <c r="G446" s="3">
        <f>IF(($A446-Ft!C$2)&lt;0,Ft!C$3*((1-Ft!C$6)/(1+Ft!C$37*($A446-Ft!C$2)^2)+Ft!C$6*EXP(Ft!C$38*($A446-Ft!C$2)^2)),Ft!C$3*((1-Ft!C$7)/(1+Ft!C$39*($A446-Ft!C$2)^2)+Ft!C$7*EXP(Ft!C$40*($A446-Ft!C$2)^2)))</f>
        <v>56.253707323181395</v>
      </c>
      <c r="H446" s="3">
        <f>IF(($A446-Ft!D$2)&lt;0,Ft!D$3*((1-Ft!D$6)/(1+Ft!D$37*($A446-Ft!D$2)^2)+Ft!D$6*EXP(Ft!D$38*($A446-Ft!D$2)^2)),Ft!D$3*((1-Ft!D$7)/(1+Ft!D$39*($A446-Ft!D$2)^2)+Ft!D$7*EXP(Ft!D$40*($A446-Ft!D$2)^2)))</f>
        <v>2.7017398488916011E-62</v>
      </c>
      <c r="I446" s="3">
        <f>IF(($A446-Ft!E$2)&lt;0,Ft!E$3*((1-Ft!E$6)/(1+Ft!E$37*($A446-Ft!E$2)^2)+Ft!E$6*EXP(Ft!E$38*($A446-Ft!E$2)^2)),Ft!E$3*((1-Ft!E$7)/(1+Ft!E$39*($A446-Ft!E$2)^2)+Ft!E$7*EXP(Ft!E$40*($A446-Ft!E$2)^2)))</f>
        <v>90.796682307968439</v>
      </c>
      <c r="J446" s="3">
        <f>IF(($A446-Ft!F$2)&lt;0,Ft!F$3*((1-Ft!F$6)/(1+Ft!F$37*($A446-Ft!F$2)^2)+Ft!F$6*EXP(Ft!F$38*($A446-Ft!F$2)^2)),Ft!F$3*((1-Ft!F$7)/(1+Ft!F$39*($A446-Ft!F$2)^2)+Ft!F$7*EXP(Ft!F$40*($A446-Ft!F$2)^2)))</f>
        <v>87.21912462520514</v>
      </c>
      <c r="K446" s="3">
        <f>IF(($A446-Ft!G$2)&lt;0,Ft!G$3*((1-Ft!G$6)/(1+Ft!G$37*($A446-Ft!G$2)^2)+Ft!G$6*EXP(Ft!G$38*($A446-Ft!G$2)^2)),Ft!G$3*((1-Ft!G$7)/(1+Ft!G$39*($A446-Ft!G$2)^2)+Ft!G$7*EXP(Ft!G$40*($A446-Ft!G$2)^2)))</f>
        <v>1.2250783728501025</v>
      </c>
      <c r="L446" s="3">
        <f>IF(($A446-Ft!H$2)&lt;0,Ft!H$3*((1-Ft!H$6)/(1+Ft!H$37*($A446-Ft!H$2)^2)+Ft!H$6*EXP(Ft!H$38*($A446-Ft!H$2)^2)),Ft!H$3*((1-Ft!H$7)/(1+Ft!H$39*($A446-Ft!H$2)^2)+Ft!H$7*EXP(Ft!H$40*($A446-Ft!H$2)^2)))</f>
        <v>0</v>
      </c>
      <c r="M446" s="3">
        <f>IF(($A446-Ft!I$2)&lt;0,Ft!I$3*((1-Ft!I$6)/(1+Ft!I$37*($A446-Ft!I$2)^2)+Ft!I$6*EXP(Ft!I$38*($A446-Ft!I$2)^2)),Ft!I$3*((1-Ft!I$7)/(1+Ft!I$39*($A446-Ft!I$2)^2)+Ft!I$7*EXP(Ft!I$40*($A446-Ft!I$2)^2)))</f>
        <v>0</v>
      </c>
      <c r="N446" s="3">
        <f>IF(($A446-Ft!J$2)&lt;0,Ft!J$3*((1-Ft!J$6)/(1+Ft!J$37*($A446-Ft!J$2)^2)+Ft!J$6*EXP(Ft!J$38*($A446-Ft!J$2)^2)),Ft!J$3*((1-Ft!J$7)/(1+Ft!J$39*($A446-Ft!J$2)^2)+Ft!J$7*EXP(Ft!J$40*($A446-Ft!J$2)^2)))</f>
        <v>0</v>
      </c>
      <c r="O446" s="3">
        <f>IF(($A446-Ft!K$2)&lt;0,Ft!K$3*((1-Ft!K$6)/(1+Ft!K$37*($A446-Ft!K$2)^2)+Ft!K$6*EXP(Ft!K$38*($A446-Ft!K$2)^2)),Ft!K$3*((1-Ft!K$7)/(1+Ft!K$39*($A446-Ft!K$2)^2)+Ft!K$7*EXP(Ft!K$40*($A446-Ft!K$2)^2)))</f>
        <v>0</v>
      </c>
      <c r="P446"/>
      <c r="Q446"/>
    </row>
    <row r="447" spans="1:17">
      <c r="A447" s="20">
        <v>891</v>
      </c>
      <c r="B447" s="29">
        <v>44.510650787113491</v>
      </c>
      <c r="C447" s="7">
        <f t="shared" si="13"/>
        <v>44.772985442054335</v>
      </c>
      <c r="D447" s="3">
        <f t="shared" si="14"/>
        <v>6.8819471182931607E-2</v>
      </c>
      <c r="E447" s="3">
        <f>Ft!$B$12+Ft!$B$14*(Data!A447-Vars!$B$3)</f>
        <v>-200</v>
      </c>
      <c r="F447" s="3">
        <f>IF(($A447-Ft!B$2)&lt;0,Ft!B$3*((1-Ft!B$6)/(1+Ft!B$37*($A447-Ft!B$2)^2)+Ft!B$6*EXP(Ft!B$38*($A447-Ft!B$2)^2)),Ft!B$3*((1-Ft!B$7)/(1+Ft!B$39*($A447-Ft!B$2)^2)+Ft!B$7*EXP(Ft!B$40*($A447-Ft!B$2)^2)))</f>
        <v>9.4230351448504575</v>
      </c>
      <c r="G447" s="3">
        <f>IF(($A447-Ft!C$2)&lt;0,Ft!C$3*((1-Ft!C$6)/(1+Ft!C$37*($A447-Ft!C$2)^2)+Ft!C$6*EXP(Ft!C$38*($A447-Ft!C$2)^2)),Ft!C$3*((1-Ft!C$7)/(1+Ft!C$39*($A447-Ft!C$2)^2)+Ft!C$7*EXP(Ft!C$40*($A447-Ft!C$2)^2)))</f>
        <v>56.256729154908783</v>
      </c>
      <c r="H447" s="3">
        <f>IF(($A447-Ft!D$2)&lt;0,Ft!D$3*((1-Ft!D$6)/(1+Ft!D$37*($A447-Ft!D$2)^2)+Ft!D$6*EXP(Ft!D$38*($A447-Ft!D$2)^2)),Ft!D$3*((1-Ft!D$7)/(1+Ft!D$39*($A447-Ft!D$2)^2)+Ft!D$7*EXP(Ft!D$40*($A447-Ft!D$2)^2)))</f>
        <v>7.693581208109844E-63</v>
      </c>
      <c r="I447" s="3">
        <f>IF(($A447-Ft!E$2)&lt;0,Ft!E$3*((1-Ft!E$6)/(1+Ft!E$37*($A447-Ft!E$2)^2)+Ft!E$6*EXP(Ft!E$38*($A447-Ft!E$2)^2)),Ft!E$3*((1-Ft!E$7)/(1+Ft!E$39*($A447-Ft!E$2)^2)+Ft!E$7*EXP(Ft!E$40*($A447-Ft!E$2)^2)))</f>
        <v>90.349919074292188</v>
      </c>
      <c r="J447" s="3">
        <f>IF(($A447-Ft!F$2)&lt;0,Ft!F$3*((1-Ft!F$6)/(1+Ft!F$37*($A447-Ft!F$2)^2)+Ft!F$6*EXP(Ft!F$38*($A447-Ft!F$2)^2)),Ft!F$3*((1-Ft!F$7)/(1+Ft!F$39*($A447-Ft!F$2)^2)+Ft!F$7*EXP(Ft!F$40*($A447-Ft!F$2)^2)))</f>
        <v>87.551731620390157</v>
      </c>
      <c r="K447" s="3">
        <f>IF(($A447-Ft!G$2)&lt;0,Ft!G$3*((1-Ft!G$6)/(1+Ft!G$37*($A447-Ft!G$2)^2)+Ft!G$6*EXP(Ft!G$38*($A447-Ft!G$2)^2)),Ft!G$3*((1-Ft!G$7)/(1+Ft!G$39*($A447-Ft!G$2)^2)+Ft!G$7*EXP(Ft!G$40*($A447-Ft!G$2)^2)))</f>
        <v>1.19157044761276</v>
      </c>
      <c r="L447" s="3">
        <f>IF(($A447-Ft!H$2)&lt;0,Ft!H$3*((1-Ft!H$6)/(1+Ft!H$37*($A447-Ft!H$2)^2)+Ft!H$6*EXP(Ft!H$38*($A447-Ft!H$2)^2)),Ft!H$3*((1-Ft!H$7)/(1+Ft!H$39*($A447-Ft!H$2)^2)+Ft!H$7*EXP(Ft!H$40*($A447-Ft!H$2)^2)))</f>
        <v>0</v>
      </c>
      <c r="M447" s="3">
        <f>IF(($A447-Ft!I$2)&lt;0,Ft!I$3*((1-Ft!I$6)/(1+Ft!I$37*($A447-Ft!I$2)^2)+Ft!I$6*EXP(Ft!I$38*($A447-Ft!I$2)^2)),Ft!I$3*((1-Ft!I$7)/(1+Ft!I$39*($A447-Ft!I$2)^2)+Ft!I$7*EXP(Ft!I$40*($A447-Ft!I$2)^2)))</f>
        <v>0</v>
      </c>
      <c r="N447" s="3">
        <f>IF(($A447-Ft!J$2)&lt;0,Ft!J$3*((1-Ft!J$6)/(1+Ft!J$37*($A447-Ft!J$2)^2)+Ft!J$6*EXP(Ft!J$38*($A447-Ft!J$2)^2)),Ft!J$3*((1-Ft!J$7)/(1+Ft!J$39*($A447-Ft!J$2)^2)+Ft!J$7*EXP(Ft!J$40*($A447-Ft!J$2)^2)))</f>
        <v>0</v>
      </c>
      <c r="O447" s="3">
        <f>IF(($A447-Ft!K$2)&lt;0,Ft!K$3*((1-Ft!K$6)/(1+Ft!K$37*($A447-Ft!K$2)^2)+Ft!K$6*EXP(Ft!K$38*($A447-Ft!K$2)^2)),Ft!K$3*((1-Ft!K$7)/(1+Ft!K$39*($A447-Ft!K$2)^2)+Ft!K$7*EXP(Ft!K$40*($A447-Ft!K$2)^2)))</f>
        <v>0</v>
      </c>
      <c r="P447"/>
      <c r="Q447"/>
    </row>
    <row r="448" spans="1:17">
      <c r="A448" s="20">
        <v>893</v>
      </c>
      <c r="B448" s="29">
        <v>44.281403020513252</v>
      </c>
      <c r="C448" s="7">
        <f t="shared" si="13"/>
        <v>44.526109433416352</v>
      </c>
      <c r="D448" s="3">
        <f t="shared" si="14"/>
        <v>5.9881228515902045E-2</v>
      </c>
      <c r="E448" s="3">
        <f>Ft!$B$12+Ft!$B$14*(Data!A448-Vars!$B$3)</f>
        <v>-200</v>
      </c>
      <c r="F448" s="3">
        <f>IF(($A448-Ft!B$2)&lt;0,Ft!B$3*((1-Ft!B$6)/(1+Ft!B$37*($A448-Ft!B$2)^2)+Ft!B$6*EXP(Ft!B$38*($A448-Ft!B$2)^2)),Ft!B$3*((1-Ft!B$7)/(1+Ft!B$39*($A448-Ft!B$2)^2)+Ft!B$7*EXP(Ft!B$40*($A448-Ft!B$2)^2)))</f>
        <v>9.3234056954650235</v>
      </c>
      <c r="G448" s="3">
        <f>IF(($A448-Ft!C$2)&lt;0,Ft!C$3*((1-Ft!C$6)/(1+Ft!C$37*($A448-Ft!C$2)^2)+Ft!C$6*EXP(Ft!C$38*($A448-Ft!C$2)^2)),Ft!C$3*((1-Ft!C$7)/(1+Ft!C$39*($A448-Ft!C$2)^2)+Ft!C$7*EXP(Ft!C$40*($A448-Ft!C$2)^2)))</f>
        <v>56.259254052745007</v>
      </c>
      <c r="H448" s="3">
        <f>IF(($A448-Ft!D$2)&lt;0,Ft!D$3*((1-Ft!D$6)/(1+Ft!D$37*($A448-Ft!D$2)^2)+Ft!D$6*EXP(Ft!D$38*($A448-Ft!D$2)^2)),Ft!D$3*((1-Ft!D$7)/(1+Ft!D$39*($A448-Ft!D$2)^2)+Ft!D$7*EXP(Ft!D$40*($A448-Ft!D$2)^2)))</f>
        <v>2.1788013876898314E-63</v>
      </c>
      <c r="I448" s="3">
        <f>IF(($A448-Ft!E$2)&lt;0,Ft!E$3*((1-Ft!E$6)/(1+Ft!E$37*($A448-Ft!E$2)^2)+Ft!E$6*EXP(Ft!E$38*($A448-Ft!E$2)^2)),Ft!E$3*((1-Ft!E$7)/(1+Ft!E$39*($A448-Ft!E$2)^2)+Ft!E$7*EXP(Ft!E$40*($A448-Ft!E$2)^2)))</f>
        <v>89.900141442865035</v>
      </c>
      <c r="J448" s="3">
        <f>IF(($A448-Ft!F$2)&lt;0,Ft!F$3*((1-Ft!F$6)/(1+Ft!F$37*($A448-Ft!F$2)^2)+Ft!F$6*EXP(Ft!F$38*($A448-Ft!F$2)^2)),Ft!F$3*((1-Ft!F$7)/(1+Ft!F$39*($A448-Ft!F$2)^2)+Ft!F$7*EXP(Ft!F$40*($A448-Ft!F$2)^2)))</f>
        <v>87.884449516861721</v>
      </c>
      <c r="K448" s="3">
        <f>IF(($A448-Ft!G$2)&lt;0,Ft!G$3*((1-Ft!G$6)/(1+Ft!G$37*($A448-Ft!G$2)^2)+Ft!G$6*EXP(Ft!G$38*($A448-Ft!G$2)^2)),Ft!G$3*((1-Ft!G$7)/(1+Ft!G$39*($A448-Ft!G$2)^2)+Ft!G$7*EXP(Ft!G$40*($A448-Ft!G$2)^2)))</f>
        <v>1.1588587254795606</v>
      </c>
      <c r="L448" s="3">
        <f>IF(($A448-Ft!H$2)&lt;0,Ft!H$3*((1-Ft!H$6)/(1+Ft!H$37*($A448-Ft!H$2)^2)+Ft!H$6*EXP(Ft!H$38*($A448-Ft!H$2)^2)),Ft!H$3*((1-Ft!H$7)/(1+Ft!H$39*($A448-Ft!H$2)^2)+Ft!H$7*EXP(Ft!H$40*($A448-Ft!H$2)^2)))</f>
        <v>0</v>
      </c>
      <c r="M448" s="3">
        <f>IF(($A448-Ft!I$2)&lt;0,Ft!I$3*((1-Ft!I$6)/(1+Ft!I$37*($A448-Ft!I$2)^2)+Ft!I$6*EXP(Ft!I$38*($A448-Ft!I$2)^2)),Ft!I$3*((1-Ft!I$7)/(1+Ft!I$39*($A448-Ft!I$2)^2)+Ft!I$7*EXP(Ft!I$40*($A448-Ft!I$2)^2)))</f>
        <v>0</v>
      </c>
      <c r="N448" s="3">
        <f>IF(($A448-Ft!J$2)&lt;0,Ft!J$3*((1-Ft!J$6)/(1+Ft!J$37*($A448-Ft!J$2)^2)+Ft!J$6*EXP(Ft!J$38*($A448-Ft!J$2)^2)),Ft!J$3*((1-Ft!J$7)/(1+Ft!J$39*($A448-Ft!J$2)^2)+Ft!J$7*EXP(Ft!J$40*($A448-Ft!J$2)^2)))</f>
        <v>0</v>
      </c>
      <c r="O448" s="3">
        <f>IF(($A448-Ft!K$2)&lt;0,Ft!K$3*((1-Ft!K$6)/(1+Ft!K$37*($A448-Ft!K$2)^2)+Ft!K$6*EXP(Ft!K$38*($A448-Ft!K$2)^2)),Ft!K$3*((1-Ft!K$7)/(1+Ft!K$39*($A448-Ft!K$2)^2)+Ft!K$7*EXP(Ft!K$40*($A448-Ft!K$2)^2)))</f>
        <v>0</v>
      </c>
      <c r="P448"/>
      <c r="Q448"/>
    </row>
    <row r="449" spans="1:17">
      <c r="A449" s="20">
        <v>895</v>
      </c>
      <c r="B449" s="29">
        <v>44.050598590253031</v>
      </c>
      <c r="C449" s="7">
        <f t="shared" si="13"/>
        <v>44.277549951870412</v>
      </c>
      <c r="D449" s="3">
        <f t="shared" si="14"/>
        <v>5.1506920539983264E-2</v>
      </c>
      <c r="E449" s="3">
        <f>Ft!$B$12+Ft!$B$14*(Data!A449-Vars!$B$3)</f>
        <v>-200</v>
      </c>
      <c r="F449" s="3">
        <f>IF(($A449-Ft!B$2)&lt;0,Ft!B$3*((1-Ft!B$6)/(1+Ft!B$37*($A449-Ft!B$2)^2)+Ft!B$6*EXP(Ft!B$38*($A449-Ft!B$2)^2)),Ft!B$3*((1-Ft!B$7)/(1+Ft!B$39*($A449-Ft!B$2)^2)+Ft!B$7*EXP(Ft!B$40*($A449-Ft!B$2)^2)))</f>
        <v>9.2246535547771842</v>
      </c>
      <c r="G449" s="3">
        <f>IF(($A449-Ft!C$2)&lt;0,Ft!C$3*((1-Ft!C$6)/(1+Ft!C$37*($A449-Ft!C$2)^2)+Ft!C$6*EXP(Ft!C$38*($A449-Ft!C$2)^2)),Ft!C$3*((1-Ft!C$7)/(1+Ft!C$39*($A449-Ft!C$2)^2)+Ft!C$7*EXP(Ft!C$40*($A449-Ft!C$2)^2)))</f>
        <v>56.261281949767188</v>
      </c>
      <c r="H449" s="3">
        <f>IF(($A449-Ft!D$2)&lt;0,Ft!D$3*((1-Ft!D$6)/(1+Ft!D$37*($A449-Ft!D$2)^2)+Ft!D$6*EXP(Ft!D$38*($A449-Ft!D$2)^2)),Ft!D$3*((1-Ft!D$7)/(1+Ft!D$39*($A449-Ft!D$2)^2)+Ft!D$7*EXP(Ft!D$40*($A449-Ft!D$2)^2)))</f>
        <v>6.1363600130406608E-64</v>
      </c>
      <c r="I449" s="3">
        <f>IF(($A449-Ft!E$2)&lt;0,Ft!E$3*((1-Ft!E$6)/(1+Ft!E$37*($A449-Ft!E$2)^2)+Ft!E$6*EXP(Ft!E$38*($A449-Ft!E$2)^2)),Ft!E$3*((1-Ft!E$7)/(1+Ft!E$39*($A449-Ft!E$2)^2)+Ft!E$7*EXP(Ft!E$40*($A449-Ft!E$2)^2)))</f>
        <v>89.44741644602469</v>
      </c>
      <c r="J449" s="3">
        <f>IF(($A449-Ft!F$2)&lt;0,Ft!F$3*((1-Ft!F$6)/(1+Ft!F$37*($A449-Ft!F$2)^2)+Ft!F$6*EXP(Ft!F$38*($A449-Ft!F$2)^2)),Ft!F$3*((1-Ft!F$7)/(1+Ft!F$39*($A449-Ft!F$2)^2)+Ft!F$7*EXP(Ft!F$40*($A449-Ft!F$2)^2)))</f>
        <v>88.217269955401832</v>
      </c>
      <c r="K449" s="3">
        <f>IF(($A449-Ft!G$2)&lt;0,Ft!G$3*((1-Ft!G$6)/(1+Ft!G$37*($A449-Ft!G$2)^2)+Ft!G$6*EXP(Ft!G$38*($A449-Ft!G$2)^2)),Ft!G$3*((1-Ft!G$7)/(1+Ft!G$39*($A449-Ft!G$2)^2)+Ft!G$7*EXP(Ft!G$40*($A449-Ft!G$2)^2)))</f>
        <v>1.1269280458995334</v>
      </c>
      <c r="L449" s="3">
        <f>IF(($A449-Ft!H$2)&lt;0,Ft!H$3*((1-Ft!H$6)/(1+Ft!H$37*($A449-Ft!H$2)^2)+Ft!H$6*EXP(Ft!H$38*($A449-Ft!H$2)^2)),Ft!H$3*((1-Ft!H$7)/(1+Ft!H$39*($A449-Ft!H$2)^2)+Ft!H$7*EXP(Ft!H$40*($A449-Ft!H$2)^2)))</f>
        <v>0</v>
      </c>
      <c r="M449" s="3">
        <f>IF(($A449-Ft!I$2)&lt;0,Ft!I$3*((1-Ft!I$6)/(1+Ft!I$37*($A449-Ft!I$2)^2)+Ft!I$6*EXP(Ft!I$38*($A449-Ft!I$2)^2)),Ft!I$3*((1-Ft!I$7)/(1+Ft!I$39*($A449-Ft!I$2)^2)+Ft!I$7*EXP(Ft!I$40*($A449-Ft!I$2)^2)))</f>
        <v>0</v>
      </c>
      <c r="N449" s="3">
        <f>IF(($A449-Ft!J$2)&lt;0,Ft!J$3*((1-Ft!J$6)/(1+Ft!J$37*($A449-Ft!J$2)^2)+Ft!J$6*EXP(Ft!J$38*($A449-Ft!J$2)^2)),Ft!J$3*((1-Ft!J$7)/(1+Ft!J$39*($A449-Ft!J$2)^2)+Ft!J$7*EXP(Ft!J$40*($A449-Ft!J$2)^2)))</f>
        <v>0</v>
      </c>
      <c r="O449" s="3">
        <f>IF(($A449-Ft!K$2)&lt;0,Ft!K$3*((1-Ft!K$6)/(1+Ft!K$37*($A449-Ft!K$2)^2)+Ft!K$6*EXP(Ft!K$38*($A449-Ft!K$2)^2)),Ft!K$3*((1-Ft!K$7)/(1+Ft!K$39*($A449-Ft!K$2)^2)+Ft!K$7*EXP(Ft!K$40*($A449-Ft!K$2)^2)))</f>
        <v>0</v>
      </c>
      <c r="P449"/>
      <c r="Q449"/>
    </row>
    <row r="450" spans="1:17">
      <c r="A450" s="20">
        <v>897</v>
      </c>
      <c r="B450" s="29">
        <v>43.818247775123439</v>
      </c>
      <c r="C450" s="7">
        <f t="shared" si="13"/>
        <v>44.027345230712562</v>
      </c>
      <c r="D450" s="3">
        <f t="shared" si="14"/>
        <v>4.3721745933845528E-2</v>
      </c>
      <c r="E450" s="3">
        <f>Ft!$B$12+Ft!$B$14*(Data!A450-Vars!$B$3)</f>
        <v>-200</v>
      </c>
      <c r="F450" s="3">
        <f>IF(($A450-Ft!B$2)&lt;0,Ft!B$3*((1-Ft!B$6)/(1+Ft!B$37*($A450-Ft!B$2)^2)+Ft!B$6*EXP(Ft!B$38*($A450-Ft!B$2)^2)),Ft!B$3*((1-Ft!B$7)/(1+Ft!B$39*($A450-Ft!B$2)^2)+Ft!B$7*EXP(Ft!B$40*($A450-Ft!B$2)^2)))</f>
        <v>9.1267731801762224</v>
      </c>
      <c r="G450" s="3">
        <f>IF(($A450-Ft!C$2)&lt;0,Ft!C$3*((1-Ft!C$6)/(1+Ft!C$37*($A450-Ft!C$2)^2)+Ft!C$6*EXP(Ft!C$38*($A450-Ft!C$2)^2)),Ft!C$3*((1-Ft!C$7)/(1+Ft!C$39*($A450-Ft!C$2)^2)+Ft!C$7*EXP(Ft!C$40*($A450-Ft!C$2)^2)))</f>
        <v>56.262812792224061</v>
      </c>
      <c r="H450" s="3">
        <f>IF(($A450-Ft!D$2)&lt;0,Ft!D$3*((1-Ft!D$6)/(1+Ft!D$37*($A450-Ft!D$2)^2)+Ft!D$6*EXP(Ft!D$38*($A450-Ft!D$2)^2)),Ft!D$3*((1-Ft!D$7)/(1+Ft!D$39*($A450-Ft!D$2)^2)+Ft!D$7*EXP(Ft!D$40*($A450-Ft!D$2)^2)))</f>
        <v>1.7187317761838838E-64</v>
      </c>
      <c r="I450" s="3">
        <f>IF(($A450-Ft!E$2)&lt;0,Ft!E$3*((1-Ft!E$6)/(1+Ft!E$37*($A450-Ft!E$2)^2)+Ft!E$6*EXP(Ft!E$38*($A450-Ft!E$2)^2)),Ft!E$3*((1-Ft!E$7)/(1+Ft!E$39*($A450-Ft!E$2)^2)+Ft!E$7*EXP(Ft!E$40*($A450-Ft!E$2)^2)))</f>
        <v>88.991811291856706</v>
      </c>
      <c r="J450" s="3">
        <f>IF(($A450-Ft!F$2)&lt;0,Ft!F$3*((1-Ft!F$6)/(1+Ft!F$37*($A450-Ft!F$2)^2)+Ft!F$6*EXP(Ft!F$38*($A450-Ft!F$2)^2)),Ft!F$3*((1-Ft!F$7)/(1+Ft!F$39*($A450-Ft!F$2)^2)+Ft!F$7*EXP(Ft!F$40*($A450-Ft!F$2)^2)))</f>
        <v>88.550184541021565</v>
      </c>
      <c r="K450" s="3">
        <f>IF(($A450-Ft!G$2)&lt;0,Ft!G$3*((1-Ft!G$6)/(1+Ft!G$37*($A450-Ft!G$2)^2)+Ft!G$6*EXP(Ft!G$38*($A450-Ft!G$2)^2)),Ft!G$3*((1-Ft!G$7)/(1+Ft!G$39*($A450-Ft!G$2)^2)+Ft!G$7*EXP(Ft!G$40*($A450-Ft!G$2)^2)))</f>
        <v>1.0957634254340103</v>
      </c>
      <c r="L450" s="3">
        <f>IF(($A450-Ft!H$2)&lt;0,Ft!H$3*((1-Ft!H$6)/(1+Ft!H$37*($A450-Ft!H$2)^2)+Ft!H$6*EXP(Ft!H$38*($A450-Ft!H$2)^2)),Ft!H$3*((1-Ft!H$7)/(1+Ft!H$39*($A450-Ft!H$2)^2)+Ft!H$7*EXP(Ft!H$40*($A450-Ft!H$2)^2)))</f>
        <v>0</v>
      </c>
      <c r="M450" s="3">
        <f>IF(($A450-Ft!I$2)&lt;0,Ft!I$3*((1-Ft!I$6)/(1+Ft!I$37*($A450-Ft!I$2)^2)+Ft!I$6*EXP(Ft!I$38*($A450-Ft!I$2)^2)),Ft!I$3*((1-Ft!I$7)/(1+Ft!I$39*($A450-Ft!I$2)^2)+Ft!I$7*EXP(Ft!I$40*($A450-Ft!I$2)^2)))</f>
        <v>0</v>
      </c>
      <c r="N450" s="3">
        <f>IF(($A450-Ft!J$2)&lt;0,Ft!J$3*((1-Ft!J$6)/(1+Ft!J$37*($A450-Ft!J$2)^2)+Ft!J$6*EXP(Ft!J$38*($A450-Ft!J$2)^2)),Ft!J$3*((1-Ft!J$7)/(1+Ft!J$39*($A450-Ft!J$2)^2)+Ft!J$7*EXP(Ft!J$40*($A450-Ft!J$2)^2)))</f>
        <v>0</v>
      </c>
      <c r="O450" s="3">
        <f>IF(($A450-Ft!K$2)&lt;0,Ft!K$3*((1-Ft!K$6)/(1+Ft!K$37*($A450-Ft!K$2)^2)+Ft!K$6*EXP(Ft!K$38*($A450-Ft!K$2)^2)),Ft!K$3*((1-Ft!K$7)/(1+Ft!K$39*($A450-Ft!K$2)^2)+Ft!K$7*EXP(Ft!K$40*($A450-Ft!K$2)^2)))</f>
        <v>0</v>
      </c>
      <c r="P450"/>
      <c r="Q450"/>
    </row>
    <row r="451" spans="1:17">
      <c r="A451" s="20">
        <v>899</v>
      </c>
      <c r="B451" s="29">
        <v>43.584363024452443</v>
      </c>
      <c r="C451" s="7">
        <f t="shared" ref="C451:C514" si="15">SUM(E451:K451)</f>
        <v>43.775533827738606</v>
      </c>
      <c r="D451" s="3">
        <f t="shared" si="14"/>
        <v>3.6546276029076653E-2</v>
      </c>
      <c r="E451" s="3">
        <f>Ft!$B$12+Ft!$B$14*(Data!A451-Vars!$B$3)</f>
        <v>-200</v>
      </c>
      <c r="F451" s="3">
        <f>IF(($A451-Ft!B$2)&lt;0,Ft!B$3*((1-Ft!B$6)/(1+Ft!B$37*($A451-Ft!B$2)^2)+Ft!B$6*EXP(Ft!B$38*($A451-Ft!B$2)^2)),Ft!B$3*((1-Ft!B$7)/(1+Ft!B$39*($A451-Ft!B$2)^2)+Ft!B$7*EXP(Ft!B$40*($A451-Ft!B$2)^2)))</f>
        <v>9.0297590381580619</v>
      </c>
      <c r="G451" s="3">
        <f>IF(($A451-Ft!C$2)&lt;0,Ft!C$3*((1-Ft!C$6)/(1+Ft!C$37*($A451-Ft!C$2)^2)+Ft!C$6*EXP(Ft!C$38*($A451-Ft!C$2)^2)),Ft!C$3*((1-Ft!C$7)/(1+Ft!C$39*($A451-Ft!C$2)^2)+Ft!C$7*EXP(Ft!C$40*($A451-Ft!C$2)^2)))</f>
        <v>56.263846539538427</v>
      </c>
      <c r="H451" s="3">
        <f>IF(($A451-Ft!D$2)&lt;0,Ft!D$3*((1-Ft!D$6)/(1+Ft!D$37*($A451-Ft!D$2)^2)+Ft!D$6*EXP(Ft!D$38*($A451-Ft!D$2)^2)),Ft!D$3*((1-Ft!D$7)/(1+Ft!D$39*($A451-Ft!D$2)^2)+Ft!D$7*EXP(Ft!D$40*($A451-Ft!D$2)^2)))</f>
        <v>4.7875075133338541E-65</v>
      </c>
      <c r="I451" s="3">
        <f>IF(($A451-Ft!E$2)&lt;0,Ft!E$3*((1-Ft!E$6)/(1+Ft!E$37*($A451-Ft!E$2)^2)+Ft!E$6*EXP(Ft!E$38*($A451-Ft!E$2)^2)),Ft!E$3*((1-Ft!E$7)/(1+Ft!E$39*($A451-Ft!E$2)^2)+Ft!E$7*EXP(Ft!E$40*($A451-Ft!E$2)^2)))</f>
        <v>88.533393347762185</v>
      </c>
      <c r="J451" s="3">
        <f>IF(($A451-Ft!F$2)&lt;0,Ft!F$3*((1-Ft!F$6)/(1+Ft!F$37*($A451-Ft!F$2)^2)+Ft!F$6*EXP(Ft!F$38*($A451-Ft!F$2)^2)),Ft!F$3*((1-Ft!F$7)/(1+Ft!F$39*($A451-Ft!F$2)^2)+Ft!F$7*EXP(Ft!F$40*($A451-Ft!F$2)^2)))</f>
        <v>88.883184843268737</v>
      </c>
      <c r="K451" s="3">
        <f>IF(($A451-Ft!G$2)&lt;0,Ft!G$3*((1-Ft!G$6)/(1+Ft!G$37*($A451-Ft!G$2)^2)+Ft!G$6*EXP(Ft!G$38*($A451-Ft!G$2)^2)),Ft!G$3*((1-Ft!G$7)/(1+Ft!G$39*($A451-Ft!G$2)^2)+Ft!G$7*EXP(Ft!G$40*($A451-Ft!G$2)^2)))</f>
        <v>1.0653500590111886</v>
      </c>
      <c r="L451" s="3">
        <f>IF(($A451-Ft!H$2)&lt;0,Ft!H$3*((1-Ft!H$6)/(1+Ft!H$37*($A451-Ft!H$2)^2)+Ft!H$6*EXP(Ft!H$38*($A451-Ft!H$2)^2)),Ft!H$3*((1-Ft!H$7)/(1+Ft!H$39*($A451-Ft!H$2)^2)+Ft!H$7*EXP(Ft!H$40*($A451-Ft!H$2)^2)))</f>
        <v>0</v>
      </c>
      <c r="M451" s="3">
        <f>IF(($A451-Ft!I$2)&lt;0,Ft!I$3*((1-Ft!I$6)/(1+Ft!I$37*($A451-Ft!I$2)^2)+Ft!I$6*EXP(Ft!I$38*($A451-Ft!I$2)^2)),Ft!I$3*((1-Ft!I$7)/(1+Ft!I$39*($A451-Ft!I$2)^2)+Ft!I$7*EXP(Ft!I$40*($A451-Ft!I$2)^2)))</f>
        <v>0</v>
      </c>
      <c r="N451" s="3">
        <f>IF(($A451-Ft!J$2)&lt;0,Ft!J$3*((1-Ft!J$6)/(1+Ft!J$37*($A451-Ft!J$2)^2)+Ft!J$6*EXP(Ft!J$38*($A451-Ft!J$2)^2)),Ft!J$3*((1-Ft!J$7)/(1+Ft!J$39*($A451-Ft!J$2)^2)+Ft!J$7*EXP(Ft!J$40*($A451-Ft!J$2)^2)))</f>
        <v>0</v>
      </c>
      <c r="O451" s="3">
        <f>IF(($A451-Ft!K$2)&lt;0,Ft!K$3*((1-Ft!K$6)/(1+Ft!K$37*($A451-Ft!K$2)^2)+Ft!K$6*EXP(Ft!K$38*($A451-Ft!K$2)^2)),Ft!K$3*((1-Ft!K$7)/(1+Ft!K$39*($A451-Ft!K$2)^2)+Ft!K$7*EXP(Ft!K$40*($A451-Ft!K$2)^2)))</f>
        <v>0</v>
      </c>
      <c r="P451"/>
      <c r="Q451"/>
    </row>
    <row r="452" spans="1:17">
      <c r="A452" s="20">
        <v>901</v>
      </c>
      <c r="B452" s="29">
        <v>43.348958697015263</v>
      </c>
      <c r="C452" s="7">
        <f t="shared" si="15"/>
        <v>43.522154610614095</v>
      </c>
      <c r="D452" s="3">
        <f t="shared" si="14"/>
        <v>2.9996824487334046E-2</v>
      </c>
      <c r="E452" s="3">
        <f>Ft!$B$12+Ft!$B$14*(Data!A452-Vars!$B$3)</f>
        <v>-200</v>
      </c>
      <c r="F452" s="3">
        <f>IF(($A452-Ft!B$2)&lt;0,Ft!B$3*((1-Ft!B$6)/(1+Ft!B$37*($A452-Ft!B$2)^2)+Ft!B$6*EXP(Ft!B$38*($A452-Ft!B$2)^2)),Ft!B$3*((1-Ft!B$7)/(1+Ft!B$39*($A452-Ft!B$2)^2)+Ft!B$7*EXP(Ft!B$40*($A452-Ft!B$2)^2)))</f>
        <v>8.9336056046488732</v>
      </c>
      <c r="G452" s="3">
        <f>IF(($A452-Ft!C$2)&lt;0,Ft!C$3*((1-Ft!C$6)/(1+Ft!C$37*($A452-Ft!C$2)^2)+Ft!C$6*EXP(Ft!C$38*($A452-Ft!C$2)^2)),Ft!C$3*((1-Ft!C$7)/(1+Ft!C$39*($A452-Ft!C$2)^2)+Ft!C$7*EXP(Ft!C$40*($A452-Ft!C$2)^2)))</f>
        <v>56.264383164308875</v>
      </c>
      <c r="H452" s="3">
        <f>IF(($A452-Ft!D$2)&lt;0,Ft!D$3*((1-Ft!D$6)/(1+Ft!D$37*($A452-Ft!D$2)^2)+Ft!D$6*EXP(Ft!D$38*($A452-Ft!D$2)^2)),Ft!D$3*((1-Ft!D$7)/(1+Ft!D$39*($A452-Ft!D$2)^2)+Ft!D$7*EXP(Ft!D$40*($A452-Ft!D$2)^2)))</f>
        <v>1.3262179993028535E-65</v>
      </c>
      <c r="I452" s="3">
        <f>IF(($A452-Ft!E$2)&lt;0,Ft!E$3*((1-Ft!E$6)/(1+Ft!E$37*($A452-Ft!E$2)^2)+Ft!E$6*EXP(Ft!E$38*($A452-Ft!E$2)^2)),Ft!E$3*((1-Ft!E$7)/(1+Ft!E$39*($A452-Ft!E$2)^2)+Ft!E$7*EXP(Ft!E$40*($A452-Ft!E$2)^2)))</f>
        <v>88.072230124062571</v>
      </c>
      <c r="J452" s="3">
        <f>IF(($A452-Ft!F$2)&lt;0,Ft!F$3*((1-Ft!F$6)/(1+Ft!F$37*($A452-Ft!F$2)^2)+Ft!F$6*EXP(Ft!F$38*($A452-Ft!F$2)^2)),Ft!F$3*((1-Ft!F$7)/(1+Ft!F$39*($A452-Ft!F$2)^2)+Ft!F$7*EXP(Ft!F$40*($A452-Ft!F$2)^2)))</f>
        <v>89.216262396539008</v>
      </c>
      <c r="K452" s="3">
        <f>IF(($A452-Ft!G$2)&lt;0,Ft!G$3*((1-Ft!G$6)/(1+Ft!G$37*($A452-Ft!G$2)^2)+Ft!G$6*EXP(Ft!G$38*($A452-Ft!G$2)^2)),Ft!G$3*((1-Ft!G$7)/(1+Ft!G$39*($A452-Ft!G$2)^2)+Ft!G$7*EXP(Ft!G$40*($A452-Ft!G$2)^2)))</f>
        <v>1.0356733210547757</v>
      </c>
      <c r="L452" s="3">
        <f>IF(($A452-Ft!H$2)&lt;0,Ft!H$3*((1-Ft!H$6)/(1+Ft!H$37*($A452-Ft!H$2)^2)+Ft!H$6*EXP(Ft!H$38*($A452-Ft!H$2)^2)),Ft!H$3*((1-Ft!H$7)/(1+Ft!H$39*($A452-Ft!H$2)^2)+Ft!H$7*EXP(Ft!H$40*($A452-Ft!H$2)^2)))</f>
        <v>0</v>
      </c>
      <c r="M452" s="3">
        <f>IF(($A452-Ft!I$2)&lt;0,Ft!I$3*((1-Ft!I$6)/(1+Ft!I$37*($A452-Ft!I$2)^2)+Ft!I$6*EXP(Ft!I$38*($A452-Ft!I$2)^2)),Ft!I$3*((1-Ft!I$7)/(1+Ft!I$39*($A452-Ft!I$2)^2)+Ft!I$7*EXP(Ft!I$40*($A452-Ft!I$2)^2)))</f>
        <v>0</v>
      </c>
      <c r="N452" s="3">
        <f>IF(($A452-Ft!J$2)&lt;0,Ft!J$3*((1-Ft!J$6)/(1+Ft!J$37*($A452-Ft!J$2)^2)+Ft!J$6*EXP(Ft!J$38*($A452-Ft!J$2)^2)),Ft!J$3*((1-Ft!J$7)/(1+Ft!J$39*($A452-Ft!J$2)^2)+Ft!J$7*EXP(Ft!J$40*($A452-Ft!J$2)^2)))</f>
        <v>0</v>
      </c>
      <c r="O452" s="3">
        <f>IF(($A452-Ft!K$2)&lt;0,Ft!K$3*((1-Ft!K$6)/(1+Ft!K$37*($A452-Ft!K$2)^2)+Ft!K$6*EXP(Ft!K$38*($A452-Ft!K$2)^2)),Ft!K$3*((1-Ft!K$7)/(1+Ft!K$39*($A452-Ft!K$2)^2)+Ft!K$7*EXP(Ft!K$40*($A452-Ft!K$2)^2)))</f>
        <v>0</v>
      </c>
      <c r="P452"/>
      <c r="Q452"/>
    </row>
    <row r="453" spans="1:17">
      <c r="A453" s="20">
        <v>903</v>
      </c>
      <c r="B453" s="29">
        <v>43.112050825814038</v>
      </c>
      <c r="C453" s="7">
        <f t="shared" si="15"/>
        <v>43.267246742162399</v>
      </c>
      <c r="D453" s="3">
        <f t="shared" si="14"/>
        <v>2.4085772451207653E-2</v>
      </c>
      <c r="E453" s="3">
        <f>Ft!$B$12+Ft!$B$14*(Data!A453-Vars!$B$3)</f>
        <v>-200</v>
      </c>
      <c r="F453" s="3">
        <f>IF(($A453-Ft!B$2)&lt;0,Ft!B$3*((1-Ft!B$6)/(1+Ft!B$37*($A453-Ft!B$2)^2)+Ft!B$6*EXP(Ft!B$38*($A453-Ft!B$2)^2)),Ft!B$3*((1-Ft!B$7)/(1+Ft!B$39*($A453-Ft!B$2)^2)+Ft!B$7*EXP(Ft!B$40*($A453-Ft!B$2)^2)))</f>
        <v>8.8383073653243454</v>
      </c>
      <c r="G453" s="3">
        <f>IF(($A453-Ft!C$2)&lt;0,Ft!C$3*((1-Ft!C$6)/(1+Ft!C$37*($A453-Ft!C$2)^2)+Ft!C$6*EXP(Ft!C$38*($A453-Ft!C$2)^2)),Ft!C$3*((1-Ft!C$7)/(1+Ft!C$39*($A453-Ft!C$2)^2)+Ft!C$7*EXP(Ft!C$40*($A453-Ft!C$2)^2)))</f>
        <v>56.264422652311026</v>
      </c>
      <c r="H453" s="3">
        <f>IF(($A453-Ft!D$2)&lt;0,Ft!D$3*((1-Ft!D$6)/(1+Ft!D$37*($A453-Ft!D$2)^2)+Ft!D$6*EXP(Ft!D$38*($A453-Ft!D$2)^2)),Ft!D$3*((1-Ft!D$7)/(1+Ft!D$39*($A453-Ft!D$2)^2)+Ft!D$7*EXP(Ft!D$40*($A453-Ft!D$2)^2)))</f>
        <v>3.6536290709432814E-66</v>
      </c>
      <c r="I453" s="3">
        <f>IF(($A453-Ft!E$2)&lt;0,Ft!E$3*((1-Ft!E$6)/(1+Ft!E$37*($A453-Ft!E$2)^2)+Ft!E$6*EXP(Ft!E$38*($A453-Ft!E$2)^2)),Ft!E$3*((1-Ft!E$7)/(1+Ft!E$39*($A453-Ft!E$2)^2)+Ft!E$7*EXP(Ft!E$40*($A453-Ft!E$2)^2)))</f>
        <v>87.608389257647062</v>
      </c>
      <c r="J453" s="3">
        <f>IF(($A453-Ft!F$2)&lt;0,Ft!F$3*((1-Ft!F$6)/(1+Ft!F$37*($A453-Ft!F$2)^2)+Ft!F$6*EXP(Ft!F$38*($A453-Ft!F$2)^2)),Ft!F$3*((1-Ft!F$7)/(1+Ft!F$39*($A453-Ft!F$2)^2)+Ft!F$7*EXP(Ft!F$40*($A453-Ft!F$2)^2)))</f>
        <v>89.549408700390458</v>
      </c>
      <c r="K453" s="3">
        <f>IF(($A453-Ft!G$2)&lt;0,Ft!G$3*((1-Ft!G$6)/(1+Ft!G$37*($A453-Ft!G$2)^2)+Ft!G$6*EXP(Ft!G$38*($A453-Ft!G$2)^2)),Ft!G$3*((1-Ft!G$7)/(1+Ft!G$39*($A453-Ft!G$2)^2)+Ft!G$7*EXP(Ft!G$40*($A453-Ft!G$2)^2)))</f>
        <v>1.0067187664895139</v>
      </c>
      <c r="L453" s="3">
        <f>IF(($A453-Ft!H$2)&lt;0,Ft!H$3*((1-Ft!H$6)/(1+Ft!H$37*($A453-Ft!H$2)^2)+Ft!H$6*EXP(Ft!H$38*($A453-Ft!H$2)^2)),Ft!H$3*((1-Ft!H$7)/(1+Ft!H$39*($A453-Ft!H$2)^2)+Ft!H$7*EXP(Ft!H$40*($A453-Ft!H$2)^2)))</f>
        <v>0</v>
      </c>
      <c r="M453" s="3">
        <f>IF(($A453-Ft!I$2)&lt;0,Ft!I$3*((1-Ft!I$6)/(1+Ft!I$37*($A453-Ft!I$2)^2)+Ft!I$6*EXP(Ft!I$38*($A453-Ft!I$2)^2)),Ft!I$3*((1-Ft!I$7)/(1+Ft!I$39*($A453-Ft!I$2)^2)+Ft!I$7*EXP(Ft!I$40*($A453-Ft!I$2)^2)))</f>
        <v>0</v>
      </c>
      <c r="N453" s="3">
        <f>IF(($A453-Ft!J$2)&lt;0,Ft!J$3*((1-Ft!J$6)/(1+Ft!J$37*($A453-Ft!J$2)^2)+Ft!J$6*EXP(Ft!J$38*($A453-Ft!J$2)^2)),Ft!J$3*((1-Ft!J$7)/(1+Ft!J$39*($A453-Ft!J$2)^2)+Ft!J$7*EXP(Ft!J$40*($A453-Ft!J$2)^2)))</f>
        <v>0</v>
      </c>
      <c r="O453" s="3">
        <f>IF(($A453-Ft!K$2)&lt;0,Ft!K$3*((1-Ft!K$6)/(1+Ft!K$37*($A453-Ft!K$2)^2)+Ft!K$6*EXP(Ft!K$38*($A453-Ft!K$2)^2)),Ft!K$3*((1-Ft!K$7)/(1+Ft!K$39*($A453-Ft!K$2)^2)+Ft!K$7*EXP(Ft!K$40*($A453-Ft!K$2)^2)))</f>
        <v>0</v>
      </c>
      <c r="P453"/>
      <c r="Q453"/>
    </row>
    <row r="454" spans="1:17">
      <c r="A454" s="20">
        <v>905</v>
      </c>
      <c r="B454" s="29">
        <v>42.873656907939662</v>
      </c>
      <c r="C454" s="7">
        <f t="shared" si="15"/>
        <v>43.010849665579208</v>
      </c>
      <c r="D454" s="3">
        <f t="shared" si="14"/>
        <v>1.8821852748743321E-2</v>
      </c>
      <c r="E454" s="3">
        <f>Ft!$B$12+Ft!$B$14*(Data!A454-Vars!$B$3)</f>
        <v>-200</v>
      </c>
      <c r="F454" s="3">
        <f>IF(($A454-Ft!B$2)&lt;0,Ft!B$3*((1-Ft!B$6)/(1+Ft!B$37*($A454-Ft!B$2)^2)+Ft!B$6*EXP(Ft!B$38*($A454-Ft!B$2)^2)),Ft!B$3*((1-Ft!B$7)/(1+Ft!B$39*($A454-Ft!B$2)^2)+Ft!B$7*EXP(Ft!B$40*($A454-Ft!B$2)^2)))</f>
        <v>8.7438588159245949</v>
      </c>
      <c r="G454" s="3">
        <f>IF(($A454-Ft!C$2)&lt;0,Ft!C$3*((1-Ft!C$6)/(1+Ft!C$37*($A454-Ft!C$2)^2)+Ft!C$6*EXP(Ft!C$38*($A454-Ft!C$2)^2)),Ft!C$3*((1-Ft!C$7)/(1+Ft!C$39*($A454-Ft!C$2)^2)+Ft!C$7*EXP(Ft!C$40*($A454-Ft!C$2)^2)))</f>
        <v>56.263965002498182</v>
      </c>
      <c r="H454" s="3">
        <f>IF(($A454-Ft!D$2)&lt;0,Ft!D$3*((1-Ft!D$6)/(1+Ft!D$37*($A454-Ft!D$2)^2)+Ft!D$6*EXP(Ft!D$38*($A454-Ft!D$2)^2)),Ft!D$3*((1-Ft!D$7)/(1+Ft!D$39*($A454-Ft!D$2)^2)+Ft!D$7*EXP(Ft!D$40*($A454-Ft!D$2)^2)))</f>
        <v>1.0010092199108427E-66</v>
      </c>
      <c r="I454" s="3">
        <f>IF(($A454-Ft!E$2)&lt;0,Ft!E$3*((1-Ft!E$6)/(1+Ft!E$37*($A454-Ft!E$2)^2)+Ft!E$6*EXP(Ft!E$38*($A454-Ft!E$2)^2)),Ft!E$3*((1-Ft!E$7)/(1+Ft!E$39*($A454-Ft!E$2)^2)+Ft!E$7*EXP(Ft!E$40*($A454-Ft!E$2)^2)))</f>
        <v>87.141938495668256</v>
      </c>
      <c r="J454" s="3">
        <f>IF(($A454-Ft!F$2)&lt;0,Ft!F$3*((1-Ft!F$6)/(1+Ft!F$37*($A454-Ft!F$2)^2)+Ft!F$6*EXP(Ft!F$38*($A454-Ft!F$2)^2)),Ft!F$3*((1-Ft!F$7)/(1+Ft!F$39*($A454-Ft!F$2)^2)+Ft!F$7*EXP(Ft!F$40*($A454-Ft!F$2)^2)))</f>
        <v>89.88261521986179</v>
      </c>
      <c r="K454" s="3">
        <f>IF(($A454-Ft!G$2)&lt;0,Ft!G$3*((1-Ft!G$6)/(1+Ft!G$37*($A454-Ft!G$2)^2)+Ft!G$6*EXP(Ft!G$38*($A454-Ft!G$2)^2)),Ft!G$3*((1-Ft!G$7)/(1+Ft!G$39*($A454-Ft!G$2)^2)+Ft!G$7*EXP(Ft!G$40*($A454-Ft!G$2)^2)))</f>
        <v>0.97847213162639701</v>
      </c>
      <c r="L454" s="3">
        <f>IF(($A454-Ft!H$2)&lt;0,Ft!H$3*((1-Ft!H$6)/(1+Ft!H$37*($A454-Ft!H$2)^2)+Ft!H$6*EXP(Ft!H$38*($A454-Ft!H$2)^2)),Ft!H$3*((1-Ft!H$7)/(1+Ft!H$39*($A454-Ft!H$2)^2)+Ft!H$7*EXP(Ft!H$40*($A454-Ft!H$2)^2)))</f>
        <v>0</v>
      </c>
      <c r="M454" s="3">
        <f>IF(($A454-Ft!I$2)&lt;0,Ft!I$3*((1-Ft!I$6)/(1+Ft!I$37*($A454-Ft!I$2)^2)+Ft!I$6*EXP(Ft!I$38*($A454-Ft!I$2)^2)),Ft!I$3*((1-Ft!I$7)/(1+Ft!I$39*($A454-Ft!I$2)^2)+Ft!I$7*EXP(Ft!I$40*($A454-Ft!I$2)^2)))</f>
        <v>0</v>
      </c>
      <c r="N454" s="3">
        <f>IF(($A454-Ft!J$2)&lt;0,Ft!J$3*((1-Ft!J$6)/(1+Ft!J$37*($A454-Ft!J$2)^2)+Ft!J$6*EXP(Ft!J$38*($A454-Ft!J$2)^2)),Ft!J$3*((1-Ft!J$7)/(1+Ft!J$39*($A454-Ft!J$2)^2)+Ft!J$7*EXP(Ft!J$40*($A454-Ft!J$2)^2)))</f>
        <v>0</v>
      </c>
      <c r="O454" s="3">
        <f>IF(($A454-Ft!K$2)&lt;0,Ft!K$3*((1-Ft!K$6)/(1+Ft!K$37*($A454-Ft!K$2)^2)+Ft!K$6*EXP(Ft!K$38*($A454-Ft!K$2)^2)),Ft!K$3*((1-Ft!K$7)/(1+Ft!K$39*($A454-Ft!K$2)^2)+Ft!K$7*EXP(Ft!K$40*($A454-Ft!K$2)^2)))</f>
        <v>0</v>
      </c>
      <c r="P454"/>
      <c r="Q454"/>
    </row>
    <row r="455" spans="1:17">
      <c r="A455" s="20">
        <v>907</v>
      </c>
      <c r="B455" s="29">
        <v>42.633795718310267</v>
      </c>
      <c r="C455" s="7">
        <f t="shared" si="15"/>
        <v>42.753003089581476</v>
      </c>
      <c r="D455" s="3">
        <f t="shared" si="14"/>
        <v>1.42103973653918E-2</v>
      </c>
      <c r="E455" s="3">
        <f>Ft!$B$12+Ft!$B$14*(Data!A455-Vars!$B$3)</f>
        <v>-200</v>
      </c>
      <c r="F455" s="3">
        <f>IF(($A455-Ft!B$2)&lt;0,Ft!B$3*((1-Ft!B$6)/(1+Ft!B$37*($A455-Ft!B$2)^2)+Ft!B$6*EXP(Ft!B$38*($A455-Ft!B$2)^2)),Ft!B$3*((1-Ft!B$7)/(1+Ft!B$39*($A455-Ft!B$2)^2)+Ft!B$7*EXP(Ft!B$40*($A455-Ft!B$2)^2)))</f>
        <v>8.6502544625647904</v>
      </c>
      <c r="G455" s="3">
        <f>IF(($A455-Ft!C$2)&lt;0,Ft!C$3*((1-Ft!C$6)/(1+Ft!C$37*($A455-Ft!C$2)^2)+Ft!C$6*EXP(Ft!C$38*($A455-Ft!C$2)^2)),Ft!C$3*((1-Ft!C$7)/(1+Ft!C$39*($A455-Ft!C$2)^2)+Ft!C$7*EXP(Ft!C$40*($A455-Ft!C$2)^2)))</f>
        <v>56.263010227001303</v>
      </c>
      <c r="H455" s="3">
        <f>IF(($A455-Ft!D$2)&lt;0,Ft!D$3*((1-Ft!D$6)/(1+Ft!D$37*($A455-Ft!D$2)^2)+Ft!D$6*EXP(Ft!D$38*($A455-Ft!D$2)^2)),Ft!D$3*((1-Ft!D$7)/(1+Ft!D$39*($A455-Ft!D$2)^2)+Ft!D$7*EXP(Ft!D$40*($A455-Ft!D$2)^2)))</f>
        <v>2.7274436592420759E-67</v>
      </c>
      <c r="I455" s="3">
        <f>IF(($A455-Ft!E$2)&lt;0,Ft!E$3*((1-Ft!E$6)/(1+Ft!E$37*($A455-Ft!E$2)^2)+Ft!E$6*EXP(Ft!E$38*($A455-Ft!E$2)^2)),Ft!E$3*((1-Ft!E$7)/(1+Ft!E$39*($A455-Ft!E$2)^2)+Ft!E$7*EXP(Ft!E$40*($A455-Ft!E$2)^2)))</f>
        <v>86.672945679291217</v>
      </c>
      <c r="J455" s="3">
        <f>IF(($A455-Ft!F$2)&lt;0,Ft!F$3*((1-Ft!F$6)/(1+Ft!F$37*($A455-Ft!F$2)^2)+Ft!F$6*EXP(Ft!F$38*($A455-Ft!F$2)^2)),Ft!F$3*((1-Ft!F$7)/(1+Ft!F$39*($A455-Ft!F$2)^2)+Ft!F$7*EXP(Ft!F$40*($A455-Ft!F$2)^2)))</f>
        <v>90.215873385793813</v>
      </c>
      <c r="K455" s="3">
        <f>IF(($A455-Ft!G$2)&lt;0,Ft!G$3*((1-Ft!G$6)/(1+Ft!G$37*($A455-Ft!G$2)^2)+Ft!G$6*EXP(Ft!G$38*($A455-Ft!G$2)^2)),Ft!G$3*((1-Ft!G$7)/(1+Ft!G$39*($A455-Ft!G$2)^2)+Ft!G$7*EXP(Ft!G$40*($A455-Ft!G$2)^2)))</f>
        <v>0.95091933493035752</v>
      </c>
      <c r="L455" s="3">
        <f>IF(($A455-Ft!H$2)&lt;0,Ft!H$3*((1-Ft!H$6)/(1+Ft!H$37*($A455-Ft!H$2)^2)+Ft!H$6*EXP(Ft!H$38*($A455-Ft!H$2)^2)),Ft!H$3*((1-Ft!H$7)/(1+Ft!H$39*($A455-Ft!H$2)^2)+Ft!H$7*EXP(Ft!H$40*($A455-Ft!H$2)^2)))</f>
        <v>0</v>
      </c>
      <c r="M455" s="3">
        <f>IF(($A455-Ft!I$2)&lt;0,Ft!I$3*((1-Ft!I$6)/(1+Ft!I$37*($A455-Ft!I$2)^2)+Ft!I$6*EXP(Ft!I$38*($A455-Ft!I$2)^2)),Ft!I$3*((1-Ft!I$7)/(1+Ft!I$39*($A455-Ft!I$2)^2)+Ft!I$7*EXP(Ft!I$40*($A455-Ft!I$2)^2)))</f>
        <v>0</v>
      </c>
      <c r="N455" s="3">
        <f>IF(($A455-Ft!J$2)&lt;0,Ft!J$3*((1-Ft!J$6)/(1+Ft!J$37*($A455-Ft!J$2)^2)+Ft!J$6*EXP(Ft!J$38*($A455-Ft!J$2)^2)),Ft!J$3*((1-Ft!J$7)/(1+Ft!J$39*($A455-Ft!J$2)^2)+Ft!J$7*EXP(Ft!J$40*($A455-Ft!J$2)^2)))</f>
        <v>0</v>
      </c>
      <c r="O455" s="3">
        <f>IF(($A455-Ft!K$2)&lt;0,Ft!K$3*((1-Ft!K$6)/(1+Ft!K$37*($A455-Ft!K$2)^2)+Ft!K$6*EXP(Ft!K$38*($A455-Ft!K$2)^2)),Ft!K$3*((1-Ft!K$7)/(1+Ft!K$39*($A455-Ft!K$2)^2)+Ft!K$7*EXP(Ft!K$40*($A455-Ft!K$2)^2)))</f>
        <v>0</v>
      </c>
      <c r="P455"/>
      <c r="Q455"/>
    </row>
    <row r="456" spans="1:17">
      <c r="A456" s="20">
        <v>909</v>
      </c>
      <c r="B456" s="29">
        <v>42.392487145782098</v>
      </c>
      <c r="C456" s="7">
        <f t="shared" si="15"/>
        <v>42.493746973499242</v>
      </c>
      <c r="D456" s="3">
        <f t="shared" si="14"/>
        <v>1.0253552709305579E-2</v>
      </c>
      <c r="E456" s="3">
        <f>Ft!$B$12+Ft!$B$14*(Data!A456-Vars!$B$3)</f>
        <v>-200</v>
      </c>
      <c r="F456" s="3">
        <f>IF(($A456-Ft!B$2)&lt;0,Ft!B$3*((1-Ft!B$6)/(1+Ft!B$37*($A456-Ft!B$2)^2)+Ft!B$6*EXP(Ft!B$38*($A456-Ft!B$2)^2)),Ft!B$3*((1-Ft!B$7)/(1+Ft!B$39*($A456-Ft!B$2)^2)+Ft!B$7*EXP(Ft!B$40*($A456-Ft!B$2)^2)))</f>
        <v>8.5574888220414813</v>
      </c>
      <c r="G456" s="3">
        <f>IF(($A456-Ft!C$2)&lt;0,Ft!C$3*((1-Ft!C$6)/(1+Ft!C$37*($A456-Ft!C$2)^2)+Ft!C$6*EXP(Ft!C$38*($A456-Ft!C$2)^2)),Ft!C$3*((1-Ft!C$7)/(1+Ft!C$39*($A456-Ft!C$2)^2)+Ft!C$7*EXP(Ft!C$40*($A456-Ft!C$2)^2)))</f>
        <v>56.261558351128571</v>
      </c>
      <c r="H456" s="3">
        <f>IF(($A456-Ft!D$2)&lt;0,Ft!D$3*((1-Ft!D$6)/(1+Ft!D$37*($A456-Ft!D$2)^2)+Ft!D$6*EXP(Ft!D$38*($A456-Ft!D$2)^2)),Ft!D$3*((1-Ft!D$7)/(1+Ft!D$39*($A456-Ft!D$2)^2)+Ft!D$7*EXP(Ft!D$40*($A456-Ft!D$2)^2)))</f>
        <v>7.3905640602479664E-68</v>
      </c>
      <c r="I456" s="3">
        <f>IF(($A456-Ft!E$2)&lt;0,Ft!E$3*((1-Ft!E$6)/(1+Ft!E$37*($A456-Ft!E$2)^2)+Ft!E$6*EXP(Ft!E$38*($A456-Ft!E$2)^2)),Ft!E$3*((1-Ft!E$7)/(1+Ft!E$39*($A456-Ft!E$2)^2)+Ft!E$7*EXP(Ft!E$40*($A456-Ft!E$2)^2)))</f>
        <v>86.201478727501438</v>
      </c>
      <c r="J456" s="3">
        <f>IF(($A456-Ft!F$2)&lt;0,Ft!F$3*((1-Ft!F$6)/(1+Ft!F$37*($A456-Ft!F$2)^2)+Ft!F$6*EXP(Ft!F$38*($A456-Ft!F$2)^2)),Ft!F$3*((1-Ft!F$7)/(1+Ft!F$39*($A456-Ft!F$2)^2)+Ft!F$7*EXP(Ft!F$40*($A456-Ft!F$2)^2)))</f>
        <v>90.549174595154483</v>
      </c>
      <c r="K456" s="3">
        <f>IF(($A456-Ft!G$2)&lt;0,Ft!G$3*((1-Ft!G$6)/(1+Ft!G$37*($A456-Ft!G$2)^2)+Ft!G$6*EXP(Ft!G$38*($A456-Ft!G$2)^2)),Ft!G$3*((1-Ft!G$7)/(1+Ft!G$39*($A456-Ft!G$2)^2)+Ft!G$7*EXP(Ft!G$40*($A456-Ft!G$2)^2)))</f>
        <v>0.92404647767327286</v>
      </c>
      <c r="L456" s="3">
        <f>IF(($A456-Ft!H$2)&lt;0,Ft!H$3*((1-Ft!H$6)/(1+Ft!H$37*($A456-Ft!H$2)^2)+Ft!H$6*EXP(Ft!H$38*($A456-Ft!H$2)^2)),Ft!H$3*((1-Ft!H$7)/(1+Ft!H$39*($A456-Ft!H$2)^2)+Ft!H$7*EXP(Ft!H$40*($A456-Ft!H$2)^2)))</f>
        <v>0</v>
      </c>
      <c r="M456" s="3">
        <f>IF(($A456-Ft!I$2)&lt;0,Ft!I$3*((1-Ft!I$6)/(1+Ft!I$37*($A456-Ft!I$2)^2)+Ft!I$6*EXP(Ft!I$38*($A456-Ft!I$2)^2)),Ft!I$3*((1-Ft!I$7)/(1+Ft!I$39*($A456-Ft!I$2)^2)+Ft!I$7*EXP(Ft!I$40*($A456-Ft!I$2)^2)))</f>
        <v>0</v>
      </c>
      <c r="N456" s="3">
        <f>IF(($A456-Ft!J$2)&lt;0,Ft!J$3*((1-Ft!J$6)/(1+Ft!J$37*($A456-Ft!J$2)^2)+Ft!J$6*EXP(Ft!J$38*($A456-Ft!J$2)^2)),Ft!J$3*((1-Ft!J$7)/(1+Ft!J$39*($A456-Ft!J$2)^2)+Ft!J$7*EXP(Ft!J$40*($A456-Ft!J$2)^2)))</f>
        <v>0</v>
      </c>
      <c r="O456" s="3">
        <f>IF(($A456-Ft!K$2)&lt;0,Ft!K$3*((1-Ft!K$6)/(1+Ft!K$37*($A456-Ft!K$2)^2)+Ft!K$6*EXP(Ft!K$38*($A456-Ft!K$2)^2)),Ft!K$3*((1-Ft!K$7)/(1+Ft!K$39*($A456-Ft!K$2)^2)+Ft!K$7*EXP(Ft!K$40*($A456-Ft!K$2)^2)))</f>
        <v>0</v>
      </c>
      <c r="P456"/>
      <c r="Q456"/>
    </row>
    <row r="457" spans="1:17">
      <c r="A457" s="20">
        <v>911</v>
      </c>
      <c r="B457" s="29">
        <v>42.149752049936254</v>
      </c>
      <c r="C457" s="7">
        <f t="shared" si="15"/>
        <v>42.233121512318306</v>
      </c>
      <c r="D457" s="3">
        <f t="shared" si="14"/>
        <v>6.950467257872385E-3</v>
      </c>
      <c r="E457" s="3">
        <f>Ft!$B$12+Ft!$B$14*(Data!A457-Vars!$B$3)</f>
        <v>-200</v>
      </c>
      <c r="F457" s="3">
        <f>IF(($A457-Ft!B$2)&lt;0,Ft!B$3*((1-Ft!B$6)/(1+Ft!B$37*($A457-Ft!B$2)^2)+Ft!B$6*EXP(Ft!B$38*($A457-Ft!B$2)^2)),Ft!B$3*((1-Ft!B$7)/(1+Ft!B$39*($A457-Ft!B$2)^2)+Ft!B$7*EXP(Ft!B$40*($A457-Ft!B$2)^2)))</f>
        <v>8.4655564221346324</v>
      </c>
      <c r="G457" s="3">
        <f>IF(($A457-Ft!C$2)&lt;0,Ft!C$3*((1-Ft!C$6)/(1+Ft!C$37*($A457-Ft!C$2)^2)+Ft!C$6*EXP(Ft!C$38*($A457-Ft!C$2)^2)),Ft!C$3*((1-Ft!C$7)/(1+Ft!C$39*($A457-Ft!C$2)^2)+Ft!C$7*EXP(Ft!C$40*($A457-Ft!C$2)^2)))</f>
        <v>56.259609413364167</v>
      </c>
      <c r="H457" s="3">
        <f>IF(($A457-Ft!D$2)&lt;0,Ft!D$3*((1-Ft!D$6)/(1+Ft!D$37*($A457-Ft!D$2)^2)+Ft!D$6*EXP(Ft!D$38*($A457-Ft!D$2)^2)),Ft!D$3*((1-Ft!D$7)/(1+Ft!D$39*($A457-Ft!D$2)^2)+Ft!D$7*EXP(Ft!D$40*($A457-Ft!D$2)^2)))</f>
        <v>1.9916062038365775E-68</v>
      </c>
      <c r="I457" s="3">
        <f>IF(($A457-Ft!E$2)&lt;0,Ft!E$3*((1-Ft!E$6)/(1+Ft!E$37*($A457-Ft!E$2)^2)+Ft!E$6*EXP(Ft!E$38*($A457-Ft!E$2)^2)),Ft!E$3*((1-Ft!E$7)/(1+Ft!E$39*($A457-Ft!E$2)^2)+Ft!E$7*EXP(Ft!E$40*($A457-Ft!E$2)^2)))</f>
        <v>85.727605620976973</v>
      </c>
      <c r="J457" s="3">
        <f>IF(($A457-Ft!F$2)&lt;0,Ft!F$3*((1-Ft!F$6)/(1+Ft!F$37*($A457-Ft!F$2)^2)+Ft!F$6*EXP(Ft!F$38*($A457-Ft!F$2)^2)),Ft!F$3*((1-Ft!F$7)/(1+Ft!F$39*($A457-Ft!F$2)^2)+Ft!F$7*EXP(Ft!F$40*($A457-Ft!F$2)^2)))</f>
        <v>90.882510211367475</v>
      </c>
      <c r="K457" s="3">
        <f>IF(($A457-Ft!G$2)&lt;0,Ft!G$3*((1-Ft!G$6)/(1+Ft!G$37*($A457-Ft!G$2)^2)+Ft!G$6*EXP(Ft!G$38*($A457-Ft!G$2)^2)),Ft!G$3*((1-Ft!G$7)/(1+Ft!G$39*($A457-Ft!G$2)^2)+Ft!G$7*EXP(Ft!G$40*($A457-Ft!G$2)^2)))</f>
        <v>0.89783984447507537</v>
      </c>
      <c r="L457" s="3">
        <f>IF(($A457-Ft!H$2)&lt;0,Ft!H$3*((1-Ft!H$6)/(1+Ft!H$37*($A457-Ft!H$2)^2)+Ft!H$6*EXP(Ft!H$38*($A457-Ft!H$2)^2)),Ft!H$3*((1-Ft!H$7)/(1+Ft!H$39*($A457-Ft!H$2)^2)+Ft!H$7*EXP(Ft!H$40*($A457-Ft!H$2)^2)))</f>
        <v>0</v>
      </c>
      <c r="M457" s="3">
        <f>IF(($A457-Ft!I$2)&lt;0,Ft!I$3*((1-Ft!I$6)/(1+Ft!I$37*($A457-Ft!I$2)^2)+Ft!I$6*EXP(Ft!I$38*($A457-Ft!I$2)^2)),Ft!I$3*((1-Ft!I$7)/(1+Ft!I$39*($A457-Ft!I$2)^2)+Ft!I$7*EXP(Ft!I$40*($A457-Ft!I$2)^2)))</f>
        <v>0</v>
      </c>
      <c r="N457" s="3">
        <f>IF(($A457-Ft!J$2)&lt;0,Ft!J$3*((1-Ft!J$6)/(1+Ft!J$37*($A457-Ft!J$2)^2)+Ft!J$6*EXP(Ft!J$38*($A457-Ft!J$2)^2)),Ft!J$3*((1-Ft!J$7)/(1+Ft!J$39*($A457-Ft!J$2)^2)+Ft!J$7*EXP(Ft!J$40*($A457-Ft!J$2)^2)))</f>
        <v>0</v>
      </c>
      <c r="O457" s="3">
        <f>IF(($A457-Ft!K$2)&lt;0,Ft!K$3*((1-Ft!K$6)/(1+Ft!K$37*($A457-Ft!K$2)^2)+Ft!K$6*EXP(Ft!K$38*($A457-Ft!K$2)^2)),Ft!K$3*((1-Ft!K$7)/(1+Ft!K$39*($A457-Ft!K$2)^2)+Ft!K$7*EXP(Ft!K$40*($A457-Ft!K$2)^2)))</f>
        <v>0</v>
      </c>
      <c r="P457"/>
      <c r="Q457"/>
    </row>
    <row r="458" spans="1:17">
      <c r="A458" s="20">
        <v>913</v>
      </c>
      <c r="B458" s="29">
        <v>41.905612136735485</v>
      </c>
      <c r="C458" s="7">
        <f t="shared" si="15"/>
        <v>41.971167121681788</v>
      </c>
      <c r="D458" s="3">
        <f t="shared" si="14"/>
        <v>4.2974560513099934E-3</v>
      </c>
      <c r="E458" s="3">
        <f>Ft!$B$12+Ft!$B$14*(Data!A458-Vars!$B$3)</f>
        <v>-200</v>
      </c>
      <c r="F458" s="3">
        <f>IF(($A458-Ft!B$2)&lt;0,Ft!B$3*((1-Ft!B$6)/(1+Ft!B$37*($A458-Ft!B$2)^2)+Ft!B$6*EXP(Ft!B$38*($A458-Ft!B$2)^2)),Ft!B$3*((1-Ft!B$7)/(1+Ft!B$39*($A458-Ft!B$2)^2)+Ft!B$7*EXP(Ft!B$40*($A458-Ft!B$2)^2)))</f>
        <v>8.3744518019053658</v>
      </c>
      <c r="G458" s="3">
        <f>IF(($A458-Ft!C$2)&lt;0,Ft!C$3*((1-Ft!C$6)/(1+Ft!C$37*($A458-Ft!C$2)^2)+Ft!C$6*EXP(Ft!C$38*($A458-Ft!C$2)^2)),Ft!C$3*((1-Ft!C$7)/(1+Ft!C$39*($A458-Ft!C$2)^2)+Ft!C$7*EXP(Ft!C$40*($A458-Ft!C$2)^2)))</f>
        <v>56.257163465366652</v>
      </c>
      <c r="H458" s="3">
        <f>IF(($A458-Ft!D$2)&lt;0,Ft!D$3*((1-Ft!D$6)/(1+Ft!D$37*($A458-Ft!D$2)^2)+Ft!D$6*EXP(Ft!D$38*($A458-Ft!D$2)^2)),Ft!D$3*((1-Ft!D$7)/(1+Ft!D$39*($A458-Ft!D$2)^2)+Ft!D$7*EXP(Ft!D$40*($A458-Ft!D$2)^2)))</f>
        <v>5.3374453607422378E-69</v>
      </c>
      <c r="I458" s="3">
        <f>IF(($A458-Ft!E$2)&lt;0,Ft!E$3*((1-Ft!E$6)/(1+Ft!E$37*($A458-Ft!E$2)^2)+Ft!E$6*EXP(Ft!E$38*($A458-Ft!E$2)^2)),Ft!E$3*((1-Ft!E$7)/(1+Ft!E$39*($A458-Ft!E$2)^2)+Ft!E$7*EXP(Ft!E$40*($A458-Ft!E$2)^2)))</f>
        <v>85.251394386030015</v>
      </c>
      <c r="J458" s="3">
        <f>IF(($A458-Ft!F$2)&lt;0,Ft!F$3*((1-Ft!F$6)/(1+Ft!F$37*($A458-Ft!F$2)^2)+Ft!F$6*EXP(Ft!F$38*($A458-Ft!F$2)^2)),Ft!F$3*((1-Ft!F$7)/(1+Ft!F$39*($A458-Ft!F$2)^2)+Ft!F$7*EXP(Ft!F$40*($A458-Ft!F$2)^2)))</f>
        <v>91.215871564643933</v>
      </c>
      <c r="K458" s="3">
        <f>IF(($A458-Ft!G$2)&lt;0,Ft!G$3*((1-Ft!G$6)/(1+Ft!G$37*($A458-Ft!G$2)^2)+Ft!G$6*EXP(Ft!G$38*($A458-Ft!G$2)^2)),Ft!G$3*((1-Ft!G$7)/(1+Ft!G$39*($A458-Ft!G$2)^2)+Ft!G$7*EXP(Ft!G$40*($A458-Ft!G$2)^2)))</f>
        <v>0.87228590373581283</v>
      </c>
      <c r="L458" s="3">
        <f>IF(($A458-Ft!H$2)&lt;0,Ft!H$3*((1-Ft!H$6)/(1+Ft!H$37*($A458-Ft!H$2)^2)+Ft!H$6*EXP(Ft!H$38*($A458-Ft!H$2)^2)),Ft!H$3*((1-Ft!H$7)/(1+Ft!H$39*($A458-Ft!H$2)^2)+Ft!H$7*EXP(Ft!H$40*($A458-Ft!H$2)^2)))</f>
        <v>0</v>
      </c>
      <c r="M458" s="3">
        <f>IF(($A458-Ft!I$2)&lt;0,Ft!I$3*((1-Ft!I$6)/(1+Ft!I$37*($A458-Ft!I$2)^2)+Ft!I$6*EXP(Ft!I$38*($A458-Ft!I$2)^2)),Ft!I$3*((1-Ft!I$7)/(1+Ft!I$39*($A458-Ft!I$2)^2)+Ft!I$7*EXP(Ft!I$40*($A458-Ft!I$2)^2)))</f>
        <v>0</v>
      </c>
      <c r="N458" s="3">
        <f>IF(($A458-Ft!J$2)&lt;0,Ft!J$3*((1-Ft!J$6)/(1+Ft!J$37*($A458-Ft!J$2)^2)+Ft!J$6*EXP(Ft!J$38*($A458-Ft!J$2)^2)),Ft!J$3*((1-Ft!J$7)/(1+Ft!J$39*($A458-Ft!J$2)^2)+Ft!J$7*EXP(Ft!J$40*($A458-Ft!J$2)^2)))</f>
        <v>0</v>
      </c>
      <c r="O458" s="3">
        <f>IF(($A458-Ft!K$2)&lt;0,Ft!K$3*((1-Ft!K$6)/(1+Ft!K$37*($A458-Ft!K$2)^2)+Ft!K$6*EXP(Ft!K$38*($A458-Ft!K$2)^2)),Ft!K$3*((1-Ft!K$7)/(1+Ft!K$39*($A458-Ft!K$2)^2)+Ft!K$7*EXP(Ft!K$40*($A458-Ft!K$2)^2)))</f>
        <v>0</v>
      </c>
      <c r="P458"/>
      <c r="Q458"/>
    </row>
    <row r="459" spans="1:17">
      <c r="A459" s="20">
        <v>915</v>
      </c>
      <c r="B459" s="29">
        <v>41.660089851212007</v>
      </c>
      <c r="C459" s="7">
        <f t="shared" si="15"/>
        <v>41.707924422858454</v>
      </c>
      <c r="D459" s="3">
        <f t="shared" si="14"/>
        <v>2.2881462445991135E-3</v>
      </c>
      <c r="E459" s="3">
        <f>Ft!$B$12+Ft!$B$14*(Data!A459-Vars!$B$3)</f>
        <v>-200</v>
      </c>
      <c r="F459" s="3">
        <f>IF(($A459-Ft!B$2)&lt;0,Ft!B$3*((1-Ft!B$6)/(1+Ft!B$37*($A459-Ft!B$2)^2)+Ft!B$6*EXP(Ft!B$38*($A459-Ft!B$2)^2)),Ft!B$3*((1-Ft!B$7)/(1+Ft!B$39*($A459-Ft!B$2)^2)+Ft!B$7*EXP(Ft!B$40*($A459-Ft!B$2)^2)))</f>
        <v>8.2841695119894379</v>
      </c>
      <c r="G459" s="3">
        <f>IF(($A459-Ft!C$2)&lt;0,Ft!C$3*((1-Ft!C$6)/(1+Ft!C$37*($A459-Ft!C$2)^2)+Ft!C$6*EXP(Ft!C$38*($A459-Ft!C$2)^2)),Ft!C$3*((1-Ft!C$7)/(1+Ft!C$39*($A459-Ft!C$2)^2)+Ft!C$7*EXP(Ft!C$40*($A459-Ft!C$2)^2)))</f>
        <v>56.254220571966634</v>
      </c>
      <c r="H459" s="3">
        <f>IF(($A459-Ft!D$2)&lt;0,Ft!D$3*((1-Ft!D$6)/(1+Ft!D$37*($A459-Ft!D$2)^2)+Ft!D$6*EXP(Ft!D$38*($A459-Ft!D$2)^2)),Ft!D$3*((1-Ft!D$7)/(1+Ft!D$39*($A459-Ft!D$2)^2)+Ft!D$7*EXP(Ft!D$40*($A459-Ft!D$2)^2)))</f>
        <v>1.4225498724641948E-69</v>
      </c>
      <c r="I459" s="3">
        <f>IF(($A459-Ft!E$2)&lt;0,Ft!E$3*((1-Ft!E$6)/(1+Ft!E$37*($A459-Ft!E$2)^2)+Ft!E$6*EXP(Ft!E$38*($A459-Ft!E$2)^2)),Ft!E$3*((1-Ft!E$7)/(1+Ft!E$39*($A459-Ft!E$2)^2)+Ft!E$7*EXP(Ft!E$40*($A459-Ft!E$2)^2)))</f>
        <v>84.772913078623091</v>
      </c>
      <c r="J459" s="3">
        <f>IF(($A459-Ft!F$2)&lt;0,Ft!F$3*((1-Ft!F$6)/(1+Ft!F$37*($A459-Ft!F$2)^2)+Ft!F$6*EXP(Ft!F$38*($A459-Ft!F$2)^2)),Ft!F$3*((1-Ft!F$7)/(1+Ft!F$39*($A459-Ft!F$2)^2)+Ft!F$7*EXP(Ft!F$40*($A459-Ft!F$2)^2)))</f>
        <v>91.549249952317837</v>
      </c>
      <c r="K459" s="3">
        <f>IF(($A459-Ft!G$2)&lt;0,Ft!G$3*((1-Ft!G$6)/(1+Ft!G$37*($A459-Ft!G$2)^2)+Ft!G$6*EXP(Ft!G$38*($A459-Ft!G$2)^2)),Ft!G$3*((1-Ft!G$7)/(1+Ft!G$39*($A459-Ft!G$2)^2)+Ft!G$7*EXP(Ft!G$40*($A459-Ft!G$2)^2)))</f>
        <v>0.84737130796145266</v>
      </c>
      <c r="L459" s="3">
        <f>IF(($A459-Ft!H$2)&lt;0,Ft!H$3*((1-Ft!H$6)/(1+Ft!H$37*($A459-Ft!H$2)^2)+Ft!H$6*EXP(Ft!H$38*($A459-Ft!H$2)^2)),Ft!H$3*((1-Ft!H$7)/(1+Ft!H$39*($A459-Ft!H$2)^2)+Ft!H$7*EXP(Ft!H$40*($A459-Ft!H$2)^2)))</f>
        <v>0</v>
      </c>
      <c r="M459" s="3">
        <f>IF(($A459-Ft!I$2)&lt;0,Ft!I$3*((1-Ft!I$6)/(1+Ft!I$37*($A459-Ft!I$2)^2)+Ft!I$6*EXP(Ft!I$38*($A459-Ft!I$2)^2)),Ft!I$3*((1-Ft!I$7)/(1+Ft!I$39*($A459-Ft!I$2)^2)+Ft!I$7*EXP(Ft!I$40*($A459-Ft!I$2)^2)))</f>
        <v>0</v>
      </c>
      <c r="N459" s="3">
        <f>IF(($A459-Ft!J$2)&lt;0,Ft!J$3*((1-Ft!J$6)/(1+Ft!J$37*($A459-Ft!J$2)^2)+Ft!J$6*EXP(Ft!J$38*($A459-Ft!J$2)^2)),Ft!J$3*((1-Ft!J$7)/(1+Ft!J$39*($A459-Ft!J$2)^2)+Ft!J$7*EXP(Ft!J$40*($A459-Ft!J$2)^2)))</f>
        <v>0</v>
      </c>
      <c r="O459" s="3">
        <f>IF(($A459-Ft!K$2)&lt;0,Ft!K$3*((1-Ft!K$6)/(1+Ft!K$37*($A459-Ft!K$2)^2)+Ft!K$6*EXP(Ft!K$38*($A459-Ft!K$2)^2)),Ft!K$3*((1-Ft!K$7)/(1+Ft!K$39*($A459-Ft!K$2)^2)+Ft!K$7*EXP(Ft!K$40*($A459-Ft!K$2)^2)))</f>
        <v>0</v>
      </c>
      <c r="P459"/>
      <c r="Q459"/>
    </row>
    <row r="460" spans="1:17">
      <c r="A460" s="20">
        <v>917</v>
      </c>
      <c r="B460" s="29">
        <v>41.413208285365258</v>
      </c>
      <c r="C460" s="7">
        <f t="shared" si="15"/>
        <v>41.443434227686382</v>
      </c>
      <c r="D460" s="3">
        <f t="shared" si="14"/>
        <v>9.1360758919991291E-4</v>
      </c>
      <c r="E460" s="3">
        <f>Ft!$B$12+Ft!$B$14*(Data!A460-Vars!$B$3)</f>
        <v>-200</v>
      </c>
      <c r="F460" s="3">
        <f>IF(($A460-Ft!B$2)&lt;0,Ft!B$3*((1-Ft!B$6)/(1+Ft!B$37*($A460-Ft!B$2)^2)+Ft!B$6*EXP(Ft!B$38*($A460-Ft!B$2)^2)),Ft!B$3*((1-Ft!B$7)/(1+Ft!B$39*($A460-Ft!B$2)^2)+Ft!B$7*EXP(Ft!B$40*($A460-Ft!B$2)^2)))</f>
        <v>8.1947041148864912</v>
      </c>
      <c r="G460" s="3">
        <f>IF(($A460-Ft!C$2)&lt;0,Ft!C$3*((1-Ft!C$6)/(1+Ft!C$37*($A460-Ft!C$2)^2)+Ft!C$6*EXP(Ft!C$38*($A460-Ft!C$2)^2)),Ft!C$3*((1-Ft!C$7)/(1+Ft!C$39*($A460-Ft!C$2)^2)+Ft!C$7*EXP(Ft!C$40*($A460-Ft!C$2)^2)))</f>
        <v>56.250780811163942</v>
      </c>
      <c r="H460" s="3">
        <f>IF(($A460-Ft!D$2)&lt;0,Ft!D$3*((1-Ft!D$6)/(1+Ft!D$37*($A460-Ft!D$2)^2)+Ft!D$6*EXP(Ft!D$38*($A460-Ft!D$2)^2)),Ft!D$3*((1-Ft!D$7)/(1+Ft!D$39*($A460-Ft!D$2)^2)+Ft!D$7*EXP(Ft!D$40*($A460-Ft!D$2)^2)))</f>
        <v>3.7705581852600665E-70</v>
      </c>
      <c r="I460" s="3">
        <f>IF(($A460-Ft!E$2)&lt;0,Ft!E$3*((1-Ft!E$6)/(1+Ft!E$37*($A460-Ft!E$2)^2)+Ft!E$6*EXP(Ft!E$38*($A460-Ft!E$2)^2)),Ft!E$3*((1-Ft!E$7)/(1+Ft!E$39*($A460-Ft!E$2)^2)+Ft!E$7*EXP(Ft!E$40*($A460-Ft!E$2)^2)))</f>
        <v>84.292229768464992</v>
      </c>
      <c r="J460" s="3">
        <f>IF(($A460-Ft!F$2)&lt;0,Ft!F$3*((1-Ft!F$6)/(1+Ft!F$37*($A460-Ft!F$2)^2)+Ft!F$6*EXP(Ft!F$38*($A460-Ft!F$2)^2)),Ft!F$3*((1-Ft!F$7)/(1+Ft!F$39*($A460-Ft!F$2)^2)+Ft!F$7*EXP(Ft!F$40*($A460-Ft!F$2)^2)))</f>
        <v>91.88263663918471</v>
      </c>
      <c r="K460" s="3">
        <f>IF(($A460-Ft!G$2)&lt;0,Ft!G$3*((1-Ft!G$6)/(1+Ft!G$37*($A460-Ft!G$2)^2)+Ft!G$6*EXP(Ft!G$38*($A460-Ft!G$2)^2)),Ft!G$3*((1-Ft!G$7)/(1+Ft!G$39*($A460-Ft!G$2)^2)+Ft!G$7*EXP(Ft!G$40*($A460-Ft!G$2)^2)))</f>
        <v>0.82308289398625534</v>
      </c>
      <c r="L460" s="3">
        <f>IF(($A460-Ft!H$2)&lt;0,Ft!H$3*((1-Ft!H$6)/(1+Ft!H$37*($A460-Ft!H$2)^2)+Ft!H$6*EXP(Ft!H$38*($A460-Ft!H$2)^2)),Ft!H$3*((1-Ft!H$7)/(1+Ft!H$39*($A460-Ft!H$2)^2)+Ft!H$7*EXP(Ft!H$40*($A460-Ft!H$2)^2)))</f>
        <v>0</v>
      </c>
      <c r="M460" s="3">
        <f>IF(($A460-Ft!I$2)&lt;0,Ft!I$3*((1-Ft!I$6)/(1+Ft!I$37*($A460-Ft!I$2)^2)+Ft!I$6*EXP(Ft!I$38*($A460-Ft!I$2)^2)),Ft!I$3*((1-Ft!I$7)/(1+Ft!I$39*($A460-Ft!I$2)^2)+Ft!I$7*EXP(Ft!I$40*($A460-Ft!I$2)^2)))</f>
        <v>0</v>
      </c>
      <c r="N460" s="3">
        <f>IF(($A460-Ft!J$2)&lt;0,Ft!J$3*((1-Ft!J$6)/(1+Ft!J$37*($A460-Ft!J$2)^2)+Ft!J$6*EXP(Ft!J$38*($A460-Ft!J$2)^2)),Ft!J$3*((1-Ft!J$7)/(1+Ft!J$39*($A460-Ft!J$2)^2)+Ft!J$7*EXP(Ft!J$40*($A460-Ft!J$2)^2)))</f>
        <v>0</v>
      </c>
      <c r="O460" s="3">
        <f>IF(($A460-Ft!K$2)&lt;0,Ft!K$3*((1-Ft!K$6)/(1+Ft!K$37*($A460-Ft!K$2)^2)+Ft!K$6*EXP(Ft!K$38*($A460-Ft!K$2)^2)),Ft!K$3*((1-Ft!K$7)/(1+Ft!K$39*($A460-Ft!K$2)^2)+Ft!K$7*EXP(Ft!K$40*($A460-Ft!K$2)^2)))</f>
        <v>0</v>
      </c>
      <c r="P460"/>
      <c r="Q460"/>
    </row>
    <row r="461" spans="1:17">
      <c r="A461" s="20">
        <v>919</v>
      </c>
      <c r="B461" s="29">
        <v>41.164991099514609</v>
      </c>
      <c r="C461" s="7">
        <f t="shared" si="15"/>
        <v>41.177737523499047</v>
      </c>
      <c r="D461" s="3">
        <f t="shared" si="14"/>
        <v>1.624713243910714E-4</v>
      </c>
      <c r="E461" s="3">
        <f>Ft!$B$12+Ft!$B$14*(Data!A461-Vars!$B$3)</f>
        <v>-200</v>
      </c>
      <c r="F461" s="3">
        <f>IF(($A461-Ft!B$2)&lt;0,Ft!B$3*((1-Ft!B$6)/(1+Ft!B$37*($A461-Ft!B$2)^2)+Ft!B$6*EXP(Ft!B$38*($A461-Ft!B$2)^2)),Ft!B$3*((1-Ft!B$7)/(1+Ft!B$39*($A461-Ft!B$2)^2)+Ft!B$7*EXP(Ft!B$40*($A461-Ft!B$2)^2)))</f>
        <v>8.1060501852450422</v>
      </c>
      <c r="G461" s="3">
        <f>IF(($A461-Ft!C$2)&lt;0,Ft!C$3*((1-Ft!C$6)/(1+Ft!C$37*($A461-Ft!C$2)^2)+Ft!C$6*EXP(Ft!C$38*($A461-Ft!C$2)^2)),Ft!C$3*((1-Ft!C$7)/(1+Ft!C$39*($A461-Ft!C$2)^2)+Ft!C$7*EXP(Ft!C$40*($A461-Ft!C$2)^2)))</f>
        <v>56.24684427412415</v>
      </c>
      <c r="H461" s="3">
        <f>IF(($A461-Ft!D$2)&lt;0,Ft!D$3*((1-Ft!D$6)/(1+Ft!D$37*($A461-Ft!D$2)^2)+Ft!D$6*EXP(Ft!D$38*($A461-Ft!D$2)^2)),Ft!D$3*((1-Ft!D$7)/(1+Ft!D$39*($A461-Ft!D$2)^2)+Ft!D$7*EXP(Ft!D$40*($A461-Ft!D$2)^2)))</f>
        <v>9.9391187619602336E-71</v>
      </c>
      <c r="I461" s="3">
        <f>IF(($A461-Ft!E$2)&lt;0,Ft!E$3*((1-Ft!E$6)/(1+Ft!E$37*($A461-Ft!E$2)^2)+Ft!E$6*EXP(Ft!E$38*($A461-Ft!E$2)^2)),Ft!E$3*((1-Ft!E$7)/(1+Ft!E$39*($A461-Ft!E$2)^2)+Ft!E$7*EXP(Ft!E$40*($A461-Ft!E$2)^2)))</f>
        <v>83.809412523191511</v>
      </c>
      <c r="J461" s="3">
        <f>IF(($A461-Ft!F$2)&lt;0,Ft!F$3*((1-Ft!F$6)/(1+Ft!F$37*($A461-Ft!F$2)^2)+Ft!F$6*EXP(Ft!F$38*($A461-Ft!F$2)^2)),Ft!F$3*((1-Ft!F$7)/(1+Ft!F$39*($A461-Ft!F$2)^2)+Ft!F$7*EXP(Ft!F$40*($A461-Ft!F$2)^2)))</f>
        <v>92.216022857843811</v>
      </c>
      <c r="K461" s="3">
        <f>IF(($A461-Ft!G$2)&lt;0,Ft!G$3*((1-Ft!G$6)/(1+Ft!G$37*($A461-Ft!G$2)^2)+Ft!G$6*EXP(Ft!G$38*($A461-Ft!G$2)^2)),Ft!G$3*((1-Ft!G$7)/(1+Ft!G$39*($A461-Ft!G$2)^2)+Ft!G$7*EXP(Ft!G$40*($A461-Ft!G$2)^2)))</f>
        <v>0.79940768309452837</v>
      </c>
      <c r="L461" s="3">
        <f>IF(($A461-Ft!H$2)&lt;0,Ft!H$3*((1-Ft!H$6)/(1+Ft!H$37*($A461-Ft!H$2)^2)+Ft!H$6*EXP(Ft!H$38*($A461-Ft!H$2)^2)),Ft!H$3*((1-Ft!H$7)/(1+Ft!H$39*($A461-Ft!H$2)^2)+Ft!H$7*EXP(Ft!H$40*($A461-Ft!H$2)^2)))</f>
        <v>0</v>
      </c>
      <c r="M461" s="3">
        <f>IF(($A461-Ft!I$2)&lt;0,Ft!I$3*((1-Ft!I$6)/(1+Ft!I$37*($A461-Ft!I$2)^2)+Ft!I$6*EXP(Ft!I$38*($A461-Ft!I$2)^2)),Ft!I$3*((1-Ft!I$7)/(1+Ft!I$39*($A461-Ft!I$2)^2)+Ft!I$7*EXP(Ft!I$40*($A461-Ft!I$2)^2)))</f>
        <v>0</v>
      </c>
      <c r="N461" s="3">
        <f>IF(($A461-Ft!J$2)&lt;0,Ft!J$3*((1-Ft!J$6)/(1+Ft!J$37*($A461-Ft!J$2)^2)+Ft!J$6*EXP(Ft!J$38*($A461-Ft!J$2)^2)),Ft!J$3*((1-Ft!J$7)/(1+Ft!J$39*($A461-Ft!J$2)^2)+Ft!J$7*EXP(Ft!J$40*($A461-Ft!J$2)^2)))</f>
        <v>0</v>
      </c>
      <c r="O461" s="3">
        <f>IF(($A461-Ft!K$2)&lt;0,Ft!K$3*((1-Ft!K$6)/(1+Ft!K$37*($A461-Ft!K$2)^2)+Ft!K$6*EXP(Ft!K$38*($A461-Ft!K$2)^2)),Ft!K$3*((1-Ft!K$7)/(1+Ft!K$39*($A461-Ft!K$2)^2)+Ft!K$7*EXP(Ft!K$40*($A461-Ft!K$2)^2)))</f>
        <v>0</v>
      </c>
      <c r="P461"/>
      <c r="Q461"/>
    </row>
    <row r="462" spans="1:17">
      <c r="A462" s="20">
        <v>921</v>
      </c>
      <c r="B462" s="29">
        <v>40.915462455445379</v>
      </c>
      <c r="C462" s="7">
        <f t="shared" si="15"/>
        <v>40.910875458041922</v>
      </c>
      <c r="D462" s="3">
        <f t="shared" si="14"/>
        <v>2.1040545179324565E-5</v>
      </c>
      <c r="E462" s="3">
        <f>Ft!$B$12+Ft!$B$14*(Data!A462-Vars!$B$3)</f>
        <v>-200</v>
      </c>
      <c r="F462" s="3">
        <f>IF(($A462-Ft!B$2)&lt;0,Ft!B$3*((1-Ft!B$6)/(1+Ft!B$37*($A462-Ft!B$2)^2)+Ft!B$6*EXP(Ft!B$38*($A462-Ft!B$2)^2)),Ft!B$3*((1-Ft!B$7)/(1+Ft!B$39*($A462-Ft!B$2)^2)+Ft!B$7*EXP(Ft!B$40*($A462-Ft!B$2)^2)))</f>
        <v>8.0182023101432041</v>
      </c>
      <c r="G462" s="3">
        <f>IF(($A462-Ft!C$2)&lt;0,Ft!C$3*((1-Ft!C$6)/(1+Ft!C$37*($A462-Ft!C$2)^2)+Ft!C$6*EXP(Ft!C$38*($A462-Ft!C$2)^2)),Ft!C$3*((1-Ft!C$7)/(1+Ft!C$39*($A462-Ft!C$2)^2)+Ft!C$7*EXP(Ft!C$40*($A462-Ft!C$2)^2)))</f>
        <v>56.242411065174558</v>
      </c>
      <c r="H462" s="3">
        <f>IF(($A462-Ft!D$2)&lt;0,Ft!D$3*((1-Ft!D$6)/(1+Ft!D$37*($A462-Ft!D$2)^2)+Ft!D$6*EXP(Ft!D$38*($A462-Ft!D$2)^2)),Ft!D$3*((1-Ft!D$7)/(1+Ft!D$39*($A462-Ft!D$2)^2)+Ft!D$7*EXP(Ft!D$40*($A462-Ft!D$2)^2)))</f>
        <v>2.6055187336607538E-71</v>
      </c>
      <c r="I462" s="3">
        <f>IF(($A462-Ft!E$2)&lt;0,Ft!E$3*((1-Ft!E$6)/(1+Ft!E$37*($A462-Ft!E$2)^2)+Ft!E$6*EXP(Ft!E$38*($A462-Ft!E$2)^2)),Ft!E$3*((1-Ft!E$7)/(1+Ft!E$39*($A462-Ft!E$2)^2)+Ft!E$7*EXP(Ft!E$40*($A462-Ft!E$2)^2)))</f>
        <v>83.324529392636137</v>
      </c>
      <c r="J462" s="3">
        <f>IF(($A462-Ft!F$2)&lt;0,Ft!F$3*((1-Ft!F$6)/(1+Ft!F$37*($A462-Ft!F$2)^2)+Ft!F$6*EXP(Ft!F$38*($A462-Ft!F$2)^2)),Ft!F$3*((1-Ft!F$7)/(1+Ft!F$39*($A462-Ft!F$2)^2)+Ft!F$7*EXP(Ft!F$40*($A462-Ft!F$2)^2)))</f>
        <v>92.549399809043464</v>
      </c>
      <c r="K462" s="3">
        <f>IF(($A462-Ft!G$2)&lt;0,Ft!G$3*((1-Ft!G$6)/(1+Ft!G$37*($A462-Ft!G$2)^2)+Ft!G$6*EXP(Ft!G$38*($A462-Ft!G$2)^2)),Ft!G$3*((1-Ft!G$7)/(1+Ft!G$39*($A462-Ft!G$2)^2)+Ft!G$7*EXP(Ft!G$40*($A462-Ft!G$2)^2)))</f>
        <v>0.77633288104454323</v>
      </c>
      <c r="L462" s="3">
        <f>IF(($A462-Ft!H$2)&lt;0,Ft!H$3*((1-Ft!H$6)/(1+Ft!H$37*($A462-Ft!H$2)^2)+Ft!H$6*EXP(Ft!H$38*($A462-Ft!H$2)^2)),Ft!H$3*((1-Ft!H$7)/(1+Ft!H$39*($A462-Ft!H$2)^2)+Ft!H$7*EXP(Ft!H$40*($A462-Ft!H$2)^2)))</f>
        <v>0</v>
      </c>
      <c r="M462" s="3">
        <f>IF(($A462-Ft!I$2)&lt;0,Ft!I$3*((1-Ft!I$6)/(1+Ft!I$37*($A462-Ft!I$2)^2)+Ft!I$6*EXP(Ft!I$38*($A462-Ft!I$2)^2)),Ft!I$3*((1-Ft!I$7)/(1+Ft!I$39*($A462-Ft!I$2)^2)+Ft!I$7*EXP(Ft!I$40*($A462-Ft!I$2)^2)))</f>
        <v>0</v>
      </c>
      <c r="N462" s="3">
        <f>IF(($A462-Ft!J$2)&lt;0,Ft!J$3*((1-Ft!J$6)/(1+Ft!J$37*($A462-Ft!J$2)^2)+Ft!J$6*EXP(Ft!J$38*($A462-Ft!J$2)^2)),Ft!J$3*((1-Ft!J$7)/(1+Ft!J$39*($A462-Ft!J$2)^2)+Ft!J$7*EXP(Ft!J$40*($A462-Ft!J$2)^2)))</f>
        <v>0</v>
      </c>
      <c r="O462" s="3">
        <f>IF(($A462-Ft!K$2)&lt;0,Ft!K$3*((1-Ft!K$6)/(1+Ft!K$37*($A462-Ft!K$2)^2)+Ft!K$6*EXP(Ft!K$38*($A462-Ft!K$2)^2)),Ft!K$3*((1-Ft!K$7)/(1+Ft!K$39*($A462-Ft!K$2)^2)+Ft!K$7*EXP(Ft!K$40*($A462-Ft!K$2)^2)))</f>
        <v>0</v>
      </c>
      <c r="P462"/>
      <c r="Q462"/>
    </row>
    <row r="463" spans="1:17">
      <c r="A463" s="20">
        <v>923</v>
      </c>
      <c r="B463" s="29">
        <v>40.664646959804102</v>
      </c>
      <c r="C463" s="7">
        <f t="shared" si="15"/>
        <v>40.642889324387625</v>
      </c>
      <c r="D463" s="3">
        <f t="shared" si="14"/>
        <v>4.7339469891636399E-4</v>
      </c>
      <c r="E463" s="3">
        <f>Ft!$B$12+Ft!$B$14*(Data!A463-Vars!$B$3)</f>
        <v>-200</v>
      </c>
      <c r="F463" s="3">
        <f>IF(($A463-Ft!B$2)&lt;0,Ft!B$3*((1-Ft!B$6)/(1+Ft!B$37*($A463-Ft!B$2)^2)+Ft!B$6*EXP(Ft!B$38*($A463-Ft!B$2)^2)),Ft!B$3*((1-Ft!B$7)/(1+Ft!B$39*($A463-Ft!B$2)^2)+Ft!B$7*EXP(Ft!B$40*($A463-Ft!B$2)^2)))</f>
        <v>7.9311550893652942</v>
      </c>
      <c r="G463" s="3">
        <f>IF(($A463-Ft!C$2)&lt;0,Ft!C$3*((1-Ft!C$6)/(1+Ft!C$37*($A463-Ft!C$2)^2)+Ft!C$6*EXP(Ft!C$38*($A463-Ft!C$2)^2)),Ft!C$3*((1-Ft!C$7)/(1+Ft!C$39*($A463-Ft!C$2)^2)+Ft!C$7*EXP(Ft!C$40*($A463-Ft!C$2)^2)))</f>
        <v>56.237481301799612</v>
      </c>
      <c r="H463" s="3">
        <f>IF(($A463-Ft!D$2)&lt;0,Ft!D$3*((1-Ft!D$6)/(1+Ft!D$37*($A463-Ft!D$2)^2)+Ft!D$6*EXP(Ft!D$38*($A463-Ft!D$2)^2)),Ft!D$3*((1-Ft!D$7)/(1+Ft!D$39*($A463-Ft!D$2)^2)+Ft!D$7*EXP(Ft!D$40*($A463-Ft!D$2)^2)))</f>
        <v>6.7927339858070403E-72</v>
      </c>
      <c r="I463" s="3">
        <f>IF(($A463-Ft!E$2)&lt;0,Ft!E$3*((1-Ft!E$6)/(1+Ft!E$37*($A463-Ft!E$2)^2)+Ft!E$6*EXP(Ft!E$38*($A463-Ft!E$2)^2)),Ft!E$3*((1-Ft!E$7)/(1+Ft!E$39*($A463-Ft!E$2)^2)+Ft!E$7*EXP(Ft!E$40*($A463-Ft!E$2)^2)))</f>
        <v>82.837648393195366</v>
      </c>
      <c r="J463" s="3">
        <f>IF(($A463-Ft!F$2)&lt;0,Ft!F$3*((1-Ft!F$6)/(1+Ft!F$37*($A463-Ft!F$2)^2)+Ft!F$6*EXP(Ft!F$38*($A463-Ft!F$2)^2)),Ft!F$3*((1-Ft!F$7)/(1+Ft!F$39*($A463-Ft!F$2)^2)+Ft!F$7*EXP(Ft!F$40*($A463-Ft!F$2)^2)))</f>
        <v>92.882758662029929</v>
      </c>
      <c r="K463" s="3">
        <f>IF(($A463-Ft!G$2)&lt;0,Ft!G$3*((1-Ft!G$6)/(1+Ft!G$37*($A463-Ft!G$2)^2)+Ft!G$6*EXP(Ft!G$38*($A463-Ft!G$2)^2)),Ft!G$3*((1-Ft!G$7)/(1+Ft!G$39*($A463-Ft!G$2)^2)+Ft!G$7*EXP(Ft!G$40*($A463-Ft!G$2)^2)))</f>
        <v>0.75384587799742298</v>
      </c>
      <c r="L463" s="3">
        <f>IF(($A463-Ft!H$2)&lt;0,Ft!H$3*((1-Ft!H$6)/(1+Ft!H$37*($A463-Ft!H$2)^2)+Ft!H$6*EXP(Ft!H$38*($A463-Ft!H$2)^2)),Ft!H$3*((1-Ft!H$7)/(1+Ft!H$39*($A463-Ft!H$2)^2)+Ft!H$7*EXP(Ft!H$40*($A463-Ft!H$2)^2)))</f>
        <v>0</v>
      </c>
      <c r="M463" s="3">
        <f>IF(($A463-Ft!I$2)&lt;0,Ft!I$3*((1-Ft!I$6)/(1+Ft!I$37*($A463-Ft!I$2)^2)+Ft!I$6*EXP(Ft!I$38*($A463-Ft!I$2)^2)),Ft!I$3*((1-Ft!I$7)/(1+Ft!I$39*($A463-Ft!I$2)^2)+Ft!I$7*EXP(Ft!I$40*($A463-Ft!I$2)^2)))</f>
        <v>0</v>
      </c>
      <c r="N463" s="3">
        <f>IF(($A463-Ft!J$2)&lt;0,Ft!J$3*((1-Ft!J$6)/(1+Ft!J$37*($A463-Ft!J$2)^2)+Ft!J$6*EXP(Ft!J$38*($A463-Ft!J$2)^2)),Ft!J$3*((1-Ft!J$7)/(1+Ft!J$39*($A463-Ft!J$2)^2)+Ft!J$7*EXP(Ft!J$40*($A463-Ft!J$2)^2)))</f>
        <v>0</v>
      </c>
      <c r="O463" s="3">
        <f>IF(($A463-Ft!K$2)&lt;0,Ft!K$3*((1-Ft!K$6)/(1+Ft!K$37*($A463-Ft!K$2)^2)+Ft!K$6*EXP(Ft!K$38*($A463-Ft!K$2)^2)),Ft!K$3*((1-Ft!K$7)/(1+Ft!K$39*($A463-Ft!K$2)^2)+Ft!K$7*EXP(Ft!K$40*($A463-Ft!K$2)^2)))</f>
        <v>0</v>
      </c>
      <c r="P463"/>
      <c r="Q463"/>
    </row>
    <row r="464" spans="1:17">
      <c r="A464" s="20">
        <v>925</v>
      </c>
      <c r="B464" s="29">
        <v>40.412569616328611</v>
      </c>
      <c r="C464" s="7">
        <f t="shared" si="15"/>
        <v>40.373820545856987</v>
      </c>
      <c r="D464" s="3">
        <f t="shared" si="14"/>
        <v>1.5014904624149014E-3</v>
      </c>
      <c r="E464" s="3">
        <f>Ft!$B$12+Ft!$B$14*(Data!A464-Vars!$B$3)</f>
        <v>-200</v>
      </c>
      <c r="F464" s="3">
        <f>IF(($A464-Ft!B$2)&lt;0,Ft!B$3*((1-Ft!B$6)/(1+Ft!B$37*($A464-Ft!B$2)^2)+Ft!B$6*EXP(Ft!B$38*($A464-Ft!B$2)^2)),Ft!B$3*((1-Ft!B$7)/(1+Ft!B$39*($A464-Ft!B$2)^2)+Ft!B$7*EXP(Ft!B$40*($A464-Ft!B$2)^2)))</f>
        <v>7.8449031356741283</v>
      </c>
      <c r="G464" s="3">
        <f>IF(($A464-Ft!C$2)&lt;0,Ft!C$3*((1-Ft!C$6)/(1+Ft!C$37*($A464-Ft!C$2)^2)+Ft!C$6*EXP(Ft!C$38*($A464-Ft!C$2)^2)),Ft!C$3*((1-Ft!C$7)/(1+Ft!C$39*($A464-Ft!C$2)^2)+Ft!C$7*EXP(Ft!C$40*($A464-Ft!C$2)^2)))</f>
        <v>56.232055114635649</v>
      </c>
      <c r="H464" s="3">
        <f>IF(($A464-Ft!D$2)&lt;0,Ft!D$3*((1-Ft!D$6)/(1+Ft!D$37*($A464-Ft!D$2)^2)+Ft!D$6*EXP(Ft!D$38*($A464-Ft!D$2)^2)),Ft!D$3*((1-Ft!D$7)/(1+Ft!D$39*($A464-Ft!D$2)^2)+Ft!D$7*EXP(Ft!D$40*($A464-Ft!D$2)^2)))</f>
        <v>1.7611611697444214E-72</v>
      </c>
      <c r="I464" s="3">
        <f>IF(($A464-Ft!E$2)&lt;0,Ft!E$3*((1-Ft!E$6)/(1+Ft!E$37*($A464-Ft!E$2)^2)+Ft!E$6*EXP(Ft!E$38*($A464-Ft!E$2)^2)),Ft!E$3*((1-Ft!E$7)/(1+Ft!E$39*($A464-Ft!E$2)^2)+Ft!E$7*EXP(Ft!E$40*($A464-Ft!E$2)^2)))</f>
        <v>82.348837492293811</v>
      </c>
      <c r="J464" s="3">
        <f>IF(($A464-Ft!F$2)&lt;0,Ft!F$3*((1-Ft!F$6)/(1+Ft!F$37*($A464-Ft!F$2)^2)+Ft!F$6*EXP(Ft!F$38*($A464-Ft!F$2)^2)),Ft!F$3*((1-Ft!F$7)/(1+Ft!F$39*($A464-Ft!F$2)^2)+Ft!F$7*EXP(Ft!F$40*($A464-Ft!F$2)^2)))</f>
        <v>93.216090554899651</v>
      </c>
      <c r="K464" s="3">
        <f>IF(($A464-Ft!G$2)&lt;0,Ft!G$3*((1-Ft!G$6)/(1+Ft!G$37*($A464-Ft!G$2)^2)+Ft!G$6*EXP(Ft!G$38*($A464-Ft!G$2)^2)),Ft!G$3*((1-Ft!G$7)/(1+Ft!G$39*($A464-Ft!G$2)^2)+Ft!G$7*EXP(Ft!G$40*($A464-Ft!G$2)^2)))</f>
        <v>0.7319342483537653</v>
      </c>
      <c r="L464" s="3">
        <f>IF(($A464-Ft!H$2)&lt;0,Ft!H$3*((1-Ft!H$6)/(1+Ft!H$37*($A464-Ft!H$2)^2)+Ft!H$6*EXP(Ft!H$38*($A464-Ft!H$2)^2)),Ft!H$3*((1-Ft!H$7)/(1+Ft!H$39*($A464-Ft!H$2)^2)+Ft!H$7*EXP(Ft!H$40*($A464-Ft!H$2)^2)))</f>
        <v>0</v>
      </c>
      <c r="M464" s="3">
        <f>IF(($A464-Ft!I$2)&lt;0,Ft!I$3*((1-Ft!I$6)/(1+Ft!I$37*($A464-Ft!I$2)^2)+Ft!I$6*EXP(Ft!I$38*($A464-Ft!I$2)^2)),Ft!I$3*((1-Ft!I$7)/(1+Ft!I$39*($A464-Ft!I$2)^2)+Ft!I$7*EXP(Ft!I$40*($A464-Ft!I$2)^2)))</f>
        <v>0</v>
      </c>
      <c r="N464" s="3">
        <f>IF(($A464-Ft!J$2)&lt;0,Ft!J$3*((1-Ft!J$6)/(1+Ft!J$37*($A464-Ft!J$2)^2)+Ft!J$6*EXP(Ft!J$38*($A464-Ft!J$2)^2)),Ft!J$3*((1-Ft!J$7)/(1+Ft!J$39*($A464-Ft!J$2)^2)+Ft!J$7*EXP(Ft!J$40*($A464-Ft!J$2)^2)))</f>
        <v>0</v>
      </c>
      <c r="O464" s="3">
        <f>IF(($A464-Ft!K$2)&lt;0,Ft!K$3*((1-Ft!K$6)/(1+Ft!K$37*($A464-Ft!K$2)^2)+Ft!K$6*EXP(Ft!K$38*($A464-Ft!K$2)^2)),Ft!K$3*((1-Ft!K$7)/(1+Ft!K$39*($A464-Ft!K$2)^2)+Ft!K$7*EXP(Ft!K$40*($A464-Ft!K$2)^2)))</f>
        <v>0</v>
      </c>
      <c r="P464"/>
      <c r="Q464"/>
    </row>
    <row r="465" spans="1:17">
      <c r="A465" s="20">
        <v>927</v>
      </c>
      <c r="B465" s="29">
        <v>40.159255785633093</v>
      </c>
      <c r="C465" s="7">
        <f t="shared" si="15"/>
        <v>40.103710660953524</v>
      </c>
      <c r="D465" s="3">
        <f t="shared" si="14"/>
        <v>3.085260875668799E-3</v>
      </c>
      <c r="E465" s="3">
        <f>Ft!$B$12+Ft!$B$14*(Data!A465-Vars!$B$3)</f>
        <v>-200</v>
      </c>
      <c r="F465" s="3">
        <f>IF(($A465-Ft!B$2)&lt;0,Ft!B$3*((1-Ft!B$6)/(1+Ft!B$37*($A465-Ft!B$2)^2)+Ft!B$6*EXP(Ft!B$38*($A465-Ft!B$2)^2)),Ft!B$3*((1-Ft!B$7)/(1+Ft!B$39*($A465-Ft!B$2)^2)+Ft!B$7*EXP(Ft!B$40*($A465-Ft!B$2)^2)))</f>
        <v>7.7594410750792067</v>
      </c>
      <c r="G465" s="3">
        <f>IF(($A465-Ft!C$2)&lt;0,Ft!C$3*((1-Ft!C$6)/(1+Ft!C$37*($A465-Ft!C$2)^2)+Ft!C$6*EXP(Ft!C$38*($A465-Ft!C$2)^2)),Ft!C$3*((1-Ft!C$7)/(1+Ft!C$39*($A465-Ft!C$2)^2)+Ft!C$7*EXP(Ft!C$40*($A465-Ft!C$2)^2)))</f>
        <v>56.226132647465214</v>
      </c>
      <c r="H465" s="3">
        <f>IF(($A465-Ft!D$2)&lt;0,Ft!D$3*((1-Ft!D$6)/(1+Ft!D$37*($A465-Ft!D$2)^2)+Ft!D$6*EXP(Ft!D$38*($A465-Ft!D$2)^2)),Ft!D$3*((1-Ft!D$7)/(1+Ft!D$39*($A465-Ft!D$2)^2)+Ft!D$7*EXP(Ft!D$40*($A465-Ft!D$2)^2)))</f>
        <v>4.5410646288801172E-73</v>
      </c>
      <c r="I465" s="3">
        <f>IF(($A465-Ft!E$2)&lt;0,Ft!E$3*((1-Ft!E$6)/(1+Ft!E$37*($A465-Ft!E$2)^2)+Ft!E$6*EXP(Ft!E$38*($A465-Ft!E$2)^2)),Ft!E$3*((1-Ft!E$7)/(1+Ft!E$39*($A465-Ft!E$2)^2)+Ft!E$7*EXP(Ft!E$40*($A465-Ft!E$2)^2)))</f>
        <v>81.858164592953699</v>
      </c>
      <c r="J465" s="3">
        <f>IF(($A465-Ft!F$2)&lt;0,Ft!F$3*((1-Ft!F$6)/(1+Ft!F$37*($A465-Ft!F$2)^2)+Ft!F$6*EXP(Ft!F$38*($A465-Ft!F$2)^2)),Ft!F$3*((1-Ft!F$7)/(1+Ft!F$39*($A465-Ft!F$2)^2)+Ft!F$7*EXP(Ft!F$40*($A465-Ft!F$2)^2)))</f>
        <v>93.54938659495464</v>
      </c>
      <c r="K465" s="3">
        <f>IF(($A465-Ft!G$2)&lt;0,Ft!G$3*((1-Ft!G$6)/(1+Ft!G$37*($A465-Ft!G$2)^2)+Ft!G$6*EXP(Ft!G$38*($A465-Ft!G$2)^2)),Ft!G$3*((1-Ft!G$7)/(1+Ft!G$39*($A465-Ft!G$2)^2)+Ft!G$7*EXP(Ft!G$40*($A465-Ft!G$2)^2)))</f>
        <v>0.710585750500771</v>
      </c>
      <c r="L465" s="3">
        <f>IF(($A465-Ft!H$2)&lt;0,Ft!H$3*((1-Ft!H$6)/(1+Ft!H$37*($A465-Ft!H$2)^2)+Ft!H$6*EXP(Ft!H$38*($A465-Ft!H$2)^2)),Ft!H$3*((1-Ft!H$7)/(1+Ft!H$39*($A465-Ft!H$2)^2)+Ft!H$7*EXP(Ft!H$40*($A465-Ft!H$2)^2)))</f>
        <v>0</v>
      </c>
      <c r="M465" s="3">
        <f>IF(($A465-Ft!I$2)&lt;0,Ft!I$3*((1-Ft!I$6)/(1+Ft!I$37*($A465-Ft!I$2)^2)+Ft!I$6*EXP(Ft!I$38*($A465-Ft!I$2)^2)),Ft!I$3*((1-Ft!I$7)/(1+Ft!I$39*($A465-Ft!I$2)^2)+Ft!I$7*EXP(Ft!I$40*($A465-Ft!I$2)^2)))</f>
        <v>0</v>
      </c>
      <c r="N465" s="3">
        <f>IF(($A465-Ft!J$2)&lt;0,Ft!J$3*((1-Ft!J$6)/(1+Ft!J$37*($A465-Ft!J$2)^2)+Ft!J$6*EXP(Ft!J$38*($A465-Ft!J$2)^2)),Ft!J$3*((1-Ft!J$7)/(1+Ft!J$39*($A465-Ft!J$2)^2)+Ft!J$7*EXP(Ft!J$40*($A465-Ft!J$2)^2)))</f>
        <v>0</v>
      </c>
      <c r="O465" s="3">
        <f>IF(($A465-Ft!K$2)&lt;0,Ft!K$3*((1-Ft!K$6)/(1+Ft!K$37*($A465-Ft!K$2)^2)+Ft!K$6*EXP(Ft!K$38*($A465-Ft!K$2)^2)),Ft!K$3*((1-Ft!K$7)/(1+Ft!K$39*($A465-Ft!K$2)^2)+Ft!K$7*EXP(Ft!K$40*($A465-Ft!K$2)^2)))</f>
        <v>0</v>
      </c>
      <c r="P465"/>
      <c r="Q465"/>
    </row>
    <row r="466" spans="1:17">
      <c r="A466" s="20">
        <v>929</v>
      </c>
      <c r="B466" s="29">
        <v>39.904731151406139</v>
      </c>
      <c r="C466" s="7">
        <f t="shared" si="15"/>
        <v>39.832601308319099</v>
      </c>
      <c r="D466" s="3">
        <f t="shared" si="14"/>
        <v>5.2027142637610857E-3</v>
      </c>
      <c r="E466" s="3">
        <f>Ft!$B$12+Ft!$B$14*(Data!A466-Vars!$B$3)</f>
        <v>-200</v>
      </c>
      <c r="F466" s="3">
        <f>IF(($A466-Ft!B$2)&lt;0,Ft!B$3*((1-Ft!B$6)/(1+Ft!B$37*($A466-Ft!B$2)^2)+Ft!B$6*EXP(Ft!B$38*($A466-Ft!B$2)^2)),Ft!B$3*((1-Ft!B$7)/(1+Ft!B$39*($A466-Ft!B$2)^2)+Ft!B$7*EXP(Ft!B$40*($A466-Ft!B$2)^2)))</f>
        <v>7.6747635471007012</v>
      </c>
      <c r="G466" s="3">
        <f>IF(($A466-Ft!C$2)&lt;0,Ft!C$3*((1-Ft!C$6)/(1+Ft!C$37*($A466-Ft!C$2)^2)+Ft!C$6*EXP(Ft!C$38*($A466-Ft!C$2)^2)),Ft!C$3*((1-Ft!C$7)/(1+Ft!C$39*($A466-Ft!C$2)^2)+Ft!C$7*EXP(Ft!C$40*($A466-Ft!C$2)^2)))</f>
        <v>56.219714057210631</v>
      </c>
      <c r="H466" s="3">
        <f>IF(($A466-Ft!D$2)&lt;0,Ft!D$3*((1-Ft!D$6)/(1+Ft!D$37*($A466-Ft!D$2)^2)+Ft!D$6*EXP(Ft!D$38*($A466-Ft!D$2)^2)),Ft!D$3*((1-Ft!D$7)/(1+Ft!D$39*($A466-Ft!D$2)^2)+Ft!D$7*EXP(Ft!D$40*($A466-Ft!D$2)^2)))</f>
        <v>1.1644486756566815E-73</v>
      </c>
      <c r="I466" s="3">
        <f>IF(($A466-Ft!E$2)&lt;0,Ft!E$3*((1-Ft!E$6)/(1+Ft!E$37*($A466-Ft!E$2)^2)+Ft!E$6*EXP(Ft!E$38*($A466-Ft!E$2)^2)),Ft!E$3*((1-Ft!E$7)/(1+Ft!E$39*($A466-Ft!E$2)^2)+Ft!E$7*EXP(Ft!E$40*($A466-Ft!E$2)^2)))</f>
        <v>81.365697518473752</v>
      </c>
      <c r="J466" s="3">
        <f>IF(($A466-Ft!F$2)&lt;0,Ft!F$3*((1-Ft!F$6)/(1+Ft!F$37*($A466-Ft!F$2)^2)+Ft!F$6*EXP(Ft!F$38*($A466-Ft!F$2)^2)),Ft!F$3*((1-Ft!F$7)/(1+Ft!F$39*($A466-Ft!F$2)^2)+Ft!F$7*EXP(Ft!F$40*($A466-Ft!F$2)^2)))</f>
        <v>93.88263785906139</v>
      </c>
      <c r="K466" s="3">
        <f>IF(($A466-Ft!G$2)&lt;0,Ft!G$3*((1-Ft!G$6)/(1+Ft!G$37*($A466-Ft!G$2)^2)+Ft!G$6*EXP(Ft!G$38*($A466-Ft!G$2)^2)),Ft!G$3*((1-Ft!G$7)/(1+Ft!G$39*($A466-Ft!G$2)^2)+Ft!G$7*EXP(Ft!G$40*($A466-Ft!G$2)^2)))</f>
        <v>0.68978832647262045</v>
      </c>
      <c r="L466" s="3">
        <f>IF(($A466-Ft!H$2)&lt;0,Ft!H$3*((1-Ft!H$6)/(1+Ft!H$37*($A466-Ft!H$2)^2)+Ft!H$6*EXP(Ft!H$38*($A466-Ft!H$2)^2)),Ft!H$3*((1-Ft!H$7)/(1+Ft!H$39*($A466-Ft!H$2)^2)+Ft!H$7*EXP(Ft!H$40*($A466-Ft!H$2)^2)))</f>
        <v>0</v>
      </c>
      <c r="M466" s="3">
        <f>IF(($A466-Ft!I$2)&lt;0,Ft!I$3*((1-Ft!I$6)/(1+Ft!I$37*($A466-Ft!I$2)^2)+Ft!I$6*EXP(Ft!I$38*($A466-Ft!I$2)^2)),Ft!I$3*((1-Ft!I$7)/(1+Ft!I$39*($A466-Ft!I$2)^2)+Ft!I$7*EXP(Ft!I$40*($A466-Ft!I$2)^2)))</f>
        <v>0</v>
      </c>
      <c r="N466" s="3">
        <f>IF(($A466-Ft!J$2)&lt;0,Ft!J$3*((1-Ft!J$6)/(1+Ft!J$37*($A466-Ft!J$2)^2)+Ft!J$6*EXP(Ft!J$38*($A466-Ft!J$2)^2)),Ft!J$3*((1-Ft!J$7)/(1+Ft!J$39*($A466-Ft!J$2)^2)+Ft!J$7*EXP(Ft!J$40*($A466-Ft!J$2)^2)))</f>
        <v>0</v>
      </c>
      <c r="O466" s="3">
        <f>IF(($A466-Ft!K$2)&lt;0,Ft!K$3*((1-Ft!K$6)/(1+Ft!K$37*($A466-Ft!K$2)^2)+Ft!K$6*EXP(Ft!K$38*($A466-Ft!K$2)^2)),Ft!K$3*((1-Ft!K$7)/(1+Ft!K$39*($A466-Ft!K$2)^2)+Ft!K$7*EXP(Ft!K$40*($A466-Ft!K$2)^2)))</f>
        <v>0</v>
      </c>
      <c r="P466"/>
      <c r="Q466"/>
    </row>
    <row r="467" spans="1:17">
      <c r="A467" s="20">
        <v>931</v>
      </c>
      <c r="B467" s="29">
        <v>39.649021692011132</v>
      </c>
      <c r="C467" s="7">
        <f t="shared" si="15"/>
        <v>39.560534211717766</v>
      </c>
      <c r="D467" s="3">
        <f t="shared" si="14"/>
        <v>7.8300341686689447E-3</v>
      </c>
      <c r="E467" s="3">
        <f>Ft!$B$12+Ft!$B$14*(Data!A467-Vars!$B$3)</f>
        <v>-200</v>
      </c>
      <c r="F467" s="3">
        <f>IF(($A467-Ft!B$2)&lt;0,Ft!B$3*((1-Ft!B$6)/(1+Ft!B$37*($A467-Ft!B$2)^2)+Ft!B$6*EXP(Ft!B$38*($A467-Ft!B$2)^2)),Ft!B$3*((1-Ft!B$7)/(1+Ft!B$39*($A467-Ft!B$2)^2)+Ft!B$7*EXP(Ft!B$40*($A467-Ft!B$2)^2)))</f>
        <v>7.5908652050292771</v>
      </c>
      <c r="G467" s="3">
        <f>IF(($A467-Ft!C$2)&lt;0,Ft!C$3*((1-Ft!C$6)/(1+Ft!C$37*($A467-Ft!C$2)^2)+Ft!C$6*EXP(Ft!C$38*($A467-Ft!C$2)^2)),Ft!C$3*((1-Ft!C$7)/(1+Ft!C$39*($A467-Ft!C$2)^2)+Ft!C$7*EXP(Ft!C$40*($A467-Ft!C$2)^2)))</f>
        <v>56.212799513927131</v>
      </c>
      <c r="H467" s="3">
        <f>IF(($A467-Ft!D$2)&lt;0,Ft!D$3*((1-Ft!D$6)/(1+Ft!D$37*($A467-Ft!D$2)^2)+Ft!D$6*EXP(Ft!D$38*($A467-Ft!D$2)^2)),Ft!D$3*((1-Ft!D$7)/(1+Ft!D$39*($A467-Ft!D$2)^2)+Ft!D$7*EXP(Ft!D$40*($A467-Ft!D$2)^2)))</f>
        <v>2.9695258266991285E-74</v>
      </c>
      <c r="I467" s="3">
        <f>IF(($A467-Ft!E$2)&lt;0,Ft!E$3*((1-Ft!E$6)/(1+Ft!E$37*($A467-Ft!E$2)^2)+Ft!E$6*EXP(Ft!E$38*($A467-Ft!E$2)^2)),Ft!E$3*((1-Ft!E$7)/(1+Ft!E$39*($A467-Ft!E$2)^2)+Ft!E$7*EXP(Ft!E$40*($A467-Ft!E$2)^2)))</f>
        <v>80.871503997221666</v>
      </c>
      <c r="J467" s="3">
        <f>IF(($A467-Ft!F$2)&lt;0,Ft!F$3*((1-Ft!F$6)/(1+Ft!F$37*($A467-Ft!F$2)^2)+Ft!F$6*EXP(Ft!F$38*($A467-Ft!F$2)^2)),Ft!F$3*((1-Ft!F$7)/(1+Ft!F$39*($A467-Ft!F$2)^2)+Ft!F$7*EXP(Ft!F$40*($A467-Ft!F$2)^2)))</f>
        <v>94.215835394012856</v>
      </c>
      <c r="K467" s="3">
        <f>IF(($A467-Ft!G$2)&lt;0,Ft!G$3*((1-Ft!G$6)/(1+Ft!G$37*($A467-Ft!G$2)^2)+Ft!G$6*EXP(Ft!G$38*($A467-Ft!G$2)^2)),Ft!G$3*((1-Ft!G$7)/(1+Ft!G$39*($A467-Ft!G$2)^2)+Ft!G$7*EXP(Ft!G$40*($A467-Ft!G$2)^2)))</f>
        <v>0.66953010152683001</v>
      </c>
      <c r="L467" s="3">
        <f>IF(($A467-Ft!H$2)&lt;0,Ft!H$3*((1-Ft!H$6)/(1+Ft!H$37*($A467-Ft!H$2)^2)+Ft!H$6*EXP(Ft!H$38*($A467-Ft!H$2)^2)),Ft!H$3*((1-Ft!H$7)/(1+Ft!H$39*($A467-Ft!H$2)^2)+Ft!H$7*EXP(Ft!H$40*($A467-Ft!H$2)^2)))</f>
        <v>0</v>
      </c>
      <c r="M467" s="3">
        <f>IF(($A467-Ft!I$2)&lt;0,Ft!I$3*((1-Ft!I$6)/(1+Ft!I$37*($A467-Ft!I$2)^2)+Ft!I$6*EXP(Ft!I$38*($A467-Ft!I$2)^2)),Ft!I$3*((1-Ft!I$7)/(1+Ft!I$39*($A467-Ft!I$2)^2)+Ft!I$7*EXP(Ft!I$40*($A467-Ft!I$2)^2)))</f>
        <v>0</v>
      </c>
      <c r="N467" s="3">
        <f>IF(($A467-Ft!J$2)&lt;0,Ft!J$3*((1-Ft!J$6)/(1+Ft!J$37*($A467-Ft!J$2)^2)+Ft!J$6*EXP(Ft!J$38*($A467-Ft!J$2)^2)),Ft!J$3*((1-Ft!J$7)/(1+Ft!J$39*($A467-Ft!J$2)^2)+Ft!J$7*EXP(Ft!J$40*($A467-Ft!J$2)^2)))</f>
        <v>0</v>
      </c>
      <c r="O467" s="3">
        <f>IF(($A467-Ft!K$2)&lt;0,Ft!K$3*((1-Ft!K$6)/(1+Ft!K$37*($A467-Ft!K$2)^2)+Ft!K$6*EXP(Ft!K$38*($A467-Ft!K$2)^2)),Ft!K$3*((1-Ft!K$7)/(1+Ft!K$39*($A467-Ft!K$2)^2)+Ft!K$7*EXP(Ft!K$40*($A467-Ft!K$2)^2)))</f>
        <v>0</v>
      </c>
      <c r="P467"/>
      <c r="Q467"/>
    </row>
    <row r="468" spans="1:17">
      <c r="A468" s="20">
        <v>933</v>
      </c>
      <c r="B468" s="29">
        <v>39.392153656606041</v>
      </c>
      <c r="C468" s="7">
        <f t="shared" si="15"/>
        <v>39.287551165055774</v>
      </c>
      <c r="D468" s="3">
        <f t="shared" si="14"/>
        <v>1.0941681238523683E-2</v>
      </c>
      <c r="E468" s="3">
        <f>Ft!$B$12+Ft!$B$14*(Data!A468-Vars!$B$3)</f>
        <v>-200</v>
      </c>
      <c r="F468" s="3">
        <f>IF(($A468-Ft!B$2)&lt;0,Ft!B$3*((1-Ft!B$6)/(1+Ft!B$37*($A468-Ft!B$2)^2)+Ft!B$6*EXP(Ft!B$38*($A468-Ft!B$2)^2)),Ft!B$3*((1-Ft!B$7)/(1+Ft!B$39*($A468-Ft!B$2)^2)+Ft!B$7*EXP(Ft!B$40*($A468-Ft!B$2)^2)))</f>
        <v>7.5077407161818117</v>
      </c>
      <c r="G468" s="3">
        <f>IF(($A468-Ft!C$2)&lt;0,Ft!C$3*((1-Ft!C$6)/(1+Ft!C$37*($A468-Ft!C$2)^2)+Ft!C$6*EXP(Ft!C$38*($A468-Ft!C$2)^2)),Ft!C$3*((1-Ft!C$7)/(1+Ft!C$39*($A468-Ft!C$2)^2)+Ft!C$7*EXP(Ft!C$40*($A468-Ft!C$2)^2)))</f>
        <v>56.20538920079531</v>
      </c>
      <c r="H468" s="3">
        <f>IF(($A468-Ft!D$2)&lt;0,Ft!D$3*((1-Ft!D$6)/(1+Ft!D$37*($A468-Ft!D$2)^2)+Ft!D$6*EXP(Ft!D$38*($A468-Ft!D$2)^2)),Ft!D$3*((1-Ft!D$7)/(1+Ft!D$39*($A468-Ft!D$2)^2)+Ft!D$7*EXP(Ft!D$40*($A468-Ft!D$2)^2)))</f>
        <v>7.5310919375309573E-75</v>
      </c>
      <c r="I468" s="3">
        <f>IF(($A468-Ft!E$2)&lt;0,Ft!E$3*((1-Ft!E$6)/(1+Ft!E$37*($A468-Ft!E$2)^2)+Ft!E$6*EXP(Ft!E$38*($A468-Ft!E$2)^2)),Ft!E$3*((1-Ft!E$7)/(1+Ft!E$39*($A468-Ft!E$2)^2)+Ft!E$7*EXP(Ft!E$40*($A468-Ft!E$2)^2)))</f>
        <v>80.375651647545368</v>
      </c>
      <c r="J468" s="3">
        <f>IF(($A468-Ft!F$2)&lt;0,Ft!F$3*((1-Ft!F$6)/(1+Ft!F$37*($A468-Ft!F$2)^2)+Ft!F$6*EXP(Ft!F$38*($A468-Ft!F$2)^2)),Ft!F$3*((1-Ft!F$7)/(1+Ft!F$39*($A468-Ft!F$2)^2)+Ft!F$7*EXP(Ft!F$40*($A468-Ft!F$2)^2)))</f>
        <v>94.548970216893977</v>
      </c>
      <c r="K468" s="3">
        <f>IF(($A468-Ft!G$2)&lt;0,Ft!G$3*((1-Ft!G$6)/(1+Ft!G$37*($A468-Ft!G$2)^2)+Ft!G$6*EXP(Ft!G$38*($A468-Ft!G$2)^2)),Ft!G$3*((1-Ft!G$7)/(1+Ft!G$39*($A468-Ft!G$2)^2)+Ft!G$7*EXP(Ft!G$40*($A468-Ft!G$2)^2)))</f>
        <v>0.64979938363930412</v>
      </c>
      <c r="L468" s="3">
        <f>IF(($A468-Ft!H$2)&lt;0,Ft!H$3*((1-Ft!H$6)/(1+Ft!H$37*($A468-Ft!H$2)^2)+Ft!H$6*EXP(Ft!H$38*($A468-Ft!H$2)^2)),Ft!H$3*((1-Ft!H$7)/(1+Ft!H$39*($A468-Ft!H$2)^2)+Ft!H$7*EXP(Ft!H$40*($A468-Ft!H$2)^2)))</f>
        <v>0</v>
      </c>
      <c r="M468" s="3">
        <f>IF(($A468-Ft!I$2)&lt;0,Ft!I$3*((1-Ft!I$6)/(1+Ft!I$37*($A468-Ft!I$2)^2)+Ft!I$6*EXP(Ft!I$38*($A468-Ft!I$2)^2)),Ft!I$3*((1-Ft!I$7)/(1+Ft!I$39*($A468-Ft!I$2)^2)+Ft!I$7*EXP(Ft!I$40*($A468-Ft!I$2)^2)))</f>
        <v>0</v>
      </c>
      <c r="N468" s="3">
        <f>IF(($A468-Ft!J$2)&lt;0,Ft!J$3*((1-Ft!J$6)/(1+Ft!J$37*($A468-Ft!J$2)^2)+Ft!J$6*EXP(Ft!J$38*($A468-Ft!J$2)^2)),Ft!J$3*((1-Ft!J$7)/(1+Ft!J$39*($A468-Ft!J$2)^2)+Ft!J$7*EXP(Ft!J$40*($A468-Ft!J$2)^2)))</f>
        <v>0</v>
      </c>
      <c r="O468" s="3">
        <f>IF(($A468-Ft!K$2)&lt;0,Ft!K$3*((1-Ft!K$6)/(1+Ft!K$37*($A468-Ft!K$2)^2)+Ft!K$6*EXP(Ft!K$38*($A468-Ft!K$2)^2)),Ft!K$3*((1-Ft!K$7)/(1+Ft!K$39*($A468-Ft!K$2)^2)+Ft!K$7*EXP(Ft!K$40*($A468-Ft!K$2)^2)))</f>
        <v>0</v>
      </c>
      <c r="P468"/>
      <c r="Q468"/>
    </row>
    <row r="469" spans="1:17">
      <c r="A469" s="20">
        <v>935</v>
      </c>
      <c r="B469" s="29">
        <v>39.134153545016261</v>
      </c>
      <c r="C469" s="7">
        <f t="shared" si="15"/>
        <v>39.013694017444045</v>
      </c>
      <c r="D469" s="3">
        <f t="shared" si="14"/>
        <v>1.4510497782921362E-2</v>
      </c>
      <c r="E469" s="3">
        <f>Ft!$B$12+Ft!$B$14*(Data!A469-Vars!$B$3)</f>
        <v>-200</v>
      </c>
      <c r="F469" s="3">
        <f>IF(($A469-Ft!B$2)&lt;0,Ft!B$3*((1-Ft!B$6)/(1+Ft!B$37*($A469-Ft!B$2)^2)+Ft!B$6*EXP(Ft!B$38*($A469-Ft!B$2)^2)),Ft!B$3*((1-Ft!B$7)/(1+Ft!B$39*($A469-Ft!B$2)^2)+Ft!B$7*EXP(Ft!B$40*($A469-Ft!B$2)^2)))</f>
        <v>7.4253847621529205</v>
      </c>
      <c r="G469" s="3">
        <f>IF(($A469-Ft!C$2)&lt;0,Ft!C$3*((1-Ft!C$6)/(1+Ft!C$37*($A469-Ft!C$2)^2)+Ft!C$6*EXP(Ft!C$38*($A469-Ft!C$2)^2)),Ft!C$3*((1-Ft!C$7)/(1+Ft!C$39*($A469-Ft!C$2)^2)+Ft!C$7*EXP(Ft!C$40*($A469-Ft!C$2)^2)))</f>
        <v>56.197483314113043</v>
      </c>
      <c r="H469" s="3">
        <f>IF(($A469-Ft!D$2)&lt;0,Ft!D$3*((1-Ft!D$6)/(1+Ft!D$37*($A469-Ft!D$2)^2)+Ft!D$6*EXP(Ft!D$38*($A469-Ft!D$2)^2)),Ft!D$3*((1-Ft!D$7)/(1+Ft!D$39*($A469-Ft!D$2)^2)+Ft!D$7*EXP(Ft!D$40*($A469-Ft!D$2)^2)))</f>
        <v>1.8994719257467724E-75</v>
      </c>
      <c r="I469" s="3">
        <f>IF(($A469-Ft!E$2)&lt;0,Ft!E$3*((1-Ft!E$6)/(1+Ft!E$37*($A469-Ft!E$2)^2)+Ft!E$6*EXP(Ft!E$38*($A469-Ft!E$2)^2)),Ft!E$3*((1-Ft!E$7)/(1+Ft!E$39*($A469-Ft!E$2)^2)+Ft!E$7*EXP(Ft!E$40*($A469-Ft!E$2)^2)))</f>
        <v>79.878207962807181</v>
      </c>
      <c r="J469" s="3">
        <f>IF(($A469-Ft!F$2)&lt;0,Ft!F$3*((1-Ft!F$6)/(1+Ft!F$37*($A469-Ft!F$2)^2)+Ft!F$6*EXP(Ft!F$38*($A469-Ft!F$2)^2)),Ft!F$3*((1-Ft!F$7)/(1+Ft!F$39*($A469-Ft!F$2)^2)+Ft!F$7*EXP(Ft!F$40*($A469-Ft!F$2)^2)))</f>
        <v>94.88203331545013</v>
      </c>
      <c r="K469" s="3">
        <f>IF(($A469-Ft!G$2)&lt;0,Ft!G$3*((1-Ft!G$6)/(1+Ft!G$37*($A469-Ft!G$2)^2)+Ft!G$6*EXP(Ft!G$38*($A469-Ft!G$2)^2)),Ft!G$3*((1-Ft!G$7)/(1+Ft!G$39*($A469-Ft!G$2)^2)+Ft!G$7*EXP(Ft!G$40*($A469-Ft!G$2)^2)))</f>
        <v>0.63058466292075777</v>
      </c>
      <c r="L469" s="3">
        <f>IF(($A469-Ft!H$2)&lt;0,Ft!H$3*((1-Ft!H$6)/(1+Ft!H$37*($A469-Ft!H$2)^2)+Ft!H$6*EXP(Ft!H$38*($A469-Ft!H$2)^2)),Ft!H$3*((1-Ft!H$7)/(1+Ft!H$39*($A469-Ft!H$2)^2)+Ft!H$7*EXP(Ft!H$40*($A469-Ft!H$2)^2)))</f>
        <v>0</v>
      </c>
      <c r="M469" s="3">
        <f>IF(($A469-Ft!I$2)&lt;0,Ft!I$3*((1-Ft!I$6)/(1+Ft!I$37*($A469-Ft!I$2)^2)+Ft!I$6*EXP(Ft!I$38*($A469-Ft!I$2)^2)),Ft!I$3*((1-Ft!I$7)/(1+Ft!I$39*($A469-Ft!I$2)^2)+Ft!I$7*EXP(Ft!I$40*($A469-Ft!I$2)^2)))</f>
        <v>0</v>
      </c>
      <c r="N469" s="3">
        <f>IF(($A469-Ft!J$2)&lt;0,Ft!J$3*((1-Ft!J$6)/(1+Ft!J$37*($A469-Ft!J$2)^2)+Ft!J$6*EXP(Ft!J$38*($A469-Ft!J$2)^2)),Ft!J$3*((1-Ft!J$7)/(1+Ft!J$39*($A469-Ft!J$2)^2)+Ft!J$7*EXP(Ft!J$40*($A469-Ft!J$2)^2)))</f>
        <v>0</v>
      </c>
      <c r="O469" s="3">
        <f>IF(($A469-Ft!K$2)&lt;0,Ft!K$3*((1-Ft!K$6)/(1+Ft!K$37*($A469-Ft!K$2)^2)+Ft!K$6*EXP(Ft!K$38*($A469-Ft!K$2)^2)),Ft!K$3*((1-Ft!K$7)/(1+Ft!K$39*($A469-Ft!K$2)^2)+Ft!K$7*EXP(Ft!K$40*($A469-Ft!K$2)^2)))</f>
        <v>0</v>
      </c>
      <c r="P469"/>
      <c r="Q469"/>
    </row>
    <row r="470" spans="1:17">
      <c r="A470" s="20">
        <v>937</v>
      </c>
      <c r="B470" s="29">
        <v>38.875048090703245</v>
      </c>
      <c r="C470" s="7">
        <f t="shared" si="15"/>
        <v>38.73900465831094</v>
      </c>
      <c r="D470" s="3">
        <f t="shared" si="14"/>
        <v>1.8507815497079898E-2</v>
      </c>
      <c r="E470" s="3">
        <f>Ft!$B$12+Ft!$B$14*(Data!A470-Vars!$B$3)</f>
        <v>-200</v>
      </c>
      <c r="F470" s="3">
        <f>IF(($A470-Ft!B$2)&lt;0,Ft!B$3*((1-Ft!B$6)/(1+Ft!B$37*($A470-Ft!B$2)^2)+Ft!B$6*EXP(Ft!B$38*($A470-Ft!B$2)^2)),Ft!B$3*((1-Ft!B$7)/(1+Ft!B$39*($A470-Ft!B$2)^2)+Ft!B$7*EXP(Ft!B$40*($A470-Ft!B$2)^2)))</f>
        <v>7.343792039062472</v>
      </c>
      <c r="G470" s="3">
        <f>IF(($A470-Ft!C$2)&lt;0,Ft!C$3*((1-Ft!C$6)/(1+Ft!C$37*($A470-Ft!C$2)^2)+Ft!C$6*EXP(Ft!C$38*($A470-Ft!C$2)^2)),Ft!C$3*((1-Ft!C$7)/(1+Ft!C$39*($A470-Ft!C$2)^2)+Ft!C$7*EXP(Ft!C$40*($A470-Ft!C$2)^2)))</f>
        <v>56.18908206328684</v>
      </c>
      <c r="H470" s="3">
        <f>IF(($A470-Ft!D$2)&lt;0,Ft!D$3*((1-Ft!D$6)/(1+Ft!D$37*($A470-Ft!D$2)^2)+Ft!D$6*EXP(Ft!D$38*($A470-Ft!D$2)^2)),Ft!D$3*((1-Ft!D$7)/(1+Ft!D$39*($A470-Ft!D$2)^2)+Ft!D$7*EXP(Ft!D$40*($A470-Ft!D$2)^2)))</f>
        <v>4.7644403695305059E-76</v>
      </c>
      <c r="I470" s="3">
        <f>IF(($A470-Ft!E$2)&lt;0,Ft!E$3*((1-Ft!E$6)/(1+Ft!E$37*($A470-Ft!E$2)^2)+Ft!E$6*EXP(Ft!E$38*($A470-Ft!E$2)^2)),Ft!E$3*((1-Ft!E$7)/(1+Ft!E$39*($A470-Ft!E$2)^2)+Ft!E$7*EXP(Ft!E$40*($A470-Ft!E$2)^2)))</f>
        <v>79.379240296545277</v>
      </c>
      <c r="J470" s="3">
        <f>IF(($A470-Ft!F$2)&lt;0,Ft!F$3*((1-Ft!F$6)/(1+Ft!F$37*($A470-Ft!F$2)^2)+Ft!F$6*EXP(Ft!F$38*($A470-Ft!F$2)^2)),Ft!F$3*((1-Ft!F$7)/(1+Ft!F$39*($A470-Ft!F$2)^2)+Ft!F$7*EXP(Ft!F$40*($A470-Ft!F$2)^2)))</f>
        <v>95.215015648459172</v>
      </c>
      <c r="K470" s="3">
        <f>IF(($A470-Ft!G$2)&lt;0,Ft!G$3*((1-Ft!G$6)/(1+Ft!G$37*($A470-Ft!G$2)^2)+Ft!G$6*EXP(Ft!G$38*($A470-Ft!G$2)^2)),Ft!G$3*((1-Ft!G$7)/(1+Ft!G$39*($A470-Ft!G$2)^2)+Ft!G$7*EXP(Ft!G$40*($A470-Ft!G$2)^2)))</f>
        <v>0.61187461095719708</v>
      </c>
      <c r="L470" s="3">
        <f>IF(($A470-Ft!H$2)&lt;0,Ft!H$3*((1-Ft!H$6)/(1+Ft!H$37*($A470-Ft!H$2)^2)+Ft!H$6*EXP(Ft!H$38*($A470-Ft!H$2)^2)),Ft!H$3*((1-Ft!H$7)/(1+Ft!H$39*($A470-Ft!H$2)^2)+Ft!H$7*EXP(Ft!H$40*($A470-Ft!H$2)^2)))</f>
        <v>0</v>
      </c>
      <c r="M470" s="3">
        <f>IF(($A470-Ft!I$2)&lt;0,Ft!I$3*((1-Ft!I$6)/(1+Ft!I$37*($A470-Ft!I$2)^2)+Ft!I$6*EXP(Ft!I$38*($A470-Ft!I$2)^2)),Ft!I$3*((1-Ft!I$7)/(1+Ft!I$39*($A470-Ft!I$2)^2)+Ft!I$7*EXP(Ft!I$40*($A470-Ft!I$2)^2)))</f>
        <v>0</v>
      </c>
      <c r="N470" s="3">
        <f>IF(($A470-Ft!J$2)&lt;0,Ft!J$3*((1-Ft!J$6)/(1+Ft!J$37*($A470-Ft!J$2)^2)+Ft!J$6*EXP(Ft!J$38*($A470-Ft!J$2)^2)),Ft!J$3*((1-Ft!J$7)/(1+Ft!J$39*($A470-Ft!J$2)^2)+Ft!J$7*EXP(Ft!J$40*($A470-Ft!J$2)^2)))</f>
        <v>0</v>
      </c>
      <c r="O470" s="3">
        <f>IF(($A470-Ft!K$2)&lt;0,Ft!K$3*((1-Ft!K$6)/(1+Ft!K$37*($A470-Ft!K$2)^2)+Ft!K$6*EXP(Ft!K$38*($A470-Ft!K$2)^2)),Ft!K$3*((1-Ft!K$7)/(1+Ft!K$39*($A470-Ft!K$2)^2)+Ft!K$7*EXP(Ft!K$40*($A470-Ft!K$2)^2)))</f>
        <v>0</v>
      </c>
      <c r="P470"/>
      <c r="Q470"/>
    </row>
    <row r="471" spans="1:17">
      <c r="A471" s="20">
        <v>939</v>
      </c>
      <c r="B471" s="29">
        <v>38.614864246267999</v>
      </c>
      <c r="C471" s="7">
        <f t="shared" si="15"/>
        <v>38.463525002572254</v>
      </c>
      <c r="D471" s="3">
        <f t="shared" si="14"/>
        <v>2.2903566682399967E-2</v>
      </c>
      <c r="E471" s="3">
        <f>Ft!$B$12+Ft!$B$14*(Data!A471-Vars!$B$3)</f>
        <v>-200</v>
      </c>
      <c r="F471" s="3">
        <f>IF(($A471-Ft!B$2)&lt;0,Ft!B$3*((1-Ft!B$6)/(1+Ft!B$37*($A471-Ft!B$2)^2)+Ft!B$6*EXP(Ft!B$38*($A471-Ft!B$2)^2)),Ft!B$3*((1-Ft!B$7)/(1+Ft!B$39*($A471-Ft!B$2)^2)+Ft!B$7*EXP(Ft!B$40*($A471-Ft!B$2)^2)))</f>
        <v>7.2629572577989192</v>
      </c>
      <c r="G471" s="3">
        <f>IF(($A471-Ft!C$2)&lt;0,Ft!C$3*((1-Ft!C$6)/(1+Ft!C$37*($A471-Ft!C$2)^2)+Ft!C$6*EXP(Ft!C$38*($A471-Ft!C$2)^2)),Ft!C$3*((1-Ft!C$7)/(1+Ft!C$39*($A471-Ft!C$2)^2)+Ft!C$7*EXP(Ft!C$40*($A471-Ft!C$2)^2)))</f>
        <v>56.180185670822574</v>
      </c>
      <c r="H471" s="3">
        <f>IF(($A471-Ft!D$2)&lt;0,Ft!D$3*((1-Ft!D$6)/(1+Ft!D$37*($A471-Ft!D$2)^2)+Ft!D$6*EXP(Ft!D$38*($A471-Ft!D$2)^2)),Ft!D$3*((1-Ft!D$7)/(1+Ft!D$39*($A471-Ft!D$2)^2)+Ft!D$7*EXP(Ft!D$40*($A471-Ft!D$2)^2)))</f>
        <v>1.188488543384481E-76</v>
      </c>
      <c r="I471" s="3">
        <f>IF(($A471-Ft!E$2)&lt;0,Ft!E$3*((1-Ft!E$6)/(1+Ft!E$37*($A471-Ft!E$2)^2)+Ft!E$6*EXP(Ft!E$38*($A471-Ft!E$2)^2)),Ft!E$3*((1-Ft!E$7)/(1+Ft!E$39*($A471-Ft!E$2)^2)+Ft!E$7*EXP(Ft!E$40*($A471-Ft!E$2)^2)))</f>
        <v>78.878815847767243</v>
      </c>
      <c r="J471" s="3">
        <f>IF(($A471-Ft!F$2)&lt;0,Ft!F$3*((1-Ft!F$6)/(1+Ft!F$37*($A471-Ft!F$2)^2)+Ft!F$6*EXP(Ft!F$38*($A471-Ft!F$2)^2)),Ft!F$3*((1-Ft!F$7)/(1+Ft!F$39*($A471-Ft!F$2)^2)+Ft!F$7*EXP(Ft!F$40*($A471-Ft!F$2)^2)))</f>
        <v>95.547908146106451</v>
      </c>
      <c r="K471" s="3">
        <f>IF(($A471-Ft!G$2)&lt;0,Ft!G$3*((1-Ft!G$6)/(1+Ft!G$37*($A471-Ft!G$2)^2)+Ft!G$6*EXP(Ft!G$38*($A471-Ft!G$2)^2)),Ft!G$3*((1-Ft!G$7)/(1+Ft!G$39*($A471-Ft!G$2)^2)+Ft!G$7*EXP(Ft!G$40*($A471-Ft!G$2)^2)))</f>
        <v>0.5936580800770801</v>
      </c>
      <c r="L471" s="3">
        <f>IF(($A471-Ft!H$2)&lt;0,Ft!H$3*((1-Ft!H$6)/(1+Ft!H$37*($A471-Ft!H$2)^2)+Ft!H$6*EXP(Ft!H$38*($A471-Ft!H$2)^2)),Ft!H$3*((1-Ft!H$7)/(1+Ft!H$39*($A471-Ft!H$2)^2)+Ft!H$7*EXP(Ft!H$40*($A471-Ft!H$2)^2)))</f>
        <v>0</v>
      </c>
      <c r="M471" s="3">
        <f>IF(($A471-Ft!I$2)&lt;0,Ft!I$3*((1-Ft!I$6)/(1+Ft!I$37*($A471-Ft!I$2)^2)+Ft!I$6*EXP(Ft!I$38*($A471-Ft!I$2)^2)),Ft!I$3*((1-Ft!I$7)/(1+Ft!I$39*($A471-Ft!I$2)^2)+Ft!I$7*EXP(Ft!I$40*($A471-Ft!I$2)^2)))</f>
        <v>0</v>
      </c>
      <c r="N471" s="3">
        <f>IF(($A471-Ft!J$2)&lt;0,Ft!J$3*((1-Ft!J$6)/(1+Ft!J$37*($A471-Ft!J$2)^2)+Ft!J$6*EXP(Ft!J$38*($A471-Ft!J$2)^2)),Ft!J$3*((1-Ft!J$7)/(1+Ft!J$39*($A471-Ft!J$2)^2)+Ft!J$7*EXP(Ft!J$40*($A471-Ft!J$2)^2)))</f>
        <v>0</v>
      </c>
      <c r="O471" s="3">
        <f>IF(($A471-Ft!K$2)&lt;0,Ft!K$3*((1-Ft!K$6)/(1+Ft!K$37*($A471-Ft!K$2)^2)+Ft!K$6*EXP(Ft!K$38*($A471-Ft!K$2)^2)),Ft!K$3*((1-Ft!K$7)/(1+Ft!K$39*($A471-Ft!K$2)^2)+Ft!K$7*EXP(Ft!K$40*($A471-Ft!K$2)^2)))</f>
        <v>0</v>
      </c>
      <c r="P471"/>
      <c r="Q471"/>
    </row>
    <row r="472" spans="1:17">
      <c r="A472" s="20">
        <v>941</v>
      </c>
      <c r="B472" s="29">
        <v>38.353629171016237</v>
      </c>
      <c r="C472" s="7">
        <f t="shared" si="15"/>
        <v>38.187296975864712</v>
      </c>
      <c r="D472" s="3">
        <f t="shared" si="14"/>
        <v>2.7666399143925248E-2</v>
      </c>
      <c r="E472" s="3">
        <f>Ft!$B$12+Ft!$B$14*(Data!A472-Vars!$B$3)</f>
        <v>-200</v>
      </c>
      <c r="F472" s="3">
        <f>IF(($A472-Ft!B$2)&lt;0,Ft!B$3*((1-Ft!B$6)/(1+Ft!B$37*($A472-Ft!B$2)^2)+Ft!B$6*EXP(Ft!B$38*($A472-Ft!B$2)^2)),Ft!B$3*((1-Ft!B$7)/(1+Ft!B$39*($A472-Ft!B$2)^2)+Ft!B$7*EXP(Ft!B$40*($A472-Ft!B$2)^2)))</f>
        <v>7.1828751442586096</v>
      </c>
      <c r="G472" s="3">
        <f>IF(($A472-Ft!C$2)&lt;0,Ft!C$3*((1-Ft!C$6)/(1+Ft!C$37*($A472-Ft!C$2)^2)+Ft!C$6*EXP(Ft!C$38*($A472-Ft!C$2)^2)),Ft!C$3*((1-Ft!C$7)/(1+Ft!C$39*($A472-Ft!C$2)^2)+Ft!C$7*EXP(Ft!C$40*($A472-Ft!C$2)^2)))</f>
        <v>56.170794372315683</v>
      </c>
      <c r="H472" s="3">
        <f>IF(($A472-Ft!D$2)&lt;0,Ft!D$3*((1-Ft!D$6)/(1+Ft!D$37*($A472-Ft!D$2)^2)+Ft!D$6*EXP(Ft!D$38*($A472-Ft!D$2)^2)),Ft!D$3*((1-Ft!D$7)/(1+Ft!D$39*($A472-Ft!D$2)^2)+Ft!D$7*EXP(Ft!D$40*($A472-Ft!D$2)^2)))</f>
        <v>2.9483714052803905E-77</v>
      </c>
      <c r="I472" s="3">
        <f>IF(($A472-Ft!E$2)&lt;0,Ft!E$3*((1-Ft!E$6)/(1+Ft!E$37*($A472-Ft!E$2)^2)+Ft!E$6*EXP(Ft!E$38*($A472-Ft!E$2)^2)),Ft!E$3*((1-Ft!E$7)/(1+Ft!E$39*($A472-Ft!E$2)^2)+Ft!E$7*EXP(Ft!E$40*($A472-Ft!E$2)^2)))</f>
        <v>78.377001646379526</v>
      </c>
      <c r="J472" s="3">
        <f>IF(($A472-Ft!F$2)&lt;0,Ft!F$3*((1-Ft!F$6)/(1+Ft!F$37*($A472-Ft!F$2)^2)+Ft!F$6*EXP(Ft!F$38*($A472-Ft!F$2)^2)),Ft!F$3*((1-Ft!F$7)/(1+Ft!F$39*($A472-Ft!F$2)^2)+Ft!F$7*EXP(Ft!F$40*($A472-Ft!F$2)^2)))</f>
        <v>95.880701710363084</v>
      </c>
      <c r="K472" s="3">
        <f>IF(($A472-Ft!G$2)&lt;0,Ft!G$3*((1-Ft!G$6)/(1+Ft!G$37*($A472-Ft!G$2)^2)+Ft!G$6*EXP(Ft!G$38*($A472-Ft!G$2)^2)),Ft!G$3*((1-Ft!G$7)/(1+Ft!G$39*($A472-Ft!G$2)^2)+Ft!G$7*EXP(Ft!G$40*($A472-Ft!G$2)^2)))</f>
        <v>0.57592410254778748</v>
      </c>
      <c r="L472" s="3">
        <f>IF(($A472-Ft!H$2)&lt;0,Ft!H$3*((1-Ft!H$6)/(1+Ft!H$37*($A472-Ft!H$2)^2)+Ft!H$6*EXP(Ft!H$38*($A472-Ft!H$2)^2)),Ft!H$3*((1-Ft!H$7)/(1+Ft!H$39*($A472-Ft!H$2)^2)+Ft!H$7*EXP(Ft!H$40*($A472-Ft!H$2)^2)))</f>
        <v>0</v>
      </c>
      <c r="M472" s="3">
        <f>IF(($A472-Ft!I$2)&lt;0,Ft!I$3*((1-Ft!I$6)/(1+Ft!I$37*($A472-Ft!I$2)^2)+Ft!I$6*EXP(Ft!I$38*($A472-Ft!I$2)^2)),Ft!I$3*((1-Ft!I$7)/(1+Ft!I$39*($A472-Ft!I$2)^2)+Ft!I$7*EXP(Ft!I$40*($A472-Ft!I$2)^2)))</f>
        <v>0</v>
      </c>
      <c r="N472" s="3">
        <f>IF(($A472-Ft!J$2)&lt;0,Ft!J$3*((1-Ft!J$6)/(1+Ft!J$37*($A472-Ft!J$2)^2)+Ft!J$6*EXP(Ft!J$38*($A472-Ft!J$2)^2)),Ft!J$3*((1-Ft!J$7)/(1+Ft!J$39*($A472-Ft!J$2)^2)+Ft!J$7*EXP(Ft!J$40*($A472-Ft!J$2)^2)))</f>
        <v>0</v>
      </c>
      <c r="O472" s="3">
        <f>IF(($A472-Ft!K$2)&lt;0,Ft!K$3*((1-Ft!K$6)/(1+Ft!K$37*($A472-Ft!K$2)^2)+Ft!K$6*EXP(Ft!K$38*($A472-Ft!K$2)^2)),Ft!K$3*((1-Ft!K$7)/(1+Ft!K$39*($A472-Ft!K$2)^2)+Ft!K$7*EXP(Ft!K$40*($A472-Ft!K$2)^2)))</f>
        <v>0</v>
      </c>
      <c r="P472"/>
      <c r="Q472"/>
    </row>
    <row r="473" spans="1:17">
      <c r="A473" s="20">
        <v>943</v>
      </c>
      <c r="B473" s="29">
        <v>38.091370220187997</v>
      </c>
      <c r="C473" s="7">
        <f t="shared" si="15"/>
        <v>37.910362499850564</v>
      </c>
      <c r="D473" s="3">
        <f t="shared" si="14"/>
        <v>3.2763794821754497E-2</v>
      </c>
      <c r="E473" s="3">
        <f>Ft!$B$12+Ft!$B$14*(Data!A473-Vars!$B$3)</f>
        <v>-200</v>
      </c>
      <c r="F473" s="3">
        <f>IF(($A473-Ft!B$2)&lt;0,Ft!B$3*((1-Ft!B$6)/(1+Ft!B$37*($A473-Ft!B$2)^2)+Ft!B$6*EXP(Ft!B$38*($A473-Ft!B$2)^2)),Ft!B$3*((1-Ft!B$7)/(1+Ft!B$39*($A473-Ft!B$2)^2)+Ft!B$7*EXP(Ft!B$40*($A473-Ft!B$2)^2)))</f>
        <v>7.1035404395810406</v>
      </c>
      <c r="G473" s="3">
        <f>IF(($A473-Ft!C$2)&lt;0,Ft!C$3*((1-Ft!C$6)/(1+Ft!C$37*($A473-Ft!C$2)^2)+Ft!C$6*EXP(Ft!C$38*($A473-Ft!C$2)^2)),Ft!C$3*((1-Ft!C$7)/(1+Ft!C$39*($A473-Ft!C$2)^2)+Ft!C$7*EXP(Ft!C$40*($A473-Ft!C$2)^2)))</f>
        <v>56.160908416440748</v>
      </c>
      <c r="H473" s="3">
        <f>IF(($A473-Ft!D$2)&lt;0,Ft!D$3*((1-Ft!D$6)/(1+Ft!D$37*($A473-Ft!D$2)^2)+Ft!D$6*EXP(Ft!D$38*($A473-Ft!D$2)^2)),Ft!D$3*((1-Ft!D$7)/(1+Ft!D$39*($A473-Ft!D$2)^2)+Ft!D$7*EXP(Ft!D$40*($A473-Ft!D$2)^2)))</f>
        <v>7.2740028779884905E-78</v>
      </c>
      <c r="I473" s="3">
        <f>IF(($A473-Ft!E$2)&lt;0,Ft!E$3*((1-Ft!E$6)/(1+Ft!E$37*($A473-Ft!E$2)^2)+Ft!E$6*EXP(Ft!E$38*($A473-Ft!E$2)^2)),Ft!E$3*((1-Ft!E$7)/(1+Ft!E$39*($A473-Ft!E$2)^2)+Ft!E$7*EXP(Ft!E$40*($A473-Ft!E$2)^2)))</f>
        <v>77.873864538757189</v>
      </c>
      <c r="J473" s="3">
        <f>IF(($A473-Ft!F$2)&lt;0,Ft!F$3*((1-Ft!F$6)/(1+Ft!F$37*($A473-Ft!F$2)^2)+Ft!F$6*EXP(Ft!F$38*($A473-Ft!F$2)^2)),Ft!F$3*((1-Ft!F$7)/(1+Ft!F$39*($A473-Ft!F$2)^2)+Ft!F$7*EXP(Ft!F$40*($A473-Ft!F$2)^2)))</f>
        <v>96.213387215367575</v>
      </c>
      <c r="K473" s="3">
        <f>IF(($A473-Ft!G$2)&lt;0,Ft!G$3*((1-Ft!G$6)/(1+Ft!G$37*($A473-Ft!G$2)^2)+Ft!G$6*EXP(Ft!G$38*($A473-Ft!G$2)^2)),Ft!G$3*((1-Ft!G$7)/(1+Ft!G$39*($A473-Ft!G$2)^2)+Ft!G$7*EXP(Ft!G$40*($A473-Ft!G$2)^2)))</f>
        <v>0.55866188970399722</v>
      </c>
      <c r="L473" s="3">
        <f>IF(($A473-Ft!H$2)&lt;0,Ft!H$3*((1-Ft!H$6)/(1+Ft!H$37*($A473-Ft!H$2)^2)+Ft!H$6*EXP(Ft!H$38*($A473-Ft!H$2)^2)),Ft!H$3*((1-Ft!H$7)/(1+Ft!H$39*($A473-Ft!H$2)^2)+Ft!H$7*EXP(Ft!H$40*($A473-Ft!H$2)^2)))</f>
        <v>0</v>
      </c>
      <c r="M473" s="3">
        <f>IF(($A473-Ft!I$2)&lt;0,Ft!I$3*((1-Ft!I$6)/(1+Ft!I$37*($A473-Ft!I$2)^2)+Ft!I$6*EXP(Ft!I$38*($A473-Ft!I$2)^2)),Ft!I$3*((1-Ft!I$7)/(1+Ft!I$39*($A473-Ft!I$2)^2)+Ft!I$7*EXP(Ft!I$40*($A473-Ft!I$2)^2)))</f>
        <v>0</v>
      </c>
      <c r="N473" s="3">
        <f>IF(($A473-Ft!J$2)&lt;0,Ft!J$3*((1-Ft!J$6)/(1+Ft!J$37*($A473-Ft!J$2)^2)+Ft!J$6*EXP(Ft!J$38*($A473-Ft!J$2)^2)),Ft!J$3*((1-Ft!J$7)/(1+Ft!J$39*($A473-Ft!J$2)^2)+Ft!J$7*EXP(Ft!J$40*($A473-Ft!J$2)^2)))</f>
        <v>0</v>
      </c>
      <c r="O473" s="3">
        <f>IF(($A473-Ft!K$2)&lt;0,Ft!K$3*((1-Ft!K$6)/(1+Ft!K$37*($A473-Ft!K$2)^2)+Ft!K$6*EXP(Ft!K$38*($A473-Ft!K$2)^2)),Ft!K$3*((1-Ft!K$7)/(1+Ft!K$39*($A473-Ft!K$2)^2)+Ft!K$7*EXP(Ft!K$40*($A473-Ft!K$2)^2)))</f>
        <v>0</v>
      </c>
      <c r="P473"/>
      <c r="Q473"/>
    </row>
    <row r="474" spans="1:17">
      <c r="A474" s="20">
        <v>945</v>
      </c>
      <c r="B474" s="29">
        <v>37.828114935520873</v>
      </c>
      <c r="C474" s="7">
        <f t="shared" si="15"/>
        <v>37.632763477599617</v>
      </c>
      <c r="D474" s="3">
        <f t="shared" si="14"/>
        <v>3.8162192111959939E-2</v>
      </c>
      <c r="E474" s="3">
        <f>Ft!$B$12+Ft!$B$14*(Data!A474-Vars!$B$3)</f>
        <v>-200</v>
      </c>
      <c r="F474" s="3">
        <f>IF(($A474-Ft!B$2)&lt;0,Ft!B$3*((1-Ft!B$6)/(1+Ft!B$37*($A474-Ft!B$2)^2)+Ft!B$6*EXP(Ft!B$38*($A474-Ft!B$2)^2)),Ft!B$3*((1-Ft!B$7)/(1+Ft!B$39*($A474-Ft!B$2)^2)+Ft!B$7*EXP(Ft!B$40*($A474-Ft!B$2)^2)))</f>
        <v>7.0249479003800399</v>
      </c>
      <c r="G474" s="3">
        <f>IF(($A474-Ft!C$2)&lt;0,Ft!C$3*((1-Ft!C$6)/(1+Ft!C$37*($A474-Ft!C$2)^2)+Ft!C$6*EXP(Ft!C$38*($A474-Ft!C$2)^2)),Ft!C$3*((1-Ft!C$7)/(1+Ft!C$39*($A474-Ft!C$2)^2)+Ft!C$7*EXP(Ft!C$40*($A474-Ft!C$2)^2)))</f>
        <v>56.150528064940538</v>
      </c>
      <c r="H474" s="3">
        <f>IF(($A474-Ft!D$2)&lt;0,Ft!D$3*((1-Ft!D$6)/(1+Ft!D$37*($A474-Ft!D$2)^2)+Ft!D$6*EXP(Ft!D$38*($A474-Ft!D$2)^2)),Ft!D$3*((1-Ft!D$7)/(1+Ft!D$39*($A474-Ft!D$2)^2)+Ft!D$7*EXP(Ft!D$40*($A474-Ft!D$2)^2)))</f>
        <v>1.7847148350130882E-78</v>
      </c>
      <c r="I474" s="3">
        <f>IF(($A474-Ft!E$2)&lt;0,Ft!E$3*((1-Ft!E$6)/(1+Ft!E$37*($A474-Ft!E$2)^2)+Ft!E$6*EXP(Ft!E$38*($A474-Ft!E$2)^2)),Ft!E$3*((1-Ft!E$7)/(1+Ft!E$39*($A474-Ft!E$2)^2)+Ft!E$7*EXP(Ft!E$40*($A474-Ft!E$2)^2)))</f>
        <v>77.369471173458223</v>
      </c>
      <c r="J474" s="3">
        <f>IF(($A474-Ft!F$2)&lt;0,Ft!F$3*((1-Ft!F$6)/(1+Ft!F$37*($A474-Ft!F$2)^2)+Ft!F$6*EXP(Ft!F$38*($A474-Ft!F$2)^2)),Ft!F$3*((1-Ft!F$7)/(1+Ft!F$39*($A474-Ft!F$2)^2)+Ft!F$7*EXP(Ft!F$40*($A474-Ft!F$2)^2)))</f>
        <v>96.545955507810319</v>
      </c>
      <c r="K474" s="3">
        <f>IF(($A474-Ft!G$2)&lt;0,Ft!G$3*((1-Ft!G$6)/(1+Ft!G$37*($A474-Ft!G$2)^2)+Ft!G$6*EXP(Ft!G$38*($A474-Ft!G$2)^2)),Ft!G$3*((1-Ft!G$7)/(1+Ft!G$39*($A474-Ft!G$2)^2)+Ft!G$7*EXP(Ft!G$40*($A474-Ft!G$2)^2)))</f>
        <v>0.54186083101050531</v>
      </c>
      <c r="L474" s="3">
        <f>IF(($A474-Ft!H$2)&lt;0,Ft!H$3*((1-Ft!H$6)/(1+Ft!H$37*($A474-Ft!H$2)^2)+Ft!H$6*EXP(Ft!H$38*($A474-Ft!H$2)^2)),Ft!H$3*((1-Ft!H$7)/(1+Ft!H$39*($A474-Ft!H$2)^2)+Ft!H$7*EXP(Ft!H$40*($A474-Ft!H$2)^2)))</f>
        <v>0</v>
      </c>
      <c r="M474" s="3">
        <f>IF(($A474-Ft!I$2)&lt;0,Ft!I$3*((1-Ft!I$6)/(1+Ft!I$37*($A474-Ft!I$2)^2)+Ft!I$6*EXP(Ft!I$38*($A474-Ft!I$2)^2)),Ft!I$3*((1-Ft!I$7)/(1+Ft!I$39*($A474-Ft!I$2)^2)+Ft!I$7*EXP(Ft!I$40*($A474-Ft!I$2)^2)))</f>
        <v>0</v>
      </c>
      <c r="N474" s="3">
        <f>IF(($A474-Ft!J$2)&lt;0,Ft!J$3*((1-Ft!J$6)/(1+Ft!J$37*($A474-Ft!J$2)^2)+Ft!J$6*EXP(Ft!J$38*($A474-Ft!J$2)^2)),Ft!J$3*((1-Ft!J$7)/(1+Ft!J$39*($A474-Ft!J$2)^2)+Ft!J$7*EXP(Ft!J$40*($A474-Ft!J$2)^2)))</f>
        <v>0</v>
      </c>
      <c r="O474" s="3">
        <f>IF(($A474-Ft!K$2)&lt;0,Ft!K$3*((1-Ft!K$6)/(1+Ft!K$37*($A474-Ft!K$2)^2)+Ft!K$6*EXP(Ft!K$38*($A474-Ft!K$2)^2)),Ft!K$3*((1-Ft!K$7)/(1+Ft!K$39*($A474-Ft!K$2)^2)+Ft!K$7*EXP(Ft!K$40*($A474-Ft!K$2)^2)))</f>
        <v>0</v>
      </c>
      <c r="P474"/>
      <c r="Q474"/>
    </row>
    <row r="475" spans="1:17">
      <c r="A475" s="20">
        <v>947</v>
      </c>
      <c r="B475" s="29">
        <v>37.563891036874352</v>
      </c>
      <c r="C475" s="7">
        <f t="shared" si="15"/>
        <v>37.354541779055133</v>
      </c>
      <c r="D475" s="3">
        <f t="shared" si="14"/>
        <v>4.3827111749458143E-2</v>
      </c>
      <c r="E475" s="3">
        <f>Ft!$B$12+Ft!$B$14*(Data!A475-Vars!$B$3)</f>
        <v>-200</v>
      </c>
      <c r="F475" s="3">
        <f>IF(($A475-Ft!B$2)&lt;0,Ft!B$3*((1-Ft!B$6)/(1+Ft!B$37*($A475-Ft!B$2)^2)+Ft!B$6*EXP(Ft!B$38*($A475-Ft!B$2)^2)),Ft!B$3*((1-Ft!B$7)/(1+Ft!B$39*($A475-Ft!B$2)^2)+Ft!B$7*EXP(Ft!B$40*($A475-Ft!B$2)^2)))</f>
        <v>6.9470922989709605</v>
      </c>
      <c r="G475" s="3">
        <f>IF(($A475-Ft!C$2)&lt;0,Ft!C$3*((1-Ft!C$6)/(1+Ft!C$37*($A475-Ft!C$2)^2)+Ft!C$6*EXP(Ft!C$38*($A475-Ft!C$2)^2)),Ft!C$3*((1-Ft!C$7)/(1+Ft!C$39*($A475-Ft!C$2)^2)+Ft!C$7*EXP(Ft!C$40*($A475-Ft!C$2)^2)))</f>
        <v>56.139653592614458</v>
      </c>
      <c r="H475" s="3">
        <f>IF(($A475-Ft!D$2)&lt;0,Ft!D$3*((1-Ft!D$6)/(1+Ft!D$37*($A475-Ft!D$2)^2)+Ft!D$6*EXP(Ft!D$38*($A475-Ft!D$2)^2)),Ft!D$3*((1-Ft!D$7)/(1+Ft!D$39*($A475-Ft!D$2)^2)+Ft!D$7*EXP(Ft!D$40*($A475-Ft!D$2)^2)))</f>
        <v>4.354800717361723E-79</v>
      </c>
      <c r="I475" s="3">
        <f>IF(($A475-Ft!E$2)&lt;0,Ft!E$3*((1-Ft!E$6)/(1+Ft!E$37*($A475-Ft!E$2)^2)+Ft!E$6*EXP(Ft!E$38*($A475-Ft!E$2)^2)),Ft!E$3*((1-Ft!E$7)/(1+Ft!E$39*($A475-Ft!E$2)^2)+Ft!E$7*EXP(Ft!E$40*($A475-Ft!E$2)^2)))</f>
        <v>76.863887987086159</v>
      </c>
      <c r="J475" s="3">
        <f>IF(($A475-Ft!F$2)&lt;0,Ft!F$3*((1-Ft!F$6)/(1+Ft!F$37*($A475-Ft!F$2)^2)+Ft!F$6*EXP(Ft!F$38*($A475-Ft!F$2)^2)),Ft!F$3*((1-Ft!F$7)/(1+Ft!F$39*($A475-Ft!F$2)^2)+Ft!F$7*EXP(Ft!F$40*($A475-Ft!F$2)^2)))</f>
        <v>96.878397407321501</v>
      </c>
      <c r="K475" s="3">
        <f>IF(($A475-Ft!G$2)&lt;0,Ft!G$3*((1-Ft!G$6)/(1+Ft!G$37*($A475-Ft!G$2)^2)+Ft!G$6*EXP(Ft!G$38*($A475-Ft!G$2)^2)),Ft!G$3*((1-Ft!G$7)/(1+Ft!G$39*($A475-Ft!G$2)^2)+Ft!G$7*EXP(Ft!G$40*($A475-Ft!G$2)^2)))</f>
        <v>0.525510493062052</v>
      </c>
      <c r="L475" s="3">
        <f>IF(($A475-Ft!H$2)&lt;0,Ft!H$3*((1-Ft!H$6)/(1+Ft!H$37*($A475-Ft!H$2)^2)+Ft!H$6*EXP(Ft!H$38*($A475-Ft!H$2)^2)),Ft!H$3*((1-Ft!H$7)/(1+Ft!H$39*($A475-Ft!H$2)^2)+Ft!H$7*EXP(Ft!H$40*($A475-Ft!H$2)^2)))</f>
        <v>0</v>
      </c>
      <c r="M475" s="3">
        <f>IF(($A475-Ft!I$2)&lt;0,Ft!I$3*((1-Ft!I$6)/(1+Ft!I$37*($A475-Ft!I$2)^2)+Ft!I$6*EXP(Ft!I$38*($A475-Ft!I$2)^2)),Ft!I$3*((1-Ft!I$7)/(1+Ft!I$39*($A475-Ft!I$2)^2)+Ft!I$7*EXP(Ft!I$40*($A475-Ft!I$2)^2)))</f>
        <v>0</v>
      </c>
      <c r="N475" s="3">
        <f>IF(($A475-Ft!J$2)&lt;0,Ft!J$3*((1-Ft!J$6)/(1+Ft!J$37*($A475-Ft!J$2)^2)+Ft!J$6*EXP(Ft!J$38*($A475-Ft!J$2)^2)),Ft!J$3*((1-Ft!J$7)/(1+Ft!J$39*($A475-Ft!J$2)^2)+Ft!J$7*EXP(Ft!J$40*($A475-Ft!J$2)^2)))</f>
        <v>0</v>
      </c>
      <c r="O475" s="3">
        <f>IF(($A475-Ft!K$2)&lt;0,Ft!K$3*((1-Ft!K$6)/(1+Ft!K$37*($A475-Ft!K$2)^2)+Ft!K$6*EXP(Ft!K$38*($A475-Ft!K$2)^2)),Ft!K$3*((1-Ft!K$7)/(1+Ft!K$39*($A475-Ft!K$2)^2)+Ft!K$7*EXP(Ft!K$40*($A475-Ft!K$2)^2)))</f>
        <v>0</v>
      </c>
      <c r="P475"/>
      <c r="Q475"/>
    </row>
    <row r="476" spans="1:17">
      <c r="A476" s="20">
        <v>949</v>
      </c>
      <c r="B476" s="29">
        <v>37.298726414689966</v>
      </c>
      <c r="C476" s="7">
        <f t="shared" si="15"/>
        <v>37.075739226590109</v>
      </c>
      <c r="D476" s="3">
        <f t="shared" si="14"/>
        <v>4.9723286056681137E-2</v>
      </c>
      <c r="E476" s="3">
        <f>Ft!$B$12+Ft!$B$14*(Data!A476-Vars!$B$3)</f>
        <v>-200</v>
      </c>
      <c r="F476" s="3">
        <f>IF(($A476-Ft!B$2)&lt;0,Ft!B$3*((1-Ft!B$6)/(1+Ft!B$37*($A476-Ft!B$2)^2)+Ft!B$6*EXP(Ft!B$38*($A476-Ft!B$2)^2)),Ft!B$3*((1-Ft!B$7)/(1+Ft!B$39*($A476-Ft!B$2)^2)+Ft!B$7*EXP(Ft!B$40*($A476-Ft!B$2)^2)))</f>
        <v>6.8699684235938721</v>
      </c>
      <c r="G476" s="3">
        <f>IF(($A476-Ft!C$2)&lt;0,Ft!C$3*((1-Ft!C$6)/(1+Ft!C$37*($A476-Ft!C$2)^2)+Ft!C$6*EXP(Ft!C$38*($A476-Ft!C$2)^2)),Ft!C$3*((1-Ft!C$7)/(1+Ft!C$39*($A476-Ft!C$2)^2)+Ft!C$7*EXP(Ft!C$40*($A476-Ft!C$2)^2)))</f>
        <v>56.128285287306404</v>
      </c>
      <c r="H476" s="3">
        <f>IF(($A476-Ft!D$2)&lt;0,Ft!D$3*((1-Ft!D$6)/(1+Ft!D$37*($A476-Ft!D$2)^2)+Ft!D$6*EXP(Ft!D$38*($A476-Ft!D$2)^2)),Ft!D$3*((1-Ft!D$7)/(1+Ft!D$39*($A476-Ft!D$2)^2)+Ft!D$7*EXP(Ft!D$40*($A476-Ft!D$2)^2)))</f>
        <v>1.0567489501254776E-79</v>
      </c>
      <c r="I476" s="3">
        <f>IF(($A476-Ft!E$2)&lt;0,Ft!E$3*((1-Ft!E$6)/(1+Ft!E$37*($A476-Ft!E$2)^2)+Ft!E$6*EXP(Ft!E$38*($A476-Ft!E$2)^2)),Ft!E$3*((1-Ft!E$7)/(1+Ft!E$39*($A476-Ft!E$2)^2)+Ft!E$7*EXP(Ft!E$40*($A476-Ft!E$2)^2)))</f>
        <v>76.357181190305212</v>
      </c>
      <c r="J476" s="3">
        <f>IF(($A476-Ft!F$2)&lt;0,Ft!F$3*((1-Ft!F$6)/(1+Ft!F$37*($A476-Ft!F$2)^2)+Ft!F$6*EXP(Ft!F$38*($A476-Ft!F$2)^2)),Ft!F$3*((1-Ft!F$7)/(1+Ft!F$39*($A476-Ft!F$2)^2)+Ft!F$7*EXP(Ft!F$40*($A476-Ft!F$2)^2)))</f>
        <v>97.210703706862006</v>
      </c>
      <c r="K476" s="3">
        <f>IF(($A476-Ft!G$2)&lt;0,Ft!G$3*((1-Ft!G$6)/(1+Ft!G$37*($A476-Ft!G$2)^2)+Ft!G$6*EXP(Ft!G$38*($A476-Ft!G$2)^2)),Ft!G$3*((1-Ft!G$7)/(1+Ft!G$39*($A476-Ft!G$2)^2)+Ft!G$7*EXP(Ft!G$40*($A476-Ft!G$2)^2)))</f>
        <v>0.50960061852263039</v>
      </c>
      <c r="L476" s="3">
        <f>IF(($A476-Ft!H$2)&lt;0,Ft!H$3*((1-Ft!H$6)/(1+Ft!H$37*($A476-Ft!H$2)^2)+Ft!H$6*EXP(Ft!H$38*($A476-Ft!H$2)^2)),Ft!H$3*((1-Ft!H$7)/(1+Ft!H$39*($A476-Ft!H$2)^2)+Ft!H$7*EXP(Ft!H$40*($A476-Ft!H$2)^2)))</f>
        <v>0</v>
      </c>
      <c r="M476" s="3">
        <f>IF(($A476-Ft!I$2)&lt;0,Ft!I$3*((1-Ft!I$6)/(1+Ft!I$37*($A476-Ft!I$2)^2)+Ft!I$6*EXP(Ft!I$38*($A476-Ft!I$2)^2)),Ft!I$3*((1-Ft!I$7)/(1+Ft!I$39*($A476-Ft!I$2)^2)+Ft!I$7*EXP(Ft!I$40*($A476-Ft!I$2)^2)))</f>
        <v>0</v>
      </c>
      <c r="N476" s="3">
        <f>IF(($A476-Ft!J$2)&lt;0,Ft!J$3*((1-Ft!J$6)/(1+Ft!J$37*($A476-Ft!J$2)^2)+Ft!J$6*EXP(Ft!J$38*($A476-Ft!J$2)^2)),Ft!J$3*((1-Ft!J$7)/(1+Ft!J$39*($A476-Ft!J$2)^2)+Ft!J$7*EXP(Ft!J$40*($A476-Ft!J$2)^2)))</f>
        <v>0</v>
      </c>
      <c r="O476" s="3">
        <f>IF(($A476-Ft!K$2)&lt;0,Ft!K$3*((1-Ft!K$6)/(1+Ft!K$37*($A476-Ft!K$2)^2)+Ft!K$6*EXP(Ft!K$38*($A476-Ft!K$2)^2)),Ft!K$3*((1-Ft!K$7)/(1+Ft!K$39*($A476-Ft!K$2)^2)+Ft!K$7*EXP(Ft!K$40*($A476-Ft!K$2)^2)))</f>
        <v>0</v>
      </c>
      <c r="P476"/>
      <c r="Q476"/>
    </row>
    <row r="477" spans="1:17">
      <c r="A477" s="20">
        <v>951</v>
      </c>
      <c r="B477" s="29">
        <v>37.032649123105671</v>
      </c>
      <c r="C477" s="7">
        <f t="shared" si="15"/>
        <v>36.796397580660653</v>
      </c>
      <c r="D477" s="3">
        <f t="shared" si="14"/>
        <v>5.5814791307650144E-2</v>
      </c>
      <c r="E477" s="3">
        <f>Ft!$B$12+Ft!$B$14*(Data!A477-Vars!$B$3)</f>
        <v>-200</v>
      </c>
      <c r="F477" s="3">
        <f>IF(($A477-Ft!B$2)&lt;0,Ft!B$3*((1-Ft!B$6)/(1+Ft!B$37*($A477-Ft!B$2)^2)+Ft!B$6*EXP(Ft!B$38*($A477-Ft!B$2)^2)),Ft!B$3*((1-Ft!B$7)/(1+Ft!B$39*($A477-Ft!B$2)^2)+Ft!B$7*EXP(Ft!B$40*($A477-Ft!B$2)^2)))</f>
        <v>6.7935710786327395</v>
      </c>
      <c r="G477" s="3">
        <f>IF(($A477-Ft!C$2)&lt;0,Ft!C$3*((1-Ft!C$6)/(1+Ft!C$37*($A477-Ft!C$2)^2)+Ft!C$6*EXP(Ft!C$38*($A477-Ft!C$2)^2)),Ft!C$3*((1-Ft!C$7)/(1+Ft!C$39*($A477-Ft!C$2)^2)+Ft!C$7*EXP(Ft!C$40*($A477-Ft!C$2)^2)))</f>
        <v>56.11642344989211</v>
      </c>
      <c r="H477" s="3">
        <f>IF(($A477-Ft!D$2)&lt;0,Ft!D$3*((1-Ft!D$6)/(1+Ft!D$37*($A477-Ft!D$2)^2)+Ft!D$6*EXP(Ft!D$38*($A477-Ft!D$2)^2)),Ft!D$3*((1-Ft!D$7)/(1+Ft!D$39*($A477-Ft!D$2)^2)+Ft!D$7*EXP(Ft!D$40*($A477-Ft!D$2)^2)))</f>
        <v>2.5502305932616965E-80</v>
      </c>
      <c r="I477" s="3">
        <f>IF(($A477-Ft!E$2)&lt;0,Ft!E$3*((1-Ft!E$6)/(1+Ft!E$37*($A477-Ft!E$2)^2)+Ft!E$6*EXP(Ft!E$38*($A477-Ft!E$2)^2)),Ft!E$3*((1-Ft!E$7)/(1+Ft!E$39*($A477-Ft!E$2)^2)+Ft!E$7*EXP(Ft!E$40*($A477-Ft!E$2)^2)))</f>
        <v>75.8494167540116</v>
      </c>
      <c r="J477" s="3">
        <f>IF(($A477-Ft!F$2)&lt;0,Ft!F$3*((1-Ft!F$6)/(1+Ft!F$37*($A477-Ft!F$2)^2)+Ft!F$6*EXP(Ft!F$38*($A477-Ft!F$2)^2)),Ft!F$3*((1-Ft!F$7)/(1+Ft!F$39*($A477-Ft!F$2)^2)+Ft!F$7*EXP(Ft!F$40*($A477-Ft!F$2)^2)))</f>
        <v>97.54286517311742</v>
      </c>
      <c r="K477" s="3">
        <f>IF(($A477-Ft!G$2)&lt;0,Ft!G$3*((1-Ft!G$6)/(1+Ft!G$37*($A477-Ft!G$2)^2)+Ft!G$6*EXP(Ft!G$38*($A477-Ft!G$2)^2)),Ft!G$3*((1-Ft!G$7)/(1+Ft!G$39*($A477-Ft!G$2)^2)+Ft!G$7*EXP(Ft!G$40*($A477-Ft!G$2)^2)))</f>
        <v>0.49412112500677013</v>
      </c>
      <c r="L477" s="3">
        <f>IF(($A477-Ft!H$2)&lt;0,Ft!H$3*((1-Ft!H$6)/(1+Ft!H$37*($A477-Ft!H$2)^2)+Ft!H$6*EXP(Ft!H$38*($A477-Ft!H$2)^2)),Ft!H$3*((1-Ft!H$7)/(1+Ft!H$39*($A477-Ft!H$2)^2)+Ft!H$7*EXP(Ft!H$40*($A477-Ft!H$2)^2)))</f>
        <v>0</v>
      </c>
      <c r="M477" s="3">
        <f>IF(($A477-Ft!I$2)&lt;0,Ft!I$3*((1-Ft!I$6)/(1+Ft!I$37*($A477-Ft!I$2)^2)+Ft!I$6*EXP(Ft!I$38*($A477-Ft!I$2)^2)),Ft!I$3*((1-Ft!I$7)/(1+Ft!I$39*($A477-Ft!I$2)^2)+Ft!I$7*EXP(Ft!I$40*($A477-Ft!I$2)^2)))</f>
        <v>0</v>
      </c>
      <c r="N477" s="3">
        <f>IF(($A477-Ft!J$2)&lt;0,Ft!J$3*((1-Ft!J$6)/(1+Ft!J$37*($A477-Ft!J$2)^2)+Ft!J$6*EXP(Ft!J$38*($A477-Ft!J$2)^2)),Ft!J$3*((1-Ft!J$7)/(1+Ft!J$39*($A477-Ft!J$2)^2)+Ft!J$7*EXP(Ft!J$40*($A477-Ft!J$2)^2)))</f>
        <v>0</v>
      </c>
      <c r="O477" s="3">
        <f>IF(($A477-Ft!K$2)&lt;0,Ft!K$3*((1-Ft!K$6)/(1+Ft!K$37*($A477-Ft!K$2)^2)+Ft!K$6*EXP(Ft!K$38*($A477-Ft!K$2)^2)),Ft!K$3*((1-Ft!K$7)/(1+Ft!K$39*($A477-Ft!K$2)^2)+Ft!K$7*EXP(Ft!K$40*($A477-Ft!K$2)^2)))</f>
        <v>0</v>
      </c>
      <c r="P477"/>
      <c r="Q477"/>
    </row>
    <row r="478" spans="1:17">
      <c r="A478" s="20">
        <v>953</v>
      </c>
      <c r="B478" s="29">
        <v>36.765687373575503</v>
      </c>
      <c r="C478" s="7">
        <f t="shared" si="15"/>
        <v>36.516558525561855</v>
      </c>
      <c r="D478" s="3">
        <f t="shared" si="14"/>
        <v>6.2065182912607098E-2</v>
      </c>
      <c r="E478" s="3">
        <f>Ft!$B$12+Ft!$B$14*(Data!A478-Vars!$B$3)</f>
        <v>-200</v>
      </c>
      <c r="F478" s="3">
        <f>IF(($A478-Ft!B$2)&lt;0,Ft!B$3*((1-Ft!B$6)/(1+Ft!B$37*($A478-Ft!B$2)^2)+Ft!B$6*EXP(Ft!B$38*($A478-Ft!B$2)^2)),Ft!B$3*((1-Ft!B$7)/(1+Ft!B$39*($A478-Ft!B$2)^2)+Ft!B$7*EXP(Ft!B$40*($A478-Ft!B$2)^2)))</f>
        <v>6.7178950848306735</v>
      </c>
      <c r="G478" s="3">
        <f>IF(($A478-Ft!C$2)&lt;0,Ft!C$3*((1-Ft!C$6)/(1+Ft!C$37*($A478-Ft!C$2)^2)+Ft!C$6*EXP(Ft!C$38*($A478-Ft!C$2)^2)),Ft!C$3*((1-Ft!C$7)/(1+Ft!C$39*($A478-Ft!C$2)^2)+Ft!C$7*EXP(Ft!C$40*($A478-Ft!C$2)^2)))</f>
        <v>56.104068394265802</v>
      </c>
      <c r="H478" s="3">
        <f>IF(($A478-Ft!D$2)&lt;0,Ft!D$3*((1-Ft!D$6)/(1+Ft!D$37*($A478-Ft!D$2)^2)+Ft!D$6*EXP(Ft!D$38*($A478-Ft!D$2)^2)),Ft!D$3*((1-Ft!D$7)/(1+Ft!D$39*($A478-Ft!D$2)^2)+Ft!D$7*EXP(Ft!D$40*($A478-Ft!D$2)^2)))</f>
        <v>6.1205600714771757E-81</v>
      </c>
      <c r="I478" s="3">
        <f>IF(($A478-Ft!E$2)&lt;0,Ft!E$3*((1-Ft!E$6)/(1+Ft!E$37*($A478-Ft!E$2)^2)+Ft!E$6*EXP(Ft!E$38*($A478-Ft!E$2)^2)),Ft!E$3*((1-Ft!E$7)/(1+Ft!E$39*($A478-Ft!E$2)^2)+Ft!E$7*EXP(Ft!E$40*($A478-Ft!E$2)^2)))</f>
        <v>75.340660395664926</v>
      </c>
      <c r="J478" s="3">
        <f>IF(($A478-Ft!F$2)&lt;0,Ft!F$3*((1-Ft!F$6)/(1+Ft!F$37*($A478-Ft!F$2)^2)+Ft!F$6*EXP(Ft!F$38*($A478-Ft!F$2)^2)),Ft!F$3*((1-Ft!F$7)/(1+Ft!F$39*($A478-Ft!F$2)^2)+Ft!F$7*EXP(Ft!F$40*($A478-Ft!F$2)^2)))</f>
        <v>97.874872546895247</v>
      </c>
      <c r="K478" s="3">
        <f>IF(($A478-Ft!G$2)&lt;0,Ft!G$3*((1-Ft!G$6)/(1+Ft!G$37*($A478-Ft!G$2)^2)+Ft!G$6*EXP(Ft!G$38*($A478-Ft!G$2)^2)),Ft!G$3*((1-Ft!G$7)/(1+Ft!G$39*($A478-Ft!G$2)^2)+Ft!G$7*EXP(Ft!G$40*($A478-Ft!G$2)^2)))</f>
        <v>0.47906210390521214</v>
      </c>
      <c r="L478" s="3">
        <f>IF(($A478-Ft!H$2)&lt;0,Ft!H$3*((1-Ft!H$6)/(1+Ft!H$37*($A478-Ft!H$2)^2)+Ft!H$6*EXP(Ft!H$38*($A478-Ft!H$2)^2)),Ft!H$3*((1-Ft!H$7)/(1+Ft!H$39*($A478-Ft!H$2)^2)+Ft!H$7*EXP(Ft!H$40*($A478-Ft!H$2)^2)))</f>
        <v>0</v>
      </c>
      <c r="M478" s="3">
        <f>IF(($A478-Ft!I$2)&lt;0,Ft!I$3*((1-Ft!I$6)/(1+Ft!I$37*($A478-Ft!I$2)^2)+Ft!I$6*EXP(Ft!I$38*($A478-Ft!I$2)^2)),Ft!I$3*((1-Ft!I$7)/(1+Ft!I$39*($A478-Ft!I$2)^2)+Ft!I$7*EXP(Ft!I$40*($A478-Ft!I$2)^2)))</f>
        <v>0</v>
      </c>
      <c r="N478" s="3">
        <f>IF(($A478-Ft!J$2)&lt;0,Ft!J$3*((1-Ft!J$6)/(1+Ft!J$37*($A478-Ft!J$2)^2)+Ft!J$6*EXP(Ft!J$38*($A478-Ft!J$2)^2)),Ft!J$3*((1-Ft!J$7)/(1+Ft!J$39*($A478-Ft!J$2)^2)+Ft!J$7*EXP(Ft!J$40*($A478-Ft!J$2)^2)))</f>
        <v>0</v>
      </c>
      <c r="O478" s="3">
        <f>IF(($A478-Ft!K$2)&lt;0,Ft!K$3*((1-Ft!K$6)/(1+Ft!K$37*($A478-Ft!K$2)^2)+Ft!K$6*EXP(Ft!K$38*($A478-Ft!K$2)^2)),Ft!K$3*((1-Ft!K$7)/(1+Ft!K$39*($A478-Ft!K$2)^2)+Ft!K$7*EXP(Ft!K$40*($A478-Ft!K$2)^2)))</f>
        <v>0</v>
      </c>
      <c r="P478"/>
      <c r="Q478"/>
    </row>
    <row r="479" spans="1:17">
      <c r="A479" s="20">
        <v>955</v>
      </c>
      <c r="B479" s="29">
        <v>36.497869528876237</v>
      </c>
      <c r="C479" s="7">
        <f t="shared" si="15"/>
        <v>36.236263655293392</v>
      </c>
      <c r="D479" s="3">
        <f t="shared" si="14"/>
        <v>6.8437633093043265E-2</v>
      </c>
      <c r="E479" s="3">
        <f>Ft!$B$12+Ft!$B$14*(Data!A479-Vars!$B$3)</f>
        <v>-200</v>
      </c>
      <c r="F479" s="3">
        <f>IF(($A479-Ft!B$2)&lt;0,Ft!B$3*((1-Ft!B$6)/(1+Ft!B$37*($A479-Ft!B$2)^2)+Ft!B$6*EXP(Ft!B$38*($A479-Ft!B$2)^2)),Ft!B$3*((1-Ft!B$7)/(1+Ft!B$39*($A479-Ft!B$2)^2)+Ft!B$7*EXP(Ft!B$40*($A479-Ft!B$2)^2)))</f>
        <v>6.64293527950122</v>
      </c>
      <c r="G479" s="3">
        <f>IF(($A479-Ft!C$2)&lt;0,Ft!C$3*((1-Ft!C$6)/(1+Ft!C$37*($A479-Ft!C$2)^2)+Ft!C$6*EXP(Ft!C$38*($A479-Ft!C$2)^2)),Ft!C$3*((1-Ft!C$7)/(1+Ft!C$39*($A479-Ft!C$2)^2)+Ft!C$7*EXP(Ft!C$40*($A479-Ft!C$2)^2)))</f>
        <v>56.091220447326442</v>
      </c>
      <c r="H479" s="3">
        <f>IF(($A479-Ft!D$2)&lt;0,Ft!D$3*((1-Ft!D$6)/(1+Ft!D$37*($A479-Ft!D$2)^2)+Ft!D$6*EXP(Ft!D$38*($A479-Ft!D$2)^2)),Ft!D$3*((1-Ft!D$7)/(1+Ft!D$39*($A479-Ft!D$2)^2)+Ft!D$7*EXP(Ft!D$40*($A479-Ft!D$2)^2)))</f>
        <v>1.4608545086283245E-81</v>
      </c>
      <c r="I479" s="3">
        <f>IF(($A479-Ft!E$2)&lt;0,Ft!E$3*((1-Ft!E$6)/(1+Ft!E$37*($A479-Ft!E$2)^2)+Ft!E$6*EXP(Ft!E$38*($A479-Ft!E$2)^2)),Ft!E$3*((1-Ft!E$7)/(1+Ft!E$39*($A479-Ft!E$2)^2)+Ft!E$7*EXP(Ft!E$40*($A479-Ft!E$2)^2)))</f>
        <v>74.830977565783328</v>
      </c>
      <c r="J479" s="3">
        <f>IF(($A479-Ft!F$2)&lt;0,Ft!F$3*((1-Ft!F$6)/(1+Ft!F$37*($A479-Ft!F$2)^2)+Ft!F$6*EXP(Ft!F$38*($A479-Ft!F$2)^2)),Ft!F$3*((1-Ft!F$7)/(1+Ft!F$39*($A479-Ft!F$2)^2)+Ft!F$7*EXP(Ft!F$40*($A479-Ft!F$2)^2)))</f>
        <v>98.206716543525019</v>
      </c>
      <c r="K479" s="3">
        <f>IF(($A479-Ft!G$2)&lt;0,Ft!G$3*((1-Ft!G$6)/(1+Ft!G$37*($A479-Ft!G$2)^2)+Ft!G$6*EXP(Ft!G$38*($A479-Ft!G$2)^2)),Ft!G$3*((1-Ft!G$7)/(1+Ft!G$39*($A479-Ft!G$2)^2)+Ft!G$7*EXP(Ft!G$40*($A479-Ft!G$2)^2)))</f>
        <v>0.46441381915739377</v>
      </c>
      <c r="L479" s="3">
        <f>IF(($A479-Ft!H$2)&lt;0,Ft!H$3*((1-Ft!H$6)/(1+Ft!H$37*($A479-Ft!H$2)^2)+Ft!H$6*EXP(Ft!H$38*($A479-Ft!H$2)^2)),Ft!H$3*((1-Ft!H$7)/(1+Ft!H$39*($A479-Ft!H$2)^2)+Ft!H$7*EXP(Ft!H$40*($A479-Ft!H$2)^2)))</f>
        <v>0</v>
      </c>
      <c r="M479" s="3">
        <f>IF(($A479-Ft!I$2)&lt;0,Ft!I$3*((1-Ft!I$6)/(1+Ft!I$37*($A479-Ft!I$2)^2)+Ft!I$6*EXP(Ft!I$38*($A479-Ft!I$2)^2)),Ft!I$3*((1-Ft!I$7)/(1+Ft!I$39*($A479-Ft!I$2)^2)+Ft!I$7*EXP(Ft!I$40*($A479-Ft!I$2)^2)))</f>
        <v>0</v>
      </c>
      <c r="N479" s="3">
        <f>IF(($A479-Ft!J$2)&lt;0,Ft!J$3*((1-Ft!J$6)/(1+Ft!J$37*($A479-Ft!J$2)^2)+Ft!J$6*EXP(Ft!J$38*($A479-Ft!J$2)^2)),Ft!J$3*((1-Ft!J$7)/(1+Ft!J$39*($A479-Ft!J$2)^2)+Ft!J$7*EXP(Ft!J$40*($A479-Ft!J$2)^2)))</f>
        <v>0</v>
      </c>
      <c r="O479" s="3">
        <f>IF(($A479-Ft!K$2)&lt;0,Ft!K$3*((1-Ft!K$6)/(1+Ft!K$37*($A479-Ft!K$2)^2)+Ft!K$6*EXP(Ft!K$38*($A479-Ft!K$2)^2)),Ft!K$3*((1-Ft!K$7)/(1+Ft!K$39*($A479-Ft!K$2)^2)+Ft!K$7*EXP(Ft!K$40*($A479-Ft!K$2)^2)))</f>
        <v>0</v>
      </c>
      <c r="P479"/>
      <c r="Q479"/>
    </row>
    <row r="480" spans="1:17">
      <c r="A480" s="20">
        <v>957</v>
      </c>
      <c r="B480" s="29">
        <v>36.229224097405222</v>
      </c>
      <c r="C480" s="7">
        <f t="shared" si="15"/>
        <v>35.955554459539599</v>
      </c>
      <c r="D480" s="3">
        <f t="shared" si="14"/>
        <v>7.4895070689501436E-2</v>
      </c>
      <c r="E480" s="3">
        <f>Ft!$B$12+Ft!$B$14*(Data!A480-Vars!$B$3)</f>
        <v>-200</v>
      </c>
      <c r="F480" s="3">
        <f>IF(($A480-Ft!B$2)&lt;0,Ft!B$3*((1-Ft!B$6)/(1+Ft!B$37*($A480-Ft!B$2)^2)+Ft!B$6*EXP(Ft!B$38*($A480-Ft!B$2)^2)),Ft!B$3*((1-Ft!B$7)/(1+Ft!B$39*($A480-Ft!B$2)^2)+Ft!B$7*EXP(Ft!B$40*($A480-Ft!B$2)^2)))</f>
        <v>6.5686865167357258</v>
      </c>
      <c r="G480" s="3">
        <f>IF(($A480-Ft!C$2)&lt;0,Ft!C$3*((1-Ft!C$6)/(1+Ft!C$37*($A480-Ft!C$2)^2)+Ft!C$6*EXP(Ft!C$38*($A480-Ft!C$2)^2)),Ft!C$3*((1-Ft!C$7)/(1+Ft!C$39*($A480-Ft!C$2)^2)+Ft!C$7*EXP(Ft!C$40*($A480-Ft!C$2)^2)))</f>
        <v>56.077879948963243</v>
      </c>
      <c r="H480" s="3">
        <f>IF(($A480-Ft!D$2)&lt;0,Ft!D$3*((1-Ft!D$6)/(1+Ft!D$37*($A480-Ft!D$2)^2)+Ft!D$6*EXP(Ft!D$38*($A480-Ft!D$2)^2)),Ft!D$3*((1-Ft!D$7)/(1+Ft!D$39*($A480-Ft!D$2)^2)+Ft!D$7*EXP(Ft!D$40*($A480-Ft!D$2)^2)))</f>
        <v>3.4675829017040489E-82</v>
      </c>
      <c r="I480" s="3">
        <f>IF(($A480-Ft!E$2)&lt;0,Ft!E$3*((1-Ft!E$6)/(1+Ft!E$37*($A480-Ft!E$2)^2)+Ft!E$6*EXP(Ft!E$38*($A480-Ft!E$2)^2)),Ft!E$3*((1-Ft!E$7)/(1+Ft!E$39*($A480-Ft!E$2)^2)+Ft!E$7*EXP(Ft!E$40*($A480-Ft!E$2)^2)))</f>
        <v>74.320433434605931</v>
      </c>
      <c r="J480" s="3">
        <f>IF(($A480-Ft!F$2)&lt;0,Ft!F$3*((1-Ft!F$6)/(1+Ft!F$37*($A480-Ft!F$2)^2)+Ft!F$6*EXP(Ft!F$38*($A480-Ft!F$2)^2)),Ft!F$3*((1-Ft!F$7)/(1+Ft!F$39*($A480-Ft!F$2)^2)+Ft!F$7*EXP(Ft!F$40*($A480-Ft!F$2)^2)))</f>
        <v>98.538387853261582</v>
      </c>
      <c r="K480" s="3">
        <f>IF(($A480-Ft!G$2)&lt;0,Ft!G$3*((1-Ft!G$6)/(1+Ft!G$37*($A480-Ft!G$2)^2)+Ft!G$6*EXP(Ft!G$38*($A480-Ft!G$2)^2)),Ft!G$3*((1-Ft!G$7)/(1+Ft!G$39*($A480-Ft!G$2)^2)+Ft!G$7*EXP(Ft!G$40*($A480-Ft!G$2)^2)))</f>
        <v>0.45016670597310599</v>
      </c>
      <c r="L480" s="3">
        <f>IF(($A480-Ft!H$2)&lt;0,Ft!H$3*((1-Ft!H$6)/(1+Ft!H$37*($A480-Ft!H$2)^2)+Ft!H$6*EXP(Ft!H$38*($A480-Ft!H$2)^2)),Ft!H$3*((1-Ft!H$7)/(1+Ft!H$39*($A480-Ft!H$2)^2)+Ft!H$7*EXP(Ft!H$40*($A480-Ft!H$2)^2)))</f>
        <v>0</v>
      </c>
      <c r="M480" s="3">
        <f>IF(($A480-Ft!I$2)&lt;0,Ft!I$3*((1-Ft!I$6)/(1+Ft!I$37*($A480-Ft!I$2)^2)+Ft!I$6*EXP(Ft!I$38*($A480-Ft!I$2)^2)),Ft!I$3*((1-Ft!I$7)/(1+Ft!I$39*($A480-Ft!I$2)^2)+Ft!I$7*EXP(Ft!I$40*($A480-Ft!I$2)^2)))</f>
        <v>0</v>
      </c>
      <c r="N480" s="3">
        <f>IF(($A480-Ft!J$2)&lt;0,Ft!J$3*((1-Ft!J$6)/(1+Ft!J$37*($A480-Ft!J$2)^2)+Ft!J$6*EXP(Ft!J$38*($A480-Ft!J$2)^2)),Ft!J$3*((1-Ft!J$7)/(1+Ft!J$39*($A480-Ft!J$2)^2)+Ft!J$7*EXP(Ft!J$40*($A480-Ft!J$2)^2)))</f>
        <v>0</v>
      </c>
      <c r="O480" s="3">
        <f>IF(($A480-Ft!K$2)&lt;0,Ft!K$3*((1-Ft!K$6)/(1+Ft!K$37*($A480-Ft!K$2)^2)+Ft!K$6*EXP(Ft!K$38*($A480-Ft!K$2)^2)),Ft!K$3*((1-Ft!K$7)/(1+Ft!K$39*($A480-Ft!K$2)^2)+Ft!K$7*EXP(Ft!K$40*($A480-Ft!K$2)^2)))</f>
        <v>0</v>
      </c>
      <c r="P480"/>
      <c r="Q480"/>
    </row>
    <row r="481" spans="1:17">
      <c r="A481" s="20">
        <v>959</v>
      </c>
      <c r="B481" s="29">
        <v>35.959779727694709</v>
      </c>
      <c r="C481" s="7">
        <f t="shared" si="15"/>
        <v>35.674472309770529</v>
      </c>
      <c r="D481" s="3">
        <f t="shared" si="14"/>
        <v>8.1400322722562785E-2</v>
      </c>
      <c r="E481" s="3">
        <f>Ft!$B$12+Ft!$B$14*(Data!A481-Vars!$B$3)</f>
        <v>-200</v>
      </c>
      <c r="F481" s="3">
        <f>IF(($A481-Ft!B$2)&lt;0,Ft!B$3*((1-Ft!B$6)/(1+Ft!B$37*($A481-Ft!B$2)^2)+Ft!B$6*EXP(Ft!B$38*($A481-Ft!B$2)^2)),Ft!B$3*((1-Ft!B$7)/(1+Ft!B$39*($A481-Ft!B$2)^2)+Ft!B$7*EXP(Ft!B$40*($A481-Ft!B$2)^2)))</f>
        <v>6.4951436676068077</v>
      </c>
      <c r="G481" s="3">
        <f>IF(($A481-Ft!C$2)&lt;0,Ft!C$3*((1-Ft!C$6)/(1+Ft!C$37*($A481-Ft!C$2)^2)+Ft!C$6*EXP(Ft!C$38*($A481-Ft!C$2)^2)),Ft!C$3*((1-Ft!C$7)/(1+Ft!C$39*($A481-Ft!C$2)^2)+Ft!C$7*EXP(Ft!C$40*($A481-Ft!C$2)^2)))</f>
        <v>56.064047252040716</v>
      </c>
      <c r="H481" s="3">
        <f>IF(($A481-Ft!D$2)&lt;0,Ft!D$3*((1-Ft!D$6)/(1+Ft!D$37*($A481-Ft!D$2)^2)+Ft!D$6*EXP(Ft!D$38*($A481-Ft!D$2)^2)),Ft!D$3*((1-Ft!D$7)/(1+Ft!D$39*($A481-Ft!D$2)^2)+Ft!D$7*EXP(Ft!D$40*($A481-Ft!D$2)^2)))</f>
        <v>8.1856058242955958E-83</v>
      </c>
      <c r="I481" s="3">
        <f>IF(($A481-Ft!E$2)&lt;0,Ft!E$3*((1-Ft!E$6)/(1+Ft!E$37*($A481-Ft!E$2)^2)+Ft!E$6*EXP(Ft!E$38*($A481-Ft!E$2)^2)),Ft!E$3*((1-Ft!E$7)/(1+Ft!E$39*($A481-Ft!E$2)^2)+Ft!E$7*EXP(Ft!E$40*($A481-Ft!E$2)^2)))</f>
        <v>73.809092878925966</v>
      </c>
      <c r="J481" s="3">
        <f>IF(($A481-Ft!F$2)&lt;0,Ft!F$3*((1-Ft!F$6)/(1+Ft!F$37*($A481-Ft!F$2)^2)+Ft!F$6*EXP(Ft!F$38*($A481-Ft!F$2)^2)),Ft!F$3*((1-Ft!F$7)/(1+Ft!F$39*($A481-Ft!F$2)^2)+Ft!F$7*EXP(Ft!F$40*($A481-Ft!F$2)^2)))</f>
        <v>98.869877141691376</v>
      </c>
      <c r="K481" s="3">
        <f>IF(($A481-Ft!G$2)&lt;0,Ft!G$3*((1-Ft!G$6)/(1+Ft!G$37*($A481-Ft!G$2)^2)+Ft!G$6*EXP(Ft!G$38*($A481-Ft!G$2)^2)),Ft!G$3*((1-Ft!G$7)/(1+Ft!G$39*($A481-Ft!G$2)^2)+Ft!G$7*EXP(Ft!G$40*($A481-Ft!G$2)^2)))</f>
        <v>0.43631136950565363</v>
      </c>
      <c r="L481" s="3">
        <f>IF(($A481-Ft!H$2)&lt;0,Ft!H$3*((1-Ft!H$6)/(1+Ft!H$37*($A481-Ft!H$2)^2)+Ft!H$6*EXP(Ft!H$38*($A481-Ft!H$2)^2)),Ft!H$3*((1-Ft!H$7)/(1+Ft!H$39*($A481-Ft!H$2)^2)+Ft!H$7*EXP(Ft!H$40*($A481-Ft!H$2)^2)))</f>
        <v>0</v>
      </c>
      <c r="M481" s="3">
        <f>IF(($A481-Ft!I$2)&lt;0,Ft!I$3*((1-Ft!I$6)/(1+Ft!I$37*($A481-Ft!I$2)^2)+Ft!I$6*EXP(Ft!I$38*($A481-Ft!I$2)^2)),Ft!I$3*((1-Ft!I$7)/(1+Ft!I$39*($A481-Ft!I$2)^2)+Ft!I$7*EXP(Ft!I$40*($A481-Ft!I$2)^2)))</f>
        <v>0</v>
      </c>
      <c r="N481" s="3">
        <f>IF(($A481-Ft!J$2)&lt;0,Ft!J$3*((1-Ft!J$6)/(1+Ft!J$37*($A481-Ft!J$2)^2)+Ft!J$6*EXP(Ft!J$38*($A481-Ft!J$2)^2)),Ft!J$3*((1-Ft!J$7)/(1+Ft!J$39*($A481-Ft!J$2)^2)+Ft!J$7*EXP(Ft!J$40*($A481-Ft!J$2)^2)))</f>
        <v>0</v>
      </c>
      <c r="O481" s="3">
        <f>IF(($A481-Ft!K$2)&lt;0,Ft!K$3*((1-Ft!K$6)/(1+Ft!K$37*($A481-Ft!K$2)^2)+Ft!K$6*EXP(Ft!K$38*($A481-Ft!K$2)^2)),Ft!K$3*((1-Ft!K$7)/(1+Ft!K$39*($A481-Ft!K$2)^2)+Ft!K$7*EXP(Ft!K$40*($A481-Ft!K$2)^2)))</f>
        <v>0</v>
      </c>
      <c r="P481"/>
      <c r="Q481"/>
    </row>
    <row r="482" spans="1:17">
      <c r="A482" s="20">
        <v>961</v>
      </c>
      <c r="B482" s="29">
        <v>35.689565203082566</v>
      </c>
      <c r="C482" s="7">
        <f t="shared" si="15"/>
        <v>35.39305844546989</v>
      </c>
      <c r="D482" s="3">
        <f t="shared" si="14"/>
        <v>8.7916257309981982E-2</v>
      </c>
      <c r="E482" s="3">
        <f>Ft!$B$12+Ft!$B$14*(Data!A482-Vars!$B$3)</f>
        <v>-200</v>
      </c>
      <c r="F482" s="3">
        <f>IF(($A482-Ft!B$2)&lt;0,Ft!B$3*((1-Ft!B$6)/(1+Ft!B$37*($A482-Ft!B$2)^2)+Ft!B$6*EXP(Ft!B$38*($A482-Ft!B$2)^2)),Ft!B$3*((1-Ft!B$7)/(1+Ft!B$39*($A482-Ft!B$2)^2)+Ft!B$7*EXP(Ft!B$40*($A482-Ft!B$2)^2)))</f>
        <v>6.4223016203679135</v>
      </c>
      <c r="G482" s="3">
        <f>IF(($A482-Ft!C$2)&lt;0,Ft!C$3*((1-Ft!C$6)/(1+Ft!C$37*($A482-Ft!C$2)^2)+Ft!C$6*EXP(Ft!C$38*($A482-Ft!C$2)^2)),Ft!C$3*((1-Ft!C$7)/(1+Ft!C$39*($A482-Ft!C$2)^2)+Ft!C$7*EXP(Ft!C$40*($A482-Ft!C$2)^2)))</f>
        <v>56.049722722383109</v>
      </c>
      <c r="H482" s="3">
        <f>IF(($A482-Ft!D$2)&lt;0,Ft!D$3*((1-Ft!D$6)/(1+Ft!D$37*($A482-Ft!D$2)^2)+Ft!D$6*EXP(Ft!D$38*($A482-Ft!D$2)^2)),Ft!D$3*((1-Ft!D$7)/(1+Ft!D$39*($A482-Ft!D$2)^2)+Ft!D$7*EXP(Ft!D$40*($A482-Ft!D$2)^2)))</f>
        <v>1.9216703494288676E-83</v>
      </c>
      <c r="I482" s="3">
        <f>IF(($A482-Ft!E$2)&lt;0,Ft!E$3*((1-Ft!E$6)/(1+Ft!E$37*($A482-Ft!E$2)^2)+Ft!E$6*EXP(Ft!E$38*($A482-Ft!E$2)^2)),Ft!E$3*((1-Ft!E$7)/(1+Ft!E$39*($A482-Ft!E$2)^2)+Ft!E$7*EXP(Ft!E$40*($A482-Ft!E$2)^2)))</f>
        <v>73.29702046909847</v>
      </c>
      <c r="J482" s="3">
        <f>IF(($A482-Ft!F$2)&lt;0,Ft!F$3*((1-Ft!F$6)/(1+Ft!F$37*($A482-Ft!F$2)^2)+Ft!F$6*EXP(Ft!F$38*($A482-Ft!F$2)^2)),Ft!F$3*((1-Ft!F$7)/(1+Ft!F$39*($A482-Ft!F$2)^2)+Ft!F$7*EXP(Ft!F$40*($A482-Ft!F$2)^2)))</f>
        <v>99.201175050141586</v>
      </c>
      <c r="K482" s="3">
        <f>IF(($A482-Ft!G$2)&lt;0,Ft!G$3*((1-Ft!G$6)/(1+Ft!G$37*($A482-Ft!G$2)^2)+Ft!G$6*EXP(Ft!G$38*($A482-Ft!G$2)^2)),Ft!G$3*((1-Ft!G$7)/(1+Ft!G$39*($A482-Ft!G$2)^2)+Ft!G$7*EXP(Ft!G$40*($A482-Ft!G$2)^2)))</f>
        <v>0.42283858347882275</v>
      </c>
      <c r="L482" s="3">
        <f>IF(($A482-Ft!H$2)&lt;0,Ft!H$3*((1-Ft!H$6)/(1+Ft!H$37*($A482-Ft!H$2)^2)+Ft!H$6*EXP(Ft!H$38*($A482-Ft!H$2)^2)),Ft!H$3*((1-Ft!H$7)/(1+Ft!H$39*($A482-Ft!H$2)^2)+Ft!H$7*EXP(Ft!H$40*($A482-Ft!H$2)^2)))</f>
        <v>0</v>
      </c>
      <c r="M482" s="3">
        <f>IF(($A482-Ft!I$2)&lt;0,Ft!I$3*((1-Ft!I$6)/(1+Ft!I$37*($A482-Ft!I$2)^2)+Ft!I$6*EXP(Ft!I$38*($A482-Ft!I$2)^2)),Ft!I$3*((1-Ft!I$7)/(1+Ft!I$39*($A482-Ft!I$2)^2)+Ft!I$7*EXP(Ft!I$40*($A482-Ft!I$2)^2)))</f>
        <v>0</v>
      </c>
      <c r="N482" s="3">
        <f>IF(($A482-Ft!J$2)&lt;0,Ft!J$3*((1-Ft!J$6)/(1+Ft!J$37*($A482-Ft!J$2)^2)+Ft!J$6*EXP(Ft!J$38*($A482-Ft!J$2)^2)),Ft!J$3*((1-Ft!J$7)/(1+Ft!J$39*($A482-Ft!J$2)^2)+Ft!J$7*EXP(Ft!J$40*($A482-Ft!J$2)^2)))</f>
        <v>0</v>
      </c>
      <c r="O482" s="3">
        <f>IF(($A482-Ft!K$2)&lt;0,Ft!K$3*((1-Ft!K$6)/(1+Ft!K$37*($A482-Ft!K$2)^2)+Ft!K$6*EXP(Ft!K$38*($A482-Ft!K$2)^2)),Ft!K$3*((1-Ft!K$7)/(1+Ft!K$39*($A482-Ft!K$2)^2)+Ft!K$7*EXP(Ft!K$40*($A482-Ft!K$2)^2)))</f>
        <v>0</v>
      </c>
      <c r="P482"/>
      <c r="Q482"/>
    </row>
    <row r="483" spans="1:17">
      <c r="A483" s="20">
        <v>963</v>
      </c>
      <c r="B483" s="29">
        <v>35.418609436492972</v>
      </c>
      <c r="C483" s="7">
        <f t="shared" si="15"/>
        <v>35.111353960494945</v>
      </c>
      <c r="D483" s="3">
        <f t="shared" si="14"/>
        <v>9.4405927530773773E-2</v>
      </c>
      <c r="E483" s="3">
        <f>Ft!$B$12+Ft!$B$14*(Data!A483-Vars!$B$3)</f>
        <v>-200</v>
      </c>
      <c r="F483" s="3">
        <f>IF(($A483-Ft!B$2)&lt;0,Ft!B$3*((1-Ft!B$6)/(1+Ft!B$37*($A483-Ft!B$2)^2)+Ft!B$6*EXP(Ft!B$38*($A483-Ft!B$2)^2)),Ft!B$3*((1-Ft!B$7)/(1+Ft!B$39*($A483-Ft!B$2)^2)+Ft!B$7*EXP(Ft!B$40*($A483-Ft!B$2)^2)))</f>
        <v>6.3501552806490684</v>
      </c>
      <c r="G483" s="3">
        <f>IF(($A483-Ft!C$2)&lt;0,Ft!C$3*((1-Ft!C$6)/(1+Ft!C$37*($A483-Ft!C$2)^2)+Ft!C$6*EXP(Ft!C$38*($A483-Ft!C$2)^2)),Ft!C$3*((1-Ft!C$7)/(1+Ft!C$39*($A483-Ft!C$2)^2)+Ft!C$7*EXP(Ft!C$40*($A483-Ft!C$2)^2)))</f>
        <v>56.034906738758274</v>
      </c>
      <c r="H483" s="3">
        <f>IF(($A483-Ft!D$2)&lt;0,Ft!D$3*((1-Ft!D$6)/(1+Ft!D$37*($A483-Ft!D$2)^2)+Ft!D$6*EXP(Ft!D$38*($A483-Ft!D$2)^2)),Ft!D$3*((1-Ft!D$7)/(1+Ft!D$39*($A483-Ft!D$2)^2)+Ft!D$7*EXP(Ft!D$40*($A483-Ft!D$2)^2)))</f>
        <v>4.4865347721382616E-84</v>
      </c>
      <c r="I483" s="3">
        <f>IF(($A483-Ft!E$2)&lt;0,Ft!E$3*((1-Ft!E$6)/(1+Ft!E$37*($A483-Ft!E$2)^2)+Ft!E$6*EXP(Ft!E$38*($A483-Ft!E$2)^2)),Ft!E$3*((1-Ft!E$7)/(1+Ft!E$39*($A483-Ft!E$2)^2)+Ft!E$7*EXP(Ft!E$40*($A483-Ft!E$2)^2)))</f>
        <v>72.784280456225133</v>
      </c>
      <c r="J483" s="3">
        <f>IF(($A483-Ft!F$2)&lt;0,Ft!F$3*((1-Ft!F$6)/(1+Ft!F$37*($A483-Ft!F$2)^2)+Ft!F$6*EXP(Ft!F$38*($A483-Ft!F$2)^2)),Ft!F$3*((1-Ft!F$7)/(1+Ft!F$39*($A483-Ft!F$2)^2)+Ft!F$7*EXP(Ft!F$40*($A483-Ft!F$2)^2)))</f>
        <v>99.532272196092563</v>
      </c>
      <c r="K483" s="3">
        <f>IF(($A483-Ft!G$2)&lt;0,Ft!G$3*((1-Ft!G$6)/(1+Ft!G$37*($A483-Ft!G$2)^2)+Ft!G$6*EXP(Ft!G$38*($A483-Ft!G$2)^2)),Ft!G$3*((1-Ft!G$7)/(1+Ft!G$39*($A483-Ft!G$2)^2)+Ft!G$7*EXP(Ft!G$40*($A483-Ft!G$2)^2)))</f>
        <v>0.40973928876990318</v>
      </c>
      <c r="L483" s="3">
        <f>IF(($A483-Ft!H$2)&lt;0,Ft!H$3*((1-Ft!H$6)/(1+Ft!H$37*($A483-Ft!H$2)^2)+Ft!H$6*EXP(Ft!H$38*($A483-Ft!H$2)^2)),Ft!H$3*((1-Ft!H$7)/(1+Ft!H$39*($A483-Ft!H$2)^2)+Ft!H$7*EXP(Ft!H$40*($A483-Ft!H$2)^2)))</f>
        <v>0</v>
      </c>
      <c r="M483" s="3">
        <f>IF(($A483-Ft!I$2)&lt;0,Ft!I$3*((1-Ft!I$6)/(1+Ft!I$37*($A483-Ft!I$2)^2)+Ft!I$6*EXP(Ft!I$38*($A483-Ft!I$2)^2)),Ft!I$3*((1-Ft!I$7)/(1+Ft!I$39*($A483-Ft!I$2)^2)+Ft!I$7*EXP(Ft!I$40*($A483-Ft!I$2)^2)))</f>
        <v>0</v>
      </c>
      <c r="N483" s="3">
        <f>IF(($A483-Ft!J$2)&lt;0,Ft!J$3*((1-Ft!J$6)/(1+Ft!J$37*($A483-Ft!J$2)^2)+Ft!J$6*EXP(Ft!J$38*($A483-Ft!J$2)^2)),Ft!J$3*((1-Ft!J$7)/(1+Ft!J$39*($A483-Ft!J$2)^2)+Ft!J$7*EXP(Ft!J$40*($A483-Ft!J$2)^2)))</f>
        <v>0</v>
      </c>
      <c r="O483" s="3">
        <f>IF(($A483-Ft!K$2)&lt;0,Ft!K$3*((1-Ft!K$6)/(1+Ft!K$37*($A483-Ft!K$2)^2)+Ft!K$6*EXP(Ft!K$38*($A483-Ft!K$2)^2)),Ft!K$3*((1-Ft!K$7)/(1+Ft!K$39*($A483-Ft!K$2)^2)+Ft!K$7*EXP(Ft!K$40*($A483-Ft!K$2)^2)))</f>
        <v>0</v>
      </c>
      <c r="P483"/>
      <c r="Q483"/>
    </row>
    <row r="484" spans="1:17">
      <c r="A484" s="20">
        <v>965</v>
      </c>
      <c r="B484" s="29">
        <v>35.146941465291093</v>
      </c>
      <c r="C484" s="7">
        <f t="shared" si="15"/>
        <v>34.829399789573834</v>
      </c>
      <c r="D484" s="3">
        <f t="shared" si="14"/>
        <v>0.10083271581732452</v>
      </c>
      <c r="E484" s="3">
        <f>Ft!$B$12+Ft!$B$14*(Data!A484-Vars!$B$3)</f>
        <v>-200</v>
      </c>
      <c r="F484" s="3">
        <f>IF(($A484-Ft!B$2)&lt;0,Ft!B$3*((1-Ft!B$6)/(1+Ft!B$37*($A484-Ft!B$2)^2)+Ft!B$6*EXP(Ft!B$38*($A484-Ft!B$2)^2)),Ft!B$3*((1-Ft!B$7)/(1+Ft!B$39*($A484-Ft!B$2)^2)+Ft!B$7*EXP(Ft!B$40*($A484-Ft!B$2)^2)))</f>
        <v>6.2786995716487306</v>
      </c>
      <c r="G484" s="3">
        <f>IF(($A484-Ft!C$2)&lt;0,Ft!C$3*((1-Ft!C$6)/(1+Ft!C$37*($A484-Ft!C$2)^2)+Ft!C$6*EXP(Ft!C$38*($A484-Ft!C$2)^2)),Ft!C$3*((1-Ft!C$7)/(1+Ft!C$39*($A484-Ft!C$2)^2)+Ft!C$7*EXP(Ft!C$40*($A484-Ft!C$2)^2)))</f>
        <v>56.019599692860986</v>
      </c>
      <c r="H484" s="3">
        <f>IF(($A484-Ft!D$2)&lt;0,Ft!D$3*((1-Ft!D$6)/(1+Ft!D$37*($A484-Ft!D$2)^2)+Ft!D$6*EXP(Ft!D$38*($A484-Ft!D$2)^2)),Ft!D$3*((1-Ft!D$7)/(1+Ft!D$39*($A484-Ft!D$2)^2)+Ft!D$7*EXP(Ft!D$40*($A484-Ft!D$2)^2)))</f>
        <v>1.0417110570515942E-84</v>
      </c>
      <c r="I484" s="3">
        <f>IF(($A484-Ft!E$2)&lt;0,Ft!E$3*((1-Ft!E$6)/(1+Ft!E$37*($A484-Ft!E$2)^2)+Ft!E$6*EXP(Ft!E$38*($A484-Ft!E$2)^2)),Ft!E$3*((1-Ft!E$7)/(1+Ft!E$39*($A484-Ft!E$2)^2)+Ft!E$7*EXP(Ft!E$40*($A484-Ft!E$2)^2)))</f>
        <v>72.270936759520183</v>
      </c>
      <c r="J484" s="3">
        <f>IF(($A484-Ft!F$2)&lt;0,Ft!F$3*((1-Ft!F$6)/(1+Ft!F$37*($A484-Ft!F$2)^2)+Ft!F$6*EXP(Ft!F$38*($A484-Ft!F$2)^2)),Ft!F$3*((1-Ft!F$7)/(1+Ft!F$39*($A484-Ft!F$2)^2)+Ft!F$7*EXP(Ft!F$40*($A484-Ft!F$2)^2)))</f>
        <v>99.863159173592933</v>
      </c>
      <c r="K484" s="3">
        <f>IF(($A484-Ft!G$2)&lt;0,Ft!G$3*((1-Ft!G$6)/(1+Ft!G$37*($A484-Ft!G$2)^2)+Ft!G$6*EXP(Ft!G$38*($A484-Ft!G$2)^2)),Ft!G$3*((1-Ft!G$7)/(1+Ft!G$39*($A484-Ft!G$2)^2)+Ft!G$7*EXP(Ft!G$40*($A484-Ft!G$2)^2)))</f>
        <v>0.39700459195099863</v>
      </c>
      <c r="L484" s="3">
        <f>IF(($A484-Ft!H$2)&lt;0,Ft!H$3*((1-Ft!H$6)/(1+Ft!H$37*($A484-Ft!H$2)^2)+Ft!H$6*EXP(Ft!H$38*($A484-Ft!H$2)^2)),Ft!H$3*((1-Ft!H$7)/(1+Ft!H$39*($A484-Ft!H$2)^2)+Ft!H$7*EXP(Ft!H$40*($A484-Ft!H$2)^2)))</f>
        <v>0</v>
      </c>
      <c r="M484" s="3">
        <f>IF(($A484-Ft!I$2)&lt;0,Ft!I$3*((1-Ft!I$6)/(1+Ft!I$37*($A484-Ft!I$2)^2)+Ft!I$6*EXP(Ft!I$38*($A484-Ft!I$2)^2)),Ft!I$3*((1-Ft!I$7)/(1+Ft!I$39*($A484-Ft!I$2)^2)+Ft!I$7*EXP(Ft!I$40*($A484-Ft!I$2)^2)))</f>
        <v>0</v>
      </c>
      <c r="N484" s="3">
        <f>IF(($A484-Ft!J$2)&lt;0,Ft!J$3*((1-Ft!J$6)/(1+Ft!J$37*($A484-Ft!J$2)^2)+Ft!J$6*EXP(Ft!J$38*($A484-Ft!J$2)^2)),Ft!J$3*((1-Ft!J$7)/(1+Ft!J$39*($A484-Ft!J$2)^2)+Ft!J$7*EXP(Ft!J$40*($A484-Ft!J$2)^2)))</f>
        <v>0</v>
      </c>
      <c r="O484" s="3">
        <f>IF(($A484-Ft!K$2)&lt;0,Ft!K$3*((1-Ft!K$6)/(1+Ft!K$37*($A484-Ft!K$2)^2)+Ft!K$6*EXP(Ft!K$38*($A484-Ft!K$2)^2)),Ft!K$3*((1-Ft!K$7)/(1+Ft!K$39*($A484-Ft!K$2)^2)+Ft!K$7*EXP(Ft!K$40*($A484-Ft!K$2)^2)))</f>
        <v>0</v>
      </c>
      <c r="P484"/>
      <c r="Q484"/>
    </row>
    <row r="485" spans="1:17">
      <c r="A485" s="20">
        <v>967</v>
      </c>
      <c r="B485" s="29">
        <v>34.874590446183447</v>
      </c>
      <c r="C485" s="7">
        <f t="shared" si="15"/>
        <v>34.547236694946008</v>
      </c>
      <c r="D485" s="3">
        <f t="shared" si="14"/>
        <v>0.10716047844922305</v>
      </c>
      <c r="E485" s="3">
        <f>Ft!$B$12+Ft!$B$14*(Data!A485-Vars!$B$3)</f>
        <v>-200</v>
      </c>
      <c r="F485" s="3">
        <f>IF(($A485-Ft!B$2)&lt;0,Ft!B$3*((1-Ft!B$6)/(1+Ft!B$37*($A485-Ft!B$2)^2)+Ft!B$6*EXP(Ft!B$38*($A485-Ft!B$2)^2)),Ft!B$3*((1-Ft!B$7)/(1+Ft!B$39*($A485-Ft!B$2)^2)+Ft!B$7*EXP(Ft!B$40*($A485-Ft!B$2)^2)))</f>
        <v>6.2079294343218425</v>
      </c>
      <c r="G485" s="3">
        <f>IF(($A485-Ft!C$2)&lt;0,Ft!C$3*((1-Ft!C$6)/(1+Ft!C$37*($A485-Ft!C$2)^2)+Ft!C$6*EXP(Ft!C$38*($A485-Ft!C$2)^2)),Ft!C$3*((1-Ft!C$7)/(1+Ft!C$39*($A485-Ft!C$2)^2)+Ft!C$7*EXP(Ft!C$40*($A485-Ft!C$2)^2)))</f>
        <v>56.003801989295688</v>
      </c>
      <c r="H485" s="3">
        <f>IF(($A485-Ft!D$2)&lt;0,Ft!D$3*((1-Ft!D$6)/(1+Ft!D$37*($A485-Ft!D$2)^2)+Ft!D$6*EXP(Ft!D$38*($A485-Ft!D$2)^2)),Ft!D$3*((1-Ft!D$7)/(1+Ft!D$39*($A485-Ft!D$2)^2)+Ft!D$7*EXP(Ft!D$40*($A485-Ft!D$2)^2)))</f>
        <v>2.4054016077099099E-85</v>
      </c>
      <c r="I485" s="3">
        <f>IF(($A485-Ft!E$2)&lt;0,Ft!E$3*((1-Ft!E$6)/(1+Ft!E$37*($A485-Ft!E$2)^2)+Ft!E$6*EXP(Ft!E$38*($A485-Ft!E$2)^2)),Ft!E$3*((1-Ft!E$7)/(1+Ft!E$39*($A485-Ft!E$2)^2)+Ft!E$7*EXP(Ft!E$40*($A485-Ft!E$2)^2)))</f>
        <v>71.757052953860011</v>
      </c>
      <c r="J485" s="3">
        <f>IF(($A485-Ft!F$2)&lt;0,Ft!F$3*((1-Ft!F$6)/(1+Ft!F$37*($A485-Ft!F$2)^2)+Ft!F$6*EXP(Ft!F$38*($A485-Ft!F$2)^2)),Ft!F$3*((1-Ft!F$7)/(1+Ft!F$39*($A485-Ft!F$2)^2)+Ft!F$7*EXP(Ft!F$40*($A485-Ft!F$2)^2)))</f>
        <v>100.19382655367768</v>
      </c>
      <c r="K485" s="3">
        <f>IF(($A485-Ft!G$2)&lt;0,Ft!G$3*((1-Ft!G$6)/(1+Ft!G$37*($A485-Ft!G$2)^2)+Ft!G$6*EXP(Ft!G$38*($A485-Ft!G$2)^2)),Ft!G$3*((1-Ft!G$7)/(1+Ft!G$39*($A485-Ft!G$2)^2)+Ft!G$7*EXP(Ft!G$40*($A485-Ft!G$2)^2)))</f>
        <v>0.3846257637907971</v>
      </c>
      <c r="L485" s="3">
        <f>IF(($A485-Ft!H$2)&lt;0,Ft!H$3*((1-Ft!H$6)/(1+Ft!H$37*($A485-Ft!H$2)^2)+Ft!H$6*EXP(Ft!H$38*($A485-Ft!H$2)^2)),Ft!H$3*((1-Ft!H$7)/(1+Ft!H$39*($A485-Ft!H$2)^2)+Ft!H$7*EXP(Ft!H$40*($A485-Ft!H$2)^2)))</f>
        <v>0</v>
      </c>
      <c r="M485" s="3">
        <f>IF(($A485-Ft!I$2)&lt;0,Ft!I$3*((1-Ft!I$6)/(1+Ft!I$37*($A485-Ft!I$2)^2)+Ft!I$6*EXP(Ft!I$38*($A485-Ft!I$2)^2)),Ft!I$3*((1-Ft!I$7)/(1+Ft!I$39*($A485-Ft!I$2)^2)+Ft!I$7*EXP(Ft!I$40*($A485-Ft!I$2)^2)))</f>
        <v>0</v>
      </c>
      <c r="N485" s="3">
        <f>IF(($A485-Ft!J$2)&lt;0,Ft!J$3*((1-Ft!J$6)/(1+Ft!J$37*($A485-Ft!J$2)^2)+Ft!J$6*EXP(Ft!J$38*($A485-Ft!J$2)^2)),Ft!J$3*((1-Ft!J$7)/(1+Ft!J$39*($A485-Ft!J$2)^2)+Ft!J$7*EXP(Ft!J$40*($A485-Ft!J$2)^2)))</f>
        <v>0</v>
      </c>
      <c r="O485" s="3">
        <f>IF(($A485-Ft!K$2)&lt;0,Ft!K$3*((1-Ft!K$6)/(1+Ft!K$37*($A485-Ft!K$2)^2)+Ft!K$6*EXP(Ft!K$38*($A485-Ft!K$2)^2)),Ft!K$3*((1-Ft!K$7)/(1+Ft!K$39*($A485-Ft!K$2)^2)+Ft!K$7*EXP(Ft!K$40*($A485-Ft!K$2)^2)))</f>
        <v>0</v>
      </c>
      <c r="P485"/>
      <c r="Q485"/>
    </row>
    <row r="486" spans="1:17">
      <c r="A486" s="20">
        <v>969</v>
      </c>
      <c r="B486" s="29">
        <v>34.601585650143079</v>
      </c>
      <c r="C486" s="7">
        <f t="shared" si="15"/>
        <v>34.264905253150836</v>
      </c>
      <c r="D486" s="3">
        <f t="shared" ref="D486:D549" si="16">(C486-B486)^2</f>
        <v>0.11335368971885432</v>
      </c>
      <c r="E486" s="3">
        <f>Ft!$B$12+Ft!$B$14*(Data!A486-Vars!$B$3)</f>
        <v>-200</v>
      </c>
      <c r="F486" s="3">
        <f>IF(($A486-Ft!B$2)&lt;0,Ft!B$3*((1-Ft!B$6)/(1+Ft!B$37*($A486-Ft!B$2)^2)+Ft!B$6*EXP(Ft!B$38*($A486-Ft!B$2)^2)),Ft!B$3*((1-Ft!B$7)/(1+Ft!B$39*($A486-Ft!B$2)^2)+Ft!B$7*EXP(Ft!B$40*($A486-Ft!B$2)^2)))</f>
        <v>6.1378398275641013</v>
      </c>
      <c r="G486" s="3">
        <f>IF(($A486-Ft!C$2)&lt;0,Ft!C$3*((1-Ft!C$6)/(1+Ft!C$37*($A486-Ft!C$2)^2)+Ft!C$6*EXP(Ft!C$38*($A486-Ft!C$2)^2)),Ft!C$3*((1-Ft!C$7)/(1+Ft!C$39*($A486-Ft!C$2)^2)+Ft!C$7*EXP(Ft!C$40*($A486-Ft!C$2)^2)))</f>
        <v>55.987514045558633</v>
      </c>
      <c r="H486" s="3">
        <f>IF(($A486-Ft!D$2)&lt;0,Ft!D$3*((1-Ft!D$6)/(1+Ft!D$37*($A486-Ft!D$2)^2)+Ft!D$6*EXP(Ft!D$38*($A486-Ft!D$2)^2)),Ft!D$3*((1-Ft!D$7)/(1+Ft!D$39*($A486-Ft!D$2)^2)+Ft!D$7*EXP(Ft!D$40*($A486-Ft!D$2)^2)))</f>
        <v>5.5237244655583764E-86</v>
      </c>
      <c r="I486" s="3">
        <f>IF(($A486-Ft!E$2)&lt;0,Ft!E$3*((1-Ft!E$6)/(1+Ft!E$37*($A486-Ft!E$2)^2)+Ft!E$6*EXP(Ft!E$38*($A486-Ft!E$2)^2)),Ft!E$3*((1-Ft!E$7)/(1+Ft!E$39*($A486-Ft!E$2)^2)+Ft!E$7*EXP(Ft!E$40*($A486-Ft!E$2)^2)))</f>
        <v>71.242692257519835</v>
      </c>
      <c r="J486" s="3">
        <f>IF(($A486-Ft!F$2)&lt;0,Ft!F$3*((1-Ft!F$6)/(1+Ft!F$37*($A486-Ft!F$2)^2)+Ft!F$6*EXP(Ft!F$38*($A486-Ft!F$2)^2)),Ft!F$3*((1-Ft!F$7)/(1+Ft!F$39*($A486-Ft!F$2)^2)+Ft!F$7*EXP(Ft!F$40*($A486-Ft!F$2)^2)))</f>
        <v>100.5242648847893</v>
      </c>
      <c r="K486" s="3">
        <f>IF(($A486-Ft!G$2)&lt;0,Ft!G$3*((1-Ft!G$6)/(1+Ft!G$37*($A486-Ft!G$2)^2)+Ft!G$6*EXP(Ft!G$38*($A486-Ft!G$2)^2)),Ft!G$3*((1-Ft!G$7)/(1+Ft!G$39*($A486-Ft!G$2)^2)+Ft!G$7*EXP(Ft!G$40*($A486-Ft!G$2)^2)))</f>
        <v>0.37259423771895017</v>
      </c>
      <c r="L486" s="3">
        <f>IF(($A486-Ft!H$2)&lt;0,Ft!H$3*((1-Ft!H$6)/(1+Ft!H$37*($A486-Ft!H$2)^2)+Ft!H$6*EXP(Ft!H$38*($A486-Ft!H$2)^2)),Ft!H$3*((1-Ft!H$7)/(1+Ft!H$39*($A486-Ft!H$2)^2)+Ft!H$7*EXP(Ft!H$40*($A486-Ft!H$2)^2)))</f>
        <v>0</v>
      </c>
      <c r="M486" s="3">
        <f>IF(($A486-Ft!I$2)&lt;0,Ft!I$3*((1-Ft!I$6)/(1+Ft!I$37*($A486-Ft!I$2)^2)+Ft!I$6*EXP(Ft!I$38*($A486-Ft!I$2)^2)),Ft!I$3*((1-Ft!I$7)/(1+Ft!I$39*($A486-Ft!I$2)^2)+Ft!I$7*EXP(Ft!I$40*($A486-Ft!I$2)^2)))</f>
        <v>0</v>
      </c>
      <c r="N486" s="3">
        <f>IF(($A486-Ft!J$2)&lt;0,Ft!J$3*((1-Ft!J$6)/(1+Ft!J$37*($A486-Ft!J$2)^2)+Ft!J$6*EXP(Ft!J$38*($A486-Ft!J$2)^2)),Ft!J$3*((1-Ft!J$7)/(1+Ft!J$39*($A486-Ft!J$2)^2)+Ft!J$7*EXP(Ft!J$40*($A486-Ft!J$2)^2)))</f>
        <v>0</v>
      </c>
      <c r="O486" s="3">
        <f>IF(($A486-Ft!K$2)&lt;0,Ft!K$3*((1-Ft!K$6)/(1+Ft!K$37*($A486-Ft!K$2)^2)+Ft!K$6*EXP(Ft!K$38*($A486-Ft!K$2)^2)),Ft!K$3*((1-Ft!K$7)/(1+Ft!K$39*($A486-Ft!K$2)^2)+Ft!K$7*EXP(Ft!K$40*($A486-Ft!K$2)^2)))</f>
        <v>0</v>
      </c>
      <c r="P486"/>
      <c r="Q486"/>
    </row>
    <row r="487" spans="1:17">
      <c r="A487" s="20">
        <v>971</v>
      </c>
      <c r="B487" s="29">
        <v>34.327956457342935</v>
      </c>
      <c r="C487" s="7">
        <f t="shared" si="15"/>
        <v>33.982445841968946</v>
      </c>
      <c r="D487" s="3">
        <f t="shared" si="16"/>
        <v>0.11937758533611262</v>
      </c>
      <c r="E487" s="3">
        <f>Ft!$B$12+Ft!$B$14*(Data!A487-Vars!$B$3)</f>
        <v>-200</v>
      </c>
      <c r="F487" s="3">
        <f>IF(($A487-Ft!B$2)&lt;0,Ft!B$3*((1-Ft!B$6)/(1+Ft!B$37*($A487-Ft!B$2)^2)+Ft!B$6*EXP(Ft!B$38*($A487-Ft!B$2)^2)),Ft!B$3*((1-Ft!B$7)/(1+Ft!B$39*($A487-Ft!B$2)^2)+Ft!B$7*EXP(Ft!B$40*($A487-Ft!B$2)^2)))</f>
        <v>6.0684257283924232</v>
      </c>
      <c r="G487" s="3">
        <f>IF(($A487-Ft!C$2)&lt;0,Ft!C$3*((1-Ft!C$6)/(1+Ft!C$37*($A487-Ft!C$2)^2)+Ft!C$6*EXP(Ft!C$38*($A487-Ft!C$2)^2)),Ft!C$3*((1-Ft!C$7)/(1+Ft!C$39*($A487-Ft!C$2)^2)+Ft!C$7*EXP(Ft!C$40*($A487-Ft!C$2)^2)))</f>
        <v>55.970736292019559</v>
      </c>
      <c r="H487" s="3">
        <f>IF(($A487-Ft!D$2)&lt;0,Ft!D$3*((1-Ft!D$6)/(1+Ft!D$37*($A487-Ft!D$2)^2)+Ft!D$6*EXP(Ft!D$38*($A487-Ft!D$2)^2)),Ft!D$3*((1-Ft!D$7)/(1+Ft!D$39*($A487-Ft!D$2)^2)+Ft!D$7*EXP(Ft!D$40*($A487-Ft!D$2)^2)))</f>
        <v>1.2614803911997082E-86</v>
      </c>
      <c r="I487" s="3">
        <f>IF(($A487-Ft!E$2)&lt;0,Ft!E$3*((1-Ft!E$6)/(1+Ft!E$37*($A487-Ft!E$2)^2)+Ft!E$6*EXP(Ft!E$38*($A487-Ft!E$2)^2)),Ft!E$3*((1-Ft!E$7)/(1+Ft!E$39*($A487-Ft!E$2)^2)+Ft!E$7*EXP(Ft!E$40*($A487-Ft!E$2)^2)))</f>
        <v>70.727917520100107</v>
      </c>
      <c r="J487" s="3">
        <f>IF(($A487-Ft!F$2)&lt;0,Ft!F$3*((1-Ft!F$6)/(1+Ft!F$37*($A487-Ft!F$2)^2)+Ft!F$6*EXP(Ft!F$38*($A487-Ft!F$2)^2)),Ft!F$3*((1-Ft!F$7)/(1+Ft!F$39*($A487-Ft!F$2)^2)+Ft!F$7*EXP(Ft!F$40*($A487-Ft!F$2)^2)))</f>
        <v>100.85446469320171</v>
      </c>
      <c r="K487" s="3">
        <f>IF(($A487-Ft!G$2)&lt;0,Ft!G$3*((1-Ft!G$6)/(1+Ft!G$37*($A487-Ft!G$2)^2)+Ft!G$6*EXP(Ft!G$38*($A487-Ft!G$2)^2)),Ft!G$3*((1-Ft!G$7)/(1+Ft!G$39*($A487-Ft!G$2)^2)+Ft!G$7*EXP(Ft!G$40*($A487-Ft!G$2)^2)))</f>
        <v>0.36090160825516687</v>
      </c>
      <c r="L487" s="3">
        <f>IF(($A487-Ft!H$2)&lt;0,Ft!H$3*((1-Ft!H$6)/(1+Ft!H$37*($A487-Ft!H$2)^2)+Ft!H$6*EXP(Ft!H$38*($A487-Ft!H$2)^2)),Ft!H$3*((1-Ft!H$7)/(1+Ft!H$39*($A487-Ft!H$2)^2)+Ft!H$7*EXP(Ft!H$40*($A487-Ft!H$2)^2)))</f>
        <v>0</v>
      </c>
      <c r="M487" s="3">
        <f>IF(($A487-Ft!I$2)&lt;0,Ft!I$3*((1-Ft!I$6)/(1+Ft!I$37*($A487-Ft!I$2)^2)+Ft!I$6*EXP(Ft!I$38*($A487-Ft!I$2)^2)),Ft!I$3*((1-Ft!I$7)/(1+Ft!I$39*($A487-Ft!I$2)^2)+Ft!I$7*EXP(Ft!I$40*($A487-Ft!I$2)^2)))</f>
        <v>0</v>
      </c>
      <c r="N487" s="3">
        <f>IF(($A487-Ft!J$2)&lt;0,Ft!J$3*((1-Ft!J$6)/(1+Ft!J$37*($A487-Ft!J$2)^2)+Ft!J$6*EXP(Ft!J$38*($A487-Ft!J$2)^2)),Ft!J$3*((1-Ft!J$7)/(1+Ft!J$39*($A487-Ft!J$2)^2)+Ft!J$7*EXP(Ft!J$40*($A487-Ft!J$2)^2)))</f>
        <v>0</v>
      </c>
      <c r="O487" s="3">
        <f>IF(($A487-Ft!K$2)&lt;0,Ft!K$3*((1-Ft!K$6)/(1+Ft!K$37*($A487-Ft!K$2)^2)+Ft!K$6*EXP(Ft!K$38*($A487-Ft!K$2)^2)),Ft!K$3*((1-Ft!K$7)/(1+Ft!K$39*($A487-Ft!K$2)^2)+Ft!K$7*EXP(Ft!K$40*($A487-Ft!K$2)^2)))</f>
        <v>0</v>
      </c>
      <c r="P487"/>
      <c r="Q487"/>
    </row>
    <row r="488" spans="1:17">
      <c r="A488" s="20">
        <v>973</v>
      </c>
      <c r="B488" s="29">
        <v>34.053732352085447</v>
      </c>
      <c r="C488" s="7">
        <f t="shared" si="15"/>
        <v>33.699898627522046</v>
      </c>
      <c r="D488" s="3">
        <f t="shared" si="16"/>
        <v>0.12519830463840881</v>
      </c>
      <c r="E488" s="3">
        <f>Ft!$B$12+Ft!$B$14*(Data!A488-Vars!$B$3)</f>
        <v>-200</v>
      </c>
      <c r="F488" s="3">
        <f>IF(($A488-Ft!B$2)&lt;0,Ft!B$3*((1-Ft!B$6)/(1+Ft!B$37*($A488-Ft!B$2)^2)+Ft!B$6*EXP(Ft!B$38*($A488-Ft!B$2)^2)),Ft!B$3*((1-Ft!B$7)/(1+Ft!B$39*($A488-Ft!B$2)^2)+Ft!B$7*EXP(Ft!B$40*($A488-Ft!B$2)^2)))</f>
        <v>5.9996821321216736</v>
      </c>
      <c r="G488" s="3">
        <f>IF(($A488-Ft!C$2)&lt;0,Ft!C$3*((1-Ft!C$6)/(1+Ft!C$37*($A488-Ft!C$2)^2)+Ft!C$6*EXP(Ft!C$38*($A488-Ft!C$2)^2)),Ft!C$3*((1-Ft!C$7)/(1+Ft!C$39*($A488-Ft!C$2)^2)+Ft!C$7*EXP(Ft!C$40*($A488-Ft!C$2)^2)))</f>
        <v>55.953469171902661</v>
      </c>
      <c r="H488" s="3">
        <f>IF(($A488-Ft!D$2)&lt;0,Ft!D$3*((1-Ft!D$6)/(1+Ft!D$37*($A488-Ft!D$2)^2)+Ft!D$6*EXP(Ft!D$38*($A488-Ft!D$2)^2)),Ft!D$3*((1-Ft!D$7)/(1+Ft!D$39*($A488-Ft!D$2)^2)+Ft!D$7*EXP(Ft!D$40*($A488-Ft!D$2)^2)))</f>
        <v>2.8650558237976978E-87</v>
      </c>
      <c r="I488" s="3">
        <f>IF(($A488-Ft!E$2)&lt;0,Ft!E$3*((1-Ft!E$6)/(1+Ft!E$37*($A488-Ft!E$2)^2)+Ft!E$6*EXP(Ft!E$38*($A488-Ft!E$2)^2)),Ft!E$3*((1-Ft!E$7)/(1+Ft!E$39*($A488-Ft!E$2)^2)+Ft!E$7*EXP(Ft!E$40*($A488-Ft!E$2)^2)))</f>
        <v>70.21279121064569</v>
      </c>
      <c r="J488" s="3">
        <f>IF(($A488-Ft!F$2)&lt;0,Ft!F$3*((1-Ft!F$6)/(1+Ft!F$37*($A488-Ft!F$2)^2)+Ft!F$6*EXP(Ft!F$38*($A488-Ft!F$2)^2)),Ft!F$3*((1-Ft!F$7)/(1+Ft!F$39*($A488-Ft!F$2)^2)+Ft!F$7*EXP(Ft!F$40*($A488-Ft!F$2)^2)))</f>
        <v>101.18441648344694</v>
      </c>
      <c r="K488" s="3">
        <f>IF(($A488-Ft!G$2)&lt;0,Ft!G$3*((1-Ft!G$6)/(1+Ft!G$37*($A488-Ft!G$2)^2)+Ft!G$6*EXP(Ft!G$38*($A488-Ft!G$2)^2)),Ft!G$3*((1-Ft!G$7)/(1+Ft!G$39*($A488-Ft!G$2)^2)+Ft!G$7*EXP(Ft!G$40*($A488-Ft!G$2)^2)))</f>
        <v>0.34953962940507477</v>
      </c>
      <c r="L488" s="3">
        <f>IF(($A488-Ft!H$2)&lt;0,Ft!H$3*((1-Ft!H$6)/(1+Ft!H$37*($A488-Ft!H$2)^2)+Ft!H$6*EXP(Ft!H$38*($A488-Ft!H$2)^2)),Ft!H$3*((1-Ft!H$7)/(1+Ft!H$39*($A488-Ft!H$2)^2)+Ft!H$7*EXP(Ft!H$40*($A488-Ft!H$2)^2)))</f>
        <v>0</v>
      </c>
      <c r="M488" s="3">
        <f>IF(($A488-Ft!I$2)&lt;0,Ft!I$3*((1-Ft!I$6)/(1+Ft!I$37*($A488-Ft!I$2)^2)+Ft!I$6*EXP(Ft!I$38*($A488-Ft!I$2)^2)),Ft!I$3*((1-Ft!I$7)/(1+Ft!I$39*($A488-Ft!I$2)^2)+Ft!I$7*EXP(Ft!I$40*($A488-Ft!I$2)^2)))</f>
        <v>0</v>
      </c>
      <c r="N488" s="3">
        <f>IF(($A488-Ft!J$2)&lt;0,Ft!J$3*((1-Ft!J$6)/(1+Ft!J$37*($A488-Ft!J$2)^2)+Ft!J$6*EXP(Ft!J$38*($A488-Ft!J$2)^2)),Ft!J$3*((1-Ft!J$7)/(1+Ft!J$39*($A488-Ft!J$2)^2)+Ft!J$7*EXP(Ft!J$40*($A488-Ft!J$2)^2)))</f>
        <v>0</v>
      </c>
      <c r="O488" s="3">
        <f>IF(($A488-Ft!K$2)&lt;0,Ft!K$3*((1-Ft!K$6)/(1+Ft!K$37*($A488-Ft!K$2)^2)+Ft!K$6*EXP(Ft!K$38*($A488-Ft!K$2)^2)),Ft!K$3*((1-Ft!K$7)/(1+Ft!K$39*($A488-Ft!K$2)^2)+Ft!K$7*EXP(Ft!K$40*($A488-Ft!K$2)^2)))</f>
        <v>0</v>
      </c>
      <c r="P488"/>
      <c r="Q488"/>
    </row>
    <row r="489" spans="1:17">
      <c r="A489" s="20">
        <v>975</v>
      </c>
      <c r="B489" s="29">
        <v>33.778942917719789</v>
      </c>
      <c r="C489" s="7">
        <f t="shared" si="15"/>
        <v>33.417303551535028</v>
      </c>
      <c r="D489" s="3">
        <f t="shared" si="16"/>
        <v>0.13078303117451565</v>
      </c>
      <c r="E489" s="3">
        <f>Ft!$B$12+Ft!$B$14*(Data!A489-Vars!$B$3)</f>
        <v>-200</v>
      </c>
      <c r="F489" s="3">
        <f>IF(($A489-Ft!B$2)&lt;0,Ft!B$3*((1-Ft!B$6)/(1+Ft!B$37*($A489-Ft!B$2)^2)+Ft!B$6*EXP(Ft!B$38*($A489-Ft!B$2)^2)),Ft!B$3*((1-Ft!B$7)/(1+Ft!B$39*($A489-Ft!B$2)^2)+Ft!B$7*EXP(Ft!B$40*($A489-Ft!B$2)^2)))</f>
        <v>5.9316040525376454</v>
      </c>
      <c r="G489" s="3">
        <f>IF(($A489-Ft!C$2)&lt;0,Ft!C$3*((1-Ft!C$6)/(1+Ft!C$37*($A489-Ft!C$2)^2)+Ft!C$6*EXP(Ft!C$38*($A489-Ft!C$2)^2)),Ft!C$3*((1-Ft!C$7)/(1+Ft!C$39*($A489-Ft!C$2)^2)+Ft!C$7*EXP(Ft!C$40*($A489-Ft!C$2)^2)))</f>
        <v>55.935713141267122</v>
      </c>
      <c r="H489" s="3">
        <f>IF(($A489-Ft!D$2)&lt;0,Ft!D$3*((1-Ft!D$6)/(1+Ft!D$37*($A489-Ft!D$2)^2)+Ft!D$6*EXP(Ft!D$38*($A489-Ft!D$2)^2)),Ft!D$3*((1-Ft!D$7)/(1+Ft!D$39*($A489-Ft!D$2)^2)+Ft!D$7*EXP(Ft!D$40*($A489-Ft!D$2)^2)))</f>
        <v>6.4712735676870897E-88</v>
      </c>
      <c r="I489" s="3">
        <f>IF(($A489-Ft!E$2)&lt;0,Ft!E$3*((1-Ft!E$6)/(1+Ft!E$37*($A489-Ft!E$2)^2)+Ft!E$6*EXP(Ft!E$38*($A489-Ft!E$2)^2)),Ft!E$3*((1-Ft!E$7)/(1+Ft!E$39*($A489-Ft!E$2)^2)+Ft!E$7*EXP(Ft!E$40*($A489-Ft!E$2)^2)))</f>
        <v>69.697375405960457</v>
      </c>
      <c r="J489" s="3">
        <f>IF(($A489-Ft!F$2)&lt;0,Ft!F$3*((1-Ft!F$6)/(1+Ft!F$37*($A489-Ft!F$2)^2)+Ft!F$6*EXP(Ft!F$38*($A489-Ft!F$2)^2)),Ft!F$3*((1-Ft!F$7)/(1+Ft!F$39*($A489-Ft!F$2)^2)+Ft!F$7*EXP(Ft!F$40*($A489-Ft!F$2)^2)))</f>
        <v>101.51411073874493</v>
      </c>
      <c r="K489" s="3">
        <f>IF(($A489-Ft!G$2)&lt;0,Ft!G$3*((1-Ft!G$6)/(1+Ft!G$37*($A489-Ft!G$2)^2)+Ft!G$6*EXP(Ft!G$38*($A489-Ft!G$2)^2)),Ft!G$3*((1-Ft!G$7)/(1+Ft!G$39*($A489-Ft!G$2)^2)+Ft!G$7*EXP(Ft!G$40*($A489-Ft!G$2)^2)))</f>
        <v>0.33850021302488525</v>
      </c>
      <c r="L489" s="3">
        <f>IF(($A489-Ft!H$2)&lt;0,Ft!H$3*((1-Ft!H$6)/(1+Ft!H$37*($A489-Ft!H$2)^2)+Ft!H$6*EXP(Ft!H$38*($A489-Ft!H$2)^2)),Ft!H$3*((1-Ft!H$7)/(1+Ft!H$39*($A489-Ft!H$2)^2)+Ft!H$7*EXP(Ft!H$40*($A489-Ft!H$2)^2)))</f>
        <v>0</v>
      </c>
      <c r="M489" s="3">
        <f>IF(($A489-Ft!I$2)&lt;0,Ft!I$3*((1-Ft!I$6)/(1+Ft!I$37*($A489-Ft!I$2)^2)+Ft!I$6*EXP(Ft!I$38*($A489-Ft!I$2)^2)),Ft!I$3*((1-Ft!I$7)/(1+Ft!I$39*($A489-Ft!I$2)^2)+Ft!I$7*EXP(Ft!I$40*($A489-Ft!I$2)^2)))</f>
        <v>0</v>
      </c>
      <c r="N489" s="3">
        <f>IF(($A489-Ft!J$2)&lt;0,Ft!J$3*((1-Ft!J$6)/(1+Ft!J$37*($A489-Ft!J$2)^2)+Ft!J$6*EXP(Ft!J$38*($A489-Ft!J$2)^2)),Ft!J$3*((1-Ft!J$7)/(1+Ft!J$39*($A489-Ft!J$2)^2)+Ft!J$7*EXP(Ft!J$40*($A489-Ft!J$2)^2)))</f>
        <v>0</v>
      </c>
      <c r="O489" s="3">
        <f>IF(($A489-Ft!K$2)&lt;0,Ft!K$3*((1-Ft!K$6)/(1+Ft!K$37*($A489-Ft!K$2)^2)+Ft!K$6*EXP(Ft!K$38*($A489-Ft!K$2)^2)),Ft!K$3*((1-Ft!K$7)/(1+Ft!K$39*($A489-Ft!K$2)^2)+Ft!K$7*EXP(Ft!K$40*($A489-Ft!K$2)^2)))</f>
        <v>0</v>
      </c>
      <c r="P489"/>
      <c r="Q489"/>
    </row>
    <row r="490" spans="1:17">
      <c r="A490" s="20">
        <v>977</v>
      </c>
      <c r="B490" s="29">
        <v>33.503617831539728</v>
      </c>
      <c r="C490" s="7">
        <f t="shared" si="15"/>
        <v>33.134700318765944</v>
      </c>
      <c r="D490" s="3">
        <f t="shared" si="16"/>
        <v>0.1361001312311951</v>
      </c>
      <c r="E490" s="3">
        <f>Ft!$B$12+Ft!$B$14*(Data!A490-Vars!$B$3)</f>
        <v>-200</v>
      </c>
      <c r="F490" s="3">
        <f>IF(($A490-Ft!B$2)&lt;0,Ft!B$3*((1-Ft!B$6)/(1+Ft!B$37*($A490-Ft!B$2)^2)+Ft!B$6*EXP(Ft!B$38*($A490-Ft!B$2)^2)),Ft!B$3*((1-Ft!B$7)/(1+Ft!B$39*($A490-Ft!B$2)^2)+Ft!B$7*EXP(Ft!B$40*($A490-Ft!B$2)^2)))</f>
        <v>5.8641865220663476</v>
      </c>
      <c r="G490" s="3">
        <f>IF(($A490-Ft!C$2)&lt;0,Ft!C$3*((1-Ft!C$6)/(1+Ft!C$37*($A490-Ft!C$2)^2)+Ft!C$6*EXP(Ft!C$38*($A490-Ft!C$2)^2)),Ft!C$3*((1-Ft!C$7)/(1+Ft!C$39*($A490-Ft!C$2)^2)+Ft!C$7*EXP(Ft!C$40*($A490-Ft!C$2)^2)))</f>
        <v>55.917468668987055</v>
      </c>
      <c r="H490" s="3">
        <f>IF(($A490-Ft!D$2)&lt;0,Ft!D$3*((1-Ft!D$6)/(1+Ft!D$37*($A490-Ft!D$2)^2)+Ft!D$6*EXP(Ft!D$38*($A490-Ft!D$2)^2)),Ft!D$3*((1-Ft!D$7)/(1+Ft!D$39*($A490-Ft!D$2)^2)+Ft!D$7*EXP(Ft!D$40*($A490-Ft!D$2)^2)))</f>
        <v>1.4536187560402602E-88</v>
      </c>
      <c r="I490" s="3">
        <f>IF(($A490-Ft!E$2)&lt;0,Ft!E$3*((1-Ft!E$6)/(1+Ft!E$37*($A490-Ft!E$2)^2)+Ft!E$6*EXP(Ft!E$38*($A490-Ft!E$2)^2)),Ft!E$3*((1-Ft!E$7)/(1+Ft!E$39*($A490-Ft!E$2)^2)+Ft!E$7*EXP(Ft!E$40*($A490-Ft!E$2)^2)))</f>
        <v>69.181731779119787</v>
      </c>
      <c r="J490" s="3">
        <f>IF(($A490-Ft!F$2)&lt;0,Ft!F$3*((1-Ft!F$6)/(1+Ft!F$37*($A490-Ft!F$2)^2)+Ft!F$6*EXP(Ft!F$38*($A490-Ft!F$2)^2)),Ft!F$3*((1-Ft!F$7)/(1+Ft!F$39*($A490-Ft!F$2)^2)+Ft!F$7*EXP(Ft!F$40*($A490-Ft!F$2)^2)))</f>
        <v>101.84353792143592</v>
      </c>
      <c r="K490" s="3">
        <f>IF(($A490-Ft!G$2)&lt;0,Ft!G$3*((1-Ft!G$6)/(1+Ft!G$37*($A490-Ft!G$2)^2)+Ft!G$6*EXP(Ft!G$38*($A490-Ft!G$2)^2)),Ft!G$3*((1-Ft!G$7)/(1+Ft!G$39*($A490-Ft!G$2)^2)+Ft!G$7*EXP(Ft!G$40*($A490-Ft!G$2)^2)))</f>
        <v>0.32777542715683139</v>
      </c>
      <c r="L490" s="3">
        <f>IF(($A490-Ft!H$2)&lt;0,Ft!H$3*((1-Ft!H$6)/(1+Ft!H$37*($A490-Ft!H$2)^2)+Ft!H$6*EXP(Ft!H$38*($A490-Ft!H$2)^2)),Ft!H$3*((1-Ft!H$7)/(1+Ft!H$39*($A490-Ft!H$2)^2)+Ft!H$7*EXP(Ft!H$40*($A490-Ft!H$2)^2)))</f>
        <v>0</v>
      </c>
      <c r="M490" s="3">
        <f>IF(($A490-Ft!I$2)&lt;0,Ft!I$3*((1-Ft!I$6)/(1+Ft!I$37*($A490-Ft!I$2)^2)+Ft!I$6*EXP(Ft!I$38*($A490-Ft!I$2)^2)),Ft!I$3*((1-Ft!I$7)/(1+Ft!I$39*($A490-Ft!I$2)^2)+Ft!I$7*EXP(Ft!I$40*($A490-Ft!I$2)^2)))</f>
        <v>0</v>
      </c>
      <c r="N490" s="3">
        <f>IF(($A490-Ft!J$2)&lt;0,Ft!J$3*((1-Ft!J$6)/(1+Ft!J$37*($A490-Ft!J$2)^2)+Ft!J$6*EXP(Ft!J$38*($A490-Ft!J$2)^2)),Ft!J$3*((1-Ft!J$7)/(1+Ft!J$39*($A490-Ft!J$2)^2)+Ft!J$7*EXP(Ft!J$40*($A490-Ft!J$2)^2)))</f>
        <v>0</v>
      </c>
      <c r="O490" s="3">
        <f>IF(($A490-Ft!K$2)&lt;0,Ft!K$3*((1-Ft!K$6)/(1+Ft!K$37*($A490-Ft!K$2)^2)+Ft!K$6*EXP(Ft!K$38*($A490-Ft!K$2)^2)),Ft!K$3*((1-Ft!K$7)/(1+Ft!K$39*($A490-Ft!K$2)^2)+Ft!K$7*EXP(Ft!K$40*($A490-Ft!K$2)^2)))</f>
        <v>0</v>
      </c>
      <c r="P490"/>
      <c r="Q490"/>
    </row>
    <row r="491" spans="1:17">
      <c r="A491" s="20">
        <v>979</v>
      </c>
      <c r="B491" s="29">
        <v>33.227786859657797</v>
      </c>
      <c r="C491" s="7">
        <f t="shared" si="15"/>
        <v>32.852128384607411</v>
      </c>
      <c r="D491" s="3">
        <f t="shared" si="16"/>
        <v>0.14111928987718161</v>
      </c>
      <c r="E491" s="3">
        <f>Ft!$B$12+Ft!$B$14*(Data!A491-Vars!$B$3)</f>
        <v>-200</v>
      </c>
      <c r="F491" s="3">
        <f>IF(($A491-Ft!B$2)&lt;0,Ft!B$3*((1-Ft!B$6)/(1+Ft!B$37*($A491-Ft!B$2)^2)+Ft!B$6*EXP(Ft!B$38*($A491-Ft!B$2)^2)),Ft!B$3*((1-Ft!B$7)/(1+Ft!B$39*($A491-Ft!B$2)^2)+Ft!B$7*EXP(Ft!B$40*($A491-Ft!B$2)^2)))</f>
        <v>5.7974245919395928</v>
      </c>
      <c r="G491" s="3">
        <f>IF(($A491-Ft!C$2)&lt;0,Ft!C$3*((1-Ft!C$6)/(1+Ft!C$37*($A491-Ft!C$2)^2)+Ft!C$6*EXP(Ft!C$38*($A491-Ft!C$2)^2)),Ft!C$3*((1-Ft!C$7)/(1+Ft!C$39*($A491-Ft!C$2)^2)+Ft!C$7*EXP(Ft!C$40*($A491-Ft!C$2)^2)))</f>
        <v>55.898736236730812</v>
      </c>
      <c r="H491" s="3">
        <f>IF(($A491-Ft!D$2)&lt;0,Ft!D$3*((1-Ft!D$6)/(1+Ft!D$37*($A491-Ft!D$2)^2)+Ft!D$6*EXP(Ft!D$38*($A491-Ft!D$2)^2)),Ft!D$3*((1-Ft!D$7)/(1+Ft!D$39*($A491-Ft!D$2)^2)+Ft!D$7*EXP(Ft!D$40*($A491-Ft!D$2)^2)))</f>
        <v>3.2472472935751647E-89</v>
      </c>
      <c r="I491" s="3">
        <f>IF(($A491-Ft!E$2)&lt;0,Ft!E$3*((1-Ft!E$6)/(1+Ft!E$37*($A491-Ft!E$2)^2)+Ft!E$6*EXP(Ft!E$38*($A491-Ft!E$2)^2)),Ft!E$3*((1-Ft!E$7)/(1+Ft!E$39*($A491-Ft!E$2)^2)+Ft!E$7*EXP(Ft!E$40*($A491-Ft!E$2)^2)))</f>
        <v>68.66592158818402</v>
      </c>
      <c r="J491" s="3">
        <f>IF(($A491-Ft!F$2)&lt;0,Ft!F$3*((1-Ft!F$6)/(1+Ft!F$37*($A491-Ft!F$2)^2)+Ft!F$6*EXP(Ft!F$38*($A491-Ft!F$2)^2)),Ft!F$3*((1-Ft!F$7)/(1+Ft!F$39*($A491-Ft!F$2)^2)+Ft!F$7*EXP(Ft!F$40*($A491-Ft!F$2)^2)))</f>
        <v>102.17268847341563</v>
      </c>
      <c r="K491" s="3">
        <f>IF(($A491-Ft!G$2)&lt;0,Ft!G$3*((1-Ft!G$6)/(1+Ft!G$37*($A491-Ft!G$2)^2)+Ft!G$6*EXP(Ft!G$38*($A491-Ft!G$2)^2)),Ft!G$3*((1-Ft!G$7)/(1+Ft!G$39*($A491-Ft!G$2)^2)+Ft!G$7*EXP(Ft!G$40*($A491-Ft!G$2)^2)))</f>
        <v>0.31735749433732752</v>
      </c>
      <c r="L491" s="3">
        <f>IF(($A491-Ft!H$2)&lt;0,Ft!H$3*((1-Ft!H$6)/(1+Ft!H$37*($A491-Ft!H$2)^2)+Ft!H$6*EXP(Ft!H$38*($A491-Ft!H$2)^2)),Ft!H$3*((1-Ft!H$7)/(1+Ft!H$39*($A491-Ft!H$2)^2)+Ft!H$7*EXP(Ft!H$40*($A491-Ft!H$2)^2)))</f>
        <v>0</v>
      </c>
      <c r="M491" s="3">
        <f>IF(($A491-Ft!I$2)&lt;0,Ft!I$3*((1-Ft!I$6)/(1+Ft!I$37*($A491-Ft!I$2)^2)+Ft!I$6*EXP(Ft!I$38*($A491-Ft!I$2)^2)),Ft!I$3*((1-Ft!I$7)/(1+Ft!I$39*($A491-Ft!I$2)^2)+Ft!I$7*EXP(Ft!I$40*($A491-Ft!I$2)^2)))</f>
        <v>0</v>
      </c>
      <c r="N491" s="3">
        <f>IF(($A491-Ft!J$2)&lt;0,Ft!J$3*((1-Ft!J$6)/(1+Ft!J$37*($A491-Ft!J$2)^2)+Ft!J$6*EXP(Ft!J$38*($A491-Ft!J$2)^2)),Ft!J$3*((1-Ft!J$7)/(1+Ft!J$39*($A491-Ft!J$2)^2)+Ft!J$7*EXP(Ft!J$40*($A491-Ft!J$2)^2)))</f>
        <v>0</v>
      </c>
      <c r="O491" s="3">
        <f>IF(($A491-Ft!K$2)&lt;0,Ft!K$3*((1-Ft!K$6)/(1+Ft!K$37*($A491-Ft!K$2)^2)+Ft!K$6*EXP(Ft!K$38*($A491-Ft!K$2)^2)),Ft!K$3*((1-Ft!K$7)/(1+Ft!K$39*($A491-Ft!K$2)^2)+Ft!K$7*EXP(Ft!K$40*($A491-Ft!K$2)^2)))</f>
        <v>0</v>
      </c>
      <c r="P491"/>
      <c r="Q491"/>
    </row>
    <row r="492" spans="1:17">
      <c r="A492" s="20">
        <v>981</v>
      </c>
      <c r="B492" s="29">
        <v>32.95147985185281</v>
      </c>
      <c r="C492" s="7">
        <f t="shared" si="15"/>
        <v>32.569626942864375</v>
      </c>
      <c r="D492" s="3">
        <f t="shared" si="16"/>
        <v>0.14581164410293007</v>
      </c>
      <c r="E492" s="3">
        <f>Ft!$B$12+Ft!$B$14*(Data!A492-Vars!$B$3)</f>
        <v>-200</v>
      </c>
      <c r="F492" s="3">
        <f>IF(($A492-Ft!B$2)&lt;0,Ft!B$3*((1-Ft!B$6)/(1+Ft!B$37*($A492-Ft!B$2)^2)+Ft!B$6*EXP(Ft!B$38*($A492-Ft!B$2)^2)),Ft!B$3*((1-Ft!B$7)/(1+Ft!B$39*($A492-Ft!B$2)^2)+Ft!B$7*EXP(Ft!B$40*($A492-Ft!B$2)^2)))</f>
        <v>5.7313133323569074</v>
      </c>
      <c r="G492" s="3">
        <f>IF(($A492-Ft!C$2)&lt;0,Ft!C$3*((1-Ft!C$6)/(1+Ft!C$37*($A492-Ft!C$2)^2)+Ft!C$6*EXP(Ft!C$38*($A492-Ft!C$2)^2)),Ft!C$3*((1-Ft!C$7)/(1+Ft!C$39*($A492-Ft!C$2)^2)+Ft!C$7*EXP(Ft!C$40*($A492-Ft!C$2)^2)))</f>
        <v>55.87951633893983</v>
      </c>
      <c r="H492" s="3">
        <f>IF(($A492-Ft!D$2)&lt;0,Ft!D$3*((1-Ft!D$6)/(1+Ft!D$37*($A492-Ft!D$2)^2)+Ft!D$6*EXP(Ft!D$38*($A492-Ft!D$2)^2)),Ft!D$3*((1-Ft!D$7)/(1+Ft!D$39*($A492-Ft!D$2)^2)+Ft!D$7*EXP(Ft!D$40*($A492-Ft!D$2)^2)))</f>
        <v>7.2141355139207895E-90</v>
      </c>
      <c r="I492" s="3">
        <f>IF(($A492-Ft!E$2)&lt;0,Ft!E$3*((1-Ft!E$6)/(1+Ft!E$37*($A492-Ft!E$2)^2)+Ft!E$6*EXP(Ft!E$38*($A492-Ft!E$2)^2)),Ft!E$3*((1-Ft!E$7)/(1+Ft!E$39*($A492-Ft!E$2)^2)+Ft!E$7*EXP(Ft!E$40*($A492-Ft!E$2)^2)))</f>
        <v>68.150005665114534</v>
      </c>
      <c r="J492" s="3">
        <f>IF(($A492-Ft!F$2)&lt;0,Ft!F$3*((1-Ft!F$6)/(1+Ft!F$37*($A492-Ft!F$2)^2)+Ft!F$6*EXP(Ft!F$38*($A492-Ft!F$2)^2)),Ft!F$3*((1-Ft!F$7)/(1+Ft!F$39*($A492-Ft!F$2)^2)+Ft!F$7*EXP(Ft!F$40*($A492-Ft!F$2)^2)))</f>
        <v>102.50155281657337</v>
      </c>
      <c r="K492" s="3">
        <f>IF(($A492-Ft!G$2)&lt;0,Ft!G$3*((1-Ft!G$6)/(1+Ft!G$37*($A492-Ft!G$2)^2)+Ft!G$6*EXP(Ft!G$38*($A492-Ft!G$2)^2)),Ft!G$3*((1-Ft!G$7)/(1+Ft!G$39*($A492-Ft!G$2)^2)+Ft!G$7*EXP(Ft!G$40*($A492-Ft!G$2)^2)))</f>
        <v>0.30723878987974507</v>
      </c>
      <c r="L492" s="3">
        <f>IF(($A492-Ft!H$2)&lt;0,Ft!H$3*((1-Ft!H$6)/(1+Ft!H$37*($A492-Ft!H$2)^2)+Ft!H$6*EXP(Ft!H$38*($A492-Ft!H$2)^2)),Ft!H$3*((1-Ft!H$7)/(1+Ft!H$39*($A492-Ft!H$2)^2)+Ft!H$7*EXP(Ft!H$40*($A492-Ft!H$2)^2)))</f>
        <v>0</v>
      </c>
      <c r="M492" s="3">
        <f>IF(($A492-Ft!I$2)&lt;0,Ft!I$3*((1-Ft!I$6)/(1+Ft!I$37*($A492-Ft!I$2)^2)+Ft!I$6*EXP(Ft!I$38*($A492-Ft!I$2)^2)),Ft!I$3*((1-Ft!I$7)/(1+Ft!I$39*($A492-Ft!I$2)^2)+Ft!I$7*EXP(Ft!I$40*($A492-Ft!I$2)^2)))</f>
        <v>0</v>
      </c>
      <c r="N492" s="3">
        <f>IF(($A492-Ft!J$2)&lt;0,Ft!J$3*((1-Ft!J$6)/(1+Ft!J$37*($A492-Ft!J$2)^2)+Ft!J$6*EXP(Ft!J$38*($A492-Ft!J$2)^2)),Ft!J$3*((1-Ft!J$7)/(1+Ft!J$39*($A492-Ft!J$2)^2)+Ft!J$7*EXP(Ft!J$40*($A492-Ft!J$2)^2)))</f>
        <v>0</v>
      </c>
      <c r="O492" s="3">
        <f>IF(($A492-Ft!K$2)&lt;0,Ft!K$3*((1-Ft!K$6)/(1+Ft!K$37*($A492-Ft!K$2)^2)+Ft!K$6*EXP(Ft!K$38*($A492-Ft!K$2)^2)),Ft!K$3*((1-Ft!K$7)/(1+Ft!K$39*($A492-Ft!K$2)^2)+Ft!K$7*EXP(Ft!K$40*($A492-Ft!K$2)^2)))</f>
        <v>0</v>
      </c>
      <c r="P492"/>
      <c r="Q492"/>
    </row>
    <row r="493" spans="1:17">
      <c r="A493" s="20">
        <v>983</v>
      </c>
      <c r="B493" s="29">
        <v>32.674726736388223</v>
      </c>
      <c r="C493" s="7">
        <f t="shared" si="15"/>
        <v>32.287234913712517</v>
      </c>
      <c r="D493" s="3">
        <f t="shared" si="16"/>
        <v>0.15014991264054081</v>
      </c>
      <c r="E493" s="3">
        <f>Ft!$B$12+Ft!$B$14*(Data!A493-Vars!$B$3)</f>
        <v>-200</v>
      </c>
      <c r="F493" s="3">
        <f>IF(($A493-Ft!B$2)&lt;0,Ft!B$3*((1-Ft!B$6)/(1+Ft!B$37*($A493-Ft!B$2)^2)+Ft!B$6*EXP(Ft!B$38*($A493-Ft!B$2)^2)),Ft!B$3*((1-Ft!B$7)/(1+Ft!B$39*($A493-Ft!B$2)^2)+Ft!B$7*EXP(Ft!B$40*($A493-Ft!B$2)^2)))</f>
        <v>5.6658478326438457</v>
      </c>
      <c r="G493" s="3">
        <f>IF(($A493-Ft!C$2)&lt;0,Ft!C$3*((1-Ft!C$6)/(1+Ft!C$37*($A493-Ft!C$2)^2)+Ft!C$6*EXP(Ft!C$38*($A493-Ft!C$2)^2)),Ft!C$3*((1-Ft!C$7)/(1+Ft!C$39*($A493-Ft!C$2)^2)+Ft!C$7*EXP(Ft!C$40*($A493-Ft!C$2)^2)))</f>
        <v>55.859809482806867</v>
      </c>
      <c r="H493" s="3">
        <f>IF(($A493-Ft!D$2)&lt;0,Ft!D$3*((1-Ft!D$6)/(1+Ft!D$37*($A493-Ft!D$2)^2)+Ft!D$6*EXP(Ft!D$38*($A493-Ft!D$2)^2)),Ft!D$3*((1-Ft!D$7)/(1+Ft!D$39*($A493-Ft!D$2)^2)+Ft!D$7*EXP(Ft!D$40*($A493-Ft!D$2)^2)))</f>
        <v>1.5938862191263061E-90</v>
      </c>
      <c r="I493" s="3">
        <f>IF(($A493-Ft!E$2)&lt;0,Ft!E$3*((1-Ft!E$6)/(1+Ft!E$37*($A493-Ft!E$2)^2)+Ft!E$6*EXP(Ft!E$38*($A493-Ft!E$2)^2)),Ft!E$3*((1-Ft!E$7)/(1+Ft!E$39*($A493-Ft!E$2)^2)+Ft!E$7*EXP(Ft!E$40*($A493-Ft!E$2)^2)))</f>
        <v>67.634044404895533</v>
      </c>
      <c r="J493" s="3">
        <f>IF(($A493-Ft!F$2)&lt;0,Ft!F$3*((1-Ft!F$6)/(1+Ft!F$37*($A493-Ft!F$2)^2)+Ft!F$6*EXP(Ft!F$38*($A493-Ft!F$2)^2)),Ft!F$3*((1-Ft!F$7)/(1+Ft!F$39*($A493-Ft!F$2)^2)+Ft!F$7*EXP(Ft!F$40*($A493-Ft!F$2)^2)))</f>
        <v>102.83012135323263</v>
      </c>
      <c r="K493" s="3">
        <f>IF(($A493-Ft!G$2)&lt;0,Ft!G$3*((1-Ft!G$6)/(1+Ft!G$37*($A493-Ft!G$2)^2)+Ft!G$6*EXP(Ft!G$38*($A493-Ft!G$2)^2)),Ft!G$3*((1-Ft!G$7)/(1+Ft!G$39*($A493-Ft!G$2)^2)+Ft!G$7*EXP(Ft!G$40*($A493-Ft!G$2)^2)))</f>
        <v>0.29741184013365862</v>
      </c>
      <c r="L493" s="3">
        <f>IF(($A493-Ft!H$2)&lt;0,Ft!H$3*((1-Ft!H$6)/(1+Ft!H$37*($A493-Ft!H$2)^2)+Ft!H$6*EXP(Ft!H$38*($A493-Ft!H$2)^2)),Ft!H$3*((1-Ft!H$7)/(1+Ft!H$39*($A493-Ft!H$2)^2)+Ft!H$7*EXP(Ft!H$40*($A493-Ft!H$2)^2)))</f>
        <v>0</v>
      </c>
      <c r="M493" s="3">
        <f>IF(($A493-Ft!I$2)&lt;0,Ft!I$3*((1-Ft!I$6)/(1+Ft!I$37*($A493-Ft!I$2)^2)+Ft!I$6*EXP(Ft!I$38*($A493-Ft!I$2)^2)),Ft!I$3*((1-Ft!I$7)/(1+Ft!I$39*($A493-Ft!I$2)^2)+Ft!I$7*EXP(Ft!I$40*($A493-Ft!I$2)^2)))</f>
        <v>0</v>
      </c>
      <c r="N493" s="3">
        <f>IF(($A493-Ft!J$2)&lt;0,Ft!J$3*((1-Ft!J$6)/(1+Ft!J$37*($A493-Ft!J$2)^2)+Ft!J$6*EXP(Ft!J$38*($A493-Ft!J$2)^2)),Ft!J$3*((1-Ft!J$7)/(1+Ft!J$39*($A493-Ft!J$2)^2)+Ft!J$7*EXP(Ft!J$40*($A493-Ft!J$2)^2)))</f>
        <v>0</v>
      </c>
      <c r="O493" s="3">
        <f>IF(($A493-Ft!K$2)&lt;0,Ft!K$3*((1-Ft!K$6)/(1+Ft!K$37*($A493-Ft!K$2)^2)+Ft!K$6*EXP(Ft!K$38*($A493-Ft!K$2)^2)),Ft!K$3*((1-Ft!K$7)/(1+Ft!K$39*($A493-Ft!K$2)^2)+Ft!K$7*EXP(Ft!K$40*($A493-Ft!K$2)^2)))</f>
        <v>0</v>
      </c>
      <c r="P493"/>
      <c r="Q493"/>
    </row>
    <row r="494" spans="1:17">
      <c r="A494" s="20">
        <v>985</v>
      </c>
      <c r="B494" s="29">
        <v>32.397557514800724</v>
      </c>
      <c r="C494" s="7">
        <f t="shared" si="15"/>
        <v>32.004990931840673</v>
      </c>
      <c r="D494" s="3">
        <f t="shared" si="16"/>
        <v>0.15410852205693015</v>
      </c>
      <c r="E494" s="3">
        <f>Ft!$B$12+Ft!$B$14*(Data!A494-Vars!$B$3)</f>
        <v>-200</v>
      </c>
      <c r="F494" s="3">
        <f>IF(($A494-Ft!B$2)&lt;0,Ft!B$3*((1-Ft!B$6)/(1+Ft!B$37*($A494-Ft!B$2)^2)+Ft!B$6*EXP(Ft!B$38*($A494-Ft!B$2)^2)),Ft!B$3*((1-Ft!B$7)/(1+Ft!B$39*($A494-Ft!B$2)^2)+Ft!B$7*EXP(Ft!B$40*($A494-Ft!B$2)^2)))</f>
        <v>5.6010232014066244</v>
      </c>
      <c r="G494" s="3">
        <f>IF(($A494-Ft!C$2)&lt;0,Ft!C$3*((1-Ft!C$6)/(1+Ft!C$37*($A494-Ft!C$2)^2)+Ft!C$6*EXP(Ft!C$38*($A494-Ft!C$2)^2)),Ft!C$3*((1-Ft!C$7)/(1+Ft!C$39*($A494-Ft!C$2)^2)+Ft!C$7*EXP(Ft!C$40*($A494-Ft!C$2)^2)))</f>
        <v>55.839616188253693</v>
      </c>
      <c r="H494" s="3">
        <f>IF(($A494-Ft!D$2)&lt;0,Ft!D$3*((1-Ft!D$6)/(1+Ft!D$37*($A494-Ft!D$2)^2)+Ft!D$6*EXP(Ft!D$38*($A494-Ft!D$2)^2)),Ft!D$3*((1-Ft!D$7)/(1+Ft!D$39*($A494-Ft!D$2)^2)+Ft!D$7*EXP(Ft!D$40*($A494-Ft!D$2)^2)))</f>
        <v>3.5021474120793544E-91</v>
      </c>
      <c r="I494" s="3">
        <f>IF(($A494-Ft!E$2)&lt;0,Ft!E$3*((1-Ft!E$6)/(1+Ft!E$37*($A494-Ft!E$2)^2)+Ft!E$6*EXP(Ft!E$38*($A494-Ft!E$2)^2)),Ft!E$3*((1-Ft!E$7)/(1+Ft!E$39*($A494-Ft!E$2)^2)+Ft!E$7*EXP(Ft!E$40*($A494-Ft!E$2)^2)))</f>
        <v>67.118097754863257</v>
      </c>
      <c r="J494" s="3">
        <f>IF(($A494-Ft!F$2)&lt;0,Ft!F$3*((1-Ft!F$6)/(1+Ft!F$37*($A494-Ft!F$2)^2)+Ft!F$6*EXP(Ft!F$38*($A494-Ft!F$2)^2)),Ft!F$3*((1-Ft!F$7)/(1+Ft!F$39*($A494-Ft!F$2)^2)+Ft!F$7*EXP(Ft!F$40*($A494-Ft!F$2)^2)))</f>
        <v>103.1583844665947</v>
      </c>
      <c r="K494" s="3">
        <f>IF(($A494-Ft!G$2)&lt;0,Ft!G$3*((1-Ft!G$6)/(1+Ft!G$37*($A494-Ft!G$2)^2)+Ft!G$6*EXP(Ft!G$38*($A494-Ft!G$2)^2)),Ft!G$3*((1-Ft!G$7)/(1+Ft!G$39*($A494-Ft!G$2)^2)+Ft!G$7*EXP(Ft!G$40*($A494-Ft!G$2)^2)))</f>
        <v>0.2878693207223848</v>
      </c>
      <c r="L494" s="3">
        <f>IF(($A494-Ft!H$2)&lt;0,Ft!H$3*((1-Ft!H$6)/(1+Ft!H$37*($A494-Ft!H$2)^2)+Ft!H$6*EXP(Ft!H$38*($A494-Ft!H$2)^2)),Ft!H$3*((1-Ft!H$7)/(1+Ft!H$39*($A494-Ft!H$2)^2)+Ft!H$7*EXP(Ft!H$40*($A494-Ft!H$2)^2)))</f>
        <v>0</v>
      </c>
      <c r="M494" s="3">
        <f>IF(($A494-Ft!I$2)&lt;0,Ft!I$3*((1-Ft!I$6)/(1+Ft!I$37*($A494-Ft!I$2)^2)+Ft!I$6*EXP(Ft!I$38*($A494-Ft!I$2)^2)),Ft!I$3*((1-Ft!I$7)/(1+Ft!I$39*($A494-Ft!I$2)^2)+Ft!I$7*EXP(Ft!I$40*($A494-Ft!I$2)^2)))</f>
        <v>0</v>
      </c>
      <c r="N494" s="3">
        <f>IF(($A494-Ft!J$2)&lt;0,Ft!J$3*((1-Ft!J$6)/(1+Ft!J$37*($A494-Ft!J$2)^2)+Ft!J$6*EXP(Ft!J$38*($A494-Ft!J$2)^2)),Ft!J$3*((1-Ft!J$7)/(1+Ft!J$39*($A494-Ft!J$2)^2)+Ft!J$7*EXP(Ft!J$40*($A494-Ft!J$2)^2)))</f>
        <v>0</v>
      </c>
      <c r="O494" s="3">
        <f>IF(($A494-Ft!K$2)&lt;0,Ft!K$3*((1-Ft!K$6)/(1+Ft!K$37*($A494-Ft!K$2)^2)+Ft!K$6*EXP(Ft!K$38*($A494-Ft!K$2)^2)),Ft!K$3*((1-Ft!K$7)/(1+Ft!K$39*($A494-Ft!K$2)^2)+Ft!K$7*EXP(Ft!K$40*($A494-Ft!K$2)^2)))</f>
        <v>0</v>
      </c>
      <c r="P494"/>
      <c r="Q494"/>
    </row>
    <row r="495" spans="1:17">
      <c r="A495" s="20">
        <v>987</v>
      </c>
      <c r="B495" s="29">
        <v>32.12000225665804</v>
      </c>
      <c r="C495" s="7">
        <f t="shared" si="15"/>
        <v>31.722933334781825</v>
      </c>
      <c r="D495" s="3">
        <f t="shared" si="16"/>
        <v>0.15766372871994</v>
      </c>
      <c r="E495" s="3">
        <f>Ft!$B$12+Ft!$B$14*(Data!A495-Vars!$B$3)</f>
        <v>-200</v>
      </c>
      <c r="F495" s="3">
        <f>IF(($A495-Ft!B$2)&lt;0,Ft!B$3*((1-Ft!B$6)/(1+Ft!B$37*($A495-Ft!B$2)^2)+Ft!B$6*EXP(Ft!B$38*($A495-Ft!B$2)^2)),Ft!B$3*((1-Ft!B$7)/(1+Ft!B$39*($A495-Ft!B$2)^2)+Ft!B$7*EXP(Ft!B$40*($A495-Ft!B$2)^2)))</f>
        <v>5.5368345666832042</v>
      </c>
      <c r="G495" s="3">
        <f>IF(($A495-Ft!C$2)&lt;0,Ft!C$3*((1-Ft!C$6)/(1+Ft!C$37*($A495-Ft!C$2)^2)+Ft!C$6*EXP(Ft!C$38*($A495-Ft!C$2)^2)),Ft!C$3*((1-Ft!C$7)/(1+Ft!C$39*($A495-Ft!C$2)^2)+Ft!C$7*EXP(Ft!C$40*($A495-Ft!C$2)^2)))</f>
        <v>55.818936987908259</v>
      </c>
      <c r="H495" s="3">
        <f>IF(($A495-Ft!D$2)&lt;0,Ft!D$3*((1-Ft!D$6)/(1+Ft!D$37*($A495-Ft!D$2)^2)+Ft!D$6*EXP(Ft!D$38*($A495-Ft!D$2)^2)),Ft!D$3*((1-Ft!D$7)/(1+Ft!D$39*($A495-Ft!D$2)^2)+Ft!D$7*EXP(Ft!D$40*($A495-Ft!D$2)^2)))</f>
        <v>7.6527163470320748E-92</v>
      </c>
      <c r="I495" s="3">
        <f>IF(($A495-Ft!E$2)&lt;0,Ft!E$3*((1-Ft!E$6)/(1+Ft!E$37*($A495-Ft!E$2)^2)+Ft!E$6*EXP(Ft!E$38*($A495-Ft!E$2)^2)),Ft!E$3*((1-Ft!E$7)/(1+Ft!E$39*($A495-Ft!E$2)^2)+Ft!E$7*EXP(Ft!E$40*($A495-Ft!E$2)^2)))</f>
        <v>66.602225204245073</v>
      </c>
      <c r="J495" s="3">
        <f>IF(($A495-Ft!F$2)&lt;0,Ft!F$3*((1-Ft!F$6)/(1+Ft!F$37*($A495-Ft!F$2)^2)+Ft!F$6*EXP(Ft!F$38*($A495-Ft!F$2)^2)),Ft!F$3*((1-Ft!F$7)/(1+Ft!F$39*($A495-Ft!F$2)^2)+Ft!F$7*EXP(Ft!F$40*($A495-Ft!F$2)^2)))</f>
        <v>103.48633252118472</v>
      </c>
      <c r="K495" s="3">
        <f>IF(($A495-Ft!G$2)&lt;0,Ft!G$3*((1-Ft!G$6)/(1+Ft!G$37*($A495-Ft!G$2)^2)+Ft!G$6*EXP(Ft!G$38*($A495-Ft!G$2)^2)),Ft!G$3*((1-Ft!G$7)/(1+Ft!G$39*($A495-Ft!G$2)^2)+Ft!G$7*EXP(Ft!G$40*($A495-Ft!G$2)^2)))</f>
        <v>0.27860405476057593</v>
      </c>
      <c r="L495" s="3">
        <f>IF(($A495-Ft!H$2)&lt;0,Ft!H$3*((1-Ft!H$6)/(1+Ft!H$37*($A495-Ft!H$2)^2)+Ft!H$6*EXP(Ft!H$38*($A495-Ft!H$2)^2)),Ft!H$3*((1-Ft!H$7)/(1+Ft!H$39*($A495-Ft!H$2)^2)+Ft!H$7*EXP(Ft!H$40*($A495-Ft!H$2)^2)))</f>
        <v>0</v>
      </c>
      <c r="M495" s="3">
        <f>IF(($A495-Ft!I$2)&lt;0,Ft!I$3*((1-Ft!I$6)/(1+Ft!I$37*($A495-Ft!I$2)^2)+Ft!I$6*EXP(Ft!I$38*($A495-Ft!I$2)^2)),Ft!I$3*((1-Ft!I$7)/(1+Ft!I$39*($A495-Ft!I$2)^2)+Ft!I$7*EXP(Ft!I$40*($A495-Ft!I$2)^2)))</f>
        <v>0</v>
      </c>
      <c r="N495" s="3">
        <f>IF(($A495-Ft!J$2)&lt;0,Ft!J$3*((1-Ft!J$6)/(1+Ft!J$37*($A495-Ft!J$2)^2)+Ft!J$6*EXP(Ft!J$38*($A495-Ft!J$2)^2)),Ft!J$3*((1-Ft!J$7)/(1+Ft!J$39*($A495-Ft!J$2)^2)+Ft!J$7*EXP(Ft!J$40*($A495-Ft!J$2)^2)))</f>
        <v>0</v>
      </c>
      <c r="O495" s="3">
        <f>IF(($A495-Ft!K$2)&lt;0,Ft!K$3*((1-Ft!K$6)/(1+Ft!K$37*($A495-Ft!K$2)^2)+Ft!K$6*EXP(Ft!K$38*($A495-Ft!K$2)^2)),Ft!K$3*((1-Ft!K$7)/(1+Ft!K$39*($A495-Ft!K$2)^2)+Ft!K$7*EXP(Ft!K$40*($A495-Ft!K$2)^2)))</f>
        <v>0</v>
      </c>
      <c r="P495"/>
      <c r="Q495"/>
    </row>
    <row r="496" spans="1:17">
      <c r="A496" s="20">
        <v>989</v>
      </c>
      <c r="B496" s="29">
        <v>31.842091094286062</v>
      </c>
      <c r="C496" s="7">
        <f t="shared" si="15"/>
        <v>31.441100151436391</v>
      </c>
      <c r="D496" s="3">
        <f t="shared" si="16"/>
        <v>0.16079373624746773</v>
      </c>
      <c r="E496" s="3">
        <f>Ft!$B$12+Ft!$B$14*(Data!A496-Vars!$B$3)</f>
        <v>-200</v>
      </c>
      <c r="F496" s="3">
        <f>IF(($A496-Ft!B$2)&lt;0,Ft!B$3*((1-Ft!B$6)/(1+Ft!B$37*($A496-Ft!B$2)^2)+Ft!B$6*EXP(Ft!B$38*($A496-Ft!B$2)^2)),Ft!B$3*((1-Ft!B$7)/(1+Ft!B$39*($A496-Ft!B$2)^2)+Ft!B$7*EXP(Ft!B$40*($A496-Ft!B$2)^2)))</f>
        <v>5.4732770760907954</v>
      </c>
      <c r="G496" s="3">
        <f>IF(($A496-Ft!C$2)&lt;0,Ft!C$3*((1-Ft!C$6)/(1+Ft!C$37*($A496-Ft!C$2)^2)+Ft!C$6*EXP(Ft!C$38*($A496-Ft!C$2)^2)),Ft!C$3*((1-Ft!C$7)/(1+Ft!C$39*($A496-Ft!C$2)^2)+Ft!C$7*EXP(Ft!C$40*($A496-Ft!C$2)^2)))</f>
        <v>55.797772427081213</v>
      </c>
      <c r="H496" s="3">
        <f>IF(($A496-Ft!D$2)&lt;0,Ft!D$3*((1-Ft!D$6)/(1+Ft!D$37*($A496-Ft!D$2)^2)+Ft!D$6*EXP(Ft!D$38*($A496-Ft!D$2)^2)),Ft!D$3*((1-Ft!D$7)/(1+Ft!D$39*($A496-Ft!D$2)^2)+Ft!D$7*EXP(Ft!D$40*($A496-Ft!D$2)^2)))</f>
        <v>1.6630331147804839E-92</v>
      </c>
      <c r="I496" s="3">
        <f>IF(($A496-Ft!E$2)&lt;0,Ft!E$3*((1-Ft!E$6)/(1+Ft!E$37*($A496-Ft!E$2)^2)+Ft!E$6*EXP(Ft!E$38*($A496-Ft!E$2)^2)),Ft!E$3*((1-Ft!E$7)/(1+Ft!E$39*($A496-Ft!E$2)^2)+Ft!E$7*EXP(Ft!E$40*($A496-Ft!E$2)^2)))</f>
        <v>66.086485773910269</v>
      </c>
      <c r="J496" s="3">
        <f>IF(($A496-Ft!F$2)&lt;0,Ft!F$3*((1-Ft!F$6)/(1+Ft!F$37*($A496-Ft!F$2)^2)+Ft!F$6*EXP(Ft!F$38*($A496-Ft!F$2)^2)),Ft!F$3*((1-Ft!F$7)/(1+Ft!F$39*($A496-Ft!F$2)^2)+Ft!F$7*EXP(Ft!F$40*($A496-Ft!F$2)^2)))</f>
        <v>103.81395586330051</v>
      </c>
      <c r="K496" s="3">
        <f>IF(($A496-Ft!G$2)&lt;0,Ft!G$3*((1-Ft!G$6)/(1+Ft!G$37*($A496-Ft!G$2)^2)+Ft!G$6*EXP(Ft!G$38*($A496-Ft!G$2)^2)),Ft!G$3*((1-Ft!G$7)/(1+Ft!G$39*($A496-Ft!G$2)^2)+Ft!G$7*EXP(Ft!G$40*($A496-Ft!G$2)^2)))</f>
        <v>0.26960901105360718</v>
      </c>
      <c r="L496" s="3">
        <f>IF(($A496-Ft!H$2)&lt;0,Ft!H$3*((1-Ft!H$6)/(1+Ft!H$37*($A496-Ft!H$2)^2)+Ft!H$6*EXP(Ft!H$38*($A496-Ft!H$2)^2)),Ft!H$3*((1-Ft!H$7)/(1+Ft!H$39*($A496-Ft!H$2)^2)+Ft!H$7*EXP(Ft!H$40*($A496-Ft!H$2)^2)))</f>
        <v>0</v>
      </c>
      <c r="M496" s="3">
        <f>IF(($A496-Ft!I$2)&lt;0,Ft!I$3*((1-Ft!I$6)/(1+Ft!I$37*($A496-Ft!I$2)^2)+Ft!I$6*EXP(Ft!I$38*($A496-Ft!I$2)^2)),Ft!I$3*((1-Ft!I$7)/(1+Ft!I$39*($A496-Ft!I$2)^2)+Ft!I$7*EXP(Ft!I$40*($A496-Ft!I$2)^2)))</f>
        <v>0</v>
      </c>
      <c r="N496" s="3">
        <f>IF(($A496-Ft!J$2)&lt;0,Ft!J$3*((1-Ft!J$6)/(1+Ft!J$37*($A496-Ft!J$2)^2)+Ft!J$6*EXP(Ft!J$38*($A496-Ft!J$2)^2)),Ft!J$3*((1-Ft!J$7)/(1+Ft!J$39*($A496-Ft!J$2)^2)+Ft!J$7*EXP(Ft!J$40*($A496-Ft!J$2)^2)))</f>
        <v>0</v>
      </c>
      <c r="O496" s="3">
        <f>IF(($A496-Ft!K$2)&lt;0,Ft!K$3*((1-Ft!K$6)/(1+Ft!K$37*($A496-Ft!K$2)^2)+Ft!K$6*EXP(Ft!K$38*($A496-Ft!K$2)^2)),Ft!K$3*((1-Ft!K$7)/(1+Ft!K$39*($A496-Ft!K$2)^2)+Ft!K$7*EXP(Ft!K$40*($A496-Ft!K$2)^2)))</f>
        <v>0</v>
      </c>
      <c r="P496"/>
      <c r="Q496"/>
    </row>
    <row r="497" spans="1:17">
      <c r="A497" s="20">
        <v>991</v>
      </c>
      <c r="B497" s="29">
        <v>31.563854217465845</v>
      </c>
      <c r="C497" s="7">
        <f t="shared" si="15"/>
        <v>31.159529090790901</v>
      </c>
      <c r="D497" s="3">
        <f t="shared" si="16"/>
        <v>0.1634788080607098</v>
      </c>
      <c r="E497" s="3">
        <f>Ft!$B$12+Ft!$B$14*(Data!A497-Vars!$B$3)</f>
        <v>-200</v>
      </c>
      <c r="F497" s="3">
        <f>IF(($A497-Ft!B$2)&lt;0,Ft!B$3*((1-Ft!B$6)/(1+Ft!B$37*($A497-Ft!B$2)^2)+Ft!B$6*EXP(Ft!B$38*($A497-Ft!B$2)^2)),Ft!B$3*((1-Ft!B$7)/(1+Ft!B$39*($A497-Ft!B$2)^2)+Ft!B$7*EXP(Ft!B$40*($A497-Ft!B$2)^2)))</f>
        <v>5.4103458969698055</v>
      </c>
      <c r="G497" s="3">
        <f>IF(($A497-Ft!C$2)&lt;0,Ft!C$3*((1-Ft!C$6)/(1+Ft!C$37*($A497-Ft!C$2)^2)+Ft!C$6*EXP(Ft!C$38*($A497-Ft!C$2)^2)),Ft!C$3*((1-Ft!C$7)/(1+Ft!C$39*($A497-Ft!C$2)^2)+Ft!C$7*EXP(Ft!C$40*($A497-Ft!C$2)^2)))</f>
        <v>55.776123063742027</v>
      </c>
      <c r="H497" s="3">
        <f>IF(($A497-Ft!D$2)&lt;0,Ft!D$3*((1-Ft!D$6)/(1+Ft!D$37*($A497-Ft!D$2)^2)+Ft!D$6*EXP(Ft!D$38*($A497-Ft!D$2)^2)),Ft!D$3*((1-Ft!D$7)/(1+Ft!D$39*($A497-Ft!D$2)^2)+Ft!D$7*EXP(Ft!D$40*($A497-Ft!D$2)^2)))</f>
        <v>3.5941008985971361E-93</v>
      </c>
      <c r="I497" s="3">
        <f>IF(($A497-Ft!E$2)&lt;0,Ft!E$3*((1-Ft!E$6)/(1+Ft!E$37*($A497-Ft!E$2)^2)+Ft!E$6*EXP(Ft!E$38*($A497-Ft!E$2)^2)),Ft!E$3*((1-Ft!E$7)/(1+Ft!E$39*($A497-Ft!E$2)^2)+Ft!E$7*EXP(Ft!E$40*($A497-Ft!E$2)^2)))</f>
        <v>65.570938006334615</v>
      </c>
      <c r="J497" s="3">
        <f>IF(($A497-Ft!F$2)&lt;0,Ft!F$3*((1-Ft!F$6)/(1+Ft!F$37*($A497-Ft!F$2)^2)+Ft!F$6*EXP(Ft!F$38*($A497-Ft!F$2)^2)),Ft!F$3*((1-Ft!F$7)/(1+Ft!F$39*($A497-Ft!F$2)^2)+Ft!F$7*EXP(Ft!F$40*($A497-Ft!F$2)^2)))</f>
        <v>104.14124482146401</v>
      </c>
      <c r="K497" s="3">
        <f>IF(($A497-Ft!G$2)&lt;0,Ft!G$3*((1-Ft!G$6)/(1+Ft!G$37*($A497-Ft!G$2)^2)+Ft!G$6*EXP(Ft!G$38*($A497-Ft!G$2)^2)),Ft!G$3*((1-Ft!G$7)/(1+Ft!G$39*($A497-Ft!G$2)^2)+Ft!G$7*EXP(Ft!G$40*($A497-Ft!G$2)^2)))</f>
        <v>0.26087730228043854</v>
      </c>
      <c r="L497" s="3">
        <f>IF(($A497-Ft!H$2)&lt;0,Ft!H$3*((1-Ft!H$6)/(1+Ft!H$37*($A497-Ft!H$2)^2)+Ft!H$6*EXP(Ft!H$38*($A497-Ft!H$2)^2)),Ft!H$3*((1-Ft!H$7)/(1+Ft!H$39*($A497-Ft!H$2)^2)+Ft!H$7*EXP(Ft!H$40*($A497-Ft!H$2)^2)))</f>
        <v>0</v>
      </c>
      <c r="M497" s="3">
        <f>IF(($A497-Ft!I$2)&lt;0,Ft!I$3*((1-Ft!I$6)/(1+Ft!I$37*($A497-Ft!I$2)^2)+Ft!I$6*EXP(Ft!I$38*($A497-Ft!I$2)^2)),Ft!I$3*((1-Ft!I$7)/(1+Ft!I$39*($A497-Ft!I$2)^2)+Ft!I$7*EXP(Ft!I$40*($A497-Ft!I$2)^2)))</f>
        <v>0</v>
      </c>
      <c r="N497" s="3">
        <f>IF(($A497-Ft!J$2)&lt;0,Ft!J$3*((1-Ft!J$6)/(1+Ft!J$37*($A497-Ft!J$2)^2)+Ft!J$6*EXP(Ft!J$38*($A497-Ft!J$2)^2)),Ft!J$3*((1-Ft!J$7)/(1+Ft!J$39*($A497-Ft!J$2)^2)+Ft!J$7*EXP(Ft!J$40*($A497-Ft!J$2)^2)))</f>
        <v>0</v>
      </c>
      <c r="O497" s="3">
        <f>IF(($A497-Ft!K$2)&lt;0,Ft!K$3*((1-Ft!K$6)/(1+Ft!K$37*($A497-Ft!K$2)^2)+Ft!K$6*EXP(Ft!K$38*($A497-Ft!K$2)^2)),Ft!K$3*((1-Ft!K$7)/(1+Ft!K$39*($A497-Ft!K$2)^2)+Ft!K$7*EXP(Ft!K$40*($A497-Ft!K$2)^2)))</f>
        <v>0</v>
      </c>
      <c r="P497"/>
      <c r="Q497"/>
    </row>
    <row r="498" spans="1:17">
      <c r="A498" s="20">
        <v>993</v>
      </c>
      <c r="B498" s="29">
        <v>31.28532186810051</v>
      </c>
      <c r="C498" s="7">
        <f t="shared" si="15"/>
        <v>30.878257530835974</v>
      </c>
      <c r="D498" s="3">
        <f t="shared" si="16"/>
        <v>0.16570137467261623</v>
      </c>
      <c r="E498" s="3">
        <f>Ft!$B$12+Ft!$B$14*(Data!A498-Vars!$B$3)</f>
        <v>-200</v>
      </c>
      <c r="F498" s="3">
        <f>IF(($A498-Ft!B$2)&lt;0,Ft!B$3*((1-Ft!B$6)/(1+Ft!B$37*($A498-Ft!B$2)^2)+Ft!B$6*EXP(Ft!B$38*($A498-Ft!B$2)^2)),Ft!B$3*((1-Ft!B$7)/(1+Ft!B$39*($A498-Ft!B$2)^2)+Ft!B$7*EXP(Ft!B$40*($A498-Ft!B$2)^2)))</f>
        <v>5.3480362165242692</v>
      </c>
      <c r="G498" s="3">
        <f>IF(($A498-Ft!C$2)&lt;0,Ft!C$3*((1-Ft!C$6)/(1+Ft!C$37*($A498-Ft!C$2)^2)+Ft!C$6*EXP(Ft!C$38*($A498-Ft!C$2)^2)),Ft!C$3*((1-Ft!C$7)/(1+Ft!C$39*($A498-Ft!C$2)^2)+Ft!C$7*EXP(Ft!C$40*($A498-Ft!C$2)^2)))</f>
        <v>55.753989468494389</v>
      </c>
      <c r="H498" s="3">
        <f>IF(($A498-Ft!D$2)&lt;0,Ft!D$3*((1-Ft!D$6)/(1+Ft!D$37*($A498-Ft!D$2)^2)+Ft!D$6*EXP(Ft!D$38*($A498-Ft!D$2)^2)),Ft!D$3*((1-Ft!D$7)/(1+Ft!D$39*($A498-Ft!D$2)^2)+Ft!D$7*EXP(Ft!D$40*($A498-Ft!D$2)^2)))</f>
        <v>7.7247373193140965E-94</v>
      </c>
      <c r="I498" s="3">
        <f>IF(($A498-Ft!E$2)&lt;0,Ft!E$3*((1-Ft!E$6)/(1+Ft!E$37*($A498-Ft!E$2)^2)+Ft!E$6*EXP(Ft!E$38*($A498-Ft!E$2)^2)),Ft!E$3*((1-Ft!E$7)/(1+Ft!E$39*($A498-Ft!E$2)^2)+Ft!E$7*EXP(Ft!E$40*($A498-Ft!E$2)^2)))</f>
        <v>65.055639955780521</v>
      </c>
      <c r="J498" s="3">
        <f>IF(($A498-Ft!F$2)&lt;0,Ft!F$3*((1-Ft!F$6)/(1+Ft!F$37*($A498-Ft!F$2)^2)+Ft!F$6*EXP(Ft!F$38*($A498-Ft!F$2)^2)),Ft!F$3*((1-Ft!F$7)/(1+Ft!F$39*($A498-Ft!F$2)^2)+Ft!F$7*EXP(Ft!F$40*($A498-Ft!F$2)^2)))</f>
        <v>104.46818970687521</v>
      </c>
      <c r="K498" s="3">
        <f>IF(($A498-Ft!G$2)&lt;0,Ft!G$3*((1-Ft!G$6)/(1+Ft!G$37*($A498-Ft!G$2)^2)+Ft!G$6*EXP(Ft!G$38*($A498-Ft!G$2)^2)),Ft!G$3*((1-Ft!G$7)/(1+Ft!G$39*($A498-Ft!G$2)^2)+Ft!G$7*EXP(Ft!G$40*($A498-Ft!G$2)^2)))</f>
        <v>0.25240218316159946</v>
      </c>
      <c r="L498" s="3">
        <f>IF(($A498-Ft!H$2)&lt;0,Ft!H$3*((1-Ft!H$6)/(1+Ft!H$37*($A498-Ft!H$2)^2)+Ft!H$6*EXP(Ft!H$38*($A498-Ft!H$2)^2)),Ft!H$3*((1-Ft!H$7)/(1+Ft!H$39*($A498-Ft!H$2)^2)+Ft!H$7*EXP(Ft!H$40*($A498-Ft!H$2)^2)))</f>
        <v>0</v>
      </c>
      <c r="M498" s="3">
        <f>IF(($A498-Ft!I$2)&lt;0,Ft!I$3*((1-Ft!I$6)/(1+Ft!I$37*($A498-Ft!I$2)^2)+Ft!I$6*EXP(Ft!I$38*($A498-Ft!I$2)^2)),Ft!I$3*((1-Ft!I$7)/(1+Ft!I$39*($A498-Ft!I$2)^2)+Ft!I$7*EXP(Ft!I$40*($A498-Ft!I$2)^2)))</f>
        <v>0</v>
      </c>
      <c r="N498" s="3">
        <f>IF(($A498-Ft!J$2)&lt;0,Ft!J$3*((1-Ft!J$6)/(1+Ft!J$37*($A498-Ft!J$2)^2)+Ft!J$6*EXP(Ft!J$38*($A498-Ft!J$2)^2)),Ft!J$3*((1-Ft!J$7)/(1+Ft!J$39*($A498-Ft!J$2)^2)+Ft!J$7*EXP(Ft!J$40*($A498-Ft!J$2)^2)))</f>
        <v>0</v>
      </c>
      <c r="O498" s="3">
        <f>IF(($A498-Ft!K$2)&lt;0,Ft!K$3*((1-Ft!K$6)/(1+Ft!K$37*($A498-Ft!K$2)^2)+Ft!K$6*EXP(Ft!K$38*($A498-Ft!K$2)^2)),Ft!K$3*((1-Ft!K$7)/(1+Ft!K$39*($A498-Ft!K$2)^2)+Ft!K$7*EXP(Ft!K$40*($A498-Ft!K$2)^2)))</f>
        <v>0</v>
      </c>
      <c r="P498"/>
      <c r="Q498"/>
    </row>
    <row r="499" spans="1:17">
      <c r="A499" s="20">
        <v>995</v>
      </c>
      <c r="B499" s="29">
        <v>31.006524334853438</v>
      </c>
      <c r="C499" s="7">
        <f t="shared" si="15"/>
        <v>30.597322507687288</v>
      </c>
      <c r="D499" s="3">
        <f t="shared" si="16"/>
        <v>0.16744613535611583</v>
      </c>
      <c r="E499" s="3">
        <f>Ft!$B$12+Ft!$B$14*(Data!A499-Vars!$B$3)</f>
        <v>-200</v>
      </c>
      <c r="F499" s="3">
        <f>IF(($A499-Ft!B$2)&lt;0,Ft!B$3*((1-Ft!B$6)/(1+Ft!B$37*($A499-Ft!B$2)^2)+Ft!B$6*EXP(Ft!B$38*($A499-Ft!B$2)^2)),Ft!B$3*((1-Ft!B$7)/(1+Ft!B$39*($A499-Ft!B$2)^2)+Ft!B$7*EXP(Ft!B$40*($A499-Ft!B$2)^2)))</f>
        <v>5.2863432419587708</v>
      </c>
      <c r="G499" s="3">
        <f>IF(($A499-Ft!C$2)&lt;0,Ft!C$3*((1-Ft!C$6)/(1+Ft!C$37*($A499-Ft!C$2)^2)+Ft!C$6*EXP(Ft!C$38*($A499-Ft!C$2)^2)),Ft!C$3*((1-Ft!C$7)/(1+Ft!C$39*($A499-Ft!C$2)^2)+Ft!C$7*EXP(Ft!C$40*($A499-Ft!C$2)^2)))</f>
        <v>55.731372224551208</v>
      </c>
      <c r="H499" s="3">
        <f>IF(($A499-Ft!D$2)&lt;0,Ft!D$3*((1-Ft!D$6)/(1+Ft!D$37*($A499-Ft!D$2)^2)+Ft!D$6*EXP(Ft!D$38*($A499-Ft!D$2)^2)),Ft!D$3*((1-Ft!D$7)/(1+Ft!D$39*($A499-Ft!D$2)^2)+Ft!D$7*EXP(Ft!D$40*($A499-Ft!D$2)^2)))</f>
        <v>1.6511299768218553E-94</v>
      </c>
      <c r="I499" s="3">
        <f>IF(($A499-Ft!E$2)&lt;0,Ft!E$3*((1-Ft!E$6)/(1+Ft!E$37*($A499-Ft!E$2)^2)+Ft!E$6*EXP(Ft!E$38*($A499-Ft!E$2)^2)),Ft!E$3*((1-Ft!E$7)/(1+Ft!E$39*($A499-Ft!E$2)^2)+Ft!E$7*EXP(Ft!E$40*($A499-Ft!E$2)^2)))</f>
        <v>64.540649178694508</v>
      </c>
      <c r="J499" s="3">
        <f>IF(($A499-Ft!F$2)&lt;0,Ft!F$3*((1-Ft!F$6)/(1+Ft!F$37*($A499-Ft!F$2)^2)+Ft!F$6*EXP(Ft!F$38*($A499-Ft!F$2)^2)),Ft!F$3*((1-Ft!F$7)/(1+Ft!F$39*($A499-Ft!F$2)^2)+Ft!F$7*EXP(Ft!F$40*($A499-Ft!F$2)^2)))</f>
        <v>104.79478081386891</v>
      </c>
      <c r="K499" s="3">
        <f>IF(($A499-Ft!G$2)&lt;0,Ft!G$3*((1-Ft!G$6)/(1+Ft!G$37*($A499-Ft!G$2)^2)+Ft!G$6*EXP(Ft!G$38*($A499-Ft!G$2)^2)),Ft!G$3*((1-Ft!G$7)/(1+Ft!G$39*($A499-Ft!G$2)^2)+Ft!G$7*EXP(Ft!G$40*($A499-Ft!G$2)^2)))</f>
        <v>0.2441770486138988</v>
      </c>
      <c r="L499" s="3">
        <f>IF(($A499-Ft!H$2)&lt;0,Ft!H$3*((1-Ft!H$6)/(1+Ft!H$37*($A499-Ft!H$2)^2)+Ft!H$6*EXP(Ft!H$38*($A499-Ft!H$2)^2)),Ft!H$3*((1-Ft!H$7)/(1+Ft!H$39*($A499-Ft!H$2)^2)+Ft!H$7*EXP(Ft!H$40*($A499-Ft!H$2)^2)))</f>
        <v>0</v>
      </c>
      <c r="M499" s="3">
        <f>IF(($A499-Ft!I$2)&lt;0,Ft!I$3*((1-Ft!I$6)/(1+Ft!I$37*($A499-Ft!I$2)^2)+Ft!I$6*EXP(Ft!I$38*($A499-Ft!I$2)^2)),Ft!I$3*((1-Ft!I$7)/(1+Ft!I$39*($A499-Ft!I$2)^2)+Ft!I$7*EXP(Ft!I$40*($A499-Ft!I$2)^2)))</f>
        <v>0</v>
      </c>
      <c r="N499" s="3">
        <f>IF(($A499-Ft!J$2)&lt;0,Ft!J$3*((1-Ft!J$6)/(1+Ft!J$37*($A499-Ft!J$2)^2)+Ft!J$6*EXP(Ft!J$38*($A499-Ft!J$2)^2)),Ft!J$3*((1-Ft!J$7)/(1+Ft!J$39*($A499-Ft!J$2)^2)+Ft!J$7*EXP(Ft!J$40*($A499-Ft!J$2)^2)))</f>
        <v>0</v>
      </c>
      <c r="O499" s="3">
        <f>IF(($A499-Ft!K$2)&lt;0,Ft!K$3*((1-Ft!K$6)/(1+Ft!K$37*($A499-Ft!K$2)^2)+Ft!K$6*EXP(Ft!K$38*($A499-Ft!K$2)^2)),Ft!K$3*((1-Ft!K$7)/(1+Ft!K$39*($A499-Ft!K$2)^2)+Ft!K$7*EXP(Ft!K$40*($A499-Ft!K$2)^2)))</f>
        <v>0</v>
      </c>
      <c r="P499"/>
      <c r="Q499"/>
    </row>
    <row r="500" spans="1:17">
      <c r="A500" s="20">
        <v>997</v>
      </c>
      <c r="B500" s="29">
        <v>30.727491947758224</v>
      </c>
      <c r="C500" s="7">
        <f t="shared" si="15"/>
        <v>30.316760704911516</v>
      </c>
      <c r="D500" s="3">
        <f t="shared" si="16"/>
        <v>0.16870015385040163</v>
      </c>
      <c r="E500" s="3">
        <f>Ft!$B$12+Ft!$B$14*(Data!A500-Vars!$B$3)</f>
        <v>-200</v>
      </c>
      <c r="F500" s="3">
        <f>IF(($A500-Ft!B$2)&lt;0,Ft!B$3*((1-Ft!B$6)/(1+Ft!B$37*($A500-Ft!B$2)^2)+Ft!B$6*EXP(Ft!B$38*($A500-Ft!B$2)^2)),Ft!B$3*((1-Ft!B$7)/(1+Ft!B$39*($A500-Ft!B$2)^2)+Ft!B$7*EXP(Ft!B$40*($A500-Ft!B$2)^2)))</f>
        <v>5.2252622006119269</v>
      </c>
      <c r="G500" s="3">
        <f>IF(($A500-Ft!C$2)&lt;0,Ft!C$3*((1-Ft!C$6)/(1+Ft!C$37*($A500-Ft!C$2)^2)+Ft!C$6*EXP(Ft!C$38*($A500-Ft!C$2)^2)),Ft!C$3*((1-Ft!C$7)/(1+Ft!C$39*($A500-Ft!C$2)^2)+Ft!C$7*EXP(Ft!C$40*($A500-Ft!C$2)^2)))</f>
        <v>55.708271927708957</v>
      </c>
      <c r="H500" s="3">
        <f>IF(($A500-Ft!D$2)&lt;0,Ft!D$3*((1-Ft!D$6)/(1+Ft!D$37*($A500-Ft!D$2)^2)+Ft!D$6*EXP(Ft!D$38*($A500-Ft!D$2)^2)),Ft!D$3*((1-Ft!D$7)/(1+Ft!D$39*($A500-Ft!D$2)^2)+Ft!D$7*EXP(Ft!D$40*($A500-Ft!D$2)^2)))</f>
        <v>3.5098042170616628E-95</v>
      </c>
      <c r="I500" s="3">
        <f>IF(($A500-Ft!E$2)&lt;0,Ft!E$3*((1-Ft!E$6)/(1+Ft!E$37*($A500-Ft!E$2)^2)+Ft!E$6*EXP(Ft!E$38*($A500-Ft!E$2)^2)),Ft!E$3*((1-Ft!E$7)/(1+Ft!E$39*($A500-Ft!E$2)^2)+Ft!E$7*EXP(Ft!E$40*($A500-Ft!E$2)^2)))</f>
        <v>64.026022724323411</v>
      </c>
      <c r="J500" s="3">
        <f>IF(($A500-Ft!F$2)&lt;0,Ft!F$3*((1-Ft!F$6)/(1+Ft!F$37*($A500-Ft!F$2)^2)+Ft!F$6*EXP(Ft!F$38*($A500-Ft!F$2)^2)),Ft!F$3*((1-Ft!F$7)/(1+Ft!F$39*($A500-Ft!F$2)^2)+Ft!F$7*EXP(Ft!F$40*($A500-Ft!F$2)^2)))</f>
        <v>105.12100842037381</v>
      </c>
      <c r="K500" s="3">
        <f>IF(($A500-Ft!G$2)&lt;0,Ft!G$3*((1-Ft!G$6)/(1+Ft!G$37*($A500-Ft!G$2)^2)+Ft!G$6*EXP(Ft!G$38*($A500-Ft!G$2)^2)),Ft!G$3*((1-Ft!G$7)/(1+Ft!G$39*($A500-Ft!G$2)^2)+Ft!G$7*EXP(Ft!G$40*($A500-Ft!G$2)^2)))</f>
        <v>0.23619543189341971</v>
      </c>
      <c r="L500" s="3">
        <f>IF(($A500-Ft!H$2)&lt;0,Ft!H$3*((1-Ft!H$6)/(1+Ft!H$37*($A500-Ft!H$2)^2)+Ft!H$6*EXP(Ft!H$38*($A500-Ft!H$2)^2)),Ft!H$3*((1-Ft!H$7)/(1+Ft!H$39*($A500-Ft!H$2)^2)+Ft!H$7*EXP(Ft!H$40*($A500-Ft!H$2)^2)))</f>
        <v>0</v>
      </c>
      <c r="M500" s="3">
        <f>IF(($A500-Ft!I$2)&lt;0,Ft!I$3*((1-Ft!I$6)/(1+Ft!I$37*($A500-Ft!I$2)^2)+Ft!I$6*EXP(Ft!I$38*($A500-Ft!I$2)^2)),Ft!I$3*((1-Ft!I$7)/(1+Ft!I$39*($A500-Ft!I$2)^2)+Ft!I$7*EXP(Ft!I$40*($A500-Ft!I$2)^2)))</f>
        <v>0</v>
      </c>
      <c r="N500" s="3">
        <f>IF(($A500-Ft!J$2)&lt;0,Ft!J$3*((1-Ft!J$6)/(1+Ft!J$37*($A500-Ft!J$2)^2)+Ft!J$6*EXP(Ft!J$38*($A500-Ft!J$2)^2)),Ft!J$3*((1-Ft!J$7)/(1+Ft!J$39*($A500-Ft!J$2)^2)+Ft!J$7*EXP(Ft!J$40*($A500-Ft!J$2)^2)))</f>
        <v>0</v>
      </c>
      <c r="O500" s="3">
        <f>IF(($A500-Ft!K$2)&lt;0,Ft!K$3*((1-Ft!K$6)/(1+Ft!K$37*($A500-Ft!K$2)^2)+Ft!K$6*EXP(Ft!K$38*($A500-Ft!K$2)^2)),Ft!K$3*((1-Ft!K$7)/(1+Ft!K$39*($A500-Ft!K$2)^2)+Ft!K$7*EXP(Ft!K$40*($A500-Ft!K$2)^2)))</f>
        <v>0</v>
      </c>
      <c r="P500"/>
      <c r="Q500"/>
    </row>
    <row r="501" spans="1:17">
      <c r="A501" s="20">
        <v>999</v>
      </c>
      <c r="B501" s="29">
        <v>30.448255072801601</v>
      </c>
      <c r="C501" s="7">
        <f t="shared" si="15"/>
        <v>30.036608443061876</v>
      </c>
      <c r="D501" s="3">
        <f t="shared" si="16"/>
        <v>0.16945294777607386</v>
      </c>
      <c r="E501" s="3">
        <f>Ft!$B$12+Ft!$B$14*(Data!A501-Vars!$B$3)</f>
        <v>-200</v>
      </c>
      <c r="F501" s="3">
        <f>IF(($A501-Ft!B$2)&lt;0,Ft!B$3*((1-Ft!B$6)/(1+Ft!B$37*($A501-Ft!B$2)^2)+Ft!B$6*EXP(Ft!B$38*($A501-Ft!B$2)^2)),Ft!B$3*((1-Ft!B$7)/(1+Ft!B$39*($A501-Ft!B$2)^2)+Ft!B$7*EXP(Ft!B$40*($A501-Ft!B$2)^2)))</f>
        <v>5.1647883400863774</v>
      </c>
      <c r="G501" s="3">
        <f>IF(($A501-Ft!C$2)&lt;0,Ft!C$3*((1-Ft!C$6)/(1+Ft!C$37*($A501-Ft!C$2)^2)+Ft!C$6*EXP(Ft!C$38*($A501-Ft!C$2)^2)),Ft!C$3*((1-Ft!C$7)/(1+Ft!C$39*($A501-Ft!C$2)^2)+Ft!C$7*EXP(Ft!C$40*($A501-Ft!C$2)^2)))</f>
        <v>55.684689186321549</v>
      </c>
      <c r="H501" s="3">
        <f>IF(($A501-Ft!D$2)&lt;0,Ft!D$3*((1-Ft!D$6)/(1+Ft!D$37*($A501-Ft!D$2)^2)+Ft!D$6*EXP(Ft!D$38*($A501-Ft!D$2)^2)),Ft!D$3*((1-Ft!D$7)/(1+Ft!D$39*($A501-Ft!D$2)^2)+Ft!D$7*EXP(Ft!D$40*($A501-Ft!D$2)^2)))</f>
        <v>7.4197386433236884E-96</v>
      </c>
      <c r="I501" s="3">
        <f>IF(($A501-Ft!E$2)&lt;0,Ft!E$3*((1-Ft!E$6)/(1+Ft!E$37*($A501-Ft!E$2)^2)+Ft!E$6*EXP(Ft!E$38*($A501-Ft!E$2)^2)),Ft!E$3*((1-Ft!E$7)/(1+Ft!E$39*($A501-Ft!E$2)^2)+Ft!E$7*EXP(Ft!E$40*($A501-Ft!E$2)^2)))</f>
        <v>63.511817125551431</v>
      </c>
      <c r="J501" s="3">
        <f>IF(($A501-Ft!F$2)&lt;0,Ft!F$3*((1-Ft!F$6)/(1+Ft!F$37*($A501-Ft!F$2)^2)+Ft!F$6*EXP(Ft!F$38*($A501-Ft!F$2)^2)),Ft!F$3*((1-Ft!F$7)/(1+Ft!F$39*($A501-Ft!F$2)^2)+Ft!F$7*EXP(Ft!F$40*($A501-Ft!F$2)^2)))</f>
        <v>105.4468627883742</v>
      </c>
      <c r="K501" s="3">
        <f>IF(($A501-Ft!G$2)&lt;0,Ft!G$3*((1-Ft!G$6)/(1+Ft!G$37*($A501-Ft!G$2)^2)+Ft!G$6*EXP(Ft!G$38*($A501-Ft!G$2)^2)),Ft!G$3*((1-Ft!G$7)/(1+Ft!G$39*($A501-Ft!G$2)^2)+Ft!G$7*EXP(Ft!G$40*($A501-Ft!G$2)^2)))</f>
        <v>0.22845100272831761</v>
      </c>
      <c r="L501" s="3">
        <f>IF(($A501-Ft!H$2)&lt;0,Ft!H$3*((1-Ft!H$6)/(1+Ft!H$37*($A501-Ft!H$2)^2)+Ft!H$6*EXP(Ft!H$38*($A501-Ft!H$2)^2)),Ft!H$3*((1-Ft!H$7)/(1+Ft!H$39*($A501-Ft!H$2)^2)+Ft!H$7*EXP(Ft!H$40*($A501-Ft!H$2)^2)))</f>
        <v>0</v>
      </c>
      <c r="M501" s="3">
        <f>IF(($A501-Ft!I$2)&lt;0,Ft!I$3*((1-Ft!I$6)/(1+Ft!I$37*($A501-Ft!I$2)^2)+Ft!I$6*EXP(Ft!I$38*($A501-Ft!I$2)^2)),Ft!I$3*((1-Ft!I$7)/(1+Ft!I$39*($A501-Ft!I$2)^2)+Ft!I$7*EXP(Ft!I$40*($A501-Ft!I$2)^2)))</f>
        <v>0</v>
      </c>
      <c r="N501" s="3">
        <f>IF(($A501-Ft!J$2)&lt;0,Ft!J$3*((1-Ft!J$6)/(1+Ft!J$37*($A501-Ft!J$2)^2)+Ft!J$6*EXP(Ft!J$38*($A501-Ft!J$2)^2)),Ft!J$3*((1-Ft!J$7)/(1+Ft!J$39*($A501-Ft!J$2)^2)+Ft!J$7*EXP(Ft!J$40*($A501-Ft!J$2)^2)))</f>
        <v>0</v>
      </c>
      <c r="O501" s="3">
        <f>IF(($A501-Ft!K$2)&lt;0,Ft!K$3*((1-Ft!K$6)/(1+Ft!K$37*($A501-Ft!K$2)^2)+Ft!K$6*EXP(Ft!K$38*($A501-Ft!K$2)^2)),Ft!K$3*((1-Ft!K$7)/(1+Ft!K$39*($A501-Ft!K$2)^2)+Ft!K$7*EXP(Ft!K$40*($A501-Ft!K$2)^2)))</f>
        <v>0</v>
      </c>
      <c r="P501"/>
      <c r="Q501"/>
    </row>
    <row r="502" spans="1:17">
      <c r="A502" s="20">
        <v>1001</v>
      </c>
      <c r="B502" s="29">
        <v>30.168844106480634</v>
      </c>
      <c r="C502" s="7">
        <f t="shared" si="15"/>
        <v>29.75690166942465</v>
      </c>
      <c r="D502" s="3">
        <f t="shared" si="16"/>
        <v>0.16969657144762343</v>
      </c>
      <c r="E502" s="3">
        <f>Ft!$B$12+Ft!$B$14*(Data!A502-Vars!$B$3)</f>
        <v>-200</v>
      </c>
      <c r="F502" s="3">
        <f>IF(($A502-Ft!B$2)&lt;0,Ft!B$3*((1-Ft!B$6)/(1+Ft!B$37*($A502-Ft!B$2)^2)+Ft!B$6*EXP(Ft!B$38*($A502-Ft!B$2)^2)),Ft!B$3*((1-Ft!B$7)/(1+Ft!B$39*($A502-Ft!B$2)^2)+Ft!B$7*EXP(Ft!B$40*($A502-Ft!B$2)^2)))</f>
        <v>5.1049169283753697</v>
      </c>
      <c r="G502" s="3">
        <f>IF(($A502-Ft!C$2)&lt;0,Ft!C$3*((1-Ft!C$6)/(1+Ft!C$37*($A502-Ft!C$2)^2)+Ft!C$6*EXP(Ft!C$38*($A502-Ft!C$2)^2)),Ft!C$3*((1-Ft!C$7)/(1+Ft!C$39*($A502-Ft!C$2)^2)+Ft!C$7*EXP(Ft!C$40*($A502-Ft!C$2)^2)))</f>
        <v>55.660624621273605</v>
      </c>
      <c r="H502" s="3">
        <f>IF(($A502-Ft!D$2)&lt;0,Ft!D$3*((1-Ft!D$6)/(1+Ft!D$37*($A502-Ft!D$2)^2)+Ft!D$6*EXP(Ft!D$38*($A502-Ft!D$2)^2)),Ft!D$3*((1-Ft!D$7)/(1+Ft!D$39*($A502-Ft!D$2)^2)+Ft!D$7*EXP(Ft!D$40*($A502-Ft!D$2)^2)))</f>
        <v>1.5599059373983203E-96</v>
      </c>
      <c r="I502" s="3">
        <f>IF(($A502-Ft!E$2)&lt;0,Ft!E$3*((1-Ft!E$6)/(1+Ft!E$37*($A502-Ft!E$2)^2)+Ft!E$6*EXP(Ft!E$38*($A502-Ft!E$2)^2)),Ft!E$3*((1-Ft!E$7)/(1+Ft!E$39*($A502-Ft!E$2)^2)+Ft!E$7*EXP(Ft!E$40*($A502-Ft!E$2)^2)))</f>
        <v>62.99808838995866</v>
      </c>
      <c r="J502" s="3">
        <f>IF(($A502-Ft!F$2)&lt;0,Ft!F$3*((1-Ft!F$6)/(1+Ft!F$37*($A502-Ft!F$2)^2)+Ft!F$6*EXP(Ft!F$38*($A502-Ft!F$2)^2)),Ft!F$3*((1-Ft!F$7)/(1+Ft!F$39*($A502-Ft!F$2)^2)+Ft!F$7*EXP(Ft!F$40*($A502-Ft!F$2)^2)))</f>
        <v>105.77233416437413</v>
      </c>
      <c r="K502" s="3">
        <f>IF(($A502-Ft!G$2)&lt;0,Ft!G$3*((1-Ft!G$6)/(1+Ft!G$37*($A502-Ft!G$2)^2)+Ft!G$6*EXP(Ft!G$38*($A502-Ft!G$2)^2)),Ft!G$3*((1-Ft!G$7)/(1+Ft!G$39*($A502-Ft!G$2)^2)+Ft!G$7*EXP(Ft!G$40*($A502-Ft!G$2)^2)))</f>
        <v>0.22093756544289642</v>
      </c>
      <c r="L502" s="3">
        <f>IF(($A502-Ft!H$2)&lt;0,Ft!H$3*((1-Ft!H$6)/(1+Ft!H$37*($A502-Ft!H$2)^2)+Ft!H$6*EXP(Ft!H$38*($A502-Ft!H$2)^2)),Ft!H$3*((1-Ft!H$7)/(1+Ft!H$39*($A502-Ft!H$2)^2)+Ft!H$7*EXP(Ft!H$40*($A502-Ft!H$2)^2)))</f>
        <v>0</v>
      </c>
      <c r="M502" s="3">
        <f>IF(($A502-Ft!I$2)&lt;0,Ft!I$3*((1-Ft!I$6)/(1+Ft!I$37*($A502-Ft!I$2)^2)+Ft!I$6*EXP(Ft!I$38*($A502-Ft!I$2)^2)),Ft!I$3*((1-Ft!I$7)/(1+Ft!I$39*($A502-Ft!I$2)^2)+Ft!I$7*EXP(Ft!I$40*($A502-Ft!I$2)^2)))</f>
        <v>0</v>
      </c>
      <c r="N502" s="3">
        <f>IF(($A502-Ft!J$2)&lt;0,Ft!J$3*((1-Ft!J$6)/(1+Ft!J$37*($A502-Ft!J$2)^2)+Ft!J$6*EXP(Ft!J$38*($A502-Ft!J$2)^2)),Ft!J$3*((1-Ft!J$7)/(1+Ft!J$39*($A502-Ft!J$2)^2)+Ft!J$7*EXP(Ft!J$40*($A502-Ft!J$2)^2)))</f>
        <v>0</v>
      </c>
      <c r="O502" s="3">
        <f>IF(($A502-Ft!K$2)&lt;0,Ft!K$3*((1-Ft!K$6)/(1+Ft!K$37*($A502-Ft!K$2)^2)+Ft!K$6*EXP(Ft!K$38*($A502-Ft!K$2)^2)),Ft!K$3*((1-Ft!K$7)/(1+Ft!K$39*($A502-Ft!K$2)^2)+Ft!K$7*EXP(Ft!K$40*($A502-Ft!K$2)^2)))</f>
        <v>0</v>
      </c>
      <c r="P502"/>
      <c r="Q502"/>
    </row>
    <row r="503" spans="1:17">
      <c r="A503" s="20">
        <v>1003</v>
      </c>
      <c r="B503" s="29">
        <v>29.8892894703351</v>
      </c>
      <c r="C503" s="7">
        <f t="shared" si="15"/>
        <v>29.477675947980735</v>
      </c>
      <c r="D503" s="3">
        <f t="shared" si="16"/>
        <v>0.16942569178496741</v>
      </c>
      <c r="E503" s="3">
        <f>Ft!$B$12+Ft!$B$14*(Data!A503-Vars!$B$3)</f>
        <v>-200</v>
      </c>
      <c r="F503" s="3">
        <f>IF(($A503-Ft!B$2)&lt;0,Ft!B$3*((1-Ft!B$6)/(1+Ft!B$37*($A503-Ft!B$2)^2)+Ft!B$6*EXP(Ft!B$38*($A503-Ft!B$2)^2)),Ft!B$3*((1-Ft!B$7)/(1+Ft!B$39*($A503-Ft!B$2)^2)+Ft!B$7*EXP(Ft!B$40*($A503-Ft!B$2)^2)))</f>
        <v>5.0456432539859666</v>
      </c>
      <c r="G503" s="3">
        <f>IF(($A503-Ft!C$2)&lt;0,Ft!C$3*((1-Ft!C$6)/(1+Ft!C$37*($A503-Ft!C$2)^2)+Ft!C$6*EXP(Ft!C$38*($A503-Ft!C$2)^2)),Ft!C$3*((1-Ft!C$7)/(1+Ft!C$39*($A503-Ft!C$2)^2)+Ft!C$7*EXP(Ft!C$40*($A503-Ft!C$2)^2)))</f>
        <v>55.636078865953252</v>
      </c>
      <c r="H503" s="3">
        <f>IF(($A503-Ft!D$2)&lt;0,Ft!D$3*((1-Ft!D$6)/(1+Ft!D$37*($A503-Ft!D$2)^2)+Ft!D$6*EXP(Ft!D$38*($A503-Ft!D$2)^2)),Ft!D$3*((1-Ft!D$7)/(1+Ft!D$39*($A503-Ft!D$2)^2)+Ft!D$7*EXP(Ft!D$40*($A503-Ft!D$2)^2)))</f>
        <v>3.261461840319717E-97</v>
      </c>
      <c r="I503" s="3">
        <f>IF(($A503-Ft!E$2)&lt;0,Ft!E$3*((1-Ft!E$6)/(1+Ft!E$37*($A503-Ft!E$2)^2)+Ft!E$6*EXP(Ft!E$38*($A503-Ft!E$2)^2)),Ft!E$3*((1-Ft!E$7)/(1+Ft!E$39*($A503-Ft!E$2)^2)+Ft!E$7*EXP(Ft!E$40*($A503-Ft!E$2)^2)))</f>
        <v>62.484891991103119</v>
      </c>
      <c r="J503" s="3">
        <f>IF(($A503-Ft!F$2)&lt;0,Ft!F$3*((1-Ft!F$6)/(1+Ft!F$37*($A503-Ft!F$2)^2)+Ft!F$6*EXP(Ft!F$38*($A503-Ft!F$2)^2)),Ft!F$3*((1-Ft!F$7)/(1+Ft!F$39*($A503-Ft!F$2)^2)+Ft!F$7*EXP(Ft!F$40*($A503-Ft!F$2)^2)))</f>
        <v>106.09741277986402</v>
      </c>
      <c r="K503" s="3">
        <f>IF(($A503-Ft!G$2)&lt;0,Ft!G$3*((1-Ft!G$6)/(1+Ft!G$37*($A503-Ft!G$2)^2)+Ft!G$6*EXP(Ft!G$38*($A503-Ft!G$2)^2)),Ft!G$3*((1-Ft!G$7)/(1+Ft!G$39*($A503-Ft!G$2)^2)+Ft!G$7*EXP(Ft!G$40*($A503-Ft!G$2)^2)))</f>
        <v>0.2136490570744001</v>
      </c>
      <c r="L503" s="3">
        <f>IF(($A503-Ft!H$2)&lt;0,Ft!H$3*((1-Ft!H$6)/(1+Ft!H$37*($A503-Ft!H$2)^2)+Ft!H$6*EXP(Ft!H$38*($A503-Ft!H$2)^2)),Ft!H$3*((1-Ft!H$7)/(1+Ft!H$39*($A503-Ft!H$2)^2)+Ft!H$7*EXP(Ft!H$40*($A503-Ft!H$2)^2)))</f>
        <v>0</v>
      </c>
      <c r="M503" s="3">
        <f>IF(($A503-Ft!I$2)&lt;0,Ft!I$3*((1-Ft!I$6)/(1+Ft!I$37*($A503-Ft!I$2)^2)+Ft!I$6*EXP(Ft!I$38*($A503-Ft!I$2)^2)),Ft!I$3*((1-Ft!I$7)/(1+Ft!I$39*($A503-Ft!I$2)^2)+Ft!I$7*EXP(Ft!I$40*($A503-Ft!I$2)^2)))</f>
        <v>0</v>
      </c>
      <c r="N503" s="3">
        <f>IF(($A503-Ft!J$2)&lt;0,Ft!J$3*((1-Ft!J$6)/(1+Ft!J$37*($A503-Ft!J$2)^2)+Ft!J$6*EXP(Ft!J$38*($A503-Ft!J$2)^2)),Ft!J$3*((1-Ft!J$7)/(1+Ft!J$39*($A503-Ft!J$2)^2)+Ft!J$7*EXP(Ft!J$40*($A503-Ft!J$2)^2)))</f>
        <v>0</v>
      </c>
      <c r="O503" s="3">
        <f>IF(($A503-Ft!K$2)&lt;0,Ft!K$3*((1-Ft!K$6)/(1+Ft!K$37*($A503-Ft!K$2)^2)+Ft!K$6*EXP(Ft!K$38*($A503-Ft!K$2)^2)),Ft!K$3*((1-Ft!K$7)/(1+Ft!K$39*($A503-Ft!K$2)^2)+Ft!K$7*EXP(Ft!K$40*($A503-Ft!K$2)^2)))</f>
        <v>0</v>
      </c>
      <c r="P503"/>
      <c r="Q503"/>
    </row>
    <row r="504" spans="1:17">
      <c r="A504" s="20">
        <v>1005</v>
      </c>
      <c r="B504" s="29">
        <v>29.609621605456539</v>
      </c>
      <c r="C504" s="7">
        <f t="shared" si="15"/>
        <v>29.19896644958391</v>
      </c>
      <c r="D504" s="3">
        <f t="shared" si="16"/>
        <v>0.16863765704477304</v>
      </c>
      <c r="E504" s="3">
        <f>Ft!$B$12+Ft!$B$14*(Data!A504-Vars!$B$3)</f>
        <v>-200</v>
      </c>
      <c r="F504" s="3">
        <f>IF(($A504-Ft!B$2)&lt;0,Ft!B$3*((1-Ft!B$6)/(1+Ft!B$37*($A504-Ft!B$2)^2)+Ft!B$6*EXP(Ft!B$38*($A504-Ft!B$2)^2)),Ft!B$3*((1-Ft!B$7)/(1+Ft!B$39*($A504-Ft!B$2)^2)+Ft!B$7*EXP(Ft!B$40*($A504-Ft!B$2)^2)))</f>
        <v>4.986962626058844</v>
      </c>
      <c r="G504" s="3">
        <f>IF(($A504-Ft!C$2)&lt;0,Ft!C$3*((1-Ft!C$6)/(1+Ft!C$37*($A504-Ft!C$2)^2)+Ft!C$6*EXP(Ft!C$38*($A504-Ft!C$2)^2)),Ft!C$3*((1-Ft!C$7)/(1+Ft!C$39*($A504-Ft!C$2)^2)+Ft!C$7*EXP(Ft!C$40*($A504-Ft!C$2)^2)))</f>
        <v>55.611052566224259</v>
      </c>
      <c r="H504" s="3">
        <f>IF(($A504-Ft!D$2)&lt;0,Ft!D$3*((1-Ft!D$6)/(1+Ft!D$37*($A504-Ft!D$2)^2)+Ft!D$6*EXP(Ft!D$38*($A504-Ft!D$2)^2)),Ft!D$3*((1-Ft!D$7)/(1+Ft!D$39*($A504-Ft!D$2)^2)+Ft!D$7*EXP(Ft!D$40*($A504-Ft!D$2)^2)))</f>
        <v>6.7815704709836519E-98</v>
      </c>
      <c r="I504" s="3">
        <f>IF(($A504-Ft!E$2)&lt;0,Ft!E$3*((1-Ft!E$6)/(1+Ft!E$37*($A504-Ft!E$2)^2)+Ft!E$6*EXP(Ft!E$38*($A504-Ft!E$2)^2)),Ft!E$3*((1-Ft!E$7)/(1+Ft!E$39*($A504-Ft!E$2)^2)+Ft!E$7*EXP(Ft!E$40*($A504-Ft!E$2)^2)))</f>
        <v>61.972282860027128</v>
      </c>
      <c r="J504" s="3">
        <f>IF(($A504-Ft!F$2)&lt;0,Ft!F$3*((1-Ft!F$6)/(1+Ft!F$37*($A504-Ft!F$2)^2)+Ft!F$6*EXP(Ft!F$38*($A504-Ft!F$2)^2)),Ft!F$3*((1-Ft!F$7)/(1+Ft!F$39*($A504-Ft!F$2)^2)+Ft!F$7*EXP(Ft!F$40*($A504-Ft!F$2)^2)))</f>
        <v>106.42208885178978</v>
      </c>
      <c r="K504" s="3">
        <f>IF(($A504-Ft!G$2)&lt;0,Ft!G$3*((1-Ft!G$6)/(1+Ft!G$37*($A504-Ft!G$2)^2)+Ft!G$6*EXP(Ft!G$38*($A504-Ft!G$2)^2)),Ft!G$3*((1-Ft!G$7)/(1+Ft!G$39*($A504-Ft!G$2)^2)+Ft!G$7*EXP(Ft!G$40*($A504-Ft!G$2)^2)))</f>
        <v>0.20657954548390789</v>
      </c>
      <c r="L504" s="3">
        <f>IF(($A504-Ft!H$2)&lt;0,Ft!H$3*((1-Ft!H$6)/(1+Ft!H$37*($A504-Ft!H$2)^2)+Ft!H$6*EXP(Ft!H$38*($A504-Ft!H$2)^2)),Ft!H$3*((1-Ft!H$7)/(1+Ft!H$39*($A504-Ft!H$2)^2)+Ft!H$7*EXP(Ft!H$40*($A504-Ft!H$2)^2)))</f>
        <v>0</v>
      </c>
      <c r="M504" s="3">
        <f>IF(($A504-Ft!I$2)&lt;0,Ft!I$3*((1-Ft!I$6)/(1+Ft!I$37*($A504-Ft!I$2)^2)+Ft!I$6*EXP(Ft!I$38*($A504-Ft!I$2)^2)),Ft!I$3*((1-Ft!I$7)/(1+Ft!I$39*($A504-Ft!I$2)^2)+Ft!I$7*EXP(Ft!I$40*($A504-Ft!I$2)^2)))</f>
        <v>0</v>
      </c>
      <c r="N504" s="3">
        <f>IF(($A504-Ft!J$2)&lt;0,Ft!J$3*((1-Ft!J$6)/(1+Ft!J$37*($A504-Ft!J$2)^2)+Ft!J$6*EXP(Ft!J$38*($A504-Ft!J$2)^2)),Ft!J$3*((1-Ft!J$7)/(1+Ft!J$39*($A504-Ft!J$2)^2)+Ft!J$7*EXP(Ft!J$40*($A504-Ft!J$2)^2)))</f>
        <v>0</v>
      </c>
      <c r="O504" s="3">
        <f>IF(($A504-Ft!K$2)&lt;0,Ft!K$3*((1-Ft!K$6)/(1+Ft!K$37*($A504-Ft!K$2)^2)+Ft!K$6*EXP(Ft!K$38*($A504-Ft!K$2)^2)),Ft!K$3*((1-Ft!K$7)/(1+Ft!K$39*($A504-Ft!K$2)^2)+Ft!K$7*EXP(Ft!K$40*($A504-Ft!K$2)^2)))</f>
        <v>0</v>
      </c>
      <c r="P504"/>
      <c r="Q504"/>
    </row>
    <row r="505" spans="1:17">
      <c r="A505" s="20">
        <v>1007</v>
      </c>
      <c r="B505" s="29">
        <v>29.329870966975108</v>
      </c>
      <c r="C505" s="7">
        <f t="shared" si="15"/>
        <v>28.920807942358852</v>
      </c>
      <c r="D505" s="3">
        <f t="shared" si="16"/>
        <v>0.16733255810819919</v>
      </c>
      <c r="E505" s="3">
        <f>Ft!$B$12+Ft!$B$14*(Data!A505-Vars!$B$3)</f>
        <v>-200</v>
      </c>
      <c r="F505" s="3">
        <f>IF(($A505-Ft!B$2)&lt;0,Ft!B$3*((1-Ft!B$6)/(1+Ft!B$37*($A505-Ft!B$2)^2)+Ft!B$6*EXP(Ft!B$38*($A505-Ft!B$2)^2)),Ft!B$3*((1-Ft!B$7)/(1+Ft!B$39*($A505-Ft!B$2)^2)+Ft!B$7*EXP(Ft!B$40*($A505-Ft!B$2)^2)))</f>
        <v>4.9288703744847577</v>
      </c>
      <c r="G505" s="3">
        <f>IF(($A505-Ft!C$2)&lt;0,Ft!C$3*((1-Ft!C$6)/(1+Ft!C$37*($A505-Ft!C$2)^2)+Ft!C$6*EXP(Ft!C$38*($A505-Ft!C$2)^2)),Ft!C$3*((1-Ft!C$7)/(1+Ft!C$39*($A505-Ft!C$2)^2)+Ft!C$7*EXP(Ft!C$40*($A505-Ft!C$2)^2)))</f>
        <v>55.585546380397822</v>
      </c>
      <c r="H505" s="3">
        <f>IF(($A505-Ft!D$2)&lt;0,Ft!D$3*((1-Ft!D$6)/(1+Ft!D$37*($A505-Ft!D$2)^2)+Ft!D$6*EXP(Ft!D$38*($A505-Ft!D$2)^2)),Ft!D$3*((1-Ft!D$7)/(1+Ft!D$39*($A505-Ft!D$2)^2)+Ft!D$7*EXP(Ft!D$40*($A505-Ft!D$2)^2)))</f>
        <v>1.402336841396344E-98</v>
      </c>
      <c r="I505" s="3">
        <f>IF(($A505-Ft!E$2)&lt;0,Ft!E$3*((1-Ft!E$6)/(1+Ft!E$37*($A505-Ft!E$2)^2)+Ft!E$6*EXP(Ft!E$38*($A505-Ft!E$2)^2)),Ft!E$3*((1-Ft!E$7)/(1+Ft!E$39*($A505-Ft!E$2)^2)+Ft!E$7*EXP(Ft!E$40*($A505-Ft!E$2)^2)))</f>
        <v>61.460315376989278</v>
      </c>
      <c r="J505" s="3">
        <f>IF(($A505-Ft!F$2)&lt;0,Ft!F$3*((1-Ft!F$6)/(1+Ft!F$37*($A505-Ft!F$2)^2)+Ft!F$6*EXP(Ft!F$38*($A505-Ft!F$2)^2)),Ft!F$3*((1-Ft!F$7)/(1+Ft!F$39*($A505-Ft!F$2)^2)+Ft!F$7*EXP(Ft!F$40*($A505-Ft!F$2)^2)))</f>
        <v>106.7463525830243</v>
      </c>
      <c r="K505" s="3">
        <f>IF(($A505-Ft!G$2)&lt;0,Ft!G$3*((1-Ft!G$6)/(1+Ft!G$37*($A505-Ft!G$2)^2)+Ft!G$6*EXP(Ft!G$38*($A505-Ft!G$2)^2)),Ft!G$3*((1-Ft!G$7)/(1+Ft!G$39*($A505-Ft!G$2)^2)+Ft!G$7*EXP(Ft!G$40*($A505-Ft!G$2)^2)))</f>
        <v>0.19972322746268587</v>
      </c>
      <c r="L505" s="3">
        <f>IF(($A505-Ft!H$2)&lt;0,Ft!H$3*((1-Ft!H$6)/(1+Ft!H$37*($A505-Ft!H$2)^2)+Ft!H$6*EXP(Ft!H$38*($A505-Ft!H$2)^2)),Ft!H$3*((1-Ft!H$7)/(1+Ft!H$39*($A505-Ft!H$2)^2)+Ft!H$7*EXP(Ft!H$40*($A505-Ft!H$2)^2)))</f>
        <v>0</v>
      </c>
      <c r="M505" s="3">
        <f>IF(($A505-Ft!I$2)&lt;0,Ft!I$3*((1-Ft!I$6)/(1+Ft!I$37*($A505-Ft!I$2)^2)+Ft!I$6*EXP(Ft!I$38*($A505-Ft!I$2)^2)),Ft!I$3*((1-Ft!I$7)/(1+Ft!I$39*($A505-Ft!I$2)^2)+Ft!I$7*EXP(Ft!I$40*($A505-Ft!I$2)^2)))</f>
        <v>0</v>
      </c>
      <c r="N505" s="3">
        <f>IF(($A505-Ft!J$2)&lt;0,Ft!J$3*((1-Ft!J$6)/(1+Ft!J$37*($A505-Ft!J$2)^2)+Ft!J$6*EXP(Ft!J$38*($A505-Ft!J$2)^2)),Ft!J$3*((1-Ft!J$7)/(1+Ft!J$39*($A505-Ft!J$2)^2)+Ft!J$7*EXP(Ft!J$40*($A505-Ft!J$2)^2)))</f>
        <v>0</v>
      </c>
      <c r="O505" s="3">
        <f>IF(($A505-Ft!K$2)&lt;0,Ft!K$3*((1-Ft!K$6)/(1+Ft!K$37*($A505-Ft!K$2)^2)+Ft!K$6*EXP(Ft!K$38*($A505-Ft!K$2)^2)),Ft!K$3*((1-Ft!K$7)/(1+Ft!K$39*($A505-Ft!K$2)^2)+Ft!K$7*EXP(Ft!K$40*($A505-Ft!K$2)^2)))</f>
        <v>0</v>
      </c>
      <c r="P505"/>
      <c r="Q505"/>
    </row>
    <row r="506" spans="1:17">
      <c r="A506" s="20">
        <v>1009</v>
      </c>
      <c r="B506" s="29">
        <v>29.050068018525664</v>
      </c>
      <c r="C506" s="7">
        <f t="shared" si="15"/>
        <v>28.643234782320842</v>
      </c>
      <c r="D506" s="3">
        <f t="shared" si="16"/>
        <v>0.16551328208088825</v>
      </c>
      <c r="E506" s="3">
        <f>Ft!$B$12+Ft!$B$14*(Data!A506-Vars!$B$3)</f>
        <v>-200</v>
      </c>
      <c r="F506" s="3">
        <f>IF(($A506-Ft!B$2)&lt;0,Ft!B$3*((1-Ft!B$6)/(1+Ft!B$37*($A506-Ft!B$2)^2)+Ft!B$6*EXP(Ft!B$38*($A506-Ft!B$2)^2)),Ft!B$3*((1-Ft!B$7)/(1+Ft!B$39*($A506-Ft!B$2)^2)+Ft!B$7*EXP(Ft!B$40*($A506-Ft!B$2)^2)))</f>
        <v>4.8713618500177027</v>
      </c>
      <c r="G506" s="3">
        <f>IF(($A506-Ft!C$2)&lt;0,Ft!C$3*((1-Ft!C$6)/(1+Ft!C$37*($A506-Ft!C$2)^2)+Ft!C$6*EXP(Ft!C$38*($A506-Ft!C$2)^2)),Ft!C$3*((1-Ft!C$7)/(1+Ft!C$39*($A506-Ft!C$2)^2)+Ft!C$7*EXP(Ft!C$40*($A506-Ft!C$2)^2)))</f>
        <v>55.559560979203631</v>
      </c>
      <c r="H506" s="3">
        <f>IF(($A506-Ft!D$2)&lt;0,Ft!D$3*((1-Ft!D$6)/(1+Ft!D$37*($A506-Ft!D$2)^2)+Ft!D$6*EXP(Ft!D$38*($A506-Ft!D$2)^2)),Ft!D$3*((1-Ft!D$7)/(1+Ft!D$39*($A506-Ft!D$2)^2)+Ft!D$7*EXP(Ft!D$40*($A506-Ft!D$2)^2)))</f>
        <v>2.8838887006231463E-99</v>
      </c>
      <c r="I506" s="3">
        <f>IF(($A506-Ft!E$2)&lt;0,Ft!E$3*((1-Ft!E$6)/(1+Ft!E$37*($A506-Ft!E$2)^2)+Ft!E$6*EXP(Ft!E$38*($A506-Ft!E$2)^2)),Ft!E$3*((1-Ft!E$7)/(1+Ft!E$39*($A506-Ft!E$2)^2)+Ft!E$7*EXP(Ft!E$40*($A506-Ft!E$2)^2)))</f>
        <v>60.949043363423002</v>
      </c>
      <c r="J506" s="3">
        <f>IF(($A506-Ft!F$2)&lt;0,Ft!F$3*((1-Ft!F$6)/(1+Ft!F$37*($A506-Ft!F$2)^2)+Ft!F$6*EXP(Ft!F$38*($A506-Ft!F$2)^2)),Ft!F$3*((1-Ft!F$7)/(1+Ft!F$39*($A506-Ft!F$2)^2)+Ft!F$7*EXP(Ft!F$40*($A506-Ft!F$2)^2)))</f>
        <v>107.07019416284119</v>
      </c>
      <c r="K506" s="3">
        <f>IF(($A506-Ft!G$2)&lt;0,Ft!G$3*((1-Ft!G$6)/(1+Ft!G$37*($A506-Ft!G$2)^2)+Ft!G$6*EXP(Ft!G$38*($A506-Ft!G$2)^2)),Ft!G$3*((1-Ft!G$7)/(1+Ft!G$39*($A506-Ft!G$2)^2)+Ft!G$7*EXP(Ft!G$40*($A506-Ft!G$2)^2)))</f>
        <v>0.19307442683530521</v>
      </c>
      <c r="L506" s="3">
        <f>IF(($A506-Ft!H$2)&lt;0,Ft!H$3*((1-Ft!H$6)/(1+Ft!H$37*($A506-Ft!H$2)^2)+Ft!H$6*EXP(Ft!H$38*($A506-Ft!H$2)^2)),Ft!H$3*((1-Ft!H$7)/(1+Ft!H$39*($A506-Ft!H$2)^2)+Ft!H$7*EXP(Ft!H$40*($A506-Ft!H$2)^2)))</f>
        <v>0</v>
      </c>
      <c r="M506" s="3">
        <f>IF(($A506-Ft!I$2)&lt;0,Ft!I$3*((1-Ft!I$6)/(1+Ft!I$37*($A506-Ft!I$2)^2)+Ft!I$6*EXP(Ft!I$38*($A506-Ft!I$2)^2)),Ft!I$3*((1-Ft!I$7)/(1+Ft!I$39*($A506-Ft!I$2)^2)+Ft!I$7*EXP(Ft!I$40*($A506-Ft!I$2)^2)))</f>
        <v>0</v>
      </c>
      <c r="N506" s="3">
        <f>IF(($A506-Ft!J$2)&lt;0,Ft!J$3*((1-Ft!J$6)/(1+Ft!J$37*($A506-Ft!J$2)^2)+Ft!J$6*EXP(Ft!J$38*($A506-Ft!J$2)^2)),Ft!J$3*((1-Ft!J$7)/(1+Ft!J$39*($A506-Ft!J$2)^2)+Ft!J$7*EXP(Ft!J$40*($A506-Ft!J$2)^2)))</f>
        <v>0</v>
      </c>
      <c r="O506" s="3">
        <f>IF(($A506-Ft!K$2)&lt;0,Ft!K$3*((1-Ft!K$6)/(1+Ft!K$37*($A506-Ft!K$2)^2)+Ft!K$6*EXP(Ft!K$38*($A506-Ft!K$2)^2)),Ft!K$3*((1-Ft!K$7)/(1+Ft!K$39*($A506-Ft!K$2)^2)+Ft!K$7*EXP(Ft!K$40*($A506-Ft!K$2)^2)))</f>
        <v>0</v>
      </c>
      <c r="P506"/>
      <c r="Q506"/>
    </row>
    <row r="507" spans="1:17">
      <c r="A507" s="20">
        <v>1011</v>
      </c>
      <c r="B507" s="29">
        <v>28.770243226694546</v>
      </c>
      <c r="C507" s="7">
        <f t="shared" si="15"/>
        <v>28.366280904219689</v>
      </c>
      <c r="D507" s="3">
        <f t="shared" si="16"/>
        <v>0.16318555797928069</v>
      </c>
      <c r="E507" s="3">
        <f>Ft!$B$12+Ft!$B$14*(Data!A507-Vars!$B$3)</f>
        <v>-200</v>
      </c>
      <c r="F507" s="3">
        <f>IF(($A507-Ft!B$2)&lt;0,Ft!B$3*((1-Ft!B$6)/(1+Ft!B$37*($A507-Ft!B$2)^2)+Ft!B$6*EXP(Ft!B$38*($A507-Ft!B$2)^2)),Ft!B$3*((1-Ft!B$7)/(1+Ft!B$39*($A507-Ft!B$2)^2)+Ft!B$7*EXP(Ft!B$40*($A507-Ft!B$2)^2)))</f>
        <v>4.8144324243847487</v>
      </c>
      <c r="G507" s="3">
        <f>IF(($A507-Ft!C$2)&lt;0,Ft!C$3*((1-Ft!C$6)/(1+Ft!C$37*($A507-Ft!C$2)^2)+Ft!C$6*EXP(Ft!C$38*($A507-Ft!C$2)^2)),Ft!C$3*((1-Ft!C$7)/(1+Ft!C$39*($A507-Ft!C$2)^2)+Ft!C$7*EXP(Ft!C$40*($A507-Ft!C$2)^2)))</f>
        <v>55.533097045760464</v>
      </c>
      <c r="H507" s="3">
        <f>IF(($A507-Ft!D$2)&lt;0,Ft!D$3*((1-Ft!D$6)/(1+Ft!D$37*($A507-Ft!D$2)^2)+Ft!D$6*EXP(Ft!D$38*($A507-Ft!D$2)^2)),Ft!D$3*((1-Ft!D$7)/(1+Ft!D$39*($A507-Ft!D$2)^2)+Ft!D$7*EXP(Ft!D$40*($A507-Ft!D$2)^2)))</f>
        <v>5.8980538609745358E-100</v>
      </c>
      <c r="I507" s="3">
        <f>IF(($A507-Ft!E$2)&lt;0,Ft!E$3*((1-Ft!E$6)/(1+Ft!E$37*($A507-Ft!E$2)^2)+Ft!E$6*EXP(Ft!E$38*($A507-Ft!E$2)^2)),Ft!E$3*((1-Ft!E$7)/(1+Ft!E$39*($A507-Ft!E$2)^2)+Ft!E$7*EXP(Ft!E$40*($A507-Ft!E$2)^2)))</f>
        <v>60.4385200741226</v>
      </c>
      <c r="J507" s="3">
        <f>IF(($A507-Ft!F$2)&lt;0,Ft!F$3*((1-Ft!F$6)/(1+Ft!F$37*($A507-Ft!F$2)^2)+Ft!F$6*EXP(Ft!F$38*($A507-Ft!F$2)^2)),Ft!F$3*((1-Ft!F$7)/(1+Ft!F$39*($A507-Ft!F$2)^2)+Ft!F$7*EXP(Ft!F$40*($A507-Ft!F$2)^2)))</f>
        <v>107.39360376739107</v>
      </c>
      <c r="K507" s="3">
        <f>IF(($A507-Ft!G$2)&lt;0,Ft!G$3*((1-Ft!G$6)/(1+Ft!G$37*($A507-Ft!G$2)^2)+Ft!G$6*EXP(Ft!G$38*($A507-Ft!G$2)^2)),Ft!G$3*((1-Ft!G$7)/(1+Ft!G$39*($A507-Ft!G$2)^2)+Ft!G$7*EXP(Ft!G$40*($A507-Ft!G$2)^2)))</f>
        <v>0.18662759256079461</v>
      </c>
      <c r="L507" s="3">
        <f>IF(($A507-Ft!H$2)&lt;0,Ft!H$3*((1-Ft!H$6)/(1+Ft!H$37*($A507-Ft!H$2)^2)+Ft!H$6*EXP(Ft!H$38*($A507-Ft!H$2)^2)),Ft!H$3*((1-Ft!H$7)/(1+Ft!H$39*($A507-Ft!H$2)^2)+Ft!H$7*EXP(Ft!H$40*($A507-Ft!H$2)^2)))</f>
        <v>0</v>
      </c>
      <c r="M507" s="3">
        <f>IF(($A507-Ft!I$2)&lt;0,Ft!I$3*((1-Ft!I$6)/(1+Ft!I$37*($A507-Ft!I$2)^2)+Ft!I$6*EXP(Ft!I$38*($A507-Ft!I$2)^2)),Ft!I$3*((1-Ft!I$7)/(1+Ft!I$39*($A507-Ft!I$2)^2)+Ft!I$7*EXP(Ft!I$40*($A507-Ft!I$2)^2)))</f>
        <v>0</v>
      </c>
      <c r="N507" s="3">
        <f>IF(($A507-Ft!J$2)&lt;0,Ft!J$3*((1-Ft!J$6)/(1+Ft!J$37*($A507-Ft!J$2)^2)+Ft!J$6*EXP(Ft!J$38*($A507-Ft!J$2)^2)),Ft!J$3*((1-Ft!J$7)/(1+Ft!J$39*($A507-Ft!J$2)^2)+Ft!J$7*EXP(Ft!J$40*($A507-Ft!J$2)^2)))</f>
        <v>0</v>
      </c>
      <c r="O507" s="3">
        <f>IF(($A507-Ft!K$2)&lt;0,Ft!K$3*((1-Ft!K$6)/(1+Ft!K$37*($A507-Ft!K$2)^2)+Ft!K$6*EXP(Ft!K$38*($A507-Ft!K$2)^2)),Ft!K$3*((1-Ft!K$7)/(1+Ft!K$39*($A507-Ft!K$2)^2)+Ft!K$7*EXP(Ft!K$40*($A507-Ft!K$2)^2)))</f>
        <v>0</v>
      </c>
      <c r="P507"/>
      <c r="Q507"/>
    </row>
    <row r="508" spans="1:17">
      <c r="A508" s="20">
        <v>1013</v>
      </c>
      <c r="B508" s="29">
        <v>28.490427055448109</v>
      </c>
      <c r="C508" s="7">
        <f t="shared" si="15"/>
        <v>28.089979812609894</v>
      </c>
      <c r="D508" s="3">
        <f t="shared" si="16"/>
        <v>0.1603579942967284</v>
      </c>
      <c r="E508" s="3">
        <f>Ft!$B$12+Ft!$B$14*(Data!A508-Vars!$B$3)</f>
        <v>-200</v>
      </c>
      <c r="F508" s="3">
        <f>IF(($A508-Ft!B$2)&lt;0,Ft!B$3*((1-Ft!B$6)/(1+Ft!B$37*($A508-Ft!B$2)^2)+Ft!B$6*EXP(Ft!B$38*($A508-Ft!B$2)^2)),Ft!B$3*((1-Ft!B$7)/(1+Ft!B$39*($A508-Ft!B$2)^2)+Ft!B$7*EXP(Ft!B$40*($A508-Ft!B$2)^2)))</f>
        <v>4.7580774903926297</v>
      </c>
      <c r="G508" s="3">
        <f>IF(($A508-Ft!C$2)&lt;0,Ft!C$3*((1-Ft!C$6)/(1+Ft!C$37*($A508-Ft!C$2)^2)+Ft!C$6*EXP(Ft!C$38*($A508-Ft!C$2)^2)),Ft!C$3*((1-Ft!C$7)/(1+Ft!C$39*($A508-Ft!C$2)^2)+Ft!C$7*EXP(Ft!C$40*($A508-Ft!C$2)^2)))</f>
        <v>55.506155275546313</v>
      </c>
      <c r="H508" s="3">
        <f>IF(($A508-Ft!D$2)&lt;0,Ft!D$3*((1-Ft!D$6)/(1+Ft!D$37*($A508-Ft!D$2)^2)+Ft!D$6*EXP(Ft!D$38*($A508-Ft!D$2)^2)),Ft!D$3*((1-Ft!D$7)/(1+Ft!D$39*($A508-Ft!D$2)^2)+Ft!D$7*EXP(Ft!D$40*($A508-Ft!D$2)^2)))</f>
        <v>1.1996182387784513E-100</v>
      </c>
      <c r="I508" s="3">
        <f>IF(($A508-Ft!E$2)&lt;0,Ft!E$3*((1-Ft!E$6)/(1+Ft!E$37*($A508-Ft!E$2)^2)+Ft!E$6*EXP(Ft!E$38*($A508-Ft!E$2)^2)),Ft!E$3*((1-Ft!E$7)/(1+Ft!E$39*($A508-Ft!E$2)^2)+Ft!E$7*EXP(Ft!E$40*($A508-Ft!E$2)^2)))</f>
        <v>59.928798189657833</v>
      </c>
      <c r="J508" s="3">
        <f>IF(($A508-Ft!F$2)&lt;0,Ft!F$3*((1-Ft!F$6)/(1+Ft!F$37*($A508-Ft!F$2)^2)+Ft!F$6*EXP(Ft!F$38*($A508-Ft!F$2)^2)),Ft!F$3*((1-Ft!F$7)/(1+Ft!F$39*($A508-Ft!F$2)^2)+Ft!F$7*EXP(Ft!F$40*($A508-Ft!F$2)^2)))</f>
        <v>107.71657156018006</v>
      </c>
      <c r="K508" s="3">
        <f>IF(($A508-Ft!G$2)&lt;0,Ft!G$3*((1-Ft!G$6)/(1+Ft!G$37*($A508-Ft!G$2)^2)+Ft!G$6*EXP(Ft!G$38*($A508-Ft!G$2)^2)),Ft!G$3*((1-Ft!G$7)/(1+Ft!G$39*($A508-Ft!G$2)^2)+Ft!G$7*EXP(Ft!G$40*($A508-Ft!G$2)^2)))</f>
        <v>0.18037729683305451</v>
      </c>
      <c r="L508" s="3">
        <f>IF(($A508-Ft!H$2)&lt;0,Ft!H$3*((1-Ft!H$6)/(1+Ft!H$37*($A508-Ft!H$2)^2)+Ft!H$6*EXP(Ft!H$38*($A508-Ft!H$2)^2)),Ft!H$3*((1-Ft!H$7)/(1+Ft!H$39*($A508-Ft!H$2)^2)+Ft!H$7*EXP(Ft!H$40*($A508-Ft!H$2)^2)))</f>
        <v>0</v>
      </c>
      <c r="M508" s="3">
        <f>IF(($A508-Ft!I$2)&lt;0,Ft!I$3*((1-Ft!I$6)/(1+Ft!I$37*($A508-Ft!I$2)^2)+Ft!I$6*EXP(Ft!I$38*($A508-Ft!I$2)^2)),Ft!I$3*((1-Ft!I$7)/(1+Ft!I$39*($A508-Ft!I$2)^2)+Ft!I$7*EXP(Ft!I$40*($A508-Ft!I$2)^2)))</f>
        <v>0</v>
      </c>
      <c r="N508" s="3">
        <f>IF(($A508-Ft!J$2)&lt;0,Ft!J$3*((1-Ft!J$6)/(1+Ft!J$37*($A508-Ft!J$2)^2)+Ft!J$6*EXP(Ft!J$38*($A508-Ft!J$2)^2)),Ft!J$3*((1-Ft!J$7)/(1+Ft!J$39*($A508-Ft!J$2)^2)+Ft!J$7*EXP(Ft!J$40*($A508-Ft!J$2)^2)))</f>
        <v>0</v>
      </c>
      <c r="O508" s="3">
        <f>IF(($A508-Ft!K$2)&lt;0,Ft!K$3*((1-Ft!K$6)/(1+Ft!K$37*($A508-Ft!K$2)^2)+Ft!K$6*EXP(Ft!K$38*($A508-Ft!K$2)^2)),Ft!K$3*((1-Ft!K$7)/(1+Ft!K$39*($A508-Ft!K$2)^2)+Ft!K$7*EXP(Ft!K$40*($A508-Ft!K$2)^2)))</f>
        <v>0</v>
      </c>
      <c r="P508"/>
      <c r="Q508"/>
    </row>
    <row r="509" spans="1:17">
      <c r="A509" s="20">
        <v>1015</v>
      </c>
      <c r="B509" s="29">
        <v>28.210649960544686</v>
      </c>
      <c r="C509" s="7">
        <f t="shared" si="15"/>
        <v>27.814364573148566</v>
      </c>
      <c r="D509" s="3">
        <f t="shared" si="16"/>
        <v>0.15704210826369244</v>
      </c>
      <c r="E509" s="3">
        <f>Ft!$B$12+Ft!$B$14*(Data!A509-Vars!$B$3)</f>
        <v>-200</v>
      </c>
      <c r="F509" s="3">
        <f>IF(($A509-Ft!B$2)&lt;0,Ft!B$3*((1-Ft!B$6)/(1+Ft!B$37*($A509-Ft!B$2)^2)+Ft!B$6*EXP(Ft!B$38*($A509-Ft!B$2)^2)),Ft!B$3*((1-Ft!B$7)/(1+Ft!B$39*($A509-Ft!B$2)^2)+Ft!B$7*EXP(Ft!B$40*($A509-Ft!B$2)^2)))</f>
        <v>4.7022924620310587</v>
      </c>
      <c r="G509" s="3">
        <f>IF(($A509-Ft!C$2)&lt;0,Ft!C$3*((1-Ft!C$6)/(1+Ft!C$37*($A509-Ft!C$2)^2)+Ft!C$6*EXP(Ft!C$38*($A509-Ft!C$2)^2)),Ft!C$3*((1-Ft!C$7)/(1+Ft!C$39*($A509-Ft!C$2)^2)+Ft!C$7*EXP(Ft!C$40*($A509-Ft!C$2)^2)))</f>
        <v>55.478736376367891</v>
      </c>
      <c r="H509" s="3">
        <f>IF(($A509-Ft!D$2)&lt;0,Ft!D$3*((1-Ft!D$6)/(1+Ft!D$37*($A509-Ft!D$2)^2)+Ft!D$6*EXP(Ft!D$38*($A509-Ft!D$2)^2)),Ft!D$3*((1-Ft!D$7)/(1+Ft!D$39*($A509-Ft!D$2)^2)+Ft!D$7*EXP(Ft!D$40*($A509-Ft!D$2)^2)))</f>
        <v>2.4265065782269729E-101</v>
      </c>
      <c r="I509" s="3">
        <f>IF(($A509-Ft!E$2)&lt;0,Ft!E$3*((1-Ft!E$6)/(1+Ft!E$37*($A509-Ft!E$2)^2)+Ft!E$6*EXP(Ft!E$38*($A509-Ft!E$2)^2)),Ft!E$3*((1-Ft!E$7)/(1+Ft!E$39*($A509-Ft!E$2)^2)+Ft!E$7*EXP(Ft!E$40*($A509-Ft!E$2)^2)))</f>
        <v>59.419929809017361</v>
      </c>
      <c r="J509" s="3">
        <f>IF(($A509-Ft!F$2)&lt;0,Ft!F$3*((1-Ft!F$6)/(1+Ft!F$37*($A509-Ft!F$2)^2)+Ft!F$6*EXP(Ft!F$38*($A509-Ft!F$2)^2)),Ft!F$3*((1-Ft!F$7)/(1+Ft!F$39*($A509-Ft!F$2)^2)+Ft!F$7*EXP(Ft!F$40*($A509-Ft!F$2)^2)))</f>
        <v>108.03908769255052</v>
      </c>
      <c r="K509" s="3">
        <f>IF(($A509-Ft!G$2)&lt;0,Ft!G$3*((1-Ft!G$6)/(1+Ft!G$37*($A509-Ft!G$2)^2)+Ft!G$6*EXP(Ft!G$38*($A509-Ft!G$2)^2)),Ft!G$3*((1-Ft!G$7)/(1+Ft!G$39*($A509-Ft!G$2)^2)+Ft!G$7*EXP(Ft!G$40*($A509-Ft!G$2)^2)))</f>
        <v>0.17431823318172207</v>
      </c>
      <c r="L509" s="3">
        <f>IF(($A509-Ft!H$2)&lt;0,Ft!H$3*((1-Ft!H$6)/(1+Ft!H$37*($A509-Ft!H$2)^2)+Ft!H$6*EXP(Ft!H$38*($A509-Ft!H$2)^2)),Ft!H$3*((1-Ft!H$7)/(1+Ft!H$39*($A509-Ft!H$2)^2)+Ft!H$7*EXP(Ft!H$40*($A509-Ft!H$2)^2)))</f>
        <v>0</v>
      </c>
      <c r="M509" s="3">
        <f>IF(($A509-Ft!I$2)&lt;0,Ft!I$3*((1-Ft!I$6)/(1+Ft!I$37*($A509-Ft!I$2)^2)+Ft!I$6*EXP(Ft!I$38*($A509-Ft!I$2)^2)),Ft!I$3*((1-Ft!I$7)/(1+Ft!I$39*($A509-Ft!I$2)^2)+Ft!I$7*EXP(Ft!I$40*($A509-Ft!I$2)^2)))</f>
        <v>0</v>
      </c>
      <c r="N509" s="3">
        <f>IF(($A509-Ft!J$2)&lt;0,Ft!J$3*((1-Ft!J$6)/(1+Ft!J$37*($A509-Ft!J$2)^2)+Ft!J$6*EXP(Ft!J$38*($A509-Ft!J$2)^2)),Ft!J$3*((1-Ft!J$7)/(1+Ft!J$39*($A509-Ft!J$2)^2)+Ft!J$7*EXP(Ft!J$40*($A509-Ft!J$2)^2)))</f>
        <v>0</v>
      </c>
      <c r="O509" s="3">
        <f>IF(($A509-Ft!K$2)&lt;0,Ft!K$3*((1-Ft!K$6)/(1+Ft!K$37*($A509-Ft!K$2)^2)+Ft!K$6*EXP(Ft!K$38*($A509-Ft!K$2)^2)),Ft!K$3*((1-Ft!K$7)/(1+Ft!K$39*($A509-Ft!K$2)^2)+Ft!K$7*EXP(Ft!K$40*($A509-Ft!K$2)^2)))</f>
        <v>0</v>
      </c>
      <c r="P509"/>
      <c r="Q509"/>
    </row>
    <row r="510" spans="1:17">
      <c r="A510" s="20">
        <v>1017</v>
      </c>
      <c r="B510" s="29">
        <v>27.930942383931296</v>
      </c>
      <c r="C510" s="7">
        <f t="shared" si="15"/>
        <v>27.539467804123362</v>
      </c>
      <c r="D510" s="3">
        <f t="shared" si="16"/>
        <v>0.15325234663579831</v>
      </c>
      <c r="E510" s="3">
        <f>Ft!$B$12+Ft!$B$14*(Data!A510-Vars!$B$3)</f>
        <v>-200</v>
      </c>
      <c r="F510" s="3">
        <f>IF(($A510-Ft!B$2)&lt;0,Ft!B$3*((1-Ft!B$6)/(1+Ft!B$37*($A510-Ft!B$2)^2)+Ft!B$6*EXP(Ft!B$38*($A510-Ft!B$2)^2)),Ft!B$3*((1-Ft!B$7)/(1+Ft!B$39*($A510-Ft!B$2)^2)+Ft!B$7*EXP(Ft!B$40*($A510-Ft!B$2)^2)))</f>
        <v>4.6470727745728659</v>
      </c>
      <c r="G510" s="3">
        <f>IF(($A510-Ft!C$2)&lt;0,Ft!C$3*((1-Ft!C$6)/(1+Ft!C$37*($A510-Ft!C$2)^2)+Ft!C$6*EXP(Ft!C$38*($A510-Ft!C$2)^2)),Ft!C$3*((1-Ft!C$7)/(1+Ft!C$39*($A510-Ft!C$2)^2)+Ft!C$7*EXP(Ft!C$40*($A510-Ft!C$2)^2)))</f>
        <v>55.45084106832963</v>
      </c>
      <c r="H510" s="3">
        <f>IF(($A510-Ft!D$2)&lt;0,Ft!D$3*((1-Ft!D$6)/(1+Ft!D$37*($A510-Ft!D$2)^2)+Ft!D$6*EXP(Ft!D$38*($A510-Ft!D$2)^2)),Ft!D$3*((1-Ft!D$7)/(1+Ft!D$39*($A510-Ft!D$2)^2)+Ft!D$7*EXP(Ft!D$40*($A510-Ft!D$2)^2)))</f>
        <v>4.8811704455704396E-102</v>
      </c>
      <c r="I510" s="3">
        <f>IF(($A510-Ft!E$2)&lt;0,Ft!E$3*((1-Ft!E$6)/(1+Ft!E$37*($A510-Ft!E$2)^2)+Ft!E$6*EXP(Ft!E$38*($A510-Ft!E$2)^2)),Ft!E$3*((1-Ft!E$7)/(1+Ft!E$39*($A510-Ft!E$2)^2)+Ft!E$7*EXP(Ft!E$40*($A510-Ft!E$2)^2)))</f>
        <v>58.91196644248204</v>
      </c>
      <c r="J510" s="3">
        <f>IF(($A510-Ft!F$2)&lt;0,Ft!F$3*((1-Ft!F$6)/(1+Ft!F$37*($A510-Ft!F$2)^2)+Ft!F$6*EXP(Ft!F$38*($A510-Ft!F$2)^2)),Ft!F$3*((1-Ft!F$7)/(1+Ft!F$39*($A510-Ft!F$2)^2)+Ft!F$7*EXP(Ft!F$40*($A510-Ft!F$2)^2)))</f>
        <v>108.36114230416419</v>
      </c>
      <c r="K510" s="3">
        <f>IF(($A510-Ft!G$2)&lt;0,Ft!G$3*((1-Ft!G$6)/(1+Ft!G$37*($A510-Ft!G$2)^2)+Ft!G$6*EXP(Ft!G$38*($A510-Ft!G$2)^2)),Ft!G$3*((1-Ft!G$7)/(1+Ft!G$39*($A510-Ft!G$2)^2)+Ft!G$7*EXP(Ft!G$40*($A510-Ft!G$2)^2)))</f>
        <v>0.16844521457463282</v>
      </c>
      <c r="L510" s="3">
        <f>IF(($A510-Ft!H$2)&lt;0,Ft!H$3*((1-Ft!H$6)/(1+Ft!H$37*($A510-Ft!H$2)^2)+Ft!H$6*EXP(Ft!H$38*($A510-Ft!H$2)^2)),Ft!H$3*((1-Ft!H$7)/(1+Ft!H$39*($A510-Ft!H$2)^2)+Ft!H$7*EXP(Ft!H$40*($A510-Ft!H$2)^2)))</f>
        <v>0</v>
      </c>
      <c r="M510" s="3">
        <f>IF(($A510-Ft!I$2)&lt;0,Ft!I$3*((1-Ft!I$6)/(1+Ft!I$37*($A510-Ft!I$2)^2)+Ft!I$6*EXP(Ft!I$38*($A510-Ft!I$2)^2)),Ft!I$3*((1-Ft!I$7)/(1+Ft!I$39*($A510-Ft!I$2)^2)+Ft!I$7*EXP(Ft!I$40*($A510-Ft!I$2)^2)))</f>
        <v>0</v>
      </c>
      <c r="N510" s="3">
        <f>IF(($A510-Ft!J$2)&lt;0,Ft!J$3*((1-Ft!J$6)/(1+Ft!J$37*($A510-Ft!J$2)^2)+Ft!J$6*EXP(Ft!J$38*($A510-Ft!J$2)^2)),Ft!J$3*((1-Ft!J$7)/(1+Ft!J$39*($A510-Ft!J$2)^2)+Ft!J$7*EXP(Ft!J$40*($A510-Ft!J$2)^2)))</f>
        <v>0</v>
      </c>
      <c r="O510" s="3">
        <f>IF(($A510-Ft!K$2)&lt;0,Ft!K$3*((1-Ft!K$6)/(1+Ft!K$37*($A510-Ft!K$2)^2)+Ft!K$6*EXP(Ft!K$38*($A510-Ft!K$2)^2)),Ft!K$3*((1-Ft!K$7)/(1+Ft!K$39*($A510-Ft!K$2)^2)+Ft!K$7*EXP(Ft!K$40*($A510-Ft!K$2)^2)))</f>
        <v>0</v>
      </c>
      <c r="P510"/>
      <c r="Q510"/>
    </row>
    <row r="511" spans="1:17">
      <c r="A511" s="20">
        <v>1019</v>
      </c>
      <c r="B511" s="29">
        <v>27.651334748126544</v>
      </c>
      <c r="C511" s="7">
        <f t="shared" si="15"/>
        <v>27.265321668211822</v>
      </c>
      <c r="D511" s="3">
        <f t="shared" si="16"/>
        <v>0.14900609786524965</v>
      </c>
      <c r="E511" s="3">
        <f>Ft!$B$12+Ft!$B$14*(Data!A511-Vars!$B$3)</f>
        <v>-200</v>
      </c>
      <c r="F511" s="3">
        <f>IF(($A511-Ft!B$2)&lt;0,Ft!B$3*((1-Ft!B$6)/(1+Ft!B$37*($A511-Ft!B$2)^2)+Ft!B$6*EXP(Ft!B$38*($A511-Ft!B$2)^2)),Ft!B$3*((1-Ft!B$7)/(1+Ft!B$39*($A511-Ft!B$2)^2)+Ft!B$7*EXP(Ft!B$40*($A511-Ft!B$2)^2)))</f>
        <v>4.5924138846709166</v>
      </c>
      <c r="G511" s="3">
        <f>IF(($A511-Ft!C$2)&lt;0,Ft!C$3*((1-Ft!C$6)/(1+Ft!C$37*($A511-Ft!C$2)^2)+Ft!C$6*EXP(Ft!C$38*($A511-Ft!C$2)^2)),Ft!C$3*((1-Ft!C$7)/(1+Ft!C$39*($A511-Ft!C$2)^2)+Ft!C$7*EXP(Ft!C$40*($A511-Ft!C$2)^2)))</f>
        <v>55.422470083802196</v>
      </c>
      <c r="H511" s="3">
        <f>IF(($A511-Ft!D$2)&lt;0,Ft!D$3*((1-Ft!D$6)/(1+Ft!D$37*($A511-Ft!D$2)^2)+Ft!D$6*EXP(Ft!D$38*($A511-Ft!D$2)^2)),Ft!D$3*((1-Ft!D$7)/(1+Ft!D$39*($A511-Ft!D$2)^2)+Ft!D$7*EXP(Ft!D$40*($A511-Ft!D$2)^2)))</f>
        <v>9.7649620578698626E-103</v>
      </c>
      <c r="I511" s="3">
        <f>IF(($A511-Ft!E$2)&lt;0,Ft!E$3*((1-Ft!E$6)/(1+Ft!E$37*($A511-Ft!E$2)^2)+Ft!E$6*EXP(Ft!E$38*($A511-Ft!E$2)^2)),Ft!E$3*((1-Ft!E$7)/(1+Ft!E$39*($A511-Ft!E$2)^2)+Ft!E$7*EXP(Ft!E$40*($A511-Ft!E$2)^2)))</f>
        <v>58.404959004728418</v>
      </c>
      <c r="J511" s="3">
        <f>IF(($A511-Ft!F$2)&lt;0,Ft!F$3*((1-Ft!F$6)/(1+Ft!F$37*($A511-Ft!F$2)^2)+Ft!F$6*EXP(Ft!F$38*($A511-Ft!F$2)^2)),Ft!F$3*((1-Ft!F$7)/(1+Ft!F$39*($A511-Ft!F$2)^2)+Ft!F$7*EXP(Ft!F$40*($A511-Ft!F$2)^2)))</f>
        <v>108.68272552348731</v>
      </c>
      <c r="K511" s="3">
        <f>IF(($A511-Ft!G$2)&lt;0,Ft!G$3*((1-Ft!G$6)/(1+Ft!G$37*($A511-Ft!G$2)^2)+Ft!G$6*EXP(Ft!G$38*($A511-Ft!G$2)^2)),Ft!G$3*((1-Ft!G$7)/(1+Ft!G$39*($A511-Ft!G$2)^2)+Ft!G$7*EXP(Ft!G$40*($A511-Ft!G$2)^2)))</f>
        <v>0.16275317152299026</v>
      </c>
      <c r="L511" s="3">
        <f>IF(($A511-Ft!H$2)&lt;0,Ft!H$3*((1-Ft!H$6)/(1+Ft!H$37*($A511-Ft!H$2)^2)+Ft!H$6*EXP(Ft!H$38*($A511-Ft!H$2)^2)),Ft!H$3*((1-Ft!H$7)/(1+Ft!H$39*($A511-Ft!H$2)^2)+Ft!H$7*EXP(Ft!H$40*($A511-Ft!H$2)^2)))</f>
        <v>0</v>
      </c>
      <c r="M511" s="3">
        <f>IF(($A511-Ft!I$2)&lt;0,Ft!I$3*((1-Ft!I$6)/(1+Ft!I$37*($A511-Ft!I$2)^2)+Ft!I$6*EXP(Ft!I$38*($A511-Ft!I$2)^2)),Ft!I$3*((1-Ft!I$7)/(1+Ft!I$39*($A511-Ft!I$2)^2)+Ft!I$7*EXP(Ft!I$40*($A511-Ft!I$2)^2)))</f>
        <v>0</v>
      </c>
      <c r="N511" s="3">
        <f>IF(($A511-Ft!J$2)&lt;0,Ft!J$3*((1-Ft!J$6)/(1+Ft!J$37*($A511-Ft!J$2)^2)+Ft!J$6*EXP(Ft!J$38*($A511-Ft!J$2)^2)),Ft!J$3*((1-Ft!J$7)/(1+Ft!J$39*($A511-Ft!J$2)^2)+Ft!J$7*EXP(Ft!J$40*($A511-Ft!J$2)^2)))</f>
        <v>0</v>
      </c>
      <c r="O511" s="3">
        <f>IF(($A511-Ft!K$2)&lt;0,Ft!K$3*((1-Ft!K$6)/(1+Ft!K$37*($A511-Ft!K$2)^2)+Ft!K$6*EXP(Ft!K$38*($A511-Ft!K$2)^2)),Ft!K$3*((1-Ft!K$7)/(1+Ft!K$39*($A511-Ft!K$2)^2)+Ft!K$7*EXP(Ft!K$40*($A511-Ft!K$2)^2)))</f>
        <v>0</v>
      </c>
      <c r="P511"/>
      <c r="Q511"/>
    </row>
    <row r="512" spans="1:17">
      <c r="A512" s="20">
        <v>1021</v>
      </c>
      <c r="B512" s="29">
        <v>27.371857450591193</v>
      </c>
      <c r="C512" s="7">
        <f t="shared" si="15"/>
        <v>26.991957864473672</v>
      </c>
      <c r="D512" s="3">
        <f t="shared" si="16"/>
        <v>0.14432369553226354</v>
      </c>
      <c r="E512" s="3">
        <f>Ft!$B$12+Ft!$B$14*(Data!A512-Vars!$B$3)</f>
        <v>-200</v>
      </c>
      <c r="F512" s="3">
        <f>IF(($A512-Ft!B$2)&lt;0,Ft!B$3*((1-Ft!B$6)/(1+Ft!B$37*($A512-Ft!B$2)^2)+Ft!B$6*EXP(Ft!B$38*($A512-Ft!B$2)^2)),Ft!B$3*((1-Ft!B$7)/(1+Ft!B$39*($A512-Ft!B$2)^2)+Ft!B$7*EXP(Ft!B$40*($A512-Ft!B$2)^2)))</f>
        <v>4.5383112704518487</v>
      </c>
      <c r="G512" s="3">
        <f>IF(($A512-Ft!C$2)&lt;0,Ft!C$3*((1-Ft!C$6)/(1+Ft!C$37*($A512-Ft!C$2)^2)+Ft!C$6*EXP(Ft!C$38*($A512-Ft!C$2)^2)),Ft!C$3*((1-Ft!C$7)/(1+Ft!C$39*($A512-Ft!C$2)^2)+Ft!C$7*EXP(Ft!C$40*($A512-Ft!C$2)^2)))</f>
        <v>55.393624167390414</v>
      </c>
      <c r="H512" s="3">
        <f>IF(($A512-Ft!D$2)&lt;0,Ft!D$3*((1-Ft!D$6)/(1+Ft!D$37*($A512-Ft!D$2)^2)+Ft!D$6*EXP(Ft!D$38*($A512-Ft!D$2)^2)),Ft!D$3*((1-Ft!D$7)/(1+Ft!D$39*($A512-Ft!D$2)^2)+Ft!D$7*EXP(Ft!D$40*($A512-Ft!D$2)^2)))</f>
        <v>1.9427693102842456E-103</v>
      </c>
      <c r="I512" s="3">
        <f>IF(($A512-Ft!E$2)&lt;0,Ft!E$3*((1-Ft!E$6)/(1+Ft!E$37*($A512-Ft!E$2)^2)+Ft!E$6*EXP(Ft!E$38*($A512-Ft!E$2)^2)),Ft!E$3*((1-Ft!E$7)/(1+Ft!E$39*($A512-Ft!E$2)^2)+Ft!E$7*EXP(Ft!E$40*($A512-Ft!E$2)^2)))</f>
        <v>57.898957808162926</v>
      </c>
      <c r="J512" s="3">
        <f>IF(($A512-Ft!F$2)&lt;0,Ft!F$3*((1-Ft!F$6)/(1+Ft!F$37*($A512-Ft!F$2)^2)+Ft!F$6*EXP(Ft!F$38*($A512-Ft!F$2)^2)),Ft!F$3*((1-Ft!F$7)/(1+Ft!F$39*($A512-Ft!F$2)^2)+Ft!F$7*EXP(Ft!F$40*($A512-Ft!F$2)^2)))</f>
        <v>109.00382746827817</v>
      </c>
      <c r="K512" s="3">
        <f>IF(($A512-Ft!G$2)&lt;0,Ft!G$3*((1-Ft!G$6)/(1+Ft!G$37*($A512-Ft!G$2)^2)+Ft!G$6*EXP(Ft!G$38*($A512-Ft!G$2)^2)),Ft!G$3*((1-Ft!G$7)/(1+Ft!G$39*($A512-Ft!G$2)^2)+Ft!G$7*EXP(Ft!G$40*($A512-Ft!G$2)^2)))</f>
        <v>0.15723715019030821</v>
      </c>
      <c r="L512" s="3">
        <f>IF(($A512-Ft!H$2)&lt;0,Ft!H$3*((1-Ft!H$6)/(1+Ft!H$37*($A512-Ft!H$2)^2)+Ft!H$6*EXP(Ft!H$38*($A512-Ft!H$2)^2)),Ft!H$3*((1-Ft!H$7)/(1+Ft!H$39*($A512-Ft!H$2)^2)+Ft!H$7*EXP(Ft!H$40*($A512-Ft!H$2)^2)))</f>
        <v>0</v>
      </c>
      <c r="M512" s="3">
        <f>IF(($A512-Ft!I$2)&lt;0,Ft!I$3*((1-Ft!I$6)/(1+Ft!I$37*($A512-Ft!I$2)^2)+Ft!I$6*EXP(Ft!I$38*($A512-Ft!I$2)^2)),Ft!I$3*((1-Ft!I$7)/(1+Ft!I$39*($A512-Ft!I$2)^2)+Ft!I$7*EXP(Ft!I$40*($A512-Ft!I$2)^2)))</f>
        <v>0</v>
      </c>
      <c r="N512" s="3">
        <f>IF(($A512-Ft!J$2)&lt;0,Ft!J$3*((1-Ft!J$6)/(1+Ft!J$37*($A512-Ft!J$2)^2)+Ft!J$6*EXP(Ft!J$38*($A512-Ft!J$2)^2)),Ft!J$3*((1-Ft!J$7)/(1+Ft!J$39*($A512-Ft!J$2)^2)+Ft!J$7*EXP(Ft!J$40*($A512-Ft!J$2)^2)))</f>
        <v>0</v>
      </c>
      <c r="O512" s="3">
        <f>IF(($A512-Ft!K$2)&lt;0,Ft!K$3*((1-Ft!K$6)/(1+Ft!K$37*($A512-Ft!K$2)^2)+Ft!K$6*EXP(Ft!K$38*($A512-Ft!K$2)^2)),Ft!K$3*((1-Ft!K$7)/(1+Ft!K$39*($A512-Ft!K$2)^2)+Ft!K$7*EXP(Ft!K$40*($A512-Ft!K$2)^2)))</f>
        <v>0</v>
      </c>
      <c r="P512"/>
      <c r="Q512"/>
    </row>
    <row r="513" spans="1:17">
      <c r="A513" s="20">
        <v>1023</v>
      </c>
      <c r="B513" s="29">
        <v>27.092540858087531</v>
      </c>
      <c r="C513" s="7">
        <f t="shared" si="15"/>
        <v>26.719407620577318</v>
      </c>
      <c r="D513" s="3">
        <f t="shared" si="16"/>
        <v>0.13922841293485336</v>
      </c>
      <c r="E513" s="3">
        <f>Ft!$B$12+Ft!$B$14*(Data!A513-Vars!$B$3)</f>
        <v>-200</v>
      </c>
      <c r="F513" s="3">
        <f>IF(($A513-Ft!B$2)&lt;0,Ft!B$3*((1-Ft!B$6)/(1+Ft!B$37*($A513-Ft!B$2)^2)+Ft!B$6*EXP(Ft!B$38*($A513-Ft!B$2)^2)),Ft!B$3*((1-Ft!B$7)/(1+Ft!B$39*($A513-Ft!B$2)^2)+Ft!B$7*EXP(Ft!B$40*($A513-Ft!B$2)^2)))</f>
        <v>4.4847604316067278</v>
      </c>
      <c r="G513" s="3">
        <f>IF(($A513-Ft!C$2)&lt;0,Ft!C$3*((1-Ft!C$6)/(1+Ft!C$37*($A513-Ft!C$2)^2)+Ft!C$6*EXP(Ft!C$38*($A513-Ft!C$2)^2)),Ft!C$3*((1-Ft!C$7)/(1+Ft!C$39*($A513-Ft!C$2)^2)+Ft!C$7*EXP(Ft!C$40*($A513-Ft!C$2)^2)))</f>
        <v>55.364304075900705</v>
      </c>
      <c r="H513" s="3">
        <f>IF(($A513-Ft!D$2)&lt;0,Ft!D$3*((1-Ft!D$6)/(1+Ft!D$37*($A513-Ft!D$2)^2)+Ft!D$6*EXP(Ft!D$38*($A513-Ft!D$2)^2)),Ft!D$3*((1-Ft!D$7)/(1+Ft!D$39*($A513-Ft!D$2)^2)+Ft!D$7*EXP(Ft!D$40*($A513-Ft!D$2)^2)))</f>
        <v>3.8439346493426274E-104</v>
      </c>
      <c r="I513" s="3">
        <f>IF(($A513-Ft!E$2)&lt;0,Ft!E$3*((1-Ft!E$6)/(1+Ft!E$37*($A513-Ft!E$2)^2)+Ft!E$6*EXP(Ft!E$38*($A513-Ft!E$2)^2)),Ft!E$3*((1-Ft!E$7)/(1+Ft!E$39*($A513-Ft!E$2)^2)+Ft!E$7*EXP(Ft!E$40*($A513-Ft!E$2)^2)))</f>
        <v>57.39401255648707</v>
      </c>
      <c r="J513" s="3">
        <f>IF(($A513-Ft!F$2)&lt;0,Ft!F$3*((1-Ft!F$6)/(1+Ft!F$37*($A513-Ft!F$2)^2)+Ft!F$6*EXP(Ft!F$38*($A513-Ft!F$2)^2)),Ft!F$3*((1-Ft!F$7)/(1+Ft!F$39*($A513-Ft!F$2)^2)+Ft!F$7*EXP(Ft!F$40*($A513-Ft!F$2)^2)))</f>
        <v>109.32443824607667</v>
      </c>
      <c r="K513" s="3">
        <f>IF(($A513-Ft!G$2)&lt;0,Ft!G$3*((1-Ft!G$6)/(1+Ft!G$37*($A513-Ft!G$2)^2)+Ft!G$6*EXP(Ft!G$38*($A513-Ft!G$2)^2)),Ft!G$3*((1-Ft!G$7)/(1+Ft!G$39*($A513-Ft!G$2)^2)+Ft!G$7*EXP(Ft!G$40*($A513-Ft!G$2)^2)))</f>
        <v>0.15189231050616067</v>
      </c>
      <c r="L513" s="3">
        <f>IF(($A513-Ft!H$2)&lt;0,Ft!H$3*((1-Ft!H$6)/(1+Ft!H$37*($A513-Ft!H$2)^2)+Ft!H$6*EXP(Ft!H$38*($A513-Ft!H$2)^2)),Ft!H$3*((1-Ft!H$7)/(1+Ft!H$39*($A513-Ft!H$2)^2)+Ft!H$7*EXP(Ft!H$40*($A513-Ft!H$2)^2)))</f>
        <v>0</v>
      </c>
      <c r="M513" s="3">
        <f>IF(($A513-Ft!I$2)&lt;0,Ft!I$3*((1-Ft!I$6)/(1+Ft!I$37*($A513-Ft!I$2)^2)+Ft!I$6*EXP(Ft!I$38*($A513-Ft!I$2)^2)),Ft!I$3*((1-Ft!I$7)/(1+Ft!I$39*($A513-Ft!I$2)^2)+Ft!I$7*EXP(Ft!I$40*($A513-Ft!I$2)^2)))</f>
        <v>0</v>
      </c>
      <c r="N513" s="3">
        <f>IF(($A513-Ft!J$2)&lt;0,Ft!J$3*((1-Ft!J$6)/(1+Ft!J$37*($A513-Ft!J$2)^2)+Ft!J$6*EXP(Ft!J$38*($A513-Ft!J$2)^2)),Ft!J$3*((1-Ft!J$7)/(1+Ft!J$39*($A513-Ft!J$2)^2)+Ft!J$7*EXP(Ft!J$40*($A513-Ft!J$2)^2)))</f>
        <v>0</v>
      </c>
      <c r="O513" s="3">
        <f>IF(($A513-Ft!K$2)&lt;0,Ft!K$3*((1-Ft!K$6)/(1+Ft!K$37*($A513-Ft!K$2)^2)+Ft!K$6*EXP(Ft!K$38*($A513-Ft!K$2)^2)),Ft!K$3*((1-Ft!K$7)/(1+Ft!K$39*($A513-Ft!K$2)^2)+Ft!K$7*EXP(Ft!K$40*($A513-Ft!K$2)^2)))</f>
        <v>0</v>
      </c>
      <c r="P513"/>
      <c r="Q513"/>
    </row>
    <row r="514" spans="1:17">
      <c r="A514" s="20">
        <v>1025</v>
      </c>
      <c r="B514" s="29">
        <v>26.813415301029693</v>
      </c>
      <c r="C514" s="7">
        <f t="shared" si="15"/>
        <v>26.447701685262253</v>
      </c>
      <c r="D514" s="3">
        <f t="shared" si="16"/>
        <v>0.13374644875769481</v>
      </c>
      <c r="E514" s="3">
        <f>Ft!$B$12+Ft!$B$14*(Data!A514-Vars!$B$3)</f>
        <v>-200</v>
      </c>
      <c r="F514" s="3">
        <f>IF(($A514-Ft!B$2)&lt;0,Ft!B$3*((1-Ft!B$6)/(1+Ft!B$37*($A514-Ft!B$2)^2)+Ft!B$6*EXP(Ft!B$38*($A514-Ft!B$2)^2)),Ft!B$3*((1-Ft!B$7)/(1+Ft!B$39*($A514-Ft!B$2)^2)+Ft!B$7*EXP(Ft!B$40*($A514-Ft!B$2)^2)))</f>
        <v>4.4317568894785229</v>
      </c>
      <c r="G514" s="3">
        <f>IF(($A514-Ft!C$2)&lt;0,Ft!C$3*((1-Ft!C$6)/(1+Ft!C$37*($A514-Ft!C$2)^2)+Ft!C$6*EXP(Ft!C$38*($A514-Ft!C$2)^2)),Ft!C$3*((1-Ft!C$7)/(1+Ft!C$39*($A514-Ft!C$2)^2)+Ft!C$7*EXP(Ft!C$40*($A514-Ft!C$2)^2)))</f>
        <v>55.334510578307999</v>
      </c>
      <c r="H514" s="3">
        <f>IF(($A514-Ft!D$2)&lt;0,Ft!D$3*((1-Ft!D$6)/(1+Ft!D$37*($A514-Ft!D$2)^2)+Ft!D$6*EXP(Ft!D$38*($A514-Ft!D$2)^2)),Ft!D$3*((1-Ft!D$7)/(1+Ft!D$39*($A514-Ft!D$2)^2)+Ft!D$7*EXP(Ft!D$40*($A514-Ft!D$2)^2)))</f>
        <v>7.5637095605030803E-105</v>
      </c>
      <c r="I514" s="3">
        <f>IF(($A514-Ft!E$2)&lt;0,Ft!E$3*((1-Ft!E$6)/(1+Ft!E$37*($A514-Ft!E$2)^2)+Ft!E$6*EXP(Ft!E$38*($A514-Ft!E$2)^2)),Ft!E$3*((1-Ft!E$7)/(1+Ft!E$39*($A514-Ft!E$2)^2)+Ft!E$7*EXP(Ft!E$40*($A514-Ft!E$2)^2)))</f>
        <v>56.890172338493919</v>
      </c>
      <c r="J514" s="3">
        <f>IF(($A514-Ft!F$2)&lt;0,Ft!F$3*((1-Ft!F$6)/(1+Ft!F$37*($A514-Ft!F$2)^2)+Ft!F$6*EXP(Ft!F$38*($A514-Ft!F$2)^2)),Ft!F$3*((1-Ft!F$7)/(1+Ft!F$39*($A514-Ft!F$2)^2)+Ft!F$7*EXP(Ft!F$40*($A514-Ft!F$2)^2)))</f>
        <v>109.64454795469608</v>
      </c>
      <c r="K514" s="3">
        <f>IF(($A514-Ft!G$2)&lt;0,Ft!G$3*((1-Ft!G$6)/(1+Ft!G$37*($A514-Ft!G$2)^2)+Ft!G$6*EXP(Ft!G$38*($A514-Ft!G$2)^2)),Ft!G$3*((1-Ft!G$7)/(1+Ft!G$39*($A514-Ft!G$2)^2)+Ft!G$7*EXP(Ft!G$40*($A514-Ft!G$2)^2)))</f>
        <v>0.14671392428572869</v>
      </c>
      <c r="L514" s="3">
        <f>IF(($A514-Ft!H$2)&lt;0,Ft!H$3*((1-Ft!H$6)/(1+Ft!H$37*($A514-Ft!H$2)^2)+Ft!H$6*EXP(Ft!H$38*($A514-Ft!H$2)^2)),Ft!H$3*((1-Ft!H$7)/(1+Ft!H$39*($A514-Ft!H$2)^2)+Ft!H$7*EXP(Ft!H$40*($A514-Ft!H$2)^2)))</f>
        <v>0</v>
      </c>
      <c r="M514" s="3">
        <f>IF(($A514-Ft!I$2)&lt;0,Ft!I$3*((1-Ft!I$6)/(1+Ft!I$37*($A514-Ft!I$2)^2)+Ft!I$6*EXP(Ft!I$38*($A514-Ft!I$2)^2)),Ft!I$3*((1-Ft!I$7)/(1+Ft!I$39*($A514-Ft!I$2)^2)+Ft!I$7*EXP(Ft!I$40*($A514-Ft!I$2)^2)))</f>
        <v>0</v>
      </c>
      <c r="N514" s="3">
        <f>IF(($A514-Ft!J$2)&lt;0,Ft!J$3*((1-Ft!J$6)/(1+Ft!J$37*($A514-Ft!J$2)^2)+Ft!J$6*EXP(Ft!J$38*($A514-Ft!J$2)^2)),Ft!J$3*((1-Ft!J$7)/(1+Ft!J$39*($A514-Ft!J$2)^2)+Ft!J$7*EXP(Ft!J$40*($A514-Ft!J$2)^2)))</f>
        <v>0</v>
      </c>
      <c r="O514" s="3">
        <f>IF(($A514-Ft!K$2)&lt;0,Ft!K$3*((1-Ft!K$6)/(1+Ft!K$37*($A514-Ft!K$2)^2)+Ft!K$6*EXP(Ft!K$38*($A514-Ft!K$2)^2)),Ft!K$3*((1-Ft!K$7)/(1+Ft!K$39*($A514-Ft!K$2)^2)+Ft!K$7*EXP(Ft!K$40*($A514-Ft!K$2)^2)))</f>
        <v>0</v>
      </c>
      <c r="P514"/>
      <c r="Q514"/>
    </row>
    <row r="515" spans="1:17">
      <c r="A515" s="20">
        <v>1027</v>
      </c>
      <c r="B515" s="29">
        <v>26.534511067825505</v>
      </c>
      <c r="C515" s="7">
        <f t="shared" ref="C515:C578" si="17">SUM(E515:K515)</f>
        <v>26.176870321037502</v>
      </c>
      <c r="D515" s="3">
        <f t="shared" si="16"/>
        <v>0.12790690376308109</v>
      </c>
      <c r="E515" s="3">
        <f>Ft!$B$12+Ft!$B$14*(Data!A515-Vars!$B$3)</f>
        <v>-200</v>
      </c>
      <c r="F515" s="3">
        <f>IF(($A515-Ft!B$2)&lt;0,Ft!B$3*((1-Ft!B$6)/(1+Ft!B$37*($A515-Ft!B$2)^2)+Ft!B$6*EXP(Ft!B$38*($A515-Ft!B$2)^2)),Ft!B$3*((1-Ft!B$7)/(1+Ft!B$39*($A515-Ft!B$2)^2)+Ft!B$7*EXP(Ft!B$40*($A515-Ft!B$2)^2)))</f>
        <v>4.3792961871465375</v>
      </c>
      <c r="G515" s="3">
        <f>IF(($A515-Ft!C$2)&lt;0,Ft!C$3*((1-Ft!C$6)/(1+Ft!C$37*($A515-Ft!C$2)^2)+Ft!C$6*EXP(Ft!C$38*($A515-Ft!C$2)^2)),Ft!C$3*((1-Ft!C$7)/(1+Ft!C$39*($A515-Ft!C$2)^2)+Ft!C$7*EXP(Ft!C$40*($A515-Ft!C$2)^2)))</f>
        <v>55.304244455722134</v>
      </c>
      <c r="H515" s="3">
        <f>IF(($A515-Ft!D$2)&lt;0,Ft!D$3*((1-Ft!D$6)/(1+Ft!D$37*($A515-Ft!D$2)^2)+Ft!D$6*EXP(Ft!D$38*($A515-Ft!D$2)^2)),Ft!D$3*((1-Ft!D$7)/(1+Ft!D$39*($A515-Ft!D$2)^2)+Ft!D$7*EXP(Ft!D$40*($A515-Ft!D$2)^2)))</f>
        <v>1.4801229050328892E-105</v>
      </c>
      <c r="I515" s="3">
        <f>IF(($A515-Ft!E$2)&lt;0,Ft!E$3*((1-Ft!E$6)/(1+Ft!E$37*($A515-Ft!E$2)^2)+Ft!E$6*EXP(Ft!E$38*($A515-Ft!E$2)^2)),Ft!E$3*((1-Ft!E$7)/(1+Ft!E$39*($A515-Ft!E$2)^2)+Ft!E$7*EXP(Ft!E$40*($A515-Ft!E$2)^2)))</f>
        <v>56.387485622095937</v>
      </c>
      <c r="J515" s="3">
        <f>IF(($A515-Ft!F$2)&lt;0,Ft!F$3*((1-Ft!F$6)/(1+Ft!F$37*($A515-Ft!F$2)^2)+Ft!F$6*EXP(Ft!F$38*($A515-Ft!F$2)^2)),Ft!F$3*((1-Ft!F$7)/(1+Ft!F$39*($A515-Ft!F$2)^2)+Ft!F$7*EXP(Ft!F$40*($A515-Ft!F$2)^2)))</f>
        <v>109.96414668271679</v>
      </c>
      <c r="K515" s="3">
        <f>IF(($A515-Ft!G$2)&lt;0,Ft!G$3*((1-Ft!G$6)/(1+Ft!G$37*($A515-Ft!G$2)^2)+Ft!G$6*EXP(Ft!G$38*($A515-Ft!G$2)^2)),Ft!G$3*((1-Ft!G$7)/(1+Ft!G$39*($A515-Ft!G$2)^2)+Ft!G$7*EXP(Ft!G$40*($A515-Ft!G$2)^2)))</f>
        <v>0.14169737335609969</v>
      </c>
      <c r="L515" s="3">
        <f>IF(($A515-Ft!H$2)&lt;0,Ft!H$3*((1-Ft!H$6)/(1+Ft!H$37*($A515-Ft!H$2)^2)+Ft!H$6*EXP(Ft!H$38*($A515-Ft!H$2)^2)),Ft!H$3*((1-Ft!H$7)/(1+Ft!H$39*($A515-Ft!H$2)^2)+Ft!H$7*EXP(Ft!H$40*($A515-Ft!H$2)^2)))</f>
        <v>0</v>
      </c>
      <c r="M515" s="3">
        <f>IF(($A515-Ft!I$2)&lt;0,Ft!I$3*((1-Ft!I$6)/(1+Ft!I$37*($A515-Ft!I$2)^2)+Ft!I$6*EXP(Ft!I$38*($A515-Ft!I$2)^2)),Ft!I$3*((1-Ft!I$7)/(1+Ft!I$39*($A515-Ft!I$2)^2)+Ft!I$7*EXP(Ft!I$40*($A515-Ft!I$2)^2)))</f>
        <v>0</v>
      </c>
      <c r="N515" s="3">
        <f>IF(($A515-Ft!J$2)&lt;0,Ft!J$3*((1-Ft!J$6)/(1+Ft!J$37*($A515-Ft!J$2)^2)+Ft!J$6*EXP(Ft!J$38*($A515-Ft!J$2)^2)),Ft!J$3*((1-Ft!J$7)/(1+Ft!J$39*($A515-Ft!J$2)^2)+Ft!J$7*EXP(Ft!J$40*($A515-Ft!J$2)^2)))</f>
        <v>0</v>
      </c>
      <c r="O515" s="3">
        <f>IF(($A515-Ft!K$2)&lt;0,Ft!K$3*((1-Ft!K$6)/(1+Ft!K$37*($A515-Ft!K$2)^2)+Ft!K$6*EXP(Ft!K$38*($A515-Ft!K$2)^2)),Ft!K$3*((1-Ft!K$7)/(1+Ft!K$39*($A515-Ft!K$2)^2)+Ft!K$7*EXP(Ft!K$40*($A515-Ft!K$2)^2)))</f>
        <v>0</v>
      </c>
      <c r="P515"/>
      <c r="Q515"/>
    </row>
    <row r="516" spans="1:17">
      <c r="A516" s="20">
        <v>1029</v>
      </c>
      <c r="B516" s="29">
        <v>26.255858399212244</v>
      </c>
      <c r="C516" s="7">
        <f t="shared" si="17"/>
        <v>25.906943297118286</v>
      </c>
      <c r="D516" s="3">
        <f t="shared" si="16"/>
        <v>0.12174174846923716</v>
      </c>
      <c r="E516" s="3">
        <f>Ft!$B$12+Ft!$B$14*(Data!A516-Vars!$B$3)</f>
        <v>-200</v>
      </c>
      <c r="F516" s="3">
        <f>IF(($A516-Ft!B$2)&lt;0,Ft!B$3*((1-Ft!B$6)/(1+Ft!B$37*($A516-Ft!B$2)^2)+Ft!B$6*EXP(Ft!B$38*($A516-Ft!B$2)^2)),Ft!B$3*((1-Ft!B$7)/(1+Ft!B$39*($A516-Ft!B$2)^2)+Ft!B$7*EXP(Ft!B$40*($A516-Ft!B$2)^2)))</f>
        <v>4.3273738895077765</v>
      </c>
      <c r="G516" s="3">
        <f>IF(($A516-Ft!C$2)&lt;0,Ft!C$3*((1-Ft!C$6)/(1+Ft!C$37*($A516-Ft!C$2)^2)+Ft!C$6*EXP(Ft!C$38*($A516-Ft!C$2)^2)),Ft!C$3*((1-Ft!C$7)/(1+Ft!C$39*($A516-Ft!C$2)^2)+Ft!C$7*EXP(Ft!C$40*($A516-Ft!C$2)^2)))</f>
        <v>55.273506501353701</v>
      </c>
      <c r="H516" s="3">
        <f>IF(($A516-Ft!D$2)&lt;0,Ft!D$3*((1-Ft!D$6)/(1+Ft!D$37*($A516-Ft!D$2)^2)+Ft!D$6*EXP(Ft!D$38*($A516-Ft!D$2)^2)),Ft!D$3*((1-Ft!D$7)/(1+Ft!D$39*($A516-Ft!D$2)^2)+Ft!D$7*EXP(Ft!D$40*($A516-Ft!D$2)^2)))</f>
        <v>2.8804795874684466E-106</v>
      </c>
      <c r="I516" s="3">
        <f>IF(($A516-Ft!E$2)&lt;0,Ft!E$3*((1-Ft!E$6)/(1+Ft!E$37*($A516-Ft!E$2)^2)+Ft!E$6*EXP(Ft!E$38*($A516-Ft!E$2)^2)),Ft!E$3*((1-Ft!E$7)/(1+Ft!E$39*($A516-Ft!E$2)^2)+Ft!E$7*EXP(Ft!E$40*($A516-Ft!E$2)^2)))</f>
        <v>55.886000248584324</v>
      </c>
      <c r="J516" s="3">
        <f>IF(($A516-Ft!F$2)&lt;0,Ft!F$3*((1-Ft!F$6)/(1+Ft!F$37*($A516-Ft!F$2)^2)+Ft!F$6*EXP(Ft!F$38*($A516-Ft!F$2)^2)),Ft!F$3*((1-Ft!F$7)/(1+Ft!F$39*($A516-Ft!F$2)^2)+Ft!F$7*EXP(Ft!F$40*($A516-Ft!F$2)^2)))</f>
        <v>110.28322450998225</v>
      </c>
      <c r="K516" s="3">
        <f>IF(($A516-Ft!G$2)&lt;0,Ft!G$3*((1-Ft!G$6)/(1+Ft!G$37*($A516-Ft!G$2)^2)+Ft!G$6*EXP(Ft!G$38*($A516-Ft!G$2)^2)),Ft!G$3*((1-Ft!G$7)/(1+Ft!G$39*($A516-Ft!G$2)^2)+Ft!G$7*EXP(Ft!G$40*($A516-Ft!G$2)^2)))</f>
        <v>0.13683814769023706</v>
      </c>
      <c r="L516" s="3">
        <f>IF(($A516-Ft!H$2)&lt;0,Ft!H$3*((1-Ft!H$6)/(1+Ft!H$37*($A516-Ft!H$2)^2)+Ft!H$6*EXP(Ft!H$38*($A516-Ft!H$2)^2)),Ft!H$3*((1-Ft!H$7)/(1+Ft!H$39*($A516-Ft!H$2)^2)+Ft!H$7*EXP(Ft!H$40*($A516-Ft!H$2)^2)))</f>
        <v>0</v>
      </c>
      <c r="M516" s="3">
        <f>IF(($A516-Ft!I$2)&lt;0,Ft!I$3*((1-Ft!I$6)/(1+Ft!I$37*($A516-Ft!I$2)^2)+Ft!I$6*EXP(Ft!I$38*($A516-Ft!I$2)^2)),Ft!I$3*((1-Ft!I$7)/(1+Ft!I$39*($A516-Ft!I$2)^2)+Ft!I$7*EXP(Ft!I$40*($A516-Ft!I$2)^2)))</f>
        <v>0</v>
      </c>
      <c r="N516" s="3">
        <f>IF(($A516-Ft!J$2)&lt;0,Ft!J$3*((1-Ft!J$6)/(1+Ft!J$37*($A516-Ft!J$2)^2)+Ft!J$6*EXP(Ft!J$38*($A516-Ft!J$2)^2)),Ft!J$3*((1-Ft!J$7)/(1+Ft!J$39*($A516-Ft!J$2)^2)+Ft!J$7*EXP(Ft!J$40*($A516-Ft!J$2)^2)))</f>
        <v>0</v>
      </c>
      <c r="O516" s="3">
        <f>IF(($A516-Ft!K$2)&lt;0,Ft!K$3*((1-Ft!K$6)/(1+Ft!K$37*($A516-Ft!K$2)^2)+Ft!K$6*EXP(Ft!K$38*($A516-Ft!K$2)^2)),Ft!K$3*((1-Ft!K$7)/(1+Ft!K$39*($A516-Ft!K$2)^2)+Ft!K$7*EXP(Ft!K$40*($A516-Ft!K$2)^2)))</f>
        <v>0</v>
      </c>
      <c r="P516"/>
      <c r="Q516"/>
    </row>
    <row r="517" spans="1:17">
      <c r="A517" s="20">
        <v>1031</v>
      </c>
      <c r="B517" s="29">
        <v>25.977487482586923</v>
      </c>
      <c r="C517" s="7">
        <f t="shared" si="17"/>
        <v>25.637949882600761</v>
      </c>
      <c r="D517" s="3">
        <f t="shared" si="16"/>
        <v>0.115285781804363</v>
      </c>
      <c r="E517" s="3">
        <f>Ft!$B$12+Ft!$B$14*(Data!A517-Vars!$B$3)</f>
        <v>-200</v>
      </c>
      <c r="F517" s="3">
        <f>IF(($A517-Ft!B$2)&lt;0,Ft!B$3*((1-Ft!B$6)/(1+Ft!B$37*($A517-Ft!B$2)^2)+Ft!B$6*EXP(Ft!B$38*($A517-Ft!B$2)^2)),Ft!B$3*((1-Ft!B$7)/(1+Ft!B$39*($A517-Ft!B$2)^2)+Ft!B$7*EXP(Ft!B$40*($A517-Ft!B$2)^2)))</f>
        <v>4.2759855833552711</v>
      </c>
      <c r="G517" s="3">
        <f>IF(($A517-Ft!C$2)&lt;0,Ft!C$3*((1-Ft!C$6)/(1+Ft!C$37*($A517-Ft!C$2)^2)+Ft!C$6*EXP(Ft!C$38*($A517-Ft!C$2)^2)),Ft!C$3*((1-Ft!C$7)/(1+Ft!C$39*($A517-Ft!C$2)^2)+Ft!C$7*EXP(Ft!C$40*($A517-Ft!C$2)^2)))</f>
        <v>55.242297520479426</v>
      </c>
      <c r="H517" s="3">
        <f>IF(($A517-Ft!D$2)&lt;0,Ft!D$3*((1-Ft!D$6)/(1+Ft!D$37*($A517-Ft!D$2)^2)+Ft!D$6*EXP(Ft!D$38*($A517-Ft!D$2)^2)),Ft!D$3*((1-Ft!D$7)/(1+Ft!D$39*($A517-Ft!D$2)^2)+Ft!D$7*EXP(Ft!D$40*($A517-Ft!D$2)^2)))</f>
        <v>5.5748849802236445E-107</v>
      </c>
      <c r="I517" s="3">
        <f>IF(($A517-Ft!E$2)&lt;0,Ft!E$3*((1-Ft!E$6)/(1+Ft!E$37*($A517-Ft!E$2)^2)+Ft!E$6*EXP(Ft!E$38*($A517-Ft!E$2)^2)),Ft!E$3*((1-Ft!E$7)/(1+Ft!E$39*($A517-Ft!E$2)^2)+Ft!E$7*EXP(Ft!E$40*($A517-Ft!E$2)^2)))</f>
        <v>55.385763427119713</v>
      </c>
      <c r="J517" s="3">
        <f>IF(($A517-Ft!F$2)&lt;0,Ft!F$3*((1-Ft!F$6)/(1+Ft!F$37*($A517-Ft!F$2)^2)+Ft!F$6*EXP(Ft!F$38*($A517-Ft!F$2)^2)),Ft!F$3*((1-Ft!F$7)/(1+Ft!F$39*($A517-Ft!F$2)^2)+Ft!F$7*EXP(Ft!F$40*($A517-Ft!F$2)^2)))</f>
        <v>110.60177150809687</v>
      </c>
      <c r="K517" s="3">
        <f>IF(($A517-Ft!G$2)&lt;0,Ft!G$3*((1-Ft!G$6)/(1+Ft!G$37*($A517-Ft!G$2)^2)+Ft!G$6*EXP(Ft!G$38*($A517-Ft!G$2)^2)),Ft!G$3*((1-Ft!G$7)/(1+Ft!G$39*($A517-Ft!G$2)^2)+Ft!G$7*EXP(Ft!G$40*($A517-Ft!G$2)^2)))</f>
        <v>0.13213184354949903</v>
      </c>
      <c r="L517" s="3">
        <f>IF(($A517-Ft!H$2)&lt;0,Ft!H$3*((1-Ft!H$6)/(1+Ft!H$37*($A517-Ft!H$2)^2)+Ft!H$6*EXP(Ft!H$38*($A517-Ft!H$2)^2)),Ft!H$3*((1-Ft!H$7)/(1+Ft!H$39*($A517-Ft!H$2)^2)+Ft!H$7*EXP(Ft!H$40*($A517-Ft!H$2)^2)))</f>
        <v>0</v>
      </c>
      <c r="M517" s="3">
        <f>IF(($A517-Ft!I$2)&lt;0,Ft!I$3*((1-Ft!I$6)/(1+Ft!I$37*($A517-Ft!I$2)^2)+Ft!I$6*EXP(Ft!I$38*($A517-Ft!I$2)^2)),Ft!I$3*((1-Ft!I$7)/(1+Ft!I$39*($A517-Ft!I$2)^2)+Ft!I$7*EXP(Ft!I$40*($A517-Ft!I$2)^2)))</f>
        <v>0</v>
      </c>
      <c r="N517" s="3">
        <f>IF(($A517-Ft!J$2)&lt;0,Ft!J$3*((1-Ft!J$6)/(1+Ft!J$37*($A517-Ft!J$2)^2)+Ft!J$6*EXP(Ft!J$38*($A517-Ft!J$2)^2)),Ft!J$3*((1-Ft!J$7)/(1+Ft!J$39*($A517-Ft!J$2)^2)+Ft!J$7*EXP(Ft!J$40*($A517-Ft!J$2)^2)))</f>
        <v>0</v>
      </c>
      <c r="O517" s="3">
        <f>IF(($A517-Ft!K$2)&lt;0,Ft!K$3*((1-Ft!K$6)/(1+Ft!K$37*($A517-Ft!K$2)^2)+Ft!K$6*EXP(Ft!K$38*($A517-Ft!K$2)^2)),Ft!K$3*((1-Ft!K$7)/(1+Ft!K$39*($A517-Ft!K$2)^2)+Ft!K$7*EXP(Ft!K$40*($A517-Ft!K$2)^2)))</f>
        <v>0</v>
      </c>
      <c r="P517"/>
      <c r="Q517"/>
    </row>
    <row r="518" spans="1:17">
      <c r="A518" s="20">
        <v>1033</v>
      </c>
      <c r="B518" s="29">
        <v>25.699428446333343</v>
      </c>
      <c r="C518" s="7">
        <f t="shared" si="17"/>
        <v>25.369918839876039</v>
      </c>
      <c r="D518" s="3">
        <f t="shared" si="16"/>
        <v>0.1085765807476472</v>
      </c>
      <c r="E518" s="3">
        <f>Ft!$B$12+Ft!$B$14*(Data!A518-Vars!$B$3)</f>
        <v>-200</v>
      </c>
      <c r="F518" s="3">
        <f>IF(($A518-Ft!B$2)&lt;0,Ft!B$3*((1-Ft!B$6)/(1+Ft!B$37*($A518-Ft!B$2)^2)+Ft!B$6*EXP(Ft!B$38*($A518-Ft!B$2)^2)),Ft!B$3*((1-Ft!B$7)/(1+Ft!B$39*($A518-Ft!B$2)^2)+Ft!B$7*EXP(Ft!B$40*($A518-Ft!B$2)^2)))</f>
        <v>4.2251268774534045</v>
      </c>
      <c r="G518" s="3">
        <f>IF(($A518-Ft!C$2)&lt;0,Ft!C$3*((1-Ft!C$6)/(1+Ft!C$37*($A518-Ft!C$2)^2)+Ft!C$6*EXP(Ft!C$38*($A518-Ft!C$2)^2)),Ft!C$3*((1-Ft!C$7)/(1+Ft!C$39*($A518-Ft!C$2)^2)+Ft!C$7*EXP(Ft!C$40*($A518-Ft!C$2)^2)))</f>
        <v>55.210618330406987</v>
      </c>
      <c r="H518" s="3">
        <f>IF(($A518-Ft!D$2)&lt;0,Ft!D$3*((1-Ft!D$6)/(1+Ft!D$37*($A518-Ft!D$2)^2)+Ft!D$6*EXP(Ft!D$38*($A518-Ft!D$2)^2)),Ft!D$3*((1-Ft!D$7)/(1+Ft!D$39*($A518-Ft!D$2)^2)+Ft!D$7*EXP(Ft!D$40*($A518-Ft!D$2)^2)))</f>
        <v>1.0730281321153728E-107</v>
      </c>
      <c r="I518" s="3">
        <f>IF(($A518-Ft!E$2)&lt;0,Ft!E$3*((1-Ft!E$6)/(1+Ft!E$37*($A518-Ft!E$2)^2)+Ft!E$6*EXP(Ft!E$38*($A518-Ft!E$2)^2)),Ft!E$3*((1-Ft!E$7)/(1+Ft!E$39*($A518-Ft!E$2)^2)+Ft!E$7*EXP(Ft!E$40*($A518-Ft!E$2)^2)))</f>
        <v>54.886821729454233</v>
      </c>
      <c r="J518" s="3">
        <f>IF(($A518-Ft!F$2)&lt;0,Ft!F$3*((1-Ft!F$6)/(1+Ft!F$37*($A518-Ft!F$2)^2)+Ft!F$6*EXP(Ft!F$38*($A518-Ft!F$2)^2)),Ft!F$3*((1-Ft!F$7)/(1+Ft!F$39*($A518-Ft!F$2)^2)+Ft!F$7*EXP(Ft!F$40*($A518-Ft!F$2)^2)))</f>
        <v>110.91977774092588</v>
      </c>
      <c r="K518" s="3">
        <f>IF(($A518-Ft!G$2)&lt;0,Ft!G$3*((1-Ft!G$6)/(1+Ft!G$37*($A518-Ft!G$2)^2)+Ft!G$6*EXP(Ft!G$38*($A518-Ft!G$2)^2)),Ft!G$3*((1-Ft!G$7)/(1+Ft!G$39*($A518-Ft!G$2)^2)+Ft!G$7*EXP(Ft!G$40*($A518-Ft!G$2)^2)))</f>
        <v>0.12757416163555418</v>
      </c>
      <c r="L518" s="3">
        <f>IF(($A518-Ft!H$2)&lt;0,Ft!H$3*((1-Ft!H$6)/(1+Ft!H$37*($A518-Ft!H$2)^2)+Ft!H$6*EXP(Ft!H$38*($A518-Ft!H$2)^2)),Ft!H$3*((1-Ft!H$7)/(1+Ft!H$39*($A518-Ft!H$2)^2)+Ft!H$7*EXP(Ft!H$40*($A518-Ft!H$2)^2)))</f>
        <v>0</v>
      </c>
      <c r="M518" s="3">
        <f>IF(($A518-Ft!I$2)&lt;0,Ft!I$3*((1-Ft!I$6)/(1+Ft!I$37*($A518-Ft!I$2)^2)+Ft!I$6*EXP(Ft!I$38*($A518-Ft!I$2)^2)),Ft!I$3*((1-Ft!I$7)/(1+Ft!I$39*($A518-Ft!I$2)^2)+Ft!I$7*EXP(Ft!I$40*($A518-Ft!I$2)^2)))</f>
        <v>0</v>
      </c>
      <c r="N518" s="3">
        <f>IF(($A518-Ft!J$2)&lt;0,Ft!J$3*((1-Ft!J$6)/(1+Ft!J$37*($A518-Ft!J$2)^2)+Ft!J$6*EXP(Ft!J$38*($A518-Ft!J$2)^2)),Ft!J$3*((1-Ft!J$7)/(1+Ft!J$39*($A518-Ft!J$2)^2)+Ft!J$7*EXP(Ft!J$40*($A518-Ft!J$2)^2)))</f>
        <v>0</v>
      </c>
      <c r="O518" s="3">
        <f>IF(($A518-Ft!K$2)&lt;0,Ft!K$3*((1-Ft!K$6)/(1+Ft!K$37*($A518-Ft!K$2)^2)+Ft!K$6*EXP(Ft!K$38*($A518-Ft!K$2)^2)),Ft!K$3*((1-Ft!K$7)/(1+Ft!K$39*($A518-Ft!K$2)^2)+Ft!K$7*EXP(Ft!K$40*($A518-Ft!K$2)^2)))</f>
        <v>0</v>
      </c>
      <c r="P518"/>
      <c r="Q518"/>
    </row>
    <row r="519" spans="1:17">
      <c r="A519" s="20">
        <v>1035</v>
      </c>
      <c r="B519" s="29">
        <v>25.421711354146993</v>
      </c>
      <c r="C519" s="7">
        <f t="shared" si="17"/>
        <v>25.102878418283773</v>
      </c>
      <c r="D519" s="3">
        <f t="shared" si="16"/>
        <v>0.10165444099116032</v>
      </c>
      <c r="E519" s="3">
        <f>Ft!$B$12+Ft!$B$14*(Data!A519-Vars!$B$3)</f>
        <v>-200</v>
      </c>
      <c r="F519" s="3">
        <f>IF(($A519-Ft!B$2)&lt;0,Ft!B$3*((1-Ft!B$6)/(1+Ft!B$37*($A519-Ft!B$2)^2)+Ft!B$6*EXP(Ft!B$38*($A519-Ft!B$2)^2)),Ft!B$3*((1-Ft!B$7)/(1+Ft!B$39*($A519-Ft!B$2)^2)+Ft!B$7*EXP(Ft!B$40*($A519-Ft!B$2)^2)))</f>
        <v>4.1747934026102484</v>
      </c>
      <c r="G519" s="3">
        <f>IF(($A519-Ft!C$2)&lt;0,Ft!C$3*((1-Ft!C$6)/(1+Ft!C$37*($A519-Ft!C$2)^2)+Ft!C$6*EXP(Ft!C$38*($A519-Ft!C$2)^2)),Ft!C$3*((1-Ft!C$7)/(1+Ft!C$39*($A519-Ft!C$2)^2)+Ft!C$7*EXP(Ft!C$40*($A519-Ft!C$2)^2)))</f>
        <v>55.17846976043937</v>
      </c>
      <c r="H519" s="3">
        <f>IF(($A519-Ft!D$2)&lt;0,Ft!D$3*((1-Ft!D$6)/(1+Ft!D$37*($A519-Ft!D$2)^2)+Ft!D$6*EXP(Ft!D$38*($A519-Ft!D$2)^2)),Ft!D$3*((1-Ft!D$7)/(1+Ft!D$39*($A519-Ft!D$2)^2)+Ft!D$7*EXP(Ft!D$40*($A519-Ft!D$2)^2)))</f>
        <v>2.0539524819173067E-108</v>
      </c>
      <c r="I519" s="3">
        <f>IF(($A519-Ft!E$2)&lt;0,Ft!E$3*((1-Ft!E$6)/(1+Ft!E$37*($A519-Ft!E$2)^2)+Ft!E$6*EXP(Ft!E$38*($A519-Ft!E$2)^2)),Ft!E$3*((1-Ft!E$7)/(1+Ft!E$39*($A519-Ft!E$2)^2)+Ft!E$7*EXP(Ft!E$40*($A519-Ft!E$2)^2)))</f>
        <v>54.38922108488449</v>
      </c>
      <c r="J519" s="3">
        <f>IF(($A519-Ft!F$2)&lt;0,Ft!F$3*((1-Ft!F$6)/(1+Ft!F$37*($A519-Ft!F$2)^2)+Ft!F$6*EXP(Ft!F$38*($A519-Ft!F$2)^2)),Ft!F$3*((1-Ft!F$7)/(1+Ft!F$39*($A519-Ft!F$2)^2)+Ft!F$7*EXP(Ft!F$40*($A519-Ft!F$2)^2)))</f>
        <v>111.23723326509715</v>
      </c>
      <c r="K519" s="3">
        <f>IF(($A519-Ft!G$2)&lt;0,Ft!G$3*((1-Ft!G$6)/(1+Ft!G$37*($A519-Ft!G$2)^2)+Ft!G$6*EXP(Ft!G$38*($A519-Ft!G$2)^2)),Ft!G$3*((1-Ft!G$7)/(1+Ft!G$39*($A519-Ft!G$2)^2)+Ft!G$7*EXP(Ft!G$40*($A519-Ft!G$2)^2)))</f>
        <v>0.12316090525249861</v>
      </c>
      <c r="L519" s="3">
        <f>IF(($A519-Ft!H$2)&lt;0,Ft!H$3*((1-Ft!H$6)/(1+Ft!H$37*($A519-Ft!H$2)^2)+Ft!H$6*EXP(Ft!H$38*($A519-Ft!H$2)^2)),Ft!H$3*((1-Ft!H$7)/(1+Ft!H$39*($A519-Ft!H$2)^2)+Ft!H$7*EXP(Ft!H$40*($A519-Ft!H$2)^2)))</f>
        <v>0</v>
      </c>
      <c r="M519" s="3">
        <f>IF(($A519-Ft!I$2)&lt;0,Ft!I$3*((1-Ft!I$6)/(1+Ft!I$37*($A519-Ft!I$2)^2)+Ft!I$6*EXP(Ft!I$38*($A519-Ft!I$2)^2)),Ft!I$3*((1-Ft!I$7)/(1+Ft!I$39*($A519-Ft!I$2)^2)+Ft!I$7*EXP(Ft!I$40*($A519-Ft!I$2)^2)))</f>
        <v>0</v>
      </c>
      <c r="N519" s="3">
        <f>IF(($A519-Ft!J$2)&lt;0,Ft!J$3*((1-Ft!J$6)/(1+Ft!J$37*($A519-Ft!J$2)^2)+Ft!J$6*EXP(Ft!J$38*($A519-Ft!J$2)^2)),Ft!J$3*((1-Ft!J$7)/(1+Ft!J$39*($A519-Ft!J$2)^2)+Ft!J$7*EXP(Ft!J$40*($A519-Ft!J$2)^2)))</f>
        <v>0</v>
      </c>
      <c r="O519" s="3">
        <f>IF(($A519-Ft!K$2)&lt;0,Ft!K$3*((1-Ft!K$6)/(1+Ft!K$37*($A519-Ft!K$2)^2)+Ft!K$6*EXP(Ft!K$38*($A519-Ft!K$2)^2)),Ft!K$3*((1-Ft!K$7)/(1+Ft!K$39*($A519-Ft!K$2)^2)+Ft!K$7*EXP(Ft!K$40*($A519-Ft!K$2)^2)))</f>
        <v>0</v>
      </c>
      <c r="P519"/>
      <c r="Q519"/>
    </row>
    <row r="520" spans="1:17">
      <c r="A520" s="20">
        <v>1037</v>
      </c>
      <c r="B520" s="29">
        <v>25.144366199359283</v>
      </c>
      <c r="C520" s="7">
        <f t="shared" si="17"/>
        <v>24.836856348005998</v>
      </c>
      <c r="D520" s="3">
        <f t="shared" si="16"/>
        <v>9.4562308679319029E-2</v>
      </c>
      <c r="E520" s="3">
        <f>Ft!$B$12+Ft!$B$14*(Data!A520-Vars!$B$3)</f>
        <v>-200</v>
      </c>
      <c r="F520" s="3">
        <f>IF(($A520-Ft!B$2)&lt;0,Ft!B$3*((1-Ft!B$6)/(1+Ft!B$37*($A520-Ft!B$2)^2)+Ft!B$6*EXP(Ft!B$38*($A520-Ft!B$2)^2)),Ft!B$3*((1-Ft!B$7)/(1+Ft!B$39*($A520-Ft!B$2)^2)+Ft!B$7*EXP(Ft!B$40*($A520-Ft!B$2)^2)))</f>
        <v>4.1249808117469762</v>
      </c>
      <c r="G520" s="3">
        <f>IF(($A520-Ft!C$2)&lt;0,Ft!C$3*((1-Ft!C$6)/(1+Ft!C$37*($A520-Ft!C$2)^2)+Ft!C$6*EXP(Ft!C$38*($A520-Ft!C$2)^2)),Ft!C$3*((1-Ft!C$7)/(1+Ft!C$39*($A520-Ft!C$2)^2)+Ft!C$7*EXP(Ft!C$40*($A520-Ft!C$2)^2)))</f>
        <v>55.145852651838652</v>
      </c>
      <c r="H520" s="3">
        <f>IF(($A520-Ft!D$2)&lt;0,Ft!D$3*((1-Ft!D$6)/(1+Ft!D$37*($A520-Ft!D$2)^2)+Ft!D$6*EXP(Ft!D$38*($A520-Ft!D$2)^2)),Ft!D$3*((1-Ft!D$7)/(1+Ft!D$39*($A520-Ft!D$2)^2)+Ft!D$7*EXP(Ft!D$40*($A520-Ft!D$2)^2)))</f>
        <v>3.9099730398376745E-109</v>
      </c>
      <c r="I520" s="3">
        <f>IF(($A520-Ft!E$2)&lt;0,Ft!E$3*((1-Ft!E$6)/(1+Ft!E$37*($A520-Ft!E$2)^2)+Ft!E$6*EXP(Ft!E$38*($A520-Ft!E$2)^2)),Ft!E$3*((1-Ft!E$7)/(1+Ft!E$39*($A520-Ft!E$2)^2)+Ft!E$7*EXP(Ft!E$40*($A520-Ft!E$2)^2)))</f>
        <v>53.893006775435367</v>
      </c>
      <c r="J520" s="3">
        <f>IF(($A520-Ft!F$2)&lt;0,Ft!F$3*((1-Ft!F$6)/(1+Ft!F$37*($A520-Ft!F$2)^2)+Ft!F$6*EXP(Ft!F$38*($A520-Ft!F$2)^2)),Ft!F$3*((1-Ft!F$7)/(1+Ft!F$39*($A520-Ft!F$2)^2)+Ft!F$7*EXP(Ft!F$40*($A520-Ft!F$2)^2)))</f>
        <v>111.55412813050505</v>
      </c>
      <c r="K520" s="3">
        <f>IF(($A520-Ft!G$2)&lt;0,Ft!G$3*((1-Ft!G$6)/(1+Ft!G$37*($A520-Ft!G$2)^2)+Ft!G$6*EXP(Ft!G$38*($A520-Ft!G$2)^2)),Ft!G$3*((1-Ft!G$7)/(1+Ft!G$39*($A520-Ft!G$2)^2)+Ft!G$7*EXP(Ft!G$40*($A520-Ft!G$2)^2)))</f>
        <v>0.11888797847995208</v>
      </c>
      <c r="L520" s="3">
        <f>IF(($A520-Ft!H$2)&lt;0,Ft!H$3*((1-Ft!H$6)/(1+Ft!H$37*($A520-Ft!H$2)^2)+Ft!H$6*EXP(Ft!H$38*($A520-Ft!H$2)^2)),Ft!H$3*((1-Ft!H$7)/(1+Ft!H$39*($A520-Ft!H$2)^2)+Ft!H$7*EXP(Ft!H$40*($A520-Ft!H$2)^2)))</f>
        <v>0</v>
      </c>
      <c r="M520" s="3">
        <f>IF(($A520-Ft!I$2)&lt;0,Ft!I$3*((1-Ft!I$6)/(1+Ft!I$37*($A520-Ft!I$2)^2)+Ft!I$6*EXP(Ft!I$38*($A520-Ft!I$2)^2)),Ft!I$3*((1-Ft!I$7)/(1+Ft!I$39*($A520-Ft!I$2)^2)+Ft!I$7*EXP(Ft!I$40*($A520-Ft!I$2)^2)))</f>
        <v>0</v>
      </c>
      <c r="N520" s="3">
        <f>IF(($A520-Ft!J$2)&lt;0,Ft!J$3*((1-Ft!J$6)/(1+Ft!J$37*($A520-Ft!J$2)^2)+Ft!J$6*EXP(Ft!J$38*($A520-Ft!J$2)^2)),Ft!J$3*((1-Ft!J$7)/(1+Ft!J$39*($A520-Ft!J$2)^2)+Ft!J$7*EXP(Ft!J$40*($A520-Ft!J$2)^2)))</f>
        <v>0</v>
      </c>
      <c r="O520" s="3">
        <f>IF(($A520-Ft!K$2)&lt;0,Ft!K$3*((1-Ft!K$6)/(1+Ft!K$37*($A520-Ft!K$2)^2)+Ft!K$6*EXP(Ft!K$38*($A520-Ft!K$2)^2)),Ft!K$3*((1-Ft!K$7)/(1+Ft!K$39*($A520-Ft!K$2)^2)+Ft!K$7*EXP(Ft!K$40*($A520-Ft!K$2)^2)))</f>
        <v>0</v>
      </c>
      <c r="P520"/>
      <c r="Q520"/>
    </row>
    <row r="521" spans="1:17">
      <c r="A521" s="20">
        <v>1039</v>
      </c>
      <c r="B521" s="29">
        <v>24.867422899262806</v>
      </c>
      <c r="C521" s="7">
        <f t="shared" si="17"/>
        <v>24.57187983420172</v>
      </c>
      <c r="D521" s="3">
        <f t="shared" si="16"/>
        <v>8.7345703305701156E-2</v>
      </c>
      <c r="E521" s="3">
        <f>Ft!$B$12+Ft!$B$14*(Data!A521-Vars!$B$3)</f>
        <v>-200</v>
      </c>
      <c r="F521" s="3">
        <f>IF(($A521-Ft!B$2)&lt;0,Ft!B$3*((1-Ft!B$6)/(1+Ft!B$37*($A521-Ft!B$2)^2)+Ft!B$6*EXP(Ft!B$38*($A521-Ft!B$2)^2)),Ft!B$3*((1-Ft!B$7)/(1+Ft!B$39*($A521-Ft!B$2)^2)+Ft!B$7*EXP(Ft!B$40*($A521-Ft!B$2)^2)))</f>
        <v>4.075684779964325</v>
      </c>
      <c r="G521" s="3">
        <f>IF(($A521-Ft!C$2)&lt;0,Ft!C$3*((1-Ft!C$6)/(1+Ft!C$37*($A521-Ft!C$2)^2)+Ft!C$6*EXP(Ft!C$38*($A521-Ft!C$2)^2)),Ft!C$3*((1-Ft!C$7)/(1+Ft!C$39*($A521-Ft!C$2)^2)+Ft!C$7*EXP(Ft!C$40*($A521-Ft!C$2)^2)))</f>
        <v>55.112767857789358</v>
      </c>
      <c r="H521" s="3">
        <f>IF(($A521-Ft!D$2)&lt;0,Ft!D$3*((1-Ft!D$6)/(1+Ft!D$37*($A521-Ft!D$2)^2)+Ft!D$6*EXP(Ft!D$38*($A521-Ft!D$2)^2)),Ft!D$3*((1-Ft!D$7)/(1+Ft!D$39*($A521-Ft!D$2)^2)+Ft!D$7*EXP(Ft!D$40*($A521-Ft!D$2)^2)))</f>
        <v>7.4022069141283489E-110</v>
      </c>
      <c r="I521" s="3">
        <f>IF(($A521-Ft!E$2)&lt;0,Ft!E$3*((1-Ft!E$6)/(1+Ft!E$37*($A521-Ft!E$2)^2)+Ft!E$6*EXP(Ft!E$38*($A521-Ft!E$2)^2)),Ft!E$3*((1-Ft!E$7)/(1+Ft!E$39*($A521-Ft!E$2)^2)+Ft!E$7*EXP(Ft!E$40*($A521-Ft!E$2)^2)))</f>
        <v>53.398223431274118</v>
      </c>
      <c r="J521" s="3">
        <f>IF(($A521-Ft!F$2)&lt;0,Ft!F$3*((1-Ft!F$6)/(1+Ft!F$37*($A521-Ft!F$2)^2)+Ft!F$6*EXP(Ft!F$38*($A521-Ft!F$2)^2)),Ft!F$3*((1-Ft!F$7)/(1+Ft!F$39*($A521-Ft!F$2)^2)+Ft!F$7*EXP(Ft!F$40*($A521-Ft!F$2)^2)))</f>
        <v>111.87045238081606</v>
      </c>
      <c r="K521" s="3">
        <f>IF(($A521-Ft!G$2)&lt;0,Ft!G$3*((1-Ft!G$6)/(1+Ft!G$37*($A521-Ft!G$2)^2)+Ft!G$6*EXP(Ft!G$38*($A521-Ft!G$2)^2)),Ft!G$3*((1-Ft!G$7)/(1+Ft!G$39*($A521-Ft!G$2)^2)+Ft!G$7*EXP(Ft!G$40*($A521-Ft!G$2)^2)))</f>
        <v>0.1147513843578703</v>
      </c>
      <c r="L521" s="3">
        <f>IF(($A521-Ft!H$2)&lt;0,Ft!H$3*((1-Ft!H$6)/(1+Ft!H$37*($A521-Ft!H$2)^2)+Ft!H$6*EXP(Ft!H$38*($A521-Ft!H$2)^2)),Ft!H$3*((1-Ft!H$7)/(1+Ft!H$39*($A521-Ft!H$2)^2)+Ft!H$7*EXP(Ft!H$40*($A521-Ft!H$2)^2)))</f>
        <v>0</v>
      </c>
      <c r="M521" s="3">
        <f>IF(($A521-Ft!I$2)&lt;0,Ft!I$3*((1-Ft!I$6)/(1+Ft!I$37*($A521-Ft!I$2)^2)+Ft!I$6*EXP(Ft!I$38*($A521-Ft!I$2)^2)),Ft!I$3*((1-Ft!I$7)/(1+Ft!I$39*($A521-Ft!I$2)^2)+Ft!I$7*EXP(Ft!I$40*($A521-Ft!I$2)^2)))</f>
        <v>0</v>
      </c>
      <c r="N521" s="3">
        <f>IF(($A521-Ft!J$2)&lt;0,Ft!J$3*((1-Ft!J$6)/(1+Ft!J$37*($A521-Ft!J$2)^2)+Ft!J$6*EXP(Ft!J$38*($A521-Ft!J$2)^2)),Ft!J$3*((1-Ft!J$7)/(1+Ft!J$39*($A521-Ft!J$2)^2)+Ft!J$7*EXP(Ft!J$40*($A521-Ft!J$2)^2)))</f>
        <v>0</v>
      </c>
      <c r="O521" s="3">
        <f>IF(($A521-Ft!K$2)&lt;0,Ft!K$3*((1-Ft!K$6)/(1+Ft!K$37*($A521-Ft!K$2)^2)+Ft!K$6*EXP(Ft!K$38*($A521-Ft!K$2)^2)),Ft!K$3*((1-Ft!K$7)/(1+Ft!K$39*($A521-Ft!K$2)^2)+Ft!K$7*EXP(Ft!K$40*($A521-Ft!K$2)^2)))</f>
        <v>0</v>
      </c>
      <c r="P521"/>
      <c r="Q521"/>
    </row>
    <row r="522" spans="1:17">
      <c r="A522" s="20">
        <v>1041</v>
      </c>
      <c r="B522" s="29">
        <v>24.590911289439305</v>
      </c>
      <c r="C522" s="7">
        <f t="shared" si="17"/>
        <v>24.30797555138172</v>
      </c>
      <c r="D522" s="3">
        <f t="shared" si="16"/>
        <v>8.0052631870190349E-2</v>
      </c>
      <c r="E522" s="3">
        <f>Ft!$B$12+Ft!$B$14*(Data!A522-Vars!$B$3)</f>
        <v>-200</v>
      </c>
      <c r="F522" s="3">
        <f>IF(($A522-Ft!B$2)&lt;0,Ft!B$3*((1-Ft!B$6)/(1+Ft!B$37*($A522-Ft!B$2)^2)+Ft!B$6*EXP(Ft!B$38*($A522-Ft!B$2)^2)),Ft!B$3*((1-Ft!B$7)/(1+Ft!B$39*($A522-Ft!B$2)^2)+Ft!B$7*EXP(Ft!B$40*($A522-Ft!B$2)^2)))</f>
        <v>4.0269010046061631</v>
      </c>
      <c r="G522" s="3">
        <f>IF(($A522-Ft!C$2)&lt;0,Ft!C$3*((1-Ft!C$6)/(1+Ft!C$37*($A522-Ft!C$2)^2)+Ft!C$6*EXP(Ft!C$38*($A522-Ft!C$2)^2)),Ft!C$3*((1-Ft!C$7)/(1+Ft!C$39*($A522-Ft!C$2)^2)+Ft!C$7*EXP(Ft!C$40*($A522-Ft!C$2)^2)))</f>
        <v>55.079216243361216</v>
      </c>
      <c r="H522" s="3">
        <f>IF(($A522-Ft!D$2)&lt;0,Ft!D$3*((1-Ft!D$6)/(1+Ft!D$37*($A522-Ft!D$2)^2)+Ft!D$6*EXP(Ft!D$38*($A522-Ft!D$2)^2)),Ft!D$3*((1-Ft!D$7)/(1+Ft!D$39*($A522-Ft!D$2)^2)+Ft!D$7*EXP(Ft!D$40*($A522-Ft!D$2)^2)))</f>
        <v>1.3936469407268339E-110</v>
      </c>
      <c r="I522" s="3">
        <f>IF(($A522-Ft!E$2)&lt;0,Ft!E$3*((1-Ft!E$6)/(1+Ft!E$37*($A522-Ft!E$2)^2)+Ft!E$6*EXP(Ft!E$38*($A522-Ft!E$2)^2)),Ft!E$3*((1-Ft!E$7)/(1+Ft!E$39*($A522-Ft!E$2)^2)+Ft!E$7*EXP(Ft!E$40*($A522-Ft!E$2)^2)))</f>
        <v>52.904915026354267</v>
      </c>
      <c r="J522" s="3">
        <f>IF(($A522-Ft!F$2)&lt;0,Ft!F$3*((1-Ft!F$6)/(1+Ft!F$37*($A522-Ft!F$2)^2)+Ft!F$6*EXP(Ft!F$38*($A522-Ft!F$2)^2)),Ft!F$3*((1-Ft!F$7)/(1+Ft!F$39*($A522-Ft!F$2)^2)+Ft!F$7*EXP(Ft!F$40*($A522-Ft!F$2)^2)))</f>
        <v>112.18619605397626</v>
      </c>
      <c r="K522" s="3">
        <f>IF(($A522-Ft!G$2)&lt;0,Ft!G$3*((1-Ft!G$6)/(1+Ft!G$37*($A522-Ft!G$2)^2)+Ft!G$6*EXP(Ft!G$38*($A522-Ft!G$2)^2)),Ft!G$3*((1-Ft!G$7)/(1+Ft!G$39*($A522-Ft!G$2)^2)+Ft!G$7*EXP(Ft!G$40*($A522-Ft!G$2)^2)))</f>
        <v>0.11074722308377932</v>
      </c>
      <c r="L522" s="3">
        <f>IF(($A522-Ft!H$2)&lt;0,Ft!H$3*((1-Ft!H$6)/(1+Ft!H$37*($A522-Ft!H$2)^2)+Ft!H$6*EXP(Ft!H$38*($A522-Ft!H$2)^2)),Ft!H$3*((1-Ft!H$7)/(1+Ft!H$39*($A522-Ft!H$2)^2)+Ft!H$7*EXP(Ft!H$40*($A522-Ft!H$2)^2)))</f>
        <v>0</v>
      </c>
      <c r="M522" s="3">
        <f>IF(($A522-Ft!I$2)&lt;0,Ft!I$3*((1-Ft!I$6)/(1+Ft!I$37*($A522-Ft!I$2)^2)+Ft!I$6*EXP(Ft!I$38*($A522-Ft!I$2)^2)),Ft!I$3*((1-Ft!I$7)/(1+Ft!I$39*($A522-Ft!I$2)^2)+Ft!I$7*EXP(Ft!I$40*($A522-Ft!I$2)^2)))</f>
        <v>0</v>
      </c>
      <c r="N522" s="3">
        <f>IF(($A522-Ft!J$2)&lt;0,Ft!J$3*((1-Ft!J$6)/(1+Ft!J$37*($A522-Ft!J$2)^2)+Ft!J$6*EXP(Ft!J$38*($A522-Ft!J$2)^2)),Ft!J$3*((1-Ft!J$7)/(1+Ft!J$39*($A522-Ft!J$2)^2)+Ft!J$7*EXP(Ft!J$40*($A522-Ft!J$2)^2)))</f>
        <v>0</v>
      </c>
      <c r="O522" s="3">
        <f>IF(($A522-Ft!K$2)&lt;0,Ft!K$3*((1-Ft!K$6)/(1+Ft!K$37*($A522-Ft!K$2)^2)+Ft!K$6*EXP(Ft!K$38*($A522-Ft!K$2)^2)),Ft!K$3*((1-Ft!K$7)/(1+Ft!K$39*($A522-Ft!K$2)^2)+Ft!K$7*EXP(Ft!K$40*($A522-Ft!K$2)^2)))</f>
        <v>0</v>
      </c>
      <c r="P522"/>
      <c r="Q522"/>
    </row>
    <row r="523" spans="1:17">
      <c r="A523" s="20">
        <v>1043</v>
      </c>
      <c r="B523" s="29">
        <v>24.314861118091201</v>
      </c>
      <c r="C523" s="7">
        <f t="shared" si="17"/>
        <v>24.045169638024209</v>
      </c>
      <c r="D523" s="3">
        <f t="shared" si="16"/>
        <v>7.2733494420724895E-2</v>
      </c>
      <c r="E523" s="3">
        <f>Ft!$B$12+Ft!$B$14*(Data!A523-Vars!$B$3)</f>
        <v>-200</v>
      </c>
      <c r="F523" s="3">
        <f>IF(($A523-Ft!B$2)&lt;0,Ft!B$3*((1-Ft!B$6)/(1+Ft!B$37*($A523-Ft!B$2)^2)+Ft!B$6*EXP(Ft!B$38*($A523-Ft!B$2)^2)),Ft!B$3*((1-Ft!B$7)/(1+Ft!B$39*($A523-Ft!B$2)^2)+Ft!B$7*EXP(Ft!B$40*($A523-Ft!B$2)^2)))</f>
        <v>3.9786252053202138</v>
      </c>
      <c r="G523" s="3">
        <f>IF(($A523-Ft!C$2)&lt;0,Ft!C$3*((1-Ft!C$6)/(1+Ft!C$37*($A523-Ft!C$2)^2)+Ft!C$6*EXP(Ft!C$38*($A523-Ft!C$2)^2)),Ft!C$3*((1-Ft!C$7)/(1+Ft!C$39*($A523-Ft!C$2)^2)+Ft!C$7*EXP(Ft!C$40*($A523-Ft!C$2)^2)))</f>
        <v>55.045198685471512</v>
      </c>
      <c r="H523" s="3">
        <f>IF(($A523-Ft!D$2)&lt;0,Ft!D$3*((1-Ft!D$6)/(1+Ft!D$37*($A523-Ft!D$2)^2)+Ft!D$6*EXP(Ft!D$38*($A523-Ft!D$2)^2)),Ft!D$3*((1-Ft!D$7)/(1+Ft!D$39*($A523-Ft!D$2)^2)+Ft!D$7*EXP(Ft!D$40*($A523-Ft!D$2)^2)))</f>
        <v>2.6094465041672285E-111</v>
      </c>
      <c r="I523" s="3">
        <f>IF(($A523-Ft!E$2)&lt;0,Ft!E$3*((1-Ft!E$6)/(1+Ft!E$37*($A523-Ft!E$2)^2)+Ft!E$6*EXP(Ft!E$38*($A523-Ft!E$2)^2)),Ft!E$3*((1-Ft!E$7)/(1+Ft!E$39*($A523-Ft!E$2)^2)+Ft!E$7*EXP(Ft!E$40*($A523-Ft!E$2)^2)))</f>
        <v>52.413124874288684</v>
      </c>
      <c r="J523" s="3">
        <f>IF(($A523-Ft!F$2)&lt;0,Ft!F$3*((1-Ft!F$6)/(1+Ft!F$37*($A523-Ft!F$2)^2)+Ft!F$6*EXP(Ft!F$38*($A523-Ft!F$2)^2)),Ft!F$3*((1-Ft!F$7)/(1+Ft!F$39*($A523-Ft!F$2)^2)+Ft!F$7*EXP(Ft!F$40*($A523-Ft!F$2)^2)))</f>
        <v>112.50134918272069</v>
      </c>
      <c r="K523" s="3">
        <f>IF(($A523-Ft!G$2)&lt;0,Ft!G$3*((1-Ft!G$6)/(1+Ft!G$37*($A523-Ft!G$2)^2)+Ft!G$6*EXP(Ft!G$38*($A523-Ft!G$2)^2)),Ft!G$3*((1-Ft!G$7)/(1+Ft!G$39*($A523-Ft!G$2)^2)+Ft!G$7*EXP(Ft!G$40*($A523-Ft!G$2)^2)))</f>
        <v>0.10687169022310444</v>
      </c>
      <c r="L523" s="3">
        <f>IF(($A523-Ft!H$2)&lt;0,Ft!H$3*((1-Ft!H$6)/(1+Ft!H$37*($A523-Ft!H$2)^2)+Ft!H$6*EXP(Ft!H$38*($A523-Ft!H$2)^2)),Ft!H$3*((1-Ft!H$7)/(1+Ft!H$39*($A523-Ft!H$2)^2)+Ft!H$7*EXP(Ft!H$40*($A523-Ft!H$2)^2)))</f>
        <v>0</v>
      </c>
      <c r="M523" s="3">
        <f>IF(($A523-Ft!I$2)&lt;0,Ft!I$3*((1-Ft!I$6)/(1+Ft!I$37*($A523-Ft!I$2)^2)+Ft!I$6*EXP(Ft!I$38*($A523-Ft!I$2)^2)),Ft!I$3*((1-Ft!I$7)/(1+Ft!I$39*($A523-Ft!I$2)^2)+Ft!I$7*EXP(Ft!I$40*($A523-Ft!I$2)^2)))</f>
        <v>0</v>
      </c>
      <c r="N523" s="3">
        <f>IF(($A523-Ft!J$2)&lt;0,Ft!J$3*((1-Ft!J$6)/(1+Ft!J$37*($A523-Ft!J$2)^2)+Ft!J$6*EXP(Ft!J$38*($A523-Ft!J$2)^2)),Ft!J$3*((1-Ft!J$7)/(1+Ft!J$39*($A523-Ft!J$2)^2)+Ft!J$7*EXP(Ft!J$40*($A523-Ft!J$2)^2)))</f>
        <v>0</v>
      </c>
      <c r="O523" s="3">
        <f>IF(($A523-Ft!K$2)&lt;0,Ft!K$3*((1-Ft!K$6)/(1+Ft!K$37*($A523-Ft!K$2)^2)+Ft!K$6*EXP(Ft!K$38*($A523-Ft!K$2)^2)),Ft!K$3*((1-Ft!K$7)/(1+Ft!K$39*($A523-Ft!K$2)^2)+Ft!K$7*EXP(Ft!K$40*($A523-Ft!K$2)^2)))</f>
        <v>0</v>
      </c>
      <c r="P523"/>
      <c r="Q523"/>
    </row>
    <row r="524" spans="1:17">
      <c r="A524" s="20">
        <v>1045</v>
      </c>
      <c r="B524" s="29">
        <v>24.039302040378907</v>
      </c>
      <c r="C524" s="7">
        <f t="shared" si="17"/>
        <v>23.783487691431862</v>
      </c>
      <c r="D524" s="3">
        <f t="shared" si="16"/>
        <v>6.5440981127200287E-2</v>
      </c>
      <c r="E524" s="3">
        <f>Ft!$B$12+Ft!$B$14*(Data!A524-Vars!$B$3)</f>
        <v>-200</v>
      </c>
      <c r="F524" s="3">
        <f>IF(($A524-Ft!B$2)&lt;0,Ft!B$3*((1-Ft!B$6)/(1+Ft!B$37*($A524-Ft!B$2)^2)+Ft!B$6*EXP(Ft!B$38*($A524-Ft!B$2)^2)),Ft!B$3*((1-Ft!B$7)/(1+Ft!B$39*($A524-Ft!B$2)^2)+Ft!B$7*EXP(Ft!B$40*($A524-Ft!B$2)^2)))</f>
        <v>3.9308531241159064</v>
      </c>
      <c r="G524" s="3">
        <f>IF(($A524-Ft!C$2)&lt;0,Ft!C$3*((1-Ft!C$6)/(1+Ft!C$37*($A524-Ft!C$2)^2)+Ft!C$6*EXP(Ft!C$38*($A524-Ft!C$2)^2)),Ft!C$3*((1-Ft!C$7)/(1+Ft!C$39*($A524-Ft!C$2)^2)+Ft!C$7*EXP(Ft!C$40*($A524-Ft!C$2)^2)))</f>
        <v>55.010716072846876</v>
      </c>
      <c r="H524" s="3">
        <f>IF(($A524-Ft!D$2)&lt;0,Ft!D$3*((1-Ft!D$6)/(1+Ft!D$37*($A524-Ft!D$2)^2)+Ft!D$6*EXP(Ft!D$38*($A524-Ft!D$2)^2)),Ft!D$3*((1-Ft!D$7)/(1+Ft!D$39*($A524-Ft!D$2)^2)+Ft!D$7*EXP(Ft!D$40*($A524-Ft!D$2)^2)))</f>
        <v>4.8590136272809178E-112</v>
      </c>
      <c r="I524" s="3">
        <f>IF(($A524-Ft!E$2)&lt;0,Ft!E$3*((1-Ft!E$6)/(1+Ft!E$37*($A524-Ft!E$2)^2)+Ft!E$6*EXP(Ft!E$38*($A524-Ft!E$2)^2)),Ft!E$3*((1-Ft!E$7)/(1+Ft!E$39*($A524-Ft!E$2)^2)+Ft!E$7*EXP(Ft!E$40*($A524-Ft!E$2)^2)))</f>
        <v>51.922895624451321</v>
      </c>
      <c r="J524" s="3">
        <f>IF(($A524-Ft!F$2)&lt;0,Ft!F$3*((1-Ft!F$6)/(1+Ft!F$37*($A524-Ft!F$2)^2)+Ft!F$6*EXP(Ft!F$38*($A524-Ft!F$2)^2)),Ft!F$3*((1-Ft!F$7)/(1+Ft!F$39*($A524-Ft!F$2)^2)+Ft!F$7*EXP(Ft!F$40*($A524-Ft!F$2)^2)))</f>
        <v>112.81590179508451</v>
      </c>
      <c r="K524" s="3">
        <f>IF(($A524-Ft!G$2)&lt;0,Ft!G$3*((1-Ft!G$6)/(1+Ft!G$37*($A524-Ft!G$2)^2)+Ft!G$6*EXP(Ft!G$38*($A524-Ft!G$2)^2)),Ft!G$3*((1-Ft!G$7)/(1+Ft!G$39*($A524-Ft!G$2)^2)+Ft!G$7*EXP(Ft!G$40*($A524-Ft!G$2)^2)))</f>
        <v>0.103121074933232</v>
      </c>
      <c r="L524" s="3">
        <f>IF(($A524-Ft!H$2)&lt;0,Ft!H$3*((1-Ft!H$6)/(1+Ft!H$37*($A524-Ft!H$2)^2)+Ft!H$6*EXP(Ft!H$38*($A524-Ft!H$2)^2)),Ft!H$3*((1-Ft!H$7)/(1+Ft!H$39*($A524-Ft!H$2)^2)+Ft!H$7*EXP(Ft!H$40*($A524-Ft!H$2)^2)))</f>
        <v>0</v>
      </c>
      <c r="M524" s="3">
        <f>IF(($A524-Ft!I$2)&lt;0,Ft!I$3*((1-Ft!I$6)/(1+Ft!I$37*($A524-Ft!I$2)^2)+Ft!I$6*EXP(Ft!I$38*($A524-Ft!I$2)^2)),Ft!I$3*((1-Ft!I$7)/(1+Ft!I$39*($A524-Ft!I$2)^2)+Ft!I$7*EXP(Ft!I$40*($A524-Ft!I$2)^2)))</f>
        <v>0</v>
      </c>
      <c r="N524" s="3">
        <f>IF(($A524-Ft!J$2)&lt;0,Ft!J$3*((1-Ft!J$6)/(1+Ft!J$37*($A524-Ft!J$2)^2)+Ft!J$6*EXP(Ft!J$38*($A524-Ft!J$2)^2)),Ft!J$3*((1-Ft!J$7)/(1+Ft!J$39*($A524-Ft!J$2)^2)+Ft!J$7*EXP(Ft!J$40*($A524-Ft!J$2)^2)))</f>
        <v>0</v>
      </c>
      <c r="O524" s="3">
        <f>IF(($A524-Ft!K$2)&lt;0,Ft!K$3*((1-Ft!K$6)/(1+Ft!K$37*($A524-Ft!K$2)^2)+Ft!K$6*EXP(Ft!K$38*($A524-Ft!K$2)^2)),Ft!K$3*((1-Ft!K$7)/(1+Ft!K$39*($A524-Ft!K$2)^2)+Ft!K$7*EXP(Ft!K$40*($A524-Ft!K$2)^2)))</f>
        <v>0</v>
      </c>
      <c r="P524"/>
      <c r="Q524"/>
    </row>
    <row r="525" spans="1:17">
      <c r="A525" s="20">
        <v>1047</v>
      </c>
      <c r="B525" s="29">
        <v>23.764263612765291</v>
      </c>
      <c r="C525" s="7">
        <f t="shared" si="17"/>
        <v>23.522954762828441</v>
      </c>
      <c r="D525" s="3">
        <f t="shared" si="16"/>
        <v>5.8229961057845128E-2</v>
      </c>
      <c r="E525" s="3">
        <f>Ft!$B$12+Ft!$B$14*(Data!A525-Vars!$B$3)</f>
        <v>-200</v>
      </c>
      <c r="F525" s="3">
        <f>IF(($A525-Ft!B$2)&lt;0,Ft!B$3*((1-Ft!B$6)/(1+Ft!B$37*($A525-Ft!B$2)^2)+Ft!B$6*EXP(Ft!B$38*($A525-Ft!B$2)^2)),Ft!B$3*((1-Ft!B$7)/(1+Ft!B$39*($A525-Ft!B$2)^2)+Ft!B$7*EXP(Ft!B$40*($A525-Ft!B$2)^2)))</f>
        <v>3.8835805254194238</v>
      </c>
      <c r="G525" s="3">
        <f>IF(($A525-Ft!C$2)&lt;0,Ft!C$3*((1-Ft!C$6)/(1+Ft!C$37*($A525-Ft!C$2)^2)+Ft!C$6*EXP(Ft!C$38*($A525-Ft!C$2)^2)),Ft!C$3*((1-Ft!C$7)/(1+Ft!C$39*($A525-Ft!C$2)^2)+Ft!C$7*EXP(Ft!C$40*($A525-Ft!C$2)^2)))</f>
        <v>54.975769305984564</v>
      </c>
      <c r="H525" s="3">
        <f>IF(($A525-Ft!D$2)&lt;0,Ft!D$3*((1-Ft!D$6)/(1+Ft!D$37*($A525-Ft!D$2)^2)+Ft!D$6*EXP(Ft!D$38*($A525-Ft!D$2)^2)),Ft!D$3*((1-Ft!D$7)/(1+Ft!D$39*($A525-Ft!D$2)^2)+Ft!D$7*EXP(Ft!D$40*($A525-Ft!D$2)^2)))</f>
        <v>8.9981229554853079E-113</v>
      </c>
      <c r="I525" s="3">
        <f>IF(($A525-Ft!E$2)&lt;0,Ft!E$3*((1-Ft!E$6)/(1+Ft!E$37*($A525-Ft!E$2)^2)+Ft!E$6*EXP(Ft!E$38*($A525-Ft!E$2)^2)),Ft!E$3*((1-Ft!E$7)/(1+Ft!E$39*($A525-Ft!E$2)^2)+Ft!E$7*EXP(Ft!E$40*($A525-Ft!E$2)^2)))</f>
        <v>51.434269258306657</v>
      </c>
      <c r="J525" s="3">
        <f>IF(($A525-Ft!F$2)&lt;0,Ft!F$3*((1-Ft!F$6)/(1+Ft!F$37*($A525-Ft!F$2)^2)+Ft!F$6*EXP(Ft!F$38*($A525-Ft!F$2)^2)),Ft!F$3*((1-Ft!F$7)/(1+Ft!F$39*($A525-Ft!F$2)^2)+Ft!F$7*EXP(Ft!F$40*($A525-Ft!F$2)^2)))</f>
        <v>113.12984391491588</v>
      </c>
      <c r="K525" s="3">
        <f>IF(($A525-Ft!G$2)&lt;0,Ft!G$3*((1-Ft!G$6)/(1+Ft!G$37*($A525-Ft!G$2)^2)+Ft!G$6*EXP(Ft!G$38*($A525-Ft!G$2)^2)),Ft!G$3*((1-Ft!G$7)/(1+Ft!G$39*($A525-Ft!G$2)^2)+Ft!G$7*EXP(Ft!G$40*($A525-Ft!G$2)^2)))</f>
        <v>9.9491758201913472E-2</v>
      </c>
      <c r="L525" s="3">
        <f>IF(($A525-Ft!H$2)&lt;0,Ft!H$3*((1-Ft!H$6)/(1+Ft!H$37*($A525-Ft!H$2)^2)+Ft!H$6*EXP(Ft!H$38*($A525-Ft!H$2)^2)),Ft!H$3*((1-Ft!H$7)/(1+Ft!H$39*($A525-Ft!H$2)^2)+Ft!H$7*EXP(Ft!H$40*($A525-Ft!H$2)^2)))</f>
        <v>0</v>
      </c>
      <c r="M525" s="3">
        <f>IF(($A525-Ft!I$2)&lt;0,Ft!I$3*((1-Ft!I$6)/(1+Ft!I$37*($A525-Ft!I$2)^2)+Ft!I$6*EXP(Ft!I$38*($A525-Ft!I$2)^2)),Ft!I$3*((1-Ft!I$7)/(1+Ft!I$39*($A525-Ft!I$2)^2)+Ft!I$7*EXP(Ft!I$40*($A525-Ft!I$2)^2)))</f>
        <v>0</v>
      </c>
      <c r="N525" s="3">
        <f>IF(($A525-Ft!J$2)&lt;0,Ft!J$3*((1-Ft!J$6)/(1+Ft!J$37*($A525-Ft!J$2)^2)+Ft!J$6*EXP(Ft!J$38*($A525-Ft!J$2)^2)),Ft!J$3*((1-Ft!J$7)/(1+Ft!J$39*($A525-Ft!J$2)^2)+Ft!J$7*EXP(Ft!J$40*($A525-Ft!J$2)^2)))</f>
        <v>0</v>
      </c>
      <c r="O525" s="3">
        <f>IF(($A525-Ft!K$2)&lt;0,Ft!K$3*((1-Ft!K$6)/(1+Ft!K$37*($A525-Ft!K$2)^2)+Ft!K$6*EXP(Ft!K$38*($A525-Ft!K$2)^2)),Ft!K$3*((1-Ft!K$7)/(1+Ft!K$39*($A525-Ft!K$2)^2)+Ft!K$7*EXP(Ft!K$40*($A525-Ft!K$2)^2)))</f>
        <v>0</v>
      </c>
      <c r="P525"/>
      <c r="Q525"/>
    </row>
    <row r="526" spans="1:17">
      <c r="A526" s="20">
        <v>1049</v>
      </c>
      <c r="B526" s="29">
        <v>23.489775287368438</v>
      </c>
      <c r="C526" s="7">
        <f t="shared" si="17"/>
        <v>23.263595352696246</v>
      </c>
      <c r="D526" s="3">
        <f t="shared" si="16"/>
        <v>5.1157362848317137E-2</v>
      </c>
      <c r="E526" s="3">
        <f>Ft!$B$12+Ft!$B$14*(Data!A526-Vars!$B$3)</f>
        <v>-200</v>
      </c>
      <c r="F526" s="3">
        <f>IF(($A526-Ft!B$2)&lt;0,Ft!B$3*((1-Ft!B$6)/(1+Ft!B$37*($A526-Ft!B$2)^2)+Ft!B$6*EXP(Ft!B$38*($A526-Ft!B$2)^2)),Ft!B$3*((1-Ft!B$7)/(1+Ft!B$39*($A526-Ft!B$2)^2)+Ft!B$7*EXP(Ft!B$40*($A526-Ft!B$2)^2)))</f>
        <v>3.8368031961259801</v>
      </c>
      <c r="G526" s="3">
        <f>IF(($A526-Ft!C$2)&lt;0,Ft!C$3*((1-Ft!C$6)/(1+Ft!C$37*($A526-Ft!C$2)^2)+Ft!C$6*EXP(Ft!C$38*($A526-Ft!C$2)^2)),Ft!C$3*((1-Ft!C$7)/(1+Ft!C$39*($A526-Ft!C$2)^2)+Ft!C$7*EXP(Ft!C$40*($A526-Ft!C$2)^2)))</f>
        <v>54.940359297113304</v>
      </c>
      <c r="H526" s="3">
        <f>IF(($A526-Ft!D$2)&lt;0,Ft!D$3*((1-Ft!D$6)/(1+Ft!D$37*($A526-Ft!D$2)^2)+Ft!D$6*EXP(Ft!D$38*($A526-Ft!D$2)^2)),Ft!D$3*((1-Ft!D$7)/(1+Ft!D$39*($A526-Ft!D$2)^2)+Ft!D$7*EXP(Ft!D$40*($A526-Ft!D$2)^2)))</f>
        <v>1.657142351351873E-113</v>
      </c>
      <c r="I526" s="3">
        <f>IF(($A526-Ft!E$2)&lt;0,Ft!E$3*((1-Ft!E$6)/(1+Ft!E$37*($A526-Ft!E$2)^2)+Ft!E$6*EXP(Ft!E$38*($A526-Ft!E$2)^2)),Ft!E$3*((1-Ft!E$7)/(1+Ft!E$39*($A526-Ft!E$2)^2)+Ft!E$7*EXP(Ft!E$40*($A526-Ft!E$2)^2)))</f>
        <v>50.94728708596606</v>
      </c>
      <c r="J526" s="3">
        <f>IF(($A526-Ft!F$2)&lt;0,Ft!F$3*((1-Ft!F$6)/(1+Ft!F$37*($A526-Ft!F$2)^2)+Ft!F$6*EXP(Ft!F$38*($A526-Ft!F$2)^2)),Ft!F$3*((1-Ft!F$7)/(1+Ft!F$39*($A526-Ft!F$2)^2)+Ft!F$7*EXP(Ft!F$40*($A526-Ft!F$2)^2)))</f>
        <v>113.44316556239033</v>
      </c>
      <c r="K526" s="3">
        <f>IF(($A526-Ft!G$2)&lt;0,Ft!G$3*((1-Ft!G$6)/(1+Ft!G$37*($A526-Ft!G$2)^2)+Ft!G$6*EXP(Ft!G$38*($A526-Ft!G$2)^2)),Ft!G$3*((1-Ft!G$7)/(1+Ft!G$39*($A526-Ft!G$2)^2)+Ft!G$7*EXP(Ft!G$40*($A526-Ft!G$2)^2)))</f>
        <v>9.5980211100584578E-2</v>
      </c>
      <c r="L526" s="3">
        <f>IF(($A526-Ft!H$2)&lt;0,Ft!H$3*((1-Ft!H$6)/(1+Ft!H$37*($A526-Ft!H$2)^2)+Ft!H$6*EXP(Ft!H$38*($A526-Ft!H$2)^2)),Ft!H$3*((1-Ft!H$7)/(1+Ft!H$39*($A526-Ft!H$2)^2)+Ft!H$7*EXP(Ft!H$40*($A526-Ft!H$2)^2)))</f>
        <v>0</v>
      </c>
      <c r="M526" s="3">
        <f>IF(($A526-Ft!I$2)&lt;0,Ft!I$3*((1-Ft!I$6)/(1+Ft!I$37*($A526-Ft!I$2)^2)+Ft!I$6*EXP(Ft!I$38*($A526-Ft!I$2)^2)),Ft!I$3*((1-Ft!I$7)/(1+Ft!I$39*($A526-Ft!I$2)^2)+Ft!I$7*EXP(Ft!I$40*($A526-Ft!I$2)^2)))</f>
        <v>0</v>
      </c>
      <c r="N526" s="3">
        <f>IF(($A526-Ft!J$2)&lt;0,Ft!J$3*((1-Ft!J$6)/(1+Ft!J$37*($A526-Ft!J$2)^2)+Ft!J$6*EXP(Ft!J$38*($A526-Ft!J$2)^2)),Ft!J$3*((1-Ft!J$7)/(1+Ft!J$39*($A526-Ft!J$2)^2)+Ft!J$7*EXP(Ft!J$40*($A526-Ft!J$2)^2)))</f>
        <v>0</v>
      </c>
      <c r="O526" s="3">
        <f>IF(($A526-Ft!K$2)&lt;0,Ft!K$3*((1-Ft!K$6)/(1+Ft!K$37*($A526-Ft!K$2)^2)+Ft!K$6*EXP(Ft!K$38*($A526-Ft!K$2)^2)),Ft!K$3*((1-Ft!K$7)/(1+Ft!K$39*($A526-Ft!K$2)^2)+Ft!K$7*EXP(Ft!K$40*($A526-Ft!K$2)^2)))</f>
        <v>0</v>
      </c>
      <c r="P526"/>
      <c r="Q526"/>
    </row>
    <row r="527" spans="1:17">
      <c r="A527" s="20">
        <v>1051</v>
      </c>
      <c r="B527" s="29">
        <v>23.215866406324736</v>
      </c>
      <c r="C527" s="7">
        <f t="shared" si="17"/>
        <v>23.005433406353724</v>
      </c>
      <c r="D527" s="3">
        <f t="shared" si="16"/>
        <v>4.428204747679982E-2</v>
      </c>
      <c r="E527" s="3">
        <f>Ft!$B$12+Ft!$B$14*(Data!A527-Vars!$B$3)</f>
        <v>-200</v>
      </c>
      <c r="F527" s="3">
        <f>IF(($A527-Ft!B$2)&lt;0,Ft!B$3*((1-Ft!B$6)/(1+Ft!B$37*($A527-Ft!B$2)^2)+Ft!B$6*EXP(Ft!B$38*($A527-Ft!B$2)^2)),Ft!B$3*((1-Ft!B$7)/(1+Ft!B$39*($A527-Ft!B$2)^2)+Ft!B$7*EXP(Ft!B$40*($A527-Ft!B$2)^2)))</f>
        <v>3.7905169456493111</v>
      </c>
      <c r="G527" s="3">
        <f>IF(($A527-Ft!C$2)&lt;0,Ft!C$3*((1-Ft!C$6)/(1+Ft!C$37*($A527-Ft!C$2)^2)+Ft!C$6*EXP(Ft!C$38*($A527-Ft!C$2)^2)),Ft!C$3*((1-Ft!C$7)/(1+Ft!C$39*($A527-Ft!C$2)^2)+Ft!C$7*EXP(Ft!C$40*($A527-Ft!C$2)^2)))</f>
        <v>54.904486970153599</v>
      </c>
      <c r="H527" s="3">
        <f>IF(($A527-Ft!D$2)&lt;0,Ft!D$3*((1-Ft!D$6)/(1+Ft!D$37*($A527-Ft!D$2)^2)+Ft!D$6*EXP(Ft!D$38*($A527-Ft!D$2)^2)),Ft!D$3*((1-Ft!D$7)/(1+Ft!D$39*($A527-Ft!D$2)^2)+Ft!D$7*EXP(Ft!D$40*($A527-Ft!D$2)^2)))</f>
        <v>3.0350915603716639E-114</v>
      </c>
      <c r="I527" s="3">
        <f>IF(($A527-Ft!E$2)&lt;0,Ft!E$3*((1-Ft!E$6)/(1+Ft!E$37*($A527-Ft!E$2)^2)+Ft!E$6*EXP(Ft!E$38*($A527-Ft!E$2)^2)),Ft!E$3*((1-Ft!E$7)/(1+Ft!E$39*($A527-Ft!E$2)^2)+Ft!E$7*EXP(Ft!E$40*($A527-Ft!E$2)^2)))</f>
        <v>50.461989742970282</v>
      </c>
      <c r="J527" s="3">
        <f>IF(($A527-Ft!F$2)&lt;0,Ft!F$3*((1-Ft!F$6)/(1+Ft!F$37*($A527-Ft!F$2)^2)+Ft!F$6*EXP(Ft!F$38*($A527-Ft!F$2)^2)),Ft!F$3*((1-Ft!F$7)/(1+Ft!F$39*($A527-Ft!F$2)^2)+Ft!F$7*EXP(Ft!F$40*($A527-Ft!F$2)^2)))</f>
        <v>113.75585675452741</v>
      </c>
      <c r="K527" s="3">
        <f>IF(($A527-Ft!G$2)&lt;0,Ft!G$3*((1-Ft!G$6)/(1+Ft!G$37*($A527-Ft!G$2)^2)+Ft!G$6*EXP(Ft!G$38*($A527-Ft!G$2)^2)),Ft!G$3*((1-Ft!G$7)/(1+Ft!G$39*($A527-Ft!G$2)^2)+Ft!G$7*EXP(Ft!G$40*($A527-Ft!G$2)^2)))</f>
        <v>9.2582993053147863E-2</v>
      </c>
      <c r="L527" s="3">
        <f>IF(($A527-Ft!H$2)&lt;0,Ft!H$3*((1-Ft!H$6)/(1+Ft!H$37*($A527-Ft!H$2)^2)+Ft!H$6*EXP(Ft!H$38*($A527-Ft!H$2)^2)),Ft!H$3*((1-Ft!H$7)/(1+Ft!H$39*($A527-Ft!H$2)^2)+Ft!H$7*EXP(Ft!H$40*($A527-Ft!H$2)^2)))</f>
        <v>0</v>
      </c>
      <c r="M527" s="3">
        <f>IF(($A527-Ft!I$2)&lt;0,Ft!I$3*((1-Ft!I$6)/(1+Ft!I$37*($A527-Ft!I$2)^2)+Ft!I$6*EXP(Ft!I$38*($A527-Ft!I$2)^2)),Ft!I$3*((1-Ft!I$7)/(1+Ft!I$39*($A527-Ft!I$2)^2)+Ft!I$7*EXP(Ft!I$40*($A527-Ft!I$2)^2)))</f>
        <v>0</v>
      </c>
      <c r="N527" s="3">
        <f>IF(($A527-Ft!J$2)&lt;0,Ft!J$3*((1-Ft!J$6)/(1+Ft!J$37*($A527-Ft!J$2)^2)+Ft!J$6*EXP(Ft!J$38*($A527-Ft!J$2)^2)),Ft!J$3*((1-Ft!J$7)/(1+Ft!J$39*($A527-Ft!J$2)^2)+Ft!J$7*EXP(Ft!J$40*($A527-Ft!J$2)^2)))</f>
        <v>0</v>
      </c>
      <c r="O527" s="3">
        <f>IF(($A527-Ft!K$2)&lt;0,Ft!K$3*((1-Ft!K$6)/(1+Ft!K$37*($A527-Ft!K$2)^2)+Ft!K$6*EXP(Ft!K$38*($A527-Ft!K$2)^2)),Ft!K$3*((1-Ft!K$7)/(1+Ft!K$39*($A527-Ft!K$2)^2)+Ft!K$7*EXP(Ft!K$40*($A527-Ft!K$2)^2)))</f>
        <v>0</v>
      </c>
      <c r="P527"/>
      <c r="Q527"/>
    </row>
    <row r="528" spans="1:17">
      <c r="A528" s="20">
        <v>1053</v>
      </c>
      <c r="B528" s="29">
        <v>22.942566196163554</v>
      </c>
      <c r="C528" s="7">
        <f t="shared" si="17"/>
        <v>22.748492309771699</v>
      </c>
      <c r="D528" s="3">
        <f t="shared" si="16"/>
        <v>3.7664673379238803E-2</v>
      </c>
      <c r="E528" s="3">
        <f>Ft!$B$12+Ft!$B$14*(Data!A528-Vars!$B$3)</f>
        <v>-200</v>
      </c>
      <c r="F528" s="3">
        <f>IF(($A528-Ft!B$2)&lt;0,Ft!B$3*((1-Ft!B$6)/(1+Ft!B$37*($A528-Ft!B$2)^2)+Ft!B$6*EXP(Ft!B$38*($A528-Ft!B$2)^2)),Ft!B$3*((1-Ft!B$7)/(1+Ft!B$39*($A528-Ft!B$2)^2)+Ft!B$7*EXP(Ft!B$40*($A528-Ft!B$2)^2)))</f>
        <v>3.7447176059684493</v>
      </c>
      <c r="G528" s="3">
        <f>IF(($A528-Ft!C$2)&lt;0,Ft!C$3*((1-Ft!C$6)/(1+Ft!C$37*($A528-Ft!C$2)^2)+Ft!C$6*EXP(Ft!C$38*($A528-Ft!C$2)^2)),Ft!C$3*((1-Ft!C$7)/(1+Ft!C$39*($A528-Ft!C$2)^2)+Ft!C$7*EXP(Ft!C$40*($A528-Ft!C$2)^2)))</f>
        <v>54.868153260677538</v>
      </c>
      <c r="H528" s="3">
        <f>IF(($A528-Ft!D$2)&lt;0,Ft!D$3*((1-Ft!D$6)/(1+Ft!D$37*($A528-Ft!D$2)^2)+Ft!D$6*EXP(Ft!D$38*($A528-Ft!D$2)^2)),Ft!D$3*((1-Ft!D$7)/(1+Ft!D$39*($A528-Ft!D$2)^2)+Ft!D$7*EXP(Ft!D$40*($A528-Ft!D$2)^2)))</f>
        <v>5.5282524184662744E-115</v>
      </c>
      <c r="I528" s="3">
        <f>IF(($A528-Ft!E$2)&lt;0,Ft!E$3*((1-Ft!E$6)/(1+Ft!E$37*($A528-Ft!E$2)^2)+Ft!E$6*EXP(Ft!E$38*($A528-Ft!E$2)^2)),Ft!E$3*((1-Ft!E$7)/(1+Ft!E$39*($A528-Ft!E$2)^2)+Ft!E$7*EXP(Ft!E$40*($A528-Ft!E$2)^2)))</f>
        <v>49.978417187296806</v>
      </c>
      <c r="J528" s="3">
        <f>IF(($A528-Ft!F$2)&lt;0,Ft!F$3*((1-Ft!F$6)/(1+Ft!F$37*($A528-Ft!F$2)^2)+Ft!F$6*EXP(Ft!F$38*($A528-Ft!F$2)^2)),Ft!F$3*((1-Ft!F$7)/(1+Ft!F$39*($A528-Ft!F$2)^2)+Ft!F$7*EXP(Ft!F$40*($A528-Ft!F$2)^2)))</f>
        <v>114.06790750570819</v>
      </c>
      <c r="K528" s="3">
        <f>IF(($A528-Ft!G$2)&lt;0,Ft!G$3*((1-Ft!G$6)/(1+Ft!G$37*($A528-Ft!G$2)^2)+Ft!G$6*EXP(Ft!G$38*($A528-Ft!G$2)^2)),Ft!G$3*((1-Ft!G$7)/(1+Ft!G$39*($A528-Ft!G$2)^2)+Ft!G$7*EXP(Ft!G$40*($A528-Ft!G$2)^2)))</f>
        <v>8.9296750120730309E-2</v>
      </c>
      <c r="L528" s="3">
        <f>IF(($A528-Ft!H$2)&lt;0,Ft!H$3*((1-Ft!H$6)/(1+Ft!H$37*($A528-Ft!H$2)^2)+Ft!H$6*EXP(Ft!H$38*($A528-Ft!H$2)^2)),Ft!H$3*((1-Ft!H$7)/(1+Ft!H$39*($A528-Ft!H$2)^2)+Ft!H$7*EXP(Ft!H$40*($A528-Ft!H$2)^2)))</f>
        <v>0</v>
      </c>
      <c r="M528" s="3">
        <f>IF(($A528-Ft!I$2)&lt;0,Ft!I$3*((1-Ft!I$6)/(1+Ft!I$37*($A528-Ft!I$2)^2)+Ft!I$6*EXP(Ft!I$38*($A528-Ft!I$2)^2)),Ft!I$3*((1-Ft!I$7)/(1+Ft!I$39*($A528-Ft!I$2)^2)+Ft!I$7*EXP(Ft!I$40*($A528-Ft!I$2)^2)))</f>
        <v>0</v>
      </c>
      <c r="N528" s="3">
        <f>IF(($A528-Ft!J$2)&lt;0,Ft!J$3*((1-Ft!J$6)/(1+Ft!J$37*($A528-Ft!J$2)^2)+Ft!J$6*EXP(Ft!J$38*($A528-Ft!J$2)^2)),Ft!J$3*((1-Ft!J$7)/(1+Ft!J$39*($A528-Ft!J$2)^2)+Ft!J$7*EXP(Ft!J$40*($A528-Ft!J$2)^2)))</f>
        <v>0</v>
      </c>
      <c r="O528" s="3">
        <f>IF(($A528-Ft!K$2)&lt;0,Ft!K$3*((1-Ft!K$6)/(1+Ft!K$37*($A528-Ft!K$2)^2)+Ft!K$6*EXP(Ft!K$38*($A528-Ft!K$2)^2)),Ft!K$3*((1-Ft!K$7)/(1+Ft!K$39*($A528-Ft!K$2)^2)+Ft!K$7*EXP(Ft!K$40*($A528-Ft!K$2)^2)))</f>
        <v>0</v>
      </c>
      <c r="P528"/>
      <c r="Q528"/>
    </row>
    <row r="529" spans="1:17">
      <c r="A529" s="20">
        <v>1055</v>
      </c>
      <c r="B529" s="29">
        <v>22.669903762195048</v>
      </c>
      <c r="C529" s="7">
        <f t="shared" si="17"/>
        <v>22.492794885629102</v>
      </c>
      <c r="D529" s="3">
        <f t="shared" si="16"/>
        <v>3.1367554158451369E-2</v>
      </c>
      <c r="E529" s="3">
        <f>Ft!$B$12+Ft!$B$14*(Data!A529-Vars!$B$3)</f>
        <v>-200</v>
      </c>
      <c r="F529" s="3">
        <f>IF(($A529-Ft!B$2)&lt;0,Ft!B$3*((1-Ft!B$6)/(1+Ft!B$37*($A529-Ft!B$2)^2)+Ft!B$6*EXP(Ft!B$38*($A529-Ft!B$2)^2)),Ft!B$3*((1-Ft!B$7)/(1+Ft!B$39*($A529-Ft!B$2)^2)+Ft!B$7*EXP(Ft!B$40*($A529-Ft!B$2)^2)))</f>
        <v>3.6994010316717922</v>
      </c>
      <c r="G529" s="3">
        <f>IF(($A529-Ft!C$2)&lt;0,Ft!C$3*((1-Ft!C$6)/(1+Ft!C$37*($A529-Ft!C$2)^2)+Ft!C$6*EXP(Ft!C$38*($A529-Ft!C$2)^2)),Ft!C$3*((1-Ft!C$7)/(1+Ft!C$39*($A529-Ft!C$2)^2)+Ft!C$7*EXP(Ft!C$40*($A529-Ft!C$2)^2)))</f>
        <v>54.83135911586816</v>
      </c>
      <c r="H529" s="3">
        <f>IF(($A529-Ft!D$2)&lt;0,Ft!D$3*((1-Ft!D$6)/(1+Ft!D$37*($A529-Ft!D$2)^2)+Ft!D$6*EXP(Ft!D$38*($A529-Ft!D$2)^2)),Ft!D$3*((1-Ft!D$7)/(1+Ft!D$39*($A529-Ft!D$2)^2)+Ft!D$7*EXP(Ft!D$40*($A529-Ft!D$2)^2)))</f>
        <v>1.0014009963568935E-115</v>
      </c>
      <c r="I529" s="3">
        <f>IF(($A529-Ft!E$2)&lt;0,Ft!E$3*((1-Ft!E$6)/(1+Ft!E$37*($A529-Ft!E$2)^2)+Ft!E$6*EXP(Ft!E$38*($A529-Ft!E$2)^2)),Ft!E$3*((1-Ft!E$7)/(1+Ft!E$39*($A529-Ft!E$2)^2)+Ft!E$7*EXP(Ft!E$40*($A529-Ft!E$2)^2)))</f>
        <v>49.496608696591203</v>
      </c>
      <c r="J529" s="3">
        <f>IF(($A529-Ft!F$2)&lt;0,Ft!F$3*((1-Ft!F$6)/(1+Ft!F$37*($A529-Ft!F$2)^2)+Ft!F$6*EXP(Ft!F$38*($A529-Ft!F$2)^2)),Ft!F$3*((1-Ft!F$7)/(1+Ft!F$39*($A529-Ft!F$2)^2)+Ft!F$7*EXP(Ft!F$40*($A529-Ft!F$2)^2)))</f>
        <v>114.37930782819504</v>
      </c>
      <c r="K529" s="3">
        <f>IF(($A529-Ft!G$2)&lt;0,Ft!G$3*((1-Ft!G$6)/(1+Ft!G$37*($A529-Ft!G$2)^2)+Ft!G$6*EXP(Ft!G$38*($A529-Ft!G$2)^2)),Ft!G$3*((1-Ft!G$7)/(1+Ft!G$39*($A529-Ft!G$2)^2)+Ft!G$7*EXP(Ft!G$40*($A529-Ft!G$2)^2)))</f>
        <v>8.6118213302904312E-2</v>
      </c>
      <c r="L529" s="3">
        <f>IF(($A529-Ft!H$2)&lt;0,Ft!H$3*((1-Ft!H$6)/(1+Ft!H$37*($A529-Ft!H$2)^2)+Ft!H$6*EXP(Ft!H$38*($A529-Ft!H$2)^2)),Ft!H$3*((1-Ft!H$7)/(1+Ft!H$39*($A529-Ft!H$2)^2)+Ft!H$7*EXP(Ft!H$40*($A529-Ft!H$2)^2)))</f>
        <v>0</v>
      </c>
      <c r="M529" s="3">
        <f>IF(($A529-Ft!I$2)&lt;0,Ft!I$3*((1-Ft!I$6)/(1+Ft!I$37*($A529-Ft!I$2)^2)+Ft!I$6*EXP(Ft!I$38*($A529-Ft!I$2)^2)),Ft!I$3*((1-Ft!I$7)/(1+Ft!I$39*($A529-Ft!I$2)^2)+Ft!I$7*EXP(Ft!I$40*($A529-Ft!I$2)^2)))</f>
        <v>0</v>
      </c>
      <c r="N529" s="3">
        <f>IF(($A529-Ft!J$2)&lt;0,Ft!J$3*((1-Ft!J$6)/(1+Ft!J$37*($A529-Ft!J$2)^2)+Ft!J$6*EXP(Ft!J$38*($A529-Ft!J$2)^2)),Ft!J$3*((1-Ft!J$7)/(1+Ft!J$39*($A529-Ft!J$2)^2)+Ft!J$7*EXP(Ft!J$40*($A529-Ft!J$2)^2)))</f>
        <v>0</v>
      </c>
      <c r="O529" s="3">
        <f>IF(($A529-Ft!K$2)&lt;0,Ft!K$3*((1-Ft!K$6)/(1+Ft!K$37*($A529-Ft!K$2)^2)+Ft!K$6*EXP(Ft!K$38*($A529-Ft!K$2)^2)),Ft!K$3*((1-Ft!K$7)/(1+Ft!K$39*($A529-Ft!K$2)^2)+Ft!K$7*EXP(Ft!K$40*($A529-Ft!K$2)^2)))</f>
        <v>0</v>
      </c>
      <c r="P529"/>
      <c r="Q529"/>
    </row>
    <row r="530" spans="1:17">
      <c r="A530" s="20">
        <v>1057</v>
      </c>
      <c r="B530" s="29">
        <v>22.397908082912849</v>
      </c>
      <c r="C530" s="7">
        <f t="shared" si="17"/>
        <v>22.238363389606381</v>
      </c>
      <c r="D530" s="3">
        <f t="shared" si="16"/>
        <v>2.5454509162255123E-2</v>
      </c>
      <c r="E530" s="3">
        <f>Ft!$B$12+Ft!$B$14*(Data!A530-Vars!$B$3)</f>
        <v>-200</v>
      </c>
      <c r="F530" s="3">
        <f>IF(($A530-Ft!B$2)&lt;0,Ft!B$3*((1-Ft!B$6)/(1+Ft!B$37*($A530-Ft!B$2)^2)+Ft!B$6*EXP(Ft!B$38*($A530-Ft!B$2)^2)),Ft!B$3*((1-Ft!B$7)/(1+Ft!B$39*($A530-Ft!B$2)^2)+Ft!B$7*EXP(Ft!B$40*($A530-Ft!B$2)^2)))</f>
        <v>3.6545630999984957</v>
      </c>
      <c r="G530" s="3">
        <f>IF(($A530-Ft!C$2)&lt;0,Ft!C$3*((1-Ft!C$6)/(1+Ft!C$37*($A530-Ft!C$2)^2)+Ft!C$6*EXP(Ft!C$38*($A530-Ft!C$2)^2)),Ft!C$3*((1-Ft!C$7)/(1+Ft!C$39*($A530-Ft!C$2)^2)+Ft!C$7*EXP(Ft!C$40*($A530-Ft!C$2)^2)))</f>
        <v>54.794105494478281</v>
      </c>
      <c r="H530" s="3">
        <f>IF(($A530-Ft!D$2)&lt;0,Ft!D$3*((1-Ft!D$6)/(1+Ft!D$37*($A530-Ft!D$2)^2)+Ft!D$6*EXP(Ft!D$38*($A530-Ft!D$2)^2)),Ft!D$3*((1-Ft!D$7)/(1+Ft!D$39*($A530-Ft!D$2)^2)+Ft!D$7*EXP(Ft!D$40*($A530-Ft!D$2)^2)))</f>
        <v>1.8039822532538863E-116</v>
      </c>
      <c r="I530" s="3">
        <f>IF(($A530-Ft!E$2)&lt;0,Ft!E$3*((1-Ft!E$6)/(1+Ft!E$37*($A530-Ft!E$2)^2)+Ft!E$6*EXP(Ft!E$38*($A530-Ft!E$2)^2)),Ft!E$3*((1-Ft!E$7)/(1+Ft!E$39*($A530-Ft!E$2)^2)+Ft!E$7*EXP(Ft!E$40*($A530-Ft!E$2)^2)))</f>
        <v>49.016602865621167</v>
      </c>
      <c r="J530" s="3">
        <f>IF(($A530-Ft!F$2)&lt;0,Ft!F$3*((1-Ft!F$6)/(1+Ft!F$37*($A530-Ft!F$2)^2)+Ft!F$6*EXP(Ft!F$38*($A530-Ft!F$2)^2)),Ft!F$3*((1-Ft!F$7)/(1+Ft!F$39*($A530-Ft!F$2)^2)+Ft!F$7*EXP(Ft!F$40*($A530-Ft!F$2)^2)))</f>
        <v>114.69004773265262</v>
      </c>
      <c r="K530" s="3">
        <f>IF(($A530-Ft!G$2)&lt;0,Ft!G$3*((1-Ft!G$6)/(1+Ft!G$37*($A530-Ft!G$2)^2)+Ft!G$6*EXP(Ft!G$38*($A530-Ft!G$2)^2)),Ft!G$3*((1-Ft!G$7)/(1+Ft!G$39*($A530-Ft!G$2)^2)+Ft!G$7*EXP(Ft!G$40*($A530-Ft!G$2)^2)))</f>
        <v>8.3044196855826397E-2</v>
      </c>
      <c r="L530" s="3">
        <f>IF(($A530-Ft!H$2)&lt;0,Ft!H$3*((1-Ft!H$6)/(1+Ft!H$37*($A530-Ft!H$2)^2)+Ft!H$6*EXP(Ft!H$38*($A530-Ft!H$2)^2)),Ft!H$3*((1-Ft!H$7)/(1+Ft!H$39*($A530-Ft!H$2)^2)+Ft!H$7*EXP(Ft!H$40*($A530-Ft!H$2)^2)))</f>
        <v>0</v>
      </c>
      <c r="M530" s="3">
        <f>IF(($A530-Ft!I$2)&lt;0,Ft!I$3*((1-Ft!I$6)/(1+Ft!I$37*($A530-Ft!I$2)^2)+Ft!I$6*EXP(Ft!I$38*($A530-Ft!I$2)^2)),Ft!I$3*((1-Ft!I$7)/(1+Ft!I$39*($A530-Ft!I$2)^2)+Ft!I$7*EXP(Ft!I$40*($A530-Ft!I$2)^2)))</f>
        <v>0</v>
      </c>
      <c r="N530" s="3">
        <f>IF(($A530-Ft!J$2)&lt;0,Ft!J$3*((1-Ft!J$6)/(1+Ft!J$37*($A530-Ft!J$2)^2)+Ft!J$6*EXP(Ft!J$38*($A530-Ft!J$2)^2)),Ft!J$3*((1-Ft!J$7)/(1+Ft!J$39*($A530-Ft!J$2)^2)+Ft!J$7*EXP(Ft!J$40*($A530-Ft!J$2)^2)))</f>
        <v>0</v>
      </c>
      <c r="O530" s="3">
        <f>IF(($A530-Ft!K$2)&lt;0,Ft!K$3*((1-Ft!K$6)/(1+Ft!K$37*($A530-Ft!K$2)^2)+Ft!K$6*EXP(Ft!K$38*($A530-Ft!K$2)^2)),Ft!K$3*((1-Ft!K$7)/(1+Ft!K$39*($A530-Ft!K$2)^2)+Ft!K$7*EXP(Ft!K$40*($A530-Ft!K$2)^2)))</f>
        <v>0</v>
      </c>
      <c r="P530"/>
      <c r="Q530"/>
    </row>
    <row r="531" spans="1:17">
      <c r="A531" s="20">
        <v>1059</v>
      </c>
      <c r="B531" s="29">
        <v>22.126608004412844</v>
      </c>
      <c r="C531" s="7">
        <f t="shared" si="17"/>
        <v>21.985219506916312</v>
      </c>
      <c r="D531" s="3">
        <f t="shared" si="16"/>
        <v>1.9990707224326845E-2</v>
      </c>
      <c r="E531" s="3">
        <f>Ft!$B$12+Ft!$B$14*(Data!A531-Vars!$B$3)</f>
        <v>-200</v>
      </c>
      <c r="F531" s="3">
        <f>IF(($A531-Ft!B$2)&lt;0,Ft!B$3*((1-Ft!B$6)/(1+Ft!B$37*($A531-Ft!B$2)^2)+Ft!B$6*EXP(Ft!B$38*($A531-Ft!B$2)^2)),Ft!B$3*((1-Ft!B$7)/(1+Ft!B$39*($A531-Ft!B$2)^2)+Ft!B$7*EXP(Ft!B$40*($A531-Ft!B$2)^2)))</f>
        <v>3.6101997108772101</v>
      </c>
      <c r="G531" s="3">
        <f>IF(($A531-Ft!C$2)&lt;0,Ft!C$3*((1-Ft!C$6)/(1+Ft!C$37*($A531-Ft!C$2)^2)+Ft!C$6*EXP(Ft!C$38*($A531-Ft!C$2)^2)),Ft!C$3*((1-Ft!C$7)/(1+Ft!C$39*($A531-Ft!C$2)^2)+Ft!C$7*EXP(Ft!C$40*($A531-Ft!C$2)^2)))</f>
        <v>54.756393366788892</v>
      </c>
      <c r="H531" s="3">
        <f>IF(($A531-Ft!D$2)&lt;0,Ft!D$3*((1-Ft!D$6)/(1+Ft!D$37*($A531-Ft!D$2)^2)+Ft!D$6*EXP(Ft!D$38*($A531-Ft!D$2)^2)),Ft!D$3*((1-Ft!D$7)/(1+Ft!D$39*($A531-Ft!D$2)^2)+Ft!D$7*EXP(Ft!D$40*($A531-Ft!D$2)^2)))</f>
        <v>3.2319199068421146E-117</v>
      </c>
      <c r="I531" s="3">
        <f>IF(($A531-Ft!E$2)&lt;0,Ft!E$3*((1-Ft!E$6)/(1+Ft!E$37*($A531-Ft!E$2)^2)+Ft!E$6*EXP(Ft!E$38*($A531-Ft!E$2)^2)),Ft!E$3*((1-Ft!E$7)/(1+Ft!E$39*($A531-Ft!E$2)^2)+Ft!E$7*EXP(Ft!E$40*($A531-Ft!E$2)^2)))</f>
        <v>48.538437603952069</v>
      </c>
      <c r="J531" s="3">
        <f>IF(($A531-Ft!F$2)&lt;0,Ft!F$3*((1-Ft!F$6)/(1+Ft!F$37*($A531-Ft!F$2)^2)+Ft!F$6*EXP(Ft!F$38*($A531-Ft!F$2)^2)),Ft!F$3*((1-Ft!F$7)/(1+Ft!F$39*($A531-Ft!F$2)^2)+Ft!F$7*EXP(Ft!F$40*($A531-Ft!F$2)^2)))</f>
        <v>115.00011722867042</v>
      </c>
      <c r="K531" s="3">
        <f>IF(($A531-Ft!G$2)&lt;0,Ft!G$3*((1-Ft!G$6)/(1+Ft!G$37*($A531-Ft!G$2)^2)+Ft!G$6*EXP(Ft!G$38*($A531-Ft!G$2)^2)),Ft!G$3*((1-Ft!G$7)/(1+Ft!G$39*($A531-Ft!G$2)^2)+Ft!G$7*EXP(Ft!G$40*($A531-Ft!G$2)^2)))</f>
        <v>8.0071596627721717E-2</v>
      </c>
      <c r="L531" s="3">
        <f>IF(($A531-Ft!H$2)&lt;0,Ft!H$3*((1-Ft!H$6)/(1+Ft!H$37*($A531-Ft!H$2)^2)+Ft!H$6*EXP(Ft!H$38*($A531-Ft!H$2)^2)),Ft!H$3*((1-Ft!H$7)/(1+Ft!H$39*($A531-Ft!H$2)^2)+Ft!H$7*EXP(Ft!H$40*($A531-Ft!H$2)^2)))</f>
        <v>0</v>
      </c>
      <c r="M531" s="3">
        <f>IF(($A531-Ft!I$2)&lt;0,Ft!I$3*((1-Ft!I$6)/(1+Ft!I$37*($A531-Ft!I$2)^2)+Ft!I$6*EXP(Ft!I$38*($A531-Ft!I$2)^2)),Ft!I$3*((1-Ft!I$7)/(1+Ft!I$39*($A531-Ft!I$2)^2)+Ft!I$7*EXP(Ft!I$40*($A531-Ft!I$2)^2)))</f>
        <v>0</v>
      </c>
      <c r="N531" s="3">
        <f>IF(($A531-Ft!J$2)&lt;0,Ft!J$3*((1-Ft!J$6)/(1+Ft!J$37*($A531-Ft!J$2)^2)+Ft!J$6*EXP(Ft!J$38*($A531-Ft!J$2)^2)),Ft!J$3*((1-Ft!J$7)/(1+Ft!J$39*($A531-Ft!J$2)^2)+Ft!J$7*EXP(Ft!J$40*($A531-Ft!J$2)^2)))</f>
        <v>0</v>
      </c>
      <c r="O531" s="3">
        <f>IF(($A531-Ft!K$2)&lt;0,Ft!K$3*((1-Ft!K$6)/(1+Ft!K$37*($A531-Ft!K$2)^2)+Ft!K$6*EXP(Ft!K$38*($A531-Ft!K$2)^2)),Ft!K$3*((1-Ft!K$7)/(1+Ft!K$39*($A531-Ft!K$2)^2)+Ft!K$7*EXP(Ft!K$40*($A531-Ft!K$2)^2)))</f>
        <v>0</v>
      </c>
      <c r="P531"/>
      <c r="Q531"/>
    </row>
    <row r="532" spans="1:17">
      <c r="A532" s="20">
        <v>1061</v>
      </c>
      <c r="B532" s="29">
        <v>21.85603223482984</v>
      </c>
      <c r="C532" s="7">
        <f t="shared" si="17"/>
        <v>21.733384349070874</v>
      </c>
      <c r="D532" s="3">
        <f t="shared" si="16"/>
        <v>1.5042503881144241E-2</v>
      </c>
      <c r="E532" s="3">
        <f>Ft!$B$12+Ft!$B$14*(Data!A532-Vars!$B$3)</f>
        <v>-200</v>
      </c>
      <c r="F532" s="3">
        <f>IF(($A532-Ft!B$2)&lt;0,Ft!B$3*((1-Ft!B$6)/(1+Ft!B$37*($A532-Ft!B$2)^2)+Ft!B$6*EXP(Ft!B$38*($A532-Ft!B$2)^2)),Ft!B$3*((1-Ft!B$7)/(1+Ft!B$39*($A532-Ft!B$2)^2)+Ft!B$7*EXP(Ft!B$40*($A532-Ft!B$2)^2)))</f>
        <v>3.5663067869622052</v>
      </c>
      <c r="G532" s="3">
        <f>IF(($A532-Ft!C$2)&lt;0,Ft!C$3*((1-Ft!C$6)/(1+Ft!C$37*($A532-Ft!C$2)^2)+Ft!C$6*EXP(Ft!C$38*($A532-Ft!C$2)^2)),Ft!C$3*((1-Ft!C$7)/(1+Ft!C$39*($A532-Ft!C$2)^2)+Ft!C$7*EXP(Ft!C$40*($A532-Ft!C$2)^2)))</f>
        <v>54.718223714566989</v>
      </c>
      <c r="H532" s="3">
        <f>IF(($A532-Ft!D$2)&lt;0,Ft!D$3*((1-Ft!D$6)/(1+Ft!D$37*($A532-Ft!D$2)^2)+Ft!D$6*EXP(Ft!D$38*($A532-Ft!D$2)^2)),Ft!D$3*((1-Ft!D$7)/(1+Ft!D$39*($A532-Ft!D$2)^2)+Ft!D$7*EXP(Ft!D$40*($A532-Ft!D$2)^2)))</f>
        <v>5.7582830034249775E-118</v>
      </c>
      <c r="I532" s="3">
        <f>IF(($A532-Ft!E$2)&lt;0,Ft!E$3*((1-Ft!E$6)/(1+Ft!E$37*($A532-Ft!E$2)^2)+Ft!E$6*EXP(Ft!E$38*($A532-Ft!E$2)^2)),Ft!E$3*((1-Ft!E$7)/(1+Ft!E$39*($A532-Ft!E$2)^2)+Ft!E$7*EXP(Ft!E$40*($A532-Ft!E$2)^2)))</f>
        <v>48.0621501338426</v>
      </c>
      <c r="J532" s="3">
        <f>IF(($A532-Ft!F$2)&lt;0,Ft!F$3*((1-Ft!F$6)/(1+Ft!F$37*($A532-Ft!F$2)^2)+Ft!F$6*EXP(Ft!F$38*($A532-Ft!F$2)^2)),Ft!F$3*((1-Ft!F$7)/(1+Ft!F$39*($A532-Ft!F$2)^2)+Ft!F$7*EXP(Ft!F$40*($A532-Ft!F$2)^2)))</f>
        <v>115.30950632528696</v>
      </c>
      <c r="K532" s="3">
        <f>IF(($A532-Ft!G$2)&lt;0,Ft!G$3*((1-Ft!G$6)/(1+Ft!G$37*($A532-Ft!G$2)^2)+Ft!G$6*EXP(Ft!G$38*($A532-Ft!G$2)^2)),Ft!G$3*((1-Ft!G$7)/(1+Ft!G$39*($A532-Ft!G$2)^2)+Ft!G$7*EXP(Ft!G$40*($A532-Ft!G$2)^2)))</f>
        <v>7.7197388412116735E-2</v>
      </c>
      <c r="L532" s="3">
        <f>IF(($A532-Ft!H$2)&lt;0,Ft!H$3*((1-Ft!H$6)/(1+Ft!H$37*($A532-Ft!H$2)^2)+Ft!H$6*EXP(Ft!H$38*($A532-Ft!H$2)^2)),Ft!H$3*((1-Ft!H$7)/(1+Ft!H$39*($A532-Ft!H$2)^2)+Ft!H$7*EXP(Ft!H$40*($A532-Ft!H$2)^2)))</f>
        <v>0</v>
      </c>
      <c r="M532" s="3">
        <f>IF(($A532-Ft!I$2)&lt;0,Ft!I$3*((1-Ft!I$6)/(1+Ft!I$37*($A532-Ft!I$2)^2)+Ft!I$6*EXP(Ft!I$38*($A532-Ft!I$2)^2)),Ft!I$3*((1-Ft!I$7)/(1+Ft!I$39*($A532-Ft!I$2)^2)+Ft!I$7*EXP(Ft!I$40*($A532-Ft!I$2)^2)))</f>
        <v>0</v>
      </c>
      <c r="N532" s="3">
        <f>IF(($A532-Ft!J$2)&lt;0,Ft!J$3*((1-Ft!J$6)/(1+Ft!J$37*($A532-Ft!J$2)^2)+Ft!J$6*EXP(Ft!J$38*($A532-Ft!J$2)^2)),Ft!J$3*((1-Ft!J$7)/(1+Ft!J$39*($A532-Ft!J$2)^2)+Ft!J$7*EXP(Ft!J$40*($A532-Ft!J$2)^2)))</f>
        <v>0</v>
      </c>
      <c r="O532" s="3">
        <f>IF(($A532-Ft!K$2)&lt;0,Ft!K$3*((1-Ft!K$6)/(1+Ft!K$37*($A532-Ft!K$2)^2)+Ft!K$6*EXP(Ft!K$38*($A532-Ft!K$2)^2)),Ft!K$3*((1-Ft!K$7)/(1+Ft!K$39*($A532-Ft!K$2)^2)+Ft!K$7*EXP(Ft!K$40*($A532-Ft!K$2)^2)))</f>
        <v>0</v>
      </c>
      <c r="P532"/>
      <c r="Q532"/>
    </row>
    <row r="533" spans="1:17">
      <c r="A533" s="20">
        <v>1063</v>
      </c>
      <c r="B533" s="29">
        <v>21.586209338793651</v>
      </c>
      <c r="C533" s="7">
        <f t="shared" si="17"/>
        <v>21.482878450883653</v>
      </c>
      <c r="D533" s="3">
        <f t="shared" si="16"/>
        <v>1.0677272396268502E-2</v>
      </c>
      <c r="E533" s="3">
        <f>Ft!$B$12+Ft!$B$14*(Data!A533-Vars!$B$3)</f>
        <v>-200</v>
      </c>
      <c r="F533" s="3">
        <f>IF(($A533-Ft!B$2)&lt;0,Ft!B$3*((1-Ft!B$6)/(1+Ft!B$37*($A533-Ft!B$2)^2)+Ft!B$6*EXP(Ft!B$38*($A533-Ft!B$2)^2)),Ft!B$3*((1-Ft!B$7)/(1+Ft!B$39*($A533-Ft!B$2)^2)+Ft!B$7*EXP(Ft!B$40*($A533-Ft!B$2)^2)))</f>
        <v>3.5228802736668956</v>
      </c>
      <c r="G533" s="3">
        <f>IF(($A533-Ft!C$2)&lt;0,Ft!C$3*((1-Ft!C$6)/(1+Ft!C$37*($A533-Ft!C$2)^2)+Ft!C$6*EXP(Ft!C$38*($A533-Ft!C$2)^2)),Ft!C$3*((1-Ft!C$7)/(1+Ft!C$39*($A533-Ft!C$2)^2)+Ft!C$7*EXP(Ft!C$40*($A533-Ft!C$2)^2)))</f>
        <v>54.679597531023063</v>
      </c>
      <c r="H533" s="3">
        <f>IF(($A533-Ft!D$2)&lt;0,Ft!D$3*((1-Ft!D$6)/(1+Ft!D$37*($A533-Ft!D$2)^2)+Ft!D$6*EXP(Ft!D$38*($A533-Ft!D$2)^2)),Ft!D$3*((1-Ft!D$7)/(1+Ft!D$39*($A533-Ft!D$2)^2)+Ft!D$7*EXP(Ft!D$40*($A533-Ft!D$2)^2)))</f>
        <v>1.0203038098672125E-118</v>
      </c>
      <c r="I533" s="3">
        <f>IF(($A533-Ft!E$2)&lt;0,Ft!E$3*((1-Ft!E$6)/(1+Ft!E$37*($A533-Ft!E$2)^2)+Ft!E$6*EXP(Ft!E$38*($A533-Ft!E$2)^2)),Ft!E$3*((1-Ft!E$7)/(1+Ft!E$39*($A533-Ft!E$2)^2)+Ft!E$7*EXP(Ft!E$40*($A533-Ft!E$2)^2)))</f>
        <v>47.587776988359209</v>
      </c>
      <c r="J533" s="3">
        <f>IF(($A533-Ft!F$2)&lt;0,Ft!F$3*((1-Ft!F$6)/(1+Ft!F$37*($A533-Ft!F$2)^2)+Ft!F$6*EXP(Ft!F$38*($A533-Ft!F$2)^2)),Ft!F$3*((1-Ft!F$7)/(1+Ft!F$39*($A533-Ft!F$2)^2)+Ft!F$7*EXP(Ft!F$40*($A533-Ft!F$2)^2)))</f>
        <v>115.6182050315153</v>
      </c>
      <c r="K533" s="3">
        <f>IF(($A533-Ft!G$2)&lt;0,Ft!G$3*((1-Ft!G$6)/(1+Ft!G$37*($A533-Ft!G$2)^2)+Ft!G$6*EXP(Ft!G$38*($A533-Ft!G$2)^2)),Ft!G$3*((1-Ft!G$7)/(1+Ft!G$39*($A533-Ft!G$2)^2)+Ft!G$7*EXP(Ft!G$40*($A533-Ft!G$2)^2)))</f>
        <v>7.44186263191918E-2</v>
      </c>
      <c r="L533" s="3">
        <f>IF(($A533-Ft!H$2)&lt;0,Ft!H$3*((1-Ft!H$6)/(1+Ft!H$37*($A533-Ft!H$2)^2)+Ft!H$6*EXP(Ft!H$38*($A533-Ft!H$2)^2)),Ft!H$3*((1-Ft!H$7)/(1+Ft!H$39*($A533-Ft!H$2)^2)+Ft!H$7*EXP(Ft!H$40*($A533-Ft!H$2)^2)))</f>
        <v>0</v>
      </c>
      <c r="M533" s="3">
        <f>IF(($A533-Ft!I$2)&lt;0,Ft!I$3*((1-Ft!I$6)/(1+Ft!I$37*($A533-Ft!I$2)^2)+Ft!I$6*EXP(Ft!I$38*($A533-Ft!I$2)^2)),Ft!I$3*((1-Ft!I$7)/(1+Ft!I$39*($A533-Ft!I$2)^2)+Ft!I$7*EXP(Ft!I$40*($A533-Ft!I$2)^2)))</f>
        <v>0</v>
      </c>
      <c r="N533" s="3">
        <f>IF(($A533-Ft!J$2)&lt;0,Ft!J$3*((1-Ft!J$6)/(1+Ft!J$37*($A533-Ft!J$2)^2)+Ft!J$6*EXP(Ft!J$38*($A533-Ft!J$2)^2)),Ft!J$3*((1-Ft!J$7)/(1+Ft!J$39*($A533-Ft!J$2)^2)+Ft!J$7*EXP(Ft!J$40*($A533-Ft!J$2)^2)))</f>
        <v>0</v>
      </c>
      <c r="O533" s="3">
        <f>IF(($A533-Ft!K$2)&lt;0,Ft!K$3*((1-Ft!K$6)/(1+Ft!K$37*($A533-Ft!K$2)^2)+Ft!K$6*EXP(Ft!K$38*($A533-Ft!K$2)^2)),Ft!K$3*((1-Ft!K$7)/(1+Ft!K$39*($A533-Ft!K$2)^2)+Ft!K$7*EXP(Ft!K$40*($A533-Ft!K$2)^2)))</f>
        <v>0</v>
      </c>
      <c r="P533"/>
      <c r="Q533"/>
    </row>
    <row r="534" spans="1:17">
      <c r="A534" s="20">
        <v>1065</v>
      </c>
      <c r="B534" s="29">
        <v>21.31716773190584</v>
      </c>
      <c r="C534" s="7">
        <f t="shared" si="17"/>
        <v>21.233721767706207</v>
      </c>
      <c r="D534" s="3">
        <f t="shared" si="16"/>
        <v>6.9632289412064723E-3</v>
      </c>
      <c r="E534" s="3">
        <f>Ft!$B$12+Ft!$B$14*(Data!A534-Vars!$B$3)</f>
        <v>-200</v>
      </c>
      <c r="F534" s="3">
        <f>IF(($A534-Ft!B$2)&lt;0,Ft!B$3*((1-Ft!B$6)/(1+Ft!B$37*($A534-Ft!B$2)^2)+Ft!B$6*EXP(Ft!B$38*($A534-Ft!B$2)^2)),Ft!B$3*((1-Ft!B$7)/(1+Ft!B$39*($A534-Ft!B$2)^2)+Ft!B$7*EXP(Ft!B$40*($A534-Ft!B$2)^2)))</f>
        <v>3.4799161391948057</v>
      </c>
      <c r="G534" s="3">
        <f>IF(($A534-Ft!C$2)&lt;0,Ft!C$3*((1-Ft!C$6)/(1+Ft!C$37*($A534-Ft!C$2)^2)+Ft!C$6*EXP(Ft!C$38*($A534-Ft!C$2)^2)),Ft!C$3*((1-Ft!C$7)/(1+Ft!C$39*($A534-Ft!C$2)^2)+Ft!C$7*EXP(Ft!C$40*($A534-Ft!C$2)^2)))</f>
        <v>54.640515820767966</v>
      </c>
      <c r="H534" s="3">
        <f>IF(($A534-Ft!D$2)&lt;0,Ft!D$3*((1-Ft!D$6)/(1+Ft!D$37*($A534-Ft!D$2)^2)+Ft!D$6*EXP(Ft!D$38*($A534-Ft!D$2)^2)),Ft!D$3*((1-Ft!D$7)/(1+Ft!D$39*($A534-Ft!D$2)^2)+Ft!D$7*EXP(Ft!D$40*($A534-Ft!D$2)^2)))</f>
        <v>1.7979189021472463E-119</v>
      </c>
      <c r="I534" s="3">
        <f>IF(($A534-Ft!E$2)&lt;0,Ft!E$3*((1-Ft!E$6)/(1+Ft!E$37*($A534-Ft!E$2)^2)+Ft!E$6*EXP(Ft!E$38*($A534-Ft!E$2)^2)),Ft!E$3*((1-Ft!E$7)/(1+Ft!E$39*($A534-Ft!E$2)^2)+Ft!E$7*EXP(Ft!E$40*($A534-Ft!E$2)^2)))</f>
        <v>47.115354009707779</v>
      </c>
      <c r="J534" s="3">
        <f>IF(($A534-Ft!F$2)&lt;0,Ft!F$3*((1-Ft!F$6)/(1+Ft!F$37*($A534-Ft!F$2)^2)+Ft!F$6*EXP(Ft!F$38*($A534-Ft!F$2)^2)),Ft!F$3*((1-Ft!F$7)/(1+Ft!F$39*($A534-Ft!F$2)^2)+Ft!F$7*EXP(Ft!F$40*($A534-Ft!F$2)^2)))</f>
        <v>115.92620335687005</v>
      </c>
      <c r="K534" s="3">
        <f>IF(($A534-Ft!G$2)&lt;0,Ft!G$3*((1-Ft!G$6)/(1+Ft!G$37*($A534-Ft!G$2)^2)+Ft!G$6*EXP(Ft!G$38*($A534-Ft!G$2)^2)),Ft!G$3*((1-Ft!G$7)/(1+Ft!G$39*($A534-Ft!G$2)^2)+Ft!G$7*EXP(Ft!G$40*($A534-Ft!G$2)^2)))</f>
        <v>7.1732441165602095E-2</v>
      </c>
      <c r="L534" s="3">
        <f>IF(($A534-Ft!H$2)&lt;0,Ft!H$3*((1-Ft!H$6)/(1+Ft!H$37*($A534-Ft!H$2)^2)+Ft!H$6*EXP(Ft!H$38*($A534-Ft!H$2)^2)),Ft!H$3*((1-Ft!H$7)/(1+Ft!H$39*($A534-Ft!H$2)^2)+Ft!H$7*EXP(Ft!H$40*($A534-Ft!H$2)^2)))</f>
        <v>0</v>
      </c>
      <c r="M534" s="3">
        <f>IF(($A534-Ft!I$2)&lt;0,Ft!I$3*((1-Ft!I$6)/(1+Ft!I$37*($A534-Ft!I$2)^2)+Ft!I$6*EXP(Ft!I$38*($A534-Ft!I$2)^2)),Ft!I$3*((1-Ft!I$7)/(1+Ft!I$39*($A534-Ft!I$2)^2)+Ft!I$7*EXP(Ft!I$40*($A534-Ft!I$2)^2)))</f>
        <v>0</v>
      </c>
      <c r="N534" s="3">
        <f>IF(($A534-Ft!J$2)&lt;0,Ft!J$3*((1-Ft!J$6)/(1+Ft!J$37*($A534-Ft!J$2)^2)+Ft!J$6*EXP(Ft!J$38*($A534-Ft!J$2)^2)),Ft!J$3*((1-Ft!J$7)/(1+Ft!J$39*($A534-Ft!J$2)^2)+Ft!J$7*EXP(Ft!J$40*($A534-Ft!J$2)^2)))</f>
        <v>0</v>
      </c>
      <c r="O534" s="3">
        <f>IF(($A534-Ft!K$2)&lt;0,Ft!K$3*((1-Ft!K$6)/(1+Ft!K$37*($A534-Ft!K$2)^2)+Ft!K$6*EXP(Ft!K$38*($A534-Ft!K$2)^2)),Ft!K$3*((1-Ft!K$7)/(1+Ft!K$39*($A534-Ft!K$2)^2)+Ft!K$7*EXP(Ft!K$40*($A534-Ft!K$2)^2)))</f>
        <v>0</v>
      </c>
      <c r="P534"/>
      <c r="Q534"/>
    </row>
    <row r="535" spans="1:17">
      <c r="A535" s="20">
        <v>1067</v>
      </c>
      <c r="B535" s="29">
        <v>21.048935675239193</v>
      </c>
      <c r="C535" s="7">
        <f t="shared" si="17"/>
        <v>20.985933672897104</v>
      </c>
      <c r="D535" s="3">
        <f t="shared" si="16"/>
        <v>3.9692522991124999E-3</v>
      </c>
      <c r="E535" s="3">
        <f>Ft!$B$12+Ft!$B$14*(Data!A535-Vars!$B$3)</f>
        <v>-200</v>
      </c>
      <c r="F535" s="3">
        <f>IF(($A535-Ft!B$2)&lt;0,Ft!B$3*((1-Ft!B$6)/(1+Ft!B$37*($A535-Ft!B$2)^2)+Ft!B$6*EXP(Ft!B$38*($A535-Ft!B$2)^2)),Ft!B$3*((1-Ft!B$7)/(1+Ft!B$39*($A535-Ft!B$2)^2)+Ft!B$7*EXP(Ft!B$40*($A535-Ft!B$2)^2)))</f>
        <v>3.4374103745679792</v>
      </c>
      <c r="G535" s="3">
        <f>IF(($A535-Ft!C$2)&lt;0,Ft!C$3*((1-Ft!C$6)/(1+Ft!C$37*($A535-Ft!C$2)^2)+Ft!C$6*EXP(Ft!C$38*($A535-Ft!C$2)^2)),Ft!C$3*((1-Ft!C$7)/(1+Ft!C$39*($A535-Ft!C$2)^2)+Ft!C$7*EXP(Ft!C$40*($A535-Ft!C$2)^2)))</f>
        <v>54.600979599769381</v>
      </c>
      <c r="H535" s="3">
        <f>IF(($A535-Ft!D$2)&lt;0,Ft!D$3*((1-Ft!D$6)/(1+Ft!D$37*($A535-Ft!D$2)^2)+Ft!D$6*EXP(Ft!D$38*($A535-Ft!D$2)^2)),Ft!D$3*((1-Ft!D$7)/(1+Ft!D$39*($A535-Ft!D$2)^2)+Ft!D$7*EXP(Ft!D$40*($A535-Ft!D$2)^2)))</f>
        <v>3.1507560250100025E-120</v>
      </c>
      <c r="I535" s="3">
        <f>IF(($A535-Ft!E$2)&lt;0,Ft!E$3*((1-Ft!E$6)/(1+Ft!E$37*($A535-Ft!E$2)^2)+Ft!E$6*EXP(Ft!E$38*($A535-Ft!E$2)^2)),Ft!E$3*((1-Ft!E$7)/(1+Ft!E$39*($A535-Ft!E$2)^2)+Ft!E$7*EXP(Ft!E$40*($A535-Ft!E$2)^2)))</f>
        <v>46.644916347781013</v>
      </c>
      <c r="J535" s="3">
        <f>IF(($A535-Ft!F$2)&lt;0,Ft!F$3*((1-Ft!F$6)/(1+Ft!F$37*($A535-Ft!F$2)^2)+Ft!F$6*EXP(Ft!F$38*($A535-Ft!F$2)^2)),Ft!F$3*((1-Ft!F$7)/(1+Ft!F$39*($A535-Ft!F$2)^2)+Ft!F$7*EXP(Ft!F$40*($A535-Ft!F$2)^2)))</f>
        <v>116.23349131189565</v>
      </c>
      <c r="K535" s="3">
        <f>IF(($A535-Ft!G$2)&lt;0,Ft!G$3*((1-Ft!G$6)/(1+Ft!G$37*($A535-Ft!G$2)^2)+Ft!G$6*EXP(Ft!G$38*($A535-Ft!G$2)^2)),Ft!G$3*((1-Ft!G$7)/(1+Ft!G$39*($A535-Ft!G$2)^2)+Ft!G$7*EXP(Ft!G$40*($A535-Ft!G$2)^2)))</f>
        <v>6.9136038883087753E-2</v>
      </c>
      <c r="L535" s="3">
        <f>IF(($A535-Ft!H$2)&lt;0,Ft!H$3*((1-Ft!H$6)/(1+Ft!H$37*($A535-Ft!H$2)^2)+Ft!H$6*EXP(Ft!H$38*($A535-Ft!H$2)^2)),Ft!H$3*((1-Ft!H$7)/(1+Ft!H$39*($A535-Ft!H$2)^2)+Ft!H$7*EXP(Ft!H$40*($A535-Ft!H$2)^2)))</f>
        <v>0</v>
      </c>
      <c r="M535" s="3">
        <f>IF(($A535-Ft!I$2)&lt;0,Ft!I$3*((1-Ft!I$6)/(1+Ft!I$37*($A535-Ft!I$2)^2)+Ft!I$6*EXP(Ft!I$38*($A535-Ft!I$2)^2)),Ft!I$3*((1-Ft!I$7)/(1+Ft!I$39*($A535-Ft!I$2)^2)+Ft!I$7*EXP(Ft!I$40*($A535-Ft!I$2)^2)))</f>
        <v>0</v>
      </c>
      <c r="N535" s="3">
        <f>IF(($A535-Ft!J$2)&lt;0,Ft!J$3*((1-Ft!J$6)/(1+Ft!J$37*($A535-Ft!J$2)^2)+Ft!J$6*EXP(Ft!J$38*($A535-Ft!J$2)^2)),Ft!J$3*((1-Ft!J$7)/(1+Ft!J$39*($A535-Ft!J$2)^2)+Ft!J$7*EXP(Ft!J$40*($A535-Ft!J$2)^2)))</f>
        <v>0</v>
      </c>
      <c r="O535" s="3">
        <f>IF(($A535-Ft!K$2)&lt;0,Ft!K$3*((1-Ft!K$6)/(1+Ft!K$37*($A535-Ft!K$2)^2)+Ft!K$6*EXP(Ft!K$38*($A535-Ft!K$2)^2)),Ft!K$3*((1-Ft!K$7)/(1+Ft!K$39*($A535-Ft!K$2)^2)+Ft!K$7*EXP(Ft!K$40*($A535-Ft!K$2)^2)))</f>
        <v>0</v>
      </c>
      <c r="P535"/>
      <c r="Q535"/>
    </row>
    <row r="536" spans="1:17">
      <c r="A536" s="20">
        <v>1069</v>
      </c>
      <c r="B536" s="29">
        <v>20.781541269860767</v>
      </c>
      <c r="C536" s="7">
        <f t="shared" si="17"/>
        <v>20.739532955523007</v>
      </c>
      <c r="D536" s="3">
        <f t="shared" si="16"/>
        <v>1.7646984735000784E-3</v>
      </c>
      <c r="E536" s="3">
        <f>Ft!$B$12+Ft!$B$14*(Data!A536-Vars!$B$3)</f>
        <v>-200</v>
      </c>
      <c r="F536" s="3">
        <f>IF(($A536-Ft!B$2)&lt;0,Ft!B$3*((1-Ft!B$6)/(1+Ft!B$37*($A536-Ft!B$2)^2)+Ft!B$6*EXP(Ft!B$38*($A536-Ft!B$2)^2)),Ft!B$3*((1-Ft!B$7)/(1+Ft!B$39*($A536-Ft!B$2)^2)+Ft!B$7*EXP(Ft!B$40*($A536-Ft!B$2)^2)))</f>
        <v>3.3953589936529047</v>
      </c>
      <c r="G536" s="3">
        <f>IF(($A536-Ft!C$2)&lt;0,Ft!C$3*((1-Ft!C$6)/(1+Ft!C$37*($A536-Ft!C$2)^2)+Ft!C$6*EXP(Ft!C$38*($A536-Ft!C$2)^2)),Ft!C$3*((1-Ft!C$7)/(1+Ft!C$39*($A536-Ft!C$2)^2)+Ft!C$7*EXP(Ft!C$40*($A536-Ft!C$2)^2)))</f>
        <v>54.560989895307841</v>
      </c>
      <c r="H536" s="3">
        <f>IF(($A536-Ft!D$2)&lt;0,Ft!D$3*((1-Ft!D$6)/(1+Ft!D$37*($A536-Ft!D$2)^2)+Ft!D$6*EXP(Ft!D$38*($A536-Ft!D$2)^2)),Ft!D$3*((1-Ft!D$7)/(1+Ft!D$39*($A536-Ft!D$2)^2)+Ft!D$7*EXP(Ft!D$40*($A536-Ft!D$2)^2)))</f>
        <v>5.4911529360358435E-121</v>
      </c>
      <c r="I536" s="3">
        <f>IF(($A536-Ft!E$2)&lt;0,Ft!E$3*((1-Ft!E$6)/(1+Ft!E$37*($A536-Ft!E$2)^2)+Ft!E$6*EXP(Ft!E$38*($A536-Ft!E$2)^2)),Ft!E$3*((1-Ft!E$7)/(1+Ft!E$39*($A536-Ft!E$2)^2)+Ft!E$7*EXP(Ft!E$40*($A536-Ft!E$2)^2)))</f>
        <v>46.176498458919895</v>
      </c>
      <c r="J536" s="3">
        <f>IF(($A536-Ft!F$2)&lt;0,Ft!F$3*((1-Ft!F$6)/(1+Ft!F$37*($A536-Ft!F$2)^2)+Ft!F$6*EXP(Ft!F$38*($A536-Ft!F$2)^2)),Ft!F$3*((1-Ft!F$7)/(1+Ft!F$39*($A536-Ft!F$2)^2)+Ft!F$7*EXP(Ft!F$40*($A536-Ft!F$2)^2)))</f>
        <v>116.5400589086962</v>
      </c>
      <c r="K536" s="3">
        <f>IF(($A536-Ft!G$2)&lt;0,Ft!G$3*((1-Ft!G$6)/(1+Ft!G$37*($A536-Ft!G$2)^2)+Ft!G$6*EXP(Ft!G$38*($A536-Ft!G$2)^2)),Ft!G$3*((1-Ft!G$7)/(1+Ft!G$39*($A536-Ft!G$2)^2)+Ft!G$7*EXP(Ft!G$40*($A536-Ft!G$2)^2)))</f>
        <v>6.6626698946170848E-2</v>
      </c>
      <c r="L536" s="3">
        <f>IF(($A536-Ft!H$2)&lt;0,Ft!H$3*((1-Ft!H$6)/(1+Ft!H$37*($A536-Ft!H$2)^2)+Ft!H$6*EXP(Ft!H$38*($A536-Ft!H$2)^2)),Ft!H$3*((1-Ft!H$7)/(1+Ft!H$39*($A536-Ft!H$2)^2)+Ft!H$7*EXP(Ft!H$40*($A536-Ft!H$2)^2)))</f>
        <v>0</v>
      </c>
      <c r="M536" s="3">
        <f>IF(($A536-Ft!I$2)&lt;0,Ft!I$3*((1-Ft!I$6)/(1+Ft!I$37*($A536-Ft!I$2)^2)+Ft!I$6*EXP(Ft!I$38*($A536-Ft!I$2)^2)),Ft!I$3*((1-Ft!I$7)/(1+Ft!I$39*($A536-Ft!I$2)^2)+Ft!I$7*EXP(Ft!I$40*($A536-Ft!I$2)^2)))</f>
        <v>0</v>
      </c>
      <c r="N536" s="3">
        <f>IF(($A536-Ft!J$2)&lt;0,Ft!J$3*((1-Ft!J$6)/(1+Ft!J$37*($A536-Ft!J$2)^2)+Ft!J$6*EXP(Ft!J$38*($A536-Ft!J$2)^2)),Ft!J$3*((1-Ft!J$7)/(1+Ft!J$39*($A536-Ft!J$2)^2)+Ft!J$7*EXP(Ft!J$40*($A536-Ft!J$2)^2)))</f>
        <v>0</v>
      </c>
      <c r="O536" s="3">
        <f>IF(($A536-Ft!K$2)&lt;0,Ft!K$3*((1-Ft!K$6)/(1+Ft!K$37*($A536-Ft!K$2)^2)+Ft!K$6*EXP(Ft!K$38*($A536-Ft!K$2)^2)),Ft!K$3*((1-Ft!K$7)/(1+Ft!K$39*($A536-Ft!K$2)^2)+Ft!K$7*EXP(Ft!K$40*($A536-Ft!K$2)^2)))</f>
        <v>0</v>
      </c>
      <c r="P536"/>
      <c r="Q536"/>
    </row>
    <row r="537" spans="1:17">
      <c r="A537" s="20">
        <v>1071</v>
      </c>
      <c r="B537" s="29">
        <v>20.51501245138077</v>
      </c>
      <c r="C537" s="7">
        <f t="shared" si="17"/>
        <v>20.494537818289153</v>
      </c>
      <c r="D537" s="3">
        <f t="shared" si="16"/>
        <v>4.1921060023632022E-4</v>
      </c>
      <c r="E537" s="3">
        <f>Ft!$B$12+Ft!$B$14*(Data!A537-Vars!$B$3)</f>
        <v>-200</v>
      </c>
      <c r="F537" s="3">
        <f>IF(($A537-Ft!B$2)&lt;0,Ft!B$3*((1-Ft!B$6)/(1+Ft!B$37*($A537-Ft!B$2)^2)+Ft!B$6*EXP(Ft!B$38*($A537-Ft!B$2)^2)),Ft!B$3*((1-Ft!B$7)/(1+Ft!B$39*($A537-Ft!B$2)^2)+Ft!B$7*EXP(Ft!B$40*($A537-Ft!B$2)^2)))</f>
        <v>3.3537580331839449</v>
      </c>
      <c r="G537" s="3">
        <f>IF(($A537-Ft!C$2)&lt;0,Ft!C$3*((1-Ft!C$6)/(1+Ft!C$37*($A537-Ft!C$2)^2)+Ft!C$6*EXP(Ft!C$38*($A537-Ft!C$2)^2)),Ft!C$3*((1-Ft!C$7)/(1+Ft!C$39*($A537-Ft!C$2)^2)+Ft!C$7*EXP(Ft!C$40*($A537-Ft!C$2)^2)))</f>
        <v>54.520547745932227</v>
      </c>
      <c r="H537" s="3">
        <f>IF(($A537-Ft!D$2)&lt;0,Ft!D$3*((1-Ft!D$6)/(1+Ft!D$37*($A537-Ft!D$2)^2)+Ft!D$6*EXP(Ft!D$38*($A537-Ft!D$2)^2)),Ft!D$3*((1-Ft!D$7)/(1+Ft!D$39*($A537-Ft!D$2)^2)+Ft!D$7*EXP(Ft!D$40*($A537-Ft!D$2)^2)))</f>
        <v>9.5173576711393386E-122</v>
      </c>
      <c r="I537" s="3">
        <f>IF(($A537-Ft!E$2)&lt;0,Ft!E$3*((1-Ft!E$6)/(1+Ft!E$37*($A537-Ft!E$2)^2)+Ft!E$6*EXP(Ft!E$38*($A537-Ft!E$2)^2)),Ft!E$3*((1-Ft!E$7)/(1+Ft!E$39*($A537-Ft!E$2)^2)+Ft!E$7*EXP(Ft!E$40*($A537-Ft!E$2)^2)))</f>
        <v>45.71013410488753</v>
      </c>
      <c r="J537" s="3">
        <f>IF(($A537-Ft!F$2)&lt;0,Ft!F$3*((1-Ft!F$6)/(1+Ft!F$37*($A537-Ft!F$2)^2)+Ft!F$6*EXP(Ft!F$38*($A537-Ft!F$2)^2)),Ft!F$3*((1-Ft!F$7)/(1+Ft!F$39*($A537-Ft!F$2)^2)+Ft!F$7*EXP(Ft!F$40*($A537-Ft!F$2)^2)))</f>
        <v>116.84589616146626</v>
      </c>
      <c r="K537" s="3">
        <f>IF(($A537-Ft!G$2)&lt;0,Ft!G$3*((1-Ft!G$6)/(1+Ft!G$37*($A537-Ft!G$2)^2)+Ft!G$6*EXP(Ft!G$38*($A537-Ft!G$2)^2)),Ft!G$3*((1-Ft!G$7)/(1+Ft!G$39*($A537-Ft!G$2)^2)+Ft!G$7*EXP(Ft!G$40*($A537-Ft!G$2)^2)))</f>
        <v>6.4201772819211064E-2</v>
      </c>
      <c r="L537" s="3">
        <f>IF(($A537-Ft!H$2)&lt;0,Ft!H$3*((1-Ft!H$6)/(1+Ft!H$37*($A537-Ft!H$2)^2)+Ft!H$6*EXP(Ft!H$38*($A537-Ft!H$2)^2)),Ft!H$3*((1-Ft!H$7)/(1+Ft!H$39*($A537-Ft!H$2)^2)+Ft!H$7*EXP(Ft!H$40*($A537-Ft!H$2)^2)))</f>
        <v>0</v>
      </c>
      <c r="M537" s="3">
        <f>IF(($A537-Ft!I$2)&lt;0,Ft!I$3*((1-Ft!I$6)/(1+Ft!I$37*($A537-Ft!I$2)^2)+Ft!I$6*EXP(Ft!I$38*($A537-Ft!I$2)^2)),Ft!I$3*((1-Ft!I$7)/(1+Ft!I$39*($A537-Ft!I$2)^2)+Ft!I$7*EXP(Ft!I$40*($A537-Ft!I$2)^2)))</f>
        <v>0</v>
      </c>
      <c r="N537" s="3">
        <f>IF(($A537-Ft!J$2)&lt;0,Ft!J$3*((1-Ft!J$6)/(1+Ft!J$37*($A537-Ft!J$2)^2)+Ft!J$6*EXP(Ft!J$38*($A537-Ft!J$2)^2)),Ft!J$3*((1-Ft!J$7)/(1+Ft!J$39*($A537-Ft!J$2)^2)+Ft!J$7*EXP(Ft!J$40*($A537-Ft!J$2)^2)))</f>
        <v>0</v>
      </c>
      <c r="O537" s="3">
        <f>IF(($A537-Ft!K$2)&lt;0,Ft!K$3*((1-Ft!K$6)/(1+Ft!K$37*($A537-Ft!K$2)^2)+Ft!K$6*EXP(Ft!K$38*($A537-Ft!K$2)^2)),Ft!K$3*((1-Ft!K$7)/(1+Ft!K$39*($A537-Ft!K$2)^2)+Ft!K$7*EXP(Ft!K$40*($A537-Ft!K$2)^2)))</f>
        <v>0</v>
      </c>
      <c r="P537"/>
      <c r="Q537"/>
    </row>
    <row r="538" spans="1:17">
      <c r="A538" s="20">
        <v>1073</v>
      </c>
      <c r="B538" s="29">
        <v>20.249376984528197</v>
      </c>
      <c r="C538" s="7">
        <f t="shared" si="17"/>
        <v>20.250965875699169</v>
      </c>
      <c r="D538" s="3">
        <f t="shared" si="16"/>
        <v>2.5245751531915242E-6</v>
      </c>
      <c r="E538" s="3">
        <f>Ft!$B$12+Ft!$B$14*(Data!A538-Vars!$B$3)</f>
        <v>-200</v>
      </c>
      <c r="F538" s="3">
        <f>IF(($A538-Ft!B$2)&lt;0,Ft!B$3*((1-Ft!B$6)/(1+Ft!B$37*($A538-Ft!B$2)^2)+Ft!B$6*EXP(Ft!B$38*($A538-Ft!B$2)^2)),Ft!B$3*((1-Ft!B$7)/(1+Ft!B$39*($A538-Ft!B$2)^2)+Ft!B$7*EXP(Ft!B$40*($A538-Ft!B$2)^2)))</f>
        <v>3.3126035527842901</v>
      </c>
      <c r="G538" s="3">
        <f>IF(($A538-Ft!C$2)&lt;0,Ft!C$3*((1-Ft!C$6)/(1+Ft!C$37*($A538-Ft!C$2)^2)+Ft!C$6*EXP(Ft!C$38*($A538-Ft!C$2)^2)),Ft!C$3*((1-Ft!C$7)/(1+Ft!C$39*($A538-Ft!C$2)^2)+Ft!C$7*EXP(Ft!C$40*($A538-Ft!C$2)^2)))</f>
        <v>54.479654201414817</v>
      </c>
      <c r="H538" s="3">
        <f>IF(($A538-Ft!D$2)&lt;0,Ft!D$3*((1-Ft!D$6)/(1+Ft!D$37*($A538-Ft!D$2)^2)+Ft!D$6*EXP(Ft!D$38*($A538-Ft!D$2)^2)),Ft!D$3*((1-Ft!D$7)/(1+Ft!D$39*($A538-Ft!D$2)^2)+Ft!D$7*EXP(Ft!D$40*($A538-Ft!D$2)^2)))</f>
        <v>1.6404890244859411E-122</v>
      </c>
      <c r="I538" s="3">
        <f>IF(($A538-Ft!E$2)&lt;0,Ft!E$3*((1-Ft!E$6)/(1+Ft!E$37*($A538-Ft!E$2)^2)+Ft!E$6*EXP(Ft!E$38*($A538-Ft!E$2)^2)),Ft!E$3*((1-Ft!E$7)/(1+Ft!E$39*($A538-Ft!E$2)^2)+Ft!E$7*EXP(Ft!E$40*($A538-Ft!E$2)^2)))</f>
        <v>45.245856352053615</v>
      </c>
      <c r="J538" s="3">
        <f>IF(($A538-Ft!F$2)&lt;0,Ft!F$3*((1-Ft!F$6)/(1+Ft!F$37*($A538-Ft!F$2)^2)+Ft!F$6*EXP(Ft!F$38*($A538-Ft!F$2)^2)),Ft!F$3*((1-Ft!F$7)/(1+Ft!F$39*($A538-Ft!F$2)^2)+Ft!F$7*EXP(Ft!F$40*($A538-Ft!F$2)^2)))</f>
        <v>117.15099308702338</v>
      </c>
      <c r="K538" s="3">
        <f>IF(($A538-Ft!G$2)&lt;0,Ft!G$3*((1-Ft!G$6)/(1+Ft!G$37*($A538-Ft!G$2)^2)+Ft!G$6*EXP(Ft!G$38*($A538-Ft!G$2)^2)),Ft!G$3*((1-Ft!G$7)/(1+Ft!G$39*($A538-Ft!G$2)^2)+Ft!G$7*EXP(Ft!G$40*($A538-Ft!G$2)^2)))</f>
        <v>6.1858682423068745E-2</v>
      </c>
      <c r="L538" s="3">
        <f>IF(($A538-Ft!H$2)&lt;0,Ft!H$3*((1-Ft!H$6)/(1+Ft!H$37*($A538-Ft!H$2)^2)+Ft!H$6*EXP(Ft!H$38*($A538-Ft!H$2)^2)),Ft!H$3*((1-Ft!H$7)/(1+Ft!H$39*($A538-Ft!H$2)^2)+Ft!H$7*EXP(Ft!H$40*($A538-Ft!H$2)^2)))</f>
        <v>0</v>
      </c>
      <c r="M538" s="3">
        <f>IF(($A538-Ft!I$2)&lt;0,Ft!I$3*((1-Ft!I$6)/(1+Ft!I$37*($A538-Ft!I$2)^2)+Ft!I$6*EXP(Ft!I$38*($A538-Ft!I$2)^2)),Ft!I$3*((1-Ft!I$7)/(1+Ft!I$39*($A538-Ft!I$2)^2)+Ft!I$7*EXP(Ft!I$40*($A538-Ft!I$2)^2)))</f>
        <v>0</v>
      </c>
      <c r="N538" s="3">
        <f>IF(($A538-Ft!J$2)&lt;0,Ft!J$3*((1-Ft!J$6)/(1+Ft!J$37*($A538-Ft!J$2)^2)+Ft!J$6*EXP(Ft!J$38*($A538-Ft!J$2)^2)),Ft!J$3*((1-Ft!J$7)/(1+Ft!J$39*($A538-Ft!J$2)^2)+Ft!J$7*EXP(Ft!J$40*($A538-Ft!J$2)^2)))</f>
        <v>0</v>
      </c>
      <c r="O538" s="3">
        <f>IF(($A538-Ft!K$2)&lt;0,Ft!K$3*((1-Ft!K$6)/(1+Ft!K$37*($A538-Ft!K$2)^2)+Ft!K$6*EXP(Ft!K$38*($A538-Ft!K$2)^2)),Ft!K$3*((1-Ft!K$7)/(1+Ft!K$39*($A538-Ft!K$2)^2)+Ft!K$7*EXP(Ft!K$40*($A538-Ft!K$2)^2)))</f>
        <v>0</v>
      </c>
      <c r="P538"/>
      <c r="Q538"/>
    </row>
    <row r="539" spans="1:17">
      <c r="A539" s="20">
        <v>1075</v>
      </c>
      <c r="B539" s="29">
        <v>19.984662457755164</v>
      </c>
      <c r="C539" s="7">
        <f t="shared" si="17"/>
        <v>20.008834152441128</v>
      </c>
      <c r="D539" s="3">
        <f t="shared" si="16"/>
        <v>5.8427082399149387E-4</v>
      </c>
      <c r="E539" s="3">
        <f>Ft!$B$12+Ft!$B$14*(Data!A539-Vars!$B$3)</f>
        <v>-200</v>
      </c>
      <c r="F539" s="3">
        <f>IF(($A539-Ft!B$2)&lt;0,Ft!B$3*((1-Ft!B$6)/(1+Ft!B$37*($A539-Ft!B$2)^2)+Ft!B$6*EXP(Ft!B$38*($A539-Ft!B$2)^2)),Ft!B$3*((1-Ft!B$7)/(1+Ft!B$39*($A539-Ft!B$2)^2)+Ft!B$7*EXP(Ft!B$40*($A539-Ft!B$2)^2)))</f>
        <v>3.2718916349845317</v>
      </c>
      <c r="G539" s="3">
        <f>IF(($A539-Ft!C$2)&lt;0,Ft!C$3*((1-Ft!C$6)/(1+Ft!C$37*($A539-Ft!C$2)^2)+Ft!C$6*EXP(Ft!C$38*($A539-Ft!C$2)^2)),Ft!C$3*((1-Ft!C$7)/(1+Ft!C$39*($A539-Ft!C$2)^2)+Ft!C$7*EXP(Ft!C$40*($A539-Ft!C$2)^2)))</f>
        <v>54.438310322705888</v>
      </c>
      <c r="H539" s="3">
        <f>IF(($A539-Ft!D$2)&lt;0,Ft!D$3*((1-Ft!D$6)/(1+Ft!D$37*($A539-Ft!D$2)^2)+Ft!D$6*EXP(Ft!D$38*($A539-Ft!D$2)^2)),Ft!D$3*((1-Ft!D$7)/(1+Ft!D$39*($A539-Ft!D$2)^2)+Ft!D$7*EXP(Ft!D$40*($A539-Ft!D$2)^2)))</f>
        <v>2.8121232724887572E-123</v>
      </c>
      <c r="I539" s="3">
        <f>IF(($A539-Ft!E$2)&lt;0,Ft!E$3*((1-Ft!E$6)/(1+Ft!E$37*($A539-Ft!E$2)^2)+Ft!E$6*EXP(Ft!E$38*($A539-Ft!E$2)^2)),Ft!E$3*((1-Ft!E$7)/(1+Ft!E$39*($A539-Ft!E$2)^2)+Ft!E$7*EXP(Ft!E$40*($A539-Ft!E$2)^2)))</f>
        <v>44.783697570787687</v>
      </c>
      <c r="J539" s="3">
        <f>IF(($A539-Ft!F$2)&lt;0,Ft!F$3*((1-Ft!F$6)/(1+Ft!F$37*($A539-Ft!F$2)^2)+Ft!F$6*EXP(Ft!F$38*($A539-Ft!F$2)^2)),Ft!F$3*((1-Ft!F$7)/(1+Ft!F$39*($A539-Ft!F$2)^2)+Ft!F$7*EXP(Ft!F$40*($A539-Ft!F$2)^2)))</f>
        <v>117.4553397053414</v>
      </c>
      <c r="K539" s="3">
        <f>IF(($A539-Ft!G$2)&lt;0,Ft!G$3*((1-Ft!G$6)/(1+Ft!G$37*($A539-Ft!G$2)^2)+Ft!G$6*EXP(Ft!G$38*($A539-Ft!G$2)^2)),Ft!G$3*((1-Ft!G$7)/(1+Ft!G$39*($A539-Ft!G$2)^2)+Ft!G$7*EXP(Ft!G$40*($A539-Ft!G$2)^2)))</f>
        <v>5.959491862160194E-2</v>
      </c>
      <c r="L539" s="3">
        <f>IF(($A539-Ft!H$2)&lt;0,Ft!H$3*((1-Ft!H$6)/(1+Ft!H$37*($A539-Ft!H$2)^2)+Ft!H$6*EXP(Ft!H$38*($A539-Ft!H$2)^2)),Ft!H$3*((1-Ft!H$7)/(1+Ft!H$39*($A539-Ft!H$2)^2)+Ft!H$7*EXP(Ft!H$40*($A539-Ft!H$2)^2)))</f>
        <v>0</v>
      </c>
      <c r="M539" s="3">
        <f>IF(($A539-Ft!I$2)&lt;0,Ft!I$3*((1-Ft!I$6)/(1+Ft!I$37*($A539-Ft!I$2)^2)+Ft!I$6*EXP(Ft!I$38*($A539-Ft!I$2)^2)),Ft!I$3*((1-Ft!I$7)/(1+Ft!I$39*($A539-Ft!I$2)^2)+Ft!I$7*EXP(Ft!I$40*($A539-Ft!I$2)^2)))</f>
        <v>0</v>
      </c>
      <c r="N539" s="3">
        <f>IF(($A539-Ft!J$2)&lt;0,Ft!J$3*((1-Ft!J$6)/(1+Ft!J$37*($A539-Ft!J$2)^2)+Ft!J$6*EXP(Ft!J$38*($A539-Ft!J$2)^2)),Ft!J$3*((1-Ft!J$7)/(1+Ft!J$39*($A539-Ft!J$2)^2)+Ft!J$7*EXP(Ft!J$40*($A539-Ft!J$2)^2)))</f>
        <v>0</v>
      </c>
      <c r="O539" s="3">
        <f>IF(($A539-Ft!K$2)&lt;0,Ft!K$3*((1-Ft!K$6)/(1+Ft!K$37*($A539-Ft!K$2)^2)+Ft!K$6*EXP(Ft!K$38*($A539-Ft!K$2)^2)),Ft!K$3*((1-Ft!K$7)/(1+Ft!K$39*($A539-Ft!K$2)^2)+Ft!K$7*EXP(Ft!K$40*($A539-Ft!K$2)^2)))</f>
        <v>0</v>
      </c>
      <c r="P539"/>
      <c r="Q539"/>
    </row>
    <row r="540" spans="1:17">
      <c r="A540" s="20">
        <v>1077</v>
      </c>
      <c r="B540" s="29">
        <v>19.720896277871034</v>
      </c>
      <c r="C540" s="7">
        <f t="shared" si="17"/>
        <v>19.768159081999325</v>
      </c>
      <c r="D540" s="3">
        <f t="shared" si="16"/>
        <v>2.2337726540691992E-3</v>
      </c>
      <c r="E540" s="3">
        <f>Ft!$B$12+Ft!$B$14*(Data!A540-Vars!$B$3)</f>
        <v>-200</v>
      </c>
      <c r="F540" s="3">
        <f>IF(($A540-Ft!B$2)&lt;0,Ft!B$3*((1-Ft!B$6)/(1+Ft!B$37*($A540-Ft!B$2)^2)+Ft!B$6*EXP(Ft!B$38*($A540-Ft!B$2)^2)),Ft!B$3*((1-Ft!B$7)/(1+Ft!B$39*($A540-Ft!B$2)^2)+Ft!B$7*EXP(Ft!B$40*($A540-Ft!B$2)^2)))</f>
        <v>3.2316183852387876</v>
      </c>
      <c r="G540" s="3">
        <f>IF(($A540-Ft!C$2)&lt;0,Ft!C$3*((1-Ft!C$6)/(1+Ft!C$37*($A540-Ft!C$2)^2)+Ft!C$6*EXP(Ft!C$38*($A540-Ft!C$2)^2)),Ft!C$3*((1-Ft!C$7)/(1+Ft!C$39*($A540-Ft!C$2)^2)+Ft!C$7*EXP(Ft!C$40*($A540-Ft!C$2)^2)))</f>
        <v>54.396517181887866</v>
      </c>
      <c r="H540" s="3">
        <f>IF(($A540-Ft!D$2)&lt;0,Ft!D$3*((1-Ft!D$6)/(1+Ft!D$37*($A540-Ft!D$2)^2)+Ft!D$6*EXP(Ft!D$38*($A540-Ft!D$2)^2)),Ft!D$3*((1-Ft!D$7)/(1+Ft!D$39*($A540-Ft!D$2)^2)+Ft!D$7*EXP(Ft!D$40*($A540-Ft!D$2)^2)))</f>
        <v>4.7940158660919014E-124</v>
      </c>
      <c r="I540" s="3">
        <f>IF(($A540-Ft!E$2)&lt;0,Ft!E$3*((1-Ft!E$6)/(1+Ft!E$37*($A540-Ft!E$2)^2)+Ft!E$6*EXP(Ft!E$38*($A540-Ft!E$2)^2)),Ft!E$3*((1-Ft!E$7)/(1+Ft!E$39*($A540-Ft!E$2)^2)+Ft!E$7*EXP(Ft!E$40*($A540-Ft!E$2)^2)))</f>
        <v>44.323689435059244</v>
      </c>
      <c r="J540" s="3">
        <f>IF(($A540-Ft!F$2)&lt;0,Ft!F$3*((1-Ft!F$6)/(1+Ft!F$37*($A540-Ft!F$2)^2)+Ft!F$6*EXP(Ft!F$38*($A540-Ft!F$2)^2)),Ft!F$3*((1-Ft!F$7)/(1+Ft!F$39*($A540-Ft!F$2)^2)+Ft!F$7*EXP(Ft!F$40*($A540-Ft!F$2)^2)))</f>
        <v>117.75892604008523</v>
      </c>
      <c r="K540" s="3">
        <f>IF(($A540-Ft!G$2)&lt;0,Ft!G$3*((1-Ft!G$6)/(1+Ft!G$37*($A540-Ft!G$2)^2)+Ft!G$6*EXP(Ft!G$38*($A540-Ft!G$2)^2)),Ft!G$3*((1-Ft!G$7)/(1+Ft!G$39*($A540-Ft!G$2)^2)+Ft!G$7*EXP(Ft!G$40*($A540-Ft!G$2)^2)))</f>
        <v>5.7408039728199439E-2</v>
      </c>
      <c r="L540" s="3">
        <f>IF(($A540-Ft!H$2)&lt;0,Ft!H$3*((1-Ft!H$6)/(1+Ft!H$37*($A540-Ft!H$2)^2)+Ft!H$6*EXP(Ft!H$38*($A540-Ft!H$2)^2)),Ft!H$3*((1-Ft!H$7)/(1+Ft!H$39*($A540-Ft!H$2)^2)+Ft!H$7*EXP(Ft!H$40*($A540-Ft!H$2)^2)))</f>
        <v>0</v>
      </c>
      <c r="M540" s="3">
        <f>IF(($A540-Ft!I$2)&lt;0,Ft!I$3*((1-Ft!I$6)/(1+Ft!I$37*($A540-Ft!I$2)^2)+Ft!I$6*EXP(Ft!I$38*($A540-Ft!I$2)^2)),Ft!I$3*((1-Ft!I$7)/(1+Ft!I$39*($A540-Ft!I$2)^2)+Ft!I$7*EXP(Ft!I$40*($A540-Ft!I$2)^2)))</f>
        <v>0</v>
      </c>
      <c r="N540" s="3">
        <f>IF(($A540-Ft!J$2)&lt;0,Ft!J$3*((1-Ft!J$6)/(1+Ft!J$37*($A540-Ft!J$2)^2)+Ft!J$6*EXP(Ft!J$38*($A540-Ft!J$2)^2)),Ft!J$3*((1-Ft!J$7)/(1+Ft!J$39*($A540-Ft!J$2)^2)+Ft!J$7*EXP(Ft!J$40*($A540-Ft!J$2)^2)))</f>
        <v>0</v>
      </c>
      <c r="O540" s="3">
        <f>IF(($A540-Ft!K$2)&lt;0,Ft!K$3*((1-Ft!K$6)/(1+Ft!K$37*($A540-Ft!K$2)^2)+Ft!K$6*EXP(Ft!K$38*($A540-Ft!K$2)^2)),Ft!K$3*((1-Ft!K$7)/(1+Ft!K$39*($A540-Ft!K$2)^2)+Ft!K$7*EXP(Ft!K$40*($A540-Ft!K$2)^2)))</f>
        <v>0</v>
      </c>
      <c r="P540"/>
      <c r="Q540"/>
    </row>
    <row r="541" spans="1:17">
      <c r="A541" s="20">
        <v>1079</v>
      </c>
      <c r="B541" s="29">
        <v>19.458105664708413</v>
      </c>
      <c r="C541" s="7">
        <f t="shared" si="17"/>
        <v>19.528956505489457</v>
      </c>
      <c r="D541" s="3">
        <f t="shared" si="16"/>
        <v>5.0198416393809706E-3</v>
      </c>
      <c r="E541" s="3">
        <f>Ft!$B$12+Ft!$B$14*(Data!A541-Vars!$B$3)</f>
        <v>-200</v>
      </c>
      <c r="F541" s="3">
        <f>IF(($A541-Ft!B$2)&lt;0,Ft!B$3*((1-Ft!B$6)/(1+Ft!B$37*($A541-Ft!B$2)^2)+Ft!B$6*EXP(Ft!B$38*($A541-Ft!B$2)^2)),Ft!B$3*((1-Ft!B$7)/(1+Ft!B$39*($A541-Ft!B$2)^2)+Ft!B$7*EXP(Ft!B$40*($A541-Ft!B$2)^2)))</f>
        <v>3.1917799319384859</v>
      </c>
      <c r="G541" s="3">
        <f>IF(($A541-Ft!C$2)&lt;0,Ft!C$3*((1-Ft!C$6)/(1+Ft!C$37*($A541-Ft!C$2)^2)+Ft!C$6*EXP(Ft!C$38*($A541-Ft!C$2)^2)),Ft!C$3*((1-Ft!C$7)/(1+Ft!C$39*($A541-Ft!C$2)^2)+Ft!C$7*EXP(Ft!C$40*($A541-Ft!C$2)^2)))</f>
        <v>54.354275862128965</v>
      </c>
      <c r="H541" s="3">
        <f>IF(($A541-Ft!D$2)&lt;0,Ft!D$3*((1-Ft!D$6)/(1+Ft!D$37*($A541-Ft!D$2)^2)+Ft!D$6*EXP(Ft!D$38*($A541-Ft!D$2)^2)),Ft!D$3*((1-Ft!D$7)/(1+Ft!D$39*($A541-Ft!D$2)^2)+Ft!D$7*EXP(Ft!D$40*($A541-Ft!D$2)^2)))</f>
        <v>8.1277187431839379E-125</v>
      </c>
      <c r="I541" s="3">
        <f>IF(($A541-Ft!E$2)&lt;0,Ft!E$3*((1-Ft!E$6)/(1+Ft!E$37*($A541-Ft!E$2)^2)+Ft!E$6*EXP(Ft!E$38*($A541-Ft!E$2)^2)),Ft!E$3*((1-Ft!E$7)/(1+Ft!E$39*($A541-Ft!E$2)^2)+Ft!E$7*EXP(Ft!E$40*($A541-Ft!E$2)^2)))</f>
        <v>43.865862922242826</v>
      </c>
      <c r="J541" s="3">
        <f>IF(($A541-Ft!F$2)&lt;0,Ft!F$3*((1-Ft!F$6)/(1+Ft!F$37*($A541-Ft!F$2)^2)+Ft!F$6*EXP(Ft!F$38*($A541-Ft!F$2)^2)),Ft!F$3*((1-Ft!F$7)/(1+Ft!F$39*($A541-Ft!F$2)^2)+Ft!F$7*EXP(Ft!F$40*($A541-Ft!F$2)^2)))</f>
        <v>118.06174211914664</v>
      </c>
      <c r="K541" s="3">
        <f>IF(($A541-Ft!G$2)&lt;0,Ft!G$3*((1-Ft!G$6)/(1+Ft!G$37*($A541-Ft!G$2)^2)+Ft!G$6*EXP(Ft!G$38*($A541-Ft!G$2)^2)),Ft!G$3*((1-Ft!G$7)/(1+Ft!G$39*($A541-Ft!G$2)^2)+Ft!G$7*EXP(Ft!G$40*($A541-Ft!G$2)^2)))</f>
        <v>5.5295670032532954E-2</v>
      </c>
      <c r="L541" s="3">
        <f>IF(($A541-Ft!H$2)&lt;0,Ft!H$3*((1-Ft!H$6)/(1+Ft!H$37*($A541-Ft!H$2)^2)+Ft!H$6*EXP(Ft!H$38*($A541-Ft!H$2)^2)),Ft!H$3*((1-Ft!H$7)/(1+Ft!H$39*($A541-Ft!H$2)^2)+Ft!H$7*EXP(Ft!H$40*($A541-Ft!H$2)^2)))</f>
        <v>0</v>
      </c>
      <c r="M541" s="3">
        <f>IF(($A541-Ft!I$2)&lt;0,Ft!I$3*((1-Ft!I$6)/(1+Ft!I$37*($A541-Ft!I$2)^2)+Ft!I$6*EXP(Ft!I$38*($A541-Ft!I$2)^2)),Ft!I$3*((1-Ft!I$7)/(1+Ft!I$39*($A541-Ft!I$2)^2)+Ft!I$7*EXP(Ft!I$40*($A541-Ft!I$2)^2)))</f>
        <v>0</v>
      </c>
      <c r="N541" s="3">
        <f>IF(($A541-Ft!J$2)&lt;0,Ft!J$3*((1-Ft!J$6)/(1+Ft!J$37*($A541-Ft!J$2)^2)+Ft!J$6*EXP(Ft!J$38*($A541-Ft!J$2)^2)),Ft!J$3*((1-Ft!J$7)/(1+Ft!J$39*($A541-Ft!J$2)^2)+Ft!J$7*EXP(Ft!J$40*($A541-Ft!J$2)^2)))</f>
        <v>0</v>
      </c>
      <c r="O541" s="3">
        <f>IF(($A541-Ft!K$2)&lt;0,Ft!K$3*((1-Ft!K$6)/(1+Ft!K$37*($A541-Ft!K$2)^2)+Ft!K$6*EXP(Ft!K$38*($A541-Ft!K$2)^2)),Ft!K$3*((1-Ft!K$7)/(1+Ft!K$39*($A541-Ft!K$2)^2)+Ft!K$7*EXP(Ft!K$40*($A541-Ft!K$2)^2)))</f>
        <v>0</v>
      </c>
      <c r="P541"/>
      <c r="Q541"/>
    </row>
    <row r="542" spans="1:17">
      <c r="A542" s="20">
        <v>1081</v>
      </c>
      <c r="B542" s="29">
        <v>19.196317645821978</v>
      </c>
      <c r="C542" s="7">
        <f t="shared" si="17"/>
        <v>19.291241670715117</v>
      </c>
      <c r="D542" s="3">
        <f t="shared" si="16"/>
        <v>9.0105705019132513E-3</v>
      </c>
      <c r="E542" s="3">
        <f>Ft!$B$12+Ft!$B$14*(Data!A542-Vars!$B$3)</f>
        <v>-200</v>
      </c>
      <c r="F542" s="3">
        <f>IF(($A542-Ft!B$2)&lt;0,Ft!B$3*((1-Ft!B$6)/(1+Ft!B$37*($A542-Ft!B$2)^2)+Ft!B$6*EXP(Ft!B$38*($A542-Ft!B$2)^2)),Ft!B$3*((1-Ft!B$7)/(1+Ft!B$39*($A542-Ft!B$2)^2)+Ft!B$7*EXP(Ft!B$40*($A542-Ft!B$2)^2)))</f>
        <v>3.1523724264237818</v>
      </c>
      <c r="G542" s="3">
        <f>IF(($A542-Ft!C$2)&lt;0,Ft!C$3*((1-Ft!C$6)/(1+Ft!C$37*($A542-Ft!C$2)^2)+Ft!C$6*EXP(Ft!C$38*($A542-Ft!C$2)^2)),Ft!C$3*((1-Ft!C$7)/(1+Ft!C$39*($A542-Ft!C$2)^2)+Ft!C$7*EXP(Ft!C$40*($A542-Ft!C$2)^2)))</f>
        <v>54.311587457636435</v>
      </c>
      <c r="H542" s="3">
        <f>IF(($A542-Ft!D$2)&lt;0,Ft!D$3*((1-Ft!D$6)/(1+Ft!D$37*($A542-Ft!D$2)^2)+Ft!D$6*EXP(Ft!D$38*($A542-Ft!D$2)^2)),Ft!D$3*((1-Ft!D$7)/(1+Ft!D$39*($A542-Ft!D$2)^2)+Ft!D$7*EXP(Ft!D$40*($A542-Ft!D$2)^2)))</f>
        <v>1.3703829709817321E-125</v>
      </c>
      <c r="I542" s="3">
        <f>IF(($A542-Ft!E$2)&lt;0,Ft!E$3*((1-Ft!E$6)/(1+Ft!E$37*($A542-Ft!E$2)^2)+Ft!E$6*EXP(Ft!E$38*($A542-Ft!E$2)^2)),Ft!E$3*((1-Ft!E$7)/(1+Ft!E$39*($A542-Ft!E$2)^2)+Ft!E$7*EXP(Ft!E$40*($A542-Ft!E$2)^2)))</f>
        <v>43.410248313125969</v>
      </c>
      <c r="J542" s="3">
        <f>IF(($A542-Ft!F$2)&lt;0,Ft!F$3*((1-Ft!F$6)/(1+Ft!F$37*($A542-Ft!F$2)^2)+Ft!F$6*EXP(Ft!F$38*($A542-Ft!F$2)^2)),Ft!F$3*((1-Ft!F$7)/(1+Ft!F$39*($A542-Ft!F$2)^2)+Ft!F$7*EXP(Ft!F$40*($A542-Ft!F$2)^2)))</f>
        <v>118.36377797518124</v>
      </c>
      <c r="K542" s="3">
        <f>IF(($A542-Ft!G$2)&lt;0,Ft!G$3*((1-Ft!G$6)/(1+Ft!G$37*($A542-Ft!G$2)^2)+Ft!G$6*EXP(Ft!G$38*($A542-Ft!G$2)^2)),Ft!G$3*((1-Ft!G$7)/(1+Ft!G$39*($A542-Ft!G$2)^2)+Ft!G$7*EXP(Ft!G$40*($A542-Ft!G$2)^2)))</f>
        <v>5.325549834768846E-2</v>
      </c>
      <c r="L542" s="3">
        <f>IF(($A542-Ft!H$2)&lt;0,Ft!H$3*((1-Ft!H$6)/(1+Ft!H$37*($A542-Ft!H$2)^2)+Ft!H$6*EXP(Ft!H$38*($A542-Ft!H$2)^2)),Ft!H$3*((1-Ft!H$7)/(1+Ft!H$39*($A542-Ft!H$2)^2)+Ft!H$7*EXP(Ft!H$40*($A542-Ft!H$2)^2)))</f>
        <v>0</v>
      </c>
      <c r="M542" s="3">
        <f>IF(($A542-Ft!I$2)&lt;0,Ft!I$3*((1-Ft!I$6)/(1+Ft!I$37*($A542-Ft!I$2)^2)+Ft!I$6*EXP(Ft!I$38*($A542-Ft!I$2)^2)),Ft!I$3*((1-Ft!I$7)/(1+Ft!I$39*($A542-Ft!I$2)^2)+Ft!I$7*EXP(Ft!I$40*($A542-Ft!I$2)^2)))</f>
        <v>0</v>
      </c>
      <c r="N542" s="3">
        <f>IF(($A542-Ft!J$2)&lt;0,Ft!J$3*((1-Ft!J$6)/(1+Ft!J$37*($A542-Ft!J$2)^2)+Ft!J$6*EXP(Ft!J$38*($A542-Ft!J$2)^2)),Ft!J$3*((1-Ft!J$7)/(1+Ft!J$39*($A542-Ft!J$2)^2)+Ft!J$7*EXP(Ft!J$40*($A542-Ft!J$2)^2)))</f>
        <v>0</v>
      </c>
      <c r="O542" s="3">
        <f>IF(($A542-Ft!K$2)&lt;0,Ft!K$3*((1-Ft!K$6)/(1+Ft!K$37*($A542-Ft!K$2)^2)+Ft!K$6*EXP(Ft!K$38*($A542-Ft!K$2)^2)),Ft!K$3*((1-Ft!K$7)/(1+Ft!K$39*($A542-Ft!K$2)^2)+Ft!K$7*EXP(Ft!K$40*($A542-Ft!K$2)^2)))</f>
        <v>0</v>
      </c>
      <c r="P542"/>
      <c r="Q542"/>
    </row>
    <row r="543" spans="1:17">
      <c r="A543" s="20">
        <v>1083</v>
      </c>
      <c r="B543" s="29">
        <v>18.935559051221887</v>
      </c>
      <c r="C543" s="7">
        <f t="shared" si="17"/>
        <v>19.055029231444252</v>
      </c>
      <c r="D543" s="3">
        <f t="shared" si="16"/>
        <v>1.4273123962364319E-2</v>
      </c>
      <c r="E543" s="3">
        <f>Ft!$B$12+Ft!$B$14*(Data!A543-Vars!$B$3)</f>
        <v>-200</v>
      </c>
      <c r="F543" s="3">
        <f>IF(($A543-Ft!B$2)&lt;0,Ft!B$3*((1-Ft!B$6)/(1+Ft!B$37*($A543-Ft!B$2)^2)+Ft!B$6*EXP(Ft!B$38*($A543-Ft!B$2)^2)),Ft!B$3*((1-Ft!B$7)/(1+Ft!B$39*($A543-Ft!B$2)^2)+Ft!B$7*EXP(Ft!B$40*($A543-Ft!B$2)^2)))</f>
        <v>3.1133920429926811</v>
      </c>
      <c r="G543" s="3">
        <f>IF(($A543-Ft!C$2)&lt;0,Ft!C$3*((1-Ft!C$6)/(1+Ft!C$37*($A543-Ft!C$2)^2)+Ft!C$6*EXP(Ft!C$38*($A543-Ft!C$2)^2)),Ft!C$3*((1-Ft!C$7)/(1+Ft!C$39*($A543-Ft!C$2)^2)+Ft!C$7*EXP(Ft!C$40*($A543-Ft!C$2)^2)))</f>
        <v>54.268453073609329</v>
      </c>
      <c r="H543" s="3">
        <f>IF(($A543-Ft!D$2)&lt;0,Ft!D$3*((1-Ft!D$6)/(1+Ft!D$37*($A543-Ft!D$2)^2)+Ft!D$6*EXP(Ft!D$38*($A543-Ft!D$2)^2)),Ft!D$3*((1-Ft!D$7)/(1+Ft!D$39*($A543-Ft!D$2)^2)+Ft!D$7*EXP(Ft!D$40*($A543-Ft!D$2)^2)))</f>
        <v>2.2978375754811515E-126</v>
      </c>
      <c r="I543" s="3">
        <f>IF(($A543-Ft!E$2)&lt;0,Ft!E$3*((1-Ft!E$6)/(1+Ft!E$37*($A543-Ft!E$2)^2)+Ft!E$6*EXP(Ft!E$38*($A543-Ft!E$2)^2)),Ft!E$3*((1-Ft!E$7)/(1+Ft!E$39*($A543-Ft!E$2)^2)+Ft!E$7*EXP(Ft!E$40*($A543-Ft!E$2)^2)))</f>
        <v>42.956875192117941</v>
      </c>
      <c r="J543" s="3">
        <f>IF(($A543-Ft!F$2)&lt;0,Ft!F$3*((1-Ft!F$6)/(1+Ft!F$37*($A543-Ft!F$2)^2)+Ft!F$6*EXP(Ft!F$38*($A543-Ft!F$2)^2)),Ft!F$3*((1-Ft!F$7)/(1+Ft!F$39*($A543-Ft!F$2)^2)+Ft!F$7*EXP(Ft!F$40*($A543-Ft!F$2)^2)))</f>
        <v>118.66502364614651</v>
      </c>
      <c r="K543" s="3">
        <f>IF(($A543-Ft!G$2)&lt;0,Ft!G$3*((1-Ft!G$6)/(1+Ft!G$37*($A543-Ft!G$2)^2)+Ft!G$6*EXP(Ft!G$38*($A543-Ft!G$2)^2)),Ft!G$3*((1-Ft!G$7)/(1+Ft!G$39*($A543-Ft!G$2)^2)+Ft!G$7*EXP(Ft!G$40*($A543-Ft!G$2)^2)))</f>
        <v>5.1285276577816272E-2</v>
      </c>
      <c r="L543" s="3">
        <f>IF(($A543-Ft!H$2)&lt;0,Ft!H$3*((1-Ft!H$6)/(1+Ft!H$37*($A543-Ft!H$2)^2)+Ft!H$6*EXP(Ft!H$38*($A543-Ft!H$2)^2)),Ft!H$3*((1-Ft!H$7)/(1+Ft!H$39*($A543-Ft!H$2)^2)+Ft!H$7*EXP(Ft!H$40*($A543-Ft!H$2)^2)))</f>
        <v>0</v>
      </c>
      <c r="M543" s="3">
        <f>IF(($A543-Ft!I$2)&lt;0,Ft!I$3*((1-Ft!I$6)/(1+Ft!I$37*($A543-Ft!I$2)^2)+Ft!I$6*EXP(Ft!I$38*($A543-Ft!I$2)^2)),Ft!I$3*((1-Ft!I$7)/(1+Ft!I$39*($A543-Ft!I$2)^2)+Ft!I$7*EXP(Ft!I$40*($A543-Ft!I$2)^2)))</f>
        <v>0</v>
      </c>
      <c r="N543" s="3">
        <f>IF(($A543-Ft!J$2)&lt;0,Ft!J$3*((1-Ft!J$6)/(1+Ft!J$37*($A543-Ft!J$2)^2)+Ft!J$6*EXP(Ft!J$38*($A543-Ft!J$2)^2)),Ft!J$3*((1-Ft!J$7)/(1+Ft!J$39*($A543-Ft!J$2)^2)+Ft!J$7*EXP(Ft!J$40*($A543-Ft!J$2)^2)))</f>
        <v>0</v>
      </c>
      <c r="O543" s="3">
        <f>IF(($A543-Ft!K$2)&lt;0,Ft!K$3*((1-Ft!K$6)/(1+Ft!K$37*($A543-Ft!K$2)^2)+Ft!K$6*EXP(Ft!K$38*($A543-Ft!K$2)^2)),Ft!K$3*((1-Ft!K$7)/(1+Ft!K$39*($A543-Ft!K$2)^2)+Ft!K$7*EXP(Ft!K$40*($A543-Ft!K$2)^2)))</f>
        <v>0</v>
      </c>
      <c r="P543"/>
      <c r="Q543"/>
    </row>
    <row r="544" spans="1:17">
      <c r="A544" s="20">
        <v>1085</v>
      </c>
      <c r="B544" s="29">
        <v>18.675856508143426</v>
      </c>
      <c r="C544" s="7">
        <f t="shared" si="17"/>
        <v>18.820333246903086</v>
      </c>
      <c r="D544" s="3">
        <f t="shared" si="16"/>
        <v>2.0873528042627217E-2</v>
      </c>
      <c r="E544" s="3">
        <f>Ft!$B$12+Ft!$B$14*(Data!A544-Vars!$B$3)</f>
        <v>-200</v>
      </c>
      <c r="F544" s="3">
        <f>IF(($A544-Ft!B$2)&lt;0,Ft!B$3*((1-Ft!B$6)/(1+Ft!B$37*($A544-Ft!B$2)^2)+Ft!B$6*EXP(Ft!B$38*($A544-Ft!B$2)^2)),Ft!B$3*((1-Ft!B$7)/(1+Ft!B$39*($A544-Ft!B$2)^2)+Ft!B$7*EXP(Ft!B$40*($A544-Ft!B$2)^2)))</f>
        <v>3.0748349789078575</v>
      </c>
      <c r="G544" s="3">
        <f>IF(($A544-Ft!C$2)&lt;0,Ft!C$3*((1-Ft!C$6)/(1+Ft!C$37*($A544-Ft!C$2)^2)+Ft!C$6*EXP(Ft!C$38*($A544-Ft!C$2)^2)),Ft!C$3*((1-Ft!C$7)/(1+Ft!C$39*($A544-Ft!C$2)^2)+Ft!C$7*EXP(Ft!C$40*($A544-Ft!C$2)^2)))</f>
        <v>54.224873826190823</v>
      </c>
      <c r="H544" s="3">
        <f>IF(($A544-Ft!D$2)&lt;0,Ft!D$3*((1-Ft!D$6)/(1+Ft!D$37*($A544-Ft!D$2)^2)+Ft!D$6*EXP(Ft!D$38*($A544-Ft!D$2)^2)),Ft!D$3*((1-Ft!D$7)/(1+Ft!D$39*($A544-Ft!D$2)^2)+Ft!D$7*EXP(Ft!D$40*($A544-Ft!D$2)^2)))</f>
        <v>3.8317819543129235E-127</v>
      </c>
      <c r="I544" s="3">
        <f>IF(($A544-Ft!E$2)&lt;0,Ft!E$3*((1-Ft!E$6)/(1+Ft!E$37*($A544-Ft!E$2)^2)+Ft!E$6*EXP(Ft!E$38*($A544-Ft!E$2)^2)),Ft!E$3*((1-Ft!E$7)/(1+Ft!E$39*($A544-Ft!E$2)^2)+Ft!E$7*EXP(Ft!E$40*($A544-Ft!E$2)^2)))</f>
        <v>42.505772447657208</v>
      </c>
      <c r="J544" s="3">
        <f>IF(($A544-Ft!F$2)&lt;0,Ft!F$3*((1-Ft!F$6)/(1+Ft!F$37*($A544-Ft!F$2)^2)+Ft!F$6*EXP(Ft!F$38*($A544-Ft!F$2)^2)),Ft!F$3*((1-Ft!F$7)/(1+Ft!F$39*($A544-Ft!F$2)^2)+Ft!F$7*EXP(Ft!F$40*($A544-Ft!F$2)^2)))</f>
        <v>118.96546917584078</v>
      </c>
      <c r="K544" s="3">
        <f>IF(($A544-Ft!G$2)&lt;0,Ft!G$3*((1-Ft!G$6)/(1+Ft!G$37*($A544-Ft!G$2)^2)+Ft!G$6*EXP(Ft!G$38*($A544-Ft!G$2)^2)),Ft!G$3*((1-Ft!G$7)/(1+Ft!G$39*($A544-Ft!G$2)^2)+Ft!G$7*EXP(Ft!G$40*($A544-Ft!G$2)^2)))</f>
        <v>4.9382818306422042E-2</v>
      </c>
      <c r="L544" s="3">
        <f>IF(($A544-Ft!H$2)&lt;0,Ft!H$3*((1-Ft!H$6)/(1+Ft!H$37*($A544-Ft!H$2)^2)+Ft!H$6*EXP(Ft!H$38*($A544-Ft!H$2)^2)),Ft!H$3*((1-Ft!H$7)/(1+Ft!H$39*($A544-Ft!H$2)^2)+Ft!H$7*EXP(Ft!H$40*($A544-Ft!H$2)^2)))</f>
        <v>0</v>
      </c>
      <c r="M544" s="3">
        <f>IF(($A544-Ft!I$2)&lt;0,Ft!I$3*((1-Ft!I$6)/(1+Ft!I$37*($A544-Ft!I$2)^2)+Ft!I$6*EXP(Ft!I$38*($A544-Ft!I$2)^2)),Ft!I$3*((1-Ft!I$7)/(1+Ft!I$39*($A544-Ft!I$2)^2)+Ft!I$7*EXP(Ft!I$40*($A544-Ft!I$2)^2)))</f>
        <v>0</v>
      </c>
      <c r="N544" s="3">
        <f>IF(($A544-Ft!J$2)&lt;0,Ft!J$3*((1-Ft!J$6)/(1+Ft!J$37*($A544-Ft!J$2)^2)+Ft!J$6*EXP(Ft!J$38*($A544-Ft!J$2)^2)),Ft!J$3*((1-Ft!J$7)/(1+Ft!J$39*($A544-Ft!J$2)^2)+Ft!J$7*EXP(Ft!J$40*($A544-Ft!J$2)^2)))</f>
        <v>0</v>
      </c>
      <c r="O544" s="3">
        <f>IF(($A544-Ft!K$2)&lt;0,Ft!K$3*((1-Ft!K$6)/(1+Ft!K$37*($A544-Ft!K$2)^2)+Ft!K$6*EXP(Ft!K$38*($A544-Ft!K$2)^2)),Ft!K$3*((1-Ft!K$7)/(1+Ft!K$39*($A544-Ft!K$2)^2)+Ft!K$7*EXP(Ft!K$40*($A544-Ft!K$2)^2)))</f>
        <v>0</v>
      </c>
      <c r="P544"/>
      <c r="Q544"/>
    </row>
    <row r="545" spans="1:17">
      <c r="A545" s="20">
        <v>1087</v>
      </c>
      <c r="B545" s="29">
        <v>18.417236435853866</v>
      </c>
      <c r="C545" s="7">
        <f t="shared" si="17"/>
        <v>18.587167181485359</v>
      </c>
      <c r="D545" s="3">
        <f t="shared" si="16"/>
        <v>2.8876458310875298E-2</v>
      </c>
      <c r="E545" s="3">
        <f>Ft!$B$12+Ft!$B$14*(Data!A545-Vars!$B$3)</f>
        <v>-200</v>
      </c>
      <c r="F545" s="3">
        <f>IF(($A545-Ft!B$2)&lt;0,Ft!B$3*((1-Ft!B$6)/(1+Ft!B$37*($A545-Ft!B$2)^2)+Ft!B$6*EXP(Ft!B$38*($A545-Ft!B$2)^2)),Ft!B$3*((1-Ft!B$7)/(1+Ft!B$39*($A545-Ft!B$2)^2)+Ft!B$7*EXP(Ft!B$40*($A545-Ft!B$2)^2)))</f>
        <v>3.0366974544012058</v>
      </c>
      <c r="G545" s="3">
        <f>IF(($A545-Ft!C$2)&lt;0,Ft!C$3*((1-Ft!C$6)/(1+Ft!C$37*($A545-Ft!C$2)^2)+Ft!C$6*EXP(Ft!C$38*($A545-Ft!C$2)^2)),Ft!C$3*((1-Ft!C$7)/(1+Ft!C$39*($A545-Ft!C$2)^2)+Ft!C$7*EXP(Ft!C$40*($A545-Ft!C$2)^2)))</f>
        <v>54.180850842420078</v>
      </c>
      <c r="H545" s="3">
        <f>IF(($A545-Ft!D$2)&lt;0,Ft!D$3*((1-Ft!D$6)/(1+Ft!D$37*($A545-Ft!D$2)^2)+Ft!D$6*EXP(Ft!D$38*($A545-Ft!D$2)^2)),Ft!D$3*((1-Ft!D$7)/(1+Ft!D$39*($A545-Ft!D$2)^2)+Ft!D$7*EXP(Ft!D$40*($A545-Ft!D$2)^2)))</f>
        <v>6.3545724519343457E-128</v>
      </c>
      <c r="I545" s="3">
        <f>IF(($A545-Ft!E$2)&lt;0,Ft!E$3*((1-Ft!E$6)/(1+Ft!E$37*($A545-Ft!E$2)^2)+Ft!E$6*EXP(Ft!E$38*($A545-Ft!E$2)^2)),Ft!E$3*((1-Ft!E$7)/(1+Ft!E$39*($A545-Ft!E$2)^2)+Ft!E$7*EXP(Ft!E$40*($A545-Ft!E$2)^2)))</f>
        <v>42.056968272815347</v>
      </c>
      <c r="J545" s="3">
        <f>IF(($A545-Ft!F$2)&lt;0,Ft!F$3*((1-Ft!F$6)/(1+Ft!F$37*($A545-Ft!F$2)^2)+Ft!F$6*EXP(Ft!F$38*($A545-Ft!F$2)^2)),Ft!F$3*((1-Ft!F$7)/(1+Ft!F$39*($A545-Ft!F$2)^2)+Ft!F$7*EXP(Ft!F$40*($A545-Ft!F$2)^2)))</f>
        <v>119.26510461444333</v>
      </c>
      <c r="K545" s="3">
        <f>IF(($A545-Ft!G$2)&lt;0,Ft!G$3*((1-Ft!G$6)/(1+Ft!G$37*($A545-Ft!G$2)^2)+Ft!G$6*EXP(Ft!G$38*($A545-Ft!G$2)^2)),Ft!G$3*((1-Ft!G$7)/(1+Ft!G$39*($A545-Ft!G$2)^2)+Ft!G$7*EXP(Ft!G$40*($A545-Ft!G$2)^2)))</f>
        <v>4.754599740539818E-2</v>
      </c>
      <c r="L545" s="3">
        <f>IF(($A545-Ft!H$2)&lt;0,Ft!H$3*((1-Ft!H$6)/(1+Ft!H$37*($A545-Ft!H$2)^2)+Ft!H$6*EXP(Ft!H$38*($A545-Ft!H$2)^2)),Ft!H$3*((1-Ft!H$7)/(1+Ft!H$39*($A545-Ft!H$2)^2)+Ft!H$7*EXP(Ft!H$40*($A545-Ft!H$2)^2)))</f>
        <v>0</v>
      </c>
      <c r="M545" s="3">
        <f>IF(($A545-Ft!I$2)&lt;0,Ft!I$3*((1-Ft!I$6)/(1+Ft!I$37*($A545-Ft!I$2)^2)+Ft!I$6*EXP(Ft!I$38*($A545-Ft!I$2)^2)),Ft!I$3*((1-Ft!I$7)/(1+Ft!I$39*($A545-Ft!I$2)^2)+Ft!I$7*EXP(Ft!I$40*($A545-Ft!I$2)^2)))</f>
        <v>0</v>
      </c>
      <c r="N545" s="3">
        <f>IF(($A545-Ft!J$2)&lt;0,Ft!J$3*((1-Ft!J$6)/(1+Ft!J$37*($A545-Ft!J$2)^2)+Ft!J$6*EXP(Ft!J$38*($A545-Ft!J$2)^2)),Ft!J$3*((1-Ft!J$7)/(1+Ft!J$39*($A545-Ft!J$2)^2)+Ft!J$7*EXP(Ft!J$40*($A545-Ft!J$2)^2)))</f>
        <v>0</v>
      </c>
      <c r="O545" s="3">
        <f>IF(($A545-Ft!K$2)&lt;0,Ft!K$3*((1-Ft!K$6)/(1+Ft!K$37*($A545-Ft!K$2)^2)+Ft!K$6*EXP(Ft!K$38*($A545-Ft!K$2)^2)),Ft!K$3*((1-Ft!K$7)/(1+Ft!K$39*($A545-Ft!K$2)^2)+Ft!K$7*EXP(Ft!K$40*($A545-Ft!K$2)^2)))</f>
        <v>0</v>
      </c>
      <c r="P545"/>
      <c r="Q545"/>
    </row>
    <row r="546" spans="1:17">
      <c r="A546" s="20">
        <v>1089</v>
      </c>
      <c r="B546" s="29">
        <v>18.159725040498742</v>
      </c>
      <c r="C546" s="7">
        <f t="shared" si="17"/>
        <v>18.355543904675173</v>
      </c>
      <c r="D546" s="3">
        <f t="shared" si="16"/>
        <v>3.8345027567347492E-2</v>
      </c>
      <c r="E546" s="3">
        <f>Ft!$B$12+Ft!$B$14*(Data!A546-Vars!$B$3)</f>
        <v>-200</v>
      </c>
      <c r="F546" s="3">
        <f>IF(($A546-Ft!B$2)&lt;0,Ft!B$3*((1-Ft!B$6)/(1+Ft!B$37*($A546-Ft!B$2)^2)+Ft!B$6*EXP(Ft!B$38*($A546-Ft!B$2)^2)),Ft!B$3*((1-Ft!B$7)/(1+Ft!B$39*($A546-Ft!B$2)^2)+Ft!B$7*EXP(Ft!B$40*($A546-Ft!B$2)^2)))</f>
        <v>2.9989757126761711</v>
      </c>
      <c r="G546" s="3">
        <f>IF(($A546-Ft!C$2)&lt;0,Ft!C$3*((1-Ft!C$6)/(1+Ft!C$37*($A546-Ft!C$2)^2)+Ft!C$6*EXP(Ft!C$38*($A546-Ft!C$2)^2)),Ft!C$3*((1-Ft!C$7)/(1+Ft!C$39*($A546-Ft!C$2)^2)+Ft!C$7*EXP(Ft!C$40*($A546-Ft!C$2)^2)))</f>
        <v>54.136385260183715</v>
      </c>
      <c r="H546" s="3">
        <f>IF(($A546-Ft!D$2)&lt;0,Ft!D$3*((1-Ft!D$6)/(1+Ft!D$37*($A546-Ft!D$2)^2)+Ft!D$6*EXP(Ft!D$38*($A546-Ft!D$2)^2)),Ft!D$3*((1-Ft!D$7)/(1+Ft!D$39*($A546-Ft!D$2)^2)+Ft!D$7*EXP(Ft!D$40*($A546-Ft!D$2)^2)))</f>
        <v>1.0480354444000996E-128</v>
      </c>
      <c r="I546" s="3">
        <f>IF(($A546-Ft!E$2)&lt;0,Ft!E$3*((1-Ft!E$6)/(1+Ft!E$37*($A546-Ft!E$2)^2)+Ft!E$6*EXP(Ft!E$38*($A546-Ft!E$2)^2)),Ft!E$3*((1-Ft!E$7)/(1+Ft!E$39*($A546-Ft!E$2)^2)+Ft!E$7*EXP(Ft!E$40*($A546-Ft!E$2)^2)))</f>
        <v>41.610490166095033</v>
      </c>
      <c r="J546" s="3">
        <f>IF(($A546-Ft!F$2)&lt;0,Ft!F$3*((1-Ft!F$6)/(1+Ft!F$37*($A546-Ft!F$2)^2)+Ft!F$6*EXP(Ft!F$38*($A546-Ft!F$2)^2)),Ft!F$3*((1-Ft!F$7)/(1+Ft!F$39*($A546-Ft!F$2)^2)+Ft!F$7*EXP(Ft!F$40*($A546-Ft!F$2)^2)))</f>
        <v>119.56392001905536</v>
      </c>
      <c r="K546" s="3">
        <f>IF(($A546-Ft!G$2)&lt;0,Ft!G$3*((1-Ft!G$6)/(1+Ft!G$37*($A546-Ft!G$2)^2)+Ft!G$6*EXP(Ft!G$38*($A546-Ft!G$2)^2)),Ft!G$3*((1-Ft!G$7)/(1+Ft!G$39*($A546-Ft!G$2)^2)+Ft!G$7*EXP(Ft!G$40*($A546-Ft!G$2)^2)))</f>
        <v>4.5772746664879335E-2</v>
      </c>
      <c r="L546" s="3">
        <f>IF(($A546-Ft!H$2)&lt;0,Ft!H$3*((1-Ft!H$6)/(1+Ft!H$37*($A546-Ft!H$2)^2)+Ft!H$6*EXP(Ft!H$38*($A546-Ft!H$2)^2)),Ft!H$3*((1-Ft!H$7)/(1+Ft!H$39*($A546-Ft!H$2)^2)+Ft!H$7*EXP(Ft!H$40*($A546-Ft!H$2)^2)))</f>
        <v>0</v>
      </c>
      <c r="M546" s="3">
        <f>IF(($A546-Ft!I$2)&lt;0,Ft!I$3*((1-Ft!I$6)/(1+Ft!I$37*($A546-Ft!I$2)^2)+Ft!I$6*EXP(Ft!I$38*($A546-Ft!I$2)^2)),Ft!I$3*((1-Ft!I$7)/(1+Ft!I$39*($A546-Ft!I$2)^2)+Ft!I$7*EXP(Ft!I$40*($A546-Ft!I$2)^2)))</f>
        <v>0</v>
      </c>
      <c r="N546" s="3">
        <f>IF(($A546-Ft!J$2)&lt;0,Ft!J$3*((1-Ft!J$6)/(1+Ft!J$37*($A546-Ft!J$2)^2)+Ft!J$6*EXP(Ft!J$38*($A546-Ft!J$2)^2)),Ft!J$3*((1-Ft!J$7)/(1+Ft!J$39*($A546-Ft!J$2)^2)+Ft!J$7*EXP(Ft!J$40*($A546-Ft!J$2)^2)))</f>
        <v>0</v>
      </c>
      <c r="O546" s="3">
        <f>IF(($A546-Ft!K$2)&lt;0,Ft!K$3*((1-Ft!K$6)/(1+Ft!K$37*($A546-Ft!K$2)^2)+Ft!K$6*EXP(Ft!K$38*($A546-Ft!K$2)^2)),Ft!K$3*((1-Ft!K$7)/(1+Ft!K$39*($A546-Ft!K$2)^2)+Ft!K$7*EXP(Ft!K$40*($A546-Ft!K$2)^2)))</f>
        <v>0</v>
      </c>
      <c r="P546"/>
      <c r="Q546"/>
    </row>
    <row r="547" spans="1:17">
      <c r="A547" s="20">
        <v>1091</v>
      </c>
      <c r="B547" s="29">
        <v>17.903348309988132</v>
      </c>
      <c r="C547" s="7">
        <f t="shared" si="17"/>
        <v>18.125475691180633</v>
      </c>
      <c r="D547" s="3">
        <f t="shared" si="16"/>
        <v>4.9340573475438292E-2</v>
      </c>
      <c r="E547" s="3">
        <f>Ft!$B$12+Ft!$B$14*(Data!A547-Vars!$B$3)</f>
        <v>-200</v>
      </c>
      <c r="F547" s="3">
        <f>IF(($A547-Ft!B$2)&lt;0,Ft!B$3*((1-Ft!B$6)/(1+Ft!B$37*($A547-Ft!B$2)^2)+Ft!B$6*EXP(Ft!B$38*($A547-Ft!B$2)^2)),Ft!B$3*((1-Ft!B$7)/(1+Ft!B$39*($A547-Ft!B$2)^2)+Ft!B$7*EXP(Ft!B$40*($A547-Ft!B$2)^2)))</f>
        <v>2.9616660199078684</v>
      </c>
      <c r="G547" s="3">
        <f>IF(($A547-Ft!C$2)&lt;0,Ft!C$3*((1-Ft!C$6)/(1+Ft!C$37*($A547-Ft!C$2)^2)+Ft!C$6*EXP(Ft!C$38*($A547-Ft!C$2)^2)),Ft!C$3*((1-Ft!C$7)/(1+Ft!C$39*($A547-Ft!C$2)^2)+Ft!C$7*EXP(Ft!C$40*($A547-Ft!C$2)^2)))</f>
        <v>54.091478228166743</v>
      </c>
      <c r="H547" s="3">
        <f>IF(($A547-Ft!D$2)&lt;0,Ft!D$3*((1-Ft!D$6)/(1+Ft!D$37*($A547-Ft!D$2)^2)+Ft!D$6*EXP(Ft!D$38*($A547-Ft!D$2)^2)),Ft!D$3*((1-Ft!D$7)/(1+Ft!D$39*($A547-Ft!D$2)^2)+Ft!D$7*EXP(Ft!D$40*($A547-Ft!D$2)^2)))</f>
        <v>1.7189755231861096E-129</v>
      </c>
      <c r="I547" s="3">
        <f>IF(($A547-Ft!E$2)&lt;0,Ft!E$3*((1-Ft!E$6)/(1+Ft!E$37*($A547-Ft!E$2)^2)+Ft!E$6*EXP(Ft!E$38*($A547-Ft!E$2)^2)),Ft!E$3*((1-Ft!E$7)/(1+Ft!E$39*($A547-Ft!E$2)^2)+Ft!E$7*EXP(Ft!E$40*($A547-Ft!E$2)^2)))</f>
        <v>41.166364932420151</v>
      </c>
      <c r="J547" s="3">
        <f>IF(($A547-Ft!F$2)&lt;0,Ft!F$3*((1-Ft!F$6)/(1+Ft!F$37*($A547-Ft!F$2)^2)+Ft!F$6*EXP(Ft!F$38*($A547-Ft!F$2)^2)),Ft!F$3*((1-Ft!F$7)/(1+Ft!F$39*($A547-Ft!F$2)^2)+Ft!F$7*EXP(Ft!F$40*($A547-Ft!F$2)^2)))</f>
        <v>119.86190545424186</v>
      </c>
      <c r="K547" s="3">
        <f>IF(($A547-Ft!G$2)&lt;0,Ft!G$3*((1-Ft!G$6)/(1+Ft!G$37*($A547-Ft!G$2)^2)+Ft!G$6*EXP(Ft!G$38*($A547-Ft!G$2)^2)),Ft!G$3*((1-Ft!G$7)/(1+Ft!G$39*($A547-Ft!G$2)^2)+Ft!G$7*EXP(Ft!G$40*($A547-Ft!G$2)^2)))</f>
        <v>4.4061056443986973E-2</v>
      </c>
      <c r="L547" s="3">
        <f>IF(($A547-Ft!H$2)&lt;0,Ft!H$3*((1-Ft!H$6)/(1+Ft!H$37*($A547-Ft!H$2)^2)+Ft!H$6*EXP(Ft!H$38*($A547-Ft!H$2)^2)),Ft!H$3*((1-Ft!H$7)/(1+Ft!H$39*($A547-Ft!H$2)^2)+Ft!H$7*EXP(Ft!H$40*($A547-Ft!H$2)^2)))</f>
        <v>0</v>
      </c>
      <c r="M547" s="3">
        <f>IF(($A547-Ft!I$2)&lt;0,Ft!I$3*((1-Ft!I$6)/(1+Ft!I$37*($A547-Ft!I$2)^2)+Ft!I$6*EXP(Ft!I$38*($A547-Ft!I$2)^2)),Ft!I$3*((1-Ft!I$7)/(1+Ft!I$39*($A547-Ft!I$2)^2)+Ft!I$7*EXP(Ft!I$40*($A547-Ft!I$2)^2)))</f>
        <v>0</v>
      </c>
      <c r="N547" s="3">
        <f>IF(($A547-Ft!J$2)&lt;0,Ft!J$3*((1-Ft!J$6)/(1+Ft!J$37*($A547-Ft!J$2)^2)+Ft!J$6*EXP(Ft!J$38*($A547-Ft!J$2)^2)),Ft!J$3*((1-Ft!J$7)/(1+Ft!J$39*($A547-Ft!J$2)^2)+Ft!J$7*EXP(Ft!J$40*($A547-Ft!J$2)^2)))</f>
        <v>0</v>
      </c>
      <c r="O547" s="3">
        <f>IF(($A547-Ft!K$2)&lt;0,Ft!K$3*((1-Ft!K$6)/(1+Ft!K$37*($A547-Ft!K$2)^2)+Ft!K$6*EXP(Ft!K$38*($A547-Ft!K$2)^2)),Ft!K$3*((1-Ft!K$7)/(1+Ft!K$39*($A547-Ft!K$2)^2)+Ft!K$7*EXP(Ft!K$40*($A547-Ft!K$2)^2)))</f>
        <v>0</v>
      </c>
      <c r="P547"/>
      <c r="Q547"/>
    </row>
    <row r="548" spans="1:17">
      <c r="A548" s="20">
        <v>1093</v>
      </c>
      <c r="B548" s="29">
        <v>17.648132008925444</v>
      </c>
      <c r="C548" s="7">
        <f t="shared" si="17"/>
        <v>17.896974221276359</v>
      </c>
      <c r="D548" s="3">
        <f t="shared" si="16"/>
        <v>6.1922446647698026E-2</v>
      </c>
      <c r="E548" s="3">
        <f>Ft!$B$12+Ft!$B$14*(Data!A548-Vars!$B$3)</f>
        <v>-200</v>
      </c>
      <c r="F548" s="3">
        <f>IF(($A548-Ft!B$2)&lt;0,Ft!B$3*((1-Ft!B$6)/(1+Ft!B$37*($A548-Ft!B$2)^2)+Ft!B$6*EXP(Ft!B$38*($A548-Ft!B$2)^2)),Ft!B$3*((1-Ft!B$7)/(1+Ft!B$39*($A548-Ft!B$2)^2)+Ft!B$7*EXP(Ft!B$40*($A548-Ft!B$2)^2)))</f>
        <v>2.9247646652410109</v>
      </c>
      <c r="G548" s="3">
        <f>IF(($A548-Ft!C$2)&lt;0,Ft!C$3*((1-Ft!C$6)/(1+Ft!C$37*($A548-Ft!C$2)^2)+Ft!C$6*EXP(Ft!C$38*($A548-Ft!C$2)^2)),Ft!C$3*((1-Ft!C$7)/(1+Ft!C$39*($A548-Ft!C$2)^2)+Ft!C$7*EXP(Ft!C$40*($A548-Ft!C$2)^2)))</f>
        <v>54.046130905803182</v>
      </c>
      <c r="H548" s="3">
        <f>IF(($A548-Ft!D$2)&lt;0,Ft!D$3*((1-Ft!D$6)/(1+Ft!D$37*($A548-Ft!D$2)^2)+Ft!D$6*EXP(Ft!D$38*($A548-Ft!D$2)^2)),Ft!D$3*((1-Ft!D$7)/(1+Ft!D$39*($A548-Ft!D$2)^2)+Ft!D$7*EXP(Ft!D$40*($A548-Ft!D$2)^2)))</f>
        <v>2.8039321601976512E-130</v>
      </c>
      <c r="I548" s="3">
        <f>IF(($A548-Ft!E$2)&lt;0,Ft!E$3*((1-Ft!E$6)/(1+Ft!E$37*($A548-Ft!E$2)^2)+Ft!E$6*EXP(Ft!E$38*($A548-Ft!E$2)^2)),Ft!E$3*((1-Ft!E$7)/(1+Ft!E$39*($A548-Ft!E$2)^2)+Ft!E$7*EXP(Ft!E$40*($A548-Ft!E$2)^2)))</f>
        <v>40.724618684315196</v>
      </c>
      <c r="J548" s="3">
        <f>IF(($A548-Ft!F$2)&lt;0,Ft!F$3*((1-Ft!F$6)/(1+Ft!F$37*($A548-Ft!F$2)^2)+Ft!F$6*EXP(Ft!F$38*($A548-Ft!F$2)^2)),Ft!F$3*((1-Ft!F$7)/(1+Ft!F$39*($A548-Ft!F$2)^2)+Ft!F$7*EXP(Ft!F$40*($A548-Ft!F$2)^2)))</f>
        <v>120.15905099257445</v>
      </c>
      <c r="K548" s="3">
        <f>IF(($A548-Ft!G$2)&lt;0,Ft!G$3*((1-Ft!G$6)/(1+Ft!G$37*($A548-Ft!G$2)^2)+Ft!G$6*EXP(Ft!G$38*($A548-Ft!G$2)^2)),Ft!G$3*((1-Ft!G$7)/(1+Ft!G$39*($A548-Ft!G$2)^2)+Ft!G$7*EXP(Ft!G$40*($A548-Ft!G$2)^2)))</f>
        <v>4.2408973342510162E-2</v>
      </c>
      <c r="L548" s="3">
        <f>IF(($A548-Ft!H$2)&lt;0,Ft!H$3*((1-Ft!H$6)/(1+Ft!H$37*($A548-Ft!H$2)^2)+Ft!H$6*EXP(Ft!H$38*($A548-Ft!H$2)^2)),Ft!H$3*((1-Ft!H$7)/(1+Ft!H$39*($A548-Ft!H$2)^2)+Ft!H$7*EXP(Ft!H$40*($A548-Ft!H$2)^2)))</f>
        <v>0</v>
      </c>
      <c r="M548" s="3">
        <f>IF(($A548-Ft!I$2)&lt;0,Ft!I$3*((1-Ft!I$6)/(1+Ft!I$37*($A548-Ft!I$2)^2)+Ft!I$6*EXP(Ft!I$38*($A548-Ft!I$2)^2)),Ft!I$3*((1-Ft!I$7)/(1+Ft!I$39*($A548-Ft!I$2)^2)+Ft!I$7*EXP(Ft!I$40*($A548-Ft!I$2)^2)))</f>
        <v>0</v>
      </c>
      <c r="N548" s="3">
        <f>IF(($A548-Ft!J$2)&lt;0,Ft!J$3*((1-Ft!J$6)/(1+Ft!J$37*($A548-Ft!J$2)^2)+Ft!J$6*EXP(Ft!J$38*($A548-Ft!J$2)^2)),Ft!J$3*((1-Ft!J$7)/(1+Ft!J$39*($A548-Ft!J$2)^2)+Ft!J$7*EXP(Ft!J$40*($A548-Ft!J$2)^2)))</f>
        <v>0</v>
      </c>
      <c r="O548" s="3">
        <f>IF(($A548-Ft!K$2)&lt;0,Ft!K$3*((1-Ft!K$6)/(1+Ft!K$37*($A548-Ft!K$2)^2)+Ft!K$6*EXP(Ft!K$38*($A548-Ft!K$2)^2)),Ft!K$3*((1-Ft!K$7)/(1+Ft!K$39*($A548-Ft!K$2)^2)+Ft!K$7*EXP(Ft!K$40*($A548-Ft!K$2)^2)))</f>
        <v>0</v>
      </c>
      <c r="P548"/>
      <c r="Q548"/>
    </row>
    <row r="549" spans="1:17">
      <c r="A549" s="20">
        <v>1095</v>
      </c>
      <c r="B549" s="29">
        <v>17.394101673579101</v>
      </c>
      <c r="C549" s="7">
        <f t="shared" si="17"/>
        <v>17.670050581352136</v>
      </c>
      <c r="D549" s="3">
        <f t="shared" si="16"/>
        <v>7.6147799701131003E-2</v>
      </c>
      <c r="E549" s="3">
        <f>Ft!$B$12+Ft!$B$14*(Data!A549-Vars!$B$3)</f>
        <v>-200</v>
      </c>
      <c r="F549" s="3">
        <f>IF(($A549-Ft!B$2)&lt;0,Ft!B$3*((1-Ft!B$6)/(1+Ft!B$37*($A549-Ft!B$2)^2)+Ft!B$6*EXP(Ft!B$38*($A549-Ft!B$2)^2)),Ft!B$3*((1-Ft!B$7)/(1+Ft!B$39*($A549-Ft!B$2)^2)+Ft!B$7*EXP(Ft!B$40*($A549-Ft!B$2)^2)))</f>
        <v>2.8882679607856985</v>
      </c>
      <c r="G549" s="3">
        <f>IF(($A549-Ft!C$2)&lt;0,Ft!C$3*((1-Ft!C$6)/(1+Ft!C$37*($A549-Ft!C$2)^2)+Ft!C$6*EXP(Ft!C$38*($A549-Ft!C$2)^2)),Ft!C$3*((1-Ft!C$7)/(1+Ft!C$39*($A549-Ft!C$2)^2)+Ft!C$7*EXP(Ft!C$40*($A549-Ft!C$2)^2)))</f>
        <v>54.000344463226128</v>
      </c>
      <c r="H549" s="3">
        <f>IF(($A549-Ft!D$2)&lt;0,Ft!D$3*((1-Ft!D$6)/(1+Ft!D$37*($A549-Ft!D$2)^2)+Ft!D$6*EXP(Ft!D$38*($A549-Ft!D$2)^2)),Ft!D$3*((1-Ft!D$7)/(1+Ft!D$39*($A549-Ft!D$2)^2)+Ft!D$7*EXP(Ft!D$40*($A549-Ft!D$2)^2)))</f>
        <v>4.5485125580565995E-131</v>
      </c>
      <c r="I549" s="3">
        <f>IF(($A549-Ft!E$2)&lt;0,Ft!E$3*((1-Ft!E$6)/(1+Ft!E$37*($A549-Ft!E$2)^2)+Ft!E$6*EXP(Ft!E$38*($A549-Ft!E$2)^2)),Ft!E$3*((1-Ft!E$7)/(1+Ft!E$39*($A549-Ft!E$2)^2)+Ft!E$7*EXP(Ft!E$40*($A549-Ft!E$2)^2)))</f>
        <v>40.285276843271895</v>
      </c>
      <c r="J549" s="3">
        <f>IF(($A549-Ft!F$2)&lt;0,Ft!F$3*((1-Ft!F$6)/(1+Ft!F$37*($A549-Ft!F$2)^2)+Ft!F$6*EXP(Ft!F$38*($A549-Ft!F$2)^2)),Ft!F$3*((1-Ft!F$7)/(1+Ft!F$39*($A549-Ft!F$2)^2)+Ft!F$7*EXP(Ft!F$40*($A549-Ft!F$2)^2)))</f>
        <v>120.45534671517485</v>
      </c>
      <c r="K549" s="3">
        <f>IF(($A549-Ft!G$2)&lt;0,Ft!G$3*((1-Ft!G$6)/(1+Ft!G$37*($A549-Ft!G$2)^2)+Ft!G$6*EXP(Ft!G$38*($A549-Ft!G$2)^2)),Ft!G$3*((1-Ft!G$7)/(1+Ft!G$39*($A549-Ft!G$2)^2)+Ft!G$7*EXP(Ft!G$40*($A549-Ft!G$2)^2)))</f>
        <v>4.0814598893553329E-2</v>
      </c>
      <c r="L549" s="3">
        <f>IF(($A549-Ft!H$2)&lt;0,Ft!H$3*((1-Ft!H$6)/(1+Ft!H$37*($A549-Ft!H$2)^2)+Ft!H$6*EXP(Ft!H$38*($A549-Ft!H$2)^2)),Ft!H$3*((1-Ft!H$7)/(1+Ft!H$39*($A549-Ft!H$2)^2)+Ft!H$7*EXP(Ft!H$40*($A549-Ft!H$2)^2)))</f>
        <v>0</v>
      </c>
      <c r="M549" s="3">
        <f>IF(($A549-Ft!I$2)&lt;0,Ft!I$3*((1-Ft!I$6)/(1+Ft!I$37*($A549-Ft!I$2)^2)+Ft!I$6*EXP(Ft!I$38*($A549-Ft!I$2)^2)),Ft!I$3*((1-Ft!I$7)/(1+Ft!I$39*($A549-Ft!I$2)^2)+Ft!I$7*EXP(Ft!I$40*($A549-Ft!I$2)^2)))</f>
        <v>0</v>
      </c>
      <c r="N549" s="3">
        <f>IF(($A549-Ft!J$2)&lt;0,Ft!J$3*((1-Ft!J$6)/(1+Ft!J$37*($A549-Ft!J$2)^2)+Ft!J$6*EXP(Ft!J$38*($A549-Ft!J$2)^2)),Ft!J$3*((1-Ft!J$7)/(1+Ft!J$39*($A549-Ft!J$2)^2)+Ft!J$7*EXP(Ft!J$40*($A549-Ft!J$2)^2)))</f>
        <v>0</v>
      </c>
      <c r="O549" s="3">
        <f>IF(($A549-Ft!K$2)&lt;0,Ft!K$3*((1-Ft!K$6)/(1+Ft!K$37*($A549-Ft!K$2)^2)+Ft!K$6*EXP(Ft!K$38*($A549-Ft!K$2)^2)),Ft!K$3*((1-Ft!K$7)/(1+Ft!K$39*($A549-Ft!K$2)^2)+Ft!K$7*EXP(Ft!K$40*($A549-Ft!K$2)^2)))</f>
        <v>0</v>
      </c>
      <c r="P549"/>
      <c r="Q549"/>
    </row>
    <row r="550" spans="1:17">
      <c r="A550" s="20">
        <v>1097</v>
      </c>
      <c r="B550" s="29">
        <v>17.141282606899352</v>
      </c>
      <c r="C550" s="7">
        <f t="shared" si="17"/>
        <v>17.44471526466555</v>
      </c>
      <c r="D550" s="3">
        <f t="shared" ref="D550:D613" si="18">(C550-B550)^2</f>
        <v>9.2071377799058565E-2</v>
      </c>
      <c r="E550" s="3">
        <f>Ft!$B$12+Ft!$B$14*(Data!A550-Vars!$B$3)</f>
        <v>-200</v>
      </c>
      <c r="F550" s="3">
        <f>IF(($A550-Ft!B$2)&lt;0,Ft!B$3*((1-Ft!B$6)/(1+Ft!B$37*($A550-Ft!B$2)^2)+Ft!B$6*EXP(Ft!B$38*($A550-Ft!B$2)^2)),Ft!B$3*((1-Ft!B$7)/(1+Ft!B$39*($A550-Ft!B$2)^2)+Ft!B$7*EXP(Ft!B$40*($A550-Ft!B$2)^2)))</f>
        <v>2.8521722416110791</v>
      </c>
      <c r="G550" s="3">
        <f>IF(($A550-Ft!C$2)&lt;0,Ft!C$3*((1-Ft!C$6)/(1+Ft!C$37*($A550-Ft!C$2)^2)+Ft!C$6*EXP(Ft!C$38*($A550-Ft!C$2)^2)),Ft!C$3*((1-Ft!C$7)/(1+Ft!C$39*($A550-Ft!C$2)^2)+Ft!C$7*EXP(Ft!C$40*($A550-Ft!C$2)^2)))</f>
        <v>53.954120081217503</v>
      </c>
      <c r="H550" s="3">
        <f>IF(($A550-Ft!D$2)&lt;0,Ft!D$3*((1-Ft!D$6)/(1+Ft!D$37*($A550-Ft!D$2)^2)+Ft!D$6*EXP(Ft!D$38*($A550-Ft!D$2)^2)),Ft!D$3*((1-Ft!D$7)/(1+Ft!D$39*($A550-Ft!D$2)^2)+Ft!D$7*EXP(Ft!D$40*($A550-Ft!D$2)^2)))</f>
        <v>7.3379606989054634E-132</v>
      </c>
      <c r="I550" s="3">
        <f>IF(($A550-Ft!E$2)&lt;0,Ft!E$3*((1-Ft!E$6)/(1+Ft!E$37*($A550-Ft!E$2)^2)+Ft!E$6*EXP(Ft!E$38*($A550-Ft!E$2)^2)),Ft!E$3*((1-Ft!E$7)/(1+Ft!E$39*($A550-Ft!E$2)^2)+Ft!E$7*EXP(Ft!E$40*($A550-Ft!E$2)^2)))</f>
        <v>39.848364141300401</v>
      </c>
      <c r="J550" s="3">
        <f>IF(($A550-Ft!F$2)&lt;0,Ft!F$3*((1-Ft!F$6)/(1+Ft!F$37*($A550-Ft!F$2)^2)+Ft!F$6*EXP(Ft!F$38*($A550-Ft!F$2)^2)),Ft!F$3*((1-Ft!F$7)/(1+Ft!F$39*($A550-Ft!F$2)^2)+Ft!F$7*EXP(Ft!F$40*($A550-Ft!F$2)^2)))</f>
        <v>120.75078271225941</v>
      </c>
      <c r="K550" s="3">
        <f>IF(($A550-Ft!G$2)&lt;0,Ft!G$3*((1-Ft!G$6)/(1+Ft!G$37*($A550-Ft!G$2)^2)+Ft!G$6*EXP(Ft!G$38*($A550-Ft!G$2)^2)),Ft!G$3*((1-Ft!G$7)/(1+Ft!G$39*($A550-Ft!G$2)^2)+Ft!G$7*EXP(Ft!G$40*($A550-Ft!G$2)^2)))</f>
        <v>3.9276088277166631E-2</v>
      </c>
      <c r="L550" s="3">
        <f>IF(($A550-Ft!H$2)&lt;0,Ft!H$3*((1-Ft!H$6)/(1+Ft!H$37*($A550-Ft!H$2)^2)+Ft!H$6*EXP(Ft!H$38*($A550-Ft!H$2)^2)),Ft!H$3*((1-Ft!H$7)/(1+Ft!H$39*($A550-Ft!H$2)^2)+Ft!H$7*EXP(Ft!H$40*($A550-Ft!H$2)^2)))</f>
        <v>0</v>
      </c>
      <c r="M550" s="3">
        <f>IF(($A550-Ft!I$2)&lt;0,Ft!I$3*((1-Ft!I$6)/(1+Ft!I$37*($A550-Ft!I$2)^2)+Ft!I$6*EXP(Ft!I$38*($A550-Ft!I$2)^2)),Ft!I$3*((1-Ft!I$7)/(1+Ft!I$39*($A550-Ft!I$2)^2)+Ft!I$7*EXP(Ft!I$40*($A550-Ft!I$2)^2)))</f>
        <v>0</v>
      </c>
      <c r="N550" s="3">
        <f>IF(($A550-Ft!J$2)&lt;0,Ft!J$3*((1-Ft!J$6)/(1+Ft!J$37*($A550-Ft!J$2)^2)+Ft!J$6*EXP(Ft!J$38*($A550-Ft!J$2)^2)),Ft!J$3*((1-Ft!J$7)/(1+Ft!J$39*($A550-Ft!J$2)^2)+Ft!J$7*EXP(Ft!J$40*($A550-Ft!J$2)^2)))</f>
        <v>0</v>
      </c>
      <c r="O550" s="3">
        <f>IF(($A550-Ft!K$2)&lt;0,Ft!K$3*((1-Ft!K$6)/(1+Ft!K$37*($A550-Ft!K$2)^2)+Ft!K$6*EXP(Ft!K$38*($A550-Ft!K$2)^2)),Ft!K$3*((1-Ft!K$7)/(1+Ft!K$39*($A550-Ft!K$2)^2)+Ft!K$7*EXP(Ft!K$40*($A550-Ft!K$2)^2)))</f>
        <v>0</v>
      </c>
      <c r="P550"/>
      <c r="Q550"/>
    </row>
    <row r="551" spans="1:17">
      <c r="A551" s="20">
        <v>1099</v>
      </c>
      <c r="B551" s="29">
        <v>16.889699873581222</v>
      </c>
      <c r="C551" s="7">
        <f t="shared" si="17"/>
        <v>17.220978172295919</v>
      </c>
      <c r="D551" s="3">
        <f t="shared" si="18"/>
        <v>0.10974531119930384</v>
      </c>
      <c r="E551" s="3">
        <f>Ft!$B$12+Ft!$B$14*(Data!A551-Vars!$B$3)</f>
        <v>-200</v>
      </c>
      <c r="F551" s="3">
        <f>IF(($A551-Ft!B$2)&lt;0,Ft!B$3*((1-Ft!B$6)/(1+Ft!B$37*($A551-Ft!B$2)^2)+Ft!B$6*EXP(Ft!B$38*($A551-Ft!B$2)^2)),Ft!B$3*((1-Ft!B$7)/(1+Ft!B$39*($A551-Ft!B$2)^2)+Ft!B$7*EXP(Ft!B$40*($A551-Ft!B$2)^2)))</f>
        <v>2.8164738657369059</v>
      </c>
      <c r="G551" s="3">
        <f>IF(($A551-Ft!C$2)&lt;0,Ft!C$3*((1-Ft!C$6)/(1+Ft!C$37*($A551-Ft!C$2)^2)+Ft!C$6*EXP(Ft!C$38*($A551-Ft!C$2)^2)),Ft!C$3*((1-Ft!C$7)/(1+Ft!C$39*($A551-Ft!C$2)^2)+Ft!C$7*EXP(Ft!C$40*($A551-Ft!C$2)^2)))</f>
        <v>53.907458951157274</v>
      </c>
      <c r="H551" s="3">
        <f>IF(($A551-Ft!D$2)&lt;0,Ft!D$3*((1-Ft!D$6)/(1+Ft!D$37*($A551-Ft!D$2)^2)+Ft!D$6*EXP(Ft!D$38*($A551-Ft!D$2)^2)),Ft!D$3*((1-Ft!D$7)/(1+Ft!D$39*($A551-Ft!D$2)^2)+Ft!D$7*EXP(Ft!D$40*($A551-Ft!D$2)^2)))</f>
        <v>1.1772954126707831E-132</v>
      </c>
      <c r="I551" s="3">
        <f>IF(($A551-Ft!E$2)&lt;0,Ft!E$3*((1-Ft!E$6)/(1+Ft!E$37*($A551-Ft!E$2)^2)+Ft!E$6*EXP(Ft!E$38*($A551-Ft!E$2)^2)),Ft!E$3*((1-Ft!E$7)/(1+Ft!E$39*($A551-Ft!E$2)^2)+Ft!E$7*EXP(Ft!E$40*($A551-Ft!E$2)^2)))</f>
        <v>39.413904622662635</v>
      </c>
      <c r="J551" s="3">
        <f>IF(($A551-Ft!F$2)&lt;0,Ft!F$3*((1-Ft!F$6)/(1+Ft!F$37*($A551-Ft!F$2)^2)+Ft!F$6*EXP(Ft!F$38*($A551-Ft!F$2)^2)),Ft!F$3*((1-Ft!F$7)/(1+Ft!F$39*($A551-Ft!F$2)^2)+Ft!F$7*EXP(Ft!F$40*($A551-Ft!F$2)^2)))</f>
        <v>121.04534908368414</v>
      </c>
      <c r="K551" s="3">
        <f>IF(($A551-Ft!G$2)&lt;0,Ft!G$3*((1-Ft!G$6)/(1+Ft!G$37*($A551-Ft!G$2)^2)+Ft!G$6*EXP(Ft!G$38*($A551-Ft!G$2)^2)),Ft!G$3*((1-Ft!G$7)/(1+Ft!G$39*($A551-Ft!G$2)^2)+Ft!G$7*EXP(Ft!G$40*($A551-Ft!G$2)^2)))</f>
        <v>3.779164905495655E-2</v>
      </c>
      <c r="L551" s="3">
        <f>IF(($A551-Ft!H$2)&lt;0,Ft!H$3*((1-Ft!H$6)/(1+Ft!H$37*($A551-Ft!H$2)^2)+Ft!H$6*EXP(Ft!H$38*($A551-Ft!H$2)^2)),Ft!H$3*((1-Ft!H$7)/(1+Ft!H$39*($A551-Ft!H$2)^2)+Ft!H$7*EXP(Ft!H$40*($A551-Ft!H$2)^2)))</f>
        <v>0</v>
      </c>
      <c r="M551" s="3">
        <f>IF(($A551-Ft!I$2)&lt;0,Ft!I$3*((1-Ft!I$6)/(1+Ft!I$37*($A551-Ft!I$2)^2)+Ft!I$6*EXP(Ft!I$38*($A551-Ft!I$2)^2)),Ft!I$3*((1-Ft!I$7)/(1+Ft!I$39*($A551-Ft!I$2)^2)+Ft!I$7*EXP(Ft!I$40*($A551-Ft!I$2)^2)))</f>
        <v>0</v>
      </c>
      <c r="N551" s="3">
        <f>IF(($A551-Ft!J$2)&lt;0,Ft!J$3*((1-Ft!J$6)/(1+Ft!J$37*($A551-Ft!J$2)^2)+Ft!J$6*EXP(Ft!J$38*($A551-Ft!J$2)^2)),Ft!J$3*((1-Ft!J$7)/(1+Ft!J$39*($A551-Ft!J$2)^2)+Ft!J$7*EXP(Ft!J$40*($A551-Ft!J$2)^2)))</f>
        <v>0</v>
      </c>
      <c r="O551" s="3">
        <f>IF(($A551-Ft!K$2)&lt;0,Ft!K$3*((1-Ft!K$6)/(1+Ft!K$37*($A551-Ft!K$2)^2)+Ft!K$6*EXP(Ft!K$38*($A551-Ft!K$2)^2)),Ft!K$3*((1-Ft!K$7)/(1+Ft!K$39*($A551-Ft!K$2)^2)+Ft!K$7*EXP(Ft!K$40*($A551-Ft!K$2)^2)))</f>
        <v>0</v>
      </c>
      <c r="P551"/>
      <c r="Q551"/>
    </row>
    <row r="552" spans="1:17">
      <c r="A552" s="20">
        <v>1101</v>
      </c>
      <c r="B552" s="29">
        <v>16.639378295175291</v>
      </c>
      <c r="C552" s="7">
        <f t="shared" si="17"/>
        <v>16.998848614296669</v>
      </c>
      <c r="D552" s="3">
        <f t="shared" si="18"/>
        <v>0.12921891032922544</v>
      </c>
      <c r="E552" s="3">
        <f>Ft!$B$12+Ft!$B$14*(Data!A552-Vars!$B$3)</f>
        <v>-200</v>
      </c>
      <c r="F552" s="3">
        <f>IF(($A552-Ft!B$2)&lt;0,Ft!B$3*((1-Ft!B$6)/(1+Ft!B$37*($A552-Ft!B$2)^2)+Ft!B$6*EXP(Ft!B$38*($A552-Ft!B$2)^2)),Ft!B$3*((1-Ft!B$7)/(1+Ft!B$39*($A552-Ft!B$2)^2)+Ft!B$7*EXP(Ft!B$40*($A552-Ft!B$2)^2)))</f>
        <v>2.7811692141230222</v>
      </c>
      <c r="G552" s="3">
        <f>IF(($A552-Ft!C$2)&lt;0,Ft!C$3*((1-Ft!C$6)/(1+Ft!C$37*($A552-Ft!C$2)^2)+Ft!C$6*EXP(Ft!C$38*($A552-Ft!C$2)^2)),Ft!C$3*((1-Ft!C$7)/(1+Ft!C$39*($A552-Ft!C$2)^2)+Ft!C$7*EXP(Ft!C$40*($A552-Ft!C$2)^2)))</f>
        <v>53.860362274972317</v>
      </c>
      <c r="H552" s="3">
        <f>IF(($A552-Ft!D$2)&lt;0,Ft!D$3*((1-Ft!D$6)/(1+Ft!D$37*($A552-Ft!D$2)^2)+Ft!D$6*EXP(Ft!D$38*($A552-Ft!D$2)^2)),Ft!D$3*((1-Ft!D$7)/(1+Ft!D$39*($A552-Ft!D$2)^2)+Ft!D$7*EXP(Ft!D$40*($A552-Ft!D$2)^2)))</f>
        <v>1.8784498686309496E-133</v>
      </c>
      <c r="I552" s="3">
        <f>IF(($A552-Ft!E$2)&lt;0,Ft!E$3*((1-Ft!E$6)/(1+Ft!E$37*($A552-Ft!E$2)^2)+Ft!E$6*EXP(Ft!E$38*($A552-Ft!E$2)^2)),Ft!E$3*((1-Ft!E$7)/(1+Ft!E$39*($A552-Ft!E$2)^2)+Ft!E$7*EXP(Ft!E$40*($A552-Ft!E$2)^2)))</f>
        <v>38.981921645785114</v>
      </c>
      <c r="J552" s="3">
        <f>IF(($A552-Ft!F$2)&lt;0,Ft!F$3*((1-Ft!F$6)/(1+Ft!F$37*($A552-Ft!F$2)^2)+Ft!F$6*EXP(Ft!F$38*($A552-Ft!F$2)^2)),Ft!F$3*((1-Ft!F$7)/(1+Ft!F$39*($A552-Ft!F$2)^2)+Ft!F$7*EXP(Ft!F$40*($A552-Ft!F$2)^2)))</f>
        <v>121.33903593949054</v>
      </c>
      <c r="K552" s="3">
        <f>IF(($A552-Ft!G$2)&lt;0,Ft!G$3*((1-Ft!G$6)/(1+Ft!G$37*($A552-Ft!G$2)^2)+Ft!G$6*EXP(Ft!G$38*($A552-Ft!G$2)^2)),Ft!G$3*((1-Ft!G$7)/(1+Ft!G$39*($A552-Ft!G$2)^2)+Ft!G$7*EXP(Ft!G$40*($A552-Ft!G$2)^2)))</f>
        <v>3.6359539925663285E-2</v>
      </c>
      <c r="L552" s="3">
        <f>IF(($A552-Ft!H$2)&lt;0,Ft!H$3*((1-Ft!H$6)/(1+Ft!H$37*($A552-Ft!H$2)^2)+Ft!H$6*EXP(Ft!H$38*($A552-Ft!H$2)^2)),Ft!H$3*((1-Ft!H$7)/(1+Ft!H$39*($A552-Ft!H$2)^2)+Ft!H$7*EXP(Ft!H$40*($A552-Ft!H$2)^2)))</f>
        <v>0</v>
      </c>
      <c r="M552" s="3">
        <f>IF(($A552-Ft!I$2)&lt;0,Ft!I$3*((1-Ft!I$6)/(1+Ft!I$37*($A552-Ft!I$2)^2)+Ft!I$6*EXP(Ft!I$38*($A552-Ft!I$2)^2)),Ft!I$3*((1-Ft!I$7)/(1+Ft!I$39*($A552-Ft!I$2)^2)+Ft!I$7*EXP(Ft!I$40*($A552-Ft!I$2)^2)))</f>
        <v>0</v>
      </c>
      <c r="N552" s="3">
        <f>IF(($A552-Ft!J$2)&lt;0,Ft!J$3*((1-Ft!J$6)/(1+Ft!J$37*($A552-Ft!J$2)^2)+Ft!J$6*EXP(Ft!J$38*($A552-Ft!J$2)^2)),Ft!J$3*((1-Ft!J$7)/(1+Ft!J$39*($A552-Ft!J$2)^2)+Ft!J$7*EXP(Ft!J$40*($A552-Ft!J$2)^2)))</f>
        <v>0</v>
      </c>
      <c r="O552" s="3">
        <f>IF(($A552-Ft!K$2)&lt;0,Ft!K$3*((1-Ft!K$6)/(1+Ft!K$37*($A552-Ft!K$2)^2)+Ft!K$6*EXP(Ft!K$38*($A552-Ft!K$2)^2)),Ft!K$3*((1-Ft!K$7)/(1+Ft!K$39*($A552-Ft!K$2)^2)+Ft!K$7*EXP(Ft!K$40*($A552-Ft!K$2)^2)))</f>
        <v>0</v>
      </c>
      <c r="P552"/>
      <c r="Q552"/>
    </row>
    <row r="553" spans="1:17">
      <c r="A553" s="20">
        <v>1103</v>
      </c>
      <c r="B553" s="29">
        <v>16.390342445247413</v>
      </c>
      <c r="C553" s="7">
        <f t="shared" si="17"/>
        <v>16.778335311044298</v>
      </c>
      <c r="D553" s="3">
        <f t="shared" si="18"/>
        <v>0.15053846390927994</v>
      </c>
      <c r="E553" s="3">
        <f>Ft!$B$12+Ft!$B$14*(Data!A553-Vars!$B$3)</f>
        <v>-200</v>
      </c>
      <c r="F553" s="3">
        <f>IF(($A553-Ft!B$2)&lt;0,Ft!B$3*((1-Ft!B$6)/(1+Ft!B$37*($A553-Ft!B$2)^2)+Ft!B$6*EXP(Ft!B$38*($A553-Ft!B$2)^2)),Ft!B$3*((1-Ft!B$7)/(1+Ft!B$39*($A553-Ft!B$2)^2)+Ft!B$7*EXP(Ft!B$40*($A553-Ft!B$2)^2)))</f>
        <v>2.7462546906568122</v>
      </c>
      <c r="G553" s="3">
        <f>IF(($A553-Ft!C$2)&lt;0,Ft!C$3*((1-Ft!C$6)/(1+Ft!C$37*($A553-Ft!C$2)^2)+Ft!C$6*EXP(Ft!C$38*($A553-Ft!C$2)^2)),Ft!C$3*((1-Ft!C$7)/(1+Ft!C$39*($A553-Ft!C$2)^2)+Ft!C$7*EXP(Ft!C$40*($A553-Ft!C$2)^2)))</f>
        <v>53.81283126508481</v>
      </c>
      <c r="H553" s="3">
        <f>IF(($A553-Ft!D$2)&lt;0,Ft!D$3*((1-Ft!D$6)/(1+Ft!D$37*($A553-Ft!D$2)^2)+Ft!D$6*EXP(Ft!D$38*($A553-Ft!D$2)^2)),Ft!D$3*((1-Ft!D$7)/(1+Ft!D$39*($A553-Ft!D$2)^2)+Ft!D$7*EXP(Ft!D$40*($A553-Ft!D$2)^2)))</f>
        <v>2.9806971602286061E-134</v>
      </c>
      <c r="I553" s="3">
        <f>IF(($A553-Ft!E$2)&lt;0,Ft!E$3*((1-Ft!E$6)/(1+Ft!E$37*($A553-Ft!E$2)^2)+Ft!E$6*EXP(Ft!E$38*($A553-Ft!E$2)^2)),Ft!E$3*((1-Ft!E$7)/(1+Ft!E$39*($A553-Ft!E$2)^2)+Ft!E$7*EXP(Ft!E$40*($A553-Ft!E$2)^2)))</f>
        <v>38.552437885348823</v>
      </c>
      <c r="J553" s="3">
        <f>IF(($A553-Ft!F$2)&lt;0,Ft!F$3*((1-Ft!F$6)/(1+Ft!F$37*($A553-Ft!F$2)^2)+Ft!F$6*EXP(Ft!F$38*($A553-Ft!F$2)^2)),Ft!F$3*((1-Ft!F$7)/(1+Ft!F$39*($A553-Ft!F$2)^2)+Ft!F$7*EXP(Ft!F$40*($A553-Ft!F$2)^2)))</f>
        <v>121.63183340045217</v>
      </c>
      <c r="K553" s="3">
        <f>IF(($A553-Ft!G$2)&lt;0,Ft!G$3*((1-Ft!G$6)/(1+Ft!G$37*($A553-Ft!G$2)^2)+Ft!G$6*EXP(Ft!G$38*($A553-Ft!G$2)^2)),Ft!G$3*((1-Ft!G$7)/(1+Ft!G$39*($A553-Ft!G$2)^2)+Ft!G$7*EXP(Ft!G$40*($A553-Ft!G$2)^2)))</f>
        <v>3.4978069501672725E-2</v>
      </c>
      <c r="L553" s="3">
        <f>IF(($A553-Ft!H$2)&lt;0,Ft!H$3*((1-Ft!H$6)/(1+Ft!H$37*($A553-Ft!H$2)^2)+Ft!H$6*EXP(Ft!H$38*($A553-Ft!H$2)^2)),Ft!H$3*((1-Ft!H$7)/(1+Ft!H$39*($A553-Ft!H$2)^2)+Ft!H$7*EXP(Ft!H$40*($A553-Ft!H$2)^2)))</f>
        <v>0</v>
      </c>
      <c r="M553" s="3">
        <f>IF(($A553-Ft!I$2)&lt;0,Ft!I$3*((1-Ft!I$6)/(1+Ft!I$37*($A553-Ft!I$2)^2)+Ft!I$6*EXP(Ft!I$38*($A553-Ft!I$2)^2)),Ft!I$3*((1-Ft!I$7)/(1+Ft!I$39*($A553-Ft!I$2)^2)+Ft!I$7*EXP(Ft!I$40*($A553-Ft!I$2)^2)))</f>
        <v>0</v>
      </c>
      <c r="N553" s="3">
        <f>IF(($A553-Ft!J$2)&lt;0,Ft!J$3*((1-Ft!J$6)/(1+Ft!J$37*($A553-Ft!J$2)^2)+Ft!J$6*EXP(Ft!J$38*($A553-Ft!J$2)^2)),Ft!J$3*((1-Ft!J$7)/(1+Ft!J$39*($A553-Ft!J$2)^2)+Ft!J$7*EXP(Ft!J$40*($A553-Ft!J$2)^2)))</f>
        <v>0</v>
      </c>
      <c r="O553" s="3">
        <f>IF(($A553-Ft!K$2)&lt;0,Ft!K$3*((1-Ft!K$6)/(1+Ft!K$37*($A553-Ft!K$2)^2)+Ft!K$6*EXP(Ft!K$38*($A553-Ft!K$2)^2)),Ft!K$3*((1-Ft!K$7)/(1+Ft!K$39*($A553-Ft!K$2)^2)+Ft!K$7*EXP(Ft!K$40*($A553-Ft!K$2)^2)))</f>
        <v>0</v>
      </c>
      <c r="P553"/>
      <c r="Q553"/>
    </row>
    <row r="554" spans="1:17">
      <c r="A554" s="20">
        <v>1105</v>
      </c>
      <c r="B554" s="29">
        <v>16.142616644588983</v>
      </c>
      <c r="C554" s="7">
        <f t="shared" si="17"/>
        <v>16.559446394780167</v>
      </c>
      <c r="D554" s="3">
        <f t="shared" si="18"/>
        <v>0.17374704064444463</v>
      </c>
      <c r="E554" s="3">
        <f>Ft!$B$12+Ft!$B$14*(Data!A554-Vars!$B$3)</f>
        <v>-200</v>
      </c>
      <c r="F554" s="3">
        <f>IF(($A554-Ft!B$2)&lt;0,Ft!B$3*((1-Ft!B$6)/(1+Ft!B$37*($A554-Ft!B$2)^2)+Ft!B$6*EXP(Ft!B$38*($A554-Ft!B$2)^2)),Ft!B$3*((1-Ft!B$7)/(1+Ft!B$39*($A554-Ft!B$2)^2)+Ft!B$7*EXP(Ft!B$40*($A554-Ft!B$2)^2)))</f>
        <v>2.7117267221386325</v>
      </c>
      <c r="G554" s="3">
        <f>IF(($A554-Ft!C$2)&lt;0,Ft!C$3*((1-Ft!C$6)/(1+Ft!C$37*($A554-Ft!C$2)^2)+Ft!C$6*EXP(Ft!C$38*($A554-Ft!C$2)^2)),Ft!C$3*((1-Ft!C$7)/(1+Ft!C$39*($A554-Ft!C$2)^2)+Ft!C$7*EXP(Ft!C$40*($A554-Ft!C$2)^2)))</f>
        <v>53.764867144360252</v>
      </c>
      <c r="H554" s="3">
        <f>IF(($A554-Ft!D$2)&lt;0,Ft!D$3*((1-Ft!D$6)/(1+Ft!D$37*($A554-Ft!D$2)^2)+Ft!D$6*EXP(Ft!D$38*($A554-Ft!D$2)^2)),Ft!D$3*((1-Ft!D$7)/(1+Ft!D$39*($A554-Ft!D$2)^2)+Ft!D$7*EXP(Ft!D$40*($A554-Ft!D$2)^2)))</f>
        <v>4.7037061801970222E-135</v>
      </c>
      <c r="I554" s="3">
        <f>IF(($A554-Ft!E$2)&lt;0,Ft!E$3*((1-Ft!E$6)/(1+Ft!E$37*($A554-Ft!E$2)^2)+Ft!E$6*EXP(Ft!E$38*($A554-Ft!E$2)^2)),Ft!E$3*((1-Ft!E$7)/(1+Ft!E$39*($A554-Ft!E$2)^2)+Ft!E$7*EXP(Ft!E$40*($A554-Ft!E$2)^2)))</f>
        <v>38.125475334553173</v>
      </c>
      <c r="J554" s="3">
        <f>IF(($A554-Ft!F$2)&lt;0,Ft!F$3*((1-Ft!F$6)/(1+Ft!F$37*($A554-Ft!F$2)^2)+Ft!F$6*EXP(Ft!F$38*($A554-Ft!F$2)^2)),Ft!F$3*((1-Ft!F$7)/(1+Ft!F$39*($A554-Ft!F$2)^2)+Ft!F$7*EXP(Ft!F$40*($A554-Ft!F$2)^2)))</f>
        <v>121.92373159862169</v>
      </c>
      <c r="K554" s="3">
        <f>IF(($A554-Ft!G$2)&lt;0,Ft!G$3*((1-Ft!G$6)/(1+Ft!G$37*($A554-Ft!G$2)^2)+Ft!G$6*EXP(Ft!G$38*($A554-Ft!G$2)^2)),Ft!G$3*((1-Ft!G$7)/(1+Ft!G$39*($A554-Ft!G$2)^2)+Ft!G$7*EXP(Ft!G$40*($A554-Ft!G$2)^2)))</f>
        <v>3.3645595106420532E-2</v>
      </c>
      <c r="L554" s="3">
        <f>IF(($A554-Ft!H$2)&lt;0,Ft!H$3*((1-Ft!H$6)/(1+Ft!H$37*($A554-Ft!H$2)^2)+Ft!H$6*EXP(Ft!H$38*($A554-Ft!H$2)^2)),Ft!H$3*((1-Ft!H$7)/(1+Ft!H$39*($A554-Ft!H$2)^2)+Ft!H$7*EXP(Ft!H$40*($A554-Ft!H$2)^2)))</f>
        <v>0</v>
      </c>
      <c r="M554" s="3">
        <f>IF(($A554-Ft!I$2)&lt;0,Ft!I$3*((1-Ft!I$6)/(1+Ft!I$37*($A554-Ft!I$2)^2)+Ft!I$6*EXP(Ft!I$38*($A554-Ft!I$2)^2)),Ft!I$3*((1-Ft!I$7)/(1+Ft!I$39*($A554-Ft!I$2)^2)+Ft!I$7*EXP(Ft!I$40*($A554-Ft!I$2)^2)))</f>
        <v>0</v>
      </c>
      <c r="N554" s="3">
        <f>IF(($A554-Ft!J$2)&lt;0,Ft!J$3*((1-Ft!J$6)/(1+Ft!J$37*($A554-Ft!J$2)^2)+Ft!J$6*EXP(Ft!J$38*($A554-Ft!J$2)^2)),Ft!J$3*((1-Ft!J$7)/(1+Ft!J$39*($A554-Ft!J$2)^2)+Ft!J$7*EXP(Ft!J$40*($A554-Ft!J$2)^2)))</f>
        <v>0</v>
      </c>
      <c r="O554" s="3">
        <f>IF(($A554-Ft!K$2)&lt;0,Ft!K$3*((1-Ft!K$6)/(1+Ft!K$37*($A554-Ft!K$2)^2)+Ft!K$6*EXP(Ft!K$38*($A554-Ft!K$2)^2)),Ft!K$3*((1-Ft!K$7)/(1+Ft!K$39*($A554-Ft!K$2)^2)+Ft!K$7*EXP(Ft!K$40*($A554-Ft!K$2)^2)))</f>
        <v>0</v>
      </c>
      <c r="P554"/>
      <c r="Q554"/>
    </row>
    <row r="555" spans="1:17">
      <c r="A555" s="20">
        <v>1107</v>
      </c>
      <c r="B555" s="29">
        <v>15.896224956479088</v>
      </c>
      <c r="C555" s="7">
        <f t="shared" si="17"/>
        <v>16.342189411343377</v>
      </c>
      <c r="D555" s="3">
        <f t="shared" si="18"/>
        <v>0.19888429500240201</v>
      </c>
      <c r="E555" s="3">
        <f>Ft!$B$12+Ft!$B$14*(Data!A555-Vars!$B$3)</f>
        <v>-200</v>
      </c>
      <c r="F555" s="3">
        <f>IF(($A555-Ft!B$2)&lt;0,Ft!B$3*((1-Ft!B$6)/(1+Ft!B$37*($A555-Ft!B$2)^2)+Ft!B$6*EXP(Ft!B$38*($A555-Ft!B$2)^2)),Ft!B$3*((1-Ft!B$7)/(1+Ft!B$39*($A555-Ft!B$2)^2)+Ft!B$7*EXP(Ft!B$40*($A555-Ft!B$2)^2)))</f>
        <v>2.6775817582652333</v>
      </c>
      <c r="G555" s="3">
        <f>IF(($A555-Ft!C$2)&lt;0,Ft!C$3*((1-Ft!C$6)/(1+Ft!C$37*($A555-Ft!C$2)^2)+Ft!C$6*EXP(Ft!C$38*($A555-Ft!C$2)^2)),Ft!C$3*((1-Ft!C$7)/(1+Ft!C$39*($A555-Ft!C$2)^2)+Ft!C$7*EXP(Ft!C$40*($A555-Ft!C$2)^2)))</f>
        <v>53.716471146055056</v>
      </c>
      <c r="H555" s="3">
        <f>IF(($A555-Ft!D$2)&lt;0,Ft!D$3*((1-Ft!D$6)/(1+Ft!D$37*($A555-Ft!D$2)^2)+Ft!D$6*EXP(Ft!D$38*($A555-Ft!D$2)^2)),Ft!D$3*((1-Ft!D$7)/(1+Ft!D$39*($A555-Ft!D$2)^2)+Ft!D$7*EXP(Ft!D$40*($A555-Ft!D$2)^2)))</f>
        <v>7.3818735945692881E-136</v>
      </c>
      <c r="I555" s="3">
        <f>IF(($A555-Ft!E$2)&lt;0,Ft!E$3*((1-Ft!E$6)/(1+Ft!E$37*($A555-Ft!E$2)^2)+Ft!E$6*EXP(Ft!E$38*($A555-Ft!E$2)^2)),Ft!E$3*((1-Ft!E$7)/(1+Ft!E$39*($A555-Ft!E$2)^2)+Ft!E$7*EXP(Ft!E$40*($A555-Ft!E$2)^2)))</f>
        <v>37.701055307551826</v>
      </c>
      <c r="J555" s="3">
        <f>IF(($A555-Ft!F$2)&lt;0,Ft!F$3*((1-Ft!F$6)/(1+Ft!F$37*($A555-Ft!F$2)^2)+Ft!F$6*EXP(Ft!F$38*($A555-Ft!F$2)^2)),Ft!F$3*((1-Ft!F$7)/(1+Ft!F$39*($A555-Ft!F$2)^2)+Ft!F$7*EXP(Ft!F$40*($A555-Ft!F$2)^2)))</f>
        <v>122.21472067787863</v>
      </c>
      <c r="K555" s="3">
        <f>IF(($A555-Ft!G$2)&lt;0,Ft!G$3*((1-Ft!G$6)/(1+Ft!G$37*($A555-Ft!G$2)^2)+Ft!G$6*EXP(Ft!G$38*($A555-Ft!G$2)^2)),Ft!G$3*((1-Ft!G$7)/(1+Ft!G$39*($A555-Ft!G$2)^2)+Ft!G$7*EXP(Ft!G$40*($A555-Ft!G$2)^2)))</f>
        <v>3.2360521592630809E-2</v>
      </c>
      <c r="L555" s="3">
        <f>IF(($A555-Ft!H$2)&lt;0,Ft!H$3*((1-Ft!H$6)/(1+Ft!H$37*($A555-Ft!H$2)^2)+Ft!H$6*EXP(Ft!H$38*($A555-Ft!H$2)^2)),Ft!H$3*((1-Ft!H$7)/(1+Ft!H$39*($A555-Ft!H$2)^2)+Ft!H$7*EXP(Ft!H$40*($A555-Ft!H$2)^2)))</f>
        <v>0</v>
      </c>
      <c r="M555" s="3">
        <f>IF(($A555-Ft!I$2)&lt;0,Ft!I$3*((1-Ft!I$6)/(1+Ft!I$37*($A555-Ft!I$2)^2)+Ft!I$6*EXP(Ft!I$38*($A555-Ft!I$2)^2)),Ft!I$3*((1-Ft!I$7)/(1+Ft!I$39*($A555-Ft!I$2)^2)+Ft!I$7*EXP(Ft!I$40*($A555-Ft!I$2)^2)))</f>
        <v>0</v>
      </c>
      <c r="N555" s="3">
        <f>IF(($A555-Ft!J$2)&lt;0,Ft!J$3*((1-Ft!J$6)/(1+Ft!J$37*($A555-Ft!J$2)^2)+Ft!J$6*EXP(Ft!J$38*($A555-Ft!J$2)^2)),Ft!J$3*((1-Ft!J$7)/(1+Ft!J$39*($A555-Ft!J$2)^2)+Ft!J$7*EXP(Ft!J$40*($A555-Ft!J$2)^2)))</f>
        <v>0</v>
      </c>
      <c r="O555" s="3">
        <f>IF(($A555-Ft!K$2)&lt;0,Ft!K$3*((1-Ft!K$6)/(1+Ft!K$37*($A555-Ft!K$2)^2)+Ft!K$6*EXP(Ft!K$38*($A555-Ft!K$2)^2)),Ft!K$3*((1-Ft!K$7)/(1+Ft!K$39*($A555-Ft!K$2)^2)+Ft!K$7*EXP(Ft!K$40*($A555-Ft!K$2)^2)))</f>
        <v>0</v>
      </c>
      <c r="P555"/>
      <c r="Q555"/>
    </row>
    <row r="556" spans="1:17">
      <c r="A556" s="20">
        <v>1109</v>
      </c>
      <c r="B556" s="29">
        <v>15.651191181999934</v>
      </c>
      <c r="C556" s="7">
        <f t="shared" si="17"/>
        <v>16.126571322090903</v>
      </c>
      <c r="D556" s="3">
        <f t="shared" si="18"/>
        <v>0.22598627759290971</v>
      </c>
      <c r="E556" s="3">
        <f>Ft!$B$12+Ft!$B$14*(Data!A556-Vars!$B$3)</f>
        <v>-200</v>
      </c>
      <c r="F556" s="3">
        <f>IF(($A556-Ft!B$2)&lt;0,Ft!B$3*((1-Ft!B$6)/(1+Ft!B$37*($A556-Ft!B$2)^2)+Ft!B$6*EXP(Ft!B$38*($A556-Ft!B$2)^2)),Ft!B$3*((1-Ft!B$7)/(1+Ft!B$39*($A556-Ft!B$2)^2)+Ft!B$7*EXP(Ft!B$40*($A556-Ft!B$2)^2)))</f>
        <v>2.6438162716112514</v>
      </c>
      <c r="G556" s="3">
        <f>IF(($A556-Ft!C$2)&lt;0,Ft!C$3*((1-Ft!C$6)/(1+Ft!C$37*($A556-Ft!C$2)^2)+Ft!C$6*EXP(Ft!C$38*($A556-Ft!C$2)^2)),Ft!C$3*((1-Ft!C$7)/(1+Ft!C$39*($A556-Ft!C$2)^2)+Ft!C$7*EXP(Ft!C$40*($A556-Ft!C$2)^2)))</f>
        <v>53.667644513763697</v>
      </c>
      <c r="H556" s="3">
        <f>IF(($A556-Ft!D$2)&lt;0,Ft!D$3*((1-Ft!D$6)/(1+Ft!D$37*($A556-Ft!D$2)^2)+Ft!D$6*EXP(Ft!D$38*($A556-Ft!D$2)^2)),Ft!D$3*((1-Ft!D$7)/(1+Ft!D$39*($A556-Ft!D$2)^2)+Ft!D$7*EXP(Ft!D$40*($A556-Ft!D$2)^2)))</f>
        <v>1.1521183929755384E-136</v>
      </c>
      <c r="I556" s="3">
        <f>IF(($A556-Ft!E$2)&lt;0,Ft!E$3*((1-Ft!E$6)/(1+Ft!E$37*($A556-Ft!E$2)^2)+Ft!E$6*EXP(Ft!E$38*($A556-Ft!E$2)^2)),Ft!E$3*((1-Ft!E$7)/(1+Ft!E$39*($A556-Ft!E$2)^2)+Ft!E$7*EXP(Ft!E$40*($A556-Ft!E$2)^2)))</f>
        <v>37.279198442057087</v>
      </c>
      <c r="J556" s="3">
        <f>IF(($A556-Ft!F$2)&lt;0,Ft!F$3*((1-Ft!F$6)/(1+Ft!F$37*($A556-Ft!F$2)^2)+Ft!F$6*EXP(Ft!F$38*($A556-Ft!F$2)^2)),Ft!F$3*((1-Ft!F$7)/(1+Ft!F$39*($A556-Ft!F$2)^2)+Ft!F$7*EXP(Ft!F$40*($A556-Ft!F$2)^2)))</f>
        <v>122.50479079447754</v>
      </c>
      <c r="K556" s="3">
        <f>IF(($A556-Ft!G$2)&lt;0,Ft!G$3*((1-Ft!G$6)/(1+Ft!G$37*($A556-Ft!G$2)^2)+Ft!G$6*EXP(Ft!G$38*($A556-Ft!G$2)^2)),Ft!G$3*((1-Ft!G$7)/(1+Ft!G$39*($A556-Ft!G$2)^2)+Ft!G$7*EXP(Ft!G$40*($A556-Ft!G$2)^2)))</f>
        <v>3.1121300181319683E-2</v>
      </c>
      <c r="L556" s="3">
        <f>IF(($A556-Ft!H$2)&lt;0,Ft!H$3*((1-Ft!H$6)/(1+Ft!H$37*($A556-Ft!H$2)^2)+Ft!H$6*EXP(Ft!H$38*($A556-Ft!H$2)^2)),Ft!H$3*((1-Ft!H$7)/(1+Ft!H$39*($A556-Ft!H$2)^2)+Ft!H$7*EXP(Ft!H$40*($A556-Ft!H$2)^2)))</f>
        <v>0</v>
      </c>
      <c r="M556" s="3">
        <f>IF(($A556-Ft!I$2)&lt;0,Ft!I$3*((1-Ft!I$6)/(1+Ft!I$37*($A556-Ft!I$2)^2)+Ft!I$6*EXP(Ft!I$38*($A556-Ft!I$2)^2)),Ft!I$3*((1-Ft!I$7)/(1+Ft!I$39*($A556-Ft!I$2)^2)+Ft!I$7*EXP(Ft!I$40*($A556-Ft!I$2)^2)))</f>
        <v>0</v>
      </c>
      <c r="N556" s="3">
        <f>IF(($A556-Ft!J$2)&lt;0,Ft!J$3*((1-Ft!J$6)/(1+Ft!J$37*($A556-Ft!J$2)^2)+Ft!J$6*EXP(Ft!J$38*($A556-Ft!J$2)^2)),Ft!J$3*((1-Ft!J$7)/(1+Ft!J$39*($A556-Ft!J$2)^2)+Ft!J$7*EXP(Ft!J$40*($A556-Ft!J$2)^2)))</f>
        <v>0</v>
      </c>
      <c r="O556" s="3">
        <f>IF(($A556-Ft!K$2)&lt;0,Ft!K$3*((1-Ft!K$6)/(1+Ft!K$37*($A556-Ft!K$2)^2)+Ft!K$6*EXP(Ft!K$38*($A556-Ft!K$2)^2)),Ft!K$3*((1-Ft!K$7)/(1+Ft!K$39*($A556-Ft!K$2)^2)+Ft!K$7*EXP(Ft!K$40*($A556-Ft!K$2)^2)))</f>
        <v>0</v>
      </c>
      <c r="P556"/>
      <c r="Q556"/>
    </row>
    <row r="557" spans="1:17">
      <c r="A557" s="20">
        <v>1111</v>
      </c>
      <c r="B557" s="29">
        <v>15.407538855406827</v>
      </c>
      <c r="C557" s="7">
        <f t="shared" si="17"/>
        <v>15.912598506003134</v>
      </c>
      <c r="D557" s="3">
        <f t="shared" si="18"/>
        <v>0.25508525066046345</v>
      </c>
      <c r="E557" s="3">
        <f>Ft!$B$12+Ft!$B$14*(Data!A557-Vars!$B$3)</f>
        <v>-200</v>
      </c>
      <c r="F557" s="3">
        <f>IF(($A557-Ft!B$2)&lt;0,Ft!B$3*((1-Ft!B$6)/(1+Ft!B$37*($A557-Ft!B$2)^2)+Ft!B$6*EXP(Ft!B$38*($A557-Ft!B$2)^2)),Ft!B$3*((1-Ft!B$7)/(1+Ft!B$39*($A557-Ft!B$2)^2)+Ft!B$7*EXP(Ft!B$40*($A557-Ft!B$2)^2)))</f>
        <v>2.6104267576087441</v>
      </c>
      <c r="G557" s="3">
        <f>IF(($A557-Ft!C$2)&lt;0,Ft!C$3*((1-Ft!C$6)/(1+Ft!C$37*($A557-Ft!C$2)^2)+Ft!C$6*EXP(Ft!C$38*($A557-Ft!C$2)^2)),Ft!C$3*((1-Ft!C$7)/(1+Ft!C$39*($A557-Ft!C$2)^2)+Ft!C$7*EXP(Ft!C$40*($A557-Ft!C$2)^2)))</f>
        <v>53.618388501365473</v>
      </c>
      <c r="H557" s="3">
        <f>IF(($A557-Ft!D$2)&lt;0,Ft!D$3*((1-Ft!D$6)/(1+Ft!D$37*($A557-Ft!D$2)^2)+Ft!D$6*EXP(Ft!D$38*($A557-Ft!D$2)^2)),Ft!D$3*((1-Ft!D$7)/(1+Ft!D$39*($A557-Ft!D$2)^2)+Ft!D$7*EXP(Ft!D$40*($A557-Ft!D$2)^2)))</f>
        <v>1.7882642845449722E-137</v>
      </c>
      <c r="I557" s="3">
        <f>IF(($A557-Ft!E$2)&lt;0,Ft!E$3*((1-Ft!E$6)/(1+Ft!E$37*($A557-Ft!E$2)^2)+Ft!E$6*EXP(Ft!E$38*($A557-Ft!E$2)^2)),Ft!E$3*((1-Ft!E$7)/(1+Ft!E$39*($A557-Ft!E$2)^2)+Ft!E$7*EXP(Ft!E$40*($A557-Ft!E$2)^2)))</f>
        <v>36.859924702110597</v>
      </c>
      <c r="J557" s="3">
        <f>IF(($A557-Ft!F$2)&lt;0,Ft!F$3*((1-Ft!F$6)/(1+Ft!F$37*($A557-Ft!F$2)^2)+Ft!F$6*EXP(Ft!F$38*($A557-Ft!F$2)^2)),Ft!F$3*((1-Ft!F$7)/(1+Ft!F$39*($A557-Ft!F$2)^2)+Ft!F$7*EXP(Ft!F$40*($A557-Ft!F$2)^2)))</f>
        <v>122.79393211759685</v>
      </c>
      <c r="K557" s="3">
        <f>IF(($A557-Ft!G$2)&lt;0,Ft!G$3*((1-Ft!G$6)/(1+Ft!G$37*($A557-Ft!G$2)^2)+Ft!G$6*EXP(Ft!G$38*($A557-Ft!G$2)^2)),Ft!G$3*((1-Ft!G$7)/(1+Ft!G$39*($A557-Ft!G$2)^2)+Ft!G$7*EXP(Ft!G$40*($A557-Ft!G$2)^2)))</f>
        <v>2.9926427321482152E-2</v>
      </c>
      <c r="L557" s="3">
        <f>IF(($A557-Ft!H$2)&lt;0,Ft!H$3*((1-Ft!H$6)/(1+Ft!H$37*($A557-Ft!H$2)^2)+Ft!H$6*EXP(Ft!H$38*($A557-Ft!H$2)^2)),Ft!H$3*((1-Ft!H$7)/(1+Ft!H$39*($A557-Ft!H$2)^2)+Ft!H$7*EXP(Ft!H$40*($A557-Ft!H$2)^2)))</f>
        <v>0</v>
      </c>
      <c r="M557" s="3">
        <f>IF(($A557-Ft!I$2)&lt;0,Ft!I$3*((1-Ft!I$6)/(1+Ft!I$37*($A557-Ft!I$2)^2)+Ft!I$6*EXP(Ft!I$38*($A557-Ft!I$2)^2)),Ft!I$3*((1-Ft!I$7)/(1+Ft!I$39*($A557-Ft!I$2)^2)+Ft!I$7*EXP(Ft!I$40*($A557-Ft!I$2)^2)))</f>
        <v>0</v>
      </c>
      <c r="N557" s="3">
        <f>IF(($A557-Ft!J$2)&lt;0,Ft!J$3*((1-Ft!J$6)/(1+Ft!J$37*($A557-Ft!J$2)^2)+Ft!J$6*EXP(Ft!J$38*($A557-Ft!J$2)^2)),Ft!J$3*((1-Ft!J$7)/(1+Ft!J$39*($A557-Ft!J$2)^2)+Ft!J$7*EXP(Ft!J$40*($A557-Ft!J$2)^2)))</f>
        <v>0</v>
      </c>
      <c r="O557" s="3">
        <f>IF(($A557-Ft!K$2)&lt;0,Ft!K$3*((1-Ft!K$6)/(1+Ft!K$37*($A557-Ft!K$2)^2)+Ft!K$6*EXP(Ft!K$38*($A557-Ft!K$2)^2)),Ft!K$3*((1-Ft!K$7)/(1+Ft!K$39*($A557-Ft!K$2)^2)+Ft!K$7*EXP(Ft!K$40*($A557-Ft!K$2)^2)))</f>
        <v>0</v>
      </c>
      <c r="P557"/>
      <c r="Q557"/>
    </row>
    <row r="558" spans="1:17">
      <c r="A558" s="20">
        <v>1113</v>
      </c>
      <c r="B558" s="29">
        <v>15.16529123955408</v>
      </c>
      <c r="C558" s="7">
        <f t="shared" si="17"/>
        <v>15.700276761971137</v>
      </c>
      <c r="D558" s="3">
        <f t="shared" si="18"/>
        <v>0.28620950919585236</v>
      </c>
      <c r="E558" s="3">
        <f>Ft!$B$12+Ft!$B$14*(Data!A558-Vars!$B$3)</f>
        <v>-200</v>
      </c>
      <c r="F558" s="3">
        <f>IF(($A558-Ft!B$2)&lt;0,Ft!B$3*((1-Ft!B$6)/(1+Ft!B$37*($A558-Ft!B$2)^2)+Ft!B$6*EXP(Ft!B$38*($A558-Ft!B$2)^2)),Ft!B$3*((1-Ft!B$7)/(1+Ft!B$39*($A558-Ft!B$2)^2)+Ft!B$7*EXP(Ft!B$40*($A558-Ft!B$2)^2)))</f>
        <v>2.5774097345248079</v>
      </c>
      <c r="G558" s="3">
        <f>IF(($A558-Ft!C$2)&lt;0,Ft!C$3*((1-Ft!C$6)/(1+Ft!C$37*($A558-Ft!C$2)^2)+Ft!C$6*EXP(Ft!C$38*($A558-Ft!C$2)^2)),Ft!C$3*((1-Ft!C$7)/(1+Ft!C$39*($A558-Ft!C$2)^2)+Ft!C$7*EXP(Ft!C$40*($A558-Ft!C$2)^2)))</f>
        <v>53.568704372970885</v>
      </c>
      <c r="H558" s="3">
        <f>IF(($A558-Ft!D$2)&lt;0,Ft!D$3*((1-Ft!D$6)/(1+Ft!D$37*($A558-Ft!D$2)^2)+Ft!D$6*EXP(Ft!D$38*($A558-Ft!D$2)^2)),Ft!D$3*((1-Ft!D$7)/(1+Ft!D$39*($A558-Ft!D$2)^2)+Ft!D$7*EXP(Ft!D$40*($A558-Ft!D$2)^2)))</f>
        <v>2.7603896019974736E-138</v>
      </c>
      <c r="I558" s="3">
        <f>IF(($A558-Ft!E$2)&lt;0,Ft!E$3*((1-Ft!E$6)/(1+Ft!E$37*($A558-Ft!E$2)^2)+Ft!E$6*EXP(Ft!E$38*($A558-Ft!E$2)^2)),Ft!E$3*((1-Ft!E$7)/(1+Ft!E$39*($A558-Ft!E$2)^2)+Ft!E$7*EXP(Ft!E$40*($A558-Ft!E$2)^2)))</f>
        <v>36.443253381017172</v>
      </c>
      <c r="J558" s="3">
        <f>IF(($A558-Ft!F$2)&lt;0,Ft!F$3*((1-Ft!F$6)/(1+Ft!F$37*($A558-Ft!F$2)^2)+Ft!F$6*EXP(Ft!F$38*($A558-Ft!F$2)^2)),Ft!F$3*((1-Ft!F$7)/(1+Ft!F$39*($A558-Ft!F$2)^2)+Ft!F$7*EXP(Ft!F$40*($A558-Ft!F$2)^2)))</f>
        <v>123.08213482988791</v>
      </c>
      <c r="K558" s="3">
        <f>IF(($A558-Ft!G$2)&lt;0,Ft!G$3*((1-Ft!G$6)/(1+Ft!G$37*($A558-Ft!G$2)^2)+Ft!G$6*EXP(Ft!G$38*($A558-Ft!G$2)^2)),Ft!G$3*((1-Ft!G$7)/(1+Ft!G$39*($A558-Ft!G$2)^2)+Ft!G$7*EXP(Ft!G$40*($A558-Ft!G$2)^2)))</f>
        <v>2.8774443570368347E-2</v>
      </c>
      <c r="L558" s="3">
        <f>IF(($A558-Ft!H$2)&lt;0,Ft!H$3*((1-Ft!H$6)/(1+Ft!H$37*($A558-Ft!H$2)^2)+Ft!H$6*EXP(Ft!H$38*($A558-Ft!H$2)^2)),Ft!H$3*((1-Ft!H$7)/(1+Ft!H$39*($A558-Ft!H$2)^2)+Ft!H$7*EXP(Ft!H$40*($A558-Ft!H$2)^2)))</f>
        <v>0</v>
      </c>
      <c r="M558" s="3">
        <f>IF(($A558-Ft!I$2)&lt;0,Ft!I$3*((1-Ft!I$6)/(1+Ft!I$37*($A558-Ft!I$2)^2)+Ft!I$6*EXP(Ft!I$38*($A558-Ft!I$2)^2)),Ft!I$3*((1-Ft!I$7)/(1+Ft!I$39*($A558-Ft!I$2)^2)+Ft!I$7*EXP(Ft!I$40*($A558-Ft!I$2)^2)))</f>
        <v>0</v>
      </c>
      <c r="N558" s="3">
        <f>IF(($A558-Ft!J$2)&lt;0,Ft!J$3*((1-Ft!J$6)/(1+Ft!J$37*($A558-Ft!J$2)^2)+Ft!J$6*EXP(Ft!J$38*($A558-Ft!J$2)^2)),Ft!J$3*((1-Ft!J$7)/(1+Ft!J$39*($A558-Ft!J$2)^2)+Ft!J$7*EXP(Ft!J$40*($A558-Ft!J$2)^2)))</f>
        <v>0</v>
      </c>
      <c r="O558" s="3">
        <f>IF(($A558-Ft!K$2)&lt;0,Ft!K$3*((1-Ft!K$6)/(1+Ft!K$37*($A558-Ft!K$2)^2)+Ft!K$6*EXP(Ft!K$38*($A558-Ft!K$2)^2)),Ft!K$3*((1-Ft!K$7)/(1+Ft!K$39*($A558-Ft!K$2)^2)+Ft!K$7*EXP(Ft!K$40*($A558-Ft!K$2)^2)))</f>
        <v>0</v>
      </c>
      <c r="P558"/>
      <c r="Q558"/>
    </row>
    <row r="559" spans="1:17">
      <c r="A559" s="20">
        <v>1115</v>
      </c>
      <c r="B559" s="29">
        <v>14.924471321378192</v>
      </c>
      <c r="C559" s="7">
        <f t="shared" si="17"/>
        <v>15.489611311263028</v>
      </c>
      <c r="D559" s="3">
        <f t="shared" si="18"/>
        <v>0.3193832081670322</v>
      </c>
      <c r="E559" s="3">
        <f>Ft!$B$12+Ft!$B$14*(Data!A559-Vars!$B$3)</f>
        <v>-200</v>
      </c>
      <c r="F559" s="3">
        <f>IF(($A559-Ft!B$2)&lt;0,Ft!B$3*((1-Ft!B$6)/(1+Ft!B$37*($A559-Ft!B$2)^2)+Ft!B$6*EXP(Ft!B$38*($A559-Ft!B$2)^2)),Ft!B$3*((1-Ft!B$7)/(1+Ft!B$39*($A559-Ft!B$2)^2)+Ft!B$7*EXP(Ft!B$40*($A559-Ft!B$2)^2)))</f>
        <v>2.5447617434373346</v>
      </c>
      <c r="G559" s="3">
        <f>IF(($A559-Ft!C$2)&lt;0,Ft!C$3*((1-Ft!C$6)/(1+Ft!C$37*($A559-Ft!C$2)^2)+Ft!C$6*EXP(Ft!C$38*($A559-Ft!C$2)^2)),Ft!C$3*((1-Ft!C$7)/(1+Ft!C$39*($A559-Ft!C$2)^2)+Ft!C$7*EXP(Ft!C$40*($A559-Ft!C$2)^2)))</f>
        <v>53.518593402867566</v>
      </c>
      <c r="H559" s="3">
        <f>IF(($A559-Ft!D$2)&lt;0,Ft!D$3*((1-Ft!D$6)/(1+Ft!D$37*($A559-Ft!D$2)^2)+Ft!D$6*EXP(Ft!D$38*($A559-Ft!D$2)^2)),Ft!D$3*((1-Ft!D$7)/(1+Ft!D$39*($A559-Ft!D$2)^2)+Ft!D$7*EXP(Ft!D$40*($A559-Ft!D$2)^2)))</f>
        <v>4.2375335516802646E-139</v>
      </c>
      <c r="I559" s="3">
        <f>IF(($A559-Ft!E$2)&lt;0,Ft!E$3*((1-Ft!E$6)/(1+Ft!E$37*($A559-Ft!E$2)^2)+Ft!E$6*EXP(Ft!E$38*($A559-Ft!E$2)^2)),Ft!E$3*((1-Ft!E$7)/(1+Ft!E$39*($A559-Ft!E$2)^2)+Ft!E$7*EXP(Ft!E$40*($A559-Ft!E$2)^2)))</f>
        <v>36.029203104439176</v>
      </c>
      <c r="J559" s="3">
        <f>IF(($A559-Ft!F$2)&lt;0,Ft!F$3*((1-Ft!F$6)/(1+Ft!F$37*($A559-Ft!F$2)^2)+Ft!F$6*EXP(Ft!F$38*($A559-Ft!F$2)^2)),Ft!F$3*((1-Ft!F$7)/(1+Ft!F$39*($A559-Ft!F$2)^2)+Ft!F$7*EXP(Ft!F$40*($A559-Ft!F$2)^2)))</f>
        <v>123.36938912802471</v>
      </c>
      <c r="K559" s="3">
        <f>IF(($A559-Ft!G$2)&lt;0,Ft!G$3*((1-Ft!G$6)/(1+Ft!G$37*($A559-Ft!G$2)^2)+Ft!G$6*EXP(Ft!G$38*($A559-Ft!G$2)^2)),Ft!G$3*((1-Ft!G$7)/(1+Ft!G$39*($A559-Ft!G$2)^2)+Ft!G$7*EXP(Ft!G$40*($A559-Ft!G$2)^2)))</f>
        <v>2.7663932494244751E-2</v>
      </c>
      <c r="L559" s="3">
        <f>IF(($A559-Ft!H$2)&lt;0,Ft!H$3*((1-Ft!H$6)/(1+Ft!H$37*($A559-Ft!H$2)^2)+Ft!H$6*EXP(Ft!H$38*($A559-Ft!H$2)^2)),Ft!H$3*((1-Ft!H$7)/(1+Ft!H$39*($A559-Ft!H$2)^2)+Ft!H$7*EXP(Ft!H$40*($A559-Ft!H$2)^2)))</f>
        <v>0</v>
      </c>
      <c r="M559" s="3">
        <f>IF(($A559-Ft!I$2)&lt;0,Ft!I$3*((1-Ft!I$6)/(1+Ft!I$37*($A559-Ft!I$2)^2)+Ft!I$6*EXP(Ft!I$38*($A559-Ft!I$2)^2)),Ft!I$3*((1-Ft!I$7)/(1+Ft!I$39*($A559-Ft!I$2)^2)+Ft!I$7*EXP(Ft!I$40*($A559-Ft!I$2)^2)))</f>
        <v>0</v>
      </c>
      <c r="N559" s="3">
        <f>IF(($A559-Ft!J$2)&lt;0,Ft!J$3*((1-Ft!J$6)/(1+Ft!J$37*($A559-Ft!J$2)^2)+Ft!J$6*EXP(Ft!J$38*($A559-Ft!J$2)^2)),Ft!J$3*((1-Ft!J$7)/(1+Ft!J$39*($A559-Ft!J$2)^2)+Ft!J$7*EXP(Ft!J$40*($A559-Ft!J$2)^2)))</f>
        <v>0</v>
      </c>
      <c r="O559" s="3">
        <f>IF(($A559-Ft!K$2)&lt;0,Ft!K$3*((1-Ft!K$6)/(1+Ft!K$37*($A559-Ft!K$2)^2)+Ft!K$6*EXP(Ft!K$38*($A559-Ft!K$2)^2)),Ft!K$3*((1-Ft!K$7)/(1+Ft!K$39*($A559-Ft!K$2)^2)+Ft!K$7*EXP(Ft!K$40*($A559-Ft!K$2)^2)))</f>
        <v>0</v>
      </c>
      <c r="P559"/>
      <c r="Q559"/>
    </row>
    <row r="560" spans="1:17">
      <c r="A560" s="20">
        <v>1117</v>
      </c>
      <c r="B560" s="29">
        <v>14.685101807439679</v>
      </c>
      <c r="C560" s="7">
        <f t="shared" si="17"/>
        <v>15.280606800166424</v>
      </c>
      <c r="D560" s="3">
        <f t="shared" si="18"/>
        <v>0.35462619636248094</v>
      </c>
      <c r="E560" s="3">
        <f>Ft!$B$12+Ft!$B$14*(Data!A560-Vars!$B$3)</f>
        <v>-200</v>
      </c>
      <c r="F560" s="3">
        <f>IF(($A560-Ft!B$2)&lt;0,Ft!B$3*((1-Ft!B$6)/(1+Ft!B$37*($A560-Ft!B$2)^2)+Ft!B$6*EXP(Ft!B$38*($A560-Ft!B$2)^2)),Ft!B$3*((1-Ft!B$7)/(1+Ft!B$39*($A560-Ft!B$2)^2)+Ft!B$7*EXP(Ft!B$40*($A560-Ft!B$2)^2)))</f>
        <v>2.5124793482088972</v>
      </c>
      <c r="G560" s="3">
        <f>IF(($A560-Ft!C$2)&lt;0,Ft!C$3*((1-Ft!C$6)/(1+Ft!C$37*($A560-Ft!C$2)^2)+Ft!C$6*EXP(Ft!C$38*($A560-Ft!C$2)^2)),Ft!C$3*((1-Ft!C$7)/(1+Ft!C$39*($A560-Ft!C$2)^2)+Ft!C$7*EXP(Ft!C$40*($A560-Ft!C$2)^2)))</f>
        <v>53.468056875465855</v>
      </c>
      <c r="H560" s="3">
        <f>IF(($A560-Ft!D$2)&lt;0,Ft!D$3*((1-Ft!D$6)/(1+Ft!D$37*($A560-Ft!D$2)^2)+Ft!D$6*EXP(Ft!D$38*($A560-Ft!D$2)^2)),Ft!D$3*((1-Ft!D$7)/(1+Ft!D$39*($A560-Ft!D$2)^2)+Ft!D$7*EXP(Ft!D$40*($A560-Ft!D$2)^2)))</f>
        <v>6.4693404116811796E-140</v>
      </c>
      <c r="I560" s="3">
        <f>IF(($A560-Ft!E$2)&lt;0,Ft!E$3*((1-Ft!E$6)/(1+Ft!E$37*($A560-Ft!E$2)^2)+Ft!E$6*EXP(Ft!E$38*($A560-Ft!E$2)^2)),Ft!E$3*((1-Ft!E$7)/(1+Ft!E$39*($A560-Ft!E$2)^2)+Ft!E$7*EXP(Ft!E$40*($A560-Ft!E$2)^2)))</f>
        <v>35.617791833648383</v>
      </c>
      <c r="J560" s="3">
        <f>IF(($A560-Ft!F$2)&lt;0,Ft!F$3*((1-Ft!F$6)/(1+Ft!F$37*($A560-Ft!F$2)^2)+Ft!F$6*EXP(Ft!F$38*($A560-Ft!F$2)^2)),Ft!F$3*((1-Ft!F$7)/(1+Ft!F$39*($A560-Ft!F$2)^2)+Ft!F$7*EXP(Ft!F$40*($A560-Ft!F$2)^2)))</f>
        <v>123.65568522325376</v>
      </c>
      <c r="K560" s="3">
        <f>IF(($A560-Ft!G$2)&lt;0,Ft!G$3*((1-Ft!G$6)/(1+Ft!G$37*($A560-Ft!G$2)^2)+Ft!G$6*EXP(Ft!G$38*($A560-Ft!G$2)^2)),Ft!G$3*((1-Ft!G$7)/(1+Ft!G$39*($A560-Ft!G$2)^2)+Ft!G$7*EXP(Ft!G$40*($A560-Ft!G$2)^2)))</f>
        <v>2.6593519589525234E-2</v>
      </c>
      <c r="L560" s="3">
        <f>IF(($A560-Ft!H$2)&lt;0,Ft!H$3*((1-Ft!H$6)/(1+Ft!H$37*($A560-Ft!H$2)^2)+Ft!H$6*EXP(Ft!H$38*($A560-Ft!H$2)^2)),Ft!H$3*((1-Ft!H$7)/(1+Ft!H$39*($A560-Ft!H$2)^2)+Ft!H$7*EXP(Ft!H$40*($A560-Ft!H$2)^2)))</f>
        <v>0</v>
      </c>
      <c r="M560" s="3">
        <f>IF(($A560-Ft!I$2)&lt;0,Ft!I$3*((1-Ft!I$6)/(1+Ft!I$37*($A560-Ft!I$2)^2)+Ft!I$6*EXP(Ft!I$38*($A560-Ft!I$2)^2)),Ft!I$3*((1-Ft!I$7)/(1+Ft!I$39*($A560-Ft!I$2)^2)+Ft!I$7*EXP(Ft!I$40*($A560-Ft!I$2)^2)))</f>
        <v>0</v>
      </c>
      <c r="N560" s="3">
        <f>IF(($A560-Ft!J$2)&lt;0,Ft!J$3*((1-Ft!J$6)/(1+Ft!J$37*($A560-Ft!J$2)^2)+Ft!J$6*EXP(Ft!J$38*($A560-Ft!J$2)^2)),Ft!J$3*((1-Ft!J$7)/(1+Ft!J$39*($A560-Ft!J$2)^2)+Ft!J$7*EXP(Ft!J$40*($A560-Ft!J$2)^2)))</f>
        <v>0</v>
      </c>
      <c r="O560" s="3">
        <f>IF(($A560-Ft!K$2)&lt;0,Ft!K$3*((1-Ft!K$6)/(1+Ft!K$37*($A560-Ft!K$2)^2)+Ft!K$6*EXP(Ft!K$38*($A560-Ft!K$2)^2)),Ft!K$3*((1-Ft!K$7)/(1+Ft!K$39*($A560-Ft!K$2)^2)+Ft!K$7*EXP(Ft!K$40*($A560-Ft!K$2)^2)))</f>
        <v>0</v>
      </c>
      <c r="P560"/>
      <c r="Q560"/>
    </row>
    <row r="561" spans="1:17">
      <c r="A561" s="20">
        <v>1119</v>
      </c>
      <c r="B561" s="29">
        <v>14.447205119524696</v>
      </c>
      <c r="C561" s="7">
        <f t="shared" si="17"/>
        <v>15.07326730280389</v>
      </c>
      <c r="D561" s="3">
        <f t="shared" si="18"/>
        <v>0.39195385733231075</v>
      </c>
      <c r="E561" s="3">
        <f>Ft!$B$12+Ft!$B$14*(Data!A561-Vars!$B$3)</f>
        <v>-200</v>
      </c>
      <c r="F561" s="3">
        <f>IF(($A561-Ft!B$2)&lt;0,Ft!B$3*((1-Ft!B$6)/(1+Ft!B$37*($A561-Ft!B$2)^2)+Ft!B$6*EXP(Ft!B$38*($A561-Ft!B$2)^2)),Ft!B$3*((1-Ft!B$7)/(1+Ft!B$39*($A561-Ft!B$2)^2)+Ft!B$7*EXP(Ft!B$40*($A561-Ft!B$2)^2)))</f>
        <v>2.4805591354588068</v>
      </c>
      <c r="G561" s="3">
        <f>IF(($A561-Ft!C$2)&lt;0,Ft!C$3*((1-Ft!C$6)/(1+Ft!C$37*($A561-Ft!C$2)^2)+Ft!C$6*EXP(Ft!C$38*($A561-Ft!C$2)^2)),Ft!C$3*((1-Ft!C$7)/(1+Ft!C$39*($A561-Ft!C$2)^2)+Ft!C$7*EXP(Ft!C$40*($A561-Ft!C$2)^2)))</f>
        <v>53.417096085243934</v>
      </c>
      <c r="H561" s="3">
        <f>IF(($A561-Ft!D$2)&lt;0,Ft!D$3*((1-Ft!D$6)/(1+Ft!D$37*($A561-Ft!D$2)^2)+Ft!D$6*EXP(Ft!D$38*($A561-Ft!D$2)^2)),Ft!D$3*((1-Ft!D$7)/(1+Ft!D$39*($A561-Ft!D$2)^2)+Ft!D$7*EXP(Ft!D$40*($A561-Ft!D$2)^2)))</f>
        <v>9.8222491272003829E-141</v>
      </c>
      <c r="I561" s="3">
        <f>IF(($A561-Ft!E$2)&lt;0,Ft!E$3*((1-Ft!E$6)/(1+Ft!E$37*($A561-Ft!E$2)^2)+Ft!E$6*EXP(Ft!E$38*($A561-Ft!E$2)^2)),Ft!E$3*((1-Ft!E$7)/(1+Ft!E$39*($A561-Ft!E$2)^2)+Ft!E$7*EXP(Ft!E$40*($A561-Ft!E$2)^2)))</f>
        <v>35.209036868932543</v>
      </c>
      <c r="J561" s="3">
        <f>IF(($A561-Ft!F$2)&lt;0,Ft!F$3*((1-Ft!F$6)/(1+Ft!F$37*($A561-Ft!F$2)^2)+Ft!F$6*EXP(Ft!F$38*($A561-Ft!F$2)^2)),Ft!F$3*((1-Ft!F$7)/(1+Ft!F$39*($A561-Ft!F$2)^2)+Ft!F$7*EXP(Ft!F$40*($A561-Ft!F$2)^2)))</f>
        <v>123.94101334194445</v>
      </c>
      <c r="K561" s="3">
        <f>IF(($A561-Ft!G$2)&lt;0,Ft!G$3*((1-Ft!G$6)/(1+Ft!G$37*($A561-Ft!G$2)^2)+Ft!G$6*EXP(Ft!G$38*($A561-Ft!G$2)^2)),Ft!G$3*((1-Ft!G$7)/(1+Ft!G$39*($A561-Ft!G$2)^2)+Ft!G$7*EXP(Ft!G$40*($A561-Ft!G$2)^2)))</f>
        <v>2.5561871224147055E-2</v>
      </c>
      <c r="L561" s="3">
        <f>IF(($A561-Ft!H$2)&lt;0,Ft!H$3*((1-Ft!H$6)/(1+Ft!H$37*($A561-Ft!H$2)^2)+Ft!H$6*EXP(Ft!H$38*($A561-Ft!H$2)^2)),Ft!H$3*((1-Ft!H$7)/(1+Ft!H$39*($A561-Ft!H$2)^2)+Ft!H$7*EXP(Ft!H$40*($A561-Ft!H$2)^2)))</f>
        <v>0</v>
      </c>
      <c r="M561" s="3">
        <f>IF(($A561-Ft!I$2)&lt;0,Ft!I$3*((1-Ft!I$6)/(1+Ft!I$37*($A561-Ft!I$2)^2)+Ft!I$6*EXP(Ft!I$38*($A561-Ft!I$2)^2)),Ft!I$3*((1-Ft!I$7)/(1+Ft!I$39*($A561-Ft!I$2)^2)+Ft!I$7*EXP(Ft!I$40*($A561-Ft!I$2)^2)))</f>
        <v>0</v>
      </c>
      <c r="N561" s="3">
        <f>IF(($A561-Ft!J$2)&lt;0,Ft!J$3*((1-Ft!J$6)/(1+Ft!J$37*($A561-Ft!J$2)^2)+Ft!J$6*EXP(Ft!J$38*($A561-Ft!J$2)^2)),Ft!J$3*((1-Ft!J$7)/(1+Ft!J$39*($A561-Ft!J$2)^2)+Ft!J$7*EXP(Ft!J$40*($A561-Ft!J$2)^2)))</f>
        <v>0</v>
      </c>
      <c r="O561" s="3">
        <f>IF(($A561-Ft!K$2)&lt;0,Ft!K$3*((1-Ft!K$6)/(1+Ft!K$37*($A561-Ft!K$2)^2)+Ft!K$6*EXP(Ft!K$38*($A561-Ft!K$2)^2)),Ft!K$3*((1-Ft!K$7)/(1+Ft!K$39*($A561-Ft!K$2)^2)+Ft!K$7*EXP(Ft!K$40*($A561-Ft!K$2)^2)))</f>
        <v>0</v>
      </c>
      <c r="P561"/>
      <c r="Q561"/>
    </row>
    <row r="562" spans="1:17">
      <c r="A562" s="20">
        <v>1121</v>
      </c>
      <c r="B562" s="29">
        <v>14.210803390307817</v>
      </c>
      <c r="C562" s="7">
        <f t="shared" si="17"/>
        <v>14.867596324118228</v>
      </c>
      <c r="D562" s="3">
        <f t="shared" si="18"/>
        <v>0.43137695790328756</v>
      </c>
      <c r="E562" s="3">
        <f>Ft!$B$12+Ft!$B$14*(Data!A562-Vars!$B$3)</f>
        <v>-200</v>
      </c>
      <c r="F562" s="3">
        <f>IF(($A562-Ft!B$2)&lt;0,Ft!B$3*((1-Ft!B$6)/(1+Ft!B$37*($A562-Ft!B$2)^2)+Ft!B$6*EXP(Ft!B$38*($A562-Ft!B$2)^2)),Ft!B$3*((1-Ft!B$7)/(1+Ft!B$39*($A562-Ft!B$2)^2)+Ft!B$7*EXP(Ft!B$40*($A562-Ft!B$2)^2)))</f>
        <v>2.4489977145333639</v>
      </c>
      <c r="G562" s="3">
        <f>IF(($A562-Ft!C$2)&lt;0,Ft!C$3*((1-Ft!C$6)/(1+Ft!C$37*($A562-Ft!C$2)^2)+Ft!C$6*EXP(Ft!C$38*($A562-Ft!C$2)^2)),Ft!C$3*((1-Ft!C$7)/(1+Ft!C$39*($A562-Ft!C$2)^2)+Ft!C$7*EXP(Ft!C$40*($A562-Ft!C$2)^2)))</f>
        <v>53.365712336692603</v>
      </c>
      <c r="H562" s="3">
        <f>IF(($A562-Ft!D$2)&lt;0,Ft!D$3*((1-Ft!D$6)/(1+Ft!D$37*($A562-Ft!D$2)^2)+Ft!D$6*EXP(Ft!D$38*($A562-Ft!D$2)^2)),Ft!D$3*((1-Ft!D$7)/(1+Ft!D$39*($A562-Ft!D$2)^2)+Ft!D$7*EXP(Ft!D$40*($A562-Ft!D$2)^2)))</f>
        <v>1.4830847644822779E-141</v>
      </c>
      <c r="I562" s="3">
        <f>IF(($A562-Ft!E$2)&lt;0,Ft!E$3*((1-Ft!E$6)/(1+Ft!E$37*($A562-Ft!E$2)^2)+Ft!E$6*EXP(Ft!E$38*($A562-Ft!E$2)^2)),Ft!E$3*((1-Ft!E$7)/(1+Ft!E$39*($A562-Ft!E$2)^2)+Ft!E$7*EXP(Ft!E$40*($A562-Ft!E$2)^2)))</f>
        <v>34.80295485315358</v>
      </c>
      <c r="J562" s="3">
        <f>IF(($A562-Ft!F$2)&lt;0,Ft!F$3*((1-Ft!F$6)/(1+Ft!F$37*($A562-Ft!F$2)^2)+Ft!F$6*EXP(Ft!F$38*($A562-Ft!F$2)^2)),Ft!F$3*((1-Ft!F$7)/(1+Ft!F$39*($A562-Ft!F$2)^2)+Ft!F$7*EXP(Ft!F$40*($A562-Ft!F$2)^2)))</f>
        <v>124.22536372613962</v>
      </c>
      <c r="K562" s="3">
        <f>IF(($A562-Ft!G$2)&lt;0,Ft!G$3*((1-Ft!G$6)/(1+Ft!G$37*($A562-Ft!G$2)^2)+Ft!G$6*EXP(Ft!G$38*($A562-Ft!G$2)^2)),Ft!G$3*((1-Ft!G$7)/(1+Ft!G$39*($A562-Ft!G$2)^2)+Ft!G$7*EXP(Ft!G$40*($A562-Ft!G$2)^2)))</f>
        <v>2.4567693599055997E-2</v>
      </c>
      <c r="L562" s="3">
        <f>IF(($A562-Ft!H$2)&lt;0,Ft!H$3*((1-Ft!H$6)/(1+Ft!H$37*($A562-Ft!H$2)^2)+Ft!H$6*EXP(Ft!H$38*($A562-Ft!H$2)^2)),Ft!H$3*((1-Ft!H$7)/(1+Ft!H$39*($A562-Ft!H$2)^2)+Ft!H$7*EXP(Ft!H$40*($A562-Ft!H$2)^2)))</f>
        <v>0</v>
      </c>
      <c r="M562" s="3">
        <f>IF(($A562-Ft!I$2)&lt;0,Ft!I$3*((1-Ft!I$6)/(1+Ft!I$37*($A562-Ft!I$2)^2)+Ft!I$6*EXP(Ft!I$38*($A562-Ft!I$2)^2)),Ft!I$3*((1-Ft!I$7)/(1+Ft!I$39*($A562-Ft!I$2)^2)+Ft!I$7*EXP(Ft!I$40*($A562-Ft!I$2)^2)))</f>
        <v>0</v>
      </c>
      <c r="N562" s="3">
        <f>IF(($A562-Ft!J$2)&lt;0,Ft!J$3*((1-Ft!J$6)/(1+Ft!J$37*($A562-Ft!J$2)^2)+Ft!J$6*EXP(Ft!J$38*($A562-Ft!J$2)^2)),Ft!J$3*((1-Ft!J$7)/(1+Ft!J$39*($A562-Ft!J$2)^2)+Ft!J$7*EXP(Ft!J$40*($A562-Ft!J$2)^2)))</f>
        <v>0</v>
      </c>
      <c r="O562" s="3">
        <f>IF(($A562-Ft!K$2)&lt;0,Ft!K$3*((1-Ft!K$6)/(1+Ft!K$37*($A562-Ft!K$2)^2)+Ft!K$6*EXP(Ft!K$38*($A562-Ft!K$2)^2)),Ft!K$3*((1-Ft!K$7)/(1+Ft!K$39*($A562-Ft!K$2)^2)+Ft!K$7*EXP(Ft!K$40*($A562-Ft!K$2)^2)))</f>
        <v>0</v>
      </c>
      <c r="P562"/>
      <c r="Q562"/>
    </row>
    <row r="563" spans="1:17">
      <c r="A563" s="20">
        <v>1123</v>
      </c>
      <c r="B563" s="29">
        <v>13.975918459077306</v>
      </c>
      <c r="C563" s="7">
        <f t="shared" si="17"/>
        <v>14.663596803024726</v>
      </c>
      <c r="D563" s="3">
        <f t="shared" si="18"/>
        <v>0.47290150473426595</v>
      </c>
      <c r="E563" s="3">
        <f>Ft!$B$12+Ft!$B$14*(Data!A563-Vars!$B$3)</f>
        <v>-200</v>
      </c>
      <c r="F563" s="3">
        <f>IF(($A563-Ft!B$2)&lt;0,Ft!B$3*((1-Ft!B$6)/(1+Ft!B$37*($A563-Ft!B$2)^2)+Ft!B$6*EXP(Ft!B$38*($A563-Ft!B$2)^2)),Ft!B$3*((1-Ft!B$7)/(1+Ft!B$39*($A563-Ft!B$2)^2)+Ft!B$7*EXP(Ft!B$40*($A563-Ft!B$2)^2)))</f>
        <v>2.4177917174743468</v>
      </c>
      <c r="G563" s="3">
        <f>IF(($A563-Ft!C$2)&lt;0,Ft!C$3*((1-Ft!C$6)/(1+Ft!C$37*($A563-Ft!C$2)^2)+Ft!C$6*EXP(Ft!C$38*($A563-Ft!C$2)^2)),Ft!C$3*((1-Ft!C$7)/(1+Ft!C$39*($A563-Ft!C$2)^2)+Ft!C$7*EXP(Ft!C$40*($A563-Ft!C$2)^2)))</f>
        <v>53.313906944259656</v>
      </c>
      <c r="H563" s="3">
        <f>IF(($A563-Ft!D$2)&lt;0,Ft!D$3*((1-Ft!D$6)/(1+Ft!D$37*($A563-Ft!D$2)^2)+Ft!D$6*EXP(Ft!D$38*($A563-Ft!D$2)^2)),Ft!D$3*((1-Ft!D$7)/(1+Ft!D$39*($A563-Ft!D$2)^2)+Ft!D$7*EXP(Ft!D$40*($A563-Ft!D$2)^2)))</f>
        <v>2.2270249821237581E-142</v>
      </c>
      <c r="I563" s="3">
        <f>IF(($A563-Ft!E$2)&lt;0,Ft!E$3*((1-Ft!E$6)/(1+Ft!E$37*($A563-Ft!E$2)^2)+Ft!E$6*EXP(Ft!E$38*($A563-Ft!E$2)^2)),Ft!E$3*((1-Ft!E$7)/(1+Ft!E$39*($A563-Ft!E$2)^2)+Ft!E$7*EXP(Ft!E$40*($A563-Ft!E$2)^2)))</f>
        <v>34.3995617754547</v>
      </c>
      <c r="J563" s="3">
        <f>IF(($A563-Ft!F$2)&lt;0,Ft!F$3*((1-Ft!F$6)/(1+Ft!F$37*($A563-Ft!F$2)^2)+Ft!F$6*EXP(Ft!F$38*($A563-Ft!F$2)^2)),Ft!F$3*((1-Ft!F$7)/(1+Ft!F$39*($A563-Ft!F$2)^2)+Ft!F$7*EXP(Ft!F$40*($A563-Ft!F$2)^2)))</f>
        <v>124.50872663410635</v>
      </c>
      <c r="K563" s="3">
        <f>IF(($A563-Ft!G$2)&lt;0,Ft!G$3*((1-Ft!G$6)/(1+Ft!G$37*($A563-Ft!G$2)^2)+Ft!G$6*EXP(Ft!G$38*($A563-Ft!G$2)^2)),Ft!G$3*((1-Ft!G$7)/(1+Ft!G$39*($A563-Ft!G$2)^2)+Ft!G$7*EXP(Ft!G$40*($A563-Ft!G$2)^2)))</f>
        <v>2.3609731729657812E-2</v>
      </c>
      <c r="L563" s="3">
        <f>IF(($A563-Ft!H$2)&lt;0,Ft!H$3*((1-Ft!H$6)/(1+Ft!H$37*($A563-Ft!H$2)^2)+Ft!H$6*EXP(Ft!H$38*($A563-Ft!H$2)^2)),Ft!H$3*((1-Ft!H$7)/(1+Ft!H$39*($A563-Ft!H$2)^2)+Ft!H$7*EXP(Ft!H$40*($A563-Ft!H$2)^2)))</f>
        <v>0</v>
      </c>
      <c r="M563" s="3">
        <f>IF(($A563-Ft!I$2)&lt;0,Ft!I$3*((1-Ft!I$6)/(1+Ft!I$37*($A563-Ft!I$2)^2)+Ft!I$6*EXP(Ft!I$38*($A563-Ft!I$2)^2)),Ft!I$3*((1-Ft!I$7)/(1+Ft!I$39*($A563-Ft!I$2)^2)+Ft!I$7*EXP(Ft!I$40*($A563-Ft!I$2)^2)))</f>
        <v>0</v>
      </c>
      <c r="N563" s="3">
        <f>IF(($A563-Ft!J$2)&lt;0,Ft!J$3*((1-Ft!J$6)/(1+Ft!J$37*($A563-Ft!J$2)^2)+Ft!J$6*EXP(Ft!J$38*($A563-Ft!J$2)^2)),Ft!J$3*((1-Ft!J$7)/(1+Ft!J$39*($A563-Ft!J$2)^2)+Ft!J$7*EXP(Ft!J$40*($A563-Ft!J$2)^2)))</f>
        <v>0</v>
      </c>
      <c r="O563" s="3">
        <f>IF(($A563-Ft!K$2)&lt;0,Ft!K$3*((1-Ft!K$6)/(1+Ft!K$37*($A563-Ft!K$2)^2)+Ft!K$6*EXP(Ft!K$38*($A563-Ft!K$2)^2)),Ft!K$3*((1-Ft!K$7)/(1+Ft!K$39*($A563-Ft!K$2)^2)+Ft!K$7*EXP(Ft!K$40*($A563-Ft!K$2)^2)))</f>
        <v>0</v>
      </c>
      <c r="P563"/>
      <c r="Q563"/>
    </row>
    <row r="564" spans="1:17">
      <c r="A564" s="20">
        <v>1125</v>
      </c>
      <c r="B564" s="29">
        <v>13.742571867523864</v>
      </c>
      <c r="C564" s="7">
        <f t="shared" si="17"/>
        <v>14.461271115726797</v>
      </c>
      <c r="D564" s="3">
        <f t="shared" si="18"/>
        <v>0.51652860936746092</v>
      </c>
      <c r="E564" s="3">
        <f>Ft!$B$12+Ft!$B$14*(Data!A564-Vars!$B$3)</f>
        <v>-200</v>
      </c>
      <c r="F564" s="3">
        <f>IF(($A564-Ft!B$2)&lt;0,Ft!B$3*((1-Ft!B$6)/(1+Ft!B$37*($A564-Ft!B$2)^2)+Ft!B$6*EXP(Ft!B$38*($A564-Ft!B$2)^2)),Ft!B$3*((1-Ft!B$7)/(1+Ft!B$39*($A564-Ft!B$2)^2)+Ft!B$7*EXP(Ft!B$40*($A564-Ft!B$2)^2)))</f>
        <v>2.3869377989857332</v>
      </c>
      <c r="G564" s="3">
        <f>IF(($A564-Ft!C$2)&lt;0,Ft!C$3*((1-Ft!C$6)/(1+Ft!C$37*($A564-Ft!C$2)^2)+Ft!C$6*EXP(Ft!C$38*($A564-Ft!C$2)^2)),Ft!C$3*((1-Ft!C$7)/(1+Ft!C$39*($A564-Ft!C$2)^2)+Ft!C$7*EXP(Ft!C$40*($A564-Ft!C$2)^2)))</f>
        <v>53.261681232293874</v>
      </c>
      <c r="H564" s="3">
        <f>IF(($A564-Ft!D$2)&lt;0,Ft!D$3*((1-Ft!D$6)/(1+Ft!D$37*($A564-Ft!D$2)^2)+Ft!D$6*EXP(Ft!D$38*($A564-Ft!D$2)^2)),Ft!D$3*((1-Ft!D$7)/(1+Ft!D$39*($A564-Ft!D$2)^2)+Ft!D$7*EXP(Ft!D$40*($A564-Ft!D$2)^2)))</f>
        <v>3.3257399801511549E-143</v>
      </c>
      <c r="I564" s="3">
        <f>IF(($A564-Ft!E$2)&lt;0,Ft!E$3*((1-Ft!E$6)/(1+Ft!E$37*($A564-Ft!E$2)^2)+Ft!E$6*EXP(Ft!E$38*($A564-Ft!E$2)^2)),Ft!E$3*((1-Ft!E$7)/(1+Ft!E$39*($A564-Ft!E$2)^2)+Ft!E$7*EXP(Ft!E$40*($A564-Ft!E$2)^2)))</f>
        <v>33.99887297511313</v>
      </c>
      <c r="J564" s="3">
        <f>IF(($A564-Ft!F$2)&lt;0,Ft!F$3*((1-Ft!F$6)/(1+Ft!F$37*($A564-Ft!F$2)^2)+Ft!F$6*EXP(Ft!F$38*($A564-Ft!F$2)^2)),Ft!F$3*((1-Ft!F$7)/(1+Ft!F$39*($A564-Ft!F$2)^2)+Ft!F$7*EXP(Ft!F$40*($A564-Ft!F$2)^2)))</f>
        <v>124.79109234088696</v>
      </c>
      <c r="K564" s="3">
        <f>IF(($A564-Ft!G$2)&lt;0,Ft!G$3*((1-Ft!G$6)/(1+Ft!G$37*($A564-Ft!G$2)^2)+Ft!G$6*EXP(Ft!G$38*($A564-Ft!G$2)^2)),Ft!G$3*((1-Ft!G$7)/(1+Ft!G$39*($A564-Ft!G$2)^2)+Ft!G$7*EXP(Ft!G$40*($A564-Ft!G$2)^2)))</f>
        <v>2.2686768447082426E-2</v>
      </c>
      <c r="L564" s="3">
        <f>IF(($A564-Ft!H$2)&lt;0,Ft!H$3*((1-Ft!H$6)/(1+Ft!H$37*($A564-Ft!H$2)^2)+Ft!H$6*EXP(Ft!H$38*($A564-Ft!H$2)^2)),Ft!H$3*((1-Ft!H$7)/(1+Ft!H$39*($A564-Ft!H$2)^2)+Ft!H$7*EXP(Ft!H$40*($A564-Ft!H$2)^2)))</f>
        <v>0</v>
      </c>
      <c r="M564" s="3">
        <f>IF(($A564-Ft!I$2)&lt;0,Ft!I$3*((1-Ft!I$6)/(1+Ft!I$37*($A564-Ft!I$2)^2)+Ft!I$6*EXP(Ft!I$38*($A564-Ft!I$2)^2)),Ft!I$3*((1-Ft!I$7)/(1+Ft!I$39*($A564-Ft!I$2)^2)+Ft!I$7*EXP(Ft!I$40*($A564-Ft!I$2)^2)))</f>
        <v>0</v>
      </c>
      <c r="N564" s="3">
        <f>IF(($A564-Ft!J$2)&lt;0,Ft!J$3*((1-Ft!J$6)/(1+Ft!J$37*($A564-Ft!J$2)^2)+Ft!J$6*EXP(Ft!J$38*($A564-Ft!J$2)^2)),Ft!J$3*((1-Ft!J$7)/(1+Ft!J$39*($A564-Ft!J$2)^2)+Ft!J$7*EXP(Ft!J$40*($A564-Ft!J$2)^2)))</f>
        <v>0</v>
      </c>
      <c r="O564" s="3">
        <f>IF(($A564-Ft!K$2)&lt;0,Ft!K$3*((1-Ft!K$6)/(1+Ft!K$37*($A564-Ft!K$2)^2)+Ft!K$6*EXP(Ft!K$38*($A564-Ft!K$2)^2)),Ft!K$3*((1-Ft!K$7)/(1+Ft!K$39*($A564-Ft!K$2)^2)+Ft!K$7*EXP(Ft!K$40*($A564-Ft!K$2)^2)))</f>
        <v>0</v>
      </c>
      <c r="P564"/>
      <c r="Q564"/>
    </row>
    <row r="565" spans="1:17">
      <c r="A565" s="20">
        <v>1127</v>
      </c>
      <c r="B565" s="29">
        <v>13.510784855594565</v>
      </c>
      <c r="C565" s="7">
        <f t="shared" si="17"/>
        <v>14.260621079192344</v>
      </c>
      <c r="D565" s="3">
        <f t="shared" si="18"/>
        <v>0.56225436221937797</v>
      </c>
      <c r="E565" s="3">
        <f>Ft!$B$12+Ft!$B$14*(Data!A565-Vars!$B$3)</f>
        <v>-200</v>
      </c>
      <c r="F565" s="3">
        <f>IF(($A565-Ft!B$2)&lt;0,Ft!B$3*((1-Ft!B$6)/(1+Ft!B$37*($A565-Ft!B$2)^2)+Ft!B$6*EXP(Ft!B$38*($A565-Ft!B$2)^2)),Ft!B$3*((1-Ft!B$7)/(1+Ft!B$39*($A565-Ft!B$2)^2)+Ft!B$7*EXP(Ft!B$40*($A565-Ft!B$2)^2)))</f>
        <v>2.3564326363986905</v>
      </c>
      <c r="G565" s="3">
        <f>IF(($A565-Ft!C$2)&lt;0,Ft!C$3*((1-Ft!C$6)/(1+Ft!C$37*($A565-Ft!C$2)^2)+Ft!C$6*EXP(Ft!C$38*($A565-Ft!C$2)^2)),Ft!C$3*((1-Ft!C$7)/(1+Ft!C$39*($A565-Ft!C$2)^2)+Ft!C$7*EXP(Ft!C$40*($A565-Ft!C$2)^2)))</f>
        <v>53.209036534988599</v>
      </c>
      <c r="H565" s="3">
        <f>IF(($A565-Ft!D$2)&lt;0,Ft!D$3*((1-Ft!D$6)/(1+Ft!D$37*($A565-Ft!D$2)^2)+Ft!D$6*EXP(Ft!D$38*($A565-Ft!D$2)^2)),Ft!D$3*((1-Ft!D$7)/(1+Ft!D$39*($A565-Ft!D$2)^2)+Ft!D$7*EXP(Ft!D$40*($A565-Ft!D$2)^2)))</f>
        <v>4.9391882711545037E-144</v>
      </c>
      <c r="I565" s="3">
        <f>IF(($A565-Ft!E$2)&lt;0,Ft!E$3*((1-Ft!E$6)/(1+Ft!E$37*($A565-Ft!E$2)^2)+Ft!E$6*EXP(Ft!E$38*($A565-Ft!E$2)^2)),Ft!E$3*((1-Ft!E$7)/(1+Ft!E$39*($A565-Ft!E$2)^2)+Ft!E$7*EXP(Ft!E$40*($A565-Ft!E$2)^2)))</f>
        <v>33.600903145535675</v>
      </c>
      <c r="J565" s="3">
        <f>IF(($A565-Ft!F$2)&lt;0,Ft!F$3*((1-Ft!F$6)/(1+Ft!F$37*($A565-Ft!F$2)^2)+Ft!F$6*EXP(Ft!F$38*($A565-Ft!F$2)^2)),Ft!F$3*((1-Ft!F$7)/(1+Ft!F$39*($A565-Ft!F$2)^2)+Ft!F$7*EXP(Ft!F$40*($A565-Ft!F$2)^2)))</f>
        <v>125.07245113885027</v>
      </c>
      <c r="K565" s="3">
        <f>IF(($A565-Ft!G$2)&lt;0,Ft!G$3*((1-Ft!G$6)/(1+Ft!G$37*($A565-Ft!G$2)^2)+Ft!G$6*EXP(Ft!G$38*($A565-Ft!G$2)^2)),Ft!G$3*((1-Ft!G$7)/(1+Ft!G$39*($A565-Ft!G$2)^2)+Ft!G$7*EXP(Ft!G$40*($A565-Ft!G$2)^2)))</f>
        <v>2.1797623419100704E-2</v>
      </c>
      <c r="L565" s="3">
        <f>IF(($A565-Ft!H$2)&lt;0,Ft!H$3*((1-Ft!H$6)/(1+Ft!H$37*($A565-Ft!H$2)^2)+Ft!H$6*EXP(Ft!H$38*($A565-Ft!H$2)^2)),Ft!H$3*((1-Ft!H$7)/(1+Ft!H$39*($A565-Ft!H$2)^2)+Ft!H$7*EXP(Ft!H$40*($A565-Ft!H$2)^2)))</f>
        <v>0</v>
      </c>
      <c r="M565" s="3">
        <f>IF(($A565-Ft!I$2)&lt;0,Ft!I$3*((1-Ft!I$6)/(1+Ft!I$37*($A565-Ft!I$2)^2)+Ft!I$6*EXP(Ft!I$38*($A565-Ft!I$2)^2)),Ft!I$3*((1-Ft!I$7)/(1+Ft!I$39*($A565-Ft!I$2)^2)+Ft!I$7*EXP(Ft!I$40*($A565-Ft!I$2)^2)))</f>
        <v>0</v>
      </c>
      <c r="N565" s="3">
        <f>IF(($A565-Ft!J$2)&lt;0,Ft!J$3*((1-Ft!J$6)/(1+Ft!J$37*($A565-Ft!J$2)^2)+Ft!J$6*EXP(Ft!J$38*($A565-Ft!J$2)^2)),Ft!J$3*((1-Ft!J$7)/(1+Ft!J$39*($A565-Ft!J$2)^2)+Ft!J$7*EXP(Ft!J$40*($A565-Ft!J$2)^2)))</f>
        <v>0</v>
      </c>
      <c r="O565" s="3">
        <f>IF(($A565-Ft!K$2)&lt;0,Ft!K$3*((1-Ft!K$6)/(1+Ft!K$37*($A565-Ft!K$2)^2)+Ft!K$6*EXP(Ft!K$38*($A565-Ft!K$2)^2)),Ft!K$3*((1-Ft!K$7)/(1+Ft!K$39*($A565-Ft!K$2)^2)+Ft!K$7*EXP(Ft!K$40*($A565-Ft!K$2)^2)))</f>
        <v>0</v>
      </c>
      <c r="P565"/>
      <c r="Q565"/>
    </row>
    <row r="566" spans="1:17">
      <c r="A566" s="20">
        <v>1129</v>
      </c>
      <c r="B566" s="29">
        <v>13.280578357412594</v>
      </c>
      <c r="C566" s="7">
        <f t="shared" si="17"/>
        <v>14.061647954787086</v>
      </c>
      <c r="D566" s="3">
        <f t="shared" si="18"/>
        <v>0.6100697159427505</v>
      </c>
      <c r="E566" s="3">
        <f>Ft!$B$12+Ft!$B$14*(Data!A566-Vars!$B$3)</f>
        <v>-200</v>
      </c>
      <c r="F566" s="3">
        <f>IF(($A566-Ft!B$2)&lt;0,Ft!B$3*((1-Ft!B$6)/(1+Ft!B$37*($A566-Ft!B$2)^2)+Ft!B$6*EXP(Ft!B$38*($A566-Ft!B$2)^2)),Ft!B$3*((1-Ft!B$7)/(1+Ft!B$39*($A566-Ft!B$2)^2)+Ft!B$7*EXP(Ft!B$40*($A566-Ft!B$2)^2)))</f>
        <v>2.3262729296348961</v>
      </c>
      <c r="G566" s="3">
        <f>IF(($A566-Ft!C$2)&lt;0,Ft!C$3*((1-Ft!C$6)/(1+Ft!C$37*($A566-Ft!C$2)^2)+Ft!C$6*EXP(Ft!C$38*($A566-Ft!C$2)^2)),Ft!C$3*((1-Ft!C$7)/(1+Ft!C$39*($A566-Ft!C$2)^2)+Ft!C$7*EXP(Ft!C$40*($A566-Ft!C$2)^2)))</f>
        <v>53.155974196325005</v>
      </c>
      <c r="H566" s="3">
        <f>IF(($A566-Ft!D$2)&lt;0,Ft!D$3*((1-Ft!D$6)/(1+Ft!D$37*($A566-Ft!D$2)^2)+Ft!D$6*EXP(Ft!D$38*($A566-Ft!D$2)^2)),Ft!D$3*((1-Ft!D$7)/(1+Ft!D$39*($A566-Ft!D$2)^2)+Ft!D$7*EXP(Ft!D$40*($A566-Ft!D$2)^2)))</f>
        <v>7.2950279043318864E-145</v>
      </c>
      <c r="I566" s="3">
        <f>IF(($A566-Ft!E$2)&lt;0,Ft!E$3*((1-Ft!E$6)/(1+Ft!E$37*($A566-Ft!E$2)^2)+Ft!E$6*EXP(Ft!E$38*($A566-Ft!E$2)^2)),Ft!E$3*((1-Ft!E$7)/(1+Ft!E$39*($A566-Ft!E$2)^2)+Ft!E$7*EXP(Ft!E$40*($A566-Ft!E$2)^2)))</f>
        <v>33.205666338393939</v>
      </c>
      <c r="J566" s="3">
        <f>IF(($A566-Ft!F$2)&lt;0,Ft!F$3*((1-Ft!F$6)/(1+Ft!F$37*($A566-Ft!F$2)^2)+Ft!F$6*EXP(Ft!F$38*($A566-Ft!F$2)^2)),Ft!F$3*((1-Ft!F$7)/(1+Ft!F$39*($A566-Ft!F$2)^2)+Ft!F$7*EXP(Ft!F$40*($A566-Ft!F$2)^2)))</f>
        <v>125.35279333824275</v>
      </c>
      <c r="K566" s="3">
        <f>IF(($A566-Ft!G$2)&lt;0,Ft!G$3*((1-Ft!G$6)/(1+Ft!G$37*($A566-Ft!G$2)^2)+Ft!G$6*EXP(Ft!G$38*($A566-Ft!G$2)^2)),Ft!G$3*((1-Ft!G$7)/(1+Ft!G$39*($A566-Ft!G$2)^2)+Ft!G$7*EXP(Ft!G$40*($A566-Ft!G$2)^2)))</f>
        <v>2.0941152190525128E-2</v>
      </c>
      <c r="L566" s="3">
        <f>IF(($A566-Ft!H$2)&lt;0,Ft!H$3*((1-Ft!H$6)/(1+Ft!H$37*($A566-Ft!H$2)^2)+Ft!H$6*EXP(Ft!H$38*($A566-Ft!H$2)^2)),Ft!H$3*((1-Ft!H$7)/(1+Ft!H$39*($A566-Ft!H$2)^2)+Ft!H$7*EXP(Ft!H$40*($A566-Ft!H$2)^2)))</f>
        <v>0</v>
      </c>
      <c r="M566" s="3">
        <f>IF(($A566-Ft!I$2)&lt;0,Ft!I$3*((1-Ft!I$6)/(1+Ft!I$37*($A566-Ft!I$2)^2)+Ft!I$6*EXP(Ft!I$38*($A566-Ft!I$2)^2)),Ft!I$3*((1-Ft!I$7)/(1+Ft!I$39*($A566-Ft!I$2)^2)+Ft!I$7*EXP(Ft!I$40*($A566-Ft!I$2)^2)))</f>
        <v>0</v>
      </c>
      <c r="N566" s="3">
        <f>IF(($A566-Ft!J$2)&lt;0,Ft!J$3*((1-Ft!J$6)/(1+Ft!J$37*($A566-Ft!J$2)^2)+Ft!J$6*EXP(Ft!J$38*($A566-Ft!J$2)^2)),Ft!J$3*((1-Ft!J$7)/(1+Ft!J$39*($A566-Ft!J$2)^2)+Ft!J$7*EXP(Ft!J$40*($A566-Ft!J$2)^2)))</f>
        <v>0</v>
      </c>
      <c r="O566" s="3">
        <f>IF(($A566-Ft!K$2)&lt;0,Ft!K$3*((1-Ft!K$6)/(1+Ft!K$37*($A566-Ft!K$2)^2)+Ft!K$6*EXP(Ft!K$38*($A566-Ft!K$2)^2)),Ft!K$3*((1-Ft!K$7)/(1+Ft!K$39*($A566-Ft!K$2)^2)+Ft!K$7*EXP(Ft!K$40*($A566-Ft!K$2)^2)))</f>
        <v>0</v>
      </c>
      <c r="P566"/>
      <c r="Q566"/>
    </row>
    <row r="567" spans="1:17">
      <c r="A567" s="20">
        <v>1131</v>
      </c>
      <c r="B567" s="29">
        <v>13.051972997264414</v>
      </c>
      <c r="C567" s="7">
        <f t="shared" si="17"/>
        <v>13.864352452062336</v>
      </c>
      <c r="D567" s="3">
        <f t="shared" si="18"/>
        <v>0.6599603785777689</v>
      </c>
      <c r="E567" s="3">
        <f>Ft!$B$12+Ft!$B$14*(Data!A567-Vars!$B$3)</f>
        <v>-200</v>
      </c>
      <c r="F567" s="3">
        <f>IF(($A567-Ft!B$2)&lt;0,Ft!B$3*((1-Ft!B$6)/(1+Ft!B$37*($A567-Ft!B$2)^2)+Ft!B$6*EXP(Ft!B$38*($A567-Ft!B$2)^2)),Ft!B$3*((1-Ft!B$7)/(1+Ft!B$39*($A567-Ft!B$2)^2)+Ft!B$7*EXP(Ft!B$40*($A567-Ft!B$2)^2)))</f>
        <v>2.2964554011681493</v>
      </c>
      <c r="G567" s="3">
        <f>IF(($A567-Ft!C$2)&lt;0,Ft!C$3*((1-Ft!C$6)/(1+Ft!C$37*($A567-Ft!C$2)^2)+Ft!C$6*EXP(Ft!C$38*($A567-Ft!C$2)^2)),Ft!C$3*((1-Ft!C$7)/(1+Ft!C$39*($A567-Ft!C$2)^2)+Ft!C$7*EXP(Ft!C$40*($A567-Ft!C$2)^2)))</f>
        <v>53.102495570014916</v>
      </c>
      <c r="H567" s="3">
        <f>IF(($A567-Ft!D$2)&lt;0,Ft!D$3*((1-Ft!D$6)/(1+Ft!D$37*($A567-Ft!D$2)^2)+Ft!D$6*EXP(Ft!D$38*($A567-Ft!D$2)^2)),Ft!D$3*((1-Ft!D$7)/(1+Ft!D$39*($A567-Ft!D$2)^2)+Ft!D$7*EXP(Ft!D$40*($A567-Ft!D$2)^2)))</f>
        <v>1.0715252788950454E-145</v>
      </c>
      <c r="I567" s="3">
        <f>IF(($A567-Ft!E$2)&lt;0,Ft!E$3*((1-Ft!E$6)/(1+Ft!E$37*($A567-Ft!E$2)^2)+Ft!E$6*EXP(Ft!E$38*($A567-Ft!E$2)^2)),Ft!E$3*((1-Ft!E$7)/(1+Ft!E$39*($A567-Ft!E$2)^2)+Ft!E$7*EXP(Ft!E$40*($A567-Ft!E$2)^2)))</f>
        <v>32.813175967896349</v>
      </c>
      <c r="J567" s="3">
        <f>IF(($A567-Ft!F$2)&lt;0,Ft!F$3*((1-Ft!F$6)/(1+Ft!F$37*($A567-Ft!F$2)^2)+Ft!F$6*EXP(Ft!F$38*($A567-Ft!F$2)^2)),Ft!F$3*((1-Ft!F$7)/(1+Ft!F$39*($A567-Ft!F$2)^2)+Ft!F$7*EXP(Ft!F$40*($A567-Ft!F$2)^2)))</f>
        <v>125.63210926774001</v>
      </c>
      <c r="K567" s="3">
        <f>IF(($A567-Ft!G$2)&lt;0,Ft!G$3*((1-Ft!G$6)/(1+Ft!G$37*($A567-Ft!G$2)^2)+Ft!G$6*EXP(Ft!G$38*($A567-Ft!G$2)^2)),Ft!G$3*((1-Ft!G$7)/(1+Ft!G$39*($A567-Ft!G$2)^2)+Ft!G$7*EXP(Ft!G$40*($A567-Ft!G$2)^2)))</f>
        <v>2.0116245242918319E-2</v>
      </c>
      <c r="L567" s="3">
        <f>IF(($A567-Ft!H$2)&lt;0,Ft!H$3*((1-Ft!H$6)/(1+Ft!H$37*($A567-Ft!H$2)^2)+Ft!H$6*EXP(Ft!H$38*($A567-Ft!H$2)^2)),Ft!H$3*((1-Ft!H$7)/(1+Ft!H$39*($A567-Ft!H$2)^2)+Ft!H$7*EXP(Ft!H$40*($A567-Ft!H$2)^2)))</f>
        <v>0</v>
      </c>
      <c r="M567" s="3">
        <f>IF(($A567-Ft!I$2)&lt;0,Ft!I$3*((1-Ft!I$6)/(1+Ft!I$37*($A567-Ft!I$2)^2)+Ft!I$6*EXP(Ft!I$38*($A567-Ft!I$2)^2)),Ft!I$3*((1-Ft!I$7)/(1+Ft!I$39*($A567-Ft!I$2)^2)+Ft!I$7*EXP(Ft!I$40*($A567-Ft!I$2)^2)))</f>
        <v>0</v>
      </c>
      <c r="N567" s="3">
        <f>IF(($A567-Ft!J$2)&lt;0,Ft!J$3*((1-Ft!J$6)/(1+Ft!J$37*($A567-Ft!J$2)^2)+Ft!J$6*EXP(Ft!J$38*($A567-Ft!J$2)^2)),Ft!J$3*((1-Ft!J$7)/(1+Ft!J$39*($A567-Ft!J$2)^2)+Ft!J$7*EXP(Ft!J$40*($A567-Ft!J$2)^2)))</f>
        <v>0</v>
      </c>
      <c r="O567" s="3">
        <f>IF(($A567-Ft!K$2)&lt;0,Ft!K$3*((1-Ft!K$6)/(1+Ft!K$37*($A567-Ft!K$2)^2)+Ft!K$6*EXP(Ft!K$38*($A567-Ft!K$2)^2)),Ft!K$3*((1-Ft!K$7)/(1+Ft!K$39*($A567-Ft!K$2)^2)+Ft!K$7*EXP(Ft!K$40*($A567-Ft!K$2)^2)))</f>
        <v>0</v>
      </c>
      <c r="P567"/>
      <c r="Q567"/>
    </row>
    <row r="568" spans="1:17">
      <c r="A568" s="20">
        <v>1133</v>
      </c>
      <c r="B568" s="29">
        <v>12.824989085655375</v>
      </c>
      <c r="C568" s="7">
        <f t="shared" si="17"/>
        <v>13.668734732692698</v>
      </c>
      <c r="D568" s="3">
        <f t="shared" si="18"/>
        <v>0.71190671689443163</v>
      </c>
      <c r="E568" s="3">
        <f>Ft!$B$12+Ft!$B$14*(Data!A568-Vars!$B$3)</f>
        <v>-200</v>
      </c>
      <c r="F568" s="3">
        <f>IF(($A568-Ft!B$2)&lt;0,Ft!B$3*((1-Ft!B$6)/(1+Ft!B$37*($A568-Ft!B$2)^2)+Ft!B$6*EXP(Ft!B$38*($A568-Ft!B$2)^2)),Ft!B$3*((1-Ft!B$7)/(1+Ft!B$39*($A568-Ft!B$2)^2)+Ft!B$7*EXP(Ft!B$40*($A568-Ft!B$2)^2)))</f>
        <v>2.2669767959843625</v>
      </c>
      <c r="G568" s="3">
        <f>IF(($A568-Ft!C$2)&lt;0,Ft!C$3*((1-Ft!C$6)/(1+Ft!C$37*($A568-Ft!C$2)^2)+Ft!C$6*EXP(Ft!C$38*($A568-Ft!C$2)^2)),Ft!C$3*((1-Ft!C$7)/(1+Ft!C$39*($A568-Ft!C$2)^2)+Ft!C$7*EXP(Ft!C$40*($A568-Ft!C$2)^2)))</f>
        <v>53.048602019443294</v>
      </c>
      <c r="H568" s="3">
        <f>IF(($A568-Ft!D$2)&lt;0,Ft!D$3*((1-Ft!D$6)/(1+Ft!D$37*($A568-Ft!D$2)^2)+Ft!D$6*EXP(Ft!D$38*($A568-Ft!D$2)^2)),Ft!D$3*((1-Ft!D$7)/(1+Ft!D$39*($A568-Ft!D$2)^2)+Ft!D$7*EXP(Ft!D$40*($A568-Ft!D$2)^2)))</f>
        <v>1.5652437269827376E-146</v>
      </c>
      <c r="I568" s="3">
        <f>IF(($A568-Ft!E$2)&lt;0,Ft!E$3*((1-Ft!E$6)/(1+Ft!E$37*($A568-Ft!E$2)^2)+Ft!E$6*EXP(Ft!E$38*($A568-Ft!E$2)^2)),Ft!E$3*((1-Ft!E$7)/(1+Ft!E$39*($A568-Ft!E$2)^2)+Ft!E$7*EXP(Ft!E$40*($A568-Ft!E$2)^2)))</f>
        <v>32.423444815193527</v>
      </c>
      <c r="J568" s="3">
        <f>IF(($A568-Ft!F$2)&lt;0,Ft!F$3*((1-Ft!F$6)/(1+Ft!F$37*($A568-Ft!F$2)^2)+Ft!F$6*EXP(Ft!F$38*($A568-Ft!F$2)^2)),Ft!F$3*((1-Ft!F$7)/(1+Ft!F$39*($A568-Ft!F$2)^2)+Ft!F$7*EXP(Ft!F$40*($A568-Ft!F$2)^2)))</f>
        <v>125.91038927499807</v>
      </c>
      <c r="K568" s="3">
        <f>IF(($A568-Ft!G$2)&lt;0,Ft!G$3*((1-Ft!G$6)/(1+Ft!G$37*($A568-Ft!G$2)^2)+Ft!G$6*EXP(Ft!G$38*($A568-Ft!G$2)^2)),Ft!G$3*((1-Ft!G$7)/(1+Ft!G$39*($A568-Ft!G$2)^2)+Ft!G$7*EXP(Ft!G$40*($A568-Ft!G$2)^2)))</f>
        <v>1.9321827073426896E-2</v>
      </c>
      <c r="L568" s="3">
        <f>IF(($A568-Ft!H$2)&lt;0,Ft!H$3*((1-Ft!H$6)/(1+Ft!H$37*($A568-Ft!H$2)^2)+Ft!H$6*EXP(Ft!H$38*($A568-Ft!H$2)^2)),Ft!H$3*((1-Ft!H$7)/(1+Ft!H$39*($A568-Ft!H$2)^2)+Ft!H$7*EXP(Ft!H$40*($A568-Ft!H$2)^2)))</f>
        <v>0</v>
      </c>
      <c r="M568" s="3">
        <f>IF(($A568-Ft!I$2)&lt;0,Ft!I$3*((1-Ft!I$6)/(1+Ft!I$37*($A568-Ft!I$2)^2)+Ft!I$6*EXP(Ft!I$38*($A568-Ft!I$2)^2)),Ft!I$3*((1-Ft!I$7)/(1+Ft!I$39*($A568-Ft!I$2)^2)+Ft!I$7*EXP(Ft!I$40*($A568-Ft!I$2)^2)))</f>
        <v>0</v>
      </c>
      <c r="N568" s="3">
        <f>IF(($A568-Ft!J$2)&lt;0,Ft!J$3*((1-Ft!J$6)/(1+Ft!J$37*($A568-Ft!J$2)^2)+Ft!J$6*EXP(Ft!J$38*($A568-Ft!J$2)^2)),Ft!J$3*((1-Ft!J$7)/(1+Ft!J$39*($A568-Ft!J$2)^2)+Ft!J$7*EXP(Ft!J$40*($A568-Ft!J$2)^2)))</f>
        <v>0</v>
      </c>
      <c r="O568" s="3">
        <f>IF(($A568-Ft!K$2)&lt;0,Ft!K$3*((1-Ft!K$6)/(1+Ft!K$37*($A568-Ft!K$2)^2)+Ft!K$6*EXP(Ft!K$38*($A568-Ft!K$2)^2)),Ft!K$3*((1-Ft!K$7)/(1+Ft!K$39*($A568-Ft!K$2)^2)+Ft!K$7*EXP(Ft!K$40*($A568-Ft!K$2)^2)))</f>
        <v>0</v>
      </c>
      <c r="P568" s="29"/>
      <c r="Q568"/>
    </row>
    <row r="569" spans="1:17">
      <c r="A569" s="20">
        <v>1135</v>
      </c>
      <c r="B569" s="29">
        <v>12.599646615434921</v>
      </c>
      <c r="C569" s="7">
        <f t="shared" si="17"/>
        <v>13.474794414561934</v>
      </c>
      <c r="D569" s="3">
        <f t="shared" si="18"/>
        <v>0.76588367031685567</v>
      </c>
      <c r="E569" s="3">
        <f>Ft!$B$12+Ft!$B$14*(Data!A569-Vars!$B$3)</f>
        <v>-200</v>
      </c>
      <c r="F569" s="3">
        <f>IF(($A569-Ft!B$2)&lt;0,Ft!B$3*((1-Ft!B$6)/(1+Ft!B$37*($A569-Ft!B$2)^2)+Ft!B$6*EXP(Ft!B$38*($A569-Ft!B$2)^2)),Ft!B$3*((1-Ft!B$7)/(1+Ft!B$39*($A569-Ft!B$2)^2)+Ft!B$7*EXP(Ft!B$40*($A569-Ft!B$2)^2)))</f>
        <v>2.2378338815399177</v>
      </c>
      <c r="G569" s="3">
        <f>IF(($A569-Ft!C$2)&lt;0,Ft!C$3*((1-Ft!C$6)/(1+Ft!C$37*($A569-Ft!C$2)^2)+Ft!C$6*EXP(Ft!C$38*($A569-Ft!C$2)^2)),Ft!C$3*((1-Ft!C$7)/(1+Ft!C$39*($A569-Ft!C$2)^2)+Ft!C$7*EXP(Ft!C$40*($A569-Ft!C$2)^2)))</f>
        <v>52.994294917610347</v>
      </c>
      <c r="H569" s="3">
        <f>IF(($A569-Ft!D$2)&lt;0,Ft!D$3*((1-Ft!D$6)/(1+Ft!D$37*($A569-Ft!D$2)^2)+Ft!D$6*EXP(Ft!D$38*($A569-Ft!D$2)^2)),Ft!D$3*((1-Ft!D$7)/(1+Ft!D$39*($A569-Ft!D$2)^2)+Ft!D$7*EXP(Ft!D$40*($A569-Ft!D$2)^2)))</f>
        <v>2.2738698843105513E-147</v>
      </c>
      <c r="I569" s="3">
        <f>IF(($A569-Ft!E$2)&lt;0,Ft!E$3*((1-Ft!E$6)/(1+Ft!E$37*($A569-Ft!E$2)^2)+Ft!E$6*EXP(Ft!E$38*($A569-Ft!E$2)^2)),Ft!E$3*((1-Ft!E$7)/(1+Ft!E$39*($A569-Ft!E$2)^2)+Ft!E$7*EXP(Ft!E$40*($A569-Ft!E$2)^2)))</f>
        <v>32.036485032914356</v>
      </c>
      <c r="J569" s="3">
        <f>IF(($A569-Ft!F$2)&lt;0,Ft!F$3*((1-Ft!F$6)/(1+Ft!F$37*($A569-Ft!F$2)^2)+Ft!F$6*EXP(Ft!F$38*($A569-Ft!F$2)^2)),Ft!F$3*((1-Ft!F$7)/(1+Ft!F$39*($A569-Ft!F$2)^2)+Ft!F$7*EXP(Ft!F$40*($A569-Ft!F$2)^2)))</f>
        <v>126.18762372720475</v>
      </c>
      <c r="K569" s="3">
        <f>IF(($A569-Ft!G$2)&lt;0,Ft!G$3*((1-Ft!G$6)/(1+Ft!G$37*($A569-Ft!G$2)^2)+Ft!G$6*EXP(Ft!G$38*($A569-Ft!G$2)^2)),Ft!G$3*((1-Ft!G$7)/(1+Ft!G$39*($A569-Ft!G$2)^2)+Ft!G$7*EXP(Ft!G$40*($A569-Ft!G$2)^2)))</f>
        <v>1.8556855292551709E-2</v>
      </c>
      <c r="L569" s="3">
        <f>IF(($A569-Ft!H$2)&lt;0,Ft!H$3*((1-Ft!H$6)/(1+Ft!H$37*($A569-Ft!H$2)^2)+Ft!H$6*EXP(Ft!H$38*($A569-Ft!H$2)^2)),Ft!H$3*((1-Ft!H$7)/(1+Ft!H$39*($A569-Ft!H$2)^2)+Ft!H$7*EXP(Ft!H$40*($A569-Ft!H$2)^2)))</f>
        <v>0</v>
      </c>
      <c r="M569" s="3">
        <f>IF(($A569-Ft!I$2)&lt;0,Ft!I$3*((1-Ft!I$6)/(1+Ft!I$37*($A569-Ft!I$2)^2)+Ft!I$6*EXP(Ft!I$38*($A569-Ft!I$2)^2)),Ft!I$3*((1-Ft!I$7)/(1+Ft!I$39*($A569-Ft!I$2)^2)+Ft!I$7*EXP(Ft!I$40*($A569-Ft!I$2)^2)))</f>
        <v>0</v>
      </c>
      <c r="N569" s="3">
        <f>IF(($A569-Ft!J$2)&lt;0,Ft!J$3*((1-Ft!J$6)/(1+Ft!J$37*($A569-Ft!J$2)^2)+Ft!J$6*EXP(Ft!J$38*($A569-Ft!J$2)^2)),Ft!J$3*((1-Ft!J$7)/(1+Ft!J$39*($A569-Ft!J$2)^2)+Ft!J$7*EXP(Ft!J$40*($A569-Ft!J$2)^2)))</f>
        <v>0</v>
      </c>
      <c r="O569" s="3">
        <f>IF(($A569-Ft!K$2)&lt;0,Ft!K$3*((1-Ft!K$6)/(1+Ft!K$37*($A569-Ft!K$2)^2)+Ft!K$6*EXP(Ft!K$38*($A569-Ft!K$2)^2)),Ft!K$3*((1-Ft!K$7)/(1+Ft!K$39*($A569-Ft!K$2)^2)+Ft!K$7*EXP(Ft!K$40*($A569-Ft!K$2)^2)))</f>
        <v>0</v>
      </c>
      <c r="P569" s="29"/>
      <c r="Q569"/>
    </row>
    <row r="570" spans="1:17">
      <c r="A570" s="20">
        <v>1137</v>
      </c>
      <c r="B570" s="29">
        <v>12.375965257992604</v>
      </c>
      <c r="C570" s="7">
        <f t="shared" si="17"/>
        <v>13.282530575992732</v>
      </c>
      <c r="D570" s="3">
        <f t="shared" si="18"/>
        <v>0.82186067580067335</v>
      </c>
      <c r="E570" s="3">
        <f>Ft!$B$12+Ft!$B$14*(Data!A570-Vars!$B$3)</f>
        <v>-200</v>
      </c>
      <c r="F570" s="3">
        <f>IF(($A570-Ft!B$2)&lt;0,Ft!B$3*((1-Ft!B$6)/(1+Ft!B$37*($A570-Ft!B$2)^2)+Ft!B$6*EXP(Ft!B$38*($A570-Ft!B$2)^2)),Ft!B$3*((1-Ft!B$7)/(1+Ft!B$39*($A570-Ft!B$2)^2)+Ft!B$7*EXP(Ft!B$40*($A570-Ft!B$2)^2)))</f>
        <v>2.2090234477184221</v>
      </c>
      <c r="G570" s="3">
        <f>IF(($A570-Ft!C$2)&lt;0,Ft!C$3*((1-Ft!C$6)/(1+Ft!C$37*($A570-Ft!C$2)^2)+Ft!C$6*EXP(Ft!C$38*($A570-Ft!C$2)^2)),Ft!C$3*((1-Ft!C$7)/(1+Ft!C$39*($A570-Ft!C$2)^2)+Ft!C$7*EXP(Ft!C$40*($A570-Ft!C$2)^2)))</f>
        <v>52.939575647073241</v>
      </c>
      <c r="H570" s="3">
        <f>IF(($A570-Ft!D$2)&lt;0,Ft!D$3*((1-Ft!D$6)/(1+Ft!D$37*($A570-Ft!D$2)^2)+Ft!D$6*EXP(Ft!D$38*($A570-Ft!D$2)^2)),Ft!D$3*((1-Ft!D$7)/(1+Ft!D$39*($A570-Ft!D$2)^2)+Ft!D$7*EXP(Ft!D$40*($A570-Ft!D$2)^2)))</f>
        <v>3.2851358585749473E-148</v>
      </c>
      <c r="I570" s="3">
        <f>IF(($A570-Ft!E$2)&lt;0,Ft!E$3*((1-Ft!E$6)/(1+Ft!E$37*($A570-Ft!E$2)^2)+Ft!E$6*EXP(Ft!E$38*($A570-Ft!E$2)^2)),Ft!E$3*((1-Ft!E$7)/(1+Ft!E$39*($A570-Ft!E$2)^2)+Ft!E$7*EXP(Ft!E$40*($A570-Ft!E$2)^2)))</f>
        <v>31.652308149829388</v>
      </c>
      <c r="J570" s="3">
        <f>IF(($A570-Ft!F$2)&lt;0,Ft!F$3*((1-Ft!F$6)/(1+Ft!F$37*($A570-Ft!F$2)^2)+Ft!F$6*EXP(Ft!F$38*($A570-Ft!F$2)^2)),Ft!F$3*((1-Ft!F$7)/(1+Ft!F$39*($A570-Ft!F$2)^2)+Ft!F$7*EXP(Ft!F$40*($A570-Ft!F$2)^2)))</f>
        <v>126.46380301163103</v>
      </c>
      <c r="K570" s="3">
        <f>IF(($A570-Ft!G$2)&lt;0,Ft!G$3*((1-Ft!G$6)/(1+Ft!G$37*($A570-Ft!G$2)^2)+Ft!G$6*EXP(Ft!G$38*($A570-Ft!G$2)^2)),Ft!G$3*((1-Ft!G$7)/(1+Ft!G$39*($A570-Ft!G$2)^2)+Ft!G$7*EXP(Ft!G$40*($A570-Ft!G$2)^2)))</f>
        <v>1.7820319740658685E-2</v>
      </c>
      <c r="L570" s="3">
        <f>IF(($A570-Ft!H$2)&lt;0,Ft!H$3*((1-Ft!H$6)/(1+Ft!H$37*($A570-Ft!H$2)^2)+Ft!H$6*EXP(Ft!H$38*($A570-Ft!H$2)^2)),Ft!H$3*((1-Ft!H$7)/(1+Ft!H$39*($A570-Ft!H$2)^2)+Ft!H$7*EXP(Ft!H$40*($A570-Ft!H$2)^2)))</f>
        <v>0</v>
      </c>
      <c r="M570" s="3">
        <f>IF(($A570-Ft!I$2)&lt;0,Ft!I$3*((1-Ft!I$6)/(1+Ft!I$37*($A570-Ft!I$2)^2)+Ft!I$6*EXP(Ft!I$38*($A570-Ft!I$2)^2)),Ft!I$3*((1-Ft!I$7)/(1+Ft!I$39*($A570-Ft!I$2)^2)+Ft!I$7*EXP(Ft!I$40*($A570-Ft!I$2)^2)))</f>
        <v>0</v>
      </c>
      <c r="N570" s="3">
        <f>IF(($A570-Ft!J$2)&lt;0,Ft!J$3*((1-Ft!J$6)/(1+Ft!J$37*($A570-Ft!J$2)^2)+Ft!J$6*EXP(Ft!J$38*($A570-Ft!J$2)^2)),Ft!J$3*((1-Ft!J$7)/(1+Ft!J$39*($A570-Ft!J$2)^2)+Ft!J$7*EXP(Ft!J$40*($A570-Ft!J$2)^2)))</f>
        <v>0</v>
      </c>
      <c r="O570" s="3">
        <f>IF(($A570-Ft!K$2)&lt;0,Ft!K$3*((1-Ft!K$6)/(1+Ft!K$37*($A570-Ft!K$2)^2)+Ft!K$6*EXP(Ft!K$38*($A570-Ft!K$2)^2)),Ft!K$3*((1-Ft!K$7)/(1+Ft!K$39*($A570-Ft!K$2)^2)+Ft!K$7*EXP(Ft!K$40*($A570-Ft!K$2)^2)))</f>
        <v>0</v>
      </c>
      <c r="P570" s="29"/>
      <c r="Q570"/>
    </row>
    <row r="571" spans="1:17">
      <c r="A571" s="20">
        <v>1139</v>
      </c>
      <c r="B571" s="29">
        <v>12.153964359525801</v>
      </c>
      <c r="C571" s="7">
        <f t="shared" si="17"/>
        <v>13.091941760116942</v>
      </c>
      <c r="D571" s="3">
        <f t="shared" si="18"/>
        <v>0.8798016040197133</v>
      </c>
      <c r="E571" s="3">
        <f>Ft!$B$12+Ft!$B$14*(Data!A571-Vars!$B$3)</f>
        <v>-200</v>
      </c>
      <c r="F571" s="3">
        <f>IF(($A571-Ft!B$2)&lt;0,Ft!B$3*((1-Ft!B$6)/(1+Ft!B$37*($A571-Ft!B$2)^2)+Ft!B$6*EXP(Ft!B$38*($A571-Ft!B$2)^2)),Ft!B$3*((1-Ft!B$7)/(1+Ft!B$39*($A571-Ft!B$2)^2)+Ft!B$7*EXP(Ft!B$40*($A571-Ft!B$2)^2)))</f>
        <v>2.1805423067859109</v>
      </c>
      <c r="G571" s="3">
        <f>IF(($A571-Ft!C$2)&lt;0,Ft!C$3*((1-Ft!C$6)/(1+Ft!C$37*($A571-Ft!C$2)^2)+Ft!C$6*EXP(Ft!C$38*($A571-Ft!C$2)^2)),Ft!C$3*((1-Ft!C$7)/(1+Ft!C$39*($A571-Ft!C$2)^2)+Ft!C$7*EXP(Ft!C$40*($A571-Ft!C$2)^2)))</f>
        <v>52.884445599887528</v>
      </c>
      <c r="H571" s="3">
        <f>IF(($A571-Ft!D$2)&lt;0,Ft!D$3*((1-Ft!D$6)/(1+Ft!D$37*($A571-Ft!D$2)^2)+Ft!D$6*EXP(Ft!D$38*($A571-Ft!D$2)^2)),Ft!D$3*((1-Ft!D$7)/(1+Ft!D$39*($A571-Ft!D$2)^2)+Ft!D$7*EXP(Ft!D$40*($A571-Ft!D$2)^2)))</f>
        <v>4.7200342147943488E-149</v>
      </c>
      <c r="I571" s="3">
        <f>IF(($A571-Ft!E$2)&lt;0,Ft!E$3*((1-Ft!E$6)/(1+Ft!E$37*($A571-Ft!E$2)^2)+Ft!E$6*EXP(Ft!E$38*($A571-Ft!E$2)^2)),Ft!E$3*((1-Ft!E$7)/(1+Ft!E$39*($A571-Ft!E$2)^2)+Ft!E$7*EXP(Ft!E$40*($A571-Ft!E$2)^2)))</f>
        <v>31.27092507563836</v>
      </c>
      <c r="J571" s="3">
        <f>IF(($A571-Ft!F$2)&lt;0,Ft!F$3*((1-Ft!F$6)/(1+Ft!F$37*($A571-Ft!F$2)^2)+Ft!F$6*EXP(Ft!F$38*($A571-Ft!F$2)^2)),Ft!F$3*((1-Ft!F$7)/(1+Ft!F$39*($A571-Ft!F$2)^2)+Ft!F$7*EXP(Ft!F$40*($A571-Ft!F$2)^2)))</f>
        <v>126.7389175361821</v>
      </c>
      <c r="K571" s="3">
        <f>IF(($A571-Ft!G$2)&lt;0,Ft!G$3*((1-Ft!G$6)/(1+Ft!G$37*($A571-Ft!G$2)^2)+Ft!G$6*EXP(Ft!G$38*($A571-Ft!G$2)^2)),Ft!G$3*((1-Ft!G$7)/(1+Ft!G$39*($A571-Ft!G$2)^2)+Ft!G$7*EXP(Ft!G$40*($A571-Ft!G$2)^2)))</f>
        <v>1.7111241623030227E-2</v>
      </c>
      <c r="L571" s="3">
        <f>IF(($A571-Ft!H$2)&lt;0,Ft!H$3*((1-Ft!H$6)/(1+Ft!H$37*($A571-Ft!H$2)^2)+Ft!H$6*EXP(Ft!H$38*($A571-Ft!H$2)^2)),Ft!H$3*((1-Ft!H$7)/(1+Ft!H$39*($A571-Ft!H$2)^2)+Ft!H$7*EXP(Ft!H$40*($A571-Ft!H$2)^2)))</f>
        <v>0</v>
      </c>
      <c r="M571" s="3">
        <f>IF(($A571-Ft!I$2)&lt;0,Ft!I$3*((1-Ft!I$6)/(1+Ft!I$37*($A571-Ft!I$2)^2)+Ft!I$6*EXP(Ft!I$38*($A571-Ft!I$2)^2)),Ft!I$3*((1-Ft!I$7)/(1+Ft!I$39*($A571-Ft!I$2)^2)+Ft!I$7*EXP(Ft!I$40*($A571-Ft!I$2)^2)))</f>
        <v>0</v>
      </c>
      <c r="N571" s="3">
        <f>IF(($A571-Ft!J$2)&lt;0,Ft!J$3*((1-Ft!J$6)/(1+Ft!J$37*($A571-Ft!J$2)^2)+Ft!J$6*EXP(Ft!J$38*($A571-Ft!J$2)^2)),Ft!J$3*((1-Ft!J$7)/(1+Ft!J$39*($A571-Ft!J$2)^2)+Ft!J$7*EXP(Ft!J$40*($A571-Ft!J$2)^2)))</f>
        <v>0</v>
      </c>
      <c r="O571" s="3">
        <f>IF(($A571-Ft!K$2)&lt;0,Ft!K$3*((1-Ft!K$6)/(1+Ft!K$37*($A571-Ft!K$2)^2)+Ft!K$6*EXP(Ft!K$38*($A571-Ft!K$2)^2)),Ft!K$3*((1-Ft!K$7)/(1+Ft!K$39*($A571-Ft!K$2)^2)+Ft!K$7*EXP(Ft!K$40*($A571-Ft!K$2)^2)))</f>
        <v>0</v>
      </c>
      <c r="P571" s="29"/>
      <c r="Q571"/>
    </row>
    <row r="572" spans="1:17">
      <c r="A572" s="20">
        <v>1141</v>
      </c>
      <c r="B572" s="29">
        <v>11.933662937380504</v>
      </c>
      <c r="C572" s="7">
        <f t="shared" si="17"/>
        <v>12.90302597938337</v>
      </c>
      <c r="D572" s="3">
        <f t="shared" si="18"/>
        <v>0.93966470720105111</v>
      </c>
      <c r="E572" s="3">
        <f>Ft!$B$12+Ft!$B$14*(Data!A572-Vars!$B$3)</f>
        <v>-200</v>
      </c>
      <c r="F572" s="3">
        <f>IF(($A572-Ft!B$2)&lt;0,Ft!B$3*((1-Ft!B$6)/(1+Ft!B$37*($A572-Ft!B$2)^2)+Ft!B$6*EXP(Ft!B$38*($A572-Ft!B$2)^2)),Ft!B$3*((1-Ft!B$7)/(1+Ft!B$39*($A572-Ft!B$2)^2)+Ft!B$7*EXP(Ft!B$40*($A572-Ft!B$2)^2)))</f>
        <v>2.1523872933444763</v>
      </c>
      <c r="G572" s="3">
        <f>IF(($A572-Ft!C$2)&lt;0,Ft!C$3*((1-Ft!C$6)/(1+Ft!C$37*($A572-Ft!C$2)^2)+Ft!C$6*EXP(Ft!C$38*($A572-Ft!C$2)^2)),Ft!C$3*((1-Ft!C$7)/(1+Ft!C$39*($A572-Ft!C$2)^2)+Ft!C$7*EXP(Ft!C$40*($A572-Ft!C$2)^2)))</f>
        <v>52.82890617754812</v>
      </c>
      <c r="H572" s="3">
        <f>IF(($A572-Ft!D$2)&lt;0,Ft!D$3*((1-Ft!D$6)/(1+Ft!D$37*($A572-Ft!D$2)^2)+Ft!D$6*EXP(Ft!D$38*($A572-Ft!D$2)^2)),Ft!D$3*((1-Ft!D$7)/(1+Ft!D$39*($A572-Ft!D$2)^2)+Ft!D$7*EXP(Ft!D$40*($A572-Ft!D$2)^2)))</f>
        <v>6.7443646885163186E-150</v>
      </c>
      <c r="I572" s="3">
        <f>IF(($A572-Ft!E$2)&lt;0,Ft!E$3*((1-Ft!E$6)/(1+Ft!E$37*($A572-Ft!E$2)^2)+Ft!E$6*EXP(Ft!E$38*($A572-Ft!E$2)^2)),Ft!E$3*((1-Ft!E$7)/(1+Ft!E$39*($A572-Ft!E$2)^2)+Ft!E$7*EXP(Ft!E$40*($A572-Ft!E$2)^2)))</f>
        <v>30.892346105879028</v>
      </c>
      <c r="J572" s="3">
        <f>IF(($A572-Ft!F$2)&lt;0,Ft!F$3*((1-Ft!F$6)/(1+Ft!F$37*($A572-Ft!F$2)^2)+Ft!F$6*EXP(Ft!F$38*($A572-Ft!F$2)^2)),Ft!F$3*((1-Ft!F$7)/(1+Ft!F$39*($A572-Ft!F$2)^2)+Ft!F$7*EXP(Ft!F$40*($A572-Ft!F$2)^2)))</f>
        <v>127.01295772994851</v>
      </c>
      <c r="K572" s="3">
        <f>IF(($A572-Ft!G$2)&lt;0,Ft!G$3*((1-Ft!G$6)/(1+Ft!G$37*($A572-Ft!G$2)^2)+Ft!G$6*EXP(Ft!G$38*($A572-Ft!G$2)^2)),Ft!G$3*((1-Ft!G$7)/(1+Ft!G$39*($A572-Ft!G$2)^2)+Ft!G$7*EXP(Ft!G$40*($A572-Ft!G$2)^2)))</f>
        <v>1.6428672663250359E-2</v>
      </c>
      <c r="L572" s="3">
        <f>IF(($A572-Ft!H$2)&lt;0,Ft!H$3*((1-Ft!H$6)/(1+Ft!H$37*($A572-Ft!H$2)^2)+Ft!H$6*EXP(Ft!H$38*($A572-Ft!H$2)^2)),Ft!H$3*((1-Ft!H$7)/(1+Ft!H$39*($A572-Ft!H$2)^2)+Ft!H$7*EXP(Ft!H$40*($A572-Ft!H$2)^2)))</f>
        <v>0</v>
      </c>
      <c r="M572" s="3">
        <f>IF(($A572-Ft!I$2)&lt;0,Ft!I$3*((1-Ft!I$6)/(1+Ft!I$37*($A572-Ft!I$2)^2)+Ft!I$6*EXP(Ft!I$38*($A572-Ft!I$2)^2)),Ft!I$3*((1-Ft!I$7)/(1+Ft!I$39*($A572-Ft!I$2)^2)+Ft!I$7*EXP(Ft!I$40*($A572-Ft!I$2)^2)))</f>
        <v>0</v>
      </c>
      <c r="N572" s="3">
        <f>IF(($A572-Ft!J$2)&lt;0,Ft!J$3*((1-Ft!J$6)/(1+Ft!J$37*($A572-Ft!J$2)^2)+Ft!J$6*EXP(Ft!J$38*($A572-Ft!J$2)^2)),Ft!J$3*((1-Ft!J$7)/(1+Ft!J$39*($A572-Ft!J$2)^2)+Ft!J$7*EXP(Ft!J$40*($A572-Ft!J$2)^2)))</f>
        <v>0</v>
      </c>
      <c r="O572" s="3">
        <f>IF(($A572-Ft!K$2)&lt;0,Ft!K$3*((1-Ft!K$6)/(1+Ft!K$37*($A572-Ft!K$2)^2)+Ft!K$6*EXP(Ft!K$38*($A572-Ft!K$2)^2)),Ft!K$3*((1-Ft!K$7)/(1+Ft!K$39*($A572-Ft!K$2)^2)+Ft!K$7*EXP(Ft!K$40*($A572-Ft!K$2)^2)))</f>
        <v>0</v>
      </c>
      <c r="P572" s="29"/>
      <c r="Q572"/>
    </row>
    <row r="573" spans="1:17">
      <c r="A573" s="20">
        <v>1143</v>
      </c>
      <c r="B573" s="29">
        <v>11.774069085736473</v>
      </c>
      <c r="C573" s="7">
        <f t="shared" si="17"/>
        <v>12.715780720199882</v>
      </c>
      <c r="D573" s="3">
        <f t="shared" si="18"/>
        <v>0.88682080248374628</v>
      </c>
      <c r="E573" s="3">
        <f>Ft!$B$12+Ft!$B$14*(Data!A573-Vars!$B$3)</f>
        <v>-200</v>
      </c>
      <c r="F573" s="3">
        <f>IF(($A573-Ft!B$2)&lt;0,Ft!B$3*((1-Ft!B$6)/(1+Ft!B$37*($A573-Ft!B$2)^2)+Ft!B$6*EXP(Ft!B$38*($A573-Ft!B$2)^2)),Ft!B$3*((1-Ft!B$7)/(1+Ft!B$39*($A573-Ft!B$2)^2)+Ft!B$7*EXP(Ft!B$40*($A573-Ft!B$2)^2)))</f>
        <v>2.1245552642844139</v>
      </c>
      <c r="G573" s="3">
        <f>IF(($A573-Ft!C$2)&lt;0,Ft!C$3*((1-Ft!C$6)/(1+Ft!C$37*($A573-Ft!C$2)^2)+Ft!C$6*EXP(Ft!C$38*($A573-Ft!C$2)^2)),Ft!C$3*((1-Ft!C$7)/(1+Ft!C$39*($A573-Ft!C$2)^2)+Ft!C$7*EXP(Ft!C$40*($A573-Ft!C$2)^2)))</f>
        <v>52.772958790929984</v>
      </c>
      <c r="H573" s="3">
        <f>IF(($A573-Ft!D$2)&lt;0,Ft!D$3*((1-Ft!D$6)/(1+Ft!D$37*($A573-Ft!D$2)^2)+Ft!D$6*EXP(Ft!D$38*($A573-Ft!D$2)^2)),Ft!D$3*((1-Ft!D$7)/(1+Ft!D$39*($A573-Ft!D$2)^2)+Ft!D$7*EXP(Ft!D$40*($A573-Ft!D$2)^2)))</f>
        <v>9.5838726031899073E-151</v>
      </c>
      <c r="I573" s="3">
        <f>IF(($A573-Ft!E$2)&lt;0,Ft!E$3*((1-Ft!E$6)/(1+Ft!E$37*($A573-Ft!E$2)^2)+Ft!E$6*EXP(Ft!E$38*($A573-Ft!E$2)^2)),Ft!E$3*((1-Ft!E$7)/(1+Ft!E$39*($A573-Ft!E$2)^2)+Ft!E$7*EXP(Ft!E$40*($A573-Ft!E$2)^2)))</f>
        <v>30.516580926953793</v>
      </c>
      <c r="J573" s="3">
        <f>IF(($A573-Ft!F$2)&lt;0,Ft!F$3*((1-Ft!F$6)/(1+Ft!F$37*($A573-Ft!F$2)^2)+Ft!F$6*EXP(Ft!F$38*($A573-Ft!F$2)^2)),Ft!F$3*((1-Ft!F$7)/(1+Ft!F$39*($A573-Ft!F$2)^2)+Ft!F$7*EXP(Ft!F$40*($A573-Ft!F$2)^2)))</f>
        <v>127.28591404375697</v>
      </c>
      <c r="K573" s="3">
        <f>IF(($A573-Ft!G$2)&lt;0,Ft!G$3*((1-Ft!G$6)/(1+Ft!G$37*($A573-Ft!G$2)^2)+Ft!G$6*EXP(Ft!G$38*($A573-Ft!G$2)^2)),Ft!G$3*((1-Ft!G$7)/(1+Ft!G$39*($A573-Ft!G$2)^2)+Ft!G$7*EXP(Ft!G$40*($A573-Ft!G$2)^2)))</f>
        <v>1.5771694274713057E-2</v>
      </c>
      <c r="L573" s="3">
        <f>IF(($A573-Ft!H$2)&lt;0,Ft!H$3*((1-Ft!H$6)/(1+Ft!H$37*($A573-Ft!H$2)^2)+Ft!H$6*EXP(Ft!H$38*($A573-Ft!H$2)^2)),Ft!H$3*((1-Ft!H$7)/(1+Ft!H$39*($A573-Ft!H$2)^2)+Ft!H$7*EXP(Ft!H$40*($A573-Ft!H$2)^2)))</f>
        <v>0</v>
      </c>
      <c r="M573" s="3">
        <f>IF(($A573-Ft!I$2)&lt;0,Ft!I$3*((1-Ft!I$6)/(1+Ft!I$37*($A573-Ft!I$2)^2)+Ft!I$6*EXP(Ft!I$38*($A573-Ft!I$2)^2)),Ft!I$3*((1-Ft!I$7)/(1+Ft!I$39*($A573-Ft!I$2)^2)+Ft!I$7*EXP(Ft!I$40*($A573-Ft!I$2)^2)))</f>
        <v>0</v>
      </c>
      <c r="N573" s="3">
        <f>IF(($A573-Ft!J$2)&lt;0,Ft!J$3*((1-Ft!J$6)/(1+Ft!J$37*($A573-Ft!J$2)^2)+Ft!J$6*EXP(Ft!J$38*($A573-Ft!J$2)^2)),Ft!J$3*((1-Ft!J$7)/(1+Ft!J$39*($A573-Ft!J$2)^2)+Ft!J$7*EXP(Ft!J$40*($A573-Ft!J$2)^2)))</f>
        <v>0</v>
      </c>
      <c r="O573" s="3">
        <f>IF(($A573-Ft!K$2)&lt;0,Ft!K$3*((1-Ft!K$6)/(1+Ft!K$37*($A573-Ft!K$2)^2)+Ft!K$6*EXP(Ft!K$38*($A573-Ft!K$2)^2)),Ft!K$3*((1-Ft!K$7)/(1+Ft!K$39*($A573-Ft!K$2)^2)+Ft!K$7*EXP(Ft!K$40*($A573-Ft!K$2)^2)))</f>
        <v>0</v>
      </c>
      <c r="P573" s="29"/>
      <c r="Q573"/>
    </row>
    <row r="574" spans="1:17">
      <c r="A574" s="20">
        <v>1145</v>
      </c>
      <c r="B574" s="29">
        <v>11.581833487002168</v>
      </c>
      <c r="C574" s="7">
        <f t="shared" si="17"/>
        <v>12.530202947705554</v>
      </c>
      <c r="D574" s="3">
        <f t="shared" si="18"/>
        <v>0.89940463399483139</v>
      </c>
      <c r="E574" s="3">
        <f>Ft!$B$12+Ft!$B$14*(Data!A574-Vars!$B$3)</f>
        <v>-200</v>
      </c>
      <c r="F574" s="3">
        <f>IF(($A574-Ft!B$2)&lt;0,Ft!B$3*((1-Ft!B$6)/(1+Ft!B$37*($A574-Ft!B$2)^2)+Ft!B$6*EXP(Ft!B$38*($A574-Ft!B$2)^2)),Ft!B$3*((1-Ft!B$7)/(1+Ft!B$39*($A574-Ft!B$2)^2)+Ft!B$7*EXP(Ft!B$40*($A574-Ft!B$2)^2)))</f>
        <v>2.097043098734833</v>
      </c>
      <c r="G574" s="3">
        <f>IF(($A574-Ft!C$2)&lt;0,Ft!C$3*((1-Ft!C$6)/(1+Ft!C$37*($A574-Ft!C$2)^2)+Ft!C$6*EXP(Ft!C$38*($A574-Ft!C$2)^2)),Ft!C$3*((1-Ft!C$7)/(1+Ft!C$39*($A574-Ft!C$2)^2)+Ft!C$7*EXP(Ft!C$40*($A574-Ft!C$2)^2)))</f>
        <v>52.716604860228429</v>
      </c>
      <c r="H574" s="3">
        <f>IF(($A574-Ft!D$2)&lt;0,Ft!D$3*((1-Ft!D$6)/(1+Ft!D$37*($A574-Ft!D$2)^2)+Ft!D$6*EXP(Ft!D$38*($A574-Ft!D$2)^2)),Ft!D$3*((1-Ft!D$7)/(1+Ft!D$39*($A574-Ft!D$2)^2)+Ft!D$7*EXP(Ft!D$40*($A574-Ft!D$2)^2)))</f>
        <v>1.3543942625368434E-151</v>
      </c>
      <c r="I574" s="3">
        <f>IF(($A574-Ft!E$2)&lt;0,Ft!E$3*((1-Ft!E$6)/(1+Ft!E$37*($A574-Ft!E$2)^2)+Ft!E$6*EXP(Ft!E$38*($A574-Ft!E$2)^2)),Ft!E$3*((1-Ft!E$7)/(1+Ft!E$39*($A574-Ft!E$2)^2)+Ft!E$7*EXP(Ft!E$40*($A574-Ft!E$2)^2)))</f>
        <v>30.143638621271283</v>
      </c>
      <c r="J574" s="3">
        <f>IF(($A574-Ft!F$2)&lt;0,Ft!F$3*((1-Ft!F$6)/(1+Ft!F$37*($A574-Ft!F$2)^2)+Ft!F$6*EXP(Ft!F$38*($A574-Ft!F$2)^2)),Ft!F$3*((1-Ft!F$7)/(1+Ft!F$39*($A574-Ft!F$2)^2)+Ft!F$7*EXP(Ft!F$40*($A574-Ft!F$2)^2)))</f>
        <v>127.55777695072098</v>
      </c>
      <c r="K574" s="3">
        <f>IF(($A574-Ft!G$2)&lt;0,Ft!G$3*((1-Ft!G$6)/(1+Ft!G$37*($A574-Ft!G$2)^2)+Ft!G$6*EXP(Ft!G$38*($A574-Ft!G$2)^2)),Ft!G$3*((1-Ft!G$7)/(1+Ft!G$39*($A574-Ft!G$2)^2)+Ft!G$7*EXP(Ft!G$40*($A574-Ft!G$2)^2)))</f>
        <v>1.5139416750038156E-2</v>
      </c>
      <c r="L574" s="3">
        <f>IF(($A574-Ft!H$2)&lt;0,Ft!H$3*((1-Ft!H$6)/(1+Ft!H$37*($A574-Ft!H$2)^2)+Ft!H$6*EXP(Ft!H$38*($A574-Ft!H$2)^2)),Ft!H$3*((1-Ft!H$7)/(1+Ft!H$39*($A574-Ft!H$2)^2)+Ft!H$7*EXP(Ft!H$40*($A574-Ft!H$2)^2)))</f>
        <v>0</v>
      </c>
      <c r="M574" s="3">
        <f>IF(($A574-Ft!I$2)&lt;0,Ft!I$3*((1-Ft!I$6)/(1+Ft!I$37*($A574-Ft!I$2)^2)+Ft!I$6*EXP(Ft!I$38*($A574-Ft!I$2)^2)),Ft!I$3*((1-Ft!I$7)/(1+Ft!I$39*($A574-Ft!I$2)^2)+Ft!I$7*EXP(Ft!I$40*($A574-Ft!I$2)^2)))</f>
        <v>0</v>
      </c>
      <c r="N574" s="3">
        <f>IF(($A574-Ft!J$2)&lt;0,Ft!J$3*((1-Ft!J$6)/(1+Ft!J$37*($A574-Ft!J$2)^2)+Ft!J$6*EXP(Ft!J$38*($A574-Ft!J$2)^2)),Ft!J$3*((1-Ft!J$7)/(1+Ft!J$39*($A574-Ft!J$2)^2)+Ft!J$7*EXP(Ft!J$40*($A574-Ft!J$2)^2)))</f>
        <v>0</v>
      </c>
      <c r="O574" s="3">
        <f>IF(($A574-Ft!K$2)&lt;0,Ft!K$3*((1-Ft!K$6)/(1+Ft!K$37*($A574-Ft!K$2)^2)+Ft!K$6*EXP(Ft!K$38*($A574-Ft!K$2)^2)),Ft!K$3*((1-Ft!K$7)/(1+Ft!K$39*($A574-Ft!K$2)^2)+Ft!K$7*EXP(Ft!K$40*($A574-Ft!K$2)^2)))</f>
        <v>0</v>
      </c>
      <c r="P574" s="29"/>
      <c r="Q574"/>
    </row>
    <row r="575" spans="1:17">
      <c r="A575" s="20">
        <v>1147</v>
      </c>
      <c r="B575" s="29">
        <v>11.403711134856076</v>
      </c>
      <c r="C575" s="7">
        <f t="shared" si="17"/>
        <v>12.346289110670584</v>
      </c>
      <c r="D575" s="3">
        <f t="shared" si="18"/>
        <v>0.88845324049057584</v>
      </c>
      <c r="E575" s="3">
        <f>Ft!$B$12+Ft!$B$14*(Data!A575-Vars!$B$3)</f>
        <v>-200</v>
      </c>
      <c r="F575" s="3">
        <f>IF(($A575-Ft!B$2)&lt;0,Ft!B$3*((1-Ft!B$6)/(1+Ft!B$37*($A575-Ft!B$2)^2)+Ft!B$6*EXP(Ft!B$38*($A575-Ft!B$2)^2)),Ft!B$3*((1-Ft!B$7)/(1+Ft!B$39*($A575-Ft!B$2)^2)+Ft!B$7*EXP(Ft!B$40*($A575-Ft!B$2)^2)))</f>
        <v>2.0698476980128189</v>
      </c>
      <c r="G575" s="3">
        <f>IF(($A575-Ft!C$2)&lt;0,Ft!C$3*((1-Ft!C$6)/(1+Ft!C$37*($A575-Ft!C$2)^2)+Ft!C$6*EXP(Ft!C$38*($A575-Ft!C$2)^2)),Ft!C$3*((1-Ft!C$7)/(1+Ft!C$39*($A575-Ft!C$2)^2)+Ft!C$7*EXP(Ft!C$40*($A575-Ft!C$2)^2)))</f>
        <v>52.659845814899086</v>
      </c>
      <c r="H575" s="3">
        <f>IF(($A575-Ft!D$2)&lt;0,Ft!D$3*((1-Ft!D$6)/(1+Ft!D$37*($A575-Ft!D$2)^2)+Ft!D$6*EXP(Ft!D$38*($A575-Ft!D$2)^2)),Ft!D$3*((1-Ft!D$7)/(1+Ft!D$39*($A575-Ft!D$2)^2)+Ft!D$7*EXP(Ft!D$40*($A575-Ft!D$2)^2)))</f>
        <v>1.9035016855096835E-152</v>
      </c>
      <c r="I575" s="3">
        <f>IF(($A575-Ft!E$2)&lt;0,Ft!E$3*((1-Ft!E$6)/(1+Ft!E$37*($A575-Ft!E$2)^2)+Ft!E$6*EXP(Ft!E$38*($A575-Ft!E$2)^2)),Ft!E$3*((1-Ft!E$7)/(1+Ft!E$39*($A575-Ft!E$2)^2)+Ft!E$7*EXP(Ft!E$40*($A575-Ft!E$2)^2)))</f>
        <v>29.773527672499426</v>
      </c>
      <c r="J575" s="3">
        <f>IF(($A575-Ft!F$2)&lt;0,Ft!F$3*((1-Ft!F$6)/(1+Ft!F$37*($A575-Ft!F$2)^2)+Ft!F$6*EXP(Ft!F$38*($A575-Ft!F$2)^2)),Ft!F$3*((1-Ft!F$7)/(1+Ft!F$39*($A575-Ft!F$2)^2)+Ft!F$7*EXP(Ft!F$40*($A575-Ft!F$2)^2)))</f>
        <v>127.82853694679109</v>
      </c>
      <c r="K575" s="3">
        <f>IF(($A575-Ft!G$2)&lt;0,Ft!G$3*((1-Ft!G$6)/(1+Ft!G$37*($A575-Ft!G$2)^2)+Ft!G$6*EXP(Ft!G$38*($A575-Ft!G$2)^2)),Ft!G$3*((1-Ft!G$7)/(1+Ft!G$39*($A575-Ft!G$2)^2)+Ft!G$7*EXP(Ft!G$40*($A575-Ft!G$2)^2)))</f>
        <v>1.4530978468174994E-2</v>
      </c>
      <c r="L575" s="3">
        <f>IF(($A575-Ft!H$2)&lt;0,Ft!H$3*((1-Ft!H$6)/(1+Ft!H$37*($A575-Ft!H$2)^2)+Ft!H$6*EXP(Ft!H$38*($A575-Ft!H$2)^2)),Ft!H$3*((1-Ft!H$7)/(1+Ft!H$39*($A575-Ft!H$2)^2)+Ft!H$7*EXP(Ft!H$40*($A575-Ft!H$2)^2)))</f>
        <v>0</v>
      </c>
      <c r="M575" s="3">
        <f>IF(($A575-Ft!I$2)&lt;0,Ft!I$3*((1-Ft!I$6)/(1+Ft!I$37*($A575-Ft!I$2)^2)+Ft!I$6*EXP(Ft!I$38*($A575-Ft!I$2)^2)),Ft!I$3*((1-Ft!I$7)/(1+Ft!I$39*($A575-Ft!I$2)^2)+Ft!I$7*EXP(Ft!I$40*($A575-Ft!I$2)^2)))</f>
        <v>0</v>
      </c>
      <c r="N575" s="3">
        <f>IF(($A575-Ft!J$2)&lt;0,Ft!J$3*((1-Ft!J$6)/(1+Ft!J$37*($A575-Ft!J$2)^2)+Ft!J$6*EXP(Ft!J$38*($A575-Ft!J$2)^2)),Ft!J$3*((1-Ft!J$7)/(1+Ft!J$39*($A575-Ft!J$2)^2)+Ft!J$7*EXP(Ft!J$40*($A575-Ft!J$2)^2)))</f>
        <v>0</v>
      </c>
      <c r="O575" s="3">
        <f>IF(($A575-Ft!K$2)&lt;0,Ft!K$3*((1-Ft!K$6)/(1+Ft!K$37*($A575-Ft!K$2)^2)+Ft!K$6*EXP(Ft!K$38*($A575-Ft!K$2)^2)),Ft!K$3*((1-Ft!K$7)/(1+Ft!K$39*($A575-Ft!K$2)^2)+Ft!K$7*EXP(Ft!K$40*($A575-Ft!K$2)^2)))</f>
        <v>0</v>
      </c>
      <c r="P575" s="29"/>
      <c r="Q575"/>
    </row>
    <row r="576" spans="1:17">
      <c r="A576" s="20">
        <v>1149</v>
      </c>
      <c r="B576" s="29">
        <v>11.245903772308059</v>
      </c>
      <c r="C576" s="7">
        <f t="shared" si="17"/>
        <v>12.164035146519664</v>
      </c>
      <c r="D576" s="3">
        <f t="shared" si="18"/>
        <v>0.84296522031168952</v>
      </c>
      <c r="E576" s="3">
        <f>Ft!$B$12+Ft!$B$14*(Data!A576-Vars!$B$3)</f>
        <v>-200</v>
      </c>
      <c r="F576" s="3">
        <f>IF(($A576-Ft!B$2)&lt;0,Ft!B$3*((1-Ft!B$6)/(1+Ft!B$37*($A576-Ft!B$2)^2)+Ft!B$6*EXP(Ft!B$38*($A576-Ft!B$2)^2)),Ft!B$3*((1-Ft!B$7)/(1+Ft!B$39*($A576-Ft!B$2)^2)+Ft!B$7*EXP(Ft!B$40*($A576-Ft!B$2)^2)))</f>
        <v>2.0429659855711573</v>
      </c>
      <c r="G576" s="3">
        <f>IF(($A576-Ft!C$2)&lt;0,Ft!C$3*((1-Ft!C$6)/(1+Ft!C$37*($A576-Ft!C$2)^2)+Ft!C$6*EXP(Ft!C$38*($A576-Ft!C$2)^2)),Ft!C$3*((1-Ft!C$7)/(1+Ft!C$39*($A576-Ft!C$2)^2)+Ft!C$7*EXP(Ft!C$40*($A576-Ft!C$2)^2)))</f>
        <v>52.602683093597498</v>
      </c>
      <c r="H576" s="3">
        <f>IF(($A576-Ft!D$2)&lt;0,Ft!D$3*((1-Ft!D$6)/(1+Ft!D$37*($A576-Ft!D$2)^2)+Ft!D$6*EXP(Ft!D$38*($A576-Ft!D$2)^2)),Ft!D$3*((1-Ft!D$7)/(1+Ft!D$39*($A576-Ft!D$2)^2)+Ft!D$7*EXP(Ft!D$40*($A576-Ft!D$2)^2)))</f>
        <v>2.660513782897353E-153</v>
      </c>
      <c r="I576" s="3">
        <f>IF(($A576-Ft!E$2)&lt;0,Ft!E$3*((1-Ft!E$6)/(1+Ft!E$37*($A576-Ft!E$2)^2)+Ft!E$6*EXP(Ft!E$38*($A576-Ft!E$2)^2)),Ft!E$3*((1-Ft!E$7)/(1+Ft!E$39*($A576-Ft!E$2)^2)+Ft!E$7*EXP(Ft!E$40*($A576-Ft!E$2)^2)))</f>
        <v>29.406255970927088</v>
      </c>
      <c r="J576" s="3">
        <f>IF(($A576-Ft!F$2)&lt;0,Ft!F$3*((1-Ft!F$6)/(1+Ft!F$37*($A576-Ft!F$2)^2)+Ft!F$6*EXP(Ft!F$38*($A576-Ft!F$2)^2)),Ft!F$3*((1-Ft!F$7)/(1+Ft!F$39*($A576-Ft!F$2)^2)+Ft!F$7*EXP(Ft!F$40*($A576-Ft!F$2)^2)))</f>
        <v>128.09818455130494</v>
      </c>
      <c r="K576" s="3">
        <f>IF(($A576-Ft!G$2)&lt;0,Ft!G$3*((1-Ft!G$6)/(1+Ft!G$37*($A576-Ft!G$2)^2)+Ft!G$6*EXP(Ft!G$38*($A576-Ft!G$2)^2)),Ft!G$3*((1-Ft!G$7)/(1+Ft!G$39*($A576-Ft!G$2)^2)+Ft!G$7*EXP(Ft!G$40*($A576-Ft!G$2)^2)))</f>
        <v>1.3945545118970771E-2</v>
      </c>
      <c r="L576" s="3">
        <f>IF(($A576-Ft!H$2)&lt;0,Ft!H$3*((1-Ft!H$6)/(1+Ft!H$37*($A576-Ft!H$2)^2)+Ft!H$6*EXP(Ft!H$38*($A576-Ft!H$2)^2)),Ft!H$3*((1-Ft!H$7)/(1+Ft!H$39*($A576-Ft!H$2)^2)+Ft!H$7*EXP(Ft!H$40*($A576-Ft!H$2)^2)))</f>
        <v>0</v>
      </c>
      <c r="M576" s="3">
        <f>IF(($A576-Ft!I$2)&lt;0,Ft!I$3*((1-Ft!I$6)/(1+Ft!I$37*($A576-Ft!I$2)^2)+Ft!I$6*EXP(Ft!I$38*($A576-Ft!I$2)^2)),Ft!I$3*((1-Ft!I$7)/(1+Ft!I$39*($A576-Ft!I$2)^2)+Ft!I$7*EXP(Ft!I$40*($A576-Ft!I$2)^2)))</f>
        <v>0</v>
      </c>
      <c r="N576" s="3">
        <f>IF(($A576-Ft!J$2)&lt;0,Ft!J$3*((1-Ft!J$6)/(1+Ft!J$37*($A576-Ft!J$2)^2)+Ft!J$6*EXP(Ft!J$38*($A576-Ft!J$2)^2)),Ft!J$3*((1-Ft!J$7)/(1+Ft!J$39*($A576-Ft!J$2)^2)+Ft!J$7*EXP(Ft!J$40*($A576-Ft!J$2)^2)))</f>
        <v>0</v>
      </c>
      <c r="O576" s="3">
        <f>IF(($A576-Ft!K$2)&lt;0,Ft!K$3*((1-Ft!K$6)/(1+Ft!K$37*($A576-Ft!K$2)^2)+Ft!K$6*EXP(Ft!K$38*($A576-Ft!K$2)^2)),Ft!K$3*((1-Ft!K$7)/(1+Ft!K$39*($A576-Ft!K$2)^2)+Ft!K$7*EXP(Ft!K$40*($A576-Ft!K$2)^2)))</f>
        <v>0</v>
      </c>
      <c r="P576" s="29"/>
      <c r="Q576"/>
    </row>
    <row r="577" spans="1:17">
      <c r="A577" s="20">
        <v>1151</v>
      </c>
      <c r="B577" s="29">
        <v>11.094437227982883</v>
      </c>
      <c r="C577" s="7">
        <f t="shared" si="17"/>
        <v>11.983436486475931</v>
      </c>
      <c r="D577" s="3">
        <f t="shared" si="18"/>
        <v>0.79031968160118826</v>
      </c>
      <c r="E577" s="3">
        <f>Ft!$B$12+Ft!$B$14*(Data!A577-Vars!$B$3)</f>
        <v>-200</v>
      </c>
      <c r="F577" s="3">
        <f>IF(($A577-Ft!B$2)&lt;0,Ft!B$3*((1-Ft!B$6)/(1+Ft!B$37*($A577-Ft!B$2)^2)+Ft!B$6*EXP(Ft!B$38*($A577-Ft!B$2)^2)),Ft!B$3*((1-Ft!B$7)/(1+Ft!B$39*($A577-Ft!B$2)^2)+Ft!B$7*EXP(Ft!B$40*($A577-Ft!B$2)^2)))</f>
        <v>2.0163949069446128</v>
      </c>
      <c r="G577" s="3">
        <f>IF(($A577-Ft!C$2)&lt;0,Ft!C$3*((1-Ft!C$6)/(1+Ft!C$37*($A577-Ft!C$2)^2)+Ft!C$6*EXP(Ft!C$38*($A577-Ft!C$2)^2)),Ft!C$3*((1-Ft!C$7)/(1+Ft!C$39*($A577-Ft!C$2)^2)+Ft!C$7*EXP(Ft!C$40*($A577-Ft!C$2)^2)))</f>
        <v>52.545118144118454</v>
      </c>
      <c r="H577" s="3">
        <f>IF(($A577-Ft!D$2)&lt;0,Ft!D$3*((1-Ft!D$6)/(1+Ft!D$37*($A577-Ft!D$2)^2)+Ft!D$6*EXP(Ft!D$38*($A577-Ft!D$2)^2)),Ft!D$3*((1-Ft!D$7)/(1+Ft!D$39*($A577-Ft!D$2)^2)+Ft!D$7*EXP(Ft!D$40*($A577-Ft!D$2)^2)))</f>
        <v>3.6981272228607232E-154</v>
      </c>
      <c r="I577" s="3">
        <f>IF(($A577-Ft!E$2)&lt;0,Ft!E$3*((1-Ft!E$6)/(1+Ft!E$37*($A577-Ft!E$2)^2)+Ft!E$6*EXP(Ft!E$38*($A577-Ft!E$2)^2)),Ft!E$3*((1-Ft!E$7)/(1+Ft!E$39*($A577-Ft!E$2)^2)+Ft!E$7*EXP(Ft!E$40*($A577-Ft!E$2)^2)))</f>
        <v>29.041830818930951</v>
      </c>
      <c r="J577" s="3">
        <f>IF(($A577-Ft!F$2)&lt;0,Ft!F$3*((1-Ft!F$6)/(1+Ft!F$37*($A577-Ft!F$2)^2)+Ft!F$6*EXP(Ft!F$38*($A577-Ft!F$2)^2)),Ft!F$3*((1-Ft!F$7)/(1+Ft!F$39*($A577-Ft!F$2)^2)+Ft!F$7*EXP(Ft!F$40*($A577-Ft!F$2)^2)))</f>
        <v>128.36671030753695</v>
      </c>
      <c r="K577" s="3">
        <f>IF(($A577-Ft!G$2)&lt;0,Ft!G$3*((1-Ft!G$6)/(1+Ft!G$37*($A577-Ft!G$2)^2)+Ft!G$6*EXP(Ft!G$38*($A577-Ft!G$2)^2)),Ft!G$3*((1-Ft!G$7)/(1+Ft!G$39*($A577-Ft!G$2)^2)+Ft!G$7*EXP(Ft!G$40*($A577-Ft!G$2)^2)))</f>
        <v>1.3382308944976058E-2</v>
      </c>
      <c r="L577" s="3">
        <f>IF(($A577-Ft!H$2)&lt;0,Ft!H$3*((1-Ft!H$6)/(1+Ft!H$37*($A577-Ft!H$2)^2)+Ft!H$6*EXP(Ft!H$38*($A577-Ft!H$2)^2)),Ft!H$3*((1-Ft!H$7)/(1+Ft!H$39*($A577-Ft!H$2)^2)+Ft!H$7*EXP(Ft!H$40*($A577-Ft!H$2)^2)))</f>
        <v>0</v>
      </c>
      <c r="M577" s="3">
        <f>IF(($A577-Ft!I$2)&lt;0,Ft!I$3*((1-Ft!I$6)/(1+Ft!I$37*($A577-Ft!I$2)^2)+Ft!I$6*EXP(Ft!I$38*($A577-Ft!I$2)^2)),Ft!I$3*((1-Ft!I$7)/(1+Ft!I$39*($A577-Ft!I$2)^2)+Ft!I$7*EXP(Ft!I$40*($A577-Ft!I$2)^2)))</f>
        <v>0</v>
      </c>
      <c r="N577" s="3">
        <f>IF(($A577-Ft!J$2)&lt;0,Ft!J$3*((1-Ft!J$6)/(1+Ft!J$37*($A577-Ft!J$2)^2)+Ft!J$6*EXP(Ft!J$38*($A577-Ft!J$2)^2)),Ft!J$3*((1-Ft!J$7)/(1+Ft!J$39*($A577-Ft!J$2)^2)+Ft!J$7*EXP(Ft!J$40*($A577-Ft!J$2)^2)))</f>
        <v>0</v>
      </c>
      <c r="O577" s="3">
        <f>IF(($A577-Ft!K$2)&lt;0,Ft!K$3*((1-Ft!K$6)/(1+Ft!K$37*($A577-Ft!K$2)^2)+Ft!K$6*EXP(Ft!K$38*($A577-Ft!K$2)^2)),Ft!K$3*((1-Ft!K$7)/(1+Ft!K$39*($A577-Ft!K$2)^2)+Ft!K$7*EXP(Ft!K$40*($A577-Ft!K$2)^2)))</f>
        <v>0</v>
      </c>
      <c r="P577" s="29"/>
      <c r="Q577"/>
    </row>
    <row r="578" spans="1:17">
      <c r="A578" s="20">
        <v>1153</v>
      </c>
      <c r="B578" s="29">
        <v>10.93839779141228</v>
      </c>
      <c r="C578" s="7">
        <f t="shared" si="17"/>
        <v>11.804488060821804</v>
      </c>
      <c r="D578" s="3">
        <f t="shared" si="18"/>
        <v>0.75011235476586158</v>
      </c>
      <c r="E578" s="3">
        <f>Ft!$B$12+Ft!$B$14*(Data!A578-Vars!$B$3)</f>
        <v>-200</v>
      </c>
      <c r="F578" s="3">
        <f>IF(($A578-Ft!B$2)&lt;0,Ft!B$3*((1-Ft!B$6)/(1+Ft!B$37*($A578-Ft!B$2)^2)+Ft!B$6*EXP(Ft!B$38*($A578-Ft!B$2)^2)),Ft!B$3*((1-Ft!B$7)/(1+Ft!B$39*($A578-Ft!B$2)^2)+Ft!B$7*EXP(Ft!B$40*($A578-Ft!B$2)^2)))</f>
        <v>1.9901314296948265</v>
      </c>
      <c r="G578" s="3">
        <f>IF(($A578-Ft!C$2)&lt;0,Ft!C$3*((1-Ft!C$6)/(1+Ft!C$37*($A578-Ft!C$2)^2)+Ft!C$6*EXP(Ft!C$38*($A578-Ft!C$2)^2)),Ft!C$3*((1-Ft!C$7)/(1+Ft!C$39*($A578-Ft!C$2)^2)+Ft!C$7*EXP(Ft!C$40*($A578-Ft!C$2)^2)))</f>
        <v>52.487152423334841</v>
      </c>
      <c r="H578" s="3">
        <f>IF(($A578-Ft!D$2)&lt;0,Ft!D$3*((1-Ft!D$6)/(1+Ft!D$37*($A578-Ft!D$2)^2)+Ft!D$6*EXP(Ft!D$38*($A578-Ft!D$2)^2)),Ft!D$3*((1-Ft!D$7)/(1+Ft!D$39*($A578-Ft!D$2)^2)+Ft!D$7*EXP(Ft!D$40*($A578-Ft!D$2)^2)))</f>
        <v>5.1121344729330866E-155</v>
      </c>
      <c r="I578" s="3">
        <f>IF(($A578-Ft!E$2)&lt;0,Ft!E$3*((1-Ft!E$6)/(1+Ft!E$37*($A578-Ft!E$2)^2)+Ft!E$6*EXP(Ft!E$38*($A578-Ft!E$2)^2)),Ft!E$3*((1-Ft!E$7)/(1+Ft!E$39*($A578-Ft!E$2)^2)+Ft!E$7*EXP(Ft!E$40*($A578-Ft!E$2)^2)))</f>
        <v>28.68025893654454</v>
      </c>
      <c r="J578" s="3">
        <f>IF(($A578-Ft!F$2)&lt;0,Ft!F$3*((1-Ft!F$6)/(1+Ft!F$37*($A578-Ft!F$2)^2)+Ft!F$6*EXP(Ft!F$38*($A578-Ft!F$2)^2)),Ft!F$3*((1-Ft!F$7)/(1+Ft!F$39*($A578-Ft!F$2)^2)+Ft!F$7*EXP(Ft!F$40*($A578-Ft!F$2)^2)))</f>
        <v>128.63410478324735</v>
      </c>
      <c r="K578" s="3">
        <f>IF(($A578-Ft!G$2)&lt;0,Ft!G$3*((1-Ft!G$6)/(1+Ft!G$37*($A578-Ft!G$2)^2)+Ft!G$6*EXP(Ft!G$38*($A578-Ft!G$2)^2)),Ft!G$3*((1-Ft!G$7)/(1+Ft!G$39*($A578-Ft!G$2)^2)+Ft!G$7*EXP(Ft!G$40*($A578-Ft!G$2)^2)))</f>
        <v>1.2840488000257815E-2</v>
      </c>
      <c r="L578" s="3">
        <f>IF(($A578-Ft!H$2)&lt;0,Ft!H$3*((1-Ft!H$6)/(1+Ft!H$37*($A578-Ft!H$2)^2)+Ft!H$6*EXP(Ft!H$38*($A578-Ft!H$2)^2)),Ft!H$3*((1-Ft!H$7)/(1+Ft!H$39*($A578-Ft!H$2)^2)+Ft!H$7*EXP(Ft!H$40*($A578-Ft!H$2)^2)))</f>
        <v>0</v>
      </c>
      <c r="M578" s="3">
        <f>IF(($A578-Ft!I$2)&lt;0,Ft!I$3*((1-Ft!I$6)/(1+Ft!I$37*($A578-Ft!I$2)^2)+Ft!I$6*EXP(Ft!I$38*($A578-Ft!I$2)^2)),Ft!I$3*((1-Ft!I$7)/(1+Ft!I$39*($A578-Ft!I$2)^2)+Ft!I$7*EXP(Ft!I$40*($A578-Ft!I$2)^2)))</f>
        <v>0</v>
      </c>
      <c r="N578" s="3">
        <f>IF(($A578-Ft!J$2)&lt;0,Ft!J$3*((1-Ft!J$6)/(1+Ft!J$37*($A578-Ft!J$2)^2)+Ft!J$6*EXP(Ft!J$38*($A578-Ft!J$2)^2)),Ft!J$3*((1-Ft!J$7)/(1+Ft!J$39*($A578-Ft!J$2)^2)+Ft!J$7*EXP(Ft!J$40*($A578-Ft!J$2)^2)))</f>
        <v>0</v>
      </c>
      <c r="O578" s="3">
        <f>IF(($A578-Ft!K$2)&lt;0,Ft!K$3*((1-Ft!K$6)/(1+Ft!K$37*($A578-Ft!K$2)^2)+Ft!K$6*EXP(Ft!K$38*($A578-Ft!K$2)^2)),Ft!K$3*((1-Ft!K$7)/(1+Ft!K$39*($A578-Ft!K$2)^2)+Ft!K$7*EXP(Ft!K$40*($A578-Ft!K$2)^2)))</f>
        <v>0</v>
      </c>
      <c r="P578" s="29"/>
      <c r="Q578"/>
    </row>
    <row r="579" spans="1:17">
      <c r="A579" s="20">
        <v>1155</v>
      </c>
      <c r="B579" s="29">
        <v>10.786558764753783</v>
      </c>
      <c r="C579" s="7">
        <f t="shared" ref="C579:C642" si="19">SUM(E579:K579)</f>
        <v>11.627184304273337</v>
      </c>
      <c r="D579" s="3">
        <f t="shared" si="18"/>
        <v>0.70665129769254065</v>
      </c>
      <c r="E579" s="3">
        <f>Ft!$B$12+Ft!$B$14*(Data!A579-Vars!$B$3)</f>
        <v>-200</v>
      </c>
      <c r="F579" s="3">
        <f>IF(($A579-Ft!B$2)&lt;0,Ft!B$3*((1-Ft!B$6)/(1+Ft!B$37*($A579-Ft!B$2)^2)+Ft!B$6*EXP(Ft!B$38*($A579-Ft!B$2)^2)),Ft!B$3*((1-Ft!B$7)/(1+Ft!B$39*($A579-Ft!B$2)^2)+Ft!B$7*EXP(Ft!B$40*($A579-Ft!B$2)^2)))</f>
        <v>1.9641725433538408</v>
      </c>
      <c r="G579" s="3">
        <f>IF(($A579-Ft!C$2)&lt;0,Ft!C$3*((1-Ft!C$6)/(1+Ft!C$37*($A579-Ft!C$2)^2)+Ft!C$6*EXP(Ft!C$38*($A579-Ft!C$2)^2)),Ft!C$3*((1-Ft!C$7)/(1+Ft!C$39*($A579-Ft!C$2)^2)+Ft!C$7*EXP(Ft!C$40*($A579-Ft!C$2)^2)))</f>
        <v>52.428787397136333</v>
      </c>
      <c r="H579" s="3">
        <f>IF(($A579-Ft!D$2)&lt;0,Ft!D$3*((1-Ft!D$6)/(1+Ft!D$37*($A579-Ft!D$2)^2)+Ft!D$6*EXP(Ft!D$38*($A579-Ft!D$2)^2)),Ft!D$3*((1-Ft!D$7)/(1+Ft!D$39*($A579-Ft!D$2)^2)+Ft!D$7*EXP(Ft!D$40*($A579-Ft!D$2)^2)))</f>
        <v>7.0279194942412233E-156</v>
      </c>
      <c r="I579" s="3">
        <f>IF(($A579-Ft!E$2)&lt;0,Ft!E$3*((1-Ft!E$6)/(1+Ft!E$37*($A579-Ft!E$2)^2)+Ft!E$6*EXP(Ft!E$38*($A579-Ft!E$2)^2)),Ft!E$3*((1-Ft!E$7)/(1+Ft!E$39*($A579-Ft!E$2)^2)+Ft!E$7*EXP(Ft!E$40*($A579-Ft!E$2)^2)))</f>
        <v>28.321546467126048</v>
      </c>
      <c r="J579" s="3">
        <f>IF(($A579-Ft!F$2)&lt;0,Ft!F$3*((1-Ft!F$6)/(1+Ft!F$37*($A579-Ft!F$2)^2)+Ft!F$6*EXP(Ft!F$38*($A579-Ft!F$2)^2)),Ft!F$3*((1-Ft!F$7)/(1+Ft!F$39*($A579-Ft!F$2)^2)+Ft!F$7*EXP(Ft!F$40*($A579-Ft!F$2)^2)))</f>
        <v>128.90035857123112</v>
      </c>
      <c r="K579" s="3">
        <f>IF(($A579-Ft!G$2)&lt;0,Ft!G$3*((1-Ft!G$6)/(1+Ft!G$37*($A579-Ft!G$2)^2)+Ft!G$6*EXP(Ft!G$38*($A579-Ft!G$2)^2)),Ft!G$3*((1-Ft!G$7)/(1+Ft!G$39*($A579-Ft!G$2)^2)+Ft!G$7*EXP(Ft!G$40*($A579-Ft!G$2)^2)))</f>
        <v>1.2319325425986495E-2</v>
      </c>
      <c r="L579" s="3">
        <f>IF(($A579-Ft!H$2)&lt;0,Ft!H$3*((1-Ft!H$6)/(1+Ft!H$37*($A579-Ft!H$2)^2)+Ft!H$6*EXP(Ft!H$38*($A579-Ft!H$2)^2)),Ft!H$3*((1-Ft!H$7)/(1+Ft!H$39*($A579-Ft!H$2)^2)+Ft!H$7*EXP(Ft!H$40*($A579-Ft!H$2)^2)))</f>
        <v>0</v>
      </c>
      <c r="M579" s="3">
        <f>IF(($A579-Ft!I$2)&lt;0,Ft!I$3*((1-Ft!I$6)/(1+Ft!I$37*($A579-Ft!I$2)^2)+Ft!I$6*EXP(Ft!I$38*($A579-Ft!I$2)^2)),Ft!I$3*((1-Ft!I$7)/(1+Ft!I$39*($A579-Ft!I$2)^2)+Ft!I$7*EXP(Ft!I$40*($A579-Ft!I$2)^2)))</f>
        <v>0</v>
      </c>
      <c r="N579" s="3">
        <f>IF(($A579-Ft!J$2)&lt;0,Ft!J$3*((1-Ft!J$6)/(1+Ft!J$37*($A579-Ft!J$2)^2)+Ft!J$6*EXP(Ft!J$38*($A579-Ft!J$2)^2)),Ft!J$3*((1-Ft!J$7)/(1+Ft!J$39*($A579-Ft!J$2)^2)+Ft!J$7*EXP(Ft!J$40*($A579-Ft!J$2)^2)))</f>
        <v>0</v>
      </c>
      <c r="O579" s="3">
        <f>IF(($A579-Ft!K$2)&lt;0,Ft!K$3*((1-Ft!K$6)/(1+Ft!K$37*($A579-Ft!K$2)^2)+Ft!K$6*EXP(Ft!K$38*($A579-Ft!K$2)^2)),Ft!K$3*((1-Ft!K$7)/(1+Ft!K$39*($A579-Ft!K$2)^2)+Ft!K$7*EXP(Ft!K$40*($A579-Ft!K$2)^2)))</f>
        <v>0</v>
      </c>
      <c r="P579" s="29"/>
      <c r="Q579"/>
    </row>
    <row r="580" spans="1:17">
      <c r="A580" s="20">
        <v>1157</v>
      </c>
      <c r="B580" s="29">
        <v>10.652288872929699</v>
      </c>
      <c r="C580" s="7">
        <f t="shared" si="19"/>
        <v>11.451519161464649</v>
      </c>
      <c r="D580" s="3">
        <f t="shared" si="18"/>
        <v>0.63876905411165985</v>
      </c>
      <c r="E580" s="3">
        <f>Ft!$B$12+Ft!$B$14*(Data!A580-Vars!$B$3)</f>
        <v>-200</v>
      </c>
      <c r="F580" s="3">
        <f>IF(($A580-Ft!B$2)&lt;0,Ft!B$3*((1-Ft!B$6)/(1+Ft!B$37*($A580-Ft!B$2)^2)+Ft!B$6*EXP(Ft!B$38*($A580-Ft!B$2)^2)),Ft!B$3*((1-Ft!B$7)/(1+Ft!B$39*($A580-Ft!B$2)^2)+Ft!B$7*EXP(Ft!B$40*($A580-Ft!B$2)^2)))</f>
        <v>1.9385152593662798</v>
      </c>
      <c r="G580" s="3">
        <f>IF(($A580-Ft!C$2)&lt;0,Ft!C$3*((1-Ft!C$6)/(1+Ft!C$37*($A580-Ft!C$2)^2)+Ft!C$6*EXP(Ft!C$38*($A580-Ft!C$2)^2)),Ft!C$3*((1-Ft!C$7)/(1+Ft!C$39*($A580-Ft!C$2)^2)+Ft!C$7*EXP(Ft!C$40*($A580-Ft!C$2)^2)))</f>
        <v>52.370024540367609</v>
      </c>
      <c r="H580" s="3">
        <f>IF(($A580-Ft!D$2)&lt;0,Ft!D$3*((1-Ft!D$6)/(1+Ft!D$37*($A580-Ft!D$2)^2)+Ft!D$6*EXP(Ft!D$38*($A580-Ft!D$2)^2)),Ft!D$3*((1-Ft!D$7)/(1+Ft!D$39*($A580-Ft!D$2)^2)+Ft!D$7*EXP(Ft!D$40*($A580-Ft!D$2)^2)))</f>
        <v>9.6084951157847441E-157</v>
      </c>
      <c r="I580" s="3">
        <f>IF(($A580-Ft!E$2)&lt;0,Ft!E$3*((1-Ft!E$6)/(1+Ft!E$37*($A580-Ft!E$2)^2)+Ft!E$6*EXP(Ft!E$38*($A580-Ft!E$2)^2)),Ft!E$3*((1-Ft!E$7)/(1+Ft!E$39*($A580-Ft!E$2)^2)+Ft!E$7*EXP(Ft!E$40*($A580-Ft!E$2)^2)))</f>
        <v>27.965698983122071</v>
      </c>
      <c r="J580" s="3">
        <f>IF(($A580-Ft!F$2)&lt;0,Ft!F$3*((1-Ft!F$6)/(1+Ft!F$37*($A580-Ft!F$2)^2)+Ft!F$6*EXP(Ft!F$38*($A580-Ft!F$2)^2)),Ft!F$3*((1-Ft!F$7)/(1+Ft!F$39*($A580-Ft!F$2)^2)+Ft!F$7*EXP(Ft!F$40*($A580-Ft!F$2)^2)))</f>
        <v>129.16546228986613</v>
      </c>
      <c r="K580" s="3">
        <f>IF(($A580-Ft!G$2)&lt;0,Ft!G$3*((1-Ft!G$6)/(1+Ft!G$37*($A580-Ft!G$2)^2)+Ft!G$6*EXP(Ft!G$38*($A580-Ft!G$2)^2)),Ft!G$3*((1-Ft!G$7)/(1+Ft!G$39*($A580-Ft!G$2)^2)+Ft!G$7*EXP(Ft!G$40*($A580-Ft!G$2)^2)))</f>
        <v>1.1818088742562448E-2</v>
      </c>
      <c r="L580" s="3">
        <f>IF(($A580-Ft!H$2)&lt;0,Ft!H$3*((1-Ft!H$6)/(1+Ft!H$37*($A580-Ft!H$2)^2)+Ft!H$6*EXP(Ft!H$38*($A580-Ft!H$2)^2)),Ft!H$3*((1-Ft!H$7)/(1+Ft!H$39*($A580-Ft!H$2)^2)+Ft!H$7*EXP(Ft!H$40*($A580-Ft!H$2)^2)))</f>
        <v>0</v>
      </c>
      <c r="M580" s="3">
        <f>IF(($A580-Ft!I$2)&lt;0,Ft!I$3*((1-Ft!I$6)/(1+Ft!I$37*($A580-Ft!I$2)^2)+Ft!I$6*EXP(Ft!I$38*($A580-Ft!I$2)^2)),Ft!I$3*((1-Ft!I$7)/(1+Ft!I$39*($A580-Ft!I$2)^2)+Ft!I$7*EXP(Ft!I$40*($A580-Ft!I$2)^2)))</f>
        <v>0</v>
      </c>
      <c r="N580" s="3">
        <f>IF(($A580-Ft!J$2)&lt;0,Ft!J$3*((1-Ft!J$6)/(1+Ft!J$37*($A580-Ft!J$2)^2)+Ft!J$6*EXP(Ft!J$38*($A580-Ft!J$2)^2)),Ft!J$3*((1-Ft!J$7)/(1+Ft!J$39*($A580-Ft!J$2)^2)+Ft!J$7*EXP(Ft!J$40*($A580-Ft!J$2)^2)))</f>
        <v>0</v>
      </c>
      <c r="O580" s="3">
        <f>IF(($A580-Ft!K$2)&lt;0,Ft!K$3*((1-Ft!K$6)/(1+Ft!K$37*($A580-Ft!K$2)^2)+Ft!K$6*EXP(Ft!K$38*($A580-Ft!K$2)^2)),Ft!K$3*((1-Ft!K$7)/(1+Ft!K$39*($A580-Ft!K$2)^2)+Ft!K$7*EXP(Ft!K$40*($A580-Ft!K$2)^2)))</f>
        <v>0</v>
      </c>
      <c r="P580" s="29"/>
      <c r="Q580"/>
    </row>
    <row r="581" spans="1:17">
      <c r="A581" s="20">
        <v>1159</v>
      </c>
      <c r="B581" s="29">
        <v>10.521421594328439</v>
      </c>
      <c r="C581" s="7">
        <f t="shared" si="19"/>
        <v>11.277486092539201</v>
      </c>
      <c r="D581" s="3">
        <f t="shared" si="18"/>
        <v>0.57163352545469104</v>
      </c>
      <c r="E581" s="3">
        <f>Ft!$B$12+Ft!$B$14*(Data!A581-Vars!$B$3)</f>
        <v>-200</v>
      </c>
      <c r="F581" s="3">
        <f>IF(($A581-Ft!B$2)&lt;0,Ft!B$3*((1-Ft!B$6)/(1+Ft!B$37*($A581-Ft!B$2)^2)+Ft!B$6*EXP(Ft!B$38*($A581-Ft!B$2)^2)),Ft!B$3*((1-Ft!B$7)/(1+Ft!B$39*($A581-Ft!B$2)^2)+Ft!B$7*EXP(Ft!B$40*($A581-Ft!B$2)^2)))</f>
        <v>1.9131566110301923</v>
      </c>
      <c r="G581" s="3">
        <f>IF(($A581-Ft!C$2)&lt;0,Ft!C$3*((1-Ft!C$6)/(1+Ft!C$37*($A581-Ft!C$2)^2)+Ft!C$6*EXP(Ft!C$38*($A581-Ft!C$2)^2)),Ft!C$3*((1-Ft!C$7)/(1+Ft!C$39*($A581-Ft!C$2)^2)+Ft!C$7*EXP(Ft!C$40*($A581-Ft!C$2)^2)))</f>
        <v>52.310865336766305</v>
      </c>
      <c r="H581" s="3">
        <f>IF(($A581-Ft!D$2)&lt;0,Ft!D$3*((1-Ft!D$6)/(1+Ft!D$37*($A581-Ft!D$2)^2)+Ft!D$6*EXP(Ft!D$38*($A581-Ft!D$2)^2)),Ft!D$3*((1-Ft!D$7)/(1+Ft!D$39*($A581-Ft!D$2)^2)+Ft!D$7*EXP(Ft!D$40*($A581-Ft!D$2)^2)))</f>
        <v>1.3064357512248085E-157</v>
      </c>
      <c r="I581" s="3">
        <f>IF(($A581-Ft!E$2)&lt;0,Ft!E$3*((1-Ft!E$6)/(1+Ft!E$37*($A581-Ft!E$2)^2)+Ft!E$6*EXP(Ft!E$38*($A581-Ft!E$2)^2)),Ft!E$3*((1-Ft!E$7)/(1+Ft!E$39*($A581-Ft!E$2)^2)+Ft!E$7*EXP(Ft!E$40*($A581-Ft!E$2)^2)))</f>
        <v>27.612721491923736</v>
      </c>
      <c r="J581" s="3">
        <f>IF(($A581-Ft!F$2)&lt;0,Ft!F$3*((1-Ft!F$6)/(1+Ft!F$37*($A581-Ft!F$2)^2)+Ft!F$6*EXP(Ft!F$38*($A581-Ft!F$2)^2)),Ft!F$3*((1-Ft!F$7)/(1+Ft!F$39*($A581-Ft!F$2)^2)+Ft!F$7*EXP(Ft!F$40*($A581-Ft!F$2)^2)))</f>
        <v>129.42940658366092</v>
      </c>
      <c r="K581" s="3">
        <f>IF(($A581-Ft!G$2)&lt;0,Ft!G$3*((1-Ft!G$6)/(1+Ft!G$37*($A581-Ft!G$2)^2)+Ft!G$6*EXP(Ft!G$38*($A581-Ft!G$2)^2)),Ft!G$3*((1-Ft!G$7)/(1+Ft!G$39*($A581-Ft!G$2)^2)+Ft!G$7*EXP(Ft!G$40*($A581-Ft!G$2)^2)))</f>
        <v>1.133606915804283E-2</v>
      </c>
      <c r="L581" s="3">
        <f>IF(($A581-Ft!H$2)&lt;0,Ft!H$3*((1-Ft!H$6)/(1+Ft!H$37*($A581-Ft!H$2)^2)+Ft!H$6*EXP(Ft!H$38*($A581-Ft!H$2)^2)),Ft!H$3*((1-Ft!H$7)/(1+Ft!H$39*($A581-Ft!H$2)^2)+Ft!H$7*EXP(Ft!H$40*($A581-Ft!H$2)^2)))</f>
        <v>0</v>
      </c>
      <c r="M581" s="3">
        <f>IF(($A581-Ft!I$2)&lt;0,Ft!I$3*((1-Ft!I$6)/(1+Ft!I$37*($A581-Ft!I$2)^2)+Ft!I$6*EXP(Ft!I$38*($A581-Ft!I$2)^2)),Ft!I$3*((1-Ft!I$7)/(1+Ft!I$39*($A581-Ft!I$2)^2)+Ft!I$7*EXP(Ft!I$40*($A581-Ft!I$2)^2)))</f>
        <v>0</v>
      </c>
      <c r="N581" s="3">
        <f>IF(($A581-Ft!J$2)&lt;0,Ft!J$3*((1-Ft!J$6)/(1+Ft!J$37*($A581-Ft!J$2)^2)+Ft!J$6*EXP(Ft!J$38*($A581-Ft!J$2)^2)),Ft!J$3*((1-Ft!J$7)/(1+Ft!J$39*($A581-Ft!J$2)^2)+Ft!J$7*EXP(Ft!J$40*($A581-Ft!J$2)^2)))</f>
        <v>0</v>
      </c>
      <c r="O581" s="3">
        <f>IF(($A581-Ft!K$2)&lt;0,Ft!K$3*((1-Ft!K$6)/(1+Ft!K$37*($A581-Ft!K$2)^2)+Ft!K$6*EXP(Ft!K$38*($A581-Ft!K$2)^2)),Ft!K$3*((1-Ft!K$7)/(1+Ft!K$39*($A581-Ft!K$2)^2)+Ft!K$7*EXP(Ft!K$40*($A581-Ft!K$2)^2)))</f>
        <v>0</v>
      </c>
      <c r="P581" s="29"/>
      <c r="Q581"/>
    </row>
    <row r="582" spans="1:17">
      <c r="A582" s="20">
        <v>1161</v>
      </c>
      <c r="B582" s="29">
        <v>10.395704219159949</v>
      </c>
      <c r="C582" s="7">
        <f t="shared" si="19"/>
        <v>11.10507807884381</v>
      </c>
      <c r="D582" s="3">
        <f t="shared" si="18"/>
        <v>0.50321127280277844</v>
      </c>
      <c r="E582" s="3">
        <f>Ft!$B$12+Ft!$B$14*(Data!A582-Vars!$B$3)</f>
        <v>-200</v>
      </c>
      <c r="F582" s="3">
        <f>IF(($A582-Ft!B$2)&lt;0,Ft!B$3*((1-Ft!B$6)/(1+Ft!B$37*($A582-Ft!B$2)^2)+Ft!B$6*EXP(Ft!B$38*($A582-Ft!B$2)^2)),Ft!B$3*((1-Ft!B$7)/(1+Ft!B$39*($A582-Ft!B$2)^2)+Ft!B$7*EXP(Ft!B$40*($A582-Ft!B$2)^2)))</f>
        <v>1.8880936534365964</v>
      </c>
      <c r="G582" s="3">
        <f>IF(($A582-Ft!C$2)&lt;0,Ft!C$3*((1-Ft!C$6)/(1+Ft!C$37*($A582-Ft!C$2)^2)+Ft!C$6*EXP(Ft!C$38*($A582-Ft!C$2)^2)),Ft!C$3*((1-Ft!C$7)/(1+Ft!C$39*($A582-Ft!C$2)^2)+Ft!C$7*EXP(Ft!C$40*($A582-Ft!C$2)^2)))</f>
        <v>52.251311278900673</v>
      </c>
      <c r="H582" s="3">
        <f>IF(($A582-Ft!D$2)&lt;0,Ft!D$3*((1-Ft!D$6)/(1+Ft!D$37*($A582-Ft!D$2)^2)+Ft!D$6*EXP(Ft!D$38*($A582-Ft!D$2)^2)),Ft!D$3*((1-Ft!D$7)/(1+Ft!D$39*($A582-Ft!D$2)^2)+Ft!D$7*EXP(Ft!D$40*($A582-Ft!D$2)^2)))</f>
        <v>1.7665454946235136E-158</v>
      </c>
      <c r="I582" s="3">
        <f>IF(($A582-Ft!E$2)&lt;0,Ft!E$3*((1-Ft!E$6)/(1+Ft!E$37*($A582-Ft!E$2)^2)+Ft!E$6*EXP(Ft!E$38*($A582-Ft!E$2)^2)),Ft!E$3*((1-Ft!E$7)/(1+Ft!E$39*($A582-Ft!E$2)^2)+Ft!E$7*EXP(Ft!E$40*($A582-Ft!E$2)^2)))</f>
        <v>27.262618441812272</v>
      </c>
      <c r="J582" s="3">
        <f>IF(($A582-Ft!F$2)&lt;0,Ft!F$3*((1-Ft!F$6)/(1+Ft!F$37*($A582-Ft!F$2)^2)+Ft!F$6*EXP(Ft!F$38*($A582-Ft!F$2)^2)),Ft!F$3*((1-Ft!F$7)/(1+Ft!F$39*($A582-Ft!F$2)^2)+Ft!F$7*EXP(Ft!F$40*($A582-Ft!F$2)^2)))</f>
        <v>129.69218212380167</v>
      </c>
      <c r="K582" s="3">
        <f>IF(($A582-Ft!G$2)&lt;0,Ft!G$3*((1-Ft!G$6)/(1+Ft!G$37*($A582-Ft!G$2)^2)+Ft!G$6*EXP(Ft!G$38*($A582-Ft!G$2)^2)),Ft!G$3*((1-Ft!G$7)/(1+Ft!G$39*($A582-Ft!G$2)^2)+Ft!G$7*EXP(Ft!G$40*($A582-Ft!G$2)^2)))</f>
        <v>1.0872580892630292E-2</v>
      </c>
      <c r="L582" s="3">
        <f>IF(($A582-Ft!H$2)&lt;0,Ft!H$3*((1-Ft!H$6)/(1+Ft!H$37*($A582-Ft!H$2)^2)+Ft!H$6*EXP(Ft!H$38*($A582-Ft!H$2)^2)),Ft!H$3*((1-Ft!H$7)/(1+Ft!H$39*($A582-Ft!H$2)^2)+Ft!H$7*EXP(Ft!H$40*($A582-Ft!H$2)^2)))</f>
        <v>0</v>
      </c>
      <c r="M582" s="3">
        <f>IF(($A582-Ft!I$2)&lt;0,Ft!I$3*((1-Ft!I$6)/(1+Ft!I$37*($A582-Ft!I$2)^2)+Ft!I$6*EXP(Ft!I$38*($A582-Ft!I$2)^2)),Ft!I$3*((1-Ft!I$7)/(1+Ft!I$39*($A582-Ft!I$2)^2)+Ft!I$7*EXP(Ft!I$40*($A582-Ft!I$2)^2)))</f>
        <v>0</v>
      </c>
      <c r="N582" s="3">
        <f>IF(($A582-Ft!J$2)&lt;0,Ft!J$3*((1-Ft!J$6)/(1+Ft!J$37*($A582-Ft!J$2)^2)+Ft!J$6*EXP(Ft!J$38*($A582-Ft!J$2)^2)),Ft!J$3*((1-Ft!J$7)/(1+Ft!J$39*($A582-Ft!J$2)^2)+Ft!J$7*EXP(Ft!J$40*($A582-Ft!J$2)^2)))</f>
        <v>0</v>
      </c>
      <c r="O582" s="3">
        <f>IF(($A582-Ft!K$2)&lt;0,Ft!K$3*((1-Ft!K$6)/(1+Ft!K$37*($A582-Ft!K$2)^2)+Ft!K$6*EXP(Ft!K$38*($A582-Ft!K$2)^2)),Ft!K$3*((1-Ft!K$7)/(1+Ft!K$39*($A582-Ft!K$2)^2)+Ft!K$7*EXP(Ft!K$40*($A582-Ft!K$2)^2)))</f>
        <v>0</v>
      </c>
      <c r="P582" s="29"/>
      <c r="Q582"/>
    </row>
    <row r="583" spans="1:17">
      <c r="A583" s="20">
        <v>1163</v>
      </c>
      <c r="B583" s="29">
        <v>10.27542236454812</v>
      </c>
      <c r="C583" s="7">
        <f t="shared" si="19"/>
        <v>10.934287628723137</v>
      </c>
      <c r="D583" s="3">
        <f t="shared" si="18"/>
        <v>0.43410343633641435</v>
      </c>
      <c r="E583" s="3">
        <f>Ft!$B$12+Ft!$B$14*(Data!A583-Vars!$B$3)</f>
        <v>-200</v>
      </c>
      <c r="F583" s="3">
        <f>IF(($A583-Ft!B$2)&lt;0,Ft!B$3*((1-Ft!B$6)/(1+Ft!B$37*($A583-Ft!B$2)^2)+Ft!B$6*EXP(Ft!B$38*($A583-Ft!B$2)^2)),Ft!B$3*((1-Ft!B$7)/(1+Ft!B$39*($A583-Ft!B$2)^2)+Ft!B$7*EXP(Ft!B$40*($A583-Ft!B$2)^2)))</f>
        <v>1.8633234634077773</v>
      </c>
      <c r="G583" s="3">
        <f>IF(($A583-Ft!C$2)&lt;0,Ft!C$3*((1-Ft!C$6)/(1+Ft!C$37*($A583-Ft!C$2)^2)+Ft!C$6*EXP(Ft!C$38*($A583-Ft!C$2)^2)),Ft!C$3*((1-Ft!C$7)/(1+Ft!C$39*($A583-Ft!C$2)^2)+Ft!C$7*EXP(Ft!C$40*($A583-Ft!C$2)^2)))</f>
        <v>52.191363868106848</v>
      </c>
      <c r="H583" s="3">
        <f>IF(($A583-Ft!D$2)&lt;0,Ft!D$3*((1-Ft!D$6)/(1+Ft!D$37*($A583-Ft!D$2)^2)+Ft!D$6*EXP(Ft!D$38*($A583-Ft!D$2)^2)),Ft!D$3*((1-Ft!D$7)/(1+Ft!D$39*($A583-Ft!D$2)^2)+Ft!D$7*EXP(Ft!D$40*($A583-Ft!D$2)^2)))</f>
        <v>2.3755582471366894E-159</v>
      </c>
      <c r="I583" s="3">
        <f>IF(($A583-Ft!E$2)&lt;0,Ft!E$3*((1-Ft!E$6)/(1+Ft!E$37*($A583-Ft!E$2)^2)+Ft!E$6*EXP(Ft!E$38*($A583-Ft!E$2)^2)),Ft!E$3*((1-Ft!E$7)/(1+Ft!E$39*($A583-Ft!E$2)^2)+Ft!E$7*EXP(Ft!E$40*($A583-Ft!E$2)^2)))</f>
        <v>26.915393727990701</v>
      </c>
      <c r="J583" s="3">
        <f>IF(($A583-Ft!F$2)&lt;0,Ft!F$3*((1-Ft!F$6)/(1+Ft!F$37*($A583-Ft!F$2)^2)+Ft!F$6*EXP(Ft!F$38*($A583-Ft!F$2)^2)),Ft!F$3*((1-Ft!F$7)/(1+Ft!F$39*($A583-Ft!F$2)^2)+Ft!F$7*EXP(Ft!F$40*($A583-Ft!F$2)^2)))</f>
        <v>129.95377960869882</v>
      </c>
      <c r="K583" s="3">
        <f>IF(($A583-Ft!G$2)&lt;0,Ft!G$3*((1-Ft!G$6)/(1+Ft!G$37*($A583-Ft!G$2)^2)+Ft!G$6*EXP(Ft!G$38*($A583-Ft!G$2)^2)),Ft!G$3*((1-Ft!G$7)/(1+Ft!G$39*($A583-Ft!G$2)^2)+Ft!G$7*EXP(Ft!G$40*($A583-Ft!G$2)^2)))</f>
        <v>1.042696051898131E-2</v>
      </c>
      <c r="L583" s="3">
        <f>IF(($A583-Ft!H$2)&lt;0,Ft!H$3*((1-Ft!H$6)/(1+Ft!H$37*($A583-Ft!H$2)^2)+Ft!H$6*EXP(Ft!H$38*($A583-Ft!H$2)^2)),Ft!H$3*((1-Ft!H$7)/(1+Ft!H$39*($A583-Ft!H$2)^2)+Ft!H$7*EXP(Ft!H$40*($A583-Ft!H$2)^2)))</f>
        <v>0</v>
      </c>
      <c r="M583" s="3">
        <f>IF(($A583-Ft!I$2)&lt;0,Ft!I$3*((1-Ft!I$6)/(1+Ft!I$37*($A583-Ft!I$2)^2)+Ft!I$6*EXP(Ft!I$38*($A583-Ft!I$2)^2)),Ft!I$3*((1-Ft!I$7)/(1+Ft!I$39*($A583-Ft!I$2)^2)+Ft!I$7*EXP(Ft!I$40*($A583-Ft!I$2)^2)))</f>
        <v>0</v>
      </c>
      <c r="N583" s="3">
        <f>IF(($A583-Ft!J$2)&lt;0,Ft!J$3*((1-Ft!J$6)/(1+Ft!J$37*($A583-Ft!J$2)^2)+Ft!J$6*EXP(Ft!J$38*($A583-Ft!J$2)^2)),Ft!J$3*((1-Ft!J$7)/(1+Ft!J$39*($A583-Ft!J$2)^2)+Ft!J$7*EXP(Ft!J$40*($A583-Ft!J$2)^2)))</f>
        <v>0</v>
      </c>
      <c r="O583" s="3">
        <f>IF(($A583-Ft!K$2)&lt;0,Ft!K$3*((1-Ft!K$6)/(1+Ft!K$37*($A583-Ft!K$2)^2)+Ft!K$6*EXP(Ft!K$38*($A583-Ft!K$2)^2)),Ft!K$3*((1-Ft!K$7)/(1+Ft!K$39*($A583-Ft!K$2)^2)+Ft!K$7*EXP(Ft!K$40*($A583-Ft!K$2)^2)))</f>
        <v>0</v>
      </c>
      <c r="P583" s="29"/>
      <c r="Q583"/>
    </row>
    <row r="584" spans="1:17">
      <c r="A584" s="20">
        <v>1165</v>
      </c>
      <c r="B584" s="29">
        <v>10.163600886773242</v>
      </c>
      <c r="C584" s="7">
        <f t="shared" si="19"/>
        <v>10.765106783409625</v>
      </c>
      <c r="D584" s="3">
        <f t="shared" si="18"/>
        <v>0.36180934368833839</v>
      </c>
      <c r="E584" s="3">
        <f>Ft!$B$12+Ft!$B$14*(Data!A584-Vars!$B$3)</f>
        <v>-200</v>
      </c>
      <c r="F584" s="3">
        <f>IF(($A584-Ft!B$2)&lt;0,Ft!B$3*((1-Ft!B$6)/(1+Ft!B$37*($A584-Ft!B$2)^2)+Ft!B$6*EXP(Ft!B$38*($A584-Ft!B$2)^2)),Ft!B$3*((1-Ft!B$7)/(1+Ft!B$39*($A584-Ft!B$2)^2)+Ft!B$7*EXP(Ft!B$40*($A584-Ft!B$2)^2)))</f>
        <v>1.8388431394342915</v>
      </c>
      <c r="G584" s="3">
        <f>IF(($A584-Ft!C$2)&lt;0,Ft!C$3*((1-Ft!C$6)/(1+Ft!C$37*($A584-Ft!C$2)^2)+Ft!C$6*EXP(Ft!C$38*($A584-Ft!C$2)^2)),Ft!C$3*((1-Ft!C$7)/(1+Ft!C$39*($A584-Ft!C$2)^2)+Ft!C$7*EXP(Ft!C$40*($A584-Ft!C$2)^2)))</f>
        <v>52.13102461442584</v>
      </c>
      <c r="H584" s="3">
        <f>IF(($A584-Ft!D$2)&lt;0,Ft!D$3*((1-Ft!D$6)/(1+Ft!D$37*($A584-Ft!D$2)^2)+Ft!D$6*EXP(Ft!D$38*($A584-Ft!D$2)^2)),Ft!D$3*((1-Ft!D$7)/(1+Ft!D$39*($A584-Ft!D$2)^2)+Ft!D$7*EXP(Ft!D$40*($A584-Ft!D$2)^2)))</f>
        <v>3.1769518127073576E-160</v>
      </c>
      <c r="I584" s="3">
        <f>IF(($A584-Ft!E$2)&lt;0,Ft!E$3*((1-Ft!E$6)/(1+Ft!E$37*($A584-Ft!E$2)^2)+Ft!E$6*EXP(Ft!E$38*($A584-Ft!E$2)^2)),Ft!E$3*((1-Ft!E$7)/(1+Ft!E$39*($A584-Ft!E$2)^2)+Ft!E$7*EXP(Ft!E$40*($A584-Ft!E$2)^2)))</f>
        <v>26.571050698698677</v>
      </c>
      <c r="J584" s="3">
        <f>IF(($A584-Ft!F$2)&lt;0,Ft!F$3*((1-Ft!F$6)/(1+Ft!F$37*($A584-Ft!F$2)^2)+Ft!F$6*EXP(Ft!F$38*($A584-Ft!F$2)^2)),Ft!F$3*((1-Ft!F$7)/(1+Ft!F$39*($A584-Ft!F$2)^2)+Ft!F$7*EXP(Ft!F$40*($A584-Ft!F$2)^2)))</f>
        <v>130.21418976453273</v>
      </c>
      <c r="K584" s="3">
        <f>IF(($A584-Ft!G$2)&lt;0,Ft!G$3*((1-Ft!G$6)/(1+Ft!G$37*($A584-Ft!G$2)^2)+Ft!G$6*EXP(Ft!G$38*($A584-Ft!G$2)^2)),Ft!G$3*((1-Ft!G$7)/(1+Ft!G$39*($A584-Ft!G$2)^2)+Ft!G$7*EXP(Ft!G$40*($A584-Ft!G$2)^2)))</f>
        <v>9.9985663180916524E-3</v>
      </c>
      <c r="L584" s="3">
        <f>IF(($A584-Ft!H$2)&lt;0,Ft!H$3*((1-Ft!H$6)/(1+Ft!H$37*($A584-Ft!H$2)^2)+Ft!H$6*EXP(Ft!H$38*($A584-Ft!H$2)^2)),Ft!H$3*((1-Ft!H$7)/(1+Ft!H$39*($A584-Ft!H$2)^2)+Ft!H$7*EXP(Ft!H$40*($A584-Ft!H$2)^2)))</f>
        <v>0</v>
      </c>
      <c r="M584" s="3">
        <f>IF(($A584-Ft!I$2)&lt;0,Ft!I$3*((1-Ft!I$6)/(1+Ft!I$37*($A584-Ft!I$2)^2)+Ft!I$6*EXP(Ft!I$38*($A584-Ft!I$2)^2)),Ft!I$3*((1-Ft!I$7)/(1+Ft!I$39*($A584-Ft!I$2)^2)+Ft!I$7*EXP(Ft!I$40*($A584-Ft!I$2)^2)))</f>
        <v>0</v>
      </c>
      <c r="N584" s="3">
        <f>IF(($A584-Ft!J$2)&lt;0,Ft!J$3*((1-Ft!J$6)/(1+Ft!J$37*($A584-Ft!J$2)^2)+Ft!J$6*EXP(Ft!J$38*($A584-Ft!J$2)^2)),Ft!J$3*((1-Ft!J$7)/(1+Ft!J$39*($A584-Ft!J$2)^2)+Ft!J$7*EXP(Ft!J$40*($A584-Ft!J$2)^2)))</f>
        <v>0</v>
      </c>
      <c r="O584" s="3">
        <f>IF(($A584-Ft!K$2)&lt;0,Ft!K$3*((1-Ft!K$6)/(1+Ft!K$37*($A584-Ft!K$2)^2)+Ft!K$6*EXP(Ft!K$38*($A584-Ft!K$2)^2)),Ft!K$3*((1-Ft!K$7)/(1+Ft!K$39*($A584-Ft!K$2)^2)+Ft!K$7*EXP(Ft!K$40*($A584-Ft!K$2)^2)))</f>
        <v>0</v>
      </c>
      <c r="P584" s="29"/>
      <c r="Q584"/>
    </row>
    <row r="585" spans="1:17">
      <c r="A585" s="20">
        <v>1167</v>
      </c>
      <c r="B585" s="29">
        <v>10.060927840182323</v>
      </c>
      <c r="C585" s="7">
        <f t="shared" si="19"/>
        <v>10.597527123007342</v>
      </c>
      <c r="D585" s="3">
        <f t="shared" si="18"/>
        <v>0.28793879032832498</v>
      </c>
      <c r="E585" s="3">
        <f>Ft!$B$12+Ft!$B$14*(Data!A585-Vars!$B$3)</f>
        <v>-200</v>
      </c>
      <c r="F585" s="3">
        <f>IF(($A585-Ft!B$2)&lt;0,Ft!B$3*((1-Ft!B$6)/(1+Ft!B$37*($A585-Ft!B$2)^2)+Ft!B$6*EXP(Ft!B$38*($A585-Ft!B$2)^2)),Ft!B$3*((1-Ft!B$7)/(1+Ft!B$39*($A585-Ft!B$2)^2)+Ft!B$7*EXP(Ft!B$40*($A585-Ft!B$2)^2)))</f>
        <v>1.8146498016107591</v>
      </c>
      <c r="G585" s="3">
        <f>IF(($A585-Ft!C$2)&lt;0,Ft!C$3*((1-Ft!C$6)/(1+Ft!C$37*($A585-Ft!C$2)^2)+Ft!C$6*EXP(Ft!C$38*($A585-Ft!C$2)^2)),Ft!C$3*((1-Ft!C$7)/(1+Ft!C$39*($A585-Ft!C$2)^2)+Ft!C$7*EXP(Ft!C$40*($A585-Ft!C$2)^2)))</f>
        <v>52.070295036540202</v>
      </c>
      <c r="H585" s="3">
        <f>IF(($A585-Ft!D$2)&lt;0,Ft!D$3*((1-Ft!D$6)/(1+Ft!D$37*($A585-Ft!D$2)^2)+Ft!D$6*EXP(Ft!D$38*($A585-Ft!D$2)^2)),Ft!D$3*((1-Ft!D$7)/(1+Ft!D$39*($A585-Ft!D$2)^2)+Ft!D$7*EXP(Ft!D$40*($A585-Ft!D$2)^2)))</f>
        <v>4.2253205197392952E-161</v>
      </c>
      <c r="I585" s="3">
        <f>IF(($A585-Ft!E$2)&lt;0,Ft!E$3*((1-Ft!E$6)/(1+Ft!E$37*($A585-Ft!E$2)^2)+Ft!E$6*EXP(Ft!E$38*($A585-Ft!E$2)^2)),Ft!E$3*((1-Ft!E$7)/(1+Ft!E$39*($A585-Ft!E$2)^2)+Ft!E$7*EXP(Ft!E$40*($A585-Ft!E$2)^2)))</f>
        <v>26.229592161406995</v>
      </c>
      <c r="J585" s="3">
        <f>IF(($A585-Ft!F$2)&lt;0,Ft!F$3*((1-Ft!F$6)/(1+Ft!F$37*($A585-Ft!F$2)^2)+Ft!F$6*EXP(Ft!F$38*($A585-Ft!F$2)^2)),Ft!F$3*((1-Ft!F$7)/(1+Ft!F$39*($A585-Ft!F$2)^2)+Ft!F$7*EXP(Ft!F$40*($A585-Ft!F$2)^2)))</f>
        <v>130.47340334579889</v>
      </c>
      <c r="K585" s="3">
        <f>IF(($A585-Ft!G$2)&lt;0,Ft!G$3*((1-Ft!G$6)/(1+Ft!G$37*($A585-Ft!G$2)^2)+Ft!G$6*EXP(Ft!G$38*($A585-Ft!G$2)^2)),Ft!G$3*((1-Ft!G$7)/(1+Ft!G$39*($A585-Ft!G$2)^2)+Ft!G$7*EXP(Ft!G$40*($A585-Ft!G$2)^2)))</f>
        <v>9.5867776505151516E-3</v>
      </c>
      <c r="L585" s="3">
        <f>IF(($A585-Ft!H$2)&lt;0,Ft!H$3*((1-Ft!H$6)/(1+Ft!H$37*($A585-Ft!H$2)^2)+Ft!H$6*EXP(Ft!H$38*($A585-Ft!H$2)^2)),Ft!H$3*((1-Ft!H$7)/(1+Ft!H$39*($A585-Ft!H$2)^2)+Ft!H$7*EXP(Ft!H$40*($A585-Ft!H$2)^2)))</f>
        <v>0</v>
      </c>
      <c r="M585" s="3">
        <f>IF(($A585-Ft!I$2)&lt;0,Ft!I$3*((1-Ft!I$6)/(1+Ft!I$37*($A585-Ft!I$2)^2)+Ft!I$6*EXP(Ft!I$38*($A585-Ft!I$2)^2)),Ft!I$3*((1-Ft!I$7)/(1+Ft!I$39*($A585-Ft!I$2)^2)+Ft!I$7*EXP(Ft!I$40*($A585-Ft!I$2)^2)))</f>
        <v>0</v>
      </c>
      <c r="N585" s="3">
        <f>IF(($A585-Ft!J$2)&lt;0,Ft!J$3*((1-Ft!J$6)/(1+Ft!J$37*($A585-Ft!J$2)^2)+Ft!J$6*EXP(Ft!J$38*($A585-Ft!J$2)^2)),Ft!J$3*((1-Ft!J$7)/(1+Ft!J$39*($A585-Ft!J$2)^2)+Ft!J$7*EXP(Ft!J$40*($A585-Ft!J$2)^2)))</f>
        <v>0</v>
      </c>
      <c r="O585" s="3">
        <f>IF(($A585-Ft!K$2)&lt;0,Ft!K$3*((1-Ft!K$6)/(1+Ft!K$37*($A585-Ft!K$2)^2)+Ft!K$6*EXP(Ft!K$38*($A585-Ft!K$2)^2)),Ft!K$3*((1-Ft!K$7)/(1+Ft!K$39*($A585-Ft!K$2)^2)+Ft!K$7*EXP(Ft!K$40*($A585-Ft!K$2)^2)))</f>
        <v>0</v>
      </c>
      <c r="P585" s="29"/>
      <c r="Q585"/>
    </row>
    <row r="586" spans="1:17">
      <c r="A586" s="20">
        <v>1169</v>
      </c>
      <c r="B586" s="29">
        <v>9.9721534570195232</v>
      </c>
      <c r="C586" s="7">
        <f t="shared" si="19"/>
        <v>10.431539772564573</v>
      </c>
      <c r="D586" s="3">
        <f t="shared" si="18"/>
        <v>0.2110357869100562</v>
      </c>
      <c r="E586" s="3">
        <f>Ft!$B$12+Ft!$B$14*(Data!A586-Vars!$B$3)</f>
        <v>-200</v>
      </c>
      <c r="F586" s="3">
        <f>IF(($A586-Ft!B$2)&lt;0,Ft!B$3*((1-Ft!B$6)/(1+Ft!B$37*($A586-Ft!B$2)^2)+Ft!B$6*EXP(Ft!B$38*($A586-Ft!B$2)^2)),Ft!B$3*((1-Ft!B$7)/(1+Ft!B$39*($A586-Ft!B$2)^2)+Ft!B$7*EXP(Ft!B$40*($A586-Ft!B$2)^2)))</f>
        <v>1.7907405915704722</v>
      </c>
      <c r="G586" s="3">
        <f>IF(($A586-Ft!C$2)&lt;0,Ft!C$3*((1-Ft!C$6)/(1+Ft!C$37*($A586-Ft!C$2)^2)+Ft!C$6*EXP(Ft!C$38*($A586-Ft!C$2)^2)),Ft!C$3*((1-Ft!C$7)/(1+Ft!C$39*($A586-Ft!C$2)^2)+Ft!C$7*EXP(Ft!C$40*($A586-Ft!C$2)^2)))</f>
        <v>52.009176661710427</v>
      </c>
      <c r="H586" s="3">
        <f>IF(($A586-Ft!D$2)&lt;0,Ft!D$3*((1-Ft!D$6)/(1+Ft!D$37*($A586-Ft!D$2)^2)+Ft!D$6*EXP(Ft!D$38*($A586-Ft!D$2)^2)),Ft!D$3*((1-Ft!D$7)/(1+Ft!D$39*($A586-Ft!D$2)^2)+Ft!D$7*EXP(Ft!D$40*($A586-Ft!D$2)^2)))</f>
        <v>5.5887254745048215E-162</v>
      </c>
      <c r="I586" s="3">
        <f>IF(($A586-Ft!E$2)&lt;0,Ft!E$3*((1-Ft!E$6)/(1+Ft!E$37*($A586-Ft!E$2)^2)+Ft!E$6*EXP(Ft!E$38*($A586-Ft!E$2)^2)),Ft!E$3*((1-Ft!E$7)/(1+Ft!E$39*($A586-Ft!E$2)^2)+Ft!E$7*EXP(Ft!E$40*($A586-Ft!E$2)^2)))</f>
        <v>25.891020389088965</v>
      </c>
      <c r="J586" s="3">
        <f>IF(($A586-Ft!F$2)&lt;0,Ft!F$3*((1-Ft!F$6)/(1+Ft!F$37*($A586-Ft!F$2)^2)+Ft!F$6*EXP(Ft!F$38*($A586-Ft!F$2)^2)),Ft!F$3*((1-Ft!F$7)/(1+Ft!F$39*($A586-Ft!F$2)^2)+Ft!F$7*EXP(Ft!F$40*($A586-Ft!F$2)^2)))</f>
        <v>130.73141113585203</v>
      </c>
      <c r="K586" s="3">
        <f>IF(($A586-Ft!G$2)&lt;0,Ft!G$3*((1-Ft!G$6)/(1+Ft!G$37*($A586-Ft!G$2)^2)+Ft!G$6*EXP(Ft!G$38*($A586-Ft!G$2)^2)),Ft!G$3*((1-Ft!G$7)/(1+Ft!G$39*($A586-Ft!G$2)^2)+Ft!G$7*EXP(Ft!G$40*($A586-Ft!G$2)^2)))</f>
        <v>9.190994342670249E-3</v>
      </c>
      <c r="L586" s="3">
        <f>IF(($A586-Ft!H$2)&lt;0,Ft!H$3*((1-Ft!H$6)/(1+Ft!H$37*($A586-Ft!H$2)^2)+Ft!H$6*EXP(Ft!H$38*($A586-Ft!H$2)^2)),Ft!H$3*((1-Ft!H$7)/(1+Ft!H$39*($A586-Ft!H$2)^2)+Ft!H$7*EXP(Ft!H$40*($A586-Ft!H$2)^2)))</f>
        <v>0</v>
      </c>
      <c r="M586" s="3">
        <f>IF(($A586-Ft!I$2)&lt;0,Ft!I$3*((1-Ft!I$6)/(1+Ft!I$37*($A586-Ft!I$2)^2)+Ft!I$6*EXP(Ft!I$38*($A586-Ft!I$2)^2)),Ft!I$3*((1-Ft!I$7)/(1+Ft!I$39*($A586-Ft!I$2)^2)+Ft!I$7*EXP(Ft!I$40*($A586-Ft!I$2)^2)))</f>
        <v>0</v>
      </c>
      <c r="N586" s="3">
        <f>IF(($A586-Ft!J$2)&lt;0,Ft!J$3*((1-Ft!J$6)/(1+Ft!J$37*($A586-Ft!J$2)^2)+Ft!J$6*EXP(Ft!J$38*($A586-Ft!J$2)^2)),Ft!J$3*((1-Ft!J$7)/(1+Ft!J$39*($A586-Ft!J$2)^2)+Ft!J$7*EXP(Ft!J$40*($A586-Ft!J$2)^2)))</f>
        <v>0</v>
      </c>
      <c r="O586" s="3">
        <f>IF(($A586-Ft!K$2)&lt;0,Ft!K$3*((1-Ft!K$6)/(1+Ft!K$37*($A586-Ft!K$2)^2)+Ft!K$6*EXP(Ft!K$38*($A586-Ft!K$2)^2)),Ft!K$3*((1-Ft!K$7)/(1+Ft!K$39*($A586-Ft!K$2)^2)+Ft!K$7*EXP(Ft!K$40*($A586-Ft!K$2)^2)))</f>
        <v>0</v>
      </c>
      <c r="P586" s="29"/>
      <c r="Q586"/>
    </row>
    <row r="587" spans="1:17">
      <c r="A587" s="20">
        <v>1171</v>
      </c>
      <c r="B587" s="29">
        <v>9.8993124696741823</v>
      </c>
      <c r="C587" s="7">
        <f t="shared" si="19"/>
        <v>10.267135408232665</v>
      </c>
      <c r="D587" s="3">
        <f t="shared" si="18"/>
        <v>0.1352937141297974</v>
      </c>
      <c r="E587" s="3">
        <f>Ft!$B$12+Ft!$B$14*(Data!A587-Vars!$B$3)</f>
        <v>-200</v>
      </c>
      <c r="F587" s="3">
        <f>IF(($A587-Ft!B$2)&lt;0,Ft!B$3*((1-Ft!B$6)/(1+Ft!B$37*($A587-Ft!B$2)^2)+Ft!B$6*EXP(Ft!B$38*($A587-Ft!B$2)^2)),Ft!B$3*((1-Ft!B$7)/(1+Ft!B$39*($A587-Ft!B$2)^2)+Ft!B$7*EXP(Ft!B$40*($A587-Ft!B$2)^2)))</f>
        <v>1.7671126724187858</v>
      </c>
      <c r="G587" s="3">
        <f>IF(($A587-Ft!C$2)&lt;0,Ft!C$3*((1-Ft!C$6)/(1+Ft!C$37*($A587-Ft!C$2)^2)+Ft!C$6*EXP(Ft!C$38*($A587-Ft!C$2)^2)),Ft!C$3*((1-Ft!C$7)/(1+Ft!C$39*($A587-Ft!C$2)^2)+Ft!C$7*EXP(Ft!C$40*($A587-Ft!C$2)^2)))</f>
        <v>51.947671025710981</v>
      </c>
      <c r="H587" s="3">
        <f>IF(($A587-Ft!D$2)&lt;0,Ft!D$3*((1-Ft!D$6)/(1+Ft!D$37*($A587-Ft!D$2)^2)+Ft!D$6*EXP(Ft!D$38*($A587-Ft!D$2)^2)),Ft!D$3*((1-Ft!D$7)/(1+Ft!D$39*($A587-Ft!D$2)^2)+Ft!D$7*EXP(Ft!D$40*($A587-Ft!D$2)^2)))</f>
        <v>7.3513987880301436E-163</v>
      </c>
      <c r="I587" s="3">
        <f>IF(($A587-Ft!E$2)&lt;0,Ft!E$3*((1-Ft!E$6)/(1+Ft!E$37*($A587-Ft!E$2)^2)+Ft!E$6*EXP(Ft!E$38*($A587-Ft!E$2)^2)),Ft!E$3*((1-Ft!E$7)/(1+Ft!E$39*($A587-Ft!E$2)^2)+Ft!E$7*EXP(Ft!E$40*($A587-Ft!E$2)^2)))</f>
        <v>25.555337126565149</v>
      </c>
      <c r="J587" s="3">
        <f>IF(($A587-Ft!F$2)&lt;0,Ft!F$3*((1-Ft!F$6)/(1+Ft!F$37*($A587-Ft!F$2)^2)+Ft!F$6*EXP(Ft!F$38*($A587-Ft!F$2)^2)),Ft!F$3*((1-Ft!F$7)/(1+Ft!F$39*($A587-Ft!F$2)^2)+Ft!F$7*EXP(Ft!F$40*($A587-Ft!F$2)^2)))</f>
        <v>130.98820394744976</v>
      </c>
      <c r="K587" s="3">
        <f>IF(($A587-Ft!G$2)&lt;0,Ft!G$3*((1-Ft!G$6)/(1+Ft!G$37*($A587-Ft!G$2)^2)+Ft!G$6*EXP(Ft!G$38*($A587-Ft!G$2)^2)),Ft!G$3*((1-Ft!G$7)/(1+Ft!G$39*($A587-Ft!G$2)^2)+Ft!G$7*EXP(Ft!G$40*($A587-Ft!G$2)^2)))</f>
        <v>8.8106360879893417E-3</v>
      </c>
      <c r="L587" s="3">
        <f>IF(($A587-Ft!H$2)&lt;0,Ft!H$3*((1-Ft!H$6)/(1+Ft!H$37*($A587-Ft!H$2)^2)+Ft!H$6*EXP(Ft!H$38*($A587-Ft!H$2)^2)),Ft!H$3*((1-Ft!H$7)/(1+Ft!H$39*($A587-Ft!H$2)^2)+Ft!H$7*EXP(Ft!H$40*($A587-Ft!H$2)^2)))</f>
        <v>0</v>
      </c>
      <c r="M587" s="3">
        <f>IF(($A587-Ft!I$2)&lt;0,Ft!I$3*((1-Ft!I$6)/(1+Ft!I$37*($A587-Ft!I$2)^2)+Ft!I$6*EXP(Ft!I$38*($A587-Ft!I$2)^2)),Ft!I$3*((1-Ft!I$7)/(1+Ft!I$39*($A587-Ft!I$2)^2)+Ft!I$7*EXP(Ft!I$40*($A587-Ft!I$2)^2)))</f>
        <v>0</v>
      </c>
      <c r="N587" s="3">
        <f>IF(($A587-Ft!J$2)&lt;0,Ft!J$3*((1-Ft!J$6)/(1+Ft!J$37*($A587-Ft!J$2)^2)+Ft!J$6*EXP(Ft!J$38*($A587-Ft!J$2)^2)),Ft!J$3*((1-Ft!J$7)/(1+Ft!J$39*($A587-Ft!J$2)^2)+Ft!J$7*EXP(Ft!J$40*($A587-Ft!J$2)^2)))</f>
        <v>0</v>
      </c>
      <c r="O587" s="3">
        <f>IF(($A587-Ft!K$2)&lt;0,Ft!K$3*((1-Ft!K$6)/(1+Ft!K$37*($A587-Ft!K$2)^2)+Ft!K$6*EXP(Ft!K$38*($A587-Ft!K$2)^2)),Ft!K$3*((1-Ft!K$7)/(1+Ft!K$39*($A587-Ft!K$2)^2)+Ft!K$7*EXP(Ft!K$40*($A587-Ft!K$2)^2)))</f>
        <v>0</v>
      </c>
      <c r="P587" s="29"/>
      <c r="Q587"/>
    </row>
    <row r="588" spans="1:17">
      <c r="A588" s="20">
        <v>1173</v>
      </c>
      <c r="B588" s="29">
        <v>9.8308627256869752</v>
      </c>
      <c r="C588" s="7">
        <f t="shared" si="19"/>
        <v>10.104304263507926</v>
      </c>
      <c r="D588" s="3">
        <f t="shared" si="18"/>
        <v>7.4770274605886297E-2</v>
      </c>
      <c r="E588" s="3">
        <f>Ft!$B$12+Ft!$B$14*(Data!A588-Vars!$B$3)</f>
        <v>-200</v>
      </c>
      <c r="F588" s="3">
        <f>IF(($A588-Ft!B$2)&lt;0,Ft!B$3*((1-Ft!B$6)/(1+Ft!B$37*($A588-Ft!B$2)^2)+Ft!B$6*EXP(Ft!B$38*($A588-Ft!B$2)^2)),Ft!B$3*((1-Ft!B$7)/(1+Ft!B$39*($A588-Ft!B$2)^2)+Ft!B$7*EXP(Ft!B$40*($A588-Ft!B$2)^2)))</f>
        <v>1.7437632286653646</v>
      </c>
      <c r="G588" s="3">
        <f>IF(($A588-Ft!C$2)&lt;0,Ft!C$3*((1-Ft!C$6)/(1+Ft!C$37*($A588-Ft!C$2)^2)+Ft!C$6*EXP(Ft!C$38*($A588-Ft!C$2)^2)),Ft!C$3*((1-Ft!C$7)/(1+Ft!C$39*($A588-Ft!C$2)^2)+Ft!C$7*EXP(Ft!C$40*($A588-Ft!C$2)^2)))</f>
        <v>51.885779672766084</v>
      </c>
      <c r="H588" s="3">
        <f>IF(($A588-Ft!D$2)&lt;0,Ft!D$3*((1-Ft!D$6)/(1+Ft!D$37*($A588-Ft!D$2)^2)+Ft!D$6*EXP(Ft!D$38*($A588-Ft!D$2)^2)),Ft!D$3*((1-Ft!D$7)/(1+Ft!D$39*($A588-Ft!D$2)^2)+Ft!D$7*EXP(Ft!D$40*($A588-Ft!D$2)^2)))</f>
        <v>9.6168152932635901E-164</v>
      </c>
      <c r="I588" s="3">
        <f>IF(($A588-Ft!E$2)&lt;0,Ft!E$3*((1-Ft!E$6)/(1+Ft!E$37*($A588-Ft!E$2)^2)+Ft!E$6*EXP(Ft!E$38*($A588-Ft!E$2)^2)),Ft!E$3*((1-Ft!E$7)/(1+Ft!E$39*($A588-Ft!E$2)^2)+Ft!E$7*EXP(Ft!E$40*($A588-Ft!E$2)^2)))</f>
        <v>25.222543596918694</v>
      </c>
      <c r="J588" s="3">
        <f>IF(($A588-Ft!F$2)&lt;0,Ft!F$3*((1-Ft!F$6)/(1+Ft!F$37*($A588-Ft!F$2)^2)+Ft!F$6*EXP(Ft!F$38*($A588-Ft!F$2)^2)),Ft!F$3*((1-Ft!F$7)/(1+Ft!F$39*($A588-Ft!F$2)^2)+Ft!F$7*EXP(Ft!F$40*($A588-Ft!F$2)^2)))</f>
        <v>131.24377262329511</v>
      </c>
      <c r="K588" s="3">
        <f>IF(($A588-Ft!G$2)&lt;0,Ft!G$3*((1-Ft!G$6)/(1+Ft!G$37*($A588-Ft!G$2)^2)+Ft!G$6*EXP(Ft!G$38*($A588-Ft!G$2)^2)),Ft!G$3*((1-Ft!G$7)/(1+Ft!G$39*($A588-Ft!G$2)^2)+Ft!G$7*EXP(Ft!G$40*($A588-Ft!G$2)^2)))</f>
        <v>8.4451418626645108E-3</v>
      </c>
      <c r="L588" s="3">
        <f>IF(($A588-Ft!H$2)&lt;0,Ft!H$3*((1-Ft!H$6)/(1+Ft!H$37*($A588-Ft!H$2)^2)+Ft!H$6*EXP(Ft!H$38*($A588-Ft!H$2)^2)),Ft!H$3*((1-Ft!H$7)/(1+Ft!H$39*($A588-Ft!H$2)^2)+Ft!H$7*EXP(Ft!H$40*($A588-Ft!H$2)^2)))</f>
        <v>0</v>
      </c>
      <c r="M588" s="3">
        <f>IF(($A588-Ft!I$2)&lt;0,Ft!I$3*((1-Ft!I$6)/(1+Ft!I$37*($A588-Ft!I$2)^2)+Ft!I$6*EXP(Ft!I$38*($A588-Ft!I$2)^2)),Ft!I$3*((1-Ft!I$7)/(1+Ft!I$39*($A588-Ft!I$2)^2)+Ft!I$7*EXP(Ft!I$40*($A588-Ft!I$2)^2)))</f>
        <v>0</v>
      </c>
      <c r="N588" s="3">
        <f>IF(($A588-Ft!J$2)&lt;0,Ft!J$3*((1-Ft!J$6)/(1+Ft!J$37*($A588-Ft!J$2)^2)+Ft!J$6*EXP(Ft!J$38*($A588-Ft!J$2)^2)),Ft!J$3*((1-Ft!J$7)/(1+Ft!J$39*($A588-Ft!J$2)^2)+Ft!J$7*EXP(Ft!J$40*($A588-Ft!J$2)^2)))</f>
        <v>0</v>
      </c>
      <c r="O588" s="3">
        <f>IF(($A588-Ft!K$2)&lt;0,Ft!K$3*((1-Ft!K$6)/(1+Ft!K$37*($A588-Ft!K$2)^2)+Ft!K$6*EXP(Ft!K$38*($A588-Ft!K$2)^2)),Ft!K$3*((1-Ft!K$7)/(1+Ft!K$39*($A588-Ft!K$2)^2)+Ft!K$7*EXP(Ft!K$40*($A588-Ft!K$2)^2)))</f>
        <v>0</v>
      </c>
      <c r="P588" s="29"/>
      <c r="Q588"/>
    </row>
    <row r="589" spans="1:17">
      <c r="A589" s="20">
        <v>1175</v>
      </c>
      <c r="B589" s="29">
        <v>9.7519614034843354</v>
      </c>
      <c r="C589" s="7">
        <f t="shared" si="19"/>
        <v>9.9430361355521928</v>
      </c>
      <c r="D589" s="3">
        <f t="shared" si="18"/>
        <v>3.6509553234803496E-2</v>
      </c>
      <c r="E589" s="3">
        <f>Ft!$B$12+Ft!$B$14*(Data!A589-Vars!$B$3)</f>
        <v>-200</v>
      </c>
      <c r="F589" s="3">
        <f>IF(($A589-Ft!B$2)&lt;0,Ft!B$3*((1-Ft!B$6)/(1+Ft!B$37*($A589-Ft!B$2)^2)+Ft!B$6*EXP(Ft!B$38*($A589-Ft!B$2)^2)),Ft!B$3*((1-Ft!B$7)/(1+Ft!B$39*($A589-Ft!B$2)^2)+Ft!B$7*EXP(Ft!B$40*($A589-Ft!B$2)^2)))</f>
        <v>1.7206894661553112</v>
      </c>
      <c r="G589" s="3">
        <f>IF(($A589-Ft!C$2)&lt;0,Ft!C$3*((1-Ft!C$6)/(1+Ft!C$37*($A589-Ft!C$2)^2)+Ft!C$6*EXP(Ft!C$38*($A589-Ft!C$2)^2)),Ft!C$3*((1-Ft!C$7)/(1+Ft!C$39*($A589-Ft!C$2)^2)+Ft!C$7*EXP(Ft!C$40*($A589-Ft!C$2)^2)))</f>
        <v>51.823504155485139</v>
      </c>
      <c r="H589" s="3">
        <f>IF(($A589-Ft!D$2)&lt;0,Ft!D$3*((1-Ft!D$6)/(1+Ft!D$37*($A589-Ft!D$2)^2)+Ft!D$6*EXP(Ft!D$38*($A589-Ft!D$2)^2)),Ft!D$3*((1-Ft!D$7)/(1+Ft!D$39*($A589-Ft!D$2)^2)+Ft!D$7*EXP(Ft!D$40*($A589-Ft!D$2)^2)))</f>
        <v>1.2511133385798315E-164</v>
      </c>
      <c r="I589" s="3">
        <f>IF(($A589-Ft!E$2)&lt;0,Ft!E$3*((1-Ft!E$6)/(1+Ft!E$37*($A589-Ft!E$2)^2)+Ft!E$6*EXP(Ft!E$38*($A589-Ft!E$2)^2)),Ft!E$3*((1-Ft!E$7)/(1+Ft!E$39*($A589-Ft!E$2)^2)+Ft!E$7*EXP(Ft!E$40*($A589-Ft!E$2)^2)))</f>
        <v>24.892640507977756</v>
      </c>
      <c r="J589" s="3">
        <f>IF(($A589-Ft!F$2)&lt;0,Ft!F$3*((1-Ft!F$6)/(1+Ft!F$37*($A589-Ft!F$2)^2)+Ft!F$6*EXP(Ft!F$38*($A589-Ft!F$2)^2)),Ft!F$3*((1-Ft!F$7)/(1+Ft!F$39*($A589-Ft!F$2)^2)+Ft!F$7*EXP(Ft!F$40*($A589-Ft!F$2)^2)))</f>
        <v>131.49810803657826</v>
      </c>
      <c r="K589" s="3">
        <f>IF(($A589-Ft!G$2)&lt;0,Ft!G$3*((1-Ft!G$6)/(1+Ft!G$37*($A589-Ft!G$2)^2)+Ft!G$6*EXP(Ft!G$38*($A589-Ft!G$2)^2)),Ft!G$3*((1-Ft!G$7)/(1+Ft!G$39*($A589-Ft!G$2)^2)+Ft!G$7*EXP(Ft!G$40*($A589-Ft!G$2)^2)))</f>
        <v>8.0939693557433474E-3</v>
      </c>
      <c r="L589" s="3">
        <f>IF(($A589-Ft!H$2)&lt;0,Ft!H$3*((1-Ft!H$6)/(1+Ft!H$37*($A589-Ft!H$2)^2)+Ft!H$6*EXP(Ft!H$38*($A589-Ft!H$2)^2)),Ft!H$3*((1-Ft!H$7)/(1+Ft!H$39*($A589-Ft!H$2)^2)+Ft!H$7*EXP(Ft!H$40*($A589-Ft!H$2)^2)))</f>
        <v>0</v>
      </c>
      <c r="M589" s="3">
        <f>IF(($A589-Ft!I$2)&lt;0,Ft!I$3*((1-Ft!I$6)/(1+Ft!I$37*($A589-Ft!I$2)^2)+Ft!I$6*EXP(Ft!I$38*($A589-Ft!I$2)^2)),Ft!I$3*((1-Ft!I$7)/(1+Ft!I$39*($A589-Ft!I$2)^2)+Ft!I$7*EXP(Ft!I$40*($A589-Ft!I$2)^2)))</f>
        <v>0</v>
      </c>
      <c r="N589" s="3">
        <f>IF(($A589-Ft!J$2)&lt;0,Ft!J$3*((1-Ft!J$6)/(1+Ft!J$37*($A589-Ft!J$2)^2)+Ft!J$6*EXP(Ft!J$38*($A589-Ft!J$2)^2)),Ft!J$3*((1-Ft!J$7)/(1+Ft!J$39*($A589-Ft!J$2)^2)+Ft!J$7*EXP(Ft!J$40*($A589-Ft!J$2)^2)))</f>
        <v>0</v>
      </c>
      <c r="O589" s="3">
        <f>IF(($A589-Ft!K$2)&lt;0,Ft!K$3*((1-Ft!K$6)/(1+Ft!K$37*($A589-Ft!K$2)^2)+Ft!K$6*EXP(Ft!K$38*($A589-Ft!K$2)^2)),Ft!K$3*((1-Ft!K$7)/(1+Ft!K$39*($A589-Ft!K$2)^2)+Ft!K$7*EXP(Ft!K$40*($A589-Ft!K$2)^2)))</f>
        <v>0</v>
      </c>
      <c r="P589" s="29"/>
      <c r="Q589"/>
    </row>
    <row r="590" spans="1:17">
      <c r="A590" s="20">
        <v>1177</v>
      </c>
      <c r="B590" s="29">
        <v>9.6784706022398961</v>
      </c>
      <c r="C590" s="7">
        <f t="shared" si="19"/>
        <v>9.7833203915898448</v>
      </c>
      <c r="D590" s="3">
        <f t="shared" si="18"/>
        <v>1.0993478326728617E-2</v>
      </c>
      <c r="E590" s="3">
        <f>Ft!$B$12+Ft!$B$14*(Data!A590-Vars!$B$3)</f>
        <v>-200</v>
      </c>
      <c r="F590" s="3">
        <f>IF(($A590-Ft!B$2)&lt;0,Ft!B$3*((1-Ft!B$6)/(1+Ft!B$37*($A590-Ft!B$2)^2)+Ft!B$6*EXP(Ft!B$38*($A590-Ft!B$2)^2)),Ft!B$3*((1-Ft!B$7)/(1+Ft!B$39*($A590-Ft!B$2)^2)+Ft!B$7*EXP(Ft!B$40*($A590-Ft!B$2)^2)))</f>
        <v>1.6978886119991514</v>
      </c>
      <c r="G590" s="3">
        <f>IF(($A590-Ft!C$2)&lt;0,Ft!C$3*((1-Ft!C$6)/(1+Ft!C$37*($A590-Ft!C$2)^2)+Ft!C$6*EXP(Ft!C$38*($A590-Ft!C$2)^2)),Ft!C$3*((1-Ft!C$7)/(1+Ft!C$39*($A590-Ft!C$2)^2)+Ft!C$7*EXP(Ft!C$40*($A590-Ft!C$2)^2)))</f>
        <v>51.760846034797929</v>
      </c>
      <c r="H590" s="3">
        <f>IF(($A590-Ft!D$2)&lt;0,Ft!D$3*((1-Ft!D$6)/(1+Ft!D$37*($A590-Ft!D$2)^2)+Ft!D$6*EXP(Ft!D$38*($A590-Ft!D$2)^2)),Ft!D$3*((1-Ft!D$7)/(1+Ft!D$39*($A590-Ft!D$2)^2)+Ft!D$7*EXP(Ft!D$40*($A590-Ft!D$2)^2)))</f>
        <v>1.6186990836984848E-165</v>
      </c>
      <c r="I590" s="3">
        <f>IF(($A590-Ft!E$2)&lt;0,Ft!E$3*((1-Ft!E$6)/(1+Ft!E$37*($A590-Ft!E$2)^2)+Ft!E$6*EXP(Ft!E$38*($A590-Ft!E$2)^2)),Ft!E$3*((1-Ft!E$7)/(1+Ft!E$39*($A590-Ft!E$2)^2)+Ft!E$7*EXP(Ft!E$40*($A590-Ft!E$2)^2)))</f>
        <v>24.565628058862249</v>
      </c>
      <c r="J590" s="3">
        <f>IF(($A590-Ft!F$2)&lt;0,Ft!F$3*((1-Ft!F$6)/(1+Ft!F$37*($A590-Ft!F$2)^2)+Ft!F$6*EXP(Ft!F$38*($A590-Ft!F$2)^2)),Ft!F$3*((1-Ft!F$7)/(1+Ft!F$39*($A590-Ft!F$2)^2)+Ft!F$7*EXP(Ft!F$40*($A590-Ft!F$2)^2)))</f>
        <v>131.75120109151717</v>
      </c>
      <c r="K590" s="3">
        <f>IF(($A590-Ft!G$2)&lt;0,Ft!G$3*((1-Ft!G$6)/(1+Ft!G$37*($A590-Ft!G$2)^2)+Ft!G$6*EXP(Ft!G$38*($A590-Ft!G$2)^2)),Ft!G$3*((1-Ft!G$7)/(1+Ft!G$39*($A590-Ft!G$2)^2)+Ft!G$7*EXP(Ft!G$40*($A590-Ft!G$2)^2)))</f>
        <v>7.7565944133287257E-3</v>
      </c>
      <c r="L590" s="3">
        <f>IF(($A590-Ft!H$2)&lt;0,Ft!H$3*((1-Ft!H$6)/(1+Ft!H$37*($A590-Ft!H$2)^2)+Ft!H$6*EXP(Ft!H$38*($A590-Ft!H$2)^2)),Ft!H$3*((1-Ft!H$7)/(1+Ft!H$39*($A590-Ft!H$2)^2)+Ft!H$7*EXP(Ft!H$40*($A590-Ft!H$2)^2)))</f>
        <v>0</v>
      </c>
      <c r="M590" s="3">
        <f>IF(($A590-Ft!I$2)&lt;0,Ft!I$3*((1-Ft!I$6)/(1+Ft!I$37*($A590-Ft!I$2)^2)+Ft!I$6*EXP(Ft!I$38*($A590-Ft!I$2)^2)),Ft!I$3*((1-Ft!I$7)/(1+Ft!I$39*($A590-Ft!I$2)^2)+Ft!I$7*EXP(Ft!I$40*($A590-Ft!I$2)^2)))</f>
        <v>0</v>
      </c>
      <c r="N590" s="3">
        <f>IF(($A590-Ft!J$2)&lt;0,Ft!J$3*((1-Ft!J$6)/(1+Ft!J$37*($A590-Ft!J$2)^2)+Ft!J$6*EXP(Ft!J$38*($A590-Ft!J$2)^2)),Ft!J$3*((1-Ft!J$7)/(1+Ft!J$39*($A590-Ft!J$2)^2)+Ft!J$7*EXP(Ft!J$40*($A590-Ft!J$2)^2)))</f>
        <v>0</v>
      </c>
      <c r="O590" s="3">
        <f>IF(($A590-Ft!K$2)&lt;0,Ft!K$3*((1-Ft!K$6)/(1+Ft!K$37*($A590-Ft!K$2)^2)+Ft!K$6*EXP(Ft!K$38*($A590-Ft!K$2)^2)),Ft!K$3*((1-Ft!K$7)/(1+Ft!K$39*($A590-Ft!K$2)^2)+Ft!K$7*EXP(Ft!K$40*($A590-Ft!K$2)^2)))</f>
        <v>0</v>
      </c>
      <c r="P590" s="29"/>
      <c r="Q590"/>
    </row>
    <row r="591" spans="1:17">
      <c r="A591" s="20">
        <v>1179</v>
      </c>
      <c r="B591" s="29">
        <v>9.606450200650956</v>
      </c>
      <c r="C591" s="7">
        <f t="shared" si="19"/>
        <v>9.6251459753771034</v>
      </c>
      <c r="D591" s="3">
        <f t="shared" si="18"/>
        <v>3.4953199261085049E-4</v>
      </c>
      <c r="E591" s="3">
        <f>Ft!$B$12+Ft!$B$14*(Data!A591-Vars!$B$3)</f>
        <v>-200</v>
      </c>
      <c r="F591" s="3">
        <f>IF(($A591-Ft!B$2)&lt;0,Ft!B$3*((1-Ft!B$6)/(1+Ft!B$37*($A591-Ft!B$2)^2)+Ft!B$6*EXP(Ft!B$38*($A591-Ft!B$2)^2)),Ft!B$3*((1-Ft!B$7)/(1+Ft!B$39*($A591-Ft!B$2)^2)+Ft!B$7*EXP(Ft!B$40*($A591-Ft!B$2)^2)))</f>
        <v>1.6753579145017465</v>
      </c>
      <c r="G591" s="3">
        <f>IF(($A591-Ft!C$2)&lt;0,Ft!C$3*((1-Ft!C$6)/(1+Ft!C$37*($A591-Ft!C$2)^2)+Ft!C$6*EXP(Ft!C$38*($A591-Ft!C$2)^2)),Ft!C$3*((1-Ft!C$7)/(1+Ft!C$39*($A591-Ft!C$2)^2)+Ft!C$7*EXP(Ft!C$40*($A591-Ft!C$2)^2)))</f>
        <v>51.697806879889491</v>
      </c>
      <c r="H591" s="3">
        <f>IF(($A591-Ft!D$2)&lt;0,Ft!D$3*((1-Ft!D$6)/(1+Ft!D$37*($A591-Ft!D$2)^2)+Ft!D$6*EXP(Ft!D$38*($A591-Ft!D$2)^2)),Ft!D$3*((1-Ft!D$7)/(1+Ft!D$39*($A591-Ft!D$2)^2)+Ft!D$7*EXP(Ft!D$40*($A591-Ft!D$2)^2)))</f>
        <v>2.0827621398897424E-166</v>
      </c>
      <c r="I591" s="3">
        <f>IF(($A591-Ft!E$2)&lt;0,Ft!E$3*((1-Ft!E$6)/(1+Ft!E$37*($A591-Ft!E$2)^2)+Ft!E$6*EXP(Ft!E$38*($A591-Ft!E$2)^2)),Ft!E$3*((1-Ft!E$7)/(1+Ft!E$39*($A591-Ft!E$2)^2)+Ft!E$7*EXP(Ft!E$40*($A591-Ft!E$2)^2)))</f>
        <v>24.241505946591527</v>
      </c>
      <c r="J591" s="3">
        <f>IF(($A591-Ft!F$2)&lt;0,Ft!F$3*((1-Ft!F$6)/(1+Ft!F$37*($A591-Ft!F$2)^2)+Ft!F$6*EXP(Ft!F$38*($A591-Ft!F$2)^2)),Ft!F$3*((1-Ft!F$7)/(1+Ft!F$39*($A591-Ft!F$2)^2)+Ft!F$7*EXP(Ft!F$40*($A591-Ft!F$2)^2)))</f>
        <v>132.00304272389769</v>
      </c>
      <c r="K591" s="3">
        <f>IF(($A591-Ft!G$2)&lt;0,Ft!G$3*((1-Ft!G$6)/(1+Ft!G$37*($A591-Ft!G$2)^2)+Ft!G$6*EXP(Ft!G$38*($A591-Ft!G$2)^2)),Ft!G$3*((1-Ft!G$7)/(1+Ft!G$39*($A591-Ft!G$2)^2)+Ft!G$7*EXP(Ft!G$40*($A591-Ft!G$2)^2)))</f>
        <v>7.4325104966361201E-3</v>
      </c>
      <c r="L591" s="3">
        <f>IF(($A591-Ft!H$2)&lt;0,Ft!H$3*((1-Ft!H$6)/(1+Ft!H$37*($A591-Ft!H$2)^2)+Ft!H$6*EXP(Ft!H$38*($A591-Ft!H$2)^2)),Ft!H$3*((1-Ft!H$7)/(1+Ft!H$39*($A591-Ft!H$2)^2)+Ft!H$7*EXP(Ft!H$40*($A591-Ft!H$2)^2)))</f>
        <v>0</v>
      </c>
      <c r="M591" s="3">
        <f>IF(($A591-Ft!I$2)&lt;0,Ft!I$3*((1-Ft!I$6)/(1+Ft!I$37*($A591-Ft!I$2)^2)+Ft!I$6*EXP(Ft!I$38*($A591-Ft!I$2)^2)),Ft!I$3*((1-Ft!I$7)/(1+Ft!I$39*($A591-Ft!I$2)^2)+Ft!I$7*EXP(Ft!I$40*($A591-Ft!I$2)^2)))</f>
        <v>0</v>
      </c>
      <c r="N591" s="3">
        <f>IF(($A591-Ft!J$2)&lt;0,Ft!J$3*((1-Ft!J$6)/(1+Ft!J$37*($A591-Ft!J$2)^2)+Ft!J$6*EXP(Ft!J$38*($A591-Ft!J$2)^2)),Ft!J$3*((1-Ft!J$7)/(1+Ft!J$39*($A591-Ft!J$2)^2)+Ft!J$7*EXP(Ft!J$40*($A591-Ft!J$2)^2)))</f>
        <v>0</v>
      </c>
      <c r="O591" s="3">
        <f>IF(($A591-Ft!K$2)&lt;0,Ft!K$3*((1-Ft!K$6)/(1+Ft!K$37*($A591-Ft!K$2)^2)+Ft!K$6*EXP(Ft!K$38*($A591-Ft!K$2)^2)),Ft!K$3*((1-Ft!K$7)/(1+Ft!K$39*($A591-Ft!K$2)^2)+Ft!K$7*EXP(Ft!K$40*($A591-Ft!K$2)^2)))</f>
        <v>0</v>
      </c>
      <c r="P591" s="29"/>
      <c r="Q591"/>
    </row>
    <row r="592" spans="1:17">
      <c r="A592" s="20">
        <v>1181</v>
      </c>
      <c r="B592" s="29">
        <v>9.5400345382830896</v>
      </c>
      <c r="C592" s="7">
        <f t="shared" si="19"/>
        <v>9.468501413740567</v>
      </c>
      <c r="D592" s="3">
        <f t="shared" si="18"/>
        <v>5.1169879068160475E-3</v>
      </c>
      <c r="E592" s="3">
        <f>Ft!$B$12+Ft!$B$14*(Data!A592-Vars!$B$3)</f>
        <v>-200</v>
      </c>
      <c r="F592" s="3">
        <f>IF(($A592-Ft!B$2)&lt;0,Ft!B$3*((1-Ft!B$6)/(1+Ft!B$37*($A592-Ft!B$2)^2)+Ft!B$6*EXP(Ft!B$38*($A592-Ft!B$2)^2)),Ft!B$3*((1-Ft!B$7)/(1+Ft!B$39*($A592-Ft!B$2)^2)+Ft!B$7*EXP(Ft!B$40*($A592-Ft!B$2)^2)))</f>
        <v>1.6530946430901383</v>
      </c>
      <c r="G592" s="3">
        <f>IF(($A592-Ft!C$2)&lt;0,Ft!C$3*((1-Ft!C$6)/(1+Ft!C$37*($A592-Ft!C$2)^2)+Ft!C$6*EXP(Ft!C$38*($A592-Ft!C$2)^2)),Ft!C$3*((1-Ft!C$7)/(1+Ft!C$39*($A592-Ft!C$2)^2)+Ft!C$7*EXP(Ft!C$40*($A592-Ft!C$2)^2)))</f>
        <v>51.6343882681347</v>
      </c>
      <c r="H592" s="3">
        <f>IF(($A592-Ft!D$2)&lt;0,Ft!D$3*((1-Ft!D$6)/(1+Ft!D$37*($A592-Ft!D$2)^2)+Ft!D$6*EXP(Ft!D$38*($A592-Ft!D$2)^2)),Ft!D$3*((1-Ft!D$7)/(1+Ft!D$39*($A592-Ft!D$2)^2)+Ft!D$7*EXP(Ft!D$40*($A592-Ft!D$2)^2)))</f>
        <v>2.6651233561048868E-167</v>
      </c>
      <c r="I592" s="3">
        <f>IF(($A592-Ft!E$2)&lt;0,Ft!E$3*((1-Ft!E$6)/(1+Ft!E$37*($A592-Ft!E$2)^2)+Ft!E$6*EXP(Ft!E$38*($A592-Ft!E$2)^2)),Ft!E$3*((1-Ft!E$7)/(1+Ft!E$39*($A592-Ft!E$2)^2)+Ft!E$7*EXP(Ft!E$40*($A592-Ft!E$2)^2)))</f>
        <v>23.920273372750167</v>
      </c>
      <c r="J592" s="3">
        <f>IF(($A592-Ft!F$2)&lt;0,Ft!F$3*((1-Ft!F$6)/(1+Ft!F$37*($A592-Ft!F$2)^2)+Ft!F$6*EXP(Ft!F$38*($A592-Ft!F$2)^2)),Ft!F$3*((1-Ft!F$7)/(1+Ft!F$39*($A592-Ft!F$2)^2)+Ft!F$7*EXP(Ft!F$40*($A592-Ft!F$2)^2)))</f>
        <v>132.25362390161192</v>
      </c>
      <c r="K592" s="3">
        <f>IF(($A592-Ft!G$2)&lt;0,Ft!G$3*((1-Ft!G$6)/(1+Ft!G$37*($A592-Ft!G$2)^2)+Ft!G$6*EXP(Ft!G$38*($A592-Ft!G$2)^2)),Ft!G$3*((1-Ft!G$7)/(1+Ft!G$39*($A592-Ft!G$2)^2)+Ft!G$7*EXP(Ft!G$40*($A592-Ft!G$2)^2)))</f>
        <v>7.1212281536627686E-3</v>
      </c>
      <c r="L592" s="3">
        <f>IF(($A592-Ft!H$2)&lt;0,Ft!H$3*((1-Ft!H$6)/(1+Ft!H$37*($A592-Ft!H$2)^2)+Ft!H$6*EXP(Ft!H$38*($A592-Ft!H$2)^2)),Ft!H$3*((1-Ft!H$7)/(1+Ft!H$39*($A592-Ft!H$2)^2)+Ft!H$7*EXP(Ft!H$40*($A592-Ft!H$2)^2)))</f>
        <v>0</v>
      </c>
      <c r="M592" s="3">
        <f>IF(($A592-Ft!I$2)&lt;0,Ft!I$3*((1-Ft!I$6)/(1+Ft!I$37*($A592-Ft!I$2)^2)+Ft!I$6*EXP(Ft!I$38*($A592-Ft!I$2)^2)),Ft!I$3*((1-Ft!I$7)/(1+Ft!I$39*($A592-Ft!I$2)^2)+Ft!I$7*EXP(Ft!I$40*($A592-Ft!I$2)^2)))</f>
        <v>0</v>
      </c>
      <c r="N592" s="3">
        <f>IF(($A592-Ft!J$2)&lt;0,Ft!J$3*((1-Ft!J$6)/(1+Ft!J$37*($A592-Ft!J$2)^2)+Ft!J$6*EXP(Ft!J$38*($A592-Ft!J$2)^2)),Ft!J$3*((1-Ft!J$7)/(1+Ft!J$39*($A592-Ft!J$2)^2)+Ft!J$7*EXP(Ft!J$40*($A592-Ft!J$2)^2)))</f>
        <v>0</v>
      </c>
      <c r="O592" s="3">
        <f>IF(($A592-Ft!K$2)&lt;0,Ft!K$3*((1-Ft!K$6)/(1+Ft!K$37*($A592-Ft!K$2)^2)+Ft!K$6*EXP(Ft!K$38*($A592-Ft!K$2)^2)),Ft!K$3*((1-Ft!K$7)/(1+Ft!K$39*($A592-Ft!K$2)^2)+Ft!K$7*EXP(Ft!K$40*($A592-Ft!K$2)^2)))</f>
        <v>0</v>
      </c>
      <c r="P592" s="29"/>
      <c r="Q592"/>
    </row>
    <row r="593" spans="1:17">
      <c r="A593" s="20">
        <v>1183</v>
      </c>
      <c r="B593" s="29">
        <v>9.4810010410818286</v>
      </c>
      <c r="C593" s="7">
        <f t="shared" si="19"/>
        <v>9.313374823181725</v>
      </c>
      <c r="D593" s="3">
        <f t="shared" si="18"/>
        <v>2.8098548927493004E-2</v>
      </c>
      <c r="E593" s="3">
        <f>Ft!$B$12+Ft!$B$14*(Data!A593-Vars!$B$3)</f>
        <v>-200</v>
      </c>
      <c r="F593" s="3">
        <f>IF(($A593-Ft!B$2)&lt;0,Ft!B$3*((1-Ft!B$6)/(1+Ft!B$37*($A593-Ft!B$2)^2)+Ft!B$6*EXP(Ft!B$38*($A593-Ft!B$2)^2)),Ft!B$3*((1-Ft!B$7)/(1+Ft!B$39*($A593-Ft!B$2)^2)+Ft!B$7*EXP(Ft!B$40*($A593-Ft!B$2)^2)))</f>
        <v>1.6310960882403425</v>
      </c>
      <c r="G593" s="3">
        <f>IF(($A593-Ft!C$2)&lt;0,Ft!C$3*((1-Ft!C$6)/(1+Ft!C$37*($A593-Ft!C$2)^2)+Ft!C$6*EXP(Ft!C$38*($A593-Ft!C$2)^2)),Ft!C$3*((1-Ft!C$7)/(1+Ft!C$39*($A593-Ft!C$2)^2)+Ft!C$7*EXP(Ft!C$40*($A593-Ft!C$2)^2)))</f>
        <v>51.570591785032597</v>
      </c>
      <c r="H593" s="3">
        <f>IF(($A593-Ft!D$2)&lt;0,Ft!D$3*((1-Ft!D$6)/(1+Ft!D$37*($A593-Ft!D$2)^2)+Ft!D$6*EXP(Ft!D$38*($A593-Ft!D$2)^2)),Ft!D$3*((1-Ft!D$7)/(1+Ft!D$39*($A593-Ft!D$2)^2)+Ft!D$7*EXP(Ft!D$40*($A593-Ft!D$2)^2)))</f>
        <v>3.3915563964434714E-168</v>
      </c>
      <c r="I593" s="3">
        <f>IF(($A593-Ft!E$2)&lt;0,Ft!E$3*((1-Ft!E$6)/(1+Ft!E$37*($A593-Ft!E$2)^2)+Ft!E$6*EXP(Ft!E$38*($A593-Ft!E$2)^2)),Ft!E$3*((1-Ft!E$7)/(1+Ft!E$39*($A593-Ft!E$2)^2)+Ft!E$7*EXP(Ft!E$40*($A593-Ft!E$2)^2)))</f>
        <v>23.601929050208557</v>
      </c>
      <c r="J593" s="3">
        <f>IF(($A593-Ft!F$2)&lt;0,Ft!F$3*((1-Ft!F$6)/(1+Ft!F$37*($A593-Ft!F$2)^2)+Ft!F$6*EXP(Ft!F$38*($A593-Ft!F$2)^2)),Ft!F$3*((1-Ft!F$7)/(1+Ft!F$39*($A593-Ft!F$2)^2)+Ft!F$7*EXP(Ft!F$40*($A593-Ft!F$2)^2)))</f>
        <v>132.50293562519599</v>
      </c>
      <c r="K593" s="3">
        <f>IF(($A593-Ft!G$2)&lt;0,Ft!G$3*((1-Ft!G$6)/(1+Ft!G$37*($A593-Ft!G$2)^2)+Ft!G$6*EXP(Ft!G$38*($A593-Ft!G$2)^2)),Ft!G$3*((1-Ft!G$7)/(1+Ft!G$39*($A593-Ft!G$2)^2)+Ft!G$7*EXP(Ft!G$40*($A593-Ft!G$2)^2)))</f>
        <v>6.8222745042235793E-3</v>
      </c>
      <c r="L593" s="3">
        <f>IF(($A593-Ft!H$2)&lt;0,Ft!H$3*((1-Ft!H$6)/(1+Ft!H$37*($A593-Ft!H$2)^2)+Ft!H$6*EXP(Ft!H$38*($A593-Ft!H$2)^2)),Ft!H$3*((1-Ft!H$7)/(1+Ft!H$39*($A593-Ft!H$2)^2)+Ft!H$7*EXP(Ft!H$40*($A593-Ft!H$2)^2)))</f>
        <v>0</v>
      </c>
      <c r="M593" s="3">
        <f>IF(($A593-Ft!I$2)&lt;0,Ft!I$3*((1-Ft!I$6)/(1+Ft!I$37*($A593-Ft!I$2)^2)+Ft!I$6*EXP(Ft!I$38*($A593-Ft!I$2)^2)),Ft!I$3*((1-Ft!I$7)/(1+Ft!I$39*($A593-Ft!I$2)^2)+Ft!I$7*EXP(Ft!I$40*($A593-Ft!I$2)^2)))</f>
        <v>0</v>
      </c>
      <c r="N593" s="3">
        <f>IF(($A593-Ft!J$2)&lt;0,Ft!J$3*((1-Ft!J$6)/(1+Ft!J$37*($A593-Ft!J$2)^2)+Ft!J$6*EXP(Ft!J$38*($A593-Ft!J$2)^2)),Ft!J$3*((1-Ft!J$7)/(1+Ft!J$39*($A593-Ft!J$2)^2)+Ft!J$7*EXP(Ft!J$40*($A593-Ft!J$2)^2)))</f>
        <v>0</v>
      </c>
      <c r="O593" s="3">
        <f>IF(($A593-Ft!K$2)&lt;0,Ft!K$3*((1-Ft!K$6)/(1+Ft!K$37*($A593-Ft!K$2)^2)+Ft!K$6*EXP(Ft!K$38*($A593-Ft!K$2)^2)),Ft!K$3*((1-Ft!K$7)/(1+Ft!K$39*($A593-Ft!K$2)^2)+Ft!K$7*EXP(Ft!K$40*($A593-Ft!K$2)^2)))</f>
        <v>0</v>
      </c>
      <c r="P593" s="29"/>
      <c r="Q593"/>
    </row>
    <row r="594" spans="1:17">
      <c r="A594" s="20">
        <v>1185</v>
      </c>
      <c r="B594" s="29">
        <v>9.4243104171921068</v>
      </c>
      <c r="C594" s="7">
        <f t="shared" si="19"/>
        <v>9.1597539165438455</v>
      </c>
      <c r="D594" s="3">
        <f t="shared" si="18"/>
        <v>6.9990142035253486E-2</v>
      </c>
      <c r="E594" s="3">
        <f>Ft!$B$12+Ft!$B$14*(Data!A594-Vars!$B$3)</f>
        <v>-200</v>
      </c>
      <c r="F594" s="3">
        <f>IF(($A594-Ft!B$2)&lt;0,Ft!B$3*((1-Ft!B$6)/(1+Ft!B$37*($A594-Ft!B$2)^2)+Ft!B$6*EXP(Ft!B$38*($A594-Ft!B$2)^2)),Ft!B$3*((1-Ft!B$7)/(1+Ft!B$39*($A594-Ft!B$2)^2)+Ft!B$7*EXP(Ft!B$40*($A594-Ft!B$2)^2)))</f>
        <v>1.6093595614031193</v>
      </c>
      <c r="G594" s="3">
        <f>IF(($A594-Ft!C$2)&lt;0,Ft!C$3*((1-Ft!C$6)/(1+Ft!C$37*($A594-Ft!C$2)^2)+Ft!C$6*EXP(Ft!C$38*($A594-Ft!C$2)^2)),Ft!C$3*((1-Ft!C$7)/(1+Ft!C$39*($A594-Ft!C$2)^2)+Ft!C$7*EXP(Ft!C$40*($A594-Ft!C$2)^2)))</f>
        <v>51.506419024140392</v>
      </c>
      <c r="H594" s="3">
        <f>IF(($A594-Ft!D$2)&lt;0,Ft!D$3*((1-Ft!D$6)/(1+Ft!D$37*($A594-Ft!D$2)^2)+Ft!D$6*EXP(Ft!D$38*($A594-Ft!D$2)^2)),Ft!D$3*((1-Ft!D$7)/(1+Ft!D$39*($A594-Ft!D$2)^2)+Ft!D$7*EXP(Ft!D$40*($A594-Ft!D$2)^2)))</f>
        <v>4.2922485049832795E-169</v>
      </c>
      <c r="I594" s="3">
        <f>IF(($A594-Ft!E$2)&lt;0,Ft!E$3*((1-Ft!E$6)/(1+Ft!E$37*($A594-Ft!E$2)^2)+Ft!E$6*EXP(Ft!E$38*($A594-Ft!E$2)^2)),Ft!E$3*((1-Ft!E$7)/(1+Ft!E$39*($A594-Ft!E$2)^2)+Ft!E$7*EXP(Ft!E$40*($A594-Ft!E$2)^2)))</f>
        <v>23.286471209895488</v>
      </c>
      <c r="J594" s="3">
        <f>IF(($A594-Ft!F$2)&lt;0,Ft!F$3*((1-Ft!F$6)/(1+Ft!F$37*($A594-Ft!F$2)^2)+Ft!F$6*EXP(Ft!F$38*($A594-Ft!F$2)^2)),Ft!F$3*((1-Ft!F$7)/(1+Ft!F$39*($A594-Ft!F$2)^2)+Ft!F$7*EXP(Ft!F$40*($A594-Ft!F$2)^2)))</f>
        <v>132.75096892836672</v>
      </c>
      <c r="K594" s="3">
        <f>IF(($A594-Ft!G$2)&lt;0,Ft!G$3*((1-Ft!G$6)/(1+Ft!G$37*($A594-Ft!G$2)^2)+Ft!G$6*EXP(Ft!G$38*($A594-Ft!G$2)^2)),Ft!G$3*((1-Ft!G$7)/(1+Ft!G$39*($A594-Ft!G$2)^2)+Ft!G$7*EXP(Ft!G$40*($A594-Ft!G$2)^2)))</f>
        <v>6.5351927381089563E-3</v>
      </c>
      <c r="L594" s="3">
        <f>IF(($A594-Ft!H$2)&lt;0,Ft!H$3*((1-Ft!H$6)/(1+Ft!H$37*($A594-Ft!H$2)^2)+Ft!H$6*EXP(Ft!H$38*($A594-Ft!H$2)^2)),Ft!H$3*((1-Ft!H$7)/(1+Ft!H$39*($A594-Ft!H$2)^2)+Ft!H$7*EXP(Ft!H$40*($A594-Ft!H$2)^2)))</f>
        <v>0</v>
      </c>
      <c r="M594" s="3">
        <f>IF(($A594-Ft!I$2)&lt;0,Ft!I$3*((1-Ft!I$6)/(1+Ft!I$37*($A594-Ft!I$2)^2)+Ft!I$6*EXP(Ft!I$38*($A594-Ft!I$2)^2)),Ft!I$3*((1-Ft!I$7)/(1+Ft!I$39*($A594-Ft!I$2)^2)+Ft!I$7*EXP(Ft!I$40*($A594-Ft!I$2)^2)))</f>
        <v>0</v>
      </c>
      <c r="N594" s="3">
        <f>IF(($A594-Ft!J$2)&lt;0,Ft!J$3*((1-Ft!J$6)/(1+Ft!J$37*($A594-Ft!J$2)^2)+Ft!J$6*EXP(Ft!J$38*($A594-Ft!J$2)^2)),Ft!J$3*((1-Ft!J$7)/(1+Ft!J$39*($A594-Ft!J$2)^2)+Ft!J$7*EXP(Ft!J$40*($A594-Ft!J$2)^2)))</f>
        <v>0</v>
      </c>
      <c r="O594" s="3">
        <f>IF(($A594-Ft!K$2)&lt;0,Ft!K$3*((1-Ft!K$6)/(1+Ft!K$37*($A594-Ft!K$2)^2)+Ft!K$6*EXP(Ft!K$38*($A594-Ft!K$2)^2)),Ft!K$3*((1-Ft!K$7)/(1+Ft!K$39*($A594-Ft!K$2)^2)+Ft!K$7*EXP(Ft!K$40*($A594-Ft!K$2)^2)))</f>
        <v>0</v>
      </c>
      <c r="P594" s="29"/>
      <c r="Q594"/>
    </row>
    <row r="595" spans="1:17">
      <c r="A595" s="20">
        <v>1187</v>
      </c>
      <c r="B595" s="29">
        <v>9.3533845112738536</v>
      </c>
      <c r="C595" s="7">
        <f t="shared" si="19"/>
        <v>9.007626009738317</v>
      </c>
      <c r="D595" s="3">
        <f t="shared" si="18"/>
        <v>0.11954894138409972</v>
      </c>
      <c r="E595" s="3">
        <f>Ft!$B$12+Ft!$B$14*(Data!A595-Vars!$B$3)</f>
        <v>-200</v>
      </c>
      <c r="F595" s="3">
        <f>IF(($A595-Ft!B$2)&lt;0,Ft!B$3*((1-Ft!B$6)/(1+Ft!B$37*($A595-Ft!B$2)^2)+Ft!B$6*EXP(Ft!B$38*($A595-Ft!B$2)^2)),Ft!B$3*((1-Ft!B$7)/(1+Ft!B$39*($A595-Ft!B$2)^2)+Ft!B$7*EXP(Ft!B$40*($A595-Ft!B$2)^2)))</f>
        <v>1.5878823949287484</v>
      </c>
      <c r="G595" s="3">
        <f>IF(($A595-Ft!C$2)&lt;0,Ft!C$3*((1-Ft!C$6)/(1+Ft!C$37*($A595-Ft!C$2)^2)+Ft!C$6*EXP(Ft!C$38*($A595-Ft!C$2)^2)),Ft!C$3*((1-Ft!C$7)/(1+Ft!C$39*($A595-Ft!C$2)^2)+Ft!C$7*EXP(Ft!C$40*($A595-Ft!C$2)^2)))</f>
        <v>51.441871587007256</v>
      </c>
      <c r="H595" s="3">
        <f>IF(($A595-Ft!D$2)&lt;0,Ft!D$3*((1-Ft!D$6)/(1+Ft!D$37*($A595-Ft!D$2)^2)+Ft!D$6*EXP(Ft!D$38*($A595-Ft!D$2)^2)),Ft!D$3*((1-Ft!D$7)/(1+Ft!D$39*($A595-Ft!D$2)^2)+Ft!D$7*EXP(Ft!D$40*($A595-Ft!D$2)^2)))</f>
        <v>5.4022510182512086E-170</v>
      </c>
      <c r="I595" s="3">
        <f>IF(($A595-Ft!E$2)&lt;0,Ft!E$3*((1-Ft!E$6)/(1+Ft!E$37*($A595-Ft!E$2)^2)+Ft!E$6*EXP(Ft!E$38*($A595-Ft!E$2)^2)),Ft!E$3*((1-Ft!E$7)/(1+Ft!E$39*($A595-Ft!E$2)^2)+Ft!E$7*EXP(Ft!E$40*($A595-Ft!E$2)^2)))</f>
        <v>22.973897607619424</v>
      </c>
      <c r="J595" s="3">
        <f>IF(($A595-Ft!F$2)&lt;0,Ft!F$3*((1-Ft!F$6)/(1+Ft!F$37*($A595-Ft!F$2)^2)+Ft!F$6*EXP(Ft!F$38*($A595-Ft!F$2)^2)),Ft!F$3*((1-Ft!F$7)/(1+Ft!F$39*($A595-Ft!F$2)^2)+Ft!F$7*EXP(Ft!F$40*($A595-Ft!F$2)^2)))</f>
        <v>132.99771487855676</v>
      </c>
      <c r="K595" s="3">
        <f>IF(($A595-Ft!G$2)&lt;0,Ft!G$3*((1-Ft!G$6)/(1+Ft!G$37*($A595-Ft!G$2)^2)+Ft!G$6*EXP(Ft!G$38*($A595-Ft!G$2)^2)),Ft!G$3*((1-Ft!G$7)/(1+Ft!G$39*($A595-Ft!G$2)^2)+Ft!G$7*EXP(Ft!G$40*($A595-Ft!G$2)^2)))</f>
        <v>6.2595416261212291E-3</v>
      </c>
      <c r="L595" s="3">
        <f>IF(($A595-Ft!H$2)&lt;0,Ft!H$3*((1-Ft!H$6)/(1+Ft!H$37*($A595-Ft!H$2)^2)+Ft!H$6*EXP(Ft!H$38*($A595-Ft!H$2)^2)),Ft!H$3*((1-Ft!H$7)/(1+Ft!H$39*($A595-Ft!H$2)^2)+Ft!H$7*EXP(Ft!H$40*($A595-Ft!H$2)^2)))</f>
        <v>0</v>
      </c>
      <c r="M595" s="3">
        <f>IF(($A595-Ft!I$2)&lt;0,Ft!I$3*((1-Ft!I$6)/(1+Ft!I$37*($A595-Ft!I$2)^2)+Ft!I$6*EXP(Ft!I$38*($A595-Ft!I$2)^2)),Ft!I$3*((1-Ft!I$7)/(1+Ft!I$39*($A595-Ft!I$2)^2)+Ft!I$7*EXP(Ft!I$40*($A595-Ft!I$2)^2)))</f>
        <v>0</v>
      </c>
      <c r="N595" s="3">
        <f>IF(($A595-Ft!J$2)&lt;0,Ft!J$3*((1-Ft!J$6)/(1+Ft!J$37*($A595-Ft!J$2)^2)+Ft!J$6*EXP(Ft!J$38*($A595-Ft!J$2)^2)),Ft!J$3*((1-Ft!J$7)/(1+Ft!J$39*($A595-Ft!J$2)^2)+Ft!J$7*EXP(Ft!J$40*($A595-Ft!J$2)^2)))</f>
        <v>0</v>
      </c>
      <c r="O595" s="3">
        <f>IF(($A595-Ft!K$2)&lt;0,Ft!K$3*((1-Ft!K$6)/(1+Ft!K$37*($A595-Ft!K$2)^2)+Ft!K$6*EXP(Ft!K$38*($A595-Ft!K$2)^2)),Ft!K$3*((1-Ft!K$7)/(1+Ft!K$39*($A595-Ft!K$2)^2)+Ft!K$7*EXP(Ft!K$40*($A595-Ft!K$2)^2)))</f>
        <v>0</v>
      </c>
      <c r="P595" s="29"/>
      <c r="Q595"/>
    </row>
    <row r="596" spans="1:17">
      <c r="A596" s="20">
        <v>1189</v>
      </c>
      <c r="B596" s="29">
        <v>9.282989529555179</v>
      </c>
      <c r="C596" s="7">
        <f t="shared" si="19"/>
        <v>8.856978028527001</v>
      </c>
      <c r="D596" s="3">
        <f t="shared" si="18"/>
        <v>0.1814857990082813</v>
      </c>
      <c r="E596" s="3">
        <f>Ft!$B$12+Ft!$B$14*(Data!A596-Vars!$B$3)</f>
        <v>-200</v>
      </c>
      <c r="F596" s="3">
        <f>IF(($A596-Ft!B$2)&lt;0,Ft!B$3*((1-Ft!B$6)/(1+Ft!B$37*($A596-Ft!B$2)^2)+Ft!B$6*EXP(Ft!B$38*($A596-Ft!B$2)^2)),Ft!B$3*((1-Ft!B$7)/(1+Ft!B$39*($A596-Ft!B$2)^2)+Ft!B$7*EXP(Ft!B$40*($A596-Ft!B$2)^2)))</f>
        <v>1.5666619419908174</v>
      </c>
      <c r="G596" s="3">
        <f>IF(($A596-Ft!C$2)&lt;0,Ft!C$3*((1-Ft!C$6)/(1+Ft!C$37*($A596-Ft!C$2)^2)+Ft!C$6*EXP(Ft!C$38*($A596-Ft!C$2)^2)),Ft!C$3*((1-Ft!C$7)/(1+Ft!C$39*($A596-Ft!C$2)^2)+Ft!C$7*EXP(Ft!C$40*($A596-Ft!C$2)^2)))</f>
        <v>51.376951083107784</v>
      </c>
      <c r="H596" s="3">
        <f>IF(($A596-Ft!D$2)&lt;0,Ft!D$3*((1-Ft!D$6)/(1+Ft!D$37*($A596-Ft!D$2)^2)+Ft!D$6*EXP(Ft!D$38*($A596-Ft!D$2)^2)),Ft!D$3*((1-Ft!D$7)/(1+Ft!D$39*($A596-Ft!D$2)^2)+Ft!D$7*EXP(Ft!D$40*($A596-Ft!D$2)^2)))</f>
        <v>6.7619000824501571E-171</v>
      </c>
      <c r="I596" s="3">
        <f>IF(($A596-Ft!E$2)&lt;0,Ft!E$3*((1-Ft!E$6)/(1+Ft!E$37*($A596-Ft!E$2)^2)+Ft!E$6*EXP(Ft!E$38*($A596-Ft!E$2)^2)),Ft!E$3*((1-Ft!E$7)/(1+Ft!E$39*($A596-Ft!E$2)^2)+Ft!E$7*EXP(Ft!E$40*($A596-Ft!E$2)^2)))</f>
        <v>22.664205530935813</v>
      </c>
      <c r="J596" s="3">
        <f>IF(($A596-Ft!F$2)&lt;0,Ft!F$3*((1-Ft!F$6)/(1+Ft!F$37*($A596-Ft!F$2)^2)+Ft!F$6*EXP(Ft!F$38*($A596-Ft!F$2)^2)),Ft!F$3*((1-Ft!F$7)/(1+Ft!F$39*($A596-Ft!F$2)^2)+Ft!F$7*EXP(Ft!F$40*($A596-Ft!F$2)^2)))</f>
        <v>133.24316457744882</v>
      </c>
      <c r="K596" s="3">
        <f>IF(($A596-Ft!G$2)&lt;0,Ft!G$3*((1-Ft!G$6)/(1+Ft!G$37*($A596-Ft!G$2)^2)+Ft!G$6*EXP(Ft!G$38*($A596-Ft!G$2)^2)),Ft!G$3*((1-Ft!G$7)/(1+Ft!G$39*($A596-Ft!G$2)^2)+Ft!G$7*EXP(Ft!G$40*($A596-Ft!G$2)^2)))</f>
        <v>5.9948950437469003E-3</v>
      </c>
      <c r="L596" s="3">
        <f>IF(($A596-Ft!H$2)&lt;0,Ft!H$3*((1-Ft!H$6)/(1+Ft!H$37*($A596-Ft!H$2)^2)+Ft!H$6*EXP(Ft!H$38*($A596-Ft!H$2)^2)),Ft!H$3*((1-Ft!H$7)/(1+Ft!H$39*($A596-Ft!H$2)^2)+Ft!H$7*EXP(Ft!H$40*($A596-Ft!H$2)^2)))</f>
        <v>0</v>
      </c>
      <c r="M596" s="3">
        <f>IF(($A596-Ft!I$2)&lt;0,Ft!I$3*((1-Ft!I$6)/(1+Ft!I$37*($A596-Ft!I$2)^2)+Ft!I$6*EXP(Ft!I$38*($A596-Ft!I$2)^2)),Ft!I$3*((1-Ft!I$7)/(1+Ft!I$39*($A596-Ft!I$2)^2)+Ft!I$7*EXP(Ft!I$40*($A596-Ft!I$2)^2)))</f>
        <v>0</v>
      </c>
      <c r="N596" s="3">
        <f>IF(($A596-Ft!J$2)&lt;0,Ft!J$3*((1-Ft!J$6)/(1+Ft!J$37*($A596-Ft!J$2)^2)+Ft!J$6*EXP(Ft!J$38*($A596-Ft!J$2)^2)),Ft!J$3*((1-Ft!J$7)/(1+Ft!J$39*($A596-Ft!J$2)^2)+Ft!J$7*EXP(Ft!J$40*($A596-Ft!J$2)^2)))</f>
        <v>0</v>
      </c>
      <c r="O596" s="3">
        <f>IF(($A596-Ft!K$2)&lt;0,Ft!K$3*((1-Ft!K$6)/(1+Ft!K$37*($A596-Ft!K$2)^2)+Ft!K$6*EXP(Ft!K$38*($A596-Ft!K$2)^2)),Ft!K$3*((1-Ft!K$7)/(1+Ft!K$39*($A596-Ft!K$2)^2)+Ft!K$7*EXP(Ft!K$40*($A596-Ft!K$2)^2)))</f>
        <v>0</v>
      </c>
      <c r="P596" s="29"/>
      <c r="Q596"/>
    </row>
    <row r="597" spans="1:17">
      <c r="A597" s="20">
        <v>1191</v>
      </c>
      <c r="B597" s="29">
        <v>9.2236734644774501</v>
      </c>
      <c r="C597" s="7">
        <f t="shared" si="19"/>
        <v>8.707796515357165</v>
      </c>
      <c r="D597" s="3">
        <f t="shared" si="18"/>
        <v>0.26612902663365318</v>
      </c>
      <c r="E597" s="3">
        <f>Ft!$B$12+Ft!$B$14*(Data!A597-Vars!$B$3)</f>
        <v>-200</v>
      </c>
      <c r="F597" s="3">
        <f>IF(($A597-Ft!B$2)&lt;0,Ft!B$3*((1-Ft!B$6)/(1+Ft!B$37*($A597-Ft!B$2)^2)+Ft!B$6*EXP(Ft!B$38*($A597-Ft!B$2)^2)),Ft!B$3*((1-Ft!B$7)/(1+Ft!B$39*($A597-Ft!B$2)^2)+Ft!B$7*EXP(Ft!B$40*($A597-Ft!B$2)^2)))</f>
        <v>1.5456955765090619</v>
      </c>
      <c r="G597" s="3">
        <f>IF(($A597-Ft!C$2)&lt;0,Ft!C$3*((1-Ft!C$6)/(1+Ft!C$37*($A597-Ft!C$2)^2)+Ft!C$6*EXP(Ft!C$38*($A597-Ft!C$2)^2)),Ft!C$3*((1-Ft!C$7)/(1+Ft!C$39*($A597-Ft!C$2)^2)+Ft!C$7*EXP(Ft!C$40*($A597-Ft!C$2)^2)))</f>
        <v>51.311659129775236</v>
      </c>
      <c r="H597" s="3">
        <f>IF(($A597-Ft!D$2)&lt;0,Ft!D$3*((1-Ft!D$6)/(1+Ft!D$37*($A597-Ft!D$2)^2)+Ft!D$6*EXP(Ft!D$38*($A597-Ft!D$2)^2)),Ft!D$3*((1-Ft!D$7)/(1+Ft!D$39*($A597-Ft!D$2)^2)+Ft!D$7*EXP(Ft!D$40*($A597-Ft!D$2)^2)))</f>
        <v>8.4171840830707389E-172</v>
      </c>
      <c r="I597" s="3">
        <f>IF(($A597-Ft!E$2)&lt;0,Ft!E$3*((1-Ft!E$6)/(1+Ft!E$37*($A597-Ft!E$2)^2)+Ft!E$6*EXP(Ft!E$38*($A597-Ft!E$2)^2)),Ft!E$3*((1-Ft!E$7)/(1+Ft!E$39*($A597-Ft!E$2)^2)+Ft!E$7*EXP(Ft!E$40*($A597-Ft!E$2)^2)))</f>
        <v>22.357391806057045</v>
      </c>
      <c r="J597" s="3">
        <f>IF(($A597-Ft!F$2)&lt;0,Ft!F$3*((1-Ft!F$6)/(1+Ft!F$37*($A597-Ft!F$2)^2)+Ft!F$6*EXP(Ft!F$38*($A597-Ft!F$2)^2)),Ft!F$3*((1-Ft!F$7)/(1+Ft!F$39*($A597-Ft!F$2)^2)+Ft!F$7*EXP(Ft!F$40*($A597-Ft!F$2)^2)))</f>
        <v>133.48730916150859</v>
      </c>
      <c r="K597" s="3">
        <f>IF(($A597-Ft!G$2)&lt;0,Ft!G$3*((1-Ft!G$6)/(1+Ft!G$37*($A597-Ft!G$2)^2)+Ft!G$6*EXP(Ft!G$38*($A597-Ft!G$2)^2)),Ft!G$3*((1-Ft!G$7)/(1+Ft!G$39*($A597-Ft!G$2)^2)+Ft!G$7*EXP(Ft!G$40*($A597-Ft!G$2)^2)))</f>
        <v>5.7408415072235323E-3</v>
      </c>
      <c r="L597" s="3">
        <f>IF(($A597-Ft!H$2)&lt;0,Ft!H$3*((1-Ft!H$6)/(1+Ft!H$37*($A597-Ft!H$2)^2)+Ft!H$6*EXP(Ft!H$38*($A597-Ft!H$2)^2)),Ft!H$3*((1-Ft!H$7)/(1+Ft!H$39*($A597-Ft!H$2)^2)+Ft!H$7*EXP(Ft!H$40*($A597-Ft!H$2)^2)))</f>
        <v>0</v>
      </c>
      <c r="M597" s="3">
        <f>IF(($A597-Ft!I$2)&lt;0,Ft!I$3*((1-Ft!I$6)/(1+Ft!I$37*($A597-Ft!I$2)^2)+Ft!I$6*EXP(Ft!I$38*($A597-Ft!I$2)^2)),Ft!I$3*((1-Ft!I$7)/(1+Ft!I$39*($A597-Ft!I$2)^2)+Ft!I$7*EXP(Ft!I$40*($A597-Ft!I$2)^2)))</f>
        <v>0</v>
      </c>
      <c r="N597" s="3">
        <f>IF(($A597-Ft!J$2)&lt;0,Ft!J$3*((1-Ft!J$6)/(1+Ft!J$37*($A597-Ft!J$2)^2)+Ft!J$6*EXP(Ft!J$38*($A597-Ft!J$2)^2)),Ft!J$3*((1-Ft!J$7)/(1+Ft!J$39*($A597-Ft!J$2)^2)+Ft!J$7*EXP(Ft!J$40*($A597-Ft!J$2)^2)))</f>
        <v>0</v>
      </c>
      <c r="O597" s="3">
        <f>IF(($A597-Ft!K$2)&lt;0,Ft!K$3*((1-Ft!K$6)/(1+Ft!K$37*($A597-Ft!K$2)^2)+Ft!K$6*EXP(Ft!K$38*($A597-Ft!K$2)^2)),Ft!K$3*((1-Ft!K$7)/(1+Ft!K$39*($A597-Ft!K$2)^2)+Ft!K$7*EXP(Ft!K$40*($A597-Ft!K$2)^2)))</f>
        <v>0</v>
      </c>
      <c r="P597" s="29"/>
      <c r="Q597"/>
    </row>
    <row r="598" spans="1:17">
      <c r="A598" s="20">
        <v>1193</v>
      </c>
      <c r="B598" s="29">
        <v>9.1783736120414385</v>
      </c>
      <c r="C598" s="7">
        <f t="shared" si="19"/>
        <v>8.5600676362460799</v>
      </c>
      <c r="D598" s="3">
        <f t="shared" si="18"/>
        <v>0.38230227970425062</v>
      </c>
      <c r="E598" s="3">
        <f>Ft!$B$12+Ft!$B$14*(Data!A598-Vars!$B$3)</f>
        <v>-200</v>
      </c>
      <c r="F598" s="3">
        <f>IF(($A598-Ft!B$2)&lt;0,Ft!B$3*((1-Ft!B$6)/(1+Ft!B$37*($A598-Ft!B$2)^2)+Ft!B$6*EXP(Ft!B$38*($A598-Ft!B$2)^2)),Ft!B$3*((1-Ft!B$7)/(1+Ft!B$39*($A598-Ft!B$2)^2)+Ft!B$7*EXP(Ft!B$40*($A598-Ft!B$2)^2)))</f>
        <v>1.5249806930712524</v>
      </c>
      <c r="G598" s="3">
        <f>IF(($A598-Ft!C$2)&lt;0,Ft!C$3*((1-Ft!C$6)/(1+Ft!C$37*($A598-Ft!C$2)^2)+Ft!C$6*EXP(Ft!C$38*($A598-Ft!C$2)^2)),Ft!C$3*((1-Ft!C$7)/(1+Ft!C$39*($A598-Ft!C$2)^2)+Ft!C$7*EXP(Ft!C$40*($A598-Ft!C$2)^2)))</f>
        <v>51.245997352134445</v>
      </c>
      <c r="H598" s="3">
        <f>IF(($A598-Ft!D$2)&lt;0,Ft!D$3*((1-Ft!D$6)/(1+Ft!D$37*($A598-Ft!D$2)^2)+Ft!D$6*EXP(Ft!D$38*($A598-Ft!D$2)^2)),Ft!D$3*((1-Ft!D$7)/(1+Ft!D$39*($A598-Ft!D$2)^2)+Ft!D$7*EXP(Ft!D$40*($A598-Ft!D$2)^2)))</f>
        <v>1.0420030459997342E-172</v>
      </c>
      <c r="I598" s="3">
        <f>IF(($A598-Ft!E$2)&lt;0,Ft!E$3*((1-Ft!E$6)/(1+Ft!E$37*($A598-Ft!E$2)^2)+Ft!E$6*EXP(Ft!E$38*($A598-Ft!E$2)^2)),Ft!E$3*((1-Ft!E$7)/(1+Ft!E$39*($A598-Ft!E$2)^2)+Ft!E$7*EXP(Ft!E$40*($A598-Ft!E$2)^2)))</f>
        <v>22.053452804802443</v>
      </c>
      <c r="J598" s="3">
        <f>IF(($A598-Ft!F$2)&lt;0,Ft!F$3*((1-Ft!F$6)/(1+Ft!F$37*($A598-Ft!F$2)^2)+Ft!F$6*EXP(Ft!F$38*($A598-Ft!F$2)^2)),Ft!F$3*((1-Ft!F$7)/(1+Ft!F$39*($A598-Ft!F$2)^2)+Ft!F$7*EXP(Ft!F$40*($A598-Ft!F$2)^2)))</f>
        <v>133.73013980251616</v>
      </c>
      <c r="K598" s="3">
        <f>IF(($A598-Ft!G$2)&lt;0,Ft!G$3*((1-Ft!G$6)/(1+Ft!G$37*($A598-Ft!G$2)^2)+Ft!G$6*EXP(Ft!G$38*($A598-Ft!G$2)^2)),Ft!G$3*((1-Ft!G$7)/(1+Ft!G$39*($A598-Ft!G$2)^2)+Ft!G$7*EXP(Ft!G$40*($A598-Ft!G$2)^2)))</f>
        <v>5.4969837217610012E-3</v>
      </c>
      <c r="L598" s="3">
        <f>IF(($A598-Ft!H$2)&lt;0,Ft!H$3*((1-Ft!H$6)/(1+Ft!H$37*($A598-Ft!H$2)^2)+Ft!H$6*EXP(Ft!H$38*($A598-Ft!H$2)^2)),Ft!H$3*((1-Ft!H$7)/(1+Ft!H$39*($A598-Ft!H$2)^2)+Ft!H$7*EXP(Ft!H$40*($A598-Ft!H$2)^2)))</f>
        <v>0</v>
      </c>
      <c r="M598" s="3">
        <f>IF(($A598-Ft!I$2)&lt;0,Ft!I$3*((1-Ft!I$6)/(1+Ft!I$37*($A598-Ft!I$2)^2)+Ft!I$6*EXP(Ft!I$38*($A598-Ft!I$2)^2)),Ft!I$3*((1-Ft!I$7)/(1+Ft!I$39*($A598-Ft!I$2)^2)+Ft!I$7*EXP(Ft!I$40*($A598-Ft!I$2)^2)))</f>
        <v>0</v>
      </c>
      <c r="N598" s="3">
        <f>IF(($A598-Ft!J$2)&lt;0,Ft!J$3*((1-Ft!J$6)/(1+Ft!J$37*($A598-Ft!J$2)^2)+Ft!J$6*EXP(Ft!J$38*($A598-Ft!J$2)^2)),Ft!J$3*((1-Ft!J$7)/(1+Ft!J$39*($A598-Ft!J$2)^2)+Ft!J$7*EXP(Ft!J$40*($A598-Ft!J$2)^2)))</f>
        <v>0</v>
      </c>
      <c r="O598" s="3">
        <f>IF(($A598-Ft!K$2)&lt;0,Ft!K$3*((1-Ft!K$6)/(1+Ft!K$37*($A598-Ft!K$2)^2)+Ft!K$6*EXP(Ft!K$38*($A598-Ft!K$2)^2)),Ft!K$3*((1-Ft!K$7)/(1+Ft!K$39*($A598-Ft!K$2)^2)+Ft!K$7*EXP(Ft!K$40*($A598-Ft!K$2)^2)))</f>
        <v>0</v>
      </c>
      <c r="P598" s="29"/>
      <c r="Q598"/>
    </row>
    <row r="599" spans="1:17">
      <c r="A599" s="20">
        <v>1195</v>
      </c>
      <c r="B599" s="29">
        <v>9.1299405474182453</v>
      </c>
      <c r="C599" s="7">
        <f t="shared" si="19"/>
        <v>8.4137771877119949</v>
      </c>
      <c r="D599" s="3">
        <f t="shared" si="18"/>
        <v>0.51288995778574431</v>
      </c>
      <c r="E599" s="3">
        <f>Ft!$B$12+Ft!$B$14*(Data!A599-Vars!$B$3)</f>
        <v>-200</v>
      </c>
      <c r="F599" s="3">
        <f>IF(($A599-Ft!B$2)&lt;0,Ft!B$3*((1-Ft!B$6)/(1+Ft!B$37*($A599-Ft!B$2)^2)+Ft!B$6*EXP(Ft!B$38*($A599-Ft!B$2)^2)),Ft!B$3*((1-Ft!B$7)/(1+Ft!B$39*($A599-Ft!B$2)^2)+Ft!B$7*EXP(Ft!B$40*($A599-Ft!B$2)^2)))</f>
        <v>1.5045147068541889</v>
      </c>
      <c r="G599" s="3">
        <f>IF(($A599-Ft!C$2)&lt;0,Ft!C$3*((1-Ft!C$6)/(1+Ft!C$37*($A599-Ft!C$2)^2)+Ft!C$6*EXP(Ft!C$38*($A599-Ft!C$2)^2)),Ft!C$3*((1-Ft!C$7)/(1+Ft!C$39*($A599-Ft!C$2)^2)+Ft!C$7*EXP(Ft!C$40*($A599-Ft!C$2)^2)))</f>
        <v>51.179967383034608</v>
      </c>
      <c r="H599" s="3">
        <f>IF(($A599-Ft!D$2)&lt;0,Ft!D$3*((1-Ft!D$6)/(1+Ft!D$37*($A599-Ft!D$2)^2)+Ft!D$6*EXP(Ft!D$38*($A599-Ft!D$2)^2)),Ft!D$3*((1-Ft!D$7)/(1+Ft!D$39*($A599-Ft!D$2)^2)+Ft!D$7*EXP(Ft!D$40*($A599-Ft!D$2)^2)))</f>
        <v>1.2828481104051981E-173</v>
      </c>
      <c r="I599" s="3">
        <f>IF(($A599-Ft!E$2)&lt;0,Ft!E$3*((1-Ft!E$6)/(1+Ft!E$37*($A599-Ft!E$2)^2)+Ft!E$6*EXP(Ft!E$38*($A599-Ft!E$2)^2)),Ft!E$3*((1-Ft!E$7)/(1+Ft!E$39*($A599-Ft!E$2)^2)+Ft!E$7*EXP(Ft!E$40*($A599-Ft!E$2)^2)))</f>
        <v>21.752384451585129</v>
      </c>
      <c r="J599" s="3">
        <f>IF(($A599-Ft!F$2)&lt;0,Ft!F$3*((1-Ft!F$6)/(1+Ft!F$37*($A599-Ft!F$2)^2)+Ft!F$6*EXP(Ft!F$38*($A599-Ft!F$2)^2)),Ft!F$3*((1-Ft!F$7)/(1+Ft!F$39*($A599-Ft!F$2)^2)+Ft!F$7*EXP(Ft!F$40*($A599-Ft!F$2)^2)))</f>
        <v>133.97164770809638</v>
      </c>
      <c r="K599" s="3">
        <f>IF(($A599-Ft!G$2)&lt;0,Ft!G$3*((1-Ft!G$6)/(1+Ft!G$37*($A599-Ft!G$2)^2)+Ft!G$6*EXP(Ft!G$38*($A599-Ft!G$2)^2)),Ft!G$3*((1-Ft!G$7)/(1+Ft!G$39*($A599-Ft!G$2)^2)+Ft!G$7*EXP(Ft!G$40*($A599-Ft!G$2)^2)))</f>
        <v>5.2629381416789836E-3</v>
      </c>
      <c r="L599" s="3">
        <f>IF(($A599-Ft!H$2)&lt;0,Ft!H$3*((1-Ft!H$6)/(1+Ft!H$37*($A599-Ft!H$2)^2)+Ft!H$6*EXP(Ft!H$38*($A599-Ft!H$2)^2)),Ft!H$3*((1-Ft!H$7)/(1+Ft!H$39*($A599-Ft!H$2)^2)+Ft!H$7*EXP(Ft!H$40*($A599-Ft!H$2)^2)))</f>
        <v>0</v>
      </c>
      <c r="M599" s="3">
        <f>IF(($A599-Ft!I$2)&lt;0,Ft!I$3*((1-Ft!I$6)/(1+Ft!I$37*($A599-Ft!I$2)^2)+Ft!I$6*EXP(Ft!I$38*($A599-Ft!I$2)^2)),Ft!I$3*((1-Ft!I$7)/(1+Ft!I$39*($A599-Ft!I$2)^2)+Ft!I$7*EXP(Ft!I$40*($A599-Ft!I$2)^2)))</f>
        <v>0</v>
      </c>
      <c r="N599" s="3">
        <f>IF(($A599-Ft!J$2)&lt;0,Ft!J$3*((1-Ft!J$6)/(1+Ft!J$37*($A599-Ft!J$2)^2)+Ft!J$6*EXP(Ft!J$38*($A599-Ft!J$2)^2)),Ft!J$3*((1-Ft!J$7)/(1+Ft!J$39*($A599-Ft!J$2)^2)+Ft!J$7*EXP(Ft!J$40*($A599-Ft!J$2)^2)))</f>
        <v>0</v>
      </c>
      <c r="O599" s="3">
        <f>IF(($A599-Ft!K$2)&lt;0,Ft!K$3*((1-Ft!K$6)/(1+Ft!K$37*($A599-Ft!K$2)^2)+Ft!K$6*EXP(Ft!K$38*($A599-Ft!K$2)^2)),Ft!K$3*((1-Ft!K$7)/(1+Ft!K$39*($A599-Ft!K$2)^2)+Ft!K$7*EXP(Ft!K$40*($A599-Ft!K$2)^2)))</f>
        <v>0</v>
      </c>
      <c r="P599" s="29"/>
      <c r="Q599"/>
    </row>
    <row r="600" spans="1:17">
      <c r="A600" s="20">
        <v>1197</v>
      </c>
      <c r="B600" s="29">
        <v>9.0699605569319957</v>
      </c>
      <c r="C600" s="7">
        <f t="shared" si="19"/>
        <v>8.2689106037482141</v>
      </c>
      <c r="D600" s="3">
        <f t="shared" si="18"/>
        <v>0.64168102749573863</v>
      </c>
      <c r="E600" s="3">
        <f>Ft!$B$12+Ft!$B$14*(Data!A600-Vars!$B$3)</f>
        <v>-200</v>
      </c>
      <c r="F600" s="3">
        <f>IF(($A600-Ft!B$2)&lt;0,Ft!B$3*((1-Ft!B$6)/(1+Ft!B$37*($A600-Ft!B$2)^2)+Ft!B$6*EXP(Ft!B$38*($A600-Ft!B$2)^2)),Ft!B$3*((1-Ft!B$7)/(1+Ft!B$39*($A600-Ft!B$2)^2)+Ft!B$7*EXP(Ft!B$40*($A600-Ft!B$2)^2)))</f>
        <v>1.4842950535437884</v>
      </c>
      <c r="G600" s="3">
        <f>IF(($A600-Ft!C$2)&lt;0,Ft!C$3*((1-Ft!C$6)/(1+Ft!C$37*($A600-Ft!C$2)^2)+Ft!C$6*EXP(Ft!C$38*($A600-Ft!C$2)^2)),Ft!C$3*((1-Ft!C$7)/(1+Ft!C$39*($A600-Ft!C$2)^2)+Ft!C$7*EXP(Ft!C$40*($A600-Ft!C$2)^2)))</f>
        <v>51.113570862981611</v>
      </c>
      <c r="H600" s="3">
        <f>IF(($A600-Ft!D$2)&lt;0,Ft!D$3*((1-Ft!D$6)/(1+Ft!D$37*($A600-Ft!D$2)^2)+Ft!D$6*EXP(Ft!D$38*($A600-Ft!D$2)^2)),Ft!D$3*((1-Ft!D$7)/(1+Ft!D$39*($A600-Ft!D$2)^2)+Ft!D$7*EXP(Ft!D$40*($A600-Ft!D$2)^2)))</f>
        <v>1.5706722693905428E-174</v>
      </c>
      <c r="I600" s="3">
        <f>IF(($A600-Ft!E$2)&lt;0,Ft!E$3*((1-Ft!E$6)/(1+Ft!E$37*($A600-Ft!E$2)^2)+Ft!E$6*EXP(Ft!E$38*($A600-Ft!E$2)^2)),Ft!E$3*((1-Ft!E$7)/(1+Ft!E$39*($A600-Ft!E$2)^2)+Ft!E$7*EXP(Ft!E$40*($A600-Ft!E$2)^2)))</f>
        <v>21.454182230432998</v>
      </c>
      <c r="J600" s="3">
        <f>IF(($A600-Ft!F$2)&lt;0,Ft!F$3*((1-Ft!F$6)/(1+Ft!F$37*($A600-Ft!F$2)^2)+Ft!F$6*EXP(Ft!F$38*($A600-Ft!F$2)^2)),Ft!F$3*((1-Ft!F$7)/(1+Ft!F$39*($A600-Ft!F$2)^2)+Ft!F$7*EXP(Ft!F$40*($A600-Ft!F$2)^2)))</f>
        <v>134.21182412224761</v>
      </c>
      <c r="K600" s="3">
        <f>IF(($A600-Ft!G$2)&lt;0,Ft!G$3*((1-Ft!G$6)/(1+Ft!G$37*($A600-Ft!G$2)^2)+Ft!G$6*EXP(Ft!G$38*($A600-Ft!G$2)^2)),Ft!G$3*((1-Ft!G$7)/(1+Ft!G$39*($A600-Ft!G$2)^2)+Ft!G$7*EXP(Ft!G$40*($A600-Ft!G$2)^2)))</f>
        <v>5.0383345422234669E-3</v>
      </c>
      <c r="L600" s="3">
        <f>IF(($A600-Ft!H$2)&lt;0,Ft!H$3*((1-Ft!H$6)/(1+Ft!H$37*($A600-Ft!H$2)^2)+Ft!H$6*EXP(Ft!H$38*($A600-Ft!H$2)^2)),Ft!H$3*((1-Ft!H$7)/(1+Ft!H$39*($A600-Ft!H$2)^2)+Ft!H$7*EXP(Ft!H$40*($A600-Ft!H$2)^2)))</f>
        <v>0</v>
      </c>
      <c r="M600" s="3">
        <f>IF(($A600-Ft!I$2)&lt;0,Ft!I$3*((1-Ft!I$6)/(1+Ft!I$37*($A600-Ft!I$2)^2)+Ft!I$6*EXP(Ft!I$38*($A600-Ft!I$2)^2)),Ft!I$3*((1-Ft!I$7)/(1+Ft!I$39*($A600-Ft!I$2)^2)+Ft!I$7*EXP(Ft!I$40*($A600-Ft!I$2)^2)))</f>
        <v>0</v>
      </c>
      <c r="N600" s="3">
        <f>IF(($A600-Ft!J$2)&lt;0,Ft!J$3*((1-Ft!J$6)/(1+Ft!J$37*($A600-Ft!J$2)^2)+Ft!J$6*EXP(Ft!J$38*($A600-Ft!J$2)^2)),Ft!J$3*((1-Ft!J$7)/(1+Ft!J$39*($A600-Ft!J$2)^2)+Ft!J$7*EXP(Ft!J$40*($A600-Ft!J$2)^2)))</f>
        <v>0</v>
      </c>
      <c r="O600" s="3">
        <f>IF(($A600-Ft!K$2)&lt;0,Ft!K$3*((1-Ft!K$6)/(1+Ft!K$37*($A600-Ft!K$2)^2)+Ft!K$6*EXP(Ft!K$38*($A600-Ft!K$2)^2)),Ft!K$3*((1-Ft!K$7)/(1+Ft!K$39*($A600-Ft!K$2)^2)+Ft!K$7*EXP(Ft!K$40*($A600-Ft!K$2)^2)))</f>
        <v>0</v>
      </c>
      <c r="P600" s="29"/>
      <c r="Q600"/>
    </row>
    <row r="601" spans="1:17">
      <c r="A601" s="20">
        <v>1199</v>
      </c>
      <c r="B601" s="29">
        <v>9.006230201046316</v>
      </c>
      <c r="C601" s="7">
        <f t="shared" si="19"/>
        <v>8.1254529628372492</v>
      </c>
      <c r="D601" s="3">
        <f t="shared" si="18"/>
        <v>0.77576854334719125</v>
      </c>
      <c r="E601" s="3">
        <f>Ft!$B$12+Ft!$B$14*(Data!A601-Vars!$B$3)</f>
        <v>-200</v>
      </c>
      <c r="F601" s="3">
        <f>IF(($A601-Ft!B$2)&lt;0,Ft!B$3*((1-Ft!B$6)/(1+Ft!B$37*($A601-Ft!B$2)^2)+Ft!B$6*EXP(Ft!B$38*($A601-Ft!B$2)^2)),Ft!B$3*((1-Ft!B$7)/(1+Ft!B$39*($A601-Ft!B$2)^2)+Ft!B$7*EXP(Ft!B$40*($A601-Ft!B$2)^2)))</f>
        <v>1.464319189254297</v>
      </c>
      <c r="G601" s="3">
        <f>IF(($A601-Ft!C$2)&lt;0,Ft!C$3*((1-Ft!C$6)/(1+Ft!C$37*($A601-Ft!C$2)^2)+Ft!C$6*EXP(Ft!C$38*($A601-Ft!C$2)^2)),Ft!C$3*((1-Ft!C$7)/(1+Ft!C$39*($A601-Ft!C$2)^2)+Ft!C$7*EXP(Ft!C$40*($A601-Ft!C$2)^2)))</f>
        <v>51.046809440070327</v>
      </c>
      <c r="H601" s="3">
        <f>IF(($A601-Ft!D$2)&lt;0,Ft!D$3*((1-Ft!D$6)/(1+Ft!D$37*($A601-Ft!D$2)^2)+Ft!D$6*EXP(Ft!D$38*($A601-Ft!D$2)^2)),Ft!D$3*((1-Ft!D$7)/(1+Ft!D$39*($A601-Ft!D$2)^2)+Ft!D$7*EXP(Ft!D$40*($A601-Ft!D$2)^2)))</f>
        <v>1.9124936449892255E-175</v>
      </c>
      <c r="I601" s="3">
        <f>IF(($A601-Ft!E$2)&lt;0,Ft!E$3*((1-Ft!E$6)/(1+Ft!E$37*($A601-Ft!E$2)^2)+Ft!E$6*EXP(Ft!E$38*($A601-Ft!E$2)^2)),Ft!E$3*((1-Ft!E$7)/(1+Ft!E$39*($A601-Ft!E$2)^2)+Ft!E$7*EXP(Ft!E$40*($A601-Ft!E$2)^2)))</f>
        <v>21.158841192040729</v>
      </c>
      <c r="J601" s="3">
        <f>IF(($A601-Ft!F$2)&lt;0,Ft!F$3*((1-Ft!F$6)/(1+Ft!F$37*($A601-Ft!F$2)^2)+Ft!F$6*EXP(Ft!F$38*($A601-Ft!F$2)^2)),Ft!F$3*((1-Ft!F$7)/(1+Ft!F$39*($A601-Ft!F$2)^2)+Ft!F$7*EXP(Ft!F$40*($A601-Ft!F$2)^2)))</f>
        <v>134.45066032586908</v>
      </c>
      <c r="K601" s="3">
        <f>IF(($A601-Ft!G$2)&lt;0,Ft!G$3*((1-Ft!G$6)/(1+Ft!G$37*($A601-Ft!G$2)^2)+Ft!G$6*EXP(Ft!G$38*($A601-Ft!G$2)^2)),Ft!G$3*((1-Ft!G$7)/(1+Ft!G$39*($A601-Ft!G$2)^2)+Ft!G$7*EXP(Ft!G$40*($A601-Ft!G$2)^2)))</f>
        <v>4.8228156028272363E-3</v>
      </c>
      <c r="L601" s="3">
        <f>IF(($A601-Ft!H$2)&lt;0,Ft!H$3*((1-Ft!H$6)/(1+Ft!H$37*($A601-Ft!H$2)^2)+Ft!H$6*EXP(Ft!H$38*($A601-Ft!H$2)^2)),Ft!H$3*((1-Ft!H$7)/(1+Ft!H$39*($A601-Ft!H$2)^2)+Ft!H$7*EXP(Ft!H$40*($A601-Ft!H$2)^2)))</f>
        <v>0</v>
      </c>
      <c r="M601" s="3">
        <f>IF(($A601-Ft!I$2)&lt;0,Ft!I$3*((1-Ft!I$6)/(1+Ft!I$37*($A601-Ft!I$2)^2)+Ft!I$6*EXP(Ft!I$38*($A601-Ft!I$2)^2)),Ft!I$3*((1-Ft!I$7)/(1+Ft!I$39*($A601-Ft!I$2)^2)+Ft!I$7*EXP(Ft!I$40*($A601-Ft!I$2)^2)))</f>
        <v>0</v>
      </c>
      <c r="N601" s="3">
        <f>IF(($A601-Ft!J$2)&lt;0,Ft!J$3*((1-Ft!J$6)/(1+Ft!J$37*($A601-Ft!J$2)^2)+Ft!J$6*EXP(Ft!J$38*($A601-Ft!J$2)^2)),Ft!J$3*((1-Ft!J$7)/(1+Ft!J$39*($A601-Ft!J$2)^2)+Ft!J$7*EXP(Ft!J$40*($A601-Ft!J$2)^2)))</f>
        <v>0</v>
      </c>
      <c r="O601" s="3">
        <f>IF(($A601-Ft!K$2)&lt;0,Ft!K$3*((1-Ft!K$6)/(1+Ft!K$37*($A601-Ft!K$2)^2)+Ft!K$6*EXP(Ft!K$38*($A601-Ft!K$2)^2)),Ft!K$3*((1-Ft!K$7)/(1+Ft!K$39*($A601-Ft!K$2)^2)+Ft!K$7*EXP(Ft!K$40*($A601-Ft!K$2)^2)))</f>
        <v>0</v>
      </c>
      <c r="P601" s="29"/>
      <c r="Q601"/>
    </row>
    <row r="602" spans="1:17">
      <c r="A602" s="20">
        <v>1201</v>
      </c>
      <c r="B602" s="29">
        <v>8.9290480053835797</v>
      </c>
      <c r="C602" s="7">
        <f t="shared" si="19"/>
        <v>7.9833889950017536</v>
      </c>
      <c r="D602" s="3">
        <f t="shared" si="18"/>
        <v>0.89427096391633465</v>
      </c>
      <c r="E602" s="3">
        <f>Ft!$B$12+Ft!$B$14*(Data!A602-Vars!$B$3)</f>
        <v>-200</v>
      </c>
      <c r="F602" s="3">
        <f>IF(($A602-Ft!B$2)&lt;0,Ft!B$3*((1-Ft!B$6)/(1+Ft!B$37*($A602-Ft!B$2)^2)+Ft!B$6*EXP(Ft!B$38*($A602-Ft!B$2)^2)),Ft!B$3*((1-Ft!B$7)/(1+Ft!B$39*($A602-Ft!B$2)^2)+Ft!B$7*EXP(Ft!B$40*($A602-Ft!B$2)^2)))</f>
        <v>1.4445845904466625</v>
      </c>
      <c r="G602" s="3">
        <f>IF(($A602-Ft!C$2)&lt;0,Ft!C$3*((1-Ft!C$6)/(1+Ft!C$37*($A602-Ft!C$2)^2)+Ft!C$6*EXP(Ft!C$38*($A602-Ft!C$2)^2)),Ft!C$3*((1-Ft!C$7)/(1+Ft!C$39*($A602-Ft!C$2)^2)+Ft!C$7*EXP(Ft!C$40*($A602-Ft!C$2)^2)))</f>
        <v>50.979684769916496</v>
      </c>
      <c r="H602" s="3">
        <f>IF(($A602-Ft!D$2)&lt;0,Ft!D$3*((1-Ft!D$6)/(1+Ft!D$37*($A602-Ft!D$2)^2)+Ft!D$6*EXP(Ft!D$38*($A602-Ft!D$2)^2)),Ft!D$3*((1-Ft!D$7)/(1+Ft!D$39*($A602-Ft!D$2)^2)+Ft!D$7*EXP(Ft!D$40*($A602-Ft!D$2)^2)))</f>
        <v>2.3158931186241426E-176</v>
      </c>
      <c r="I602" s="3">
        <f>IF(($A602-Ft!E$2)&lt;0,Ft!E$3*((1-Ft!E$6)/(1+Ft!E$37*($A602-Ft!E$2)^2)+Ft!E$6*EXP(Ft!E$38*($A602-Ft!E$2)^2)),Ft!E$3*((1-Ft!E$7)/(1+Ft!E$39*($A602-Ft!E$2)^2)+Ft!E$7*EXP(Ft!E$40*($A602-Ft!E$2)^2)))</f>
        <v>20.866355960850196</v>
      </c>
      <c r="J602" s="3">
        <f>IF(($A602-Ft!F$2)&lt;0,Ft!F$3*((1-Ft!F$6)/(1+Ft!F$37*($A602-Ft!F$2)^2)+Ft!F$6*EXP(Ft!F$38*($A602-Ft!F$2)^2)),Ft!F$3*((1-Ft!F$7)/(1+Ft!F$39*($A602-Ft!F$2)^2)+Ft!F$7*EXP(Ft!F$40*($A602-Ft!F$2)^2)))</f>
        <v>134.68814763728682</v>
      </c>
      <c r="K602" s="3">
        <f>IF(($A602-Ft!G$2)&lt;0,Ft!G$3*((1-Ft!G$6)/(1+Ft!G$37*($A602-Ft!G$2)^2)+Ft!G$6*EXP(Ft!G$38*($A602-Ft!G$2)^2)),Ft!G$3*((1-Ft!G$7)/(1+Ft!G$39*($A602-Ft!G$2)^2)+Ft!G$7*EXP(Ft!G$40*($A602-Ft!G$2)^2)))</f>
        <v>4.6160365015811573E-3</v>
      </c>
      <c r="L602" s="3">
        <f>IF(($A602-Ft!H$2)&lt;0,Ft!H$3*((1-Ft!H$6)/(1+Ft!H$37*($A602-Ft!H$2)^2)+Ft!H$6*EXP(Ft!H$38*($A602-Ft!H$2)^2)),Ft!H$3*((1-Ft!H$7)/(1+Ft!H$39*($A602-Ft!H$2)^2)+Ft!H$7*EXP(Ft!H$40*($A602-Ft!H$2)^2)))</f>
        <v>0</v>
      </c>
      <c r="M602" s="3">
        <f>IF(($A602-Ft!I$2)&lt;0,Ft!I$3*((1-Ft!I$6)/(1+Ft!I$37*($A602-Ft!I$2)^2)+Ft!I$6*EXP(Ft!I$38*($A602-Ft!I$2)^2)),Ft!I$3*((1-Ft!I$7)/(1+Ft!I$39*($A602-Ft!I$2)^2)+Ft!I$7*EXP(Ft!I$40*($A602-Ft!I$2)^2)))</f>
        <v>0</v>
      </c>
      <c r="N602" s="3">
        <f>IF(($A602-Ft!J$2)&lt;0,Ft!J$3*((1-Ft!J$6)/(1+Ft!J$37*($A602-Ft!J$2)^2)+Ft!J$6*EXP(Ft!J$38*($A602-Ft!J$2)^2)),Ft!J$3*((1-Ft!J$7)/(1+Ft!J$39*($A602-Ft!J$2)^2)+Ft!J$7*EXP(Ft!J$40*($A602-Ft!J$2)^2)))</f>
        <v>0</v>
      </c>
      <c r="O602" s="3">
        <f>IF(($A602-Ft!K$2)&lt;0,Ft!K$3*((1-Ft!K$6)/(1+Ft!K$37*($A602-Ft!K$2)^2)+Ft!K$6*EXP(Ft!K$38*($A602-Ft!K$2)^2)),Ft!K$3*((1-Ft!K$7)/(1+Ft!K$39*($A602-Ft!K$2)^2)+Ft!K$7*EXP(Ft!K$40*($A602-Ft!K$2)^2)))</f>
        <v>0</v>
      </c>
      <c r="P602" s="29"/>
      <c r="Q602"/>
    </row>
    <row r="603" spans="1:17">
      <c r="A603" s="20">
        <v>1203</v>
      </c>
      <c r="B603" s="29">
        <v>8.8301654519507426</v>
      </c>
      <c r="C603" s="7">
        <f t="shared" si="19"/>
        <v>7.8427030888895475</v>
      </c>
      <c r="D603" s="3">
        <f t="shared" si="18"/>
        <v>0.97508191846239967</v>
      </c>
      <c r="E603" s="3">
        <f>Ft!$B$12+Ft!$B$14*(Data!A603-Vars!$B$3)</f>
        <v>-200</v>
      </c>
      <c r="F603" s="3">
        <f>IF(($A603-Ft!B$2)&lt;0,Ft!B$3*((1-Ft!B$6)/(1+Ft!B$37*($A603-Ft!B$2)^2)+Ft!B$6*EXP(Ft!B$38*($A603-Ft!B$2)^2)),Ft!B$3*((1-Ft!B$7)/(1+Ft!B$39*($A603-Ft!B$2)^2)+Ft!B$7*EXP(Ft!B$40*($A603-Ft!B$2)^2)))</f>
        <v>1.4250887538460635</v>
      </c>
      <c r="G603" s="3">
        <f>IF(($A603-Ft!C$2)&lt;0,Ft!C$3*((1-Ft!C$6)/(1+Ft!C$37*($A603-Ft!C$2)^2)+Ft!C$6*EXP(Ft!C$38*($A603-Ft!C$2)^2)),Ft!C$3*((1-Ft!C$7)/(1+Ft!C$39*($A603-Ft!C$2)^2)+Ft!C$7*EXP(Ft!C$40*($A603-Ft!C$2)^2)))</f>
        <v>50.912198515588443</v>
      </c>
      <c r="H603" s="3">
        <f>IF(($A603-Ft!D$2)&lt;0,Ft!D$3*((1-Ft!D$6)/(1+Ft!D$37*($A603-Ft!D$2)^2)+Ft!D$6*EXP(Ft!D$38*($A603-Ft!D$2)^2)),Ft!D$3*((1-Ft!D$7)/(1+Ft!D$39*($A603-Ft!D$2)^2)+Ft!D$7*EXP(Ft!D$40*($A603-Ft!D$2)^2)))</f>
        <v>2.7889524568623656E-177</v>
      </c>
      <c r="I603" s="3">
        <f>IF(($A603-Ft!E$2)&lt;0,Ft!E$3*((1-Ft!E$6)/(1+Ft!E$37*($A603-Ft!E$2)^2)+Ft!E$6*EXP(Ft!E$38*($A603-Ft!E$2)^2)),Ft!E$3*((1-Ft!E$7)/(1+Ft!E$39*($A603-Ft!E$2)^2)+Ft!E$7*EXP(Ft!E$40*($A603-Ft!E$2)^2)))</f>
        <v>20.576720742156272</v>
      </c>
      <c r="J603" s="3">
        <f>IF(($A603-Ft!F$2)&lt;0,Ft!F$3*((1-Ft!F$6)/(1+Ft!F$37*($A603-Ft!F$2)^2)+Ft!F$6*EXP(Ft!F$38*($A603-Ft!F$2)^2)),Ft!F$3*((1-Ft!F$7)/(1+Ft!F$39*($A603-Ft!F$2)^2)+Ft!F$7*EXP(Ft!F$40*($A603-Ft!F$2)^2)))</f>
        <v>134.92427741277808</v>
      </c>
      <c r="K603" s="3">
        <f>IF(($A603-Ft!G$2)&lt;0,Ft!G$3*((1-Ft!G$6)/(1+Ft!G$37*($A603-Ft!G$2)^2)+Ft!G$6*EXP(Ft!G$38*($A603-Ft!G$2)^2)),Ft!G$3*((1-Ft!G$7)/(1+Ft!G$39*($A603-Ft!G$2)^2)+Ft!G$7*EXP(Ft!G$40*($A603-Ft!G$2)^2)))</f>
        <v>4.4176645206847947E-3</v>
      </c>
      <c r="L603" s="3">
        <f>IF(($A603-Ft!H$2)&lt;0,Ft!H$3*((1-Ft!H$6)/(1+Ft!H$37*($A603-Ft!H$2)^2)+Ft!H$6*EXP(Ft!H$38*($A603-Ft!H$2)^2)),Ft!H$3*((1-Ft!H$7)/(1+Ft!H$39*($A603-Ft!H$2)^2)+Ft!H$7*EXP(Ft!H$40*($A603-Ft!H$2)^2)))</f>
        <v>0</v>
      </c>
      <c r="M603" s="3">
        <f>IF(($A603-Ft!I$2)&lt;0,Ft!I$3*((1-Ft!I$6)/(1+Ft!I$37*($A603-Ft!I$2)^2)+Ft!I$6*EXP(Ft!I$38*($A603-Ft!I$2)^2)),Ft!I$3*((1-Ft!I$7)/(1+Ft!I$39*($A603-Ft!I$2)^2)+Ft!I$7*EXP(Ft!I$40*($A603-Ft!I$2)^2)))</f>
        <v>0</v>
      </c>
      <c r="N603" s="3">
        <f>IF(($A603-Ft!J$2)&lt;0,Ft!J$3*((1-Ft!J$6)/(1+Ft!J$37*($A603-Ft!J$2)^2)+Ft!J$6*EXP(Ft!J$38*($A603-Ft!J$2)^2)),Ft!J$3*((1-Ft!J$7)/(1+Ft!J$39*($A603-Ft!J$2)^2)+Ft!J$7*EXP(Ft!J$40*($A603-Ft!J$2)^2)))</f>
        <v>0</v>
      </c>
      <c r="O603" s="3">
        <f>IF(($A603-Ft!K$2)&lt;0,Ft!K$3*((1-Ft!K$6)/(1+Ft!K$37*($A603-Ft!K$2)^2)+Ft!K$6*EXP(Ft!K$38*($A603-Ft!K$2)^2)),Ft!K$3*((1-Ft!K$7)/(1+Ft!K$39*($A603-Ft!K$2)^2)+Ft!K$7*EXP(Ft!K$40*($A603-Ft!K$2)^2)))</f>
        <v>0</v>
      </c>
      <c r="P603" s="29"/>
      <c r="Q603"/>
    </row>
    <row r="604" spans="1:17">
      <c r="A604" s="20">
        <v>1205</v>
      </c>
      <c r="B604" s="29">
        <v>8.7188008232184071</v>
      </c>
      <c r="C604" s="7">
        <f t="shared" si="19"/>
        <v>7.7033792988891596</v>
      </c>
      <c r="D604" s="3">
        <f t="shared" si="18"/>
        <v>1.0310808720711326</v>
      </c>
      <c r="E604" s="3">
        <f>Ft!$B$12+Ft!$B$14*(Data!A604-Vars!$B$3)</f>
        <v>-200</v>
      </c>
      <c r="F604" s="3">
        <f>IF(($A604-Ft!B$2)&lt;0,Ft!B$3*((1-Ft!B$6)/(1+Ft!B$37*($A604-Ft!B$2)^2)+Ft!B$6*EXP(Ft!B$38*($A604-Ft!B$2)^2)),Ft!B$3*((1-Ft!B$7)/(1+Ft!B$39*($A604-Ft!B$2)^2)+Ft!B$7*EXP(Ft!B$40*($A604-Ft!B$2)^2)))</f>
        <v>1.4058291963586438</v>
      </c>
      <c r="G604" s="3">
        <f>IF(($A604-Ft!C$2)&lt;0,Ft!C$3*((1-Ft!C$6)/(1+Ft!C$37*($A604-Ft!C$2)^2)+Ft!C$6*EXP(Ft!C$38*($A604-Ft!C$2)^2)),Ft!C$3*((1-Ft!C$7)/(1+Ft!C$39*($A604-Ft!C$2)^2)+Ft!C$7*EXP(Ft!C$40*($A604-Ft!C$2)^2)))</f>
        <v>50.844352347538539</v>
      </c>
      <c r="H604" s="3">
        <f>IF(($A604-Ft!D$2)&lt;0,Ft!D$3*((1-Ft!D$6)/(1+Ft!D$37*($A604-Ft!D$2)^2)+Ft!D$6*EXP(Ft!D$38*($A604-Ft!D$2)^2)),Ft!D$3*((1-Ft!D$7)/(1+Ft!D$39*($A604-Ft!D$2)^2)+Ft!D$7*EXP(Ft!D$40*($A604-Ft!D$2)^2)))</f>
        <v>3.340164044121256E-178</v>
      </c>
      <c r="I604" s="3">
        <f>IF(($A604-Ft!E$2)&lt;0,Ft!E$3*((1-Ft!E$6)/(1+Ft!E$37*($A604-Ft!E$2)^2)+Ft!E$6*EXP(Ft!E$38*($A604-Ft!E$2)^2)),Ft!E$3*((1-Ft!E$7)/(1+Ft!E$39*($A604-Ft!E$2)^2)+Ft!E$7*EXP(Ft!E$40*($A604-Ft!E$2)^2)))</f>
        <v>20.289929329235264</v>
      </c>
      <c r="J604" s="3">
        <f>IF(($A604-Ft!F$2)&lt;0,Ft!F$3*((1-Ft!F$6)/(1+Ft!F$37*($A604-Ft!F$2)^2)+Ft!F$6*EXP(Ft!F$38*($A604-Ft!F$2)^2)),Ft!F$3*((1-Ft!F$7)/(1+Ft!F$39*($A604-Ft!F$2)^2)+Ft!F$7*EXP(Ft!F$40*($A604-Ft!F$2)^2)))</f>
        <v>135.15904104709406</v>
      </c>
      <c r="K604" s="3">
        <f>IF(($A604-Ft!G$2)&lt;0,Ft!G$3*((1-Ft!G$6)/(1+Ft!G$37*($A604-Ft!G$2)^2)+Ft!G$6*EXP(Ft!G$38*($A604-Ft!G$2)^2)),Ft!G$3*((1-Ft!G$7)/(1+Ft!G$39*($A604-Ft!G$2)^2)+Ft!G$7*EXP(Ft!G$40*($A604-Ft!G$2)^2)))</f>
        <v>4.227378662647302E-3</v>
      </c>
      <c r="L604" s="3">
        <f>IF(($A604-Ft!H$2)&lt;0,Ft!H$3*((1-Ft!H$6)/(1+Ft!H$37*($A604-Ft!H$2)^2)+Ft!H$6*EXP(Ft!H$38*($A604-Ft!H$2)^2)),Ft!H$3*((1-Ft!H$7)/(1+Ft!H$39*($A604-Ft!H$2)^2)+Ft!H$7*EXP(Ft!H$40*($A604-Ft!H$2)^2)))</f>
        <v>0</v>
      </c>
      <c r="M604" s="3">
        <f>IF(($A604-Ft!I$2)&lt;0,Ft!I$3*((1-Ft!I$6)/(1+Ft!I$37*($A604-Ft!I$2)^2)+Ft!I$6*EXP(Ft!I$38*($A604-Ft!I$2)^2)),Ft!I$3*((1-Ft!I$7)/(1+Ft!I$39*($A604-Ft!I$2)^2)+Ft!I$7*EXP(Ft!I$40*($A604-Ft!I$2)^2)))</f>
        <v>0</v>
      </c>
      <c r="N604" s="3">
        <f>IF(($A604-Ft!J$2)&lt;0,Ft!J$3*((1-Ft!J$6)/(1+Ft!J$37*($A604-Ft!J$2)^2)+Ft!J$6*EXP(Ft!J$38*($A604-Ft!J$2)^2)),Ft!J$3*((1-Ft!J$7)/(1+Ft!J$39*($A604-Ft!J$2)^2)+Ft!J$7*EXP(Ft!J$40*($A604-Ft!J$2)^2)))</f>
        <v>0</v>
      </c>
      <c r="O604" s="3">
        <f>IF(($A604-Ft!K$2)&lt;0,Ft!K$3*((1-Ft!K$6)/(1+Ft!K$37*($A604-Ft!K$2)^2)+Ft!K$6*EXP(Ft!K$38*($A604-Ft!K$2)^2)),Ft!K$3*((1-Ft!K$7)/(1+Ft!K$39*($A604-Ft!K$2)^2)+Ft!K$7*EXP(Ft!K$40*($A604-Ft!K$2)^2)))</f>
        <v>0</v>
      </c>
      <c r="P604" s="29"/>
      <c r="Q604"/>
    </row>
    <row r="605" spans="1:17">
      <c r="A605" s="20">
        <v>1207</v>
      </c>
      <c r="B605" s="29">
        <v>8.6002015067471458</v>
      </c>
      <c r="C605" s="7">
        <f t="shared" si="19"/>
        <v>7.5654013522732289</v>
      </c>
      <c r="D605" s="3">
        <f t="shared" si="18"/>
        <v>1.0708113596992423</v>
      </c>
      <c r="E605" s="3">
        <f>Ft!$B$12+Ft!$B$14*(Data!A605-Vars!$B$3)</f>
        <v>-200</v>
      </c>
      <c r="F605" s="3">
        <f>IF(($A605-Ft!B$2)&lt;0,Ft!B$3*((1-Ft!B$6)/(1+Ft!B$37*($A605-Ft!B$2)^2)+Ft!B$6*EXP(Ft!B$38*($A605-Ft!B$2)^2)),Ft!B$3*((1-Ft!B$7)/(1+Ft!B$39*($A605-Ft!B$2)^2)+Ft!B$7*EXP(Ft!B$40*($A605-Ft!B$2)^2)))</f>
        <v>1.3868034549874342</v>
      </c>
      <c r="G605" s="3">
        <f>IF(($A605-Ft!C$2)&lt;0,Ft!C$3*((1-Ft!C$6)/(1+Ft!C$37*($A605-Ft!C$2)^2)+Ft!C$6*EXP(Ft!C$38*($A605-Ft!C$2)^2)),Ft!C$3*((1-Ft!C$7)/(1+Ft!C$39*($A605-Ft!C$2)^2)+Ft!C$7*EXP(Ft!C$40*($A605-Ft!C$2)^2)))</f>
        <v>50.776147943534447</v>
      </c>
      <c r="H605" s="3">
        <f>IF(($A605-Ft!D$2)&lt;0,Ft!D$3*((1-Ft!D$6)/(1+Ft!D$37*($A605-Ft!D$2)^2)+Ft!D$6*EXP(Ft!D$38*($A605-Ft!D$2)^2)),Ft!D$3*((1-Ft!D$7)/(1+Ft!D$39*($A605-Ft!D$2)^2)+Ft!D$7*EXP(Ft!D$40*($A605-Ft!D$2)^2)))</f>
        <v>3.978309524061492E-179</v>
      </c>
      <c r="I605" s="3">
        <f>IF(($A605-Ft!E$2)&lt;0,Ft!E$3*((1-Ft!E$6)/(1+Ft!E$37*($A605-Ft!E$2)^2)+Ft!E$6*EXP(Ft!E$38*($A605-Ft!E$2)^2)),Ft!E$3*((1-Ft!E$7)/(1+Ft!E$39*($A605-Ft!E$2)^2)+Ft!E$7*EXP(Ft!E$40*($A605-Ft!E$2)^2)))</f>
        <v>20.005975110493271</v>
      </c>
      <c r="J605" s="3">
        <f>IF(($A605-Ft!F$2)&lt;0,Ft!F$3*((1-Ft!F$6)/(1+Ft!F$37*($A605-Ft!F$2)^2)+Ft!F$6*EXP(Ft!F$38*($A605-Ft!F$2)^2)),Ft!F$3*((1-Ft!F$7)/(1+Ft!F$39*($A605-Ft!F$2)^2)+Ft!F$7*EXP(Ft!F$40*($A605-Ft!F$2)^2)))</f>
        <v>135.39242997398105</v>
      </c>
      <c r="K605" s="3">
        <f>IF(($A605-Ft!G$2)&lt;0,Ft!G$3*((1-Ft!G$6)/(1+Ft!G$37*($A605-Ft!G$2)^2)+Ft!G$6*EXP(Ft!G$38*($A605-Ft!G$2)^2)),Ft!G$3*((1-Ft!G$7)/(1+Ft!G$39*($A605-Ft!G$2)^2)+Ft!G$7*EXP(Ft!G$40*($A605-Ft!G$2)^2)))</f>
        <v>4.0448692770113318E-3</v>
      </c>
      <c r="L605" s="3">
        <f>IF(($A605-Ft!H$2)&lt;0,Ft!H$3*((1-Ft!H$6)/(1+Ft!H$37*($A605-Ft!H$2)^2)+Ft!H$6*EXP(Ft!H$38*($A605-Ft!H$2)^2)),Ft!H$3*((1-Ft!H$7)/(1+Ft!H$39*($A605-Ft!H$2)^2)+Ft!H$7*EXP(Ft!H$40*($A605-Ft!H$2)^2)))</f>
        <v>0</v>
      </c>
      <c r="M605" s="3">
        <f>IF(($A605-Ft!I$2)&lt;0,Ft!I$3*((1-Ft!I$6)/(1+Ft!I$37*($A605-Ft!I$2)^2)+Ft!I$6*EXP(Ft!I$38*($A605-Ft!I$2)^2)),Ft!I$3*((1-Ft!I$7)/(1+Ft!I$39*($A605-Ft!I$2)^2)+Ft!I$7*EXP(Ft!I$40*($A605-Ft!I$2)^2)))</f>
        <v>0</v>
      </c>
      <c r="N605" s="3">
        <f>IF(($A605-Ft!J$2)&lt;0,Ft!J$3*((1-Ft!J$6)/(1+Ft!J$37*($A605-Ft!J$2)^2)+Ft!J$6*EXP(Ft!J$38*($A605-Ft!J$2)^2)),Ft!J$3*((1-Ft!J$7)/(1+Ft!J$39*($A605-Ft!J$2)^2)+Ft!J$7*EXP(Ft!J$40*($A605-Ft!J$2)^2)))</f>
        <v>0</v>
      </c>
      <c r="O605" s="3">
        <f>IF(($A605-Ft!K$2)&lt;0,Ft!K$3*((1-Ft!K$6)/(1+Ft!K$37*($A605-Ft!K$2)^2)+Ft!K$6*EXP(Ft!K$38*($A605-Ft!K$2)^2)),Ft!K$3*((1-Ft!K$7)/(1+Ft!K$39*($A605-Ft!K$2)^2)+Ft!K$7*EXP(Ft!K$40*($A605-Ft!K$2)^2)))</f>
        <v>0</v>
      </c>
      <c r="P605" s="29"/>
      <c r="Q605"/>
    </row>
    <row r="606" spans="1:17">
      <c r="A606" s="20">
        <v>1209</v>
      </c>
      <c r="B606" s="29">
        <v>8.4723520863397006</v>
      </c>
      <c r="C606" s="7">
        <f t="shared" si="19"/>
        <v>7.4287526563666928</v>
      </c>
      <c r="D606" s="3">
        <f t="shared" si="18"/>
        <v>1.0890997702399867</v>
      </c>
      <c r="E606" s="3">
        <f>Ft!$B$12+Ft!$B$14*(Data!A606-Vars!$B$3)</f>
        <v>-200</v>
      </c>
      <c r="F606" s="3">
        <f>IF(($A606-Ft!B$2)&lt;0,Ft!B$3*((1-Ft!B$6)/(1+Ft!B$37*($A606-Ft!B$2)^2)+Ft!B$6*EXP(Ft!B$38*($A606-Ft!B$2)^2)),Ft!B$3*((1-Ft!B$7)/(1+Ft!B$39*($A606-Ft!B$2)^2)+Ft!B$7*EXP(Ft!B$40*($A606-Ft!B$2)^2)))</f>
        <v>1.3680090867475323</v>
      </c>
      <c r="G606" s="3">
        <f>IF(($A606-Ft!C$2)&lt;0,Ft!C$3*((1-Ft!C$6)/(1+Ft!C$37*($A606-Ft!C$2)^2)+Ft!C$6*EXP(Ft!C$38*($A606-Ft!C$2)^2)),Ft!C$3*((1-Ft!C$7)/(1+Ft!C$39*($A606-Ft!C$2)^2)+Ft!C$7*EXP(Ft!C$40*($A606-Ft!C$2)^2)))</f>
        <v>50.70758698859008</v>
      </c>
      <c r="H606" s="3">
        <f>IF(($A606-Ft!D$2)&lt;0,Ft!D$3*((1-Ft!D$6)/(1+Ft!D$37*($A606-Ft!D$2)^2)+Ft!D$6*EXP(Ft!D$38*($A606-Ft!D$2)^2)),Ft!D$3*((1-Ft!D$7)/(1+Ft!D$39*($A606-Ft!D$2)^2)+Ft!D$7*EXP(Ft!D$40*($A606-Ft!D$2)^2)))</f>
        <v>4.7123054051325318E-180</v>
      </c>
      <c r="I606" s="3">
        <f>IF(($A606-Ft!E$2)&lt;0,Ft!E$3*((1-Ft!E$6)/(1+Ft!E$37*($A606-Ft!E$2)^2)+Ft!E$6*EXP(Ft!E$38*($A606-Ft!E$2)^2)),Ft!E$3*((1-Ft!E$7)/(1+Ft!E$39*($A606-Ft!E$2)^2)+Ft!E$7*EXP(Ft!E$40*($A606-Ft!E$2)^2)))</f>
        <v>19.724851076631637</v>
      </c>
      <c r="J606" s="3">
        <f>IF(($A606-Ft!F$2)&lt;0,Ft!F$3*((1-Ft!F$6)/(1+Ft!F$37*($A606-Ft!F$2)^2)+Ft!F$6*EXP(Ft!F$38*($A606-Ft!F$2)^2)),Ft!F$3*((1-Ft!F$7)/(1+Ft!F$39*($A606-Ft!F$2)^2)+Ft!F$7*EXP(Ft!F$40*($A606-Ft!F$2)^2)))</f>
        <v>135.62443566670007</v>
      </c>
      <c r="K606" s="3">
        <f>IF(($A606-Ft!G$2)&lt;0,Ft!G$3*((1-Ft!G$6)/(1+Ft!G$37*($A606-Ft!G$2)^2)+Ft!G$6*EXP(Ft!G$38*($A606-Ft!G$2)^2)),Ft!G$3*((1-Ft!G$7)/(1+Ft!G$39*($A606-Ft!G$2)^2)+Ft!G$7*EXP(Ft!G$40*($A606-Ft!G$2)^2)))</f>
        <v>3.8698376973754036E-3</v>
      </c>
      <c r="L606" s="3">
        <f>IF(($A606-Ft!H$2)&lt;0,Ft!H$3*((1-Ft!H$6)/(1+Ft!H$37*($A606-Ft!H$2)^2)+Ft!H$6*EXP(Ft!H$38*($A606-Ft!H$2)^2)),Ft!H$3*((1-Ft!H$7)/(1+Ft!H$39*($A606-Ft!H$2)^2)+Ft!H$7*EXP(Ft!H$40*($A606-Ft!H$2)^2)))</f>
        <v>0</v>
      </c>
      <c r="M606" s="3">
        <f>IF(($A606-Ft!I$2)&lt;0,Ft!I$3*((1-Ft!I$6)/(1+Ft!I$37*($A606-Ft!I$2)^2)+Ft!I$6*EXP(Ft!I$38*($A606-Ft!I$2)^2)),Ft!I$3*((1-Ft!I$7)/(1+Ft!I$39*($A606-Ft!I$2)^2)+Ft!I$7*EXP(Ft!I$40*($A606-Ft!I$2)^2)))</f>
        <v>0</v>
      </c>
      <c r="N606" s="3">
        <f>IF(($A606-Ft!J$2)&lt;0,Ft!J$3*((1-Ft!J$6)/(1+Ft!J$37*($A606-Ft!J$2)^2)+Ft!J$6*EXP(Ft!J$38*($A606-Ft!J$2)^2)),Ft!J$3*((1-Ft!J$7)/(1+Ft!J$39*($A606-Ft!J$2)^2)+Ft!J$7*EXP(Ft!J$40*($A606-Ft!J$2)^2)))</f>
        <v>0</v>
      </c>
      <c r="O606" s="3">
        <f>IF(($A606-Ft!K$2)&lt;0,Ft!K$3*((1-Ft!K$6)/(1+Ft!K$37*($A606-Ft!K$2)^2)+Ft!K$6*EXP(Ft!K$38*($A606-Ft!K$2)^2)),Ft!K$3*((1-Ft!K$7)/(1+Ft!K$39*($A606-Ft!K$2)^2)+Ft!K$7*EXP(Ft!K$40*($A606-Ft!K$2)^2)))</f>
        <v>0</v>
      </c>
      <c r="P606" s="29"/>
      <c r="Q606"/>
    </row>
    <row r="607" spans="1:17">
      <c r="A607" s="20">
        <v>1211</v>
      </c>
      <c r="B607" s="29">
        <v>8.3305976626057721</v>
      </c>
      <c r="C607" s="7">
        <f t="shared" si="19"/>
        <v>7.2934163057368275</v>
      </c>
      <c r="D607" s="3">
        <f t="shared" si="18"/>
        <v>1.0757451670365048</v>
      </c>
      <c r="E607" s="3">
        <f>Ft!$B$12+Ft!$B$14*(Data!A607-Vars!$B$3)</f>
        <v>-200</v>
      </c>
      <c r="F607" s="3">
        <f>IF(($A607-Ft!B$2)&lt;0,Ft!B$3*((1-Ft!B$6)/(1+Ft!B$37*($A607-Ft!B$2)^2)+Ft!B$6*EXP(Ft!B$38*($A607-Ft!B$2)^2)),Ft!B$3*((1-Ft!B$7)/(1+Ft!B$39*($A607-Ft!B$2)^2)+Ft!B$7*EXP(Ft!B$40*($A607-Ft!B$2)^2)))</f>
        <v>1.3494436685805089</v>
      </c>
      <c r="G607" s="3">
        <f>IF(($A607-Ft!C$2)&lt;0,Ft!C$3*((1-Ft!C$6)/(1+Ft!C$37*($A607-Ft!C$2)^2)+Ft!C$6*EXP(Ft!C$38*($A607-Ft!C$2)^2)),Ft!C$3*((1-Ft!C$7)/(1+Ft!C$39*($A607-Ft!C$2)^2)+Ft!C$7*EXP(Ft!C$40*($A607-Ft!C$2)^2)))</f>
        <v>50.638671174896388</v>
      </c>
      <c r="H607" s="3">
        <f>IF(($A607-Ft!D$2)&lt;0,Ft!D$3*((1-Ft!D$6)/(1+Ft!D$37*($A607-Ft!D$2)^2)+Ft!D$6*EXP(Ft!D$38*($A607-Ft!D$2)^2)),Ft!D$3*((1-Ft!D$7)/(1+Ft!D$39*($A607-Ft!D$2)^2)+Ft!D$7*EXP(Ft!D$40*($A607-Ft!D$2)^2)))</f>
        <v>5.5510146863840214E-181</v>
      </c>
      <c r="I607" s="3">
        <f>IF(($A607-Ft!E$2)&lt;0,Ft!E$3*((1-Ft!E$6)/(1+Ft!E$37*($A607-Ft!E$2)^2)+Ft!E$6*EXP(Ft!E$38*($A607-Ft!E$2)^2)),Ft!E$3*((1-Ft!E$7)/(1+Ft!E$39*($A607-Ft!E$2)^2)+Ft!E$7*EXP(Ft!E$40*($A607-Ft!E$2)^2)))</f>
        <v>19.446549827826804</v>
      </c>
      <c r="J607" s="3">
        <f>IF(($A607-Ft!F$2)&lt;0,Ft!F$3*((1-Ft!F$6)/(1+Ft!F$37*($A607-Ft!F$2)^2)+Ft!F$6*EXP(Ft!F$38*($A607-Ft!F$2)^2)),Ft!F$3*((1-Ft!F$7)/(1+Ft!F$39*($A607-Ft!F$2)^2)+Ft!F$7*EXP(Ft!F$40*($A607-Ft!F$2)^2)))</f>
        <v>135.85504963854464</v>
      </c>
      <c r="K607" s="3">
        <f>IF(($A607-Ft!G$2)&lt;0,Ft!G$3*((1-Ft!G$6)/(1+Ft!G$37*($A607-Ft!G$2)^2)+Ft!G$6*EXP(Ft!G$38*($A607-Ft!G$2)^2)),Ft!G$3*((1-Ft!G$7)/(1+Ft!G$39*($A607-Ft!G$2)^2)+Ft!G$7*EXP(Ft!G$40*($A607-Ft!G$2)^2)))</f>
        <v>3.7019958884920968E-3</v>
      </c>
      <c r="L607" s="3">
        <f>IF(($A607-Ft!H$2)&lt;0,Ft!H$3*((1-Ft!H$6)/(1+Ft!H$37*($A607-Ft!H$2)^2)+Ft!H$6*EXP(Ft!H$38*($A607-Ft!H$2)^2)),Ft!H$3*((1-Ft!H$7)/(1+Ft!H$39*($A607-Ft!H$2)^2)+Ft!H$7*EXP(Ft!H$40*($A607-Ft!H$2)^2)))</f>
        <v>0</v>
      </c>
      <c r="M607" s="3">
        <f>IF(($A607-Ft!I$2)&lt;0,Ft!I$3*((1-Ft!I$6)/(1+Ft!I$37*($A607-Ft!I$2)^2)+Ft!I$6*EXP(Ft!I$38*($A607-Ft!I$2)^2)),Ft!I$3*((1-Ft!I$7)/(1+Ft!I$39*($A607-Ft!I$2)^2)+Ft!I$7*EXP(Ft!I$40*($A607-Ft!I$2)^2)))</f>
        <v>0</v>
      </c>
      <c r="N607" s="3">
        <f>IF(($A607-Ft!J$2)&lt;0,Ft!J$3*((1-Ft!J$6)/(1+Ft!J$37*($A607-Ft!J$2)^2)+Ft!J$6*EXP(Ft!J$38*($A607-Ft!J$2)^2)),Ft!J$3*((1-Ft!J$7)/(1+Ft!J$39*($A607-Ft!J$2)^2)+Ft!J$7*EXP(Ft!J$40*($A607-Ft!J$2)^2)))</f>
        <v>0</v>
      </c>
      <c r="O607" s="3">
        <f>IF(($A607-Ft!K$2)&lt;0,Ft!K$3*((1-Ft!K$6)/(1+Ft!K$37*($A607-Ft!K$2)^2)+Ft!K$6*EXP(Ft!K$38*($A607-Ft!K$2)^2)),Ft!K$3*((1-Ft!K$7)/(1+Ft!K$39*($A607-Ft!K$2)^2)+Ft!K$7*EXP(Ft!K$40*($A607-Ft!K$2)^2)))</f>
        <v>0</v>
      </c>
      <c r="P607" s="29"/>
      <c r="Q607"/>
    </row>
    <row r="608" spans="1:17">
      <c r="A608" s="20">
        <v>1213</v>
      </c>
      <c r="B608" s="29">
        <v>8.184242091404812</v>
      </c>
      <c r="C608" s="7">
        <f t="shared" si="19"/>
        <v>7.1593750894019736</v>
      </c>
      <c r="D608" s="3">
        <f t="shared" si="18"/>
        <v>1.0503523717942858</v>
      </c>
      <c r="E608" s="3">
        <f>Ft!$B$12+Ft!$B$14*(Data!A608-Vars!$B$3)</f>
        <v>-200</v>
      </c>
      <c r="F608" s="3">
        <f>IF(($A608-Ft!B$2)&lt;0,Ft!B$3*((1-Ft!B$6)/(1+Ft!B$37*($A608-Ft!B$2)^2)+Ft!B$6*EXP(Ft!B$38*($A608-Ft!B$2)^2)),Ft!B$3*((1-Ft!B$7)/(1+Ft!B$39*($A608-Ft!B$2)^2)+Ft!B$7*EXP(Ft!B$40*($A608-Ft!B$2)^2)))</f>
        <v>1.3311047972680954</v>
      </c>
      <c r="G608" s="3">
        <f>IF(($A608-Ft!C$2)&lt;0,Ft!C$3*((1-Ft!C$6)/(1+Ft!C$37*($A608-Ft!C$2)^2)+Ft!C$6*EXP(Ft!C$38*($A608-Ft!C$2)^2)),Ft!C$3*((1-Ft!C$7)/(1+Ft!C$39*($A608-Ft!C$2)^2)+Ft!C$7*EXP(Ft!C$40*($A608-Ft!C$2)^2)))</f>
        <v>50.569402201751892</v>
      </c>
      <c r="H608" s="3">
        <f>IF(($A608-Ft!D$2)&lt;0,Ft!D$3*((1-Ft!D$6)/(1+Ft!D$37*($A608-Ft!D$2)^2)+Ft!D$6*EXP(Ft!D$38*($A608-Ft!D$2)^2)),Ft!D$3*((1-Ft!D$7)/(1+Ft!D$39*($A608-Ft!D$2)^2)+Ft!D$7*EXP(Ft!D$40*($A608-Ft!D$2)^2)))</f>
        <v>6.5030248025483258E-182</v>
      </c>
      <c r="I608" s="3">
        <f>IF(($A608-Ft!E$2)&lt;0,Ft!E$3*((1-Ft!E$6)/(1+Ft!E$37*($A608-Ft!E$2)^2)+Ft!E$6*EXP(Ft!E$38*($A608-Ft!E$2)^2)),Ft!E$3*((1-Ft!E$7)/(1+Ft!E$39*($A608-Ft!E$2)^2)+Ft!E$7*EXP(Ft!E$40*($A608-Ft!E$2)^2)))</f>
        <v>19.171063580921942</v>
      </c>
      <c r="J608" s="3">
        <f>IF(($A608-Ft!F$2)&lt;0,Ft!F$3*((1-Ft!F$6)/(1+Ft!F$37*($A608-Ft!F$2)^2)+Ft!F$6*EXP(Ft!F$38*($A608-Ft!F$2)^2)),Ft!F$3*((1-Ft!F$7)/(1+Ft!F$39*($A608-Ft!F$2)^2)+Ft!F$7*EXP(Ft!F$40*($A608-Ft!F$2)^2)))</f>
        <v>136.0842634433568</v>
      </c>
      <c r="K608" s="3">
        <f>IF(($A608-Ft!G$2)&lt;0,Ft!G$3*((1-Ft!G$6)/(1+Ft!G$37*($A608-Ft!G$2)^2)+Ft!G$6*EXP(Ft!G$38*($A608-Ft!G$2)^2)),Ft!G$3*((1-Ft!G$7)/(1+Ft!G$39*($A608-Ft!G$2)^2)+Ft!G$7*EXP(Ft!G$40*($A608-Ft!G$2)^2)))</f>
        <v>3.5410661032221629E-3</v>
      </c>
      <c r="L608" s="3">
        <f>IF(($A608-Ft!H$2)&lt;0,Ft!H$3*((1-Ft!H$6)/(1+Ft!H$37*($A608-Ft!H$2)^2)+Ft!H$6*EXP(Ft!H$38*($A608-Ft!H$2)^2)),Ft!H$3*((1-Ft!H$7)/(1+Ft!H$39*($A608-Ft!H$2)^2)+Ft!H$7*EXP(Ft!H$40*($A608-Ft!H$2)^2)))</f>
        <v>0</v>
      </c>
      <c r="M608" s="3">
        <f>IF(($A608-Ft!I$2)&lt;0,Ft!I$3*((1-Ft!I$6)/(1+Ft!I$37*($A608-Ft!I$2)^2)+Ft!I$6*EXP(Ft!I$38*($A608-Ft!I$2)^2)),Ft!I$3*((1-Ft!I$7)/(1+Ft!I$39*($A608-Ft!I$2)^2)+Ft!I$7*EXP(Ft!I$40*($A608-Ft!I$2)^2)))</f>
        <v>0</v>
      </c>
      <c r="N608" s="3">
        <f>IF(($A608-Ft!J$2)&lt;0,Ft!J$3*((1-Ft!J$6)/(1+Ft!J$37*($A608-Ft!J$2)^2)+Ft!J$6*EXP(Ft!J$38*($A608-Ft!J$2)^2)),Ft!J$3*((1-Ft!J$7)/(1+Ft!J$39*($A608-Ft!J$2)^2)+Ft!J$7*EXP(Ft!J$40*($A608-Ft!J$2)^2)))</f>
        <v>0</v>
      </c>
      <c r="O608" s="3">
        <f>IF(($A608-Ft!K$2)&lt;0,Ft!K$3*((1-Ft!K$6)/(1+Ft!K$37*($A608-Ft!K$2)^2)+Ft!K$6*EXP(Ft!K$38*($A608-Ft!K$2)^2)),Ft!K$3*((1-Ft!K$7)/(1+Ft!K$39*($A608-Ft!K$2)^2)+Ft!K$7*EXP(Ft!K$40*($A608-Ft!K$2)^2)))</f>
        <v>0</v>
      </c>
      <c r="P608" s="29"/>
      <c r="Q608"/>
    </row>
    <row r="609" spans="1:17">
      <c r="A609" s="20">
        <v>1215</v>
      </c>
      <c r="B609" s="29">
        <v>8.0339346718789439</v>
      </c>
      <c r="C609" s="7">
        <f t="shared" si="19"/>
        <v>7.0266114980563747</v>
      </c>
      <c r="D609" s="3">
        <f t="shared" si="18"/>
        <v>1.014699976519974</v>
      </c>
      <c r="E609" s="3">
        <f>Ft!$B$12+Ft!$B$14*(Data!A609-Vars!$B$3)</f>
        <v>-200</v>
      </c>
      <c r="F609" s="3">
        <f>IF(($A609-Ft!B$2)&lt;0,Ft!B$3*((1-Ft!B$6)/(1+Ft!B$37*($A609-Ft!B$2)^2)+Ft!B$6*EXP(Ft!B$38*($A609-Ft!B$2)^2)),Ft!B$3*((1-Ft!B$7)/(1+Ft!B$39*($A609-Ft!B$2)^2)+Ft!B$7*EXP(Ft!B$40*($A609-Ft!B$2)^2)))</f>
        <v>1.3129900893451674</v>
      </c>
      <c r="G609" s="3">
        <f>IF(($A609-Ft!C$2)&lt;0,Ft!C$3*((1-Ft!C$6)/(1+Ft!C$37*($A609-Ft!C$2)^2)+Ft!C$6*EXP(Ft!C$38*($A609-Ft!C$2)^2)),Ft!C$3*((1-Ft!C$7)/(1+Ft!C$39*($A609-Ft!C$2)^2)+Ft!C$7*EXP(Ft!C$40*($A609-Ft!C$2)^2)))</f>
        <v>50.499781775493027</v>
      </c>
      <c r="H609" s="3">
        <f>IF(($A609-Ft!D$2)&lt;0,Ft!D$3*((1-Ft!D$6)/(1+Ft!D$37*($A609-Ft!D$2)^2)+Ft!D$6*EXP(Ft!D$38*($A609-Ft!D$2)^2)),Ft!D$3*((1-Ft!D$7)/(1+Ft!D$39*($A609-Ft!D$2)^2)+Ft!D$7*EXP(Ft!D$40*($A609-Ft!D$2)^2)))</f>
        <v>7.5763936524904097E-183</v>
      </c>
      <c r="I609" s="3">
        <f>IF(($A609-Ft!E$2)&lt;0,Ft!E$3*((1-Ft!E$6)/(1+Ft!E$37*($A609-Ft!E$2)^2)+Ft!E$6*EXP(Ft!E$38*($A609-Ft!E$2)^2)),Ft!E$3*((1-Ft!E$7)/(1+Ft!E$39*($A609-Ft!E$2)^2)+Ft!E$7*EXP(Ft!E$40*($A609-Ft!E$2)^2)))</f>
        <v>18.898384176627602</v>
      </c>
      <c r="J609" s="3">
        <f>IF(($A609-Ft!F$2)&lt;0,Ft!F$3*((1-Ft!F$6)/(1+Ft!F$37*($A609-Ft!F$2)^2)+Ft!F$6*EXP(Ft!F$38*($A609-Ft!F$2)^2)),Ft!F$3*((1-Ft!F$7)/(1+Ft!F$39*($A609-Ft!F$2)^2)+Ft!F$7*EXP(Ft!F$40*($A609-Ft!F$2)^2)))</f>
        <v>136.31206867604143</v>
      </c>
      <c r="K609" s="3">
        <f>IF(($A609-Ft!G$2)&lt;0,Ft!G$3*((1-Ft!G$6)/(1+Ft!G$37*($A609-Ft!G$2)^2)+Ft!G$6*EXP(Ft!G$38*($A609-Ft!G$2)^2)),Ft!G$3*((1-Ft!G$7)/(1+Ft!G$39*($A609-Ft!G$2)^2)+Ft!G$7*EXP(Ft!G$40*($A609-Ft!G$2)^2)))</f>
        <v>3.3867805491270666E-3</v>
      </c>
      <c r="L609" s="3">
        <f>IF(($A609-Ft!H$2)&lt;0,Ft!H$3*((1-Ft!H$6)/(1+Ft!H$37*($A609-Ft!H$2)^2)+Ft!H$6*EXP(Ft!H$38*($A609-Ft!H$2)^2)),Ft!H$3*((1-Ft!H$7)/(1+Ft!H$39*($A609-Ft!H$2)^2)+Ft!H$7*EXP(Ft!H$40*($A609-Ft!H$2)^2)))</f>
        <v>0</v>
      </c>
      <c r="M609" s="3">
        <f>IF(($A609-Ft!I$2)&lt;0,Ft!I$3*((1-Ft!I$6)/(1+Ft!I$37*($A609-Ft!I$2)^2)+Ft!I$6*EXP(Ft!I$38*($A609-Ft!I$2)^2)),Ft!I$3*((1-Ft!I$7)/(1+Ft!I$39*($A609-Ft!I$2)^2)+Ft!I$7*EXP(Ft!I$40*($A609-Ft!I$2)^2)))</f>
        <v>0</v>
      </c>
      <c r="N609" s="3">
        <f>IF(($A609-Ft!J$2)&lt;0,Ft!J$3*((1-Ft!J$6)/(1+Ft!J$37*($A609-Ft!J$2)^2)+Ft!J$6*EXP(Ft!J$38*($A609-Ft!J$2)^2)),Ft!J$3*((1-Ft!J$7)/(1+Ft!J$39*($A609-Ft!J$2)^2)+Ft!J$7*EXP(Ft!J$40*($A609-Ft!J$2)^2)))</f>
        <v>0</v>
      </c>
      <c r="O609" s="3">
        <f>IF(($A609-Ft!K$2)&lt;0,Ft!K$3*((1-Ft!K$6)/(1+Ft!K$37*($A609-Ft!K$2)^2)+Ft!K$6*EXP(Ft!K$38*($A609-Ft!K$2)^2)),Ft!K$3*((1-Ft!K$7)/(1+Ft!K$39*($A609-Ft!K$2)^2)+Ft!K$7*EXP(Ft!K$40*($A609-Ft!K$2)^2)))</f>
        <v>0</v>
      </c>
      <c r="P609" s="29"/>
      <c r="Q609"/>
    </row>
    <row r="610" spans="1:17">
      <c r="A610" s="20">
        <v>1217</v>
      </c>
      <c r="B610" s="29">
        <v>7.8743774579480696</v>
      </c>
      <c r="C610" s="7">
        <f t="shared" si="19"/>
        <v>6.895107731308352</v>
      </c>
      <c r="D610" s="3">
        <f t="shared" si="18"/>
        <v>0.95896919751302734</v>
      </c>
      <c r="E610" s="3">
        <f>Ft!$B$12+Ft!$B$14*(Data!A610-Vars!$B$3)</f>
        <v>-200</v>
      </c>
      <c r="F610" s="3">
        <f>IF(($A610-Ft!B$2)&lt;0,Ft!B$3*((1-Ft!B$6)/(1+Ft!B$37*($A610-Ft!B$2)^2)+Ft!B$6*EXP(Ft!B$38*($A610-Ft!B$2)^2)),Ft!B$3*((1-Ft!B$7)/(1+Ft!B$39*($A610-Ft!B$2)^2)+Ft!B$7*EXP(Ft!B$40*($A610-Ft!B$2)^2)))</f>
        <v>1.2950971810120218</v>
      </c>
      <c r="G610" s="3">
        <f>IF(($A610-Ft!C$2)&lt;0,Ft!C$3*((1-Ft!C$6)/(1+Ft!C$37*($A610-Ft!C$2)^2)+Ft!C$6*EXP(Ft!C$38*($A610-Ft!C$2)^2)),Ft!C$3*((1-Ft!C$7)/(1+Ft!C$39*($A610-Ft!C$2)^2)+Ft!C$7*EXP(Ft!C$40*($A610-Ft!C$2)^2)))</f>
        <v>50.429811609424227</v>
      </c>
      <c r="H610" s="3">
        <f>IF(($A610-Ft!D$2)&lt;0,Ft!D$3*((1-Ft!D$6)/(1+Ft!D$37*($A610-Ft!D$2)^2)+Ft!D$6*EXP(Ft!D$38*($A610-Ft!D$2)^2)),Ft!D$3*((1-Ft!D$7)/(1+Ft!D$39*($A610-Ft!D$2)^2)+Ft!D$7*EXP(Ft!D$40*($A610-Ft!D$2)^2)))</f>
        <v>8.7783671253040826E-184</v>
      </c>
      <c r="I610" s="3">
        <f>IF(($A610-Ft!E$2)&lt;0,Ft!E$3*((1-Ft!E$6)/(1+Ft!E$37*($A610-Ft!E$2)^2)+Ft!E$6*EXP(Ft!E$38*($A610-Ft!E$2)^2)),Ft!E$3*((1-Ft!E$7)/(1+Ft!E$39*($A610-Ft!E$2)^2)+Ft!E$7*EXP(Ft!E$40*($A610-Ft!E$2)^2)))</f>
        <v>18.628503086728877</v>
      </c>
      <c r="J610" s="3">
        <f>IF(($A610-Ft!F$2)&lt;0,Ft!F$3*((1-Ft!F$6)/(1+Ft!F$37*($A610-Ft!F$2)^2)+Ft!F$6*EXP(Ft!F$38*($A610-Ft!F$2)^2)),Ft!F$3*((1-Ft!F$7)/(1+Ft!F$39*($A610-Ft!F$2)^2)+Ft!F$7*EXP(Ft!F$40*($A610-Ft!F$2)^2)))</f>
        <v>136.53845697307875</v>
      </c>
      <c r="K610" s="3">
        <f>IF(($A610-Ft!G$2)&lt;0,Ft!G$3*((1-Ft!G$6)/(1+Ft!G$37*($A610-Ft!G$2)^2)+Ft!G$6*EXP(Ft!G$38*($A610-Ft!G$2)^2)),Ft!G$3*((1-Ft!G$7)/(1+Ft!G$39*($A610-Ft!G$2)^2)+Ft!G$7*EXP(Ft!G$40*($A610-Ft!G$2)^2)))</f>
        <v>3.238881064484962E-3</v>
      </c>
      <c r="L610" s="3">
        <f>IF(($A610-Ft!H$2)&lt;0,Ft!H$3*((1-Ft!H$6)/(1+Ft!H$37*($A610-Ft!H$2)^2)+Ft!H$6*EXP(Ft!H$38*($A610-Ft!H$2)^2)),Ft!H$3*((1-Ft!H$7)/(1+Ft!H$39*($A610-Ft!H$2)^2)+Ft!H$7*EXP(Ft!H$40*($A610-Ft!H$2)^2)))</f>
        <v>0</v>
      </c>
      <c r="M610" s="3">
        <f>IF(($A610-Ft!I$2)&lt;0,Ft!I$3*((1-Ft!I$6)/(1+Ft!I$37*($A610-Ft!I$2)^2)+Ft!I$6*EXP(Ft!I$38*($A610-Ft!I$2)^2)),Ft!I$3*((1-Ft!I$7)/(1+Ft!I$39*($A610-Ft!I$2)^2)+Ft!I$7*EXP(Ft!I$40*($A610-Ft!I$2)^2)))</f>
        <v>0</v>
      </c>
      <c r="N610" s="3">
        <f>IF(($A610-Ft!J$2)&lt;0,Ft!J$3*((1-Ft!J$6)/(1+Ft!J$37*($A610-Ft!J$2)^2)+Ft!J$6*EXP(Ft!J$38*($A610-Ft!J$2)^2)),Ft!J$3*((1-Ft!J$7)/(1+Ft!J$39*($A610-Ft!J$2)^2)+Ft!J$7*EXP(Ft!J$40*($A610-Ft!J$2)^2)))</f>
        <v>0</v>
      </c>
      <c r="O610" s="3">
        <f>IF(($A610-Ft!K$2)&lt;0,Ft!K$3*((1-Ft!K$6)/(1+Ft!K$37*($A610-Ft!K$2)^2)+Ft!K$6*EXP(Ft!K$38*($A610-Ft!K$2)^2)),Ft!K$3*((1-Ft!K$7)/(1+Ft!K$39*($A610-Ft!K$2)^2)+Ft!K$7*EXP(Ft!K$40*($A610-Ft!K$2)^2)))</f>
        <v>0</v>
      </c>
      <c r="P610" s="29"/>
      <c r="Q610"/>
    </row>
    <row r="611" spans="1:17">
      <c r="A611" s="20">
        <v>1219</v>
      </c>
      <c r="B611" s="29">
        <v>7.7177277709668637</v>
      </c>
      <c r="C611" s="7">
        <f t="shared" si="19"/>
        <v>6.7648457049285549</v>
      </c>
      <c r="D611" s="3">
        <f t="shared" si="18"/>
        <v>0.90798423177743592</v>
      </c>
      <c r="E611" s="3">
        <f>Ft!$B$12+Ft!$B$14*(Data!A611-Vars!$B$3)</f>
        <v>-200</v>
      </c>
      <c r="F611" s="3">
        <f>IF(($A611-Ft!B$2)&lt;0,Ft!B$3*((1-Ft!B$6)/(1+Ft!B$37*($A611-Ft!B$2)^2)+Ft!B$6*EXP(Ft!B$38*($A611-Ft!B$2)^2)),Ft!B$3*((1-Ft!B$7)/(1+Ft!B$39*($A611-Ft!B$2)^2)+Ft!B$7*EXP(Ft!B$40*($A611-Ft!B$2)^2)))</f>
        <v>1.2774237280459966</v>
      </c>
      <c r="G611" s="3">
        <f>IF(($A611-Ft!C$2)&lt;0,Ft!C$3*((1-Ft!C$6)/(1+Ft!C$37*($A611-Ft!C$2)^2)+Ft!C$6*EXP(Ft!C$38*($A611-Ft!C$2)^2)),Ft!C$3*((1-Ft!C$7)/(1+Ft!C$39*($A611-Ft!C$2)^2)+Ft!C$7*EXP(Ft!C$40*($A611-Ft!C$2)^2)))</f>
        <v>50.359493423747821</v>
      </c>
      <c r="H611" s="3">
        <f>IF(($A611-Ft!D$2)&lt;0,Ft!D$3*((1-Ft!D$6)/(1+Ft!D$37*($A611-Ft!D$2)^2)+Ft!D$6*EXP(Ft!D$38*($A611-Ft!D$2)^2)),Ft!D$3*((1-Ft!D$7)/(1+Ft!D$39*($A611-Ft!D$2)^2)+Ft!D$7*EXP(Ft!D$40*($A611-Ft!D$2)^2)))</f>
        <v>1.0115073318640462E-184</v>
      </c>
      <c r="I611" s="3">
        <f>IF(($A611-Ft!E$2)&lt;0,Ft!E$3*((1-Ft!E$6)/(1+Ft!E$37*($A611-Ft!E$2)^2)+Ft!E$6*EXP(Ft!E$38*($A611-Ft!E$2)^2)),Ft!E$3*((1-Ft!E$7)/(1+Ft!E$39*($A611-Ft!E$2)^2)+Ft!E$7*EXP(Ft!E$40*($A611-Ft!E$2)^2)))</f>
        <v>18.361411421296424</v>
      </c>
      <c r="J611" s="3">
        <f>IF(($A611-Ft!F$2)&lt;0,Ft!F$3*((1-Ft!F$6)/(1+Ft!F$37*($A611-Ft!F$2)^2)+Ft!F$6*EXP(Ft!F$38*($A611-Ft!F$2)^2)),Ft!F$3*((1-Ft!F$7)/(1+Ft!F$39*($A611-Ft!F$2)^2)+Ft!F$7*EXP(Ft!F$40*($A611-Ft!F$2)^2)))</f>
        <v>136.76342001303482</v>
      </c>
      <c r="K611" s="3">
        <f>IF(($A611-Ft!G$2)&lt;0,Ft!G$3*((1-Ft!G$6)/(1+Ft!G$37*($A611-Ft!G$2)^2)+Ft!G$6*EXP(Ft!G$38*($A611-Ft!G$2)^2)),Ft!G$3*((1-Ft!G$7)/(1+Ft!G$39*($A611-Ft!G$2)^2)+Ft!G$7*EXP(Ft!G$40*($A611-Ft!G$2)^2)))</f>
        <v>3.097118803517894E-3</v>
      </c>
      <c r="L611" s="3">
        <f>IF(($A611-Ft!H$2)&lt;0,Ft!H$3*((1-Ft!H$6)/(1+Ft!H$37*($A611-Ft!H$2)^2)+Ft!H$6*EXP(Ft!H$38*($A611-Ft!H$2)^2)),Ft!H$3*((1-Ft!H$7)/(1+Ft!H$39*($A611-Ft!H$2)^2)+Ft!H$7*EXP(Ft!H$40*($A611-Ft!H$2)^2)))</f>
        <v>0</v>
      </c>
      <c r="M611" s="3">
        <f>IF(($A611-Ft!I$2)&lt;0,Ft!I$3*((1-Ft!I$6)/(1+Ft!I$37*($A611-Ft!I$2)^2)+Ft!I$6*EXP(Ft!I$38*($A611-Ft!I$2)^2)),Ft!I$3*((1-Ft!I$7)/(1+Ft!I$39*($A611-Ft!I$2)^2)+Ft!I$7*EXP(Ft!I$40*($A611-Ft!I$2)^2)))</f>
        <v>0</v>
      </c>
      <c r="N611" s="3">
        <f>IF(($A611-Ft!J$2)&lt;0,Ft!J$3*((1-Ft!J$6)/(1+Ft!J$37*($A611-Ft!J$2)^2)+Ft!J$6*EXP(Ft!J$38*($A611-Ft!J$2)^2)),Ft!J$3*((1-Ft!J$7)/(1+Ft!J$39*($A611-Ft!J$2)^2)+Ft!J$7*EXP(Ft!J$40*($A611-Ft!J$2)^2)))</f>
        <v>0</v>
      </c>
      <c r="O611" s="3">
        <f>IF(($A611-Ft!K$2)&lt;0,Ft!K$3*((1-Ft!K$6)/(1+Ft!K$37*($A611-Ft!K$2)^2)+Ft!K$6*EXP(Ft!K$38*($A611-Ft!K$2)^2)),Ft!K$3*((1-Ft!K$7)/(1+Ft!K$39*($A611-Ft!K$2)^2)+Ft!K$7*EXP(Ft!K$40*($A611-Ft!K$2)^2)))</f>
        <v>0</v>
      </c>
      <c r="P611" s="29"/>
      <c r="Q611"/>
    </row>
    <row r="612" spans="1:17">
      <c r="A612" s="20">
        <v>1221</v>
      </c>
      <c r="B612" s="29">
        <v>7.5736560923903014</v>
      </c>
      <c r="C612" s="7">
        <f t="shared" si="19"/>
        <v>6.6358070581058106</v>
      </c>
      <c r="D612" s="3">
        <f t="shared" si="18"/>
        <v>0.87956081110835183</v>
      </c>
      <c r="E612" s="3">
        <f>Ft!$B$12+Ft!$B$14*(Data!A612-Vars!$B$3)</f>
        <v>-200</v>
      </c>
      <c r="F612" s="3">
        <f>IF(($A612-Ft!B$2)&lt;0,Ft!B$3*((1-Ft!B$6)/(1+Ft!B$37*($A612-Ft!B$2)^2)+Ft!B$6*EXP(Ft!B$38*($A612-Ft!B$2)^2)),Ft!B$3*((1-Ft!B$7)/(1+Ft!B$39*($A612-Ft!B$2)^2)+Ft!B$7*EXP(Ft!B$40*($A612-Ft!B$2)^2)))</f>
        <v>1.2599674057124342</v>
      </c>
      <c r="G612" s="3">
        <f>IF(($A612-Ft!C$2)&lt;0,Ft!C$3*((1-Ft!C$6)/(1+Ft!C$37*($A612-Ft!C$2)^2)+Ft!C$6*EXP(Ft!C$38*($A612-Ft!C$2)^2)),Ft!C$3*((1-Ft!C$7)/(1+Ft!C$39*($A612-Ft!C$2)^2)+Ft!C$7*EXP(Ft!C$40*($A612-Ft!C$2)^2)))</f>
        <v>50.288828945493741</v>
      </c>
      <c r="H612" s="3">
        <f>IF(($A612-Ft!D$2)&lt;0,Ft!D$3*((1-Ft!D$6)/(1+Ft!D$37*($A612-Ft!D$2)^2)+Ft!D$6*EXP(Ft!D$38*($A612-Ft!D$2)^2)),Ft!D$3*((1-Ft!D$7)/(1+Ft!D$39*($A612-Ft!D$2)^2)+Ft!D$7*EXP(Ft!D$40*($A612-Ft!D$2)^2)))</f>
        <v>1.1591200481862423E-185</v>
      </c>
      <c r="I612" s="3">
        <f>IF(($A612-Ft!E$2)&lt;0,Ft!E$3*((1-Ft!E$6)/(1+Ft!E$37*($A612-Ft!E$2)^2)+Ft!E$6*EXP(Ft!E$38*($A612-Ft!E$2)^2)),Ft!E$3*((1-Ft!E$7)/(1+Ft!E$39*($A612-Ft!E$2)^2)+Ft!E$7*EXP(Ft!E$40*($A612-Ft!E$2)^2)))</f>
        <v>18.097099935898857</v>
      </c>
      <c r="J612" s="3">
        <f>IF(($A612-Ft!F$2)&lt;0,Ft!F$3*((1-Ft!F$6)/(1+Ft!F$37*($A612-Ft!F$2)^2)+Ft!F$6*EXP(Ft!F$38*($A612-Ft!F$2)^2)),Ft!F$3*((1-Ft!F$7)/(1+Ft!F$39*($A612-Ft!F$2)^2)+Ft!F$7*EXP(Ft!F$40*($A612-Ft!F$2)^2)))</f>
        <v>136.98694951707014</v>
      </c>
      <c r="K612" s="3">
        <f>IF(($A612-Ft!G$2)&lt;0,Ft!G$3*((1-Ft!G$6)/(1+Ft!G$37*($A612-Ft!G$2)^2)+Ft!G$6*EXP(Ft!G$38*($A612-Ft!G$2)^2)),Ft!G$3*((1-Ft!G$7)/(1+Ft!G$39*($A612-Ft!G$2)^2)+Ft!G$7*EXP(Ft!G$40*($A612-Ft!G$2)^2)))</f>
        <v>2.9612539306205091E-3</v>
      </c>
      <c r="L612" s="3">
        <f>IF(($A612-Ft!H$2)&lt;0,Ft!H$3*((1-Ft!H$6)/(1+Ft!H$37*($A612-Ft!H$2)^2)+Ft!H$6*EXP(Ft!H$38*($A612-Ft!H$2)^2)),Ft!H$3*((1-Ft!H$7)/(1+Ft!H$39*($A612-Ft!H$2)^2)+Ft!H$7*EXP(Ft!H$40*($A612-Ft!H$2)^2)))</f>
        <v>0</v>
      </c>
      <c r="M612" s="3">
        <f>IF(($A612-Ft!I$2)&lt;0,Ft!I$3*((1-Ft!I$6)/(1+Ft!I$37*($A612-Ft!I$2)^2)+Ft!I$6*EXP(Ft!I$38*($A612-Ft!I$2)^2)),Ft!I$3*((1-Ft!I$7)/(1+Ft!I$39*($A612-Ft!I$2)^2)+Ft!I$7*EXP(Ft!I$40*($A612-Ft!I$2)^2)))</f>
        <v>0</v>
      </c>
      <c r="N612" s="3">
        <f>IF(($A612-Ft!J$2)&lt;0,Ft!J$3*((1-Ft!J$6)/(1+Ft!J$37*($A612-Ft!J$2)^2)+Ft!J$6*EXP(Ft!J$38*($A612-Ft!J$2)^2)),Ft!J$3*((1-Ft!J$7)/(1+Ft!J$39*($A612-Ft!J$2)^2)+Ft!J$7*EXP(Ft!J$40*($A612-Ft!J$2)^2)))</f>
        <v>0</v>
      </c>
      <c r="O612" s="3">
        <f>IF(($A612-Ft!K$2)&lt;0,Ft!K$3*((1-Ft!K$6)/(1+Ft!K$37*($A612-Ft!K$2)^2)+Ft!K$6*EXP(Ft!K$38*($A612-Ft!K$2)^2)),Ft!K$3*((1-Ft!K$7)/(1+Ft!K$39*($A612-Ft!K$2)^2)+Ft!K$7*EXP(Ft!K$40*($A612-Ft!K$2)^2)))</f>
        <v>0</v>
      </c>
      <c r="P612" s="29"/>
      <c r="Q612"/>
    </row>
    <row r="613" spans="1:17">
      <c r="A613" s="20">
        <v>1223</v>
      </c>
      <c r="B613" s="29">
        <v>7.4204559006537858</v>
      </c>
      <c r="C613" s="7">
        <f t="shared" si="19"/>
        <v>6.5079731607077065</v>
      </c>
      <c r="D613" s="3">
        <f t="shared" si="18"/>
        <v>0.83262475069950426</v>
      </c>
      <c r="E613" s="3">
        <f>Ft!$B$12+Ft!$B$14*(Data!A613-Vars!$B$3)</f>
        <v>-200</v>
      </c>
      <c r="F613" s="3">
        <f>IF(($A613-Ft!B$2)&lt;0,Ft!B$3*((1-Ft!B$6)/(1+Ft!B$37*($A613-Ft!B$2)^2)+Ft!B$6*EXP(Ft!B$38*($A613-Ft!B$2)^2)),Ft!B$3*((1-Ft!B$7)/(1+Ft!B$39*($A613-Ft!B$2)^2)+Ft!B$7*EXP(Ft!B$40*($A613-Ft!B$2)^2)))</f>
        <v>1.242725908675008</v>
      </c>
      <c r="G613" s="3">
        <f>IF(($A613-Ft!C$2)&lt;0,Ft!C$3*((1-Ft!C$6)/(1+Ft!C$37*($A613-Ft!C$2)^2)+Ft!C$6*EXP(Ft!C$38*($A613-Ft!C$2)^2)),Ft!C$3*((1-Ft!C$7)/(1+Ft!C$39*($A613-Ft!C$2)^2)+Ft!C$7*EXP(Ft!C$40*($A613-Ft!C$2)^2)))</f>
        <v>50.21781990844898</v>
      </c>
      <c r="H613" s="3">
        <f>IF(($A613-Ft!D$2)&lt;0,Ft!D$3*((1-Ft!D$6)/(1+Ft!D$37*($A613-Ft!D$2)^2)+Ft!D$6*EXP(Ft!D$38*($A613-Ft!D$2)^2)),Ft!D$3*((1-Ft!D$7)/(1+Ft!D$39*($A613-Ft!D$2)^2)+Ft!D$7*EXP(Ft!D$40*($A613-Ft!D$2)^2)))</f>
        <v>1.3209667524182431E-186</v>
      </c>
      <c r="I613" s="3">
        <f>IF(($A613-Ft!E$2)&lt;0,Ft!E$3*((1-Ft!E$6)/(1+Ft!E$37*($A613-Ft!E$2)^2)+Ft!E$6*EXP(Ft!E$38*($A613-Ft!E$2)^2)),Ft!E$3*((1-Ft!E$7)/(1+Ft!E$39*($A613-Ft!E$2)^2)+Ft!E$7*EXP(Ft!E$40*($A613-Ft!E$2)^2)))</f>
        <v>17.835559038813933</v>
      </c>
      <c r="J613" s="3">
        <f>IF(($A613-Ft!F$2)&lt;0,Ft!F$3*((1-Ft!F$6)/(1+Ft!F$37*($A613-Ft!F$2)^2)+Ft!F$6*EXP(Ft!F$38*($A613-Ft!F$2)^2)),Ft!F$3*((1-Ft!F$7)/(1+Ft!F$39*($A613-Ft!F$2)^2)+Ft!F$7*EXP(Ft!F$40*($A613-Ft!F$2)^2)))</f>
        <v>137.20903724944642</v>
      </c>
      <c r="K613" s="3">
        <f>IF(($A613-Ft!G$2)&lt;0,Ft!G$3*((1-Ft!G$6)/(1+Ft!G$37*($A613-Ft!G$2)^2)+Ft!G$6*EXP(Ft!G$38*($A613-Ft!G$2)^2)),Ft!G$3*((1-Ft!G$7)/(1+Ft!G$39*($A613-Ft!G$2)^2)+Ft!G$7*EXP(Ft!G$40*($A613-Ft!G$2)^2)))</f>
        <v>2.8310553233835312E-3</v>
      </c>
      <c r="L613" s="3">
        <f>IF(($A613-Ft!H$2)&lt;0,Ft!H$3*((1-Ft!H$6)/(1+Ft!H$37*($A613-Ft!H$2)^2)+Ft!H$6*EXP(Ft!H$38*($A613-Ft!H$2)^2)),Ft!H$3*((1-Ft!H$7)/(1+Ft!H$39*($A613-Ft!H$2)^2)+Ft!H$7*EXP(Ft!H$40*($A613-Ft!H$2)^2)))</f>
        <v>0</v>
      </c>
      <c r="M613" s="3">
        <f>IF(($A613-Ft!I$2)&lt;0,Ft!I$3*((1-Ft!I$6)/(1+Ft!I$37*($A613-Ft!I$2)^2)+Ft!I$6*EXP(Ft!I$38*($A613-Ft!I$2)^2)),Ft!I$3*((1-Ft!I$7)/(1+Ft!I$39*($A613-Ft!I$2)^2)+Ft!I$7*EXP(Ft!I$40*($A613-Ft!I$2)^2)))</f>
        <v>0</v>
      </c>
      <c r="N613" s="3">
        <f>IF(($A613-Ft!J$2)&lt;0,Ft!J$3*((1-Ft!J$6)/(1+Ft!J$37*($A613-Ft!J$2)^2)+Ft!J$6*EXP(Ft!J$38*($A613-Ft!J$2)^2)),Ft!J$3*((1-Ft!J$7)/(1+Ft!J$39*($A613-Ft!J$2)^2)+Ft!J$7*EXP(Ft!J$40*($A613-Ft!J$2)^2)))</f>
        <v>0</v>
      </c>
      <c r="O613" s="3">
        <f>IF(($A613-Ft!K$2)&lt;0,Ft!K$3*((1-Ft!K$6)/(1+Ft!K$37*($A613-Ft!K$2)^2)+Ft!K$6*EXP(Ft!K$38*($A613-Ft!K$2)^2)),Ft!K$3*((1-Ft!K$7)/(1+Ft!K$39*($A613-Ft!K$2)^2)+Ft!K$7*EXP(Ft!K$40*($A613-Ft!K$2)^2)))</f>
        <v>0</v>
      </c>
      <c r="P613" s="29"/>
      <c r="Q613"/>
    </row>
    <row r="614" spans="1:17">
      <c r="A614" s="20">
        <v>1225</v>
      </c>
      <c r="B614" s="29">
        <v>7.2478763718792409</v>
      </c>
      <c r="C614" s="7">
        <f t="shared" si="19"/>
        <v>6.3813251205439112</v>
      </c>
      <c r="D614" s="3">
        <f t="shared" ref="D614:D677" si="20">(C614-B614)^2</f>
        <v>0.75091107119082579</v>
      </c>
      <c r="E614" s="3">
        <f>Ft!$B$12+Ft!$B$14*(Data!A614-Vars!$B$3)</f>
        <v>-200</v>
      </c>
      <c r="F614" s="3">
        <f>IF(($A614-Ft!B$2)&lt;0,Ft!B$3*((1-Ft!B$6)/(1+Ft!B$37*($A614-Ft!B$2)^2)+Ft!B$6*EXP(Ft!B$38*($A614-Ft!B$2)^2)),Ft!B$3*((1-Ft!B$7)/(1+Ft!B$39*($A614-Ft!B$2)^2)+Ft!B$7*EXP(Ft!B$40*($A614-Ft!B$2)^2)))</f>
        <v>1.2256969509054434</v>
      </c>
      <c r="G614" s="3">
        <f>IF(($A614-Ft!C$2)&lt;0,Ft!C$3*((1-Ft!C$6)/(1+Ft!C$37*($A614-Ft!C$2)^2)+Ft!C$6*EXP(Ft!C$38*($A614-Ft!C$2)^2)),Ft!C$3*((1-Ft!C$7)/(1+Ft!C$39*($A614-Ft!C$2)^2)+Ft!C$7*EXP(Ft!C$40*($A614-Ft!C$2)^2)))</f>
        <v>50.146468053086906</v>
      </c>
      <c r="H614" s="3">
        <f>IF(($A614-Ft!D$2)&lt;0,Ft!D$3*((1-Ft!D$6)/(1+Ft!D$37*($A614-Ft!D$2)^2)+Ft!D$6*EXP(Ft!D$38*($A614-Ft!D$2)^2)),Ft!D$3*((1-Ft!D$7)/(1+Ft!D$39*($A614-Ft!D$2)^2)+Ft!D$7*EXP(Ft!D$40*($A614-Ft!D$2)^2)))</f>
        <v>1.4971297604169647E-187</v>
      </c>
      <c r="I614" s="3">
        <f>IF(($A614-Ft!E$2)&lt;0,Ft!E$3*((1-Ft!E$6)/(1+Ft!E$37*($A614-Ft!E$2)^2)+Ft!E$6*EXP(Ft!E$38*($A614-Ft!E$2)^2)),Ft!E$3*((1-Ft!E$7)/(1+Ft!E$39*($A614-Ft!E$2)^2)+Ft!E$7*EXP(Ft!E$40*($A614-Ft!E$2)^2)))</f>
        <v>17.576778798236099</v>
      </c>
      <c r="J614" s="3">
        <f>IF(($A614-Ft!F$2)&lt;0,Ft!F$3*((1-Ft!F$6)/(1+Ft!F$37*($A614-Ft!F$2)^2)+Ft!F$6*EXP(Ft!F$38*($A614-Ft!F$2)^2)),Ft!F$3*((1-Ft!F$7)/(1+Ft!F$39*($A614-Ft!F$2)^2)+Ft!F$7*EXP(Ft!F$40*($A614-Ft!F$2)^2)))</f>
        <v>137.42967501803128</v>
      </c>
      <c r="K614" s="3">
        <f>IF(($A614-Ft!G$2)&lt;0,Ft!G$3*((1-Ft!G$6)/(1+Ft!G$37*($A614-Ft!G$2)^2)+Ft!G$6*EXP(Ft!G$38*($A614-Ft!G$2)^2)),Ft!G$3*((1-Ft!G$7)/(1+Ft!G$39*($A614-Ft!G$2)^2)+Ft!G$7*EXP(Ft!G$40*($A614-Ft!G$2)^2)))</f>
        <v>2.7063002842079445E-3</v>
      </c>
      <c r="L614" s="3">
        <f>IF(($A614-Ft!H$2)&lt;0,Ft!H$3*((1-Ft!H$6)/(1+Ft!H$37*($A614-Ft!H$2)^2)+Ft!H$6*EXP(Ft!H$38*($A614-Ft!H$2)^2)),Ft!H$3*((1-Ft!H$7)/(1+Ft!H$39*($A614-Ft!H$2)^2)+Ft!H$7*EXP(Ft!H$40*($A614-Ft!H$2)^2)))</f>
        <v>0</v>
      </c>
      <c r="M614" s="3">
        <f>IF(($A614-Ft!I$2)&lt;0,Ft!I$3*((1-Ft!I$6)/(1+Ft!I$37*($A614-Ft!I$2)^2)+Ft!I$6*EXP(Ft!I$38*($A614-Ft!I$2)^2)),Ft!I$3*((1-Ft!I$7)/(1+Ft!I$39*($A614-Ft!I$2)^2)+Ft!I$7*EXP(Ft!I$40*($A614-Ft!I$2)^2)))</f>
        <v>0</v>
      </c>
      <c r="N614" s="3">
        <f>IF(($A614-Ft!J$2)&lt;0,Ft!J$3*((1-Ft!J$6)/(1+Ft!J$37*($A614-Ft!J$2)^2)+Ft!J$6*EXP(Ft!J$38*($A614-Ft!J$2)^2)),Ft!J$3*((1-Ft!J$7)/(1+Ft!J$39*($A614-Ft!J$2)^2)+Ft!J$7*EXP(Ft!J$40*($A614-Ft!J$2)^2)))</f>
        <v>0</v>
      </c>
      <c r="O614" s="3">
        <f>IF(($A614-Ft!K$2)&lt;0,Ft!K$3*((1-Ft!K$6)/(1+Ft!K$37*($A614-Ft!K$2)^2)+Ft!K$6*EXP(Ft!K$38*($A614-Ft!K$2)^2)),Ft!K$3*((1-Ft!K$7)/(1+Ft!K$39*($A614-Ft!K$2)^2)+Ft!K$7*EXP(Ft!K$40*($A614-Ft!K$2)^2)))</f>
        <v>0</v>
      </c>
      <c r="P614" s="29"/>
      <c r="Q614"/>
    </row>
    <row r="615" spans="1:17">
      <c r="A615" s="20">
        <v>1227</v>
      </c>
      <c r="B615" s="29">
        <v>7.0631742307294427</v>
      </c>
      <c r="C615" s="7">
        <f t="shared" si="19"/>
        <v>6.2558437906279067</v>
      </c>
      <c r="D615" s="3">
        <f t="shared" si="20"/>
        <v>0.65178243951453974</v>
      </c>
      <c r="E615" s="3">
        <f>Ft!$B$12+Ft!$B$14*(Data!A615-Vars!$B$3)</f>
        <v>-200</v>
      </c>
      <c r="F615" s="3">
        <f>IF(($A615-Ft!B$2)&lt;0,Ft!B$3*((1-Ft!B$6)/(1+Ft!B$37*($A615-Ft!B$2)^2)+Ft!B$6*EXP(Ft!B$38*($A615-Ft!B$2)^2)),Ft!B$3*((1-Ft!B$7)/(1+Ft!B$39*($A615-Ft!B$2)^2)+Ft!B$7*EXP(Ft!B$40*($A615-Ft!B$2)^2)))</f>
        <v>1.2088782655926329</v>
      </c>
      <c r="G615" s="3">
        <f>IF(($A615-Ft!C$2)&lt;0,Ft!C$3*((1-Ft!C$6)/(1+Ft!C$37*($A615-Ft!C$2)^2)+Ft!C$6*EXP(Ft!C$38*($A615-Ft!C$2)^2)),Ft!C$3*((1-Ft!C$7)/(1+Ft!C$39*($A615-Ft!C$2)^2)+Ft!C$7*EXP(Ft!C$40*($A615-Ft!C$2)^2)))</f>
        <v>50.074775126496327</v>
      </c>
      <c r="H615" s="3">
        <f>IF(($A615-Ft!D$2)&lt;0,Ft!D$3*((1-Ft!D$6)/(1+Ft!D$37*($A615-Ft!D$2)^2)+Ft!D$6*EXP(Ft!D$38*($A615-Ft!D$2)^2)),Ft!D$3*((1-Ft!D$7)/(1+Ft!D$39*($A615-Ft!D$2)^2)+Ft!D$7*EXP(Ft!D$40*($A615-Ft!D$2)^2)))</f>
        <v>1.6874506752816047E-188</v>
      </c>
      <c r="I615" s="3">
        <f>IF(($A615-Ft!E$2)&lt;0,Ft!E$3*((1-Ft!E$6)/(1+Ft!E$37*($A615-Ft!E$2)^2)+Ft!E$6*EXP(Ft!E$38*($A615-Ft!E$2)^2)),Ft!E$3*((1-Ft!E$7)/(1+Ft!E$39*($A615-Ft!E$2)^2)+Ft!E$7*EXP(Ft!E$40*($A615-Ft!E$2)^2)))</f>
        <v>17.320748949477995</v>
      </c>
      <c r="J615" s="3">
        <f>IF(($A615-Ft!F$2)&lt;0,Ft!F$3*((1-Ft!F$6)/(1+Ft!F$37*($A615-Ft!F$2)^2)+Ft!F$6*EXP(Ft!F$38*($A615-Ft!F$2)^2)),Ft!F$3*((1-Ft!F$7)/(1+Ft!F$39*($A615-Ft!F$2)^2)+Ft!F$7*EXP(Ft!F$40*($A615-Ft!F$2)^2)))</f>
        <v>137.64885467480065</v>
      </c>
      <c r="K615" s="3">
        <f>IF(($A615-Ft!G$2)&lt;0,Ft!G$3*((1-Ft!G$6)/(1+Ft!G$37*($A615-Ft!G$2)^2)+Ft!G$6*EXP(Ft!G$38*($A615-Ft!G$2)^2)),Ft!G$3*((1-Ft!G$7)/(1+Ft!G$39*($A615-Ft!G$2)^2)+Ft!G$7*EXP(Ft!G$40*($A615-Ft!G$2)^2)))</f>
        <v>2.5867742603085213E-3</v>
      </c>
      <c r="L615" s="3">
        <f>IF(($A615-Ft!H$2)&lt;0,Ft!H$3*((1-Ft!H$6)/(1+Ft!H$37*($A615-Ft!H$2)^2)+Ft!H$6*EXP(Ft!H$38*($A615-Ft!H$2)^2)),Ft!H$3*((1-Ft!H$7)/(1+Ft!H$39*($A615-Ft!H$2)^2)+Ft!H$7*EXP(Ft!H$40*($A615-Ft!H$2)^2)))</f>
        <v>0</v>
      </c>
      <c r="M615" s="3">
        <f>IF(($A615-Ft!I$2)&lt;0,Ft!I$3*((1-Ft!I$6)/(1+Ft!I$37*($A615-Ft!I$2)^2)+Ft!I$6*EXP(Ft!I$38*($A615-Ft!I$2)^2)),Ft!I$3*((1-Ft!I$7)/(1+Ft!I$39*($A615-Ft!I$2)^2)+Ft!I$7*EXP(Ft!I$40*($A615-Ft!I$2)^2)))</f>
        <v>0</v>
      </c>
      <c r="N615" s="3">
        <f>IF(($A615-Ft!J$2)&lt;0,Ft!J$3*((1-Ft!J$6)/(1+Ft!J$37*($A615-Ft!J$2)^2)+Ft!J$6*EXP(Ft!J$38*($A615-Ft!J$2)^2)),Ft!J$3*((1-Ft!J$7)/(1+Ft!J$39*($A615-Ft!J$2)^2)+Ft!J$7*EXP(Ft!J$40*($A615-Ft!J$2)^2)))</f>
        <v>0</v>
      </c>
      <c r="O615" s="3">
        <f>IF(($A615-Ft!K$2)&lt;0,Ft!K$3*((1-Ft!K$6)/(1+Ft!K$37*($A615-Ft!K$2)^2)+Ft!K$6*EXP(Ft!K$38*($A615-Ft!K$2)^2)),Ft!K$3*((1-Ft!K$7)/(1+Ft!K$39*($A615-Ft!K$2)^2)+Ft!K$7*EXP(Ft!K$40*($A615-Ft!K$2)^2)))</f>
        <v>0</v>
      </c>
      <c r="P615" s="29"/>
      <c r="Q615"/>
    </row>
    <row r="616" spans="1:17">
      <c r="A616" s="20">
        <v>1229</v>
      </c>
      <c r="B616" s="29">
        <v>6.8972354823910518</v>
      </c>
      <c r="C616" s="7">
        <f t="shared" si="19"/>
        <v>6.1315097764364825</v>
      </c>
      <c r="D616" s="3">
        <f t="shared" si="20"/>
        <v>0.58633585675962341</v>
      </c>
      <c r="E616" s="3">
        <f>Ft!$B$12+Ft!$B$14*(Data!A616-Vars!$B$3)</f>
        <v>-200</v>
      </c>
      <c r="F616" s="3">
        <f>IF(($A616-Ft!B$2)&lt;0,Ft!B$3*((1-Ft!B$6)/(1+Ft!B$37*($A616-Ft!B$2)^2)+Ft!B$6*EXP(Ft!B$38*($A616-Ft!B$2)^2)),Ft!B$3*((1-Ft!B$7)/(1+Ft!B$39*($A616-Ft!B$2)^2)+Ft!B$7*EXP(Ft!B$40*($A616-Ft!B$2)^2)))</f>
        <v>1.1922676050511849</v>
      </c>
      <c r="G616" s="3">
        <f>IF(($A616-Ft!C$2)&lt;0,Ft!C$3*((1-Ft!C$6)/(1+Ft!C$37*($A616-Ft!C$2)^2)+Ft!C$6*EXP(Ft!C$38*($A616-Ft!C$2)^2)),Ft!C$3*((1-Ft!C$7)/(1+Ft!C$39*($A616-Ft!C$2)^2)+Ft!C$7*EXP(Ft!C$40*($A616-Ft!C$2)^2)))</f>
        <v>50.002742882310386</v>
      </c>
      <c r="H616" s="3">
        <f>IF(($A616-Ft!D$2)&lt;0,Ft!D$3*((1-Ft!D$6)/(1+Ft!D$37*($A616-Ft!D$2)^2)+Ft!D$6*EXP(Ft!D$38*($A616-Ft!D$2)^2)),Ft!D$3*((1-Ft!D$7)/(1+Ft!D$39*($A616-Ft!D$2)^2)+Ft!D$7*EXP(Ft!D$40*($A616-Ft!D$2)^2)))</f>
        <v>1.8915020566343951E-189</v>
      </c>
      <c r="I616" s="3">
        <f>IF(($A616-Ft!E$2)&lt;0,Ft!E$3*((1-Ft!E$6)/(1+Ft!E$37*($A616-Ft!E$2)^2)+Ft!E$6*EXP(Ft!E$38*($A616-Ft!E$2)^2)),Ft!E$3*((1-Ft!E$7)/(1+Ft!E$39*($A616-Ft!E$2)^2)+Ft!E$7*EXP(Ft!E$40*($A616-Ft!E$2)^2)))</f>
        <v>17.067458902163416</v>
      </c>
      <c r="J616" s="3">
        <f>IF(($A616-Ft!F$2)&lt;0,Ft!F$3*((1-Ft!F$6)/(1+Ft!F$37*($A616-Ft!F$2)^2)+Ft!F$6*EXP(Ft!F$38*($A616-Ft!F$2)^2)),Ft!F$3*((1-Ft!F$7)/(1+Ft!F$39*($A616-Ft!F$2)^2)+Ft!F$7*EXP(Ft!F$40*($A616-Ft!F$2)^2)))</f>
        <v>137.86656811633958</v>
      </c>
      <c r="K616" s="3">
        <f>IF(($A616-Ft!G$2)&lt;0,Ft!G$3*((1-Ft!G$6)/(1+Ft!G$37*($A616-Ft!G$2)^2)+Ft!G$6*EXP(Ft!G$38*($A616-Ft!G$2)^2)),Ft!G$3*((1-Ft!G$7)/(1+Ft!G$39*($A616-Ft!G$2)^2)+Ft!G$7*EXP(Ft!G$40*($A616-Ft!G$2)^2)))</f>
        <v>2.4722705719085365E-3</v>
      </c>
      <c r="L616" s="3">
        <f>IF(($A616-Ft!H$2)&lt;0,Ft!H$3*((1-Ft!H$6)/(1+Ft!H$37*($A616-Ft!H$2)^2)+Ft!H$6*EXP(Ft!H$38*($A616-Ft!H$2)^2)),Ft!H$3*((1-Ft!H$7)/(1+Ft!H$39*($A616-Ft!H$2)^2)+Ft!H$7*EXP(Ft!H$40*($A616-Ft!H$2)^2)))</f>
        <v>0</v>
      </c>
      <c r="M616" s="3">
        <f>IF(($A616-Ft!I$2)&lt;0,Ft!I$3*((1-Ft!I$6)/(1+Ft!I$37*($A616-Ft!I$2)^2)+Ft!I$6*EXP(Ft!I$38*($A616-Ft!I$2)^2)),Ft!I$3*((1-Ft!I$7)/(1+Ft!I$39*($A616-Ft!I$2)^2)+Ft!I$7*EXP(Ft!I$40*($A616-Ft!I$2)^2)))</f>
        <v>0</v>
      </c>
      <c r="N616" s="3">
        <f>IF(($A616-Ft!J$2)&lt;0,Ft!J$3*((1-Ft!J$6)/(1+Ft!J$37*($A616-Ft!J$2)^2)+Ft!J$6*EXP(Ft!J$38*($A616-Ft!J$2)^2)),Ft!J$3*((1-Ft!J$7)/(1+Ft!J$39*($A616-Ft!J$2)^2)+Ft!J$7*EXP(Ft!J$40*($A616-Ft!J$2)^2)))</f>
        <v>0</v>
      </c>
      <c r="O616" s="3">
        <f>IF(($A616-Ft!K$2)&lt;0,Ft!K$3*((1-Ft!K$6)/(1+Ft!K$37*($A616-Ft!K$2)^2)+Ft!K$6*EXP(Ft!K$38*($A616-Ft!K$2)^2)),Ft!K$3*((1-Ft!K$7)/(1+Ft!K$39*($A616-Ft!K$2)^2)+Ft!K$7*EXP(Ft!K$40*($A616-Ft!K$2)^2)))</f>
        <v>0</v>
      </c>
      <c r="P616" s="29"/>
      <c r="Q616"/>
    </row>
    <row r="617" spans="1:17">
      <c r="A617" s="20">
        <v>1231</v>
      </c>
      <c r="B617" s="29">
        <v>6.739004086722586</v>
      </c>
      <c r="C617" s="7">
        <f t="shared" si="19"/>
        <v>6.0083034431630375</v>
      </c>
      <c r="D617" s="3">
        <f t="shared" si="20"/>
        <v>0.53392343049833824</v>
      </c>
      <c r="E617" s="3">
        <f>Ft!$B$12+Ft!$B$14*(Data!A617-Vars!$B$3)</f>
        <v>-200</v>
      </c>
      <c r="F617" s="3">
        <f>IF(($A617-Ft!B$2)&lt;0,Ft!B$3*((1-Ft!B$6)/(1+Ft!B$37*($A617-Ft!B$2)^2)+Ft!B$6*EXP(Ft!B$38*($A617-Ft!B$2)^2)),Ft!B$3*((1-Ft!B$7)/(1+Ft!B$39*($A617-Ft!B$2)^2)+Ft!B$7*EXP(Ft!B$40*($A617-Ft!B$2)^2)))</f>
        <v>1.1758627406294062</v>
      </c>
      <c r="G617" s="3">
        <f>IF(($A617-Ft!C$2)&lt;0,Ft!C$3*((1-Ft!C$6)/(1+Ft!C$37*($A617-Ft!C$2)^2)+Ft!C$6*EXP(Ft!C$38*($A617-Ft!C$2)^2)),Ft!C$3*((1-Ft!C$7)/(1+Ft!C$39*($A617-Ft!C$2)^2)+Ft!C$7*EXP(Ft!C$40*($A617-Ft!C$2)^2)))</f>
        <v>49.930373080635292</v>
      </c>
      <c r="H617" s="3">
        <f>IF(($A617-Ft!D$2)&lt;0,Ft!D$3*((1-Ft!D$6)/(1+Ft!D$37*($A617-Ft!D$2)^2)+Ft!D$6*EXP(Ft!D$38*($A617-Ft!D$2)^2)),Ft!D$3*((1-Ft!D$7)/(1+Ft!D$39*($A617-Ft!D$2)^2)+Ft!D$7*EXP(Ft!D$40*($A617-Ft!D$2)^2)))</f>
        <v>2.1085632629899072E-190</v>
      </c>
      <c r="I617" s="3">
        <f>IF(($A617-Ft!E$2)&lt;0,Ft!E$3*((1-Ft!E$6)/(1+Ft!E$37*($A617-Ft!E$2)^2)+Ft!E$6*EXP(Ft!E$38*($A617-Ft!E$2)^2)),Ft!E$3*((1-Ft!E$7)/(1+Ft!E$39*($A617-Ft!E$2)^2)+Ft!E$7*EXP(Ft!E$40*($A617-Ft!E$2)^2)))</f>
        <v>16.816897747409513</v>
      </c>
      <c r="J617" s="3">
        <f>IF(($A617-Ft!F$2)&lt;0,Ft!F$3*((1-Ft!F$6)/(1+Ft!F$37*($A617-Ft!F$2)^2)+Ft!F$6*EXP(Ft!F$38*($A617-Ft!F$2)^2)),Ft!F$3*((1-Ft!F$7)/(1+Ft!F$39*($A617-Ft!F$2)^2)+Ft!F$7*EXP(Ft!F$40*($A617-Ft!F$2)^2)))</f>
        <v>138.08280728434039</v>
      </c>
      <c r="K617" s="3">
        <f>IF(($A617-Ft!G$2)&lt;0,Ft!G$3*((1-Ft!G$6)/(1+Ft!G$37*($A617-Ft!G$2)^2)+Ft!G$6*EXP(Ft!G$38*($A617-Ft!G$2)^2)),Ft!G$3*((1-Ft!G$7)/(1+Ft!G$39*($A617-Ft!G$2)^2)+Ft!G$7*EXP(Ft!G$40*($A617-Ft!G$2)^2)))</f>
        <v>2.362590148430088E-3</v>
      </c>
      <c r="L617" s="3">
        <f>IF(($A617-Ft!H$2)&lt;0,Ft!H$3*((1-Ft!H$6)/(1+Ft!H$37*($A617-Ft!H$2)^2)+Ft!H$6*EXP(Ft!H$38*($A617-Ft!H$2)^2)),Ft!H$3*((1-Ft!H$7)/(1+Ft!H$39*($A617-Ft!H$2)^2)+Ft!H$7*EXP(Ft!H$40*($A617-Ft!H$2)^2)))</f>
        <v>0</v>
      </c>
      <c r="M617" s="3">
        <f>IF(($A617-Ft!I$2)&lt;0,Ft!I$3*((1-Ft!I$6)/(1+Ft!I$37*($A617-Ft!I$2)^2)+Ft!I$6*EXP(Ft!I$38*($A617-Ft!I$2)^2)),Ft!I$3*((1-Ft!I$7)/(1+Ft!I$39*($A617-Ft!I$2)^2)+Ft!I$7*EXP(Ft!I$40*($A617-Ft!I$2)^2)))</f>
        <v>0</v>
      </c>
      <c r="N617" s="3">
        <f>IF(($A617-Ft!J$2)&lt;0,Ft!J$3*((1-Ft!J$6)/(1+Ft!J$37*($A617-Ft!J$2)^2)+Ft!J$6*EXP(Ft!J$38*($A617-Ft!J$2)^2)),Ft!J$3*((1-Ft!J$7)/(1+Ft!J$39*($A617-Ft!J$2)^2)+Ft!J$7*EXP(Ft!J$40*($A617-Ft!J$2)^2)))</f>
        <v>0</v>
      </c>
      <c r="O617" s="3">
        <f>IF(($A617-Ft!K$2)&lt;0,Ft!K$3*((1-Ft!K$6)/(1+Ft!K$37*($A617-Ft!K$2)^2)+Ft!K$6*EXP(Ft!K$38*($A617-Ft!K$2)^2)),Ft!K$3*((1-Ft!K$7)/(1+Ft!K$39*($A617-Ft!K$2)^2)+Ft!K$7*EXP(Ft!K$40*($A617-Ft!K$2)^2)))</f>
        <v>0</v>
      </c>
      <c r="P617" s="29"/>
      <c r="Q617"/>
    </row>
    <row r="618" spans="1:17">
      <c r="A618" s="20">
        <v>1233</v>
      </c>
      <c r="B618" s="29">
        <v>6.5814180030951421</v>
      </c>
      <c r="C618" s="7">
        <f t="shared" si="19"/>
        <v>5.8862049229628068</v>
      </c>
      <c r="D618" s="3">
        <f t="shared" si="20"/>
        <v>0.48332122678708883</v>
      </c>
      <c r="E618" s="3">
        <f>Ft!$B$12+Ft!$B$14*(Data!A618-Vars!$B$3)</f>
        <v>-200</v>
      </c>
      <c r="F618" s="3">
        <f>IF(($A618-Ft!B$2)&lt;0,Ft!B$3*((1-Ft!B$6)/(1+Ft!B$37*($A618-Ft!B$2)^2)+Ft!B$6*EXP(Ft!B$38*($A618-Ft!B$2)^2)),Ft!B$3*((1-Ft!B$7)/(1+Ft!B$39*($A618-Ft!B$2)^2)+Ft!B$7*EXP(Ft!B$40*($A618-Ft!B$2)^2)))</f>
        <v>1.1596614626167492</v>
      </c>
      <c r="G618" s="3">
        <f>IF(($A618-Ft!C$2)&lt;0,Ft!C$3*((1-Ft!C$6)/(1+Ft!C$37*($A618-Ft!C$2)^2)+Ft!C$6*EXP(Ft!C$38*($A618-Ft!C$2)^2)),Ft!C$3*((1-Ft!C$7)/(1+Ft!C$39*($A618-Ft!C$2)^2)+Ft!C$7*EXP(Ft!C$40*($A618-Ft!C$2)^2)))</f>
        <v>49.857667487978844</v>
      </c>
      <c r="H618" s="3">
        <f>IF(($A618-Ft!D$2)&lt;0,Ft!D$3*((1-Ft!D$6)/(1+Ft!D$37*($A618-Ft!D$2)^2)+Ft!D$6*EXP(Ft!D$38*($A618-Ft!D$2)^2)),Ft!D$3*((1-Ft!D$7)/(1+Ft!D$39*($A618-Ft!D$2)^2)+Ft!D$7*EXP(Ft!D$40*($A618-Ft!D$2)^2)))</f>
        <v>2.3376018404169605E-191</v>
      </c>
      <c r="I618" s="3">
        <f>IF(($A618-Ft!E$2)&lt;0,Ft!E$3*((1-Ft!E$6)/(1+Ft!E$37*($A618-Ft!E$2)^2)+Ft!E$6*EXP(Ft!E$38*($A618-Ft!E$2)^2)),Ft!E$3*((1-Ft!E$7)/(1+Ft!E$39*($A618-Ft!E$2)^2)+Ft!E$7*EXP(Ft!E$40*($A618-Ft!E$2)^2)))</f>
        <v>16.56905426499571</v>
      </c>
      <c r="J618" s="3">
        <f>IF(($A618-Ft!F$2)&lt;0,Ft!F$3*((1-Ft!F$6)/(1+Ft!F$37*($A618-Ft!F$2)^2)+Ft!F$6*EXP(Ft!F$38*($A618-Ft!F$2)^2)),Ft!F$3*((1-Ft!F$7)/(1+Ft!F$39*($A618-Ft!F$2)^2)+Ft!F$7*EXP(Ft!F$40*($A618-Ft!F$2)^2)))</f>
        <v>138.29756416609902</v>
      </c>
      <c r="K618" s="3">
        <f>IF(($A618-Ft!G$2)&lt;0,Ft!G$3*((1-Ft!G$6)/(1+Ft!G$37*($A618-Ft!G$2)^2)+Ft!G$6*EXP(Ft!G$38*($A618-Ft!G$2)^2)),Ft!G$3*((1-Ft!G$7)/(1+Ft!G$39*($A618-Ft!G$2)^2)+Ft!G$7*EXP(Ft!G$40*($A618-Ft!G$2)^2)))</f>
        <v>2.2575412724876441E-3</v>
      </c>
      <c r="L618" s="3">
        <f>IF(($A618-Ft!H$2)&lt;0,Ft!H$3*((1-Ft!H$6)/(1+Ft!H$37*($A618-Ft!H$2)^2)+Ft!H$6*EXP(Ft!H$38*($A618-Ft!H$2)^2)),Ft!H$3*((1-Ft!H$7)/(1+Ft!H$39*($A618-Ft!H$2)^2)+Ft!H$7*EXP(Ft!H$40*($A618-Ft!H$2)^2)))</f>
        <v>0</v>
      </c>
      <c r="M618" s="3">
        <f>IF(($A618-Ft!I$2)&lt;0,Ft!I$3*((1-Ft!I$6)/(1+Ft!I$37*($A618-Ft!I$2)^2)+Ft!I$6*EXP(Ft!I$38*($A618-Ft!I$2)^2)),Ft!I$3*((1-Ft!I$7)/(1+Ft!I$39*($A618-Ft!I$2)^2)+Ft!I$7*EXP(Ft!I$40*($A618-Ft!I$2)^2)))</f>
        <v>0</v>
      </c>
      <c r="N618" s="3">
        <f>IF(($A618-Ft!J$2)&lt;0,Ft!J$3*((1-Ft!J$6)/(1+Ft!J$37*($A618-Ft!J$2)^2)+Ft!J$6*EXP(Ft!J$38*($A618-Ft!J$2)^2)),Ft!J$3*((1-Ft!J$7)/(1+Ft!J$39*($A618-Ft!J$2)^2)+Ft!J$7*EXP(Ft!J$40*($A618-Ft!J$2)^2)))</f>
        <v>0</v>
      </c>
      <c r="O618" s="3">
        <f>IF(($A618-Ft!K$2)&lt;0,Ft!K$3*((1-Ft!K$6)/(1+Ft!K$37*($A618-Ft!K$2)^2)+Ft!K$6*EXP(Ft!K$38*($A618-Ft!K$2)^2)),Ft!K$3*((1-Ft!K$7)/(1+Ft!K$39*($A618-Ft!K$2)^2)+Ft!K$7*EXP(Ft!K$40*($A618-Ft!K$2)^2)))</f>
        <v>0</v>
      </c>
      <c r="P618"/>
      <c r="Q618"/>
    </row>
    <row r="619" spans="1:17">
      <c r="A619" s="20">
        <v>1235</v>
      </c>
      <c r="B619" s="29">
        <v>6.41432018490584</v>
      </c>
      <c r="C619" s="7">
        <f t="shared" si="19"/>
        <v>5.765194122187193</v>
      </c>
      <c r="D619" s="3">
        <f t="shared" si="20"/>
        <v>0.42136464530061291</v>
      </c>
      <c r="E619" s="3">
        <f>Ft!$B$12+Ft!$B$14*(Data!A619-Vars!$B$3)</f>
        <v>-200</v>
      </c>
      <c r="F619" s="3">
        <f>IF(($A619-Ft!B$2)&lt;0,Ft!B$3*((1-Ft!B$6)/(1+Ft!B$37*($A619-Ft!B$2)^2)+Ft!B$6*EXP(Ft!B$38*($A619-Ft!B$2)^2)),Ft!B$3*((1-Ft!B$7)/(1+Ft!B$39*($A619-Ft!B$2)^2)+Ft!B$7*EXP(Ft!B$40*($A619-Ft!B$2)^2)))</f>
        <v>1.1436615801507302</v>
      </c>
      <c r="G619" s="3">
        <f>IF(($A619-Ft!C$2)&lt;0,Ft!C$3*((1-Ft!C$6)/(1+Ft!C$37*($A619-Ft!C$2)^2)+Ft!C$6*EXP(Ft!C$38*($A619-Ft!C$2)^2)),Ft!C$3*((1-Ft!C$7)/(1+Ft!C$39*($A619-Ft!C$2)^2)+Ft!C$7*EXP(Ft!C$40*($A619-Ft!C$2)^2)))</f>
        <v>49.784627877178735</v>
      </c>
      <c r="H619" s="3">
        <f>IF(($A619-Ft!D$2)&lt;0,Ft!D$3*((1-Ft!D$6)/(1+Ft!D$37*($A619-Ft!D$2)^2)+Ft!D$6*EXP(Ft!D$38*($A619-Ft!D$2)^2)),Ft!D$3*((1-Ft!D$7)/(1+Ft!D$39*($A619-Ft!D$2)^2)+Ft!D$7*EXP(Ft!D$40*($A619-Ft!D$2)^2)))</f>
        <v>2.5772617748160063E-192</v>
      </c>
      <c r="I619" s="3">
        <f>IF(($A619-Ft!E$2)&lt;0,Ft!E$3*((1-Ft!E$6)/(1+Ft!E$37*($A619-Ft!E$2)^2)+Ft!E$6*EXP(Ft!E$38*($A619-Ft!E$2)^2)),Ft!E$3*((1-Ft!E$7)/(1+Ft!E$39*($A619-Ft!E$2)^2)+Ft!E$7*EXP(Ft!E$40*($A619-Ft!E$2)^2)))</f>
        <v>16.323916930517331</v>
      </c>
      <c r="J619" s="3">
        <f>IF(($A619-Ft!F$2)&lt;0,Ft!F$3*((1-Ft!F$6)/(1+Ft!F$37*($A619-Ft!F$2)^2)+Ft!F$6*EXP(Ft!F$38*($A619-Ft!F$2)^2)),Ft!F$3*((1-Ft!F$7)/(1+Ft!F$39*($A619-Ft!F$2)^2)+Ft!F$7*EXP(Ft!F$40*($A619-Ft!F$2)^2)))</f>
        <v>138.5108307950089</v>
      </c>
      <c r="K619" s="3">
        <f>IF(($A619-Ft!G$2)&lt;0,Ft!G$3*((1-Ft!G$6)/(1+Ft!G$37*($A619-Ft!G$2)^2)+Ft!G$6*EXP(Ft!G$38*($A619-Ft!G$2)^2)),Ft!G$3*((1-Ft!G$7)/(1+Ft!G$39*($A619-Ft!G$2)^2)+Ft!G$7*EXP(Ft!G$40*($A619-Ft!G$2)^2)))</f>
        <v>2.1569393314951934E-3</v>
      </c>
      <c r="L619" s="3">
        <f>IF(($A619-Ft!H$2)&lt;0,Ft!H$3*((1-Ft!H$6)/(1+Ft!H$37*($A619-Ft!H$2)^2)+Ft!H$6*EXP(Ft!H$38*($A619-Ft!H$2)^2)),Ft!H$3*((1-Ft!H$7)/(1+Ft!H$39*($A619-Ft!H$2)^2)+Ft!H$7*EXP(Ft!H$40*($A619-Ft!H$2)^2)))</f>
        <v>0</v>
      </c>
      <c r="M619" s="3">
        <f>IF(($A619-Ft!I$2)&lt;0,Ft!I$3*((1-Ft!I$6)/(1+Ft!I$37*($A619-Ft!I$2)^2)+Ft!I$6*EXP(Ft!I$38*($A619-Ft!I$2)^2)),Ft!I$3*((1-Ft!I$7)/(1+Ft!I$39*($A619-Ft!I$2)^2)+Ft!I$7*EXP(Ft!I$40*($A619-Ft!I$2)^2)))</f>
        <v>0</v>
      </c>
      <c r="N619" s="3">
        <f>IF(($A619-Ft!J$2)&lt;0,Ft!J$3*((1-Ft!J$6)/(1+Ft!J$37*($A619-Ft!J$2)^2)+Ft!J$6*EXP(Ft!J$38*($A619-Ft!J$2)^2)),Ft!J$3*((1-Ft!J$7)/(1+Ft!J$39*($A619-Ft!J$2)^2)+Ft!J$7*EXP(Ft!J$40*($A619-Ft!J$2)^2)))</f>
        <v>0</v>
      </c>
      <c r="O619" s="3">
        <f>IF(($A619-Ft!K$2)&lt;0,Ft!K$3*((1-Ft!K$6)/(1+Ft!K$37*($A619-Ft!K$2)^2)+Ft!K$6*EXP(Ft!K$38*($A619-Ft!K$2)^2)),Ft!K$3*((1-Ft!K$7)/(1+Ft!K$39*($A619-Ft!K$2)^2)+Ft!K$7*EXP(Ft!K$40*($A619-Ft!K$2)^2)))</f>
        <v>0</v>
      </c>
      <c r="P619"/>
      <c r="Q619"/>
    </row>
    <row r="620" spans="1:17">
      <c r="A620" s="20">
        <v>1237</v>
      </c>
      <c r="B620" s="29">
        <v>6.2437956542216488</v>
      </c>
      <c r="C620" s="7">
        <f t="shared" si="19"/>
        <v>5.6452507286049727</v>
      </c>
      <c r="D620" s="3">
        <f t="shared" si="20"/>
        <v>0.35825602798147238</v>
      </c>
      <c r="E620" s="3">
        <f>Ft!$B$12+Ft!$B$14*(Data!A620-Vars!$B$3)</f>
        <v>-200</v>
      </c>
      <c r="F620" s="3">
        <f>IF(($A620-Ft!B$2)&lt;0,Ft!B$3*((1-Ft!B$6)/(1+Ft!B$37*($A620-Ft!B$2)^2)+Ft!B$6*EXP(Ft!B$38*($A620-Ft!B$2)^2)),Ft!B$3*((1-Ft!B$7)/(1+Ft!B$39*($A620-Ft!B$2)^2)+Ft!B$7*EXP(Ft!B$40*($A620-Ft!B$2)^2)))</f>
        <v>1.1278609211233497</v>
      </c>
      <c r="G620" s="3">
        <f>IF(($A620-Ft!C$2)&lt;0,Ft!C$3*((1-Ft!C$6)/(1+Ft!C$37*($A620-Ft!C$2)^2)+Ft!C$6*EXP(Ft!C$38*($A620-Ft!C$2)^2)),Ft!C$3*((1-Ft!C$7)/(1+Ft!C$39*($A620-Ft!C$2)^2)+Ft!C$7*EXP(Ft!C$40*($A620-Ft!C$2)^2)))</f>
        <v>49.711256027330798</v>
      </c>
      <c r="H620" s="3">
        <f>IF(($A620-Ft!D$2)&lt;0,Ft!D$3*((1-Ft!D$6)/(1+Ft!D$37*($A620-Ft!D$2)^2)+Ft!D$6*EXP(Ft!D$38*($A620-Ft!D$2)^2)),Ft!D$3*((1-Ft!D$7)/(1+Ft!D$39*($A620-Ft!D$2)^2)+Ft!D$7*EXP(Ft!D$40*($A620-Ft!D$2)^2)))</f>
        <v>2.8258598014235982E-193</v>
      </c>
      <c r="I620" s="3">
        <f>IF(($A620-Ft!E$2)&lt;0,Ft!E$3*((1-Ft!E$6)/(1+Ft!E$37*($A620-Ft!E$2)^2)+Ft!E$6*EXP(Ft!E$38*($A620-Ft!E$2)^2)),Ft!E$3*((1-Ft!E$7)/(1+Ft!E$39*($A620-Ft!E$2)^2)+Ft!E$7*EXP(Ft!E$40*($A620-Ft!E$2)^2)))</f>
        <v>16.08147392252139</v>
      </c>
      <c r="J620" s="3">
        <f>IF(($A620-Ft!F$2)&lt;0,Ft!F$3*((1-Ft!F$6)/(1+Ft!F$37*($A620-Ft!F$2)^2)+Ft!F$6*EXP(Ft!F$38*($A620-Ft!F$2)^2)),Ft!F$3*((1-Ft!F$7)/(1+Ft!F$39*($A620-Ft!F$2)^2)+Ft!F$7*EXP(Ft!F$40*($A620-Ft!F$2)^2)))</f>
        <v>138.72259925105274</v>
      </c>
      <c r="K620" s="3">
        <f>IF(($A620-Ft!G$2)&lt;0,Ft!G$3*((1-Ft!G$6)/(1+Ft!G$37*($A620-Ft!G$2)^2)+Ft!G$6*EXP(Ft!G$38*($A620-Ft!G$2)^2)),Ft!G$3*((1-Ft!G$7)/(1+Ft!G$39*($A620-Ft!G$2)^2)+Ft!G$7*EXP(Ft!G$40*($A620-Ft!G$2)^2)))</f>
        <v>2.0606065767005202E-3</v>
      </c>
      <c r="L620" s="3">
        <f>IF(($A620-Ft!H$2)&lt;0,Ft!H$3*((1-Ft!H$6)/(1+Ft!H$37*($A620-Ft!H$2)^2)+Ft!H$6*EXP(Ft!H$38*($A620-Ft!H$2)^2)),Ft!H$3*((1-Ft!H$7)/(1+Ft!H$39*($A620-Ft!H$2)^2)+Ft!H$7*EXP(Ft!H$40*($A620-Ft!H$2)^2)))</f>
        <v>0</v>
      </c>
      <c r="M620" s="3">
        <f>IF(($A620-Ft!I$2)&lt;0,Ft!I$3*((1-Ft!I$6)/(1+Ft!I$37*($A620-Ft!I$2)^2)+Ft!I$6*EXP(Ft!I$38*($A620-Ft!I$2)^2)),Ft!I$3*((1-Ft!I$7)/(1+Ft!I$39*($A620-Ft!I$2)^2)+Ft!I$7*EXP(Ft!I$40*($A620-Ft!I$2)^2)))</f>
        <v>0</v>
      </c>
      <c r="N620" s="3">
        <f>IF(($A620-Ft!J$2)&lt;0,Ft!J$3*((1-Ft!J$6)/(1+Ft!J$37*($A620-Ft!J$2)^2)+Ft!J$6*EXP(Ft!J$38*($A620-Ft!J$2)^2)),Ft!J$3*((1-Ft!J$7)/(1+Ft!J$39*($A620-Ft!J$2)^2)+Ft!J$7*EXP(Ft!J$40*($A620-Ft!J$2)^2)))</f>
        <v>0</v>
      </c>
      <c r="O620" s="3">
        <f>IF(($A620-Ft!K$2)&lt;0,Ft!K$3*((1-Ft!K$6)/(1+Ft!K$37*($A620-Ft!K$2)^2)+Ft!K$6*EXP(Ft!K$38*($A620-Ft!K$2)^2)),Ft!K$3*((1-Ft!K$7)/(1+Ft!K$39*($A620-Ft!K$2)^2)+Ft!K$7*EXP(Ft!K$40*($A620-Ft!K$2)^2)))</f>
        <v>0</v>
      </c>
      <c r="P620"/>
      <c r="Q620"/>
    </row>
    <row r="621" spans="1:17">
      <c r="A621" s="20">
        <v>1239</v>
      </c>
      <c r="B621" s="29">
        <v>6.0603113111269158</v>
      </c>
      <c r="C621" s="7">
        <f t="shared" si="19"/>
        <v>5.5263542186078798</v>
      </c>
      <c r="D621" s="3">
        <f t="shared" si="20"/>
        <v>0.28511017665138239</v>
      </c>
      <c r="E621" s="3">
        <f>Ft!$B$12+Ft!$B$14*(Data!A621-Vars!$B$3)</f>
        <v>-200</v>
      </c>
      <c r="F621" s="3">
        <f>IF(($A621-Ft!B$2)&lt;0,Ft!B$3*((1-Ft!B$6)/(1+Ft!B$37*($A621-Ft!B$2)^2)+Ft!B$6*EXP(Ft!B$38*($A621-Ft!B$2)^2)),Ft!B$3*((1-Ft!B$7)/(1+Ft!B$39*($A621-Ft!B$2)^2)+Ft!B$7*EXP(Ft!B$40*($A621-Ft!B$2)^2)))</f>
        <v>1.1122573320870239</v>
      </c>
      <c r="G621" s="3">
        <f>IF(($A621-Ft!C$2)&lt;0,Ft!C$3*((1-Ft!C$6)/(1+Ft!C$37*($A621-Ft!C$2)^2)+Ft!C$6*EXP(Ft!C$38*($A621-Ft!C$2)^2)),Ft!C$3*((1-Ft!C$7)/(1+Ft!C$39*($A621-Ft!C$2)^2)+Ft!C$7*EXP(Ft!C$40*($A621-Ft!C$2)^2)))</f>
        <v>49.637553723716934</v>
      </c>
      <c r="H621" s="3">
        <f>IF(($A621-Ft!D$2)&lt;0,Ft!D$3*((1-Ft!D$6)/(1+Ft!D$37*($A621-Ft!D$2)^2)+Ft!D$6*EXP(Ft!D$38*($A621-Ft!D$2)^2)),Ft!D$3*((1-Ft!D$7)/(1+Ft!D$39*($A621-Ft!D$2)^2)+Ft!D$7*EXP(Ft!D$40*($A621-Ft!D$2)^2)))</f>
        <v>3.081390772101171E-194</v>
      </c>
      <c r="I621" s="3">
        <f>IF(($A621-Ft!E$2)&lt;0,Ft!E$3*((1-Ft!E$6)/(1+Ft!E$37*($A621-Ft!E$2)^2)+Ft!E$6*EXP(Ft!E$38*($A621-Ft!E$2)^2)),Ft!E$3*((1-Ft!E$7)/(1+Ft!E$39*($A621-Ft!E$2)^2)+Ft!E$7*EXP(Ft!E$40*($A621-Ft!E$2)^2)))</f>
        <v>15.841713129622573</v>
      </c>
      <c r="J621" s="3">
        <f>IF(($A621-Ft!F$2)&lt;0,Ft!F$3*((1-Ft!F$6)/(1+Ft!F$37*($A621-Ft!F$2)^2)+Ft!F$6*EXP(Ft!F$38*($A621-Ft!F$2)^2)),Ft!F$3*((1-Ft!F$7)/(1+Ft!F$39*($A621-Ft!F$2)^2)+Ft!F$7*EXP(Ft!F$40*($A621-Ft!F$2)^2)))</f>
        <v>138.93286166129189</v>
      </c>
      <c r="K621" s="3">
        <f>IF(($A621-Ft!G$2)&lt;0,Ft!G$3*((1-Ft!G$6)/(1+Ft!G$37*($A621-Ft!G$2)^2)+Ft!G$6*EXP(Ft!G$38*($A621-Ft!G$2)^2)),Ft!G$3*((1-Ft!G$7)/(1+Ft!G$39*($A621-Ft!G$2)^2)+Ft!G$7*EXP(Ft!G$40*($A621-Ft!G$2)^2)))</f>
        <v>1.9683718894630991E-3</v>
      </c>
      <c r="L621" s="3">
        <f>IF(($A621-Ft!H$2)&lt;0,Ft!H$3*((1-Ft!H$6)/(1+Ft!H$37*($A621-Ft!H$2)^2)+Ft!H$6*EXP(Ft!H$38*($A621-Ft!H$2)^2)),Ft!H$3*((1-Ft!H$7)/(1+Ft!H$39*($A621-Ft!H$2)^2)+Ft!H$7*EXP(Ft!H$40*($A621-Ft!H$2)^2)))</f>
        <v>0</v>
      </c>
      <c r="M621" s="3">
        <f>IF(($A621-Ft!I$2)&lt;0,Ft!I$3*((1-Ft!I$6)/(1+Ft!I$37*($A621-Ft!I$2)^2)+Ft!I$6*EXP(Ft!I$38*($A621-Ft!I$2)^2)),Ft!I$3*((1-Ft!I$7)/(1+Ft!I$39*($A621-Ft!I$2)^2)+Ft!I$7*EXP(Ft!I$40*($A621-Ft!I$2)^2)))</f>
        <v>0</v>
      </c>
      <c r="N621" s="3">
        <f>IF(($A621-Ft!J$2)&lt;0,Ft!J$3*((1-Ft!J$6)/(1+Ft!J$37*($A621-Ft!J$2)^2)+Ft!J$6*EXP(Ft!J$38*($A621-Ft!J$2)^2)),Ft!J$3*((1-Ft!J$7)/(1+Ft!J$39*($A621-Ft!J$2)^2)+Ft!J$7*EXP(Ft!J$40*($A621-Ft!J$2)^2)))</f>
        <v>0</v>
      </c>
      <c r="O621" s="3">
        <f>IF(($A621-Ft!K$2)&lt;0,Ft!K$3*((1-Ft!K$6)/(1+Ft!K$37*($A621-Ft!K$2)^2)+Ft!K$6*EXP(Ft!K$38*($A621-Ft!K$2)^2)),Ft!K$3*((1-Ft!K$7)/(1+Ft!K$39*($A621-Ft!K$2)^2)+Ft!K$7*EXP(Ft!K$40*($A621-Ft!K$2)^2)))</f>
        <v>0</v>
      </c>
      <c r="P621"/>
      <c r="Q621"/>
    </row>
    <row r="622" spans="1:17">
      <c r="A622" s="20">
        <v>1241</v>
      </c>
      <c r="B622" s="29">
        <v>5.8736564096580128</v>
      </c>
      <c r="C622" s="7">
        <f t="shared" si="19"/>
        <v>5.4084838643981961</v>
      </c>
      <c r="D622" s="3">
        <f t="shared" si="20"/>
        <v>0.21638549686349628</v>
      </c>
      <c r="E622" s="3">
        <f>Ft!$B$12+Ft!$B$14*(Data!A622-Vars!$B$3)</f>
        <v>-200</v>
      </c>
      <c r="F622" s="3">
        <f>IF(($A622-Ft!B$2)&lt;0,Ft!B$3*((1-Ft!B$6)/(1+Ft!B$37*($A622-Ft!B$2)^2)+Ft!B$6*EXP(Ft!B$38*($A622-Ft!B$2)^2)),Ft!B$3*((1-Ft!B$7)/(1+Ft!B$39*($A622-Ft!B$2)^2)+Ft!B$7*EXP(Ft!B$40*($A622-Ft!B$2)^2)))</f>
        <v>1.0968486781600426</v>
      </c>
      <c r="G622" s="3">
        <f>IF(($A622-Ft!C$2)&lt;0,Ft!C$3*((1-Ft!C$6)/(1+Ft!C$37*($A622-Ft!C$2)^2)+Ft!C$6*EXP(Ft!C$38*($A622-Ft!C$2)^2)),Ft!C$3*((1-Ft!C$7)/(1+Ft!C$39*($A622-Ft!C$2)^2)+Ft!C$7*EXP(Ft!C$40*($A622-Ft!C$2)^2)))</f>
        <v>49.56352275773299</v>
      </c>
      <c r="H622" s="3">
        <f>IF(($A622-Ft!D$2)&lt;0,Ft!D$3*((1-Ft!D$6)/(1+Ft!D$37*($A622-Ft!D$2)^2)+Ft!D$6*EXP(Ft!D$38*($A622-Ft!D$2)^2)),Ft!D$3*((1-Ft!D$7)/(1+Ft!D$39*($A622-Ft!D$2)^2)+Ft!D$7*EXP(Ft!D$40*($A622-Ft!D$2)^2)))</f>
        <v>3.341542820881984E-195</v>
      </c>
      <c r="I622" s="3">
        <f>IF(($A622-Ft!E$2)&lt;0,Ft!E$3*((1-Ft!E$6)/(1+Ft!E$37*($A622-Ft!E$2)^2)+Ft!E$6*EXP(Ft!E$38*($A622-Ft!E$2)^2)),Ft!E$3*((1-Ft!E$7)/(1+Ft!E$39*($A622-Ft!E$2)^2)+Ft!E$7*EXP(Ft!E$40*($A622-Ft!E$2)^2)))</f>
        <v>15.60462215759717</v>
      </c>
      <c r="J622" s="3">
        <f>IF(($A622-Ft!F$2)&lt;0,Ft!F$3*((1-Ft!F$6)/(1+Ft!F$37*($A622-Ft!F$2)^2)+Ft!F$6*EXP(Ft!F$38*($A622-Ft!F$2)^2)),Ft!F$3*((1-Ft!F$7)/(1+Ft!F$39*($A622-Ft!F$2)^2)+Ft!F$7*EXP(Ft!F$40*($A622-Ft!F$2)^2)))</f>
        <v>139.14161020035343</v>
      </c>
      <c r="K622" s="3">
        <f>IF(($A622-Ft!G$2)&lt;0,Ft!G$3*((1-Ft!G$6)/(1+Ft!G$37*($A622-Ft!G$2)^2)+Ft!G$6*EXP(Ft!G$38*($A622-Ft!G$2)^2)),Ft!G$3*((1-Ft!G$7)/(1+Ft!G$39*($A622-Ft!G$2)^2)+Ft!G$7*EXP(Ft!G$40*($A622-Ft!G$2)^2)))</f>
        <v>1.8800705545950318E-3</v>
      </c>
      <c r="L622" s="3">
        <f>IF(($A622-Ft!H$2)&lt;0,Ft!H$3*((1-Ft!H$6)/(1+Ft!H$37*($A622-Ft!H$2)^2)+Ft!H$6*EXP(Ft!H$38*($A622-Ft!H$2)^2)),Ft!H$3*((1-Ft!H$7)/(1+Ft!H$39*($A622-Ft!H$2)^2)+Ft!H$7*EXP(Ft!H$40*($A622-Ft!H$2)^2)))</f>
        <v>0</v>
      </c>
      <c r="M622" s="3">
        <f>IF(($A622-Ft!I$2)&lt;0,Ft!I$3*((1-Ft!I$6)/(1+Ft!I$37*($A622-Ft!I$2)^2)+Ft!I$6*EXP(Ft!I$38*($A622-Ft!I$2)^2)),Ft!I$3*((1-Ft!I$7)/(1+Ft!I$39*($A622-Ft!I$2)^2)+Ft!I$7*EXP(Ft!I$40*($A622-Ft!I$2)^2)))</f>
        <v>0</v>
      </c>
      <c r="N622" s="3">
        <f>IF(($A622-Ft!J$2)&lt;0,Ft!J$3*((1-Ft!J$6)/(1+Ft!J$37*($A622-Ft!J$2)^2)+Ft!J$6*EXP(Ft!J$38*($A622-Ft!J$2)^2)),Ft!J$3*((1-Ft!J$7)/(1+Ft!J$39*($A622-Ft!J$2)^2)+Ft!J$7*EXP(Ft!J$40*($A622-Ft!J$2)^2)))</f>
        <v>0</v>
      </c>
      <c r="O622" s="3">
        <f>IF(($A622-Ft!K$2)&lt;0,Ft!K$3*((1-Ft!K$6)/(1+Ft!K$37*($A622-Ft!K$2)^2)+Ft!K$6*EXP(Ft!K$38*($A622-Ft!K$2)^2)),Ft!K$3*((1-Ft!K$7)/(1+Ft!K$39*($A622-Ft!K$2)^2)+Ft!K$7*EXP(Ft!K$40*($A622-Ft!K$2)^2)))</f>
        <v>0</v>
      </c>
      <c r="P622"/>
      <c r="Q622"/>
    </row>
    <row r="623" spans="1:17">
      <c r="A623" s="20">
        <v>1243</v>
      </c>
      <c r="B623" s="29">
        <v>5.7111271807397204</v>
      </c>
      <c r="C623" s="7">
        <f t="shared" si="19"/>
        <v>5.2916187411560971</v>
      </c>
      <c r="D623" s="3">
        <f t="shared" si="20"/>
        <v>0.17598733088188651</v>
      </c>
      <c r="E623" s="3">
        <f>Ft!$B$12+Ft!$B$14*(Data!A623-Vars!$B$3)</f>
        <v>-200</v>
      </c>
      <c r="F623" s="3">
        <f>IF(($A623-Ft!B$2)&lt;0,Ft!B$3*((1-Ft!B$6)/(1+Ft!B$37*($A623-Ft!B$2)^2)+Ft!B$6*EXP(Ft!B$38*($A623-Ft!B$2)^2)),Ft!B$3*((1-Ft!B$7)/(1+Ft!B$39*($A623-Ft!B$2)^2)+Ft!B$7*EXP(Ft!B$40*($A623-Ft!B$2)^2)))</f>
        <v>1.0816328429315751</v>
      </c>
      <c r="G623" s="3">
        <f>IF(($A623-Ft!C$2)&lt;0,Ft!C$3*((1-Ft!C$6)/(1+Ft!C$37*($A623-Ft!C$2)^2)+Ft!C$6*EXP(Ft!C$38*($A623-Ft!C$2)^2)),Ft!C$3*((1-Ft!C$7)/(1+Ft!C$39*($A623-Ft!C$2)^2)+Ft!C$7*EXP(Ft!C$40*($A623-Ft!C$2)^2)))</f>
        <v>49.489164926816414</v>
      </c>
      <c r="H623" s="3">
        <f>IF(($A623-Ft!D$2)&lt;0,Ft!D$3*((1-Ft!D$6)/(1+Ft!D$37*($A623-Ft!D$2)^2)+Ft!D$6*EXP(Ft!D$38*($A623-Ft!D$2)^2)),Ft!D$3*((1-Ft!D$7)/(1+Ft!D$39*($A623-Ft!D$2)^2)+Ft!D$7*EXP(Ft!D$40*($A623-Ft!D$2)^2)))</f>
        <v>3.60372274753366E-196</v>
      </c>
      <c r="I623" s="3">
        <f>IF(($A623-Ft!E$2)&lt;0,Ft!E$3*((1-Ft!E$6)/(1+Ft!E$37*($A623-Ft!E$2)^2)+Ft!E$6*EXP(Ft!E$38*($A623-Ft!E$2)^2)),Ft!E$3*((1-Ft!E$7)/(1+Ft!E$39*($A623-Ft!E$2)^2)+Ft!E$7*EXP(Ft!E$40*($A623-Ft!E$2)^2)))</f>
        <v>15.370188336452751</v>
      </c>
      <c r="J623" s="3">
        <f>IF(($A623-Ft!F$2)&lt;0,Ft!F$3*((1-Ft!F$6)/(1+Ft!F$37*($A623-Ft!F$2)^2)+Ft!F$6*EXP(Ft!F$38*($A623-Ft!F$2)^2)),Ft!F$3*((1-Ft!F$7)/(1+Ft!F$39*($A623-Ft!F$2)^2)+Ft!F$7*EXP(Ft!F$40*($A623-Ft!F$2)^2)))</f>
        <v>139.34883709091477</v>
      </c>
      <c r="K623" s="3">
        <f>IF(($A623-Ft!G$2)&lt;0,Ft!G$3*((1-Ft!G$6)/(1+Ft!G$37*($A623-Ft!G$2)^2)+Ft!G$6*EXP(Ft!G$38*($A623-Ft!G$2)^2)),Ft!G$3*((1-Ft!G$7)/(1+Ft!G$39*($A623-Ft!G$2)^2)+Ft!G$7*EXP(Ft!G$40*($A623-Ft!G$2)^2)))</f>
        <v>1.7955440405876444E-3</v>
      </c>
      <c r="L623" s="3">
        <f>IF(($A623-Ft!H$2)&lt;0,Ft!H$3*((1-Ft!H$6)/(1+Ft!H$37*($A623-Ft!H$2)^2)+Ft!H$6*EXP(Ft!H$38*($A623-Ft!H$2)^2)),Ft!H$3*((1-Ft!H$7)/(1+Ft!H$39*($A623-Ft!H$2)^2)+Ft!H$7*EXP(Ft!H$40*($A623-Ft!H$2)^2)))</f>
        <v>0</v>
      </c>
      <c r="M623" s="3">
        <f>IF(($A623-Ft!I$2)&lt;0,Ft!I$3*((1-Ft!I$6)/(1+Ft!I$37*($A623-Ft!I$2)^2)+Ft!I$6*EXP(Ft!I$38*($A623-Ft!I$2)^2)),Ft!I$3*((1-Ft!I$7)/(1+Ft!I$39*($A623-Ft!I$2)^2)+Ft!I$7*EXP(Ft!I$40*($A623-Ft!I$2)^2)))</f>
        <v>0</v>
      </c>
      <c r="N623" s="3">
        <f>IF(($A623-Ft!J$2)&lt;0,Ft!J$3*((1-Ft!J$6)/(1+Ft!J$37*($A623-Ft!J$2)^2)+Ft!J$6*EXP(Ft!J$38*($A623-Ft!J$2)^2)),Ft!J$3*((1-Ft!J$7)/(1+Ft!J$39*($A623-Ft!J$2)^2)+Ft!J$7*EXP(Ft!J$40*($A623-Ft!J$2)^2)))</f>
        <v>0</v>
      </c>
      <c r="O623" s="3">
        <f>IF(($A623-Ft!K$2)&lt;0,Ft!K$3*((1-Ft!K$6)/(1+Ft!K$37*($A623-Ft!K$2)^2)+Ft!K$6*EXP(Ft!K$38*($A623-Ft!K$2)^2)),Ft!K$3*((1-Ft!K$7)/(1+Ft!K$39*($A623-Ft!K$2)^2)+Ft!K$7*EXP(Ft!K$40*($A623-Ft!K$2)^2)))</f>
        <v>0</v>
      </c>
      <c r="P623"/>
      <c r="Q623"/>
    </row>
    <row r="624" spans="1:17">
      <c r="A624" s="20">
        <v>1245</v>
      </c>
      <c r="B624" s="29">
        <v>5.5597726347663174</v>
      </c>
      <c r="C624" s="7">
        <f t="shared" si="19"/>
        <v>5.1757377341840902</v>
      </c>
      <c r="D624" s="3">
        <f t="shared" si="20"/>
        <v>0.14748280486520116</v>
      </c>
      <c r="E624" s="3">
        <f>Ft!$B$12+Ft!$B$14*(Data!A624-Vars!$B$3)</f>
        <v>-200</v>
      </c>
      <c r="F624" s="3">
        <f>IF(($A624-Ft!B$2)&lt;0,Ft!B$3*((1-Ft!B$6)/(1+Ft!B$37*($A624-Ft!B$2)^2)+Ft!B$6*EXP(Ft!B$38*($A624-Ft!B$2)^2)),Ft!B$3*((1-Ft!B$7)/(1+Ft!B$39*($A624-Ft!B$2)^2)+Ft!B$7*EXP(Ft!B$40*($A624-Ft!B$2)^2)))</f>
        <v>1.0666077283662534</v>
      </c>
      <c r="G624" s="3">
        <f>IF(($A624-Ft!C$2)&lt;0,Ft!C$3*((1-Ft!C$6)/(1+Ft!C$37*($A624-Ft!C$2)^2)+Ft!C$6*EXP(Ft!C$38*($A624-Ft!C$2)^2)),Ft!C$3*((1-Ft!C$7)/(1+Ft!C$39*($A624-Ft!C$2)^2)+Ft!C$7*EXP(Ft!C$40*($A624-Ft!C$2)^2)))</f>
        <v>49.414482034373755</v>
      </c>
      <c r="H624" s="3">
        <f>IF(($A624-Ft!D$2)&lt;0,Ft!D$3*((1-Ft!D$6)/(1+Ft!D$37*($A624-Ft!D$2)^2)+Ft!D$6*EXP(Ft!D$38*($A624-Ft!D$2)^2)),Ft!D$3*((1-Ft!D$7)/(1+Ft!D$39*($A624-Ft!D$2)^2)+Ft!D$7*EXP(Ft!D$40*($A624-Ft!D$2)^2)))</f>
        <v>3.8650916681255892E-197</v>
      </c>
      <c r="I624" s="3">
        <f>IF(($A624-Ft!E$2)&lt;0,Ft!E$3*((1-Ft!E$6)/(1+Ft!E$37*($A624-Ft!E$2)^2)+Ft!E$6*EXP(Ft!E$38*($A624-Ft!E$2)^2)),Ft!E$3*((1-Ft!E$7)/(1+Ft!E$39*($A624-Ft!E$2)^2)+Ft!E$7*EXP(Ft!E$40*($A624-Ft!E$2)^2)))</f>
        <v>15.138398727471658</v>
      </c>
      <c r="J624" s="3">
        <f>IF(($A624-Ft!F$2)&lt;0,Ft!F$3*((1-Ft!F$6)/(1+Ft!F$37*($A624-Ft!F$2)^2)+Ft!F$6*EXP(Ft!F$38*($A624-Ft!F$2)^2)),Ft!F$3*((1-Ft!F$7)/(1+Ft!F$39*($A624-Ft!F$2)^2)+Ft!F$7*EXP(Ft!F$40*($A624-Ft!F$2)^2)))</f>
        <v>139.55453460418587</v>
      </c>
      <c r="K624" s="3">
        <f>IF(($A624-Ft!G$2)&lt;0,Ft!G$3*((1-Ft!G$6)/(1+Ft!G$37*($A624-Ft!G$2)^2)+Ft!G$6*EXP(Ft!G$38*($A624-Ft!G$2)^2)),Ft!G$3*((1-Ft!G$7)/(1+Ft!G$39*($A624-Ft!G$2)^2)+Ft!G$7*EXP(Ft!G$40*($A624-Ft!G$2)^2)))</f>
        <v>1.7146397865492899E-3</v>
      </c>
      <c r="L624" s="3">
        <f>IF(($A624-Ft!H$2)&lt;0,Ft!H$3*((1-Ft!H$6)/(1+Ft!H$37*($A624-Ft!H$2)^2)+Ft!H$6*EXP(Ft!H$38*($A624-Ft!H$2)^2)),Ft!H$3*((1-Ft!H$7)/(1+Ft!H$39*($A624-Ft!H$2)^2)+Ft!H$7*EXP(Ft!H$40*($A624-Ft!H$2)^2)))</f>
        <v>0</v>
      </c>
      <c r="M624" s="3">
        <f>IF(($A624-Ft!I$2)&lt;0,Ft!I$3*((1-Ft!I$6)/(1+Ft!I$37*($A624-Ft!I$2)^2)+Ft!I$6*EXP(Ft!I$38*($A624-Ft!I$2)^2)),Ft!I$3*((1-Ft!I$7)/(1+Ft!I$39*($A624-Ft!I$2)^2)+Ft!I$7*EXP(Ft!I$40*($A624-Ft!I$2)^2)))</f>
        <v>0</v>
      </c>
      <c r="N624" s="3">
        <f>IF(($A624-Ft!J$2)&lt;0,Ft!J$3*((1-Ft!J$6)/(1+Ft!J$37*($A624-Ft!J$2)^2)+Ft!J$6*EXP(Ft!J$38*($A624-Ft!J$2)^2)),Ft!J$3*((1-Ft!J$7)/(1+Ft!J$39*($A624-Ft!J$2)^2)+Ft!J$7*EXP(Ft!J$40*($A624-Ft!J$2)^2)))</f>
        <v>0</v>
      </c>
      <c r="O624" s="3">
        <f>IF(($A624-Ft!K$2)&lt;0,Ft!K$3*((1-Ft!K$6)/(1+Ft!K$37*($A624-Ft!K$2)^2)+Ft!K$6*EXP(Ft!K$38*($A624-Ft!K$2)^2)),Ft!K$3*((1-Ft!K$7)/(1+Ft!K$39*($A624-Ft!K$2)^2)+Ft!K$7*EXP(Ft!K$40*($A624-Ft!K$2)^2)))</f>
        <v>0</v>
      </c>
      <c r="P624"/>
      <c r="Q624"/>
    </row>
    <row r="625" spans="1:17">
      <c r="A625" s="20">
        <v>1247</v>
      </c>
      <c r="B625" s="29">
        <v>5.4113645842995002</v>
      </c>
      <c r="C625" s="7">
        <f t="shared" si="19"/>
        <v>5.0608195460273473</v>
      </c>
      <c r="D625" s="3">
        <f t="shared" si="20"/>
        <v>0.12288182385722513</v>
      </c>
      <c r="E625" s="3">
        <f>Ft!$B$12+Ft!$B$14*(Data!A625-Vars!$B$3)</f>
        <v>-200</v>
      </c>
      <c r="F625" s="3">
        <f>IF(($A625-Ft!B$2)&lt;0,Ft!B$3*((1-Ft!B$6)/(1+Ft!B$37*($A625-Ft!B$2)^2)+Ft!B$6*EXP(Ft!B$38*($A625-Ft!B$2)^2)),Ft!B$3*((1-Ft!B$7)/(1+Ft!B$39*($A625-Ft!B$2)^2)+Ft!B$7*EXP(Ft!B$40*($A625-Ft!B$2)^2)))</f>
        <v>1.0517712547083131</v>
      </c>
      <c r="G625" s="3">
        <f>IF(($A625-Ft!C$2)&lt;0,Ft!C$3*((1-Ft!C$6)/(1+Ft!C$37*($A625-Ft!C$2)^2)+Ft!C$6*EXP(Ft!C$38*($A625-Ft!C$2)^2)),Ft!C$3*((1-Ft!C$7)/(1+Ft!C$39*($A625-Ft!C$2)^2)+Ft!C$7*EXP(Ft!C$40*($A625-Ft!C$2)^2)))</f>
        <v>49.339475889708034</v>
      </c>
      <c r="H625" s="3">
        <f>IF(($A625-Ft!D$2)&lt;0,Ft!D$3*((1-Ft!D$6)/(1+Ft!D$37*($A625-Ft!D$2)^2)+Ft!D$6*EXP(Ft!D$38*($A625-Ft!D$2)^2)),Ft!D$3*((1-Ft!D$7)/(1+Ft!D$39*($A625-Ft!D$2)^2)+Ft!D$7*EXP(Ft!D$40*($A625-Ft!D$2)^2)))</f>
        <v>4.1226105751761318E-198</v>
      </c>
      <c r="I625" s="3">
        <f>IF(($A625-Ft!E$2)&lt;0,Ft!E$3*((1-Ft!E$6)/(1+Ft!E$37*($A625-Ft!E$2)^2)+Ft!E$6*EXP(Ft!E$38*($A625-Ft!E$2)^2)),Ft!E$3*((1-Ft!E$7)/(1+Ft!E$39*($A625-Ft!E$2)^2)+Ft!E$7*EXP(Ft!E$40*($A625-Ft!E$2)^2)))</f>
        <v>14.909240130226182</v>
      </c>
      <c r="J625" s="3">
        <f>IF(($A625-Ft!F$2)&lt;0,Ft!F$3*((1-Ft!F$6)/(1+Ft!F$37*($A625-Ft!F$2)^2)+Ft!F$6*EXP(Ft!F$38*($A625-Ft!F$2)^2)),Ft!F$3*((1-Ft!F$7)/(1+Ft!F$39*($A625-Ft!F$2)^2)+Ft!F$7*EXP(Ft!F$40*($A625-Ft!F$2)^2)))</f>
        <v>139.75869506038913</v>
      </c>
      <c r="K625" s="3">
        <f>IF(($A625-Ft!G$2)&lt;0,Ft!G$3*((1-Ft!G$6)/(1+Ft!G$37*($A625-Ft!G$2)^2)+Ft!G$6*EXP(Ft!G$38*($A625-Ft!G$2)^2)),Ft!G$3*((1-Ft!G$7)/(1+Ft!G$39*($A625-Ft!G$2)^2)+Ft!G$7*EXP(Ft!G$40*($A625-Ft!G$2)^2)))</f>
        <v>1.637210995682953E-3</v>
      </c>
      <c r="L625" s="3">
        <f>IF(($A625-Ft!H$2)&lt;0,Ft!H$3*((1-Ft!H$6)/(1+Ft!H$37*($A625-Ft!H$2)^2)+Ft!H$6*EXP(Ft!H$38*($A625-Ft!H$2)^2)),Ft!H$3*((1-Ft!H$7)/(1+Ft!H$39*($A625-Ft!H$2)^2)+Ft!H$7*EXP(Ft!H$40*($A625-Ft!H$2)^2)))</f>
        <v>0</v>
      </c>
      <c r="M625" s="3">
        <f>IF(($A625-Ft!I$2)&lt;0,Ft!I$3*((1-Ft!I$6)/(1+Ft!I$37*($A625-Ft!I$2)^2)+Ft!I$6*EXP(Ft!I$38*($A625-Ft!I$2)^2)),Ft!I$3*((1-Ft!I$7)/(1+Ft!I$39*($A625-Ft!I$2)^2)+Ft!I$7*EXP(Ft!I$40*($A625-Ft!I$2)^2)))</f>
        <v>0</v>
      </c>
      <c r="N625" s="3">
        <f>IF(($A625-Ft!J$2)&lt;0,Ft!J$3*((1-Ft!J$6)/(1+Ft!J$37*($A625-Ft!J$2)^2)+Ft!J$6*EXP(Ft!J$38*($A625-Ft!J$2)^2)),Ft!J$3*((1-Ft!J$7)/(1+Ft!J$39*($A625-Ft!J$2)^2)+Ft!J$7*EXP(Ft!J$40*($A625-Ft!J$2)^2)))</f>
        <v>0</v>
      </c>
      <c r="O625" s="3">
        <f>IF(($A625-Ft!K$2)&lt;0,Ft!K$3*((1-Ft!K$6)/(1+Ft!K$37*($A625-Ft!K$2)^2)+Ft!K$6*EXP(Ft!K$38*($A625-Ft!K$2)^2)),Ft!K$3*((1-Ft!K$7)/(1+Ft!K$39*($A625-Ft!K$2)^2)+Ft!K$7*EXP(Ft!K$40*($A625-Ft!K$2)^2)))</f>
        <v>0</v>
      </c>
      <c r="P625"/>
      <c r="Q625"/>
    </row>
    <row r="626" spans="1:17">
      <c r="A626" s="20">
        <v>1249</v>
      </c>
      <c r="B626" s="29">
        <v>5.263753381411524</v>
      </c>
      <c r="C626" s="7">
        <f t="shared" si="19"/>
        <v>4.9468427035662321</v>
      </c>
      <c r="D626" s="3">
        <f t="shared" si="20"/>
        <v>0.1004323777323624</v>
      </c>
      <c r="E626" s="3">
        <f>Ft!$B$12+Ft!$B$14*(Data!A626-Vars!$B$3)</f>
        <v>-200</v>
      </c>
      <c r="F626" s="3">
        <f>IF(($A626-Ft!B$2)&lt;0,Ft!B$3*((1-Ft!B$6)/(1+Ft!B$37*($A626-Ft!B$2)^2)+Ft!B$6*EXP(Ft!B$38*($A626-Ft!B$2)^2)),Ft!B$3*((1-Ft!B$7)/(1+Ft!B$39*($A626-Ft!B$2)^2)+Ft!B$7*EXP(Ft!B$40*($A626-Ft!B$2)^2)))</f>
        <v>1.0371213603853553</v>
      </c>
      <c r="G626" s="3">
        <f>IF(($A626-Ft!C$2)&lt;0,Ft!C$3*((1-Ft!C$6)/(1+Ft!C$37*($A626-Ft!C$2)^2)+Ft!C$6*EXP(Ft!C$38*($A626-Ft!C$2)^2)),Ft!C$3*((1-Ft!C$7)/(1+Ft!C$39*($A626-Ft!C$2)^2)+Ft!C$7*EXP(Ft!C$40*($A626-Ft!C$2)^2)))</f>
        <v>49.264148307945952</v>
      </c>
      <c r="H626" s="3">
        <f>IF(($A626-Ft!D$2)&lt;0,Ft!D$3*((1-Ft!D$6)/(1+Ft!D$37*($A626-Ft!D$2)^2)+Ft!D$6*EXP(Ft!D$38*($A626-Ft!D$2)^2)),Ft!D$3*((1-Ft!D$7)/(1+Ft!D$39*($A626-Ft!D$2)^2)+Ft!D$7*EXP(Ft!D$40*($A626-Ft!D$2)^2)))</f>
        <v>4.3730950256549838E-199</v>
      </c>
      <c r="I626" s="3">
        <f>IF(($A626-Ft!E$2)&lt;0,Ft!E$3*((1-Ft!E$6)/(1+Ft!E$37*($A626-Ft!E$2)^2)+Ft!E$6*EXP(Ft!E$38*($A626-Ft!E$2)^2)),Ft!E$3*((1-Ft!E$7)/(1+Ft!E$39*($A626-Ft!E$2)^2)+Ft!E$7*EXP(Ft!E$40*($A626-Ft!E$2)^2)))</f>
        <v>14.682699089563426</v>
      </c>
      <c r="J626" s="3">
        <f>IF(($A626-Ft!F$2)&lt;0,Ft!F$3*((1-Ft!F$6)/(1+Ft!F$37*($A626-Ft!F$2)^2)+Ft!F$6*EXP(Ft!F$38*($A626-Ft!F$2)^2)),Ft!F$3*((1-Ft!F$7)/(1+Ft!F$39*($A626-Ft!F$2)^2)+Ft!F$7*EXP(Ft!F$40*($A626-Ft!F$2)^2)))</f>
        <v>139.96131082923637</v>
      </c>
      <c r="K626" s="3">
        <f>IF(($A626-Ft!G$2)&lt;0,Ft!G$3*((1-Ft!G$6)/(1+Ft!G$37*($A626-Ft!G$2)^2)+Ft!G$6*EXP(Ft!G$38*($A626-Ft!G$2)^2)),Ft!G$3*((1-Ft!G$7)/(1+Ft!G$39*($A626-Ft!G$2)^2)+Ft!G$7*EXP(Ft!G$40*($A626-Ft!G$2)^2)))</f>
        <v>1.5631164351354093E-3</v>
      </c>
      <c r="L626" s="3">
        <f>IF(($A626-Ft!H$2)&lt;0,Ft!H$3*((1-Ft!H$6)/(1+Ft!H$37*($A626-Ft!H$2)^2)+Ft!H$6*EXP(Ft!H$38*($A626-Ft!H$2)^2)),Ft!H$3*((1-Ft!H$7)/(1+Ft!H$39*($A626-Ft!H$2)^2)+Ft!H$7*EXP(Ft!H$40*($A626-Ft!H$2)^2)))</f>
        <v>0</v>
      </c>
      <c r="M626" s="3">
        <f>IF(($A626-Ft!I$2)&lt;0,Ft!I$3*((1-Ft!I$6)/(1+Ft!I$37*($A626-Ft!I$2)^2)+Ft!I$6*EXP(Ft!I$38*($A626-Ft!I$2)^2)),Ft!I$3*((1-Ft!I$7)/(1+Ft!I$39*($A626-Ft!I$2)^2)+Ft!I$7*EXP(Ft!I$40*($A626-Ft!I$2)^2)))</f>
        <v>0</v>
      </c>
      <c r="N626" s="3">
        <f>IF(($A626-Ft!J$2)&lt;0,Ft!J$3*((1-Ft!J$6)/(1+Ft!J$37*($A626-Ft!J$2)^2)+Ft!J$6*EXP(Ft!J$38*($A626-Ft!J$2)^2)),Ft!J$3*((1-Ft!J$7)/(1+Ft!J$39*($A626-Ft!J$2)^2)+Ft!J$7*EXP(Ft!J$40*($A626-Ft!J$2)^2)))</f>
        <v>0</v>
      </c>
      <c r="O626" s="3">
        <f>IF(($A626-Ft!K$2)&lt;0,Ft!K$3*((1-Ft!K$6)/(1+Ft!K$37*($A626-Ft!K$2)^2)+Ft!K$6*EXP(Ft!K$38*($A626-Ft!K$2)^2)),Ft!K$3*((1-Ft!K$7)/(1+Ft!K$39*($A626-Ft!K$2)^2)+Ft!K$7*EXP(Ft!K$40*($A626-Ft!K$2)^2)))</f>
        <v>0</v>
      </c>
      <c r="P626"/>
      <c r="Q626"/>
    </row>
    <row r="627" spans="1:17">
      <c r="A627" s="20">
        <v>1251</v>
      </c>
      <c r="B627" s="29">
        <v>5.1105880737638953</v>
      </c>
      <c r="C627" s="7">
        <f t="shared" si="19"/>
        <v>4.8337855650803156</v>
      </c>
      <c r="D627" s="3">
        <f t="shared" si="20"/>
        <v>7.6619628813523216E-2</v>
      </c>
      <c r="E627" s="3">
        <f>Ft!$B$12+Ft!$B$14*(Data!A627-Vars!$B$3)</f>
        <v>-200</v>
      </c>
      <c r="F627" s="3">
        <f>IF(($A627-Ft!B$2)&lt;0,Ft!B$3*((1-Ft!B$6)/(1+Ft!B$37*($A627-Ft!B$2)^2)+Ft!B$6*EXP(Ft!B$38*($A627-Ft!B$2)^2)),Ft!B$3*((1-Ft!B$7)/(1+Ft!B$39*($A627-Ft!B$2)^2)+Ft!B$7*EXP(Ft!B$40*($A627-Ft!B$2)^2)))</f>
        <v>1.0226560019117079</v>
      </c>
      <c r="G627" s="3">
        <f>IF(($A627-Ft!C$2)&lt;0,Ft!C$3*((1-Ft!C$6)/(1+Ft!C$37*($A627-Ft!C$2)^2)+Ft!C$6*EXP(Ft!C$38*($A627-Ft!C$2)^2)),Ft!C$3*((1-Ft!C$7)/(1+Ft!C$39*($A627-Ft!C$2)^2)+Ft!C$7*EXP(Ft!C$40*($A627-Ft!C$2)^2)))</f>
        <v>49.188501109964903</v>
      </c>
      <c r="H627" s="3">
        <f>IF(($A627-Ft!D$2)&lt;0,Ft!D$3*((1-Ft!D$6)/(1+Ft!D$37*($A627-Ft!D$2)^2)+Ft!D$6*EXP(Ft!D$38*($A627-Ft!D$2)^2)),Ft!D$3*((1-Ft!D$7)/(1+Ft!D$39*($A627-Ft!D$2)^2)+Ft!D$7*EXP(Ft!D$40*($A627-Ft!D$2)^2)))</f>
        <v>4.6132777532170913E-200</v>
      </c>
      <c r="I627" s="3">
        <f>IF(($A627-Ft!E$2)&lt;0,Ft!E$3*((1-Ft!E$6)/(1+Ft!E$37*($A627-Ft!E$2)^2)+Ft!E$6*EXP(Ft!E$38*($A627-Ft!E$2)^2)),Ft!E$3*((1-Ft!E$7)/(1+Ft!E$39*($A627-Ft!E$2)^2)+Ft!E$7*EXP(Ft!E$40*($A627-Ft!E$2)^2)))</f>
        <v>14.458761902557956</v>
      </c>
      <c r="J627" s="3">
        <f>IF(($A627-Ft!F$2)&lt;0,Ft!F$3*((1-Ft!F$6)/(1+Ft!F$37*($A627-Ft!F$2)^2)+Ft!F$6*EXP(Ft!F$38*($A627-Ft!F$2)^2)),Ft!F$3*((1-Ft!F$7)/(1+Ft!F$39*($A627-Ft!F$2)^2)+Ft!F$7*EXP(Ft!F$40*($A627-Ft!F$2)^2)))</f>
        <v>140.16237433040368</v>
      </c>
      <c r="K627" s="3">
        <f>IF(($A627-Ft!G$2)&lt;0,Ft!G$3*((1-Ft!G$6)/(1+Ft!G$37*($A627-Ft!G$2)^2)+Ft!G$6*EXP(Ft!G$38*($A627-Ft!G$2)^2)),Ft!G$3*((1-Ft!G$7)/(1+Ft!G$39*($A627-Ft!G$2)^2)+Ft!G$7*EXP(Ft!G$40*($A627-Ft!G$2)^2)))</f>
        <v>1.4922202420526163E-3</v>
      </c>
      <c r="L627" s="3">
        <f>IF(($A627-Ft!H$2)&lt;0,Ft!H$3*((1-Ft!H$6)/(1+Ft!H$37*($A627-Ft!H$2)^2)+Ft!H$6*EXP(Ft!H$38*($A627-Ft!H$2)^2)),Ft!H$3*((1-Ft!H$7)/(1+Ft!H$39*($A627-Ft!H$2)^2)+Ft!H$7*EXP(Ft!H$40*($A627-Ft!H$2)^2)))</f>
        <v>0</v>
      </c>
      <c r="M627" s="3">
        <f>IF(($A627-Ft!I$2)&lt;0,Ft!I$3*((1-Ft!I$6)/(1+Ft!I$37*($A627-Ft!I$2)^2)+Ft!I$6*EXP(Ft!I$38*($A627-Ft!I$2)^2)),Ft!I$3*((1-Ft!I$7)/(1+Ft!I$39*($A627-Ft!I$2)^2)+Ft!I$7*EXP(Ft!I$40*($A627-Ft!I$2)^2)))</f>
        <v>0</v>
      </c>
      <c r="N627" s="3">
        <f>IF(($A627-Ft!J$2)&lt;0,Ft!J$3*((1-Ft!J$6)/(1+Ft!J$37*($A627-Ft!J$2)^2)+Ft!J$6*EXP(Ft!J$38*($A627-Ft!J$2)^2)),Ft!J$3*((1-Ft!J$7)/(1+Ft!J$39*($A627-Ft!J$2)^2)+Ft!J$7*EXP(Ft!J$40*($A627-Ft!J$2)^2)))</f>
        <v>0</v>
      </c>
      <c r="O627" s="3">
        <f>IF(($A627-Ft!K$2)&lt;0,Ft!K$3*((1-Ft!K$6)/(1+Ft!K$37*($A627-Ft!K$2)^2)+Ft!K$6*EXP(Ft!K$38*($A627-Ft!K$2)^2)),Ft!K$3*((1-Ft!K$7)/(1+Ft!K$39*($A627-Ft!K$2)^2)+Ft!K$7*EXP(Ft!K$40*($A627-Ft!K$2)^2)))</f>
        <v>0</v>
      </c>
      <c r="P627"/>
      <c r="Q627"/>
    </row>
    <row r="628" spans="1:17">
      <c r="A628" s="20">
        <v>1253</v>
      </c>
      <c r="B628" s="29">
        <v>4.9508528066100848</v>
      </c>
      <c r="C628" s="7">
        <f t="shared" si="19"/>
        <v>4.7216263272808421</v>
      </c>
      <c r="D628" s="3">
        <f t="shared" si="20"/>
        <v>5.2544778825679719E-2</v>
      </c>
      <c r="E628" s="3">
        <f>Ft!$B$12+Ft!$B$14*(Data!A628-Vars!$B$3)</f>
        <v>-200</v>
      </c>
      <c r="F628" s="3">
        <f>IF(($A628-Ft!B$2)&lt;0,Ft!B$3*((1-Ft!B$6)/(1+Ft!B$37*($A628-Ft!B$2)^2)+Ft!B$6*EXP(Ft!B$38*($A628-Ft!B$2)^2)),Ft!B$3*((1-Ft!B$7)/(1+Ft!B$39*($A628-Ft!B$2)^2)+Ft!B$7*EXP(Ft!B$40*($A628-Ft!B$2)^2)))</f>
        <v>1.0083731537914269</v>
      </c>
      <c r="G628" s="3">
        <f>IF(($A628-Ft!C$2)&lt;0,Ft!C$3*((1-Ft!C$6)/(1+Ft!C$37*($A628-Ft!C$2)^2)+Ft!C$6*EXP(Ft!C$38*($A628-Ft!C$2)^2)),Ft!C$3*((1-Ft!C$7)/(1+Ft!C$39*($A628-Ft!C$2)^2)+Ft!C$7*EXP(Ft!C$40*($A628-Ft!C$2)^2)))</f>
        <v>49.112536122319966</v>
      </c>
      <c r="H628" s="3">
        <f>IF(($A628-Ft!D$2)&lt;0,Ft!D$3*((1-Ft!D$6)/(1+Ft!D$37*($A628-Ft!D$2)^2)+Ft!D$6*EXP(Ft!D$38*($A628-Ft!D$2)^2)),Ft!D$3*((1-Ft!D$7)/(1+Ft!D$39*($A628-Ft!D$2)^2)+Ft!D$7*EXP(Ft!D$40*($A628-Ft!D$2)^2)))</f>
        <v>4.8398776032508476E-201</v>
      </c>
      <c r="I628" s="3">
        <f>IF(($A628-Ft!E$2)&lt;0,Ft!E$3*((1-Ft!E$6)/(1+Ft!E$37*($A628-Ft!E$2)^2)+Ft!E$6*EXP(Ft!E$38*($A628-Ft!E$2)^2)),Ft!E$3*((1-Ft!E$7)/(1+Ft!E$39*($A628-Ft!E$2)^2)+Ft!E$7*EXP(Ft!E$40*($A628-Ft!E$2)^2)))</f>
        <v>14.237414625430223</v>
      </c>
      <c r="J628" s="3">
        <f>IF(($A628-Ft!F$2)&lt;0,Ft!F$3*((1-Ft!F$6)/(1+Ft!F$37*($A628-Ft!F$2)^2)+Ft!F$6*EXP(Ft!F$38*($A628-Ft!F$2)^2)),Ft!F$3*((1-Ft!F$7)/(1+Ft!F$39*($A628-Ft!F$2)^2)+Ft!F$7*EXP(Ft!F$40*($A628-Ft!F$2)^2)))</f>
        <v>140.36187803400352</v>
      </c>
      <c r="K628" s="3">
        <f>IF(($A628-Ft!G$2)&lt;0,Ft!G$3*((1-Ft!G$6)/(1+Ft!G$37*($A628-Ft!G$2)^2)+Ft!G$6*EXP(Ft!G$38*($A628-Ft!G$2)^2)),Ft!G$3*((1-Ft!G$7)/(1+Ft!G$39*($A628-Ft!G$2)^2)+Ft!G$7*EXP(Ft!G$40*($A628-Ft!G$2)^2)))</f>
        <v>1.4243917356791397E-3</v>
      </c>
      <c r="L628" s="3">
        <f>IF(($A628-Ft!H$2)&lt;0,Ft!H$3*((1-Ft!H$6)/(1+Ft!H$37*($A628-Ft!H$2)^2)+Ft!H$6*EXP(Ft!H$38*($A628-Ft!H$2)^2)),Ft!H$3*((1-Ft!H$7)/(1+Ft!H$39*($A628-Ft!H$2)^2)+Ft!H$7*EXP(Ft!H$40*($A628-Ft!H$2)^2)))</f>
        <v>0</v>
      </c>
      <c r="M628" s="3">
        <f>IF(($A628-Ft!I$2)&lt;0,Ft!I$3*((1-Ft!I$6)/(1+Ft!I$37*($A628-Ft!I$2)^2)+Ft!I$6*EXP(Ft!I$38*($A628-Ft!I$2)^2)),Ft!I$3*((1-Ft!I$7)/(1+Ft!I$39*($A628-Ft!I$2)^2)+Ft!I$7*EXP(Ft!I$40*($A628-Ft!I$2)^2)))</f>
        <v>0</v>
      </c>
      <c r="N628" s="3">
        <f>IF(($A628-Ft!J$2)&lt;0,Ft!J$3*((1-Ft!J$6)/(1+Ft!J$37*($A628-Ft!J$2)^2)+Ft!J$6*EXP(Ft!J$38*($A628-Ft!J$2)^2)),Ft!J$3*((1-Ft!J$7)/(1+Ft!J$39*($A628-Ft!J$2)^2)+Ft!J$7*EXP(Ft!J$40*($A628-Ft!J$2)^2)))</f>
        <v>0</v>
      </c>
      <c r="O628" s="3">
        <f>IF(($A628-Ft!K$2)&lt;0,Ft!K$3*((1-Ft!K$6)/(1+Ft!K$37*($A628-Ft!K$2)^2)+Ft!K$6*EXP(Ft!K$38*($A628-Ft!K$2)^2)),Ft!K$3*((1-Ft!K$7)/(1+Ft!K$39*($A628-Ft!K$2)^2)+Ft!K$7*EXP(Ft!K$40*($A628-Ft!K$2)^2)))</f>
        <v>0</v>
      </c>
      <c r="P628"/>
      <c r="Q628"/>
    </row>
    <row r="629" spans="1:17">
      <c r="A629" s="20">
        <v>1255</v>
      </c>
      <c r="B629" s="29">
        <v>4.8079815612021672</v>
      </c>
      <c r="C629" s="7">
        <f t="shared" si="19"/>
        <v>4.6103430323099133</v>
      </c>
      <c r="D629" s="3">
        <f t="shared" si="20"/>
        <v>3.9060988102694309E-2</v>
      </c>
      <c r="E629" s="3">
        <f>Ft!$B$12+Ft!$B$14*(Data!A629-Vars!$B$3)</f>
        <v>-200</v>
      </c>
      <c r="F629" s="3">
        <f>IF(($A629-Ft!B$2)&lt;0,Ft!B$3*((1-Ft!B$6)/(1+Ft!B$37*($A629-Ft!B$2)^2)+Ft!B$6*EXP(Ft!B$38*($A629-Ft!B$2)^2)),Ft!B$3*((1-Ft!B$7)/(1+Ft!B$39*($A629-Ft!B$2)^2)+Ft!B$7*EXP(Ft!B$40*($A629-Ft!B$2)^2)))</f>
        <v>0.9942708084209434</v>
      </c>
      <c r="G629" s="3">
        <f>IF(($A629-Ft!C$2)&lt;0,Ft!C$3*((1-Ft!C$6)/(1+Ft!C$37*($A629-Ft!C$2)^2)+Ft!C$6*EXP(Ft!C$38*($A629-Ft!C$2)^2)),Ft!C$3*((1-Ft!C$7)/(1+Ft!C$39*($A629-Ft!C$2)^2)+Ft!C$7*EXP(Ft!C$40*($A629-Ft!C$2)^2)))</f>
        <v>49.036255177170617</v>
      </c>
      <c r="H629" s="3">
        <f>IF(($A629-Ft!D$2)&lt;0,Ft!D$3*((1-Ft!D$6)/(1+Ft!D$37*($A629-Ft!D$2)^2)+Ft!D$6*EXP(Ft!D$38*($A629-Ft!D$2)^2)),Ft!D$3*((1-Ft!D$7)/(1+Ft!D$39*($A629-Ft!D$2)^2)+Ft!D$7*EXP(Ft!D$40*($A629-Ft!D$2)^2)))</f>
        <v>5.0496728375421666E-202</v>
      </c>
      <c r="I629" s="3">
        <f>IF(($A629-Ft!E$2)&lt;0,Ft!E$3*((1-Ft!E$6)/(1+Ft!E$37*($A629-Ft!E$2)^2)+Ft!E$6*EXP(Ft!E$38*($A629-Ft!E$2)^2)),Ft!E$3*((1-Ft!E$7)/(1+Ft!E$39*($A629-Ft!E$2)^2)+Ft!E$7*EXP(Ft!E$40*($A629-Ft!E$2)^2)))</f>
        <v>14.018643080429051</v>
      </c>
      <c r="J629" s="3">
        <f>IF(($A629-Ft!F$2)&lt;0,Ft!F$3*((1-Ft!F$6)/(1+Ft!F$37*($A629-Ft!F$2)^2)+Ft!F$6*EXP(Ft!F$38*($A629-Ft!F$2)^2)),Ft!F$3*((1-Ft!F$7)/(1+Ft!F$39*($A629-Ft!F$2)^2)+Ft!F$7*EXP(Ft!F$40*($A629-Ft!F$2)^2)))</f>
        <v>140.55981446105395</v>
      </c>
      <c r="K629" s="3">
        <f>IF(($A629-Ft!G$2)&lt;0,Ft!G$3*((1-Ft!G$6)/(1+Ft!G$37*($A629-Ft!G$2)^2)+Ft!G$6*EXP(Ft!G$38*($A629-Ft!G$2)^2)),Ft!G$3*((1-Ft!G$7)/(1+Ft!G$39*($A629-Ft!G$2)^2)+Ft!G$7*EXP(Ft!G$40*($A629-Ft!G$2)^2)))</f>
        <v>1.3595052353424354E-3</v>
      </c>
      <c r="L629" s="3">
        <f>IF(($A629-Ft!H$2)&lt;0,Ft!H$3*((1-Ft!H$6)/(1+Ft!H$37*($A629-Ft!H$2)^2)+Ft!H$6*EXP(Ft!H$38*($A629-Ft!H$2)^2)),Ft!H$3*((1-Ft!H$7)/(1+Ft!H$39*($A629-Ft!H$2)^2)+Ft!H$7*EXP(Ft!H$40*($A629-Ft!H$2)^2)))</f>
        <v>0</v>
      </c>
      <c r="M629" s="3">
        <f>IF(($A629-Ft!I$2)&lt;0,Ft!I$3*((1-Ft!I$6)/(1+Ft!I$37*($A629-Ft!I$2)^2)+Ft!I$6*EXP(Ft!I$38*($A629-Ft!I$2)^2)),Ft!I$3*((1-Ft!I$7)/(1+Ft!I$39*($A629-Ft!I$2)^2)+Ft!I$7*EXP(Ft!I$40*($A629-Ft!I$2)^2)))</f>
        <v>0</v>
      </c>
      <c r="N629" s="3">
        <f>IF(($A629-Ft!J$2)&lt;0,Ft!J$3*((1-Ft!J$6)/(1+Ft!J$37*($A629-Ft!J$2)^2)+Ft!J$6*EXP(Ft!J$38*($A629-Ft!J$2)^2)),Ft!J$3*((1-Ft!J$7)/(1+Ft!J$39*($A629-Ft!J$2)^2)+Ft!J$7*EXP(Ft!J$40*($A629-Ft!J$2)^2)))</f>
        <v>0</v>
      </c>
      <c r="O629" s="3">
        <f>IF(($A629-Ft!K$2)&lt;0,Ft!K$3*((1-Ft!K$6)/(1+Ft!K$37*($A629-Ft!K$2)^2)+Ft!K$6*EXP(Ft!K$38*($A629-Ft!K$2)^2)),Ft!K$3*((1-Ft!K$7)/(1+Ft!K$39*($A629-Ft!K$2)^2)+Ft!K$7*EXP(Ft!K$40*($A629-Ft!K$2)^2)))</f>
        <v>0</v>
      </c>
      <c r="P629"/>
      <c r="Q629"/>
    </row>
    <row r="630" spans="1:17">
      <c r="A630" s="20">
        <v>1257</v>
      </c>
      <c r="B630" s="29">
        <v>4.6791317294912922</v>
      </c>
      <c r="C630" s="7">
        <f t="shared" si="19"/>
        <v>4.4999135747046175</v>
      </c>
      <c r="D630" s="3">
        <f t="shared" si="20"/>
        <v>3.2119147005140486E-2</v>
      </c>
      <c r="E630" s="3">
        <f>Ft!$B$12+Ft!$B$14*(Data!A630-Vars!$B$3)</f>
        <v>-200</v>
      </c>
      <c r="F630" s="3">
        <f>IF(($A630-Ft!B$2)&lt;0,Ft!B$3*((1-Ft!B$6)/(1+Ft!B$37*($A630-Ft!B$2)^2)+Ft!B$6*EXP(Ft!B$38*($A630-Ft!B$2)^2)),Ft!B$3*((1-Ft!B$7)/(1+Ft!B$39*($A630-Ft!B$2)^2)+Ft!B$7*EXP(Ft!B$40*($A630-Ft!B$2)^2)))</f>
        <v>0.98034697599136633</v>
      </c>
      <c r="G630" s="3">
        <f>IF(($A630-Ft!C$2)&lt;0,Ft!C$3*((1-Ft!C$6)/(1+Ft!C$37*($A630-Ft!C$2)^2)+Ft!C$6*EXP(Ft!C$38*($A630-Ft!C$2)^2)),Ft!C$3*((1-Ft!C$7)/(1+Ft!C$39*($A630-Ft!C$2)^2)+Ft!C$7*EXP(Ft!C$40*($A630-Ft!C$2)^2)))</f>
        <v>48.959660112207381</v>
      </c>
      <c r="H630" s="3">
        <f>IF(($A630-Ft!D$2)&lt;0,Ft!D$3*((1-Ft!D$6)/(1+Ft!D$37*($A630-Ft!D$2)^2)+Ft!D$6*EXP(Ft!D$38*($A630-Ft!D$2)^2)),Ft!D$3*((1-Ft!D$7)/(1+Ft!D$39*($A630-Ft!D$2)^2)+Ft!D$7*EXP(Ft!D$40*($A630-Ft!D$2)^2)))</f>
        <v>5.2395765704065343E-203</v>
      </c>
      <c r="I630" s="3">
        <f>IF(($A630-Ft!E$2)&lt;0,Ft!E$3*((1-Ft!E$6)/(1+Ft!E$37*($A630-Ft!E$2)^2)+Ft!E$6*EXP(Ft!E$38*($A630-Ft!E$2)^2)),Ft!E$3*((1-Ft!E$7)/(1+Ft!E$39*($A630-Ft!E$2)^2)+Ft!E$7*EXP(Ft!E$40*($A630-Ft!E$2)^2)))</f>
        <v>13.802432862676184</v>
      </c>
      <c r="J630" s="3">
        <f>IF(($A630-Ft!F$2)&lt;0,Ft!F$3*((1-Ft!F$6)/(1+Ft!F$37*($A630-Ft!F$2)^2)+Ft!F$6*EXP(Ft!F$38*($A630-Ft!F$2)^2)),Ft!F$3*((1-Ft!F$7)/(1+Ft!F$39*($A630-Ft!F$2)^2)+Ft!F$7*EXP(Ft!F$40*($A630-Ft!F$2)^2)))</f>
        <v>140.75617618394551</v>
      </c>
      <c r="K630" s="3">
        <f>IF(($A630-Ft!G$2)&lt;0,Ft!G$3*((1-Ft!G$6)/(1+Ft!G$37*($A630-Ft!G$2)^2)+Ft!G$6*EXP(Ft!G$38*($A630-Ft!G$2)^2)),Ft!G$3*((1-Ft!G$7)/(1+Ft!G$39*($A630-Ft!G$2)^2)+Ft!G$7*EXP(Ft!G$40*($A630-Ft!G$2)^2)))</f>
        <v>1.2974398841658454E-3</v>
      </c>
      <c r="L630" s="3">
        <f>IF(($A630-Ft!H$2)&lt;0,Ft!H$3*((1-Ft!H$6)/(1+Ft!H$37*($A630-Ft!H$2)^2)+Ft!H$6*EXP(Ft!H$38*($A630-Ft!H$2)^2)),Ft!H$3*((1-Ft!H$7)/(1+Ft!H$39*($A630-Ft!H$2)^2)+Ft!H$7*EXP(Ft!H$40*($A630-Ft!H$2)^2)))</f>
        <v>0</v>
      </c>
      <c r="M630" s="3">
        <f>IF(($A630-Ft!I$2)&lt;0,Ft!I$3*((1-Ft!I$6)/(1+Ft!I$37*($A630-Ft!I$2)^2)+Ft!I$6*EXP(Ft!I$38*($A630-Ft!I$2)^2)),Ft!I$3*((1-Ft!I$7)/(1+Ft!I$39*($A630-Ft!I$2)^2)+Ft!I$7*EXP(Ft!I$40*($A630-Ft!I$2)^2)))</f>
        <v>0</v>
      </c>
      <c r="N630" s="3">
        <f>IF(($A630-Ft!J$2)&lt;0,Ft!J$3*((1-Ft!J$6)/(1+Ft!J$37*($A630-Ft!J$2)^2)+Ft!J$6*EXP(Ft!J$38*($A630-Ft!J$2)^2)),Ft!J$3*((1-Ft!J$7)/(1+Ft!J$39*($A630-Ft!J$2)^2)+Ft!J$7*EXP(Ft!J$40*($A630-Ft!J$2)^2)))</f>
        <v>0</v>
      </c>
      <c r="O630" s="3">
        <f>IF(($A630-Ft!K$2)&lt;0,Ft!K$3*((1-Ft!K$6)/(1+Ft!K$37*($A630-Ft!K$2)^2)+Ft!K$6*EXP(Ft!K$38*($A630-Ft!K$2)^2)),Ft!K$3*((1-Ft!K$7)/(1+Ft!K$39*($A630-Ft!K$2)^2)+Ft!K$7*EXP(Ft!K$40*($A630-Ft!K$2)^2)))</f>
        <v>0</v>
      </c>
      <c r="P630"/>
      <c r="Q630"/>
    </row>
    <row r="631" spans="1:17">
      <c r="A631" s="20">
        <v>1259</v>
      </c>
      <c r="B631" s="29">
        <v>4.506501735572316</v>
      </c>
      <c r="C631" s="7">
        <f t="shared" si="19"/>
        <v>4.390315708323671</v>
      </c>
      <c r="D631" s="3">
        <f t="shared" si="20"/>
        <v>1.3499192927822883E-2</v>
      </c>
      <c r="E631" s="3">
        <f>Ft!$B$12+Ft!$B$14*(Data!A631-Vars!$B$3)</f>
        <v>-200</v>
      </c>
      <c r="F631" s="3">
        <f>IF(($A631-Ft!B$2)&lt;0,Ft!B$3*((1-Ft!B$6)/(1+Ft!B$37*($A631-Ft!B$2)^2)+Ft!B$6*EXP(Ft!B$38*($A631-Ft!B$2)^2)),Ft!B$3*((1-Ft!B$7)/(1+Ft!B$39*($A631-Ft!B$2)^2)+Ft!B$7*EXP(Ft!B$40*($A631-Ft!B$2)^2)))</f>
        <v>0.9665996843904735</v>
      </c>
      <c r="G631" s="3">
        <f>IF(($A631-Ft!C$2)&lt;0,Ft!C$3*((1-Ft!C$6)/(1+Ft!C$37*($A631-Ft!C$2)^2)+Ft!C$6*EXP(Ft!C$38*($A631-Ft!C$2)^2)),Ft!C$3*((1-Ft!C$7)/(1+Ft!C$39*($A631-Ft!C$2)^2)+Ft!C$7*EXP(Ft!C$40*($A631-Ft!C$2)^2)))</f>
        <v>48.882752770578378</v>
      </c>
      <c r="H631" s="3">
        <f>IF(($A631-Ft!D$2)&lt;0,Ft!D$3*((1-Ft!D$6)/(1+Ft!D$37*($A631-Ft!D$2)^2)+Ft!D$6*EXP(Ft!D$38*($A631-Ft!D$2)^2)),Ft!D$3*((1-Ft!D$7)/(1+Ft!D$39*($A631-Ft!D$2)^2)+Ft!D$7*EXP(Ft!D$40*($A631-Ft!D$2)^2)))</f>
        <v>5.4067118982462097E-204</v>
      </c>
      <c r="I631" s="3">
        <f>IF(($A631-Ft!E$2)&lt;0,Ft!E$3*((1-Ft!E$6)/(1+Ft!E$37*($A631-Ft!E$2)^2)+Ft!E$6*EXP(Ft!E$38*($A631-Ft!E$2)^2)),Ft!E$3*((1-Ft!E$7)/(1+Ft!E$39*($A631-Ft!E$2)^2)+Ft!E$7*EXP(Ft!E$40*($A631-Ft!E$2)^2)))</f>
        <v>13.588769346971253</v>
      </c>
      <c r="J631" s="3">
        <f>IF(($A631-Ft!F$2)&lt;0,Ft!F$3*((1-Ft!F$6)/(1+Ft!F$37*($A631-Ft!F$2)^2)+Ft!F$6*EXP(Ft!F$38*($A631-Ft!F$2)^2)),Ft!F$3*((1-Ft!F$7)/(1+Ft!F$39*($A631-Ft!F$2)^2)+Ft!F$7*EXP(Ft!F$40*($A631-Ft!F$2)^2)))</f>
        <v>140.95095582690521</v>
      </c>
      <c r="K631" s="3">
        <f>IF(($A631-Ft!G$2)&lt;0,Ft!G$3*((1-Ft!G$6)/(1+Ft!G$37*($A631-Ft!G$2)^2)+Ft!G$6*EXP(Ft!G$38*($A631-Ft!G$2)^2)),Ft!G$3*((1-Ft!G$7)/(1+Ft!G$39*($A631-Ft!G$2)^2)+Ft!G$7*EXP(Ft!G$40*($A631-Ft!G$2)^2)))</f>
        <v>1.2380794783571848E-3</v>
      </c>
      <c r="L631" s="3">
        <f>IF(($A631-Ft!H$2)&lt;0,Ft!H$3*((1-Ft!H$6)/(1+Ft!H$37*($A631-Ft!H$2)^2)+Ft!H$6*EXP(Ft!H$38*($A631-Ft!H$2)^2)),Ft!H$3*((1-Ft!H$7)/(1+Ft!H$39*($A631-Ft!H$2)^2)+Ft!H$7*EXP(Ft!H$40*($A631-Ft!H$2)^2)))</f>
        <v>0</v>
      </c>
      <c r="M631" s="3">
        <f>IF(($A631-Ft!I$2)&lt;0,Ft!I$3*((1-Ft!I$6)/(1+Ft!I$37*($A631-Ft!I$2)^2)+Ft!I$6*EXP(Ft!I$38*($A631-Ft!I$2)^2)),Ft!I$3*((1-Ft!I$7)/(1+Ft!I$39*($A631-Ft!I$2)^2)+Ft!I$7*EXP(Ft!I$40*($A631-Ft!I$2)^2)))</f>
        <v>0</v>
      </c>
      <c r="N631" s="3">
        <f>IF(($A631-Ft!J$2)&lt;0,Ft!J$3*((1-Ft!J$6)/(1+Ft!J$37*($A631-Ft!J$2)^2)+Ft!J$6*EXP(Ft!J$38*($A631-Ft!J$2)^2)),Ft!J$3*((1-Ft!J$7)/(1+Ft!J$39*($A631-Ft!J$2)^2)+Ft!J$7*EXP(Ft!J$40*($A631-Ft!J$2)^2)))</f>
        <v>0</v>
      </c>
      <c r="O631" s="3">
        <f>IF(($A631-Ft!K$2)&lt;0,Ft!K$3*((1-Ft!K$6)/(1+Ft!K$37*($A631-Ft!K$2)^2)+Ft!K$6*EXP(Ft!K$38*($A631-Ft!K$2)^2)),Ft!K$3*((1-Ft!K$7)/(1+Ft!K$39*($A631-Ft!K$2)^2)+Ft!K$7*EXP(Ft!K$40*($A631-Ft!K$2)^2)))</f>
        <v>0</v>
      </c>
      <c r="P631"/>
      <c r="Q631"/>
    </row>
    <row r="632" spans="1:17">
      <c r="A632" s="20">
        <v>1261</v>
      </c>
      <c r="B632" s="29">
        <v>4.3043048050451214</v>
      </c>
      <c r="C632" s="7">
        <f t="shared" si="19"/>
        <v>4.2815270532350942</v>
      </c>
      <c r="D632" s="3">
        <f t="shared" si="20"/>
        <v>5.1882597751919601E-4</v>
      </c>
      <c r="E632" s="3">
        <f>Ft!$B$12+Ft!$B$14*(Data!A632-Vars!$B$3)</f>
        <v>-200</v>
      </c>
      <c r="F632" s="3">
        <f>IF(($A632-Ft!B$2)&lt;0,Ft!B$3*((1-Ft!B$6)/(1+Ft!B$37*($A632-Ft!B$2)^2)+Ft!B$6*EXP(Ft!B$38*($A632-Ft!B$2)^2)),Ft!B$3*((1-Ft!B$7)/(1+Ft!B$39*($A632-Ft!B$2)^2)+Ft!B$7*EXP(Ft!B$40*($A632-Ft!B$2)^2)))</f>
        <v>0.95302697910439793</v>
      </c>
      <c r="G632" s="3">
        <f>IF(($A632-Ft!C$2)&lt;0,Ft!C$3*((1-Ft!C$6)/(1+Ft!C$37*($A632-Ft!C$2)^2)+Ft!C$6*EXP(Ft!C$38*($A632-Ft!C$2)^2)),Ft!C$3*((1-Ft!C$7)/(1+Ft!C$39*($A632-Ft!C$2)^2)+Ft!C$7*EXP(Ft!C$40*($A632-Ft!C$2)^2)))</f>
        <v>48.805535000815638</v>
      </c>
      <c r="H632" s="3">
        <f>IF(($A632-Ft!D$2)&lt;0,Ft!D$3*((1-Ft!D$6)/(1+Ft!D$37*($A632-Ft!D$2)^2)+Ft!D$6*EXP(Ft!D$38*($A632-Ft!D$2)^2)),Ft!D$3*((1-Ft!D$7)/(1+Ft!D$39*($A632-Ft!D$2)^2)+Ft!D$7*EXP(Ft!D$40*($A632-Ft!D$2)^2)))</f>
        <v>5.5484841841757449E-205</v>
      </c>
      <c r="I632" s="3">
        <f>IF(($A632-Ft!E$2)&lt;0,Ft!E$3*((1-Ft!E$6)/(1+Ft!E$37*($A632-Ft!E$2)^2)+Ft!E$6*EXP(Ft!E$38*($A632-Ft!E$2)^2)),Ft!E$3*((1-Ft!E$7)/(1+Ft!E$39*($A632-Ft!E$2)^2)+Ft!E$7*EXP(Ft!E$40*($A632-Ft!E$2)^2)))</f>
        <v>13.377637694555293</v>
      </c>
      <c r="J632" s="3">
        <f>IF(($A632-Ft!F$2)&lt;0,Ft!F$3*((1-Ft!F$6)/(1+Ft!F$37*($A632-Ft!F$2)^2)+Ft!F$6*EXP(Ft!F$38*($A632-Ft!F$2)^2)),Ft!F$3*((1-Ft!F$7)/(1+Ft!F$39*($A632-Ft!F$2)^2)+Ft!F$7*EXP(Ft!F$40*($A632-Ft!F$2)^2)))</f>
        <v>141.14414606645784</v>
      </c>
      <c r="K632" s="3">
        <f>IF(($A632-Ft!G$2)&lt;0,Ft!G$3*((1-Ft!G$6)/(1+Ft!G$37*($A632-Ft!G$2)^2)+Ft!G$6*EXP(Ft!G$38*($A632-Ft!G$2)^2)),Ft!G$3*((1-Ft!G$7)/(1+Ft!G$39*($A632-Ft!G$2)^2)+Ft!G$7*EXP(Ft!G$40*($A632-Ft!G$2)^2)))</f>
        <v>1.1813123019228018E-3</v>
      </c>
      <c r="L632" s="3">
        <f>IF(($A632-Ft!H$2)&lt;0,Ft!H$3*((1-Ft!H$6)/(1+Ft!H$37*($A632-Ft!H$2)^2)+Ft!H$6*EXP(Ft!H$38*($A632-Ft!H$2)^2)),Ft!H$3*((1-Ft!H$7)/(1+Ft!H$39*($A632-Ft!H$2)^2)+Ft!H$7*EXP(Ft!H$40*($A632-Ft!H$2)^2)))</f>
        <v>0</v>
      </c>
      <c r="M632" s="3">
        <f>IF(($A632-Ft!I$2)&lt;0,Ft!I$3*((1-Ft!I$6)/(1+Ft!I$37*($A632-Ft!I$2)^2)+Ft!I$6*EXP(Ft!I$38*($A632-Ft!I$2)^2)),Ft!I$3*((1-Ft!I$7)/(1+Ft!I$39*($A632-Ft!I$2)^2)+Ft!I$7*EXP(Ft!I$40*($A632-Ft!I$2)^2)))</f>
        <v>0</v>
      </c>
      <c r="N632" s="3">
        <f>IF(($A632-Ft!J$2)&lt;0,Ft!J$3*((1-Ft!J$6)/(1+Ft!J$37*($A632-Ft!J$2)^2)+Ft!J$6*EXP(Ft!J$38*($A632-Ft!J$2)^2)),Ft!J$3*((1-Ft!J$7)/(1+Ft!J$39*($A632-Ft!J$2)^2)+Ft!J$7*EXP(Ft!J$40*($A632-Ft!J$2)^2)))</f>
        <v>0</v>
      </c>
      <c r="O632" s="3">
        <f>IF(($A632-Ft!K$2)&lt;0,Ft!K$3*((1-Ft!K$6)/(1+Ft!K$37*($A632-Ft!K$2)^2)+Ft!K$6*EXP(Ft!K$38*($A632-Ft!K$2)^2)),Ft!K$3*((1-Ft!K$7)/(1+Ft!K$39*($A632-Ft!K$2)^2)+Ft!K$7*EXP(Ft!K$40*($A632-Ft!K$2)^2)))</f>
        <v>0</v>
      </c>
      <c r="P632"/>
      <c r="Q632"/>
    </row>
    <row r="633" spans="1:17">
      <c r="A633" s="20">
        <v>1263</v>
      </c>
      <c r="B633" s="29">
        <v>4.1036763706733588</v>
      </c>
      <c r="C633" s="7">
        <f t="shared" si="19"/>
        <v>4.1735251025626381</v>
      </c>
      <c r="D633" s="3">
        <f t="shared" si="20"/>
        <v>4.8788453465404254E-3</v>
      </c>
      <c r="E633" s="3">
        <f>Ft!$B$12+Ft!$B$14*(Data!A633-Vars!$B$3)</f>
        <v>-200</v>
      </c>
      <c r="F633" s="3">
        <f>IF(($A633-Ft!B$2)&lt;0,Ft!B$3*((1-Ft!B$6)/(1+Ft!B$37*($A633-Ft!B$2)^2)+Ft!B$6*EXP(Ft!B$38*($A633-Ft!B$2)^2)),Ft!B$3*((1-Ft!B$7)/(1+Ft!B$39*($A633-Ft!B$2)^2)+Ft!B$7*EXP(Ft!B$40*($A633-Ft!B$2)^2)))</f>
        <v>0.93962692311901053</v>
      </c>
      <c r="G633" s="3">
        <f>IF(($A633-Ft!C$2)&lt;0,Ft!C$3*((1-Ft!C$6)/(1+Ft!C$37*($A633-Ft!C$2)^2)+Ft!C$6*EXP(Ft!C$38*($A633-Ft!C$2)^2)),Ft!C$3*((1-Ft!C$7)/(1+Ft!C$39*($A633-Ft!C$2)^2)+Ft!C$7*EXP(Ft!C$40*($A633-Ft!C$2)^2)))</f>
        <v>48.728008656761453</v>
      </c>
      <c r="H633" s="3">
        <f>IF(($A633-Ft!D$2)&lt;0,Ft!D$3*((1-Ft!D$6)/(1+Ft!D$37*($A633-Ft!D$2)^2)+Ft!D$6*EXP(Ft!D$38*($A633-Ft!D$2)^2)),Ft!D$3*((1-Ft!D$7)/(1+Ft!D$39*($A633-Ft!D$2)^2)+Ft!D$7*EXP(Ft!D$40*($A633-Ft!D$2)^2)))</f>
        <v>5.6626479682625976E-206</v>
      </c>
      <c r="I633" s="3">
        <f>IF(($A633-Ft!E$2)&lt;0,Ft!E$3*((1-Ft!E$6)/(1+Ft!E$37*($A633-Ft!E$2)^2)+Ft!E$6*EXP(Ft!E$38*($A633-Ft!E$2)^2)),Ft!E$3*((1-Ft!E$7)/(1+Ft!E$39*($A633-Ft!E$2)^2)+Ft!E$7*EXP(Ft!E$40*($A633-Ft!E$2)^2)))</f>
        <v>13.169022859831276</v>
      </c>
      <c r="J633" s="3">
        <f>IF(($A633-Ft!F$2)&lt;0,Ft!F$3*((1-Ft!F$6)/(1+Ft!F$37*($A633-Ft!F$2)^2)+Ft!F$6*EXP(Ft!F$38*($A633-Ft!F$2)^2)),Ft!F$3*((1-Ft!F$7)/(1+Ft!F$39*($A633-Ft!F$2)^2)+Ft!F$7*EXP(Ft!F$40*($A633-Ft!F$2)^2)))</f>
        <v>141.33573963188422</v>
      </c>
      <c r="K633" s="3">
        <f>IF(($A633-Ft!G$2)&lt;0,Ft!G$3*((1-Ft!G$6)/(1+Ft!G$37*($A633-Ft!G$2)^2)+Ft!G$6*EXP(Ft!G$38*($A633-Ft!G$2)^2)),Ft!G$3*((1-Ft!G$7)/(1+Ft!G$39*($A633-Ft!G$2)^2)+Ft!G$7*EXP(Ft!G$40*($A633-Ft!G$2)^2)))</f>
        <v>1.1270309666600222E-3</v>
      </c>
      <c r="L633" s="3">
        <f>IF(($A633-Ft!H$2)&lt;0,Ft!H$3*((1-Ft!H$6)/(1+Ft!H$37*($A633-Ft!H$2)^2)+Ft!H$6*EXP(Ft!H$38*($A633-Ft!H$2)^2)),Ft!H$3*((1-Ft!H$7)/(1+Ft!H$39*($A633-Ft!H$2)^2)+Ft!H$7*EXP(Ft!H$40*($A633-Ft!H$2)^2)))</f>
        <v>0</v>
      </c>
      <c r="M633" s="3">
        <f>IF(($A633-Ft!I$2)&lt;0,Ft!I$3*((1-Ft!I$6)/(1+Ft!I$37*($A633-Ft!I$2)^2)+Ft!I$6*EXP(Ft!I$38*($A633-Ft!I$2)^2)),Ft!I$3*((1-Ft!I$7)/(1+Ft!I$39*($A633-Ft!I$2)^2)+Ft!I$7*EXP(Ft!I$40*($A633-Ft!I$2)^2)))</f>
        <v>0</v>
      </c>
      <c r="N633" s="3">
        <f>IF(($A633-Ft!J$2)&lt;0,Ft!J$3*((1-Ft!J$6)/(1+Ft!J$37*($A633-Ft!J$2)^2)+Ft!J$6*EXP(Ft!J$38*($A633-Ft!J$2)^2)),Ft!J$3*((1-Ft!J$7)/(1+Ft!J$39*($A633-Ft!J$2)^2)+Ft!J$7*EXP(Ft!J$40*($A633-Ft!J$2)^2)))</f>
        <v>0</v>
      </c>
      <c r="O633" s="3">
        <f>IF(($A633-Ft!K$2)&lt;0,Ft!K$3*((1-Ft!K$6)/(1+Ft!K$37*($A633-Ft!K$2)^2)+Ft!K$6*EXP(Ft!K$38*($A633-Ft!K$2)^2)),Ft!K$3*((1-Ft!K$7)/(1+Ft!K$39*($A633-Ft!K$2)^2)+Ft!K$7*EXP(Ft!K$40*($A633-Ft!K$2)^2)))</f>
        <v>0</v>
      </c>
      <c r="P633"/>
      <c r="Q633"/>
    </row>
    <row r="634" spans="1:17">
      <c r="A634" s="20">
        <v>1265</v>
      </c>
      <c r="B634" s="29">
        <v>3.9207188436022533</v>
      </c>
      <c r="C634" s="7">
        <f t="shared" si="19"/>
        <v>4.0662872292896557</v>
      </c>
      <c r="D634" s="3">
        <f t="shared" si="20"/>
        <v>2.1190154911636335E-2</v>
      </c>
      <c r="E634" s="3">
        <f>Ft!$B$12+Ft!$B$14*(Data!A634-Vars!$B$3)</f>
        <v>-200</v>
      </c>
      <c r="F634" s="3">
        <f>IF(($A634-Ft!B$2)&lt;0,Ft!B$3*((1-Ft!B$6)/(1+Ft!B$37*($A634-Ft!B$2)^2)+Ft!B$6*EXP(Ft!B$38*($A634-Ft!B$2)^2)),Ft!B$3*((1-Ft!B$7)/(1+Ft!B$39*($A634-Ft!B$2)^2)+Ft!B$7*EXP(Ft!B$40*($A634-Ft!B$2)^2)))</f>
        <v>0.92639759682104528</v>
      </c>
      <c r="G634" s="3">
        <f>IF(($A634-Ft!C$2)&lt;0,Ft!C$3*((1-Ft!C$6)/(1+Ft!C$37*($A634-Ft!C$2)^2)+Ft!C$6*EXP(Ft!C$38*($A634-Ft!C$2)^2)),Ft!C$3*((1-Ft!C$7)/(1+Ft!C$39*($A634-Ft!C$2)^2)+Ft!C$7*EXP(Ft!C$40*($A634-Ft!C$2)^2)))</f>
        <v>48.650175597494446</v>
      </c>
      <c r="H634" s="3">
        <f>IF(($A634-Ft!D$2)&lt;0,Ft!D$3*((1-Ft!D$6)/(1+Ft!D$37*($A634-Ft!D$2)^2)+Ft!D$6*EXP(Ft!D$38*($A634-Ft!D$2)^2)),Ft!D$3*((1-Ft!D$7)/(1+Ft!D$39*($A634-Ft!D$2)^2)+Ft!D$7*EXP(Ft!D$40*($A634-Ft!D$2)^2)))</f>
        <v>5.7473660959953794E-207</v>
      </c>
      <c r="I634" s="3">
        <f>IF(($A634-Ft!E$2)&lt;0,Ft!E$3*((1-Ft!E$6)/(1+Ft!E$37*($A634-Ft!E$2)^2)+Ft!E$6*EXP(Ft!E$38*($A634-Ft!E$2)^2)),Ft!E$3*((1-Ft!E$7)/(1+Ft!E$39*($A634-Ft!E$2)^2)+Ft!E$7*EXP(Ft!E$40*($A634-Ft!E$2)^2)))</f>
        <v>12.962909597039866</v>
      </c>
      <c r="J634" s="3">
        <f>IF(($A634-Ft!F$2)&lt;0,Ft!F$3*((1-Ft!F$6)/(1+Ft!F$37*($A634-Ft!F$2)^2)+Ft!F$6*EXP(Ft!F$38*($A634-Ft!F$2)^2)),Ft!F$3*((1-Ft!F$7)/(1+Ft!F$39*($A634-Ft!F$2)^2)+Ft!F$7*EXP(Ft!F$40*($A634-Ft!F$2)^2)))</f>
        <v>141.52572930567703</v>
      </c>
      <c r="K634" s="3">
        <f>IF(($A634-Ft!G$2)&lt;0,Ft!G$3*((1-Ft!G$6)/(1+Ft!G$37*($A634-Ft!G$2)^2)+Ft!G$6*EXP(Ft!G$38*($A634-Ft!G$2)^2)),Ft!G$3*((1-Ft!G$7)/(1+Ft!G$39*($A634-Ft!G$2)^2)+Ft!G$7*EXP(Ft!G$40*($A634-Ft!G$2)^2)))</f>
        <v>1.0751322572838007E-3</v>
      </c>
      <c r="L634" s="3">
        <f>IF(($A634-Ft!H$2)&lt;0,Ft!H$3*((1-Ft!H$6)/(1+Ft!H$37*($A634-Ft!H$2)^2)+Ft!H$6*EXP(Ft!H$38*($A634-Ft!H$2)^2)),Ft!H$3*((1-Ft!H$7)/(1+Ft!H$39*($A634-Ft!H$2)^2)+Ft!H$7*EXP(Ft!H$40*($A634-Ft!H$2)^2)))</f>
        <v>0</v>
      </c>
      <c r="M634" s="3">
        <f>IF(($A634-Ft!I$2)&lt;0,Ft!I$3*((1-Ft!I$6)/(1+Ft!I$37*($A634-Ft!I$2)^2)+Ft!I$6*EXP(Ft!I$38*($A634-Ft!I$2)^2)),Ft!I$3*((1-Ft!I$7)/(1+Ft!I$39*($A634-Ft!I$2)^2)+Ft!I$7*EXP(Ft!I$40*($A634-Ft!I$2)^2)))</f>
        <v>0</v>
      </c>
      <c r="N634" s="3">
        <f>IF(($A634-Ft!J$2)&lt;0,Ft!J$3*((1-Ft!J$6)/(1+Ft!J$37*($A634-Ft!J$2)^2)+Ft!J$6*EXP(Ft!J$38*($A634-Ft!J$2)^2)),Ft!J$3*((1-Ft!J$7)/(1+Ft!J$39*($A634-Ft!J$2)^2)+Ft!J$7*EXP(Ft!J$40*($A634-Ft!J$2)^2)))</f>
        <v>0</v>
      </c>
      <c r="O634" s="3">
        <f>IF(($A634-Ft!K$2)&lt;0,Ft!K$3*((1-Ft!K$6)/(1+Ft!K$37*($A634-Ft!K$2)^2)+Ft!K$6*EXP(Ft!K$38*($A634-Ft!K$2)^2)),Ft!K$3*((1-Ft!K$7)/(1+Ft!K$39*($A634-Ft!K$2)^2)+Ft!K$7*EXP(Ft!K$40*($A634-Ft!K$2)^2)))</f>
        <v>0</v>
      </c>
      <c r="P634"/>
      <c r="Q634"/>
    </row>
    <row r="635" spans="1:17">
      <c r="A635" s="20">
        <v>1267</v>
      </c>
      <c r="B635" s="29">
        <v>3.7433295914889633</v>
      </c>
      <c r="C635" s="7">
        <f t="shared" si="19"/>
        <v>3.9597906930183382</v>
      </c>
      <c r="D635" s="3">
        <f t="shared" si="20"/>
        <v>4.6855408475310355E-2</v>
      </c>
      <c r="E635" s="3">
        <f>Ft!$B$12+Ft!$B$14*(Data!A635-Vars!$B$3)</f>
        <v>-200</v>
      </c>
      <c r="F635" s="3">
        <f>IF(($A635-Ft!B$2)&lt;0,Ft!B$3*((1-Ft!B$6)/(1+Ft!B$37*($A635-Ft!B$2)^2)+Ft!B$6*EXP(Ft!B$38*($A635-Ft!B$2)^2)),Ft!B$3*((1-Ft!B$7)/(1+Ft!B$39*($A635-Ft!B$2)^2)+Ft!B$7*EXP(Ft!B$40*($A635-Ft!B$2)^2)))</f>
        <v>0.91333709789895756</v>
      </c>
      <c r="G635" s="3">
        <f>IF(($A635-Ft!C$2)&lt;0,Ft!C$3*((1-Ft!C$6)/(1+Ft!C$37*($A635-Ft!C$2)^2)+Ft!C$6*EXP(Ft!C$38*($A635-Ft!C$2)^2)),Ft!C$3*((1-Ft!C$7)/(1+Ft!C$39*($A635-Ft!C$2)^2)+Ft!C$7*EXP(Ft!C$40*($A635-Ft!C$2)^2)))</f>
        <v>48.572037687255637</v>
      </c>
      <c r="H635" s="3">
        <f>IF(($A635-Ft!D$2)&lt;0,Ft!D$3*((1-Ft!D$6)/(1+Ft!D$37*($A635-Ft!D$2)^2)+Ft!D$6*EXP(Ft!D$38*($A635-Ft!D$2)^2)),Ft!D$3*((1-Ft!D$7)/(1+Ft!D$39*($A635-Ft!D$2)^2)+Ft!D$7*EXP(Ft!D$40*($A635-Ft!D$2)^2)))</f>
        <v>5.8012588906083781E-208</v>
      </c>
      <c r="I635" s="3">
        <f>IF(($A635-Ft!E$2)&lt;0,Ft!E$3*((1-Ft!E$6)/(1+Ft!E$37*($A635-Ft!E$2)^2)+Ft!E$6*EXP(Ft!E$38*($A635-Ft!E$2)^2)),Ft!E$3*((1-Ft!E$7)/(1+Ft!E$39*($A635-Ft!E$2)^2)+Ft!E$7*EXP(Ft!E$40*($A635-Ft!E$2)^2)))</f>
        <v>12.759282466888784</v>
      </c>
      <c r="J635" s="3">
        <f>IF(($A635-Ft!F$2)&lt;0,Ft!F$3*((1-Ft!F$6)/(1+Ft!F$37*($A635-Ft!F$2)^2)+Ft!F$6*EXP(Ft!F$38*($A635-Ft!F$2)^2)),Ft!F$3*((1-Ft!F$7)/(1+Ft!F$39*($A635-Ft!F$2)^2)+Ft!F$7*EXP(Ft!F$40*($A635-Ft!F$2)^2)))</f>
        <v>141.71410792399342</v>
      </c>
      <c r="K635" s="3">
        <f>IF(($A635-Ft!G$2)&lt;0,Ft!G$3*((1-Ft!G$6)/(1+Ft!G$37*($A635-Ft!G$2)^2)+Ft!G$6*EXP(Ft!G$38*($A635-Ft!G$2)^2)),Ft!G$3*((1-Ft!G$7)/(1+Ft!G$39*($A635-Ft!G$2)^2)+Ft!G$7*EXP(Ft!G$40*($A635-Ft!G$2)^2)))</f>
        <v>1.0255169815464114E-3</v>
      </c>
      <c r="L635" s="3">
        <f>IF(($A635-Ft!H$2)&lt;0,Ft!H$3*((1-Ft!H$6)/(1+Ft!H$37*($A635-Ft!H$2)^2)+Ft!H$6*EXP(Ft!H$38*($A635-Ft!H$2)^2)),Ft!H$3*((1-Ft!H$7)/(1+Ft!H$39*($A635-Ft!H$2)^2)+Ft!H$7*EXP(Ft!H$40*($A635-Ft!H$2)^2)))</f>
        <v>0</v>
      </c>
      <c r="M635" s="3">
        <f>IF(($A635-Ft!I$2)&lt;0,Ft!I$3*((1-Ft!I$6)/(1+Ft!I$37*($A635-Ft!I$2)^2)+Ft!I$6*EXP(Ft!I$38*($A635-Ft!I$2)^2)),Ft!I$3*((1-Ft!I$7)/(1+Ft!I$39*($A635-Ft!I$2)^2)+Ft!I$7*EXP(Ft!I$40*($A635-Ft!I$2)^2)))</f>
        <v>0</v>
      </c>
      <c r="N635" s="3">
        <f>IF(($A635-Ft!J$2)&lt;0,Ft!J$3*((1-Ft!J$6)/(1+Ft!J$37*($A635-Ft!J$2)^2)+Ft!J$6*EXP(Ft!J$38*($A635-Ft!J$2)^2)),Ft!J$3*((1-Ft!J$7)/(1+Ft!J$39*($A635-Ft!J$2)^2)+Ft!J$7*EXP(Ft!J$40*($A635-Ft!J$2)^2)))</f>
        <v>0</v>
      </c>
      <c r="O635" s="3">
        <f>IF(($A635-Ft!K$2)&lt;0,Ft!K$3*((1-Ft!K$6)/(1+Ft!K$37*($A635-Ft!K$2)^2)+Ft!K$6*EXP(Ft!K$38*($A635-Ft!K$2)^2)),Ft!K$3*((1-Ft!K$7)/(1+Ft!K$39*($A635-Ft!K$2)^2)+Ft!K$7*EXP(Ft!K$40*($A635-Ft!K$2)^2)))</f>
        <v>0</v>
      </c>
      <c r="P635"/>
      <c r="Q635"/>
    </row>
    <row r="636" spans="1:17">
      <c r="A636" s="20">
        <v>1269</v>
      </c>
      <c r="B636" s="29">
        <v>3.5738865786071981</v>
      </c>
      <c r="C636" s="7">
        <f t="shared" si="19"/>
        <v>3.8540126466822517</v>
      </c>
      <c r="D636" s="3">
        <f t="shared" si="20"/>
        <v>7.8470614015189621E-2</v>
      </c>
      <c r="E636" s="3">
        <f>Ft!$B$12+Ft!$B$14*(Data!A636-Vars!$B$3)</f>
        <v>-200</v>
      </c>
      <c r="F636" s="3">
        <f>IF(($A636-Ft!B$2)&lt;0,Ft!B$3*((1-Ft!B$6)/(1+Ft!B$37*($A636-Ft!B$2)^2)+Ft!B$6*EXP(Ft!B$38*($A636-Ft!B$2)^2)),Ft!B$3*((1-Ft!B$7)/(1+Ft!B$39*($A636-Ft!B$2)^2)+Ft!B$7*EXP(Ft!B$40*($A636-Ft!B$2)^2)))</f>
        <v>0.90044354124353243</v>
      </c>
      <c r="G636" s="3">
        <f>IF(($A636-Ft!C$2)&lt;0,Ft!C$3*((1-Ft!C$6)/(1+Ft!C$37*($A636-Ft!C$2)^2)+Ft!C$6*EXP(Ft!C$38*($A636-Ft!C$2)^2)),Ft!C$3*((1-Ft!C$7)/(1+Ft!C$39*($A636-Ft!C$2)^2)+Ft!C$7*EXP(Ft!C$40*($A636-Ft!C$2)^2)))</f>
        <v>48.493596795374337</v>
      </c>
      <c r="H636" s="3">
        <f>IF(($A636-Ft!D$2)&lt;0,Ft!D$3*((1-Ft!D$6)/(1+Ft!D$37*($A636-Ft!D$2)^2)+Ft!D$6*EXP(Ft!D$38*($A636-Ft!D$2)^2)),Ft!D$3*((1-Ft!D$7)/(1+Ft!D$39*($A636-Ft!D$2)^2)+Ft!D$7*EXP(Ft!D$40*($A636-Ft!D$2)^2)))</f>
        <v>5.8234415304864878E-209</v>
      </c>
      <c r="I636" s="3">
        <f>IF(($A636-Ft!E$2)&lt;0,Ft!E$3*((1-Ft!E$6)/(1+Ft!E$37*($A636-Ft!E$2)^2)+Ft!E$6*EXP(Ft!E$38*($A636-Ft!E$2)^2)),Ft!E$3*((1-Ft!E$7)/(1+Ft!E$39*($A636-Ft!E$2)^2)+Ft!E$7*EXP(Ft!E$40*($A636-Ft!E$2)^2)))</f>
        <v>12.558125843134375</v>
      </c>
      <c r="J636" s="3">
        <f>IF(($A636-Ft!F$2)&lt;0,Ft!F$3*((1-Ft!F$6)/(1+Ft!F$37*($A636-Ft!F$2)^2)+Ft!F$6*EXP(Ft!F$38*($A636-Ft!F$2)^2)),Ft!F$3*((1-Ft!F$7)/(1+Ft!F$39*($A636-Ft!F$2)^2)+Ft!F$7*EXP(Ft!F$40*($A636-Ft!F$2)^2)))</f>
        <v>141.90086837710479</v>
      </c>
      <c r="K636" s="3">
        <f>IF(($A636-Ft!G$2)&lt;0,Ft!G$3*((1-Ft!G$6)/(1+Ft!G$37*($A636-Ft!G$2)^2)+Ft!G$6*EXP(Ft!G$38*($A636-Ft!G$2)^2)),Ft!G$3*((1-Ft!G$7)/(1+Ft!G$39*($A636-Ft!G$2)^2)+Ft!G$7*EXP(Ft!G$40*($A636-Ft!G$2)^2)))</f>
        <v>9.780898252119486E-4</v>
      </c>
      <c r="L636" s="3">
        <f>IF(($A636-Ft!H$2)&lt;0,Ft!H$3*((1-Ft!H$6)/(1+Ft!H$37*($A636-Ft!H$2)^2)+Ft!H$6*EXP(Ft!H$38*($A636-Ft!H$2)^2)),Ft!H$3*((1-Ft!H$7)/(1+Ft!H$39*($A636-Ft!H$2)^2)+Ft!H$7*EXP(Ft!H$40*($A636-Ft!H$2)^2)))</f>
        <v>0</v>
      </c>
      <c r="M636" s="3">
        <f>IF(($A636-Ft!I$2)&lt;0,Ft!I$3*((1-Ft!I$6)/(1+Ft!I$37*($A636-Ft!I$2)^2)+Ft!I$6*EXP(Ft!I$38*($A636-Ft!I$2)^2)),Ft!I$3*((1-Ft!I$7)/(1+Ft!I$39*($A636-Ft!I$2)^2)+Ft!I$7*EXP(Ft!I$40*($A636-Ft!I$2)^2)))</f>
        <v>0</v>
      </c>
      <c r="N636" s="3">
        <f>IF(($A636-Ft!J$2)&lt;0,Ft!J$3*((1-Ft!J$6)/(1+Ft!J$37*($A636-Ft!J$2)^2)+Ft!J$6*EXP(Ft!J$38*($A636-Ft!J$2)^2)),Ft!J$3*((1-Ft!J$7)/(1+Ft!J$39*($A636-Ft!J$2)^2)+Ft!J$7*EXP(Ft!J$40*($A636-Ft!J$2)^2)))</f>
        <v>0</v>
      </c>
      <c r="O636" s="3">
        <f>IF(($A636-Ft!K$2)&lt;0,Ft!K$3*((1-Ft!K$6)/(1+Ft!K$37*($A636-Ft!K$2)^2)+Ft!K$6*EXP(Ft!K$38*($A636-Ft!K$2)^2)),Ft!K$3*((1-Ft!K$7)/(1+Ft!K$39*($A636-Ft!K$2)^2)+Ft!K$7*EXP(Ft!K$40*($A636-Ft!K$2)^2)))</f>
        <v>0</v>
      </c>
      <c r="P636"/>
      <c r="Q636"/>
    </row>
    <row r="637" spans="1:17">
      <c r="A637" s="20">
        <v>1271</v>
      </c>
      <c r="B637" s="29">
        <v>3.4016982234272568</v>
      </c>
      <c r="C637" s="7">
        <f t="shared" si="19"/>
        <v>3.748930143211382</v>
      </c>
      <c r="D637" s="3">
        <f t="shared" si="20"/>
        <v>0.12057000611696912</v>
      </c>
      <c r="E637" s="3">
        <f>Ft!$B$12+Ft!$B$14*(Data!A637-Vars!$B$3)</f>
        <v>-200</v>
      </c>
      <c r="F637" s="3">
        <f>IF(($A637-Ft!B$2)&lt;0,Ft!B$3*((1-Ft!B$6)/(1+Ft!B$37*($A637-Ft!B$2)^2)+Ft!B$6*EXP(Ft!B$38*($A637-Ft!B$2)^2)),Ft!B$3*((1-Ft!B$7)/(1+Ft!B$39*($A637-Ft!B$2)^2)+Ft!B$7*EXP(Ft!B$40*($A637-Ft!B$2)^2)))</f>
        <v>0.88771505884827173</v>
      </c>
      <c r="G637" s="3">
        <f>IF(($A637-Ft!C$2)&lt;0,Ft!C$3*((1-Ft!C$6)/(1+Ft!C$37*($A637-Ft!C$2)^2)+Ft!C$6*EXP(Ft!C$38*($A637-Ft!C$2)^2)),Ft!C$3*((1-Ft!C$7)/(1+Ft!C$39*($A637-Ft!C$2)^2)+Ft!C$7*EXP(Ft!C$40*($A637-Ft!C$2)^2)))</f>
        <v>48.414854796194007</v>
      </c>
      <c r="H637" s="3">
        <f>IF(($A637-Ft!D$2)&lt;0,Ft!D$3*((1-Ft!D$6)/(1+Ft!D$37*($A637-Ft!D$2)^2)+Ft!D$6*EXP(Ft!D$38*($A637-Ft!D$2)^2)),Ft!D$3*((1-Ft!D$7)/(1+Ft!D$39*($A637-Ft!D$2)^2)+Ft!D$7*EXP(Ft!D$40*($A637-Ft!D$2)^2)))</f>
        <v>5.813548216664487E-210</v>
      </c>
      <c r="I637" s="3">
        <f>IF(($A637-Ft!E$2)&lt;0,Ft!E$3*((1-Ft!E$6)/(1+Ft!E$37*($A637-Ft!E$2)^2)+Ft!E$6*EXP(Ft!E$38*($A637-Ft!E$2)^2)),Ft!E$3*((1-Ft!E$7)/(1+Ft!E$39*($A637-Ft!E$2)^2)+Ft!E$7*EXP(Ft!E$40*($A637-Ft!E$2)^2)))</f>
        <v>12.359423919113702</v>
      </c>
      <c r="J637" s="3">
        <f>IF(($A637-Ft!F$2)&lt;0,Ft!F$3*((1-Ft!F$6)/(1+Ft!F$37*($A637-Ft!F$2)^2)+Ft!F$6*EXP(Ft!F$38*($A637-Ft!F$2)^2)),Ft!F$3*((1-Ft!F$7)/(1+Ft!F$39*($A637-Ft!F$2)^2)+Ft!F$7*EXP(Ft!F$40*($A637-Ft!F$2)^2)))</f>
        <v>142.08600360984363</v>
      </c>
      <c r="K637" s="3">
        <f>IF(($A637-Ft!G$2)&lt;0,Ft!G$3*((1-Ft!G$6)/(1+Ft!G$37*($A637-Ft!G$2)^2)+Ft!G$6*EXP(Ft!G$38*($A637-Ft!G$2)^2)),Ft!G$3*((1-Ft!G$7)/(1+Ft!G$39*($A637-Ft!G$2)^2)+Ft!G$7*EXP(Ft!G$40*($A637-Ft!G$2)^2)))</f>
        <v>9.3275921175028692E-4</v>
      </c>
      <c r="L637" s="3">
        <f>IF(($A637-Ft!H$2)&lt;0,Ft!H$3*((1-Ft!H$6)/(1+Ft!H$37*($A637-Ft!H$2)^2)+Ft!H$6*EXP(Ft!H$38*($A637-Ft!H$2)^2)),Ft!H$3*((1-Ft!H$7)/(1+Ft!H$39*($A637-Ft!H$2)^2)+Ft!H$7*EXP(Ft!H$40*($A637-Ft!H$2)^2)))</f>
        <v>0</v>
      </c>
      <c r="M637" s="3">
        <f>IF(($A637-Ft!I$2)&lt;0,Ft!I$3*((1-Ft!I$6)/(1+Ft!I$37*($A637-Ft!I$2)^2)+Ft!I$6*EXP(Ft!I$38*($A637-Ft!I$2)^2)),Ft!I$3*((1-Ft!I$7)/(1+Ft!I$39*($A637-Ft!I$2)^2)+Ft!I$7*EXP(Ft!I$40*($A637-Ft!I$2)^2)))</f>
        <v>0</v>
      </c>
      <c r="N637" s="3">
        <f>IF(($A637-Ft!J$2)&lt;0,Ft!J$3*((1-Ft!J$6)/(1+Ft!J$37*($A637-Ft!J$2)^2)+Ft!J$6*EXP(Ft!J$38*($A637-Ft!J$2)^2)),Ft!J$3*((1-Ft!J$7)/(1+Ft!J$39*($A637-Ft!J$2)^2)+Ft!J$7*EXP(Ft!J$40*($A637-Ft!J$2)^2)))</f>
        <v>0</v>
      </c>
      <c r="O637" s="3">
        <f>IF(($A637-Ft!K$2)&lt;0,Ft!K$3*((1-Ft!K$6)/(1+Ft!K$37*($A637-Ft!K$2)^2)+Ft!K$6*EXP(Ft!K$38*($A637-Ft!K$2)^2)),Ft!K$3*((1-Ft!K$7)/(1+Ft!K$39*($A637-Ft!K$2)^2)+Ft!K$7*EXP(Ft!K$40*($A637-Ft!K$2)^2)))</f>
        <v>0</v>
      </c>
      <c r="P637"/>
      <c r="Q637"/>
    </row>
    <row r="638" spans="1:17">
      <c r="A638" s="20">
        <v>1273</v>
      </c>
      <c r="B638" s="29">
        <v>3.2521289071786432</v>
      </c>
      <c r="C638" s="7">
        <f t="shared" si="19"/>
        <v>3.6445201421471132</v>
      </c>
      <c r="D638" s="3">
        <f t="shared" si="20"/>
        <v>0.15397088128008099</v>
      </c>
      <c r="E638" s="3">
        <f>Ft!$B$12+Ft!$B$14*(Data!A638-Vars!$B$3)</f>
        <v>-200</v>
      </c>
      <c r="F638" s="3">
        <f>IF(($A638-Ft!B$2)&lt;0,Ft!B$3*((1-Ft!B$6)/(1+Ft!B$37*($A638-Ft!B$2)^2)+Ft!B$6*EXP(Ft!B$38*($A638-Ft!B$2)^2)),Ft!B$3*((1-Ft!B$7)/(1+Ft!B$39*($A638-Ft!B$2)^2)+Ft!B$7*EXP(Ft!B$40*($A638-Ft!B$2)^2)))</f>
        <v>0.87514979970956575</v>
      </c>
      <c r="G638" s="3">
        <f>IF(($A638-Ft!C$2)&lt;0,Ft!C$3*((1-Ft!C$6)/(1+Ft!C$37*($A638-Ft!C$2)^2)+Ft!C$6*EXP(Ft!C$38*($A638-Ft!C$2)^2)),Ft!C$3*((1-Ft!C$7)/(1+Ft!C$39*($A638-Ft!C$2)^2)+Ft!C$7*EXP(Ft!C$40*($A638-Ft!C$2)^2)))</f>
        <v>48.335813568997892</v>
      </c>
      <c r="H638" s="3">
        <f>IF(($A638-Ft!D$2)&lt;0,Ft!D$3*((1-Ft!D$6)/(1+Ft!D$37*($A638-Ft!D$2)^2)+Ft!D$6*EXP(Ft!D$38*($A638-Ft!D$2)^2)),Ft!D$3*((1-Ft!D$7)/(1+Ft!D$39*($A638-Ft!D$2)^2)+Ft!D$7*EXP(Ft!D$40*($A638-Ft!D$2)^2)))</f>
        <v>5.7717422079772517E-211</v>
      </c>
      <c r="I638" s="3">
        <f>IF(($A638-Ft!E$2)&lt;0,Ft!E$3*((1-Ft!E$6)/(1+Ft!E$37*($A638-Ft!E$2)^2)+Ft!E$6*EXP(Ft!E$38*($A638-Ft!E$2)^2)),Ft!E$3*((1-Ft!E$7)/(1+Ft!E$39*($A638-Ft!E$2)^2)+Ft!E$7*EXP(Ft!E$40*($A638-Ft!E$2)^2)))</f>
        <v>12.163160714225677</v>
      </c>
      <c r="J638" s="3">
        <f>IF(($A638-Ft!F$2)&lt;0,Ft!F$3*((1-Ft!F$6)/(1+Ft!F$37*($A638-Ft!F$2)^2)+Ft!F$6*EXP(Ft!F$38*($A638-Ft!F$2)^2)),Ft!F$3*((1-Ft!F$7)/(1+Ft!F$39*($A638-Ft!F$2)^2)+Ft!F$7*EXP(Ft!F$40*($A638-Ft!F$2)^2)))</f>
        <v>142.26950662204737</v>
      </c>
      <c r="K638" s="3">
        <f>IF(($A638-Ft!G$2)&lt;0,Ft!G$3*((1-Ft!G$6)/(1+Ft!G$37*($A638-Ft!G$2)^2)+Ft!G$6*EXP(Ft!G$38*($A638-Ft!G$2)^2)),Ft!G$3*((1-Ft!G$7)/(1+Ft!G$39*($A638-Ft!G$2)^2)+Ft!G$7*EXP(Ft!G$40*($A638-Ft!G$2)^2)))</f>
        <v>8.8943716661804703E-4</v>
      </c>
      <c r="L638" s="3">
        <f>IF(($A638-Ft!H$2)&lt;0,Ft!H$3*((1-Ft!H$6)/(1+Ft!H$37*($A638-Ft!H$2)^2)+Ft!H$6*EXP(Ft!H$38*($A638-Ft!H$2)^2)),Ft!H$3*((1-Ft!H$7)/(1+Ft!H$39*($A638-Ft!H$2)^2)+Ft!H$7*EXP(Ft!H$40*($A638-Ft!H$2)^2)))</f>
        <v>0</v>
      </c>
      <c r="M638" s="3">
        <f>IF(($A638-Ft!I$2)&lt;0,Ft!I$3*((1-Ft!I$6)/(1+Ft!I$37*($A638-Ft!I$2)^2)+Ft!I$6*EXP(Ft!I$38*($A638-Ft!I$2)^2)),Ft!I$3*((1-Ft!I$7)/(1+Ft!I$39*($A638-Ft!I$2)^2)+Ft!I$7*EXP(Ft!I$40*($A638-Ft!I$2)^2)))</f>
        <v>0</v>
      </c>
      <c r="N638" s="3">
        <f>IF(($A638-Ft!J$2)&lt;0,Ft!J$3*((1-Ft!J$6)/(1+Ft!J$37*($A638-Ft!J$2)^2)+Ft!J$6*EXP(Ft!J$38*($A638-Ft!J$2)^2)),Ft!J$3*((1-Ft!J$7)/(1+Ft!J$39*($A638-Ft!J$2)^2)+Ft!J$7*EXP(Ft!J$40*($A638-Ft!J$2)^2)))</f>
        <v>0</v>
      </c>
      <c r="O638" s="3">
        <f>IF(($A638-Ft!K$2)&lt;0,Ft!K$3*((1-Ft!K$6)/(1+Ft!K$37*($A638-Ft!K$2)^2)+Ft!K$6*EXP(Ft!K$38*($A638-Ft!K$2)^2)),Ft!K$3*((1-Ft!K$7)/(1+Ft!K$39*($A638-Ft!K$2)^2)+Ft!K$7*EXP(Ft!K$40*($A638-Ft!K$2)^2)))</f>
        <v>0</v>
      </c>
      <c r="P638"/>
      <c r="Q638"/>
    </row>
    <row r="639" spans="1:17">
      <c r="A639" s="20">
        <v>1275</v>
      </c>
      <c r="B639" s="29">
        <v>3.1176552549179335</v>
      </c>
      <c r="C639" s="7">
        <f t="shared" si="19"/>
        <v>3.5407595162065215</v>
      </c>
      <c r="D639" s="3">
        <f t="shared" si="20"/>
        <v>0.17901721592056177</v>
      </c>
      <c r="E639" s="3">
        <f>Ft!$B$12+Ft!$B$14*(Data!A639-Vars!$B$3)</f>
        <v>-200</v>
      </c>
      <c r="F639" s="3">
        <f>IF(($A639-Ft!B$2)&lt;0,Ft!B$3*((1-Ft!B$6)/(1+Ft!B$37*($A639-Ft!B$2)^2)+Ft!B$6*EXP(Ft!B$38*($A639-Ft!B$2)^2)),Ft!B$3*((1-Ft!B$7)/(1+Ft!B$39*($A639-Ft!B$2)^2)+Ft!B$7*EXP(Ft!B$40*($A639-Ft!B$2)^2)))</f>
        <v>0.86274592972665354</v>
      </c>
      <c r="G639" s="3">
        <f>IF(($A639-Ft!C$2)&lt;0,Ft!C$3*((1-Ft!C$6)/(1+Ft!C$37*($A639-Ft!C$2)^2)+Ft!C$6*EXP(Ft!C$38*($A639-Ft!C$2)^2)),Ft!C$3*((1-Ft!C$7)/(1+Ft!C$39*($A639-Ft!C$2)^2)+Ft!C$7*EXP(Ft!C$40*($A639-Ft!C$2)^2)))</f>
        <v>48.256474997934738</v>
      </c>
      <c r="H639" s="3">
        <f>IF(($A639-Ft!D$2)&lt;0,Ft!D$3*((1-Ft!D$6)/(1+Ft!D$37*($A639-Ft!D$2)^2)+Ft!D$6*EXP(Ft!D$38*($A639-Ft!D$2)^2)),Ft!D$3*((1-Ft!D$7)/(1+Ft!D$39*($A639-Ft!D$2)^2)+Ft!D$7*EXP(Ft!D$40*($A639-Ft!D$2)^2)))</f>
        <v>5.6987113391449443E-212</v>
      </c>
      <c r="I639" s="3">
        <f>IF(($A639-Ft!E$2)&lt;0,Ft!E$3*((1-Ft!E$6)/(1+Ft!E$37*($A639-Ft!E$2)^2)+Ft!E$6*EXP(Ft!E$38*($A639-Ft!E$2)^2)),Ft!E$3*((1-Ft!E$7)/(1+Ft!E$39*($A639-Ft!E$2)^2)+Ft!E$7*EXP(Ft!E$40*($A639-Ft!E$2)^2)))</f>
        <v>11.969320080359964</v>
      </c>
      <c r="J639" s="3">
        <f>IF(($A639-Ft!F$2)&lt;0,Ft!F$3*((1-Ft!F$6)/(1+Ft!F$37*($A639-Ft!F$2)^2)+Ft!F$6*EXP(Ft!F$38*($A639-Ft!F$2)^2)),Ft!F$3*((1-Ft!F$7)/(1+Ft!F$39*($A639-Ft!F$2)^2)+Ft!F$7*EXP(Ft!F$40*($A639-Ft!F$2)^2)))</f>
        <v>142.45137046899916</v>
      </c>
      <c r="K639" s="3">
        <f>IF(($A639-Ft!G$2)&lt;0,Ft!G$3*((1-Ft!G$6)/(1+Ft!G$37*($A639-Ft!G$2)^2)+Ft!G$6*EXP(Ft!G$38*($A639-Ft!G$2)^2)),Ft!G$3*((1-Ft!G$7)/(1+Ft!G$39*($A639-Ft!G$2)^2)+Ft!G$7*EXP(Ft!G$40*($A639-Ft!G$2)^2)))</f>
        <v>8.4803918599701865E-4</v>
      </c>
      <c r="L639" s="3">
        <f>IF(($A639-Ft!H$2)&lt;0,Ft!H$3*((1-Ft!H$6)/(1+Ft!H$37*($A639-Ft!H$2)^2)+Ft!H$6*EXP(Ft!H$38*($A639-Ft!H$2)^2)),Ft!H$3*((1-Ft!H$7)/(1+Ft!H$39*($A639-Ft!H$2)^2)+Ft!H$7*EXP(Ft!H$40*($A639-Ft!H$2)^2)))</f>
        <v>0</v>
      </c>
      <c r="M639" s="3">
        <f>IF(($A639-Ft!I$2)&lt;0,Ft!I$3*((1-Ft!I$6)/(1+Ft!I$37*($A639-Ft!I$2)^2)+Ft!I$6*EXP(Ft!I$38*($A639-Ft!I$2)^2)),Ft!I$3*((1-Ft!I$7)/(1+Ft!I$39*($A639-Ft!I$2)^2)+Ft!I$7*EXP(Ft!I$40*($A639-Ft!I$2)^2)))</f>
        <v>0</v>
      </c>
      <c r="N639" s="3">
        <f>IF(($A639-Ft!J$2)&lt;0,Ft!J$3*((1-Ft!J$6)/(1+Ft!J$37*($A639-Ft!J$2)^2)+Ft!J$6*EXP(Ft!J$38*($A639-Ft!J$2)^2)),Ft!J$3*((1-Ft!J$7)/(1+Ft!J$39*($A639-Ft!J$2)^2)+Ft!J$7*EXP(Ft!J$40*($A639-Ft!J$2)^2)))</f>
        <v>0</v>
      </c>
      <c r="O639" s="3">
        <f>IF(($A639-Ft!K$2)&lt;0,Ft!K$3*((1-Ft!K$6)/(1+Ft!K$37*($A639-Ft!K$2)^2)+Ft!K$6*EXP(Ft!K$38*($A639-Ft!K$2)^2)),Ft!K$3*((1-Ft!K$7)/(1+Ft!K$39*($A639-Ft!K$2)^2)+Ft!K$7*EXP(Ft!K$40*($A639-Ft!K$2)^2)))</f>
        <v>0</v>
      </c>
      <c r="P639"/>
      <c r="Q639"/>
    </row>
    <row r="640" spans="1:17">
      <c r="A640" s="20">
        <v>1277</v>
      </c>
      <c r="B640" s="29">
        <v>2.9858139189969863</v>
      </c>
      <c r="C640" s="7">
        <f t="shared" si="19"/>
        <v>3.437625057792995</v>
      </c>
      <c r="D640" s="3">
        <f t="shared" si="20"/>
        <v>0.20413330514014619</v>
      </c>
      <c r="E640" s="3">
        <f>Ft!$B$12+Ft!$B$14*(Data!A640-Vars!$B$3)</f>
        <v>-200</v>
      </c>
      <c r="F640" s="3">
        <f>IF(($A640-Ft!B$2)&lt;0,Ft!B$3*((1-Ft!B$6)/(1+Ft!B$37*($A640-Ft!B$2)^2)+Ft!B$6*EXP(Ft!B$38*($A640-Ft!B$2)^2)),Ft!B$3*((1-Ft!B$7)/(1+Ft!B$39*($A640-Ft!B$2)^2)+Ft!B$7*EXP(Ft!B$40*($A640-Ft!B$2)^2)))</f>
        <v>0.85050163160140879</v>
      </c>
      <c r="G640" s="3">
        <f>IF(($A640-Ft!C$2)&lt;0,Ft!C$3*((1-Ft!C$6)/(1+Ft!C$37*($A640-Ft!C$2)^2)+Ft!C$6*EXP(Ft!C$38*($A640-Ft!C$2)^2)),Ft!C$3*((1-Ft!C$7)/(1+Ft!C$39*($A640-Ft!C$2)^2)+Ft!C$7*EXP(Ft!C$40*($A640-Ft!C$2)^2)))</f>
        <v>48.176840971944202</v>
      </c>
      <c r="H640" s="3">
        <f>IF(($A640-Ft!D$2)&lt;0,Ft!D$3*((1-Ft!D$6)/(1+Ft!D$37*($A640-Ft!D$2)^2)+Ft!D$6*EXP(Ft!D$38*($A640-Ft!D$2)^2)),Ft!D$3*((1-Ft!D$7)/(1+Ft!D$39*($A640-Ft!D$2)^2)+Ft!D$7*EXP(Ft!D$40*($A640-Ft!D$2)^2)))</f>
        <v>5.5956491937444174E-213</v>
      </c>
      <c r="I640" s="3">
        <f>IF(($A640-Ft!E$2)&lt;0,Ft!E$3*((1-Ft!E$6)/(1+Ft!E$37*($A640-Ft!E$2)^2)+Ft!E$6*EXP(Ft!E$38*($A640-Ft!E$2)^2)),Ft!E$3*((1-Ft!E$7)/(1+Ft!E$39*($A640-Ft!E$2)^2)+Ft!E$7*EXP(Ft!E$40*($A640-Ft!E$2)^2)))</f>
        <v>11.777885708272075</v>
      </c>
      <c r="J640" s="3">
        <f>IF(($A640-Ft!F$2)&lt;0,Ft!F$3*((1-Ft!F$6)/(1+Ft!F$37*($A640-Ft!F$2)^2)+Ft!F$6*EXP(Ft!F$38*($A640-Ft!F$2)^2)),Ft!F$3*((1-Ft!F$7)/(1+Ft!F$39*($A640-Ft!F$2)^2)+Ft!F$7*EXP(Ft!F$40*($A640-Ft!F$2)^2)))</f>
        <v>142.63158826186546</v>
      </c>
      <c r="K640" s="3">
        <f>IF(($A640-Ft!G$2)&lt;0,Ft!G$3*((1-Ft!G$6)/(1+Ft!G$37*($A640-Ft!G$2)^2)+Ft!G$6*EXP(Ft!G$38*($A640-Ft!G$2)^2)),Ft!G$3*((1-Ft!G$7)/(1+Ft!G$39*($A640-Ft!G$2)^2)+Ft!G$7*EXP(Ft!G$40*($A640-Ft!G$2)^2)))</f>
        <v>8.0848410986327835E-4</v>
      </c>
      <c r="L640" s="3">
        <f>IF(($A640-Ft!H$2)&lt;0,Ft!H$3*((1-Ft!H$6)/(1+Ft!H$37*($A640-Ft!H$2)^2)+Ft!H$6*EXP(Ft!H$38*($A640-Ft!H$2)^2)),Ft!H$3*((1-Ft!H$7)/(1+Ft!H$39*($A640-Ft!H$2)^2)+Ft!H$7*EXP(Ft!H$40*($A640-Ft!H$2)^2)))</f>
        <v>0</v>
      </c>
      <c r="M640" s="3">
        <f>IF(($A640-Ft!I$2)&lt;0,Ft!I$3*((1-Ft!I$6)/(1+Ft!I$37*($A640-Ft!I$2)^2)+Ft!I$6*EXP(Ft!I$38*($A640-Ft!I$2)^2)),Ft!I$3*((1-Ft!I$7)/(1+Ft!I$39*($A640-Ft!I$2)^2)+Ft!I$7*EXP(Ft!I$40*($A640-Ft!I$2)^2)))</f>
        <v>0</v>
      </c>
      <c r="N640" s="3">
        <f>IF(($A640-Ft!J$2)&lt;0,Ft!J$3*((1-Ft!J$6)/(1+Ft!J$37*($A640-Ft!J$2)^2)+Ft!J$6*EXP(Ft!J$38*($A640-Ft!J$2)^2)),Ft!J$3*((1-Ft!J$7)/(1+Ft!J$39*($A640-Ft!J$2)^2)+Ft!J$7*EXP(Ft!J$40*($A640-Ft!J$2)^2)))</f>
        <v>0</v>
      </c>
      <c r="O640" s="3">
        <f>IF(($A640-Ft!K$2)&lt;0,Ft!K$3*((1-Ft!K$6)/(1+Ft!K$37*($A640-Ft!K$2)^2)+Ft!K$6*EXP(Ft!K$38*($A640-Ft!K$2)^2)),Ft!K$3*((1-Ft!K$7)/(1+Ft!K$39*($A640-Ft!K$2)^2)+Ft!K$7*EXP(Ft!K$40*($A640-Ft!K$2)^2)))</f>
        <v>0</v>
      </c>
      <c r="P640"/>
      <c r="Q640"/>
    </row>
    <row r="641" spans="1:17">
      <c r="A641" s="20">
        <v>1279</v>
      </c>
      <c r="B641" s="29">
        <v>2.8506713952009299</v>
      </c>
      <c r="C641" s="7">
        <f t="shared" si="19"/>
        <v>3.3350934854538736</v>
      </c>
      <c r="D641" s="3">
        <f t="shared" si="20"/>
        <v>0.23466476152503113</v>
      </c>
      <c r="E641" s="3">
        <f>Ft!$B$12+Ft!$B$14*(Data!A641-Vars!$B$3)</f>
        <v>-200</v>
      </c>
      <c r="F641" s="3">
        <f>IF(($A641-Ft!B$2)&lt;0,Ft!B$3*((1-Ft!B$6)/(1+Ft!B$37*($A641-Ft!B$2)^2)+Ft!B$6*EXP(Ft!B$38*($A641-Ft!B$2)^2)),Ft!B$3*((1-Ft!B$7)/(1+Ft!B$39*($A641-Ft!B$2)^2)+Ft!B$7*EXP(Ft!B$40*($A641-Ft!B$2)^2)))</f>
        <v>0.83841510473794989</v>
      </c>
      <c r="G641" s="3">
        <f>IF(($A641-Ft!C$2)&lt;0,Ft!C$3*((1-Ft!C$6)/(1+Ft!C$37*($A641-Ft!C$2)^2)+Ft!C$6*EXP(Ft!C$38*($A641-Ft!C$2)^2)),Ft!C$3*((1-Ft!C$7)/(1+Ft!C$39*($A641-Ft!C$2)^2)+Ft!C$7*EXP(Ft!C$40*($A641-Ft!C$2)^2)))</f>
        <v>48.096913384682381</v>
      </c>
      <c r="H641" s="3">
        <f>IF(($A641-Ft!D$2)&lt;0,Ft!D$3*((1-Ft!D$6)/(1+Ft!D$37*($A641-Ft!D$2)^2)+Ft!D$6*EXP(Ft!D$38*($A641-Ft!D$2)^2)),Ft!D$3*((1-Ft!D$7)/(1+Ft!D$39*($A641-Ft!D$2)^2)+Ft!D$7*EXP(Ft!D$40*($A641-Ft!D$2)^2)))</f>
        <v>5.4642226521898377E-214</v>
      </c>
      <c r="I641" s="3">
        <f>IF(($A641-Ft!E$2)&lt;0,Ft!E$3*((1-Ft!E$6)/(1+Ft!E$37*($A641-Ft!E$2)^2)+Ft!E$6*EXP(Ft!E$38*($A641-Ft!E$2)^2)),Ft!E$3*((1-Ft!E$7)/(1+Ft!E$39*($A641-Ft!E$2)^2)+Ft!E$7*EXP(Ft!E$40*($A641-Ft!E$2)^2)))</f>
        <v>11.588841133903417</v>
      </c>
      <c r="J641" s="3">
        <f>IF(($A641-Ft!F$2)&lt;0,Ft!F$3*((1-Ft!F$6)/(1+Ft!F$37*($A641-Ft!F$2)^2)+Ft!F$6*EXP(Ft!F$38*($A641-Ft!F$2)^2)),Ft!F$3*((1-Ft!F$7)/(1+Ft!F$39*($A641-Ft!F$2)^2)+Ft!F$7*EXP(Ft!F$40*($A641-Ft!F$2)^2)))</f>
        <v>142.81015316813085</v>
      </c>
      <c r="K641" s="3">
        <f>IF(($A641-Ft!G$2)&lt;0,Ft!G$3*((1-Ft!G$6)/(1+Ft!G$37*($A641-Ft!G$2)^2)+Ft!G$6*EXP(Ft!G$38*($A641-Ft!G$2)^2)),Ft!G$3*((1-Ft!G$7)/(1+Ft!G$39*($A641-Ft!G$2)^2)+Ft!G$7*EXP(Ft!G$40*($A641-Ft!G$2)^2)))</f>
        <v>7.7069399926304723E-4</v>
      </c>
      <c r="L641" s="3">
        <f>IF(($A641-Ft!H$2)&lt;0,Ft!H$3*((1-Ft!H$6)/(1+Ft!H$37*($A641-Ft!H$2)^2)+Ft!H$6*EXP(Ft!H$38*($A641-Ft!H$2)^2)),Ft!H$3*((1-Ft!H$7)/(1+Ft!H$39*($A641-Ft!H$2)^2)+Ft!H$7*EXP(Ft!H$40*($A641-Ft!H$2)^2)))</f>
        <v>0</v>
      </c>
      <c r="M641" s="3">
        <f>IF(($A641-Ft!I$2)&lt;0,Ft!I$3*((1-Ft!I$6)/(1+Ft!I$37*($A641-Ft!I$2)^2)+Ft!I$6*EXP(Ft!I$38*($A641-Ft!I$2)^2)),Ft!I$3*((1-Ft!I$7)/(1+Ft!I$39*($A641-Ft!I$2)^2)+Ft!I$7*EXP(Ft!I$40*($A641-Ft!I$2)^2)))</f>
        <v>0</v>
      </c>
      <c r="N641" s="3">
        <f>IF(($A641-Ft!J$2)&lt;0,Ft!J$3*((1-Ft!J$6)/(1+Ft!J$37*($A641-Ft!J$2)^2)+Ft!J$6*EXP(Ft!J$38*($A641-Ft!J$2)^2)),Ft!J$3*((1-Ft!J$7)/(1+Ft!J$39*($A641-Ft!J$2)^2)+Ft!J$7*EXP(Ft!J$40*($A641-Ft!J$2)^2)))</f>
        <v>0</v>
      </c>
      <c r="O641" s="3">
        <f>IF(($A641-Ft!K$2)&lt;0,Ft!K$3*((1-Ft!K$6)/(1+Ft!K$37*($A641-Ft!K$2)^2)+Ft!K$6*EXP(Ft!K$38*($A641-Ft!K$2)^2)),Ft!K$3*((1-Ft!K$7)/(1+Ft!K$39*($A641-Ft!K$2)^2)+Ft!K$7*EXP(Ft!K$40*($A641-Ft!K$2)^2)))</f>
        <v>0</v>
      </c>
      <c r="P641"/>
      <c r="Q641"/>
    </row>
    <row r="642" spans="1:17">
      <c r="A642" s="20">
        <v>1281</v>
      </c>
      <c r="B642" s="29">
        <v>2.72673503355951</v>
      </c>
      <c r="C642" s="7">
        <f t="shared" si="19"/>
        <v>3.2331414502810127</v>
      </c>
      <c r="D642" s="3">
        <f t="shared" si="20"/>
        <v>0.25644745889671233</v>
      </c>
      <c r="E642" s="3">
        <f>Ft!$B$12+Ft!$B$14*(Data!A642-Vars!$B$3)</f>
        <v>-200</v>
      </c>
      <c r="F642" s="3">
        <f>IF(($A642-Ft!B$2)&lt;0,Ft!B$3*((1-Ft!B$6)/(1+Ft!B$37*($A642-Ft!B$2)^2)+Ft!B$6*EXP(Ft!B$38*($A642-Ft!B$2)^2)),Ft!B$3*((1-Ft!B$7)/(1+Ft!B$39*($A642-Ft!B$2)^2)+Ft!B$7*EXP(Ft!B$40*($A642-Ft!B$2)^2)))</f>
        <v>0.82648456514208291</v>
      </c>
      <c r="G642" s="3">
        <f>IF(($A642-Ft!C$2)&lt;0,Ft!C$3*((1-Ft!C$6)/(1+Ft!C$37*($A642-Ft!C$2)^2)+Ft!C$6*EXP(Ft!C$38*($A642-Ft!C$2)^2)),Ft!C$3*((1-Ft!C$7)/(1+Ft!C$39*($A642-Ft!C$2)^2)+Ft!C$7*EXP(Ft!C$40*($A642-Ft!C$2)^2)))</f>
        <v>48.016694134447079</v>
      </c>
      <c r="H642" s="3">
        <f>IF(($A642-Ft!D$2)&lt;0,Ft!D$3*((1-Ft!D$6)/(1+Ft!D$37*($A642-Ft!D$2)^2)+Ft!D$6*EXP(Ft!D$38*($A642-Ft!D$2)^2)),Ft!D$3*((1-Ft!D$7)/(1+Ft!D$39*($A642-Ft!D$2)^2)+Ft!D$7*EXP(Ft!D$40*($A642-Ft!D$2)^2)))</f>
        <v>5.3065270476947531E-215</v>
      </c>
      <c r="I642" s="3">
        <f>IF(($A642-Ft!E$2)&lt;0,Ft!E$3*((1-Ft!E$6)/(1+Ft!E$37*($A642-Ft!E$2)^2)+Ft!E$6*EXP(Ft!E$38*($A642-Ft!E$2)^2)),Ft!E$3*((1-Ft!E$7)/(1+Ft!E$39*($A642-Ft!E$2)^2)+Ft!E$7*EXP(Ft!E$40*($A642-Ft!E$2)^2)))</f>
        <v>11.40216974464496</v>
      </c>
      <c r="J642" s="3">
        <f>IF(($A642-Ft!F$2)&lt;0,Ft!F$3*((1-Ft!F$6)/(1+Ft!F$37*($A642-Ft!F$2)^2)+Ft!F$6*EXP(Ft!F$38*($A642-Ft!F$2)^2)),Ft!F$3*((1-Ft!F$7)/(1+Ft!F$39*($A642-Ft!F$2)^2)+Ft!F$7*EXP(Ft!F$40*($A642-Ft!F$2)^2)))</f>
        <v>142.9870584120292</v>
      </c>
      <c r="K642" s="3">
        <f>IF(($A642-Ft!G$2)&lt;0,Ft!G$3*((1-Ft!G$6)/(1+Ft!G$37*($A642-Ft!G$2)^2)+Ft!G$6*EXP(Ft!G$38*($A642-Ft!G$2)^2)),Ft!G$3*((1-Ft!G$7)/(1+Ft!G$39*($A642-Ft!G$2)^2)+Ft!G$7*EXP(Ft!G$40*($A642-Ft!G$2)^2)))</f>
        <v>7.3459401767417688E-4</v>
      </c>
      <c r="L642" s="3">
        <f>IF(($A642-Ft!H$2)&lt;0,Ft!H$3*((1-Ft!H$6)/(1+Ft!H$37*($A642-Ft!H$2)^2)+Ft!H$6*EXP(Ft!H$38*($A642-Ft!H$2)^2)),Ft!H$3*((1-Ft!H$7)/(1+Ft!H$39*($A642-Ft!H$2)^2)+Ft!H$7*EXP(Ft!H$40*($A642-Ft!H$2)^2)))</f>
        <v>0</v>
      </c>
      <c r="M642" s="3">
        <f>IF(($A642-Ft!I$2)&lt;0,Ft!I$3*((1-Ft!I$6)/(1+Ft!I$37*($A642-Ft!I$2)^2)+Ft!I$6*EXP(Ft!I$38*($A642-Ft!I$2)^2)),Ft!I$3*((1-Ft!I$7)/(1+Ft!I$39*($A642-Ft!I$2)^2)+Ft!I$7*EXP(Ft!I$40*($A642-Ft!I$2)^2)))</f>
        <v>0</v>
      </c>
      <c r="N642" s="3">
        <f>IF(($A642-Ft!J$2)&lt;0,Ft!J$3*((1-Ft!J$6)/(1+Ft!J$37*($A642-Ft!J$2)^2)+Ft!J$6*EXP(Ft!J$38*($A642-Ft!J$2)^2)),Ft!J$3*((1-Ft!J$7)/(1+Ft!J$39*($A642-Ft!J$2)^2)+Ft!J$7*EXP(Ft!J$40*($A642-Ft!J$2)^2)))</f>
        <v>0</v>
      </c>
      <c r="O642" s="3">
        <f>IF(($A642-Ft!K$2)&lt;0,Ft!K$3*((1-Ft!K$6)/(1+Ft!K$37*($A642-Ft!K$2)^2)+Ft!K$6*EXP(Ft!K$38*($A642-Ft!K$2)^2)),Ft!K$3*((1-Ft!K$7)/(1+Ft!K$39*($A642-Ft!K$2)^2)+Ft!K$7*EXP(Ft!K$40*($A642-Ft!K$2)^2)))</f>
        <v>0</v>
      </c>
      <c r="P642"/>
      <c r="Q642"/>
    </row>
    <row r="643" spans="1:17">
      <c r="A643" s="20">
        <v>1283</v>
      </c>
      <c r="B643" s="29">
        <v>2.6089430304502095</v>
      </c>
      <c r="C643" s="7">
        <f t="shared" ref="C643:C680" si="21">SUM(E643:K643)</f>
        <v>3.1317455422553704</v>
      </c>
      <c r="D643" s="3">
        <f t="shared" si="20"/>
        <v>0.27332246634978541</v>
      </c>
      <c r="E643" s="3">
        <f>Ft!$B$12+Ft!$B$14*(Data!A643-Vars!$B$3)</f>
        <v>-200</v>
      </c>
      <c r="F643" s="3">
        <f>IF(($A643-Ft!B$2)&lt;0,Ft!B$3*((1-Ft!B$6)/(1+Ft!B$37*($A643-Ft!B$2)^2)+Ft!B$6*EXP(Ft!B$38*($A643-Ft!B$2)^2)),Ft!B$3*((1-Ft!B$7)/(1+Ft!B$39*($A643-Ft!B$2)^2)+Ft!B$7*EXP(Ft!B$40*($A643-Ft!B$2)^2)))</f>
        <v>0.81470824532061081</v>
      </c>
      <c r="G643" s="3">
        <f>IF(($A643-Ft!C$2)&lt;0,Ft!C$3*((1-Ft!C$6)/(1+Ft!C$37*($A643-Ft!C$2)^2)+Ft!C$6*EXP(Ft!C$38*($A643-Ft!C$2)^2)),Ft!C$3*((1-Ft!C$7)/(1+Ft!C$39*($A643-Ft!C$2)^2)+Ft!C$7*EXP(Ft!C$40*($A643-Ft!C$2)^2)))</f>
        <v>47.936185124103112</v>
      </c>
      <c r="H643" s="3">
        <f>IF(($A643-Ft!D$2)&lt;0,Ft!D$3*((1-Ft!D$6)/(1+Ft!D$37*($A643-Ft!D$2)^2)+Ft!D$6*EXP(Ft!D$38*($A643-Ft!D$2)^2)),Ft!D$3*((1-Ft!D$7)/(1+Ft!D$39*($A643-Ft!D$2)^2)+Ft!D$7*EXP(Ft!D$40*($A643-Ft!D$2)^2)))</f>
        <v>5.1250306159182205E-216</v>
      </c>
      <c r="I643" s="3">
        <f>IF(($A643-Ft!E$2)&lt;0,Ft!E$3*((1-Ft!E$6)/(1+Ft!E$37*($A643-Ft!E$2)^2)+Ft!E$6*EXP(Ft!E$38*($A643-Ft!E$2)^2)),Ft!E$3*((1-Ft!E$7)/(1+Ft!E$39*($A643-Ft!E$2)^2)+Ft!E$7*EXP(Ft!E$40*($A643-Ft!E$2)^2)))</f>
        <v>11.217854785543269</v>
      </c>
      <c r="J643" s="3">
        <f>IF(($A643-Ft!F$2)&lt;0,Ft!F$3*((1-Ft!F$6)/(1+Ft!F$37*($A643-Ft!F$2)^2)+Ft!F$6*EXP(Ft!F$38*($A643-Ft!F$2)^2)),Ft!F$3*((1-Ft!F$7)/(1+Ft!F$39*($A643-Ft!F$2)^2)+Ft!F$7*EXP(Ft!F$40*($A643-Ft!F$2)^2)))</f>
        <v>143.16229727497205</v>
      </c>
      <c r="K643" s="3">
        <f>IF(($A643-Ft!G$2)&lt;0,Ft!G$3*((1-Ft!G$6)/(1+Ft!G$37*($A643-Ft!G$2)^2)+Ft!G$6*EXP(Ft!G$38*($A643-Ft!G$2)^2)),Ft!G$3*((1-Ft!G$7)/(1+Ft!G$39*($A643-Ft!G$2)^2)+Ft!G$7*EXP(Ft!G$40*($A643-Ft!G$2)^2)))</f>
        <v>7.001123163348082E-4</v>
      </c>
      <c r="L643" s="3">
        <f>IF(($A643-Ft!H$2)&lt;0,Ft!H$3*((1-Ft!H$6)/(1+Ft!H$37*($A643-Ft!H$2)^2)+Ft!H$6*EXP(Ft!H$38*($A643-Ft!H$2)^2)),Ft!H$3*((1-Ft!H$7)/(1+Ft!H$39*($A643-Ft!H$2)^2)+Ft!H$7*EXP(Ft!H$40*($A643-Ft!H$2)^2)))</f>
        <v>0</v>
      </c>
      <c r="M643" s="3">
        <f>IF(($A643-Ft!I$2)&lt;0,Ft!I$3*((1-Ft!I$6)/(1+Ft!I$37*($A643-Ft!I$2)^2)+Ft!I$6*EXP(Ft!I$38*($A643-Ft!I$2)^2)),Ft!I$3*((1-Ft!I$7)/(1+Ft!I$39*($A643-Ft!I$2)^2)+Ft!I$7*EXP(Ft!I$40*($A643-Ft!I$2)^2)))</f>
        <v>0</v>
      </c>
      <c r="N643" s="3">
        <f>IF(($A643-Ft!J$2)&lt;0,Ft!J$3*((1-Ft!J$6)/(1+Ft!J$37*($A643-Ft!J$2)^2)+Ft!J$6*EXP(Ft!J$38*($A643-Ft!J$2)^2)),Ft!J$3*((1-Ft!J$7)/(1+Ft!J$39*($A643-Ft!J$2)^2)+Ft!J$7*EXP(Ft!J$40*($A643-Ft!J$2)^2)))</f>
        <v>0</v>
      </c>
      <c r="O643" s="3">
        <f>IF(($A643-Ft!K$2)&lt;0,Ft!K$3*((1-Ft!K$6)/(1+Ft!K$37*($A643-Ft!K$2)^2)+Ft!K$6*EXP(Ft!K$38*($A643-Ft!K$2)^2)),Ft!K$3*((1-Ft!K$7)/(1+Ft!K$39*($A643-Ft!K$2)^2)+Ft!K$7*EXP(Ft!K$40*($A643-Ft!K$2)^2)))</f>
        <v>0</v>
      </c>
      <c r="P643"/>
      <c r="Q643"/>
    </row>
    <row r="644" spans="1:17">
      <c r="A644" s="20">
        <v>1285</v>
      </c>
      <c r="B644" s="29">
        <v>2.4973797763371768</v>
      </c>
      <c r="C644" s="7">
        <f t="shared" si="21"/>
        <v>3.0308822965326367</v>
      </c>
      <c r="D644" s="3">
        <f t="shared" si="20"/>
        <v>0.28462493905490716</v>
      </c>
      <c r="E644" s="3">
        <f>Ft!$B$12+Ft!$B$14*(Data!A644-Vars!$B$3)</f>
        <v>-200</v>
      </c>
      <c r="F644" s="3">
        <f>IF(($A644-Ft!B$2)&lt;0,Ft!B$3*((1-Ft!B$6)/(1+Ft!B$37*($A644-Ft!B$2)^2)+Ft!B$6*EXP(Ft!B$38*($A644-Ft!B$2)^2)),Ft!B$3*((1-Ft!B$7)/(1+Ft!B$39*($A644-Ft!B$2)^2)+Ft!B$7*EXP(Ft!B$40*($A644-Ft!B$2)^2)))</f>
        <v>0.80308439418050825</v>
      </c>
      <c r="G644" s="3">
        <f>IF(($A644-Ft!C$2)&lt;0,Ft!C$3*((1-Ft!C$6)/(1+Ft!C$37*($A644-Ft!C$2)^2)+Ft!C$6*EXP(Ft!C$38*($A644-Ft!C$2)^2)),Ft!C$3*((1-Ft!C$7)/(1+Ft!C$39*($A644-Ft!C$2)^2)+Ft!C$7*EXP(Ft!C$40*($A644-Ft!C$2)^2)))</f>
        <v>47.855388261007505</v>
      </c>
      <c r="H644" s="3">
        <f>IF(($A644-Ft!D$2)&lt;0,Ft!D$3*((1-Ft!D$6)/(1+Ft!D$37*($A644-Ft!D$2)^2)+Ft!D$6*EXP(Ft!D$38*($A644-Ft!D$2)^2)),Ft!D$3*((1-Ft!D$7)/(1+Ft!D$39*($A644-Ft!D$2)^2)+Ft!D$7*EXP(Ft!D$40*($A644-Ft!D$2)^2)))</f>
        <v>4.9225102953905293E-217</v>
      </c>
      <c r="I644" s="3">
        <f>IF(($A644-Ft!E$2)&lt;0,Ft!E$3*((1-Ft!E$6)/(1+Ft!E$37*($A644-Ft!E$2)^2)+Ft!E$6*EXP(Ft!E$38*($A644-Ft!E$2)^2)),Ft!E$3*((1-Ft!E$7)/(1+Ft!E$39*($A644-Ft!E$2)^2)+Ft!E$7*EXP(Ft!E$40*($A644-Ft!E$2)^2)))</f>
        <v>11.035879365447654</v>
      </c>
      <c r="J644" s="3">
        <f>IF(($A644-Ft!F$2)&lt;0,Ft!F$3*((1-Ft!F$6)/(1+Ft!F$37*($A644-Ft!F$2)^2)+Ft!F$6*EXP(Ft!F$38*($A644-Ft!F$2)^2)),Ft!F$3*((1-Ft!F$7)/(1+Ft!F$39*($A644-Ft!F$2)^2)+Ft!F$7*EXP(Ft!F$40*($A644-Ft!F$2)^2)))</f>
        <v>143.33586309597356</v>
      </c>
      <c r="K644" s="3">
        <f>IF(($A644-Ft!G$2)&lt;0,Ft!G$3*((1-Ft!G$6)/(1+Ft!G$37*($A644-Ft!G$2)^2)+Ft!G$6*EXP(Ft!G$38*($A644-Ft!G$2)^2)),Ft!G$3*((1-Ft!G$7)/(1+Ft!G$39*($A644-Ft!G$2)^2)+Ft!G$7*EXP(Ft!G$40*($A644-Ft!G$2)^2)))</f>
        <v>6.671799234235149E-4</v>
      </c>
      <c r="L644" s="3">
        <f>IF(($A644-Ft!H$2)&lt;0,Ft!H$3*((1-Ft!H$6)/(1+Ft!H$37*($A644-Ft!H$2)^2)+Ft!H$6*EXP(Ft!H$38*($A644-Ft!H$2)^2)),Ft!H$3*((1-Ft!H$7)/(1+Ft!H$39*($A644-Ft!H$2)^2)+Ft!H$7*EXP(Ft!H$40*($A644-Ft!H$2)^2)))</f>
        <v>0</v>
      </c>
      <c r="M644" s="3">
        <f>IF(($A644-Ft!I$2)&lt;0,Ft!I$3*((1-Ft!I$6)/(1+Ft!I$37*($A644-Ft!I$2)^2)+Ft!I$6*EXP(Ft!I$38*($A644-Ft!I$2)^2)),Ft!I$3*((1-Ft!I$7)/(1+Ft!I$39*($A644-Ft!I$2)^2)+Ft!I$7*EXP(Ft!I$40*($A644-Ft!I$2)^2)))</f>
        <v>0</v>
      </c>
      <c r="N644" s="3">
        <f>IF(($A644-Ft!J$2)&lt;0,Ft!J$3*((1-Ft!J$6)/(1+Ft!J$37*($A644-Ft!J$2)^2)+Ft!J$6*EXP(Ft!J$38*($A644-Ft!J$2)^2)),Ft!J$3*((1-Ft!J$7)/(1+Ft!J$39*($A644-Ft!J$2)^2)+Ft!J$7*EXP(Ft!J$40*($A644-Ft!J$2)^2)))</f>
        <v>0</v>
      </c>
      <c r="O644" s="3">
        <f>IF(($A644-Ft!K$2)&lt;0,Ft!K$3*((1-Ft!K$6)/(1+Ft!K$37*($A644-Ft!K$2)^2)+Ft!K$6*EXP(Ft!K$38*($A644-Ft!K$2)^2)),Ft!K$3*((1-Ft!K$7)/(1+Ft!K$39*($A644-Ft!K$2)^2)+Ft!K$7*EXP(Ft!K$40*($A644-Ft!K$2)^2)))</f>
        <v>0</v>
      </c>
      <c r="P644"/>
      <c r="Q644"/>
    </row>
    <row r="645" spans="1:17">
      <c r="A645" s="20">
        <v>1287</v>
      </c>
      <c r="B645" s="29">
        <v>2.3757185098667932</v>
      </c>
      <c r="C645" s="7">
        <f t="shared" si="21"/>
        <v>2.9305281996690753</v>
      </c>
      <c r="D645" s="3">
        <f t="shared" si="20"/>
        <v>0.30781379189850444</v>
      </c>
      <c r="E645" s="3">
        <f>Ft!$B$12+Ft!$B$14*(Data!A645-Vars!$B$3)</f>
        <v>-200</v>
      </c>
      <c r="F645" s="3">
        <f>IF(($A645-Ft!B$2)&lt;0,Ft!B$3*((1-Ft!B$6)/(1+Ft!B$37*($A645-Ft!B$2)^2)+Ft!B$6*EXP(Ft!B$38*($A645-Ft!B$2)^2)),Ft!B$3*((1-Ft!B$7)/(1+Ft!B$39*($A645-Ft!B$2)^2)+Ft!B$7*EXP(Ft!B$40*($A645-Ft!B$2)^2)))</f>
        <v>0.79161127692796884</v>
      </c>
      <c r="G645" s="3">
        <f>IF(($A645-Ft!C$2)&lt;0,Ft!C$3*((1-Ft!C$6)/(1+Ft!C$37*($A645-Ft!C$2)^2)+Ft!C$6*EXP(Ft!C$38*($A645-Ft!C$2)^2)),Ft!C$3*((1-Ft!C$7)/(1+Ft!C$39*($A645-Ft!C$2)^2)+Ft!C$7*EXP(Ft!C$40*($A645-Ft!C$2)^2)))</f>
        <v>47.774305456934556</v>
      </c>
      <c r="H645" s="3">
        <f>IF(($A645-Ft!D$2)&lt;0,Ft!D$3*((1-Ft!D$6)/(1+Ft!D$37*($A645-Ft!D$2)^2)+Ft!D$6*EXP(Ft!D$38*($A645-Ft!D$2)^2)),Ft!D$3*((1-Ft!D$7)/(1+Ft!D$39*($A645-Ft!D$2)^2)+Ft!D$7*EXP(Ft!D$40*($A645-Ft!D$2)^2)))</f>
        <v>4.7019812095241132E-218</v>
      </c>
      <c r="I645" s="3">
        <f>IF(($A645-Ft!E$2)&lt;0,Ft!E$3*((1-Ft!E$6)/(1+Ft!E$37*($A645-Ft!E$2)^2)+Ft!E$6*EXP(Ft!E$38*($A645-Ft!E$2)^2)),Ft!E$3*((1-Ft!E$7)/(1+Ft!E$39*($A645-Ft!E$2)^2)+Ft!E$7*EXP(Ft!E$40*($A645-Ft!E$2)^2)))</f>
        <v>10.856226463097363</v>
      </c>
      <c r="J645" s="3">
        <f>IF(($A645-Ft!F$2)&lt;0,Ft!F$3*((1-Ft!F$6)/(1+Ft!F$37*($A645-Ft!F$2)^2)+Ft!F$6*EXP(Ft!F$38*($A645-Ft!F$2)^2)),Ft!F$3*((1-Ft!F$7)/(1+Ft!F$39*($A645-Ft!F$2)^2)+Ft!F$7*EXP(Ft!F$40*($A645-Ft!F$2)^2)))</f>
        <v>143.5077492720722</v>
      </c>
      <c r="K645" s="3">
        <f>IF(($A645-Ft!G$2)&lt;0,Ft!G$3*((1-Ft!G$6)/(1+Ft!G$37*($A645-Ft!G$2)^2)+Ft!G$6*EXP(Ft!G$38*($A645-Ft!G$2)^2)),Ft!G$3*((1-Ft!G$7)/(1+Ft!G$39*($A645-Ft!G$2)^2)+Ft!G$7*EXP(Ft!G$40*($A645-Ft!G$2)^2)))</f>
        <v>6.3573063697793138E-4</v>
      </c>
      <c r="L645" s="3">
        <f>IF(($A645-Ft!H$2)&lt;0,Ft!H$3*((1-Ft!H$6)/(1+Ft!H$37*($A645-Ft!H$2)^2)+Ft!H$6*EXP(Ft!H$38*($A645-Ft!H$2)^2)),Ft!H$3*((1-Ft!H$7)/(1+Ft!H$39*($A645-Ft!H$2)^2)+Ft!H$7*EXP(Ft!H$40*($A645-Ft!H$2)^2)))</f>
        <v>0</v>
      </c>
      <c r="M645" s="3">
        <f>IF(($A645-Ft!I$2)&lt;0,Ft!I$3*((1-Ft!I$6)/(1+Ft!I$37*($A645-Ft!I$2)^2)+Ft!I$6*EXP(Ft!I$38*($A645-Ft!I$2)^2)),Ft!I$3*((1-Ft!I$7)/(1+Ft!I$39*($A645-Ft!I$2)^2)+Ft!I$7*EXP(Ft!I$40*($A645-Ft!I$2)^2)))</f>
        <v>0</v>
      </c>
      <c r="N645" s="3">
        <f>IF(($A645-Ft!J$2)&lt;0,Ft!J$3*((1-Ft!J$6)/(1+Ft!J$37*($A645-Ft!J$2)^2)+Ft!J$6*EXP(Ft!J$38*($A645-Ft!J$2)^2)),Ft!J$3*((1-Ft!J$7)/(1+Ft!J$39*($A645-Ft!J$2)^2)+Ft!J$7*EXP(Ft!J$40*($A645-Ft!J$2)^2)))</f>
        <v>0</v>
      </c>
      <c r="O645" s="3">
        <f>IF(($A645-Ft!K$2)&lt;0,Ft!K$3*((1-Ft!K$6)/(1+Ft!K$37*($A645-Ft!K$2)^2)+Ft!K$6*EXP(Ft!K$38*($A645-Ft!K$2)^2)),Ft!K$3*((1-Ft!K$7)/(1+Ft!K$39*($A645-Ft!K$2)^2)+Ft!K$7*EXP(Ft!K$40*($A645-Ft!K$2)^2)))</f>
        <v>0</v>
      </c>
      <c r="P645"/>
      <c r="Q645"/>
    </row>
    <row r="646" spans="1:17">
      <c r="A646" s="20">
        <v>1289</v>
      </c>
      <c r="B646" s="29">
        <v>2.2621092362277686</v>
      </c>
      <c r="C646" s="7">
        <f t="shared" si="21"/>
        <v>2.8306596957865096</v>
      </c>
      <c r="D646" s="3">
        <f t="shared" si="20"/>
        <v>0.32324962506445554</v>
      </c>
      <c r="E646" s="3">
        <f>Ft!$B$12+Ft!$B$14*(Data!A646-Vars!$B$3)</f>
        <v>-200</v>
      </c>
      <c r="F646" s="3">
        <f>IF(($A646-Ft!B$2)&lt;0,Ft!B$3*((1-Ft!B$6)/(1+Ft!B$37*($A646-Ft!B$2)^2)+Ft!B$6*EXP(Ft!B$38*($A646-Ft!B$2)^2)),Ft!B$3*((1-Ft!B$7)/(1+Ft!B$39*($A646-Ft!B$2)^2)+Ft!B$7*EXP(Ft!B$40*($A646-Ft!B$2)^2)))</f>
        <v>0.78028717496736288</v>
      </c>
      <c r="G646" s="3">
        <f>IF(($A646-Ft!C$2)&lt;0,Ft!C$3*((1-Ft!C$6)/(1+Ft!C$37*($A646-Ft!C$2)^2)+Ft!C$6*EXP(Ft!C$38*($A646-Ft!C$2)^2)),Ft!C$3*((1-Ft!C$7)/(1+Ft!C$39*($A646-Ft!C$2)^2)+Ft!C$7*EXP(Ft!C$40*($A646-Ft!C$2)^2)))</f>
        <v>47.692938628000924</v>
      </c>
      <c r="H646" s="3">
        <f>IF(($A646-Ft!D$2)&lt;0,Ft!D$3*((1-Ft!D$6)/(1+Ft!D$37*($A646-Ft!D$2)^2)+Ft!D$6*EXP(Ft!D$38*($A646-Ft!D$2)^2)),Ft!D$3*((1-Ft!D$7)/(1+Ft!D$39*($A646-Ft!D$2)^2)+Ft!D$7*EXP(Ft!D$40*($A646-Ft!D$2)^2)))</f>
        <v>4.4666223262445901E-219</v>
      </c>
      <c r="I646" s="3">
        <f>IF(($A646-Ft!E$2)&lt;0,Ft!E$3*((1-Ft!E$6)/(1+Ft!E$37*($A646-Ft!E$2)^2)+Ft!E$6*EXP(Ft!E$38*($A646-Ft!E$2)^2)),Ft!E$3*((1-Ft!E$7)/(1+Ft!E$39*($A646-Ft!E$2)^2)+Ft!E$7*EXP(Ft!E$40*($A646-Ft!E$2)^2)))</f>
        <v>10.678878933147525</v>
      </c>
      <c r="J646" s="3">
        <f>IF(($A646-Ft!F$2)&lt;0,Ft!F$3*((1-Ft!F$6)/(1+Ft!F$37*($A646-Ft!F$2)^2)+Ft!F$6*EXP(Ft!F$38*($A646-Ft!F$2)^2)),Ft!F$3*((1-Ft!F$7)/(1+Ft!F$39*($A646-Ft!F$2)^2)+Ft!F$7*EXP(Ft!F$40*($A646-Ft!F$2)^2)))</f>
        <v>143.67794925874927</v>
      </c>
      <c r="K646" s="3">
        <f>IF(($A646-Ft!G$2)&lt;0,Ft!G$3*((1-Ft!G$6)/(1+Ft!G$37*($A646-Ft!G$2)^2)+Ft!G$6*EXP(Ft!G$38*($A646-Ft!G$2)^2)),Ft!G$3*((1-Ft!G$7)/(1+Ft!G$39*($A646-Ft!G$2)^2)+Ft!G$7*EXP(Ft!G$40*($A646-Ft!G$2)^2)))</f>
        <v>6.0570092144147307E-4</v>
      </c>
      <c r="L646" s="3">
        <f>IF(($A646-Ft!H$2)&lt;0,Ft!H$3*((1-Ft!H$6)/(1+Ft!H$37*($A646-Ft!H$2)^2)+Ft!H$6*EXP(Ft!H$38*($A646-Ft!H$2)^2)),Ft!H$3*((1-Ft!H$7)/(1+Ft!H$39*($A646-Ft!H$2)^2)+Ft!H$7*EXP(Ft!H$40*($A646-Ft!H$2)^2)))</f>
        <v>0</v>
      </c>
      <c r="M646" s="3">
        <f>IF(($A646-Ft!I$2)&lt;0,Ft!I$3*((1-Ft!I$6)/(1+Ft!I$37*($A646-Ft!I$2)^2)+Ft!I$6*EXP(Ft!I$38*($A646-Ft!I$2)^2)),Ft!I$3*((1-Ft!I$7)/(1+Ft!I$39*($A646-Ft!I$2)^2)+Ft!I$7*EXP(Ft!I$40*($A646-Ft!I$2)^2)))</f>
        <v>0</v>
      </c>
      <c r="N646" s="3">
        <f>IF(($A646-Ft!J$2)&lt;0,Ft!J$3*((1-Ft!J$6)/(1+Ft!J$37*($A646-Ft!J$2)^2)+Ft!J$6*EXP(Ft!J$38*($A646-Ft!J$2)^2)),Ft!J$3*((1-Ft!J$7)/(1+Ft!J$39*($A646-Ft!J$2)^2)+Ft!J$7*EXP(Ft!J$40*($A646-Ft!J$2)^2)))</f>
        <v>0</v>
      </c>
      <c r="O646" s="3">
        <f>IF(($A646-Ft!K$2)&lt;0,Ft!K$3*((1-Ft!K$6)/(1+Ft!K$37*($A646-Ft!K$2)^2)+Ft!K$6*EXP(Ft!K$38*($A646-Ft!K$2)^2)),Ft!K$3*((1-Ft!K$7)/(1+Ft!K$39*($A646-Ft!K$2)^2)+Ft!K$7*EXP(Ft!K$40*($A646-Ft!K$2)^2)))</f>
        <v>0</v>
      </c>
      <c r="P646"/>
      <c r="Q646"/>
    </row>
    <row r="647" spans="1:17">
      <c r="A647" s="20">
        <v>1291</v>
      </c>
      <c r="B647" s="29">
        <v>2.1504017301353162</v>
      </c>
      <c r="C647" s="7">
        <f t="shared" si="21"/>
        <v>2.7312531926750845</v>
      </c>
      <c r="D647" s="3">
        <f t="shared" si="20"/>
        <v>0.33738842153458781</v>
      </c>
      <c r="E647" s="3">
        <f>Ft!$B$12+Ft!$B$14*(Data!A647-Vars!$B$3)</f>
        <v>-200</v>
      </c>
      <c r="F647" s="3">
        <f>IF(($A647-Ft!B$2)&lt;0,Ft!B$3*((1-Ft!B$6)/(1+Ft!B$37*($A647-Ft!B$2)^2)+Ft!B$6*EXP(Ft!B$38*($A647-Ft!B$2)^2)),Ft!B$3*((1-Ft!B$7)/(1+Ft!B$39*($A647-Ft!B$2)^2)+Ft!B$7*EXP(Ft!B$40*($A647-Ft!B$2)^2)))</f>
        <v>0.76911038580008984</v>
      </c>
      <c r="G647" s="3">
        <f>IF(($A647-Ft!C$2)&lt;0,Ft!C$3*((1-Ft!C$6)/(1+Ft!C$37*($A647-Ft!C$2)^2)+Ft!C$6*EXP(Ft!C$38*($A647-Ft!C$2)^2)),Ft!C$3*((1-Ft!C$7)/(1+Ft!C$39*($A647-Ft!C$2)^2)+Ft!C$7*EXP(Ft!C$40*($A647-Ft!C$2)^2)))</f>
        <v>47.61128969459061</v>
      </c>
      <c r="H647" s="3">
        <f>IF(($A647-Ft!D$2)&lt;0,Ft!D$3*((1-Ft!D$6)/(1+Ft!D$37*($A647-Ft!D$2)^2)+Ft!D$6*EXP(Ft!D$38*($A647-Ft!D$2)^2)),Ft!D$3*((1-Ft!D$7)/(1+Ft!D$39*($A647-Ft!D$2)^2)+Ft!D$7*EXP(Ft!D$40*($A647-Ft!D$2)^2)))</f>
        <v>4.219700843429506E-220</v>
      </c>
      <c r="I647" s="3">
        <f>IF(($A647-Ft!E$2)&lt;0,Ft!E$3*((1-Ft!E$6)/(1+Ft!E$37*($A647-Ft!E$2)^2)+Ft!E$6*EXP(Ft!E$38*($A647-Ft!E$2)^2)),Ft!E$3*((1-Ft!E$7)/(1+Ft!E$39*($A647-Ft!E$2)^2)+Ft!E$7*EXP(Ft!E$40*($A647-Ft!E$2)^2)))</f>
        <v>10.503819512132912</v>
      </c>
      <c r="J647" s="3">
        <f>IF(($A647-Ft!F$2)&lt;0,Ft!F$3*((1-Ft!F$6)/(1+Ft!F$37*($A647-Ft!F$2)^2)+Ft!F$6*EXP(Ft!F$38*($A647-Ft!F$2)^2)),Ft!F$3*((1-Ft!F$7)/(1+Ft!F$39*($A647-Ft!F$2)^2)+Ft!F$7*EXP(Ft!F$40*($A647-Ft!F$2)^2)))</f>
        <v>143.84645657034375</v>
      </c>
      <c r="K647" s="3">
        <f>IF(($A647-Ft!G$2)&lt;0,Ft!G$3*((1-Ft!G$6)/(1+Ft!G$37*($A647-Ft!G$2)^2)+Ft!G$6*EXP(Ft!G$38*($A647-Ft!G$2)^2)),Ft!G$3*((1-Ft!G$7)/(1+Ft!G$39*($A647-Ft!G$2)^2)+Ft!G$7*EXP(Ft!G$40*($A647-Ft!G$2)^2)))</f>
        <v>5.7702980773040877E-4</v>
      </c>
      <c r="L647" s="3">
        <f>IF(($A647-Ft!H$2)&lt;0,Ft!H$3*((1-Ft!H$6)/(1+Ft!H$37*($A647-Ft!H$2)^2)+Ft!H$6*EXP(Ft!H$38*($A647-Ft!H$2)^2)),Ft!H$3*((1-Ft!H$7)/(1+Ft!H$39*($A647-Ft!H$2)^2)+Ft!H$7*EXP(Ft!H$40*($A647-Ft!H$2)^2)))</f>
        <v>0</v>
      </c>
      <c r="M647" s="3">
        <f>IF(($A647-Ft!I$2)&lt;0,Ft!I$3*((1-Ft!I$6)/(1+Ft!I$37*($A647-Ft!I$2)^2)+Ft!I$6*EXP(Ft!I$38*($A647-Ft!I$2)^2)),Ft!I$3*((1-Ft!I$7)/(1+Ft!I$39*($A647-Ft!I$2)^2)+Ft!I$7*EXP(Ft!I$40*($A647-Ft!I$2)^2)))</f>
        <v>0</v>
      </c>
      <c r="N647" s="3">
        <f>IF(($A647-Ft!J$2)&lt;0,Ft!J$3*((1-Ft!J$6)/(1+Ft!J$37*($A647-Ft!J$2)^2)+Ft!J$6*EXP(Ft!J$38*($A647-Ft!J$2)^2)),Ft!J$3*((1-Ft!J$7)/(1+Ft!J$39*($A647-Ft!J$2)^2)+Ft!J$7*EXP(Ft!J$40*($A647-Ft!J$2)^2)))</f>
        <v>0</v>
      </c>
      <c r="O647" s="3">
        <f>IF(($A647-Ft!K$2)&lt;0,Ft!K$3*((1-Ft!K$6)/(1+Ft!K$37*($A647-Ft!K$2)^2)+Ft!K$6*EXP(Ft!K$38*($A647-Ft!K$2)^2)),Ft!K$3*((1-Ft!K$7)/(1+Ft!K$39*($A647-Ft!K$2)^2)+Ft!K$7*EXP(Ft!K$40*($A647-Ft!K$2)^2)))</f>
        <v>0</v>
      </c>
      <c r="P647"/>
      <c r="Q647"/>
    </row>
    <row r="648" spans="1:17">
      <c r="A648" s="20">
        <v>1293</v>
      </c>
      <c r="B648" s="29">
        <v>2.0550875729207094</v>
      </c>
      <c r="C648" s="7">
        <f t="shared" si="21"/>
        <v>2.6322850678324858</v>
      </c>
      <c r="D648" s="3">
        <f t="shared" si="20"/>
        <v>0.33315694813243013</v>
      </c>
      <c r="E648" s="3">
        <f>Ft!$B$12+Ft!$B$14*(Data!A648-Vars!$B$3)</f>
        <v>-200</v>
      </c>
      <c r="F648" s="3">
        <f>IF(($A648-Ft!B$2)&lt;0,Ft!B$3*((1-Ft!B$6)/(1+Ft!B$37*($A648-Ft!B$2)^2)+Ft!B$6*EXP(Ft!B$38*($A648-Ft!B$2)^2)),Ft!B$3*((1-Ft!B$7)/(1+Ft!B$39*($A648-Ft!B$2)^2)+Ft!B$7*EXP(Ft!B$40*($A648-Ft!B$2)^2)))</f>
        <v>0.75807922292335539</v>
      </c>
      <c r="G648" s="3">
        <f>IF(($A648-Ft!C$2)&lt;0,Ft!C$3*((1-Ft!C$6)/(1+Ft!C$37*($A648-Ft!C$2)^2)+Ft!C$6*EXP(Ft!C$38*($A648-Ft!C$2)^2)),Ft!C$3*((1-Ft!C$7)/(1+Ft!C$39*($A648-Ft!C$2)^2)+Ft!C$7*EXP(Ft!C$40*($A648-Ft!C$2)^2)))</f>
        <v>47.529360581279818</v>
      </c>
      <c r="H648" s="3">
        <f>IF(($A648-Ft!D$2)&lt;0,Ft!D$3*((1-Ft!D$6)/(1+Ft!D$37*($A648-Ft!D$2)^2)+Ft!D$6*EXP(Ft!D$38*($A648-Ft!D$2)^2)),Ft!D$3*((1-Ft!D$7)/(1+Ft!D$39*($A648-Ft!D$2)^2)+Ft!D$7*EXP(Ft!D$40*($A648-Ft!D$2)^2)))</f>
        <v>3.9644977891024682E-221</v>
      </c>
      <c r="I648" s="3">
        <f>IF(($A648-Ft!E$2)&lt;0,Ft!E$3*((1-Ft!E$6)/(1+Ft!E$37*($A648-Ft!E$2)^2)+Ft!E$6*EXP(Ft!E$38*($A648-Ft!E$2)^2)),Ft!E$3*((1-Ft!E$7)/(1+Ft!E$39*($A648-Ft!E$2)^2)+Ft!E$7*EXP(Ft!E$40*($A648-Ft!E$2)^2)))</f>
        <v>10.331030824368392</v>
      </c>
      <c r="J648" s="3">
        <f>IF(($A648-Ft!F$2)&lt;0,Ft!F$3*((1-Ft!F$6)/(1+Ft!F$37*($A648-Ft!F$2)^2)+Ft!F$6*EXP(Ft!F$38*($A648-Ft!F$2)^2)),Ft!F$3*((1-Ft!F$7)/(1+Ft!F$39*($A648-Ft!F$2)^2)+Ft!F$7*EXP(Ft!F$40*($A648-Ft!F$2)^2)))</f>
        <v>144.0132647804642</v>
      </c>
      <c r="K648" s="3">
        <f>IF(($A648-Ft!G$2)&lt;0,Ft!G$3*((1-Ft!G$6)/(1+Ft!G$37*($A648-Ft!G$2)^2)+Ft!G$6*EXP(Ft!G$38*($A648-Ft!G$2)^2)),Ft!G$3*((1-Ft!G$7)/(1+Ft!G$39*($A648-Ft!G$2)^2)+Ft!G$7*EXP(Ft!G$40*($A648-Ft!G$2)^2)))</f>
        <v>5.4965879671609627E-4</v>
      </c>
      <c r="L648" s="3">
        <f>IF(($A648-Ft!H$2)&lt;0,Ft!H$3*((1-Ft!H$6)/(1+Ft!H$37*($A648-Ft!H$2)^2)+Ft!H$6*EXP(Ft!H$38*($A648-Ft!H$2)^2)),Ft!H$3*((1-Ft!H$7)/(1+Ft!H$39*($A648-Ft!H$2)^2)+Ft!H$7*EXP(Ft!H$40*($A648-Ft!H$2)^2)))</f>
        <v>0</v>
      </c>
      <c r="M648" s="3">
        <f>IF(($A648-Ft!I$2)&lt;0,Ft!I$3*((1-Ft!I$6)/(1+Ft!I$37*($A648-Ft!I$2)^2)+Ft!I$6*EXP(Ft!I$38*($A648-Ft!I$2)^2)),Ft!I$3*((1-Ft!I$7)/(1+Ft!I$39*($A648-Ft!I$2)^2)+Ft!I$7*EXP(Ft!I$40*($A648-Ft!I$2)^2)))</f>
        <v>0</v>
      </c>
      <c r="N648" s="3">
        <f>IF(($A648-Ft!J$2)&lt;0,Ft!J$3*((1-Ft!J$6)/(1+Ft!J$37*($A648-Ft!J$2)^2)+Ft!J$6*EXP(Ft!J$38*($A648-Ft!J$2)^2)),Ft!J$3*((1-Ft!J$7)/(1+Ft!J$39*($A648-Ft!J$2)^2)+Ft!J$7*EXP(Ft!J$40*($A648-Ft!J$2)^2)))</f>
        <v>0</v>
      </c>
      <c r="O648" s="3">
        <f>IF(($A648-Ft!K$2)&lt;0,Ft!K$3*((1-Ft!K$6)/(1+Ft!K$37*($A648-Ft!K$2)^2)+Ft!K$6*EXP(Ft!K$38*($A648-Ft!K$2)^2)),Ft!K$3*((1-Ft!K$7)/(1+Ft!K$39*($A648-Ft!K$2)^2)+Ft!K$7*EXP(Ft!K$40*($A648-Ft!K$2)^2)))</f>
        <v>0</v>
      </c>
      <c r="P648"/>
      <c r="Q648"/>
    </row>
    <row r="649" spans="1:17">
      <c r="A649" s="20">
        <v>1295</v>
      </c>
      <c r="B649" s="29">
        <v>1.9586823926439914</v>
      </c>
      <c r="C649" s="7">
        <f t="shared" si="21"/>
        <v>2.5337316744387968</v>
      </c>
      <c r="D649" s="3">
        <f t="shared" si="20"/>
        <v>0.33068167649272151</v>
      </c>
      <c r="E649" s="3">
        <f>Ft!$B$12+Ft!$B$14*(Data!A649-Vars!$B$3)</f>
        <v>-200</v>
      </c>
      <c r="F649" s="3">
        <f>IF(($A649-Ft!B$2)&lt;0,Ft!B$3*((1-Ft!B$6)/(1+Ft!B$37*($A649-Ft!B$2)^2)+Ft!B$6*EXP(Ft!B$38*($A649-Ft!B$2)^2)),Ft!B$3*((1-Ft!B$7)/(1+Ft!B$39*($A649-Ft!B$2)^2)+Ft!B$7*EXP(Ft!B$40*($A649-Ft!B$2)^2)))</f>
        <v>0.74719201572889116</v>
      </c>
      <c r="G649" s="3">
        <f>IF(($A649-Ft!C$2)&lt;0,Ft!C$3*((1-Ft!C$6)/(1+Ft!C$37*($A649-Ft!C$2)^2)+Ft!C$6*EXP(Ft!C$38*($A649-Ft!C$2)^2)),Ft!C$3*((1-Ft!C$7)/(1+Ft!C$39*($A649-Ft!C$2)^2)+Ft!C$7*EXP(Ft!C$40*($A649-Ft!C$2)^2)))</f>
        <v>47.447153216761905</v>
      </c>
      <c r="H649" s="3">
        <f>IF(($A649-Ft!D$2)&lt;0,Ft!D$3*((1-Ft!D$6)/(1+Ft!D$37*($A649-Ft!D$2)^2)+Ft!D$6*EXP(Ft!D$38*($A649-Ft!D$2)^2)),Ft!D$3*((1-Ft!D$7)/(1+Ft!D$39*($A649-Ft!D$2)^2)+Ft!D$7*EXP(Ft!D$40*($A649-Ft!D$2)^2)))</f>
        <v>3.7042371621456744E-222</v>
      </c>
      <c r="I649" s="3">
        <f>IF(($A649-Ft!E$2)&lt;0,Ft!E$3*((1-Ft!E$6)/(1+Ft!E$37*($A649-Ft!E$2)^2)+Ft!E$6*EXP(Ft!E$38*($A649-Ft!E$2)^2)),Ft!E$3*((1-Ft!E$7)/(1+Ft!E$39*($A649-Ft!E$2)^2)+Ft!E$7*EXP(Ft!E$40*($A649-Ft!E$2)^2)))</f>
        <v>10.160495387785092</v>
      </c>
      <c r="J649" s="3">
        <f>IF(($A649-Ft!F$2)&lt;0,Ft!F$3*((1-Ft!F$6)/(1+Ft!F$37*($A649-Ft!F$2)^2)+Ft!F$6*EXP(Ft!F$38*($A649-Ft!F$2)^2)),Ft!F$3*((1-Ft!F$7)/(1+Ft!F$39*($A649-Ft!F$2)^2)+Ft!F$7*EXP(Ft!F$40*($A649-Ft!F$2)^2)))</f>
        <v>144.17836752239688</v>
      </c>
      <c r="K649" s="3">
        <f>IF(($A649-Ft!G$2)&lt;0,Ft!G$3*((1-Ft!G$6)/(1+Ft!G$37*($A649-Ft!G$2)^2)+Ft!G$6*EXP(Ft!G$38*($A649-Ft!G$2)^2)),Ft!G$3*((1-Ft!G$7)/(1+Ft!G$39*($A649-Ft!G$2)^2)+Ft!G$7*EXP(Ft!G$40*($A649-Ft!G$2)^2)))</f>
        <v>5.2353176601973922E-4</v>
      </c>
      <c r="L649" s="3">
        <f>IF(($A649-Ft!H$2)&lt;0,Ft!H$3*((1-Ft!H$6)/(1+Ft!H$37*($A649-Ft!H$2)^2)+Ft!H$6*EXP(Ft!H$38*($A649-Ft!H$2)^2)),Ft!H$3*((1-Ft!H$7)/(1+Ft!H$39*($A649-Ft!H$2)^2)+Ft!H$7*EXP(Ft!H$40*($A649-Ft!H$2)^2)))</f>
        <v>0</v>
      </c>
      <c r="M649" s="3">
        <f>IF(($A649-Ft!I$2)&lt;0,Ft!I$3*((1-Ft!I$6)/(1+Ft!I$37*($A649-Ft!I$2)^2)+Ft!I$6*EXP(Ft!I$38*($A649-Ft!I$2)^2)),Ft!I$3*((1-Ft!I$7)/(1+Ft!I$39*($A649-Ft!I$2)^2)+Ft!I$7*EXP(Ft!I$40*($A649-Ft!I$2)^2)))</f>
        <v>0</v>
      </c>
      <c r="N649" s="3">
        <f>IF(($A649-Ft!J$2)&lt;0,Ft!J$3*((1-Ft!J$6)/(1+Ft!J$37*($A649-Ft!J$2)^2)+Ft!J$6*EXP(Ft!J$38*($A649-Ft!J$2)^2)),Ft!J$3*((1-Ft!J$7)/(1+Ft!J$39*($A649-Ft!J$2)^2)+Ft!J$7*EXP(Ft!J$40*($A649-Ft!J$2)^2)))</f>
        <v>0</v>
      </c>
      <c r="O649" s="3">
        <f>IF(($A649-Ft!K$2)&lt;0,Ft!K$3*((1-Ft!K$6)/(1+Ft!K$37*($A649-Ft!K$2)^2)+Ft!K$6*EXP(Ft!K$38*($A649-Ft!K$2)^2)),Ft!K$3*((1-Ft!K$7)/(1+Ft!K$39*($A649-Ft!K$2)^2)+Ft!K$7*EXP(Ft!K$40*($A649-Ft!K$2)^2)))</f>
        <v>0</v>
      </c>
      <c r="P649"/>
      <c r="Q649"/>
    </row>
    <row r="650" spans="1:17">
      <c r="A650" s="20">
        <v>1297</v>
      </c>
      <c r="B650" s="29">
        <v>1.8712395864414024</v>
      </c>
      <c r="C650" s="7">
        <f t="shared" si="21"/>
        <v>2.4355693472657602</v>
      </c>
      <c r="D650" s="3">
        <f t="shared" si="20"/>
        <v>0.31846807895207691</v>
      </c>
      <c r="E650" s="3">
        <f>Ft!$B$12+Ft!$B$14*(Data!A650-Vars!$B$3)</f>
        <v>-200</v>
      </c>
      <c r="F650" s="3">
        <f>IF(($A650-Ft!B$2)&lt;0,Ft!B$3*((1-Ft!B$6)/(1+Ft!B$37*($A650-Ft!B$2)^2)+Ft!B$6*EXP(Ft!B$38*($A650-Ft!B$2)^2)),Ft!B$3*((1-Ft!B$7)/(1+Ft!B$39*($A650-Ft!B$2)^2)+Ft!B$7*EXP(Ft!B$40*($A650-Ft!B$2)^2)))</f>
        <v>0.73644710940160041</v>
      </c>
      <c r="G650" s="3">
        <f>IF(($A650-Ft!C$2)&lt;0,Ft!C$3*((1-Ft!C$6)/(1+Ft!C$37*($A650-Ft!C$2)^2)+Ft!C$6*EXP(Ft!C$38*($A650-Ft!C$2)^2)),Ft!C$3*((1-Ft!C$7)/(1+Ft!C$39*($A650-Ft!C$2)^2)+Ft!C$7*EXP(Ft!C$40*($A650-Ft!C$2)^2)))</f>
        <v>47.364669533772101</v>
      </c>
      <c r="H650" s="3">
        <f>IF(($A650-Ft!D$2)&lt;0,Ft!D$3*((1-Ft!D$6)/(1+Ft!D$37*($A650-Ft!D$2)^2)+Ft!D$6*EXP(Ft!D$38*($A650-Ft!D$2)^2)),Ft!D$3*((1-Ft!D$7)/(1+Ft!D$39*($A650-Ft!D$2)^2)+Ft!D$7*EXP(Ft!D$40*($A650-Ft!D$2)^2)))</f>
        <v>3.442020684992942E-223</v>
      </c>
      <c r="I650" s="3">
        <f>IF(($A650-Ft!E$2)&lt;0,Ft!E$3*((1-Ft!E$6)/(1+Ft!E$37*($A650-Ft!E$2)^2)+Ft!E$6*EXP(Ft!E$38*($A650-Ft!E$2)^2)),Ft!E$3*((1-Ft!E$7)/(1+Ft!E$39*($A650-Ft!E$2)^2)+Ft!E$7*EXP(Ft!E$40*($A650-Ft!E$2)^2)))</f>
        <v>9.992195619701306</v>
      </c>
      <c r="J650" s="3">
        <f>IF(($A650-Ft!F$2)&lt;0,Ft!F$3*((1-Ft!F$6)/(1+Ft!F$37*($A650-Ft!F$2)^2)+Ft!F$6*EXP(Ft!F$38*($A650-Ft!F$2)^2)),Ft!F$3*((1-Ft!F$7)/(1+Ft!F$39*($A650-Ft!F$2)^2)+Ft!F$7*EXP(Ft!F$40*($A650-Ft!F$2)^2)))</f>
        <v>144.34175848951071</v>
      </c>
      <c r="K650" s="3">
        <f>IF(($A650-Ft!G$2)&lt;0,Ft!G$3*((1-Ft!G$6)/(1+Ft!G$37*($A650-Ft!G$2)^2)+Ft!G$6*EXP(Ft!G$38*($A650-Ft!G$2)^2)),Ft!G$3*((1-Ft!G$7)/(1+Ft!G$39*($A650-Ft!G$2)^2)+Ft!G$7*EXP(Ft!G$40*($A650-Ft!G$2)^2)))</f>
        <v>4.9859488001953868E-4</v>
      </c>
      <c r="L650" s="3">
        <f>IF(($A650-Ft!H$2)&lt;0,Ft!H$3*((1-Ft!H$6)/(1+Ft!H$37*($A650-Ft!H$2)^2)+Ft!H$6*EXP(Ft!H$38*($A650-Ft!H$2)^2)),Ft!H$3*((1-Ft!H$7)/(1+Ft!H$39*($A650-Ft!H$2)^2)+Ft!H$7*EXP(Ft!H$40*($A650-Ft!H$2)^2)))</f>
        <v>0</v>
      </c>
      <c r="M650" s="3">
        <f>IF(($A650-Ft!I$2)&lt;0,Ft!I$3*((1-Ft!I$6)/(1+Ft!I$37*($A650-Ft!I$2)^2)+Ft!I$6*EXP(Ft!I$38*($A650-Ft!I$2)^2)),Ft!I$3*((1-Ft!I$7)/(1+Ft!I$39*($A650-Ft!I$2)^2)+Ft!I$7*EXP(Ft!I$40*($A650-Ft!I$2)^2)))</f>
        <v>0</v>
      </c>
      <c r="N650" s="3">
        <f>IF(($A650-Ft!J$2)&lt;0,Ft!J$3*((1-Ft!J$6)/(1+Ft!J$37*($A650-Ft!J$2)^2)+Ft!J$6*EXP(Ft!J$38*($A650-Ft!J$2)^2)),Ft!J$3*((1-Ft!J$7)/(1+Ft!J$39*($A650-Ft!J$2)^2)+Ft!J$7*EXP(Ft!J$40*($A650-Ft!J$2)^2)))</f>
        <v>0</v>
      </c>
      <c r="O650" s="3">
        <f>IF(($A650-Ft!K$2)&lt;0,Ft!K$3*((1-Ft!K$6)/(1+Ft!K$37*($A650-Ft!K$2)^2)+Ft!K$6*EXP(Ft!K$38*($A650-Ft!K$2)^2)),Ft!K$3*((1-Ft!K$7)/(1+Ft!K$39*($A650-Ft!K$2)^2)+Ft!K$7*EXP(Ft!K$40*($A650-Ft!K$2)^2)))</f>
        <v>0</v>
      </c>
      <c r="P650"/>
      <c r="Q650"/>
    </row>
    <row r="651" spans="1:17">
      <c r="A651" s="20">
        <v>1299</v>
      </c>
      <c r="B651" s="29">
        <v>1.8120220758140262</v>
      </c>
      <c r="C651" s="7">
        <f t="shared" si="21"/>
        <v>2.337774408519012</v>
      </c>
      <c r="D651" s="3">
        <f t="shared" si="20"/>
        <v>0.27641551534473408</v>
      </c>
      <c r="E651" s="3">
        <f>Ft!$B$12+Ft!$B$14*(Data!A651-Vars!$B$3)</f>
        <v>-200</v>
      </c>
      <c r="F651" s="3">
        <f>IF(($A651-Ft!B$2)&lt;0,Ft!B$3*((1-Ft!B$6)/(1+Ft!B$37*($A651-Ft!B$2)^2)+Ft!B$6*EXP(Ft!B$38*($A651-Ft!B$2)^2)),Ft!B$3*((1-Ft!B$7)/(1+Ft!B$39*($A651-Ft!B$2)^2)+Ft!B$7*EXP(Ft!B$40*($A651-Ft!B$2)^2)))</f>
        <v>0.72584286481818305</v>
      </c>
      <c r="G651" s="3">
        <f>IF(($A651-Ft!C$2)&lt;0,Ft!C$3*((1-Ft!C$6)/(1+Ft!C$37*($A651-Ft!C$2)^2)+Ft!C$6*EXP(Ft!C$38*($A651-Ft!C$2)^2)),Ft!C$3*((1-Ft!C$7)/(1+Ft!C$39*($A651-Ft!C$2)^2)+Ft!C$7*EXP(Ft!C$40*($A651-Ft!C$2)^2)))</f>
        <v>47.281911469012329</v>
      </c>
      <c r="H651" s="3">
        <f>IF(($A651-Ft!D$2)&lt;0,Ft!D$3*((1-Ft!D$6)/(1+Ft!D$37*($A651-Ft!D$2)^2)+Ft!D$6*EXP(Ft!D$38*($A651-Ft!D$2)^2)),Ft!D$3*((1-Ft!D$7)/(1+Ft!D$39*($A651-Ft!D$2)^2)+Ft!D$7*EXP(Ft!D$40*($A651-Ft!D$2)^2)))</f>
        <v>3.1807699112784073E-224</v>
      </c>
      <c r="I651" s="3">
        <f>IF(($A651-Ft!E$2)&lt;0,Ft!E$3*((1-Ft!E$6)/(1+Ft!E$37*($A651-Ft!E$2)^2)+Ft!E$6*EXP(Ft!E$38*($A651-Ft!E$2)^2)),Ft!E$3*((1-Ft!E$7)/(1+Ft!E$39*($A651-Ft!E$2)^2)+Ft!E$7*EXP(Ft!E$40*($A651-Ft!E$2)^2)))</f>
        <v>9.8261138425272403</v>
      </c>
      <c r="J651" s="3">
        <f>IF(($A651-Ft!F$2)&lt;0,Ft!F$3*((1-Ft!F$6)/(1+Ft!F$37*($A651-Ft!F$2)^2)+Ft!F$6*EXP(Ft!F$38*($A651-Ft!F$2)^2)),Ft!F$3*((1-Ft!F$7)/(1+Ft!F$39*($A651-Ft!F$2)^2)+Ft!F$7*EXP(Ft!F$40*($A651-Ft!F$2)^2)))</f>
        <v>144.50343143565829</v>
      </c>
      <c r="K651" s="3">
        <f>IF(($A651-Ft!G$2)&lt;0,Ft!G$3*((1-Ft!G$6)/(1+Ft!G$37*($A651-Ft!G$2)^2)+Ft!G$6*EXP(Ft!G$38*($A651-Ft!G$2)^2)),Ft!G$3*((1-Ft!G$7)/(1+Ft!G$39*($A651-Ft!G$2)^2)+Ft!G$7*EXP(Ft!G$40*($A651-Ft!G$2)^2)))</f>
        <v>4.7479650297255584E-4</v>
      </c>
      <c r="L651" s="3">
        <f>IF(($A651-Ft!H$2)&lt;0,Ft!H$3*((1-Ft!H$6)/(1+Ft!H$37*($A651-Ft!H$2)^2)+Ft!H$6*EXP(Ft!H$38*($A651-Ft!H$2)^2)),Ft!H$3*((1-Ft!H$7)/(1+Ft!H$39*($A651-Ft!H$2)^2)+Ft!H$7*EXP(Ft!H$40*($A651-Ft!H$2)^2)))</f>
        <v>0</v>
      </c>
      <c r="M651" s="3">
        <f>IF(($A651-Ft!I$2)&lt;0,Ft!I$3*((1-Ft!I$6)/(1+Ft!I$37*($A651-Ft!I$2)^2)+Ft!I$6*EXP(Ft!I$38*($A651-Ft!I$2)^2)),Ft!I$3*((1-Ft!I$7)/(1+Ft!I$39*($A651-Ft!I$2)^2)+Ft!I$7*EXP(Ft!I$40*($A651-Ft!I$2)^2)))</f>
        <v>0</v>
      </c>
      <c r="N651" s="3">
        <f>IF(($A651-Ft!J$2)&lt;0,Ft!J$3*((1-Ft!J$6)/(1+Ft!J$37*($A651-Ft!J$2)^2)+Ft!J$6*EXP(Ft!J$38*($A651-Ft!J$2)^2)),Ft!J$3*((1-Ft!J$7)/(1+Ft!J$39*($A651-Ft!J$2)^2)+Ft!J$7*EXP(Ft!J$40*($A651-Ft!J$2)^2)))</f>
        <v>0</v>
      </c>
      <c r="O651" s="3">
        <f>IF(($A651-Ft!K$2)&lt;0,Ft!K$3*((1-Ft!K$6)/(1+Ft!K$37*($A651-Ft!K$2)^2)+Ft!K$6*EXP(Ft!K$38*($A651-Ft!K$2)^2)),Ft!K$3*((1-Ft!K$7)/(1+Ft!K$39*($A651-Ft!K$2)^2)+Ft!K$7*EXP(Ft!K$40*($A651-Ft!K$2)^2)))</f>
        <v>0</v>
      </c>
      <c r="P651"/>
      <c r="Q651"/>
    </row>
    <row r="652" spans="1:17">
      <c r="A652" s="20">
        <v>1301</v>
      </c>
      <c r="B652" s="29">
        <v>1.7707773158598838</v>
      </c>
      <c r="C652" s="7">
        <f t="shared" si="21"/>
        <v>2.2403231736134961</v>
      </c>
      <c r="D652" s="3">
        <f t="shared" si="20"/>
        <v>0.22047331253357547</v>
      </c>
      <c r="E652" s="3">
        <f>Ft!$B$12+Ft!$B$14*(Data!A652-Vars!$B$3)</f>
        <v>-200</v>
      </c>
      <c r="F652" s="3">
        <f>IF(($A652-Ft!B$2)&lt;0,Ft!B$3*((1-Ft!B$6)/(1+Ft!B$37*($A652-Ft!B$2)^2)+Ft!B$6*EXP(Ft!B$38*($A652-Ft!B$2)^2)),Ft!B$3*((1-Ft!B$7)/(1+Ft!B$39*($A652-Ft!B$2)^2)+Ft!B$7*EXP(Ft!B$40*($A652-Ft!B$2)^2)))</f>
        <v>0.71537765844571832</v>
      </c>
      <c r="G652" s="3">
        <f>IF(($A652-Ft!C$2)&lt;0,Ft!C$3*((1-Ft!C$6)/(1+Ft!C$37*($A652-Ft!C$2)^2)+Ft!C$6*EXP(Ft!C$38*($A652-Ft!C$2)^2)),Ft!C$3*((1-Ft!C$7)/(1+Ft!C$39*($A652-Ft!C$2)^2)+Ft!C$7*EXP(Ft!C$40*($A652-Ft!C$2)^2)))</f>
        <v>47.198880963075901</v>
      </c>
      <c r="H652" s="3">
        <f>IF(($A652-Ft!D$2)&lt;0,Ft!D$3*((1-Ft!D$6)/(1+Ft!D$37*($A652-Ft!D$2)^2)+Ft!D$6*EXP(Ft!D$38*($A652-Ft!D$2)^2)),Ft!D$3*((1-Ft!D$7)/(1+Ft!D$39*($A652-Ft!D$2)^2)+Ft!D$7*EXP(Ft!D$40*($A652-Ft!D$2)^2)))</f>
        <v>2.9231770486976988E-225</v>
      </c>
      <c r="I652" s="3">
        <f>IF(($A652-Ft!E$2)&lt;0,Ft!E$3*((1-Ft!E$6)/(1+Ft!E$37*($A652-Ft!E$2)^2)+Ft!E$6*EXP(Ft!E$38*($A652-Ft!E$2)^2)),Ft!E$3*((1-Ft!E$7)/(1+Ft!E$39*($A652-Ft!E$2)^2)+Ft!E$7*EXP(Ft!E$40*($A652-Ft!E$2)^2)))</f>
        <v>9.6622322894027093</v>
      </c>
      <c r="J652" s="3">
        <f>IF(($A652-Ft!F$2)&lt;0,Ft!F$3*((1-Ft!F$6)/(1+Ft!F$37*($A652-Ft!F$2)^2)+Ft!F$6*EXP(Ft!F$38*($A652-Ft!F$2)^2)),Ft!F$3*((1-Ft!F$7)/(1+Ft!F$39*($A652-Ft!F$2)^2)+Ft!F$7*EXP(Ft!F$40*($A652-Ft!F$2)^2)))</f>
        <v>144.66338017557399</v>
      </c>
      <c r="K652" s="3">
        <f>IF(($A652-Ft!G$2)&lt;0,Ft!G$3*((1-Ft!G$6)/(1+Ft!G$37*($A652-Ft!G$2)^2)+Ft!G$6*EXP(Ft!G$38*($A652-Ft!G$2)^2)),Ft!G$3*((1-Ft!G$7)/(1+Ft!G$39*($A652-Ft!G$2)^2)+Ft!G$7*EXP(Ft!G$40*($A652-Ft!G$2)^2)))</f>
        <v>4.5208711515607245E-4</v>
      </c>
      <c r="L652" s="3">
        <f>IF(($A652-Ft!H$2)&lt;0,Ft!H$3*((1-Ft!H$6)/(1+Ft!H$37*($A652-Ft!H$2)^2)+Ft!H$6*EXP(Ft!H$38*($A652-Ft!H$2)^2)),Ft!H$3*((1-Ft!H$7)/(1+Ft!H$39*($A652-Ft!H$2)^2)+Ft!H$7*EXP(Ft!H$40*($A652-Ft!H$2)^2)))</f>
        <v>0</v>
      </c>
      <c r="M652" s="3">
        <f>IF(($A652-Ft!I$2)&lt;0,Ft!I$3*((1-Ft!I$6)/(1+Ft!I$37*($A652-Ft!I$2)^2)+Ft!I$6*EXP(Ft!I$38*($A652-Ft!I$2)^2)),Ft!I$3*((1-Ft!I$7)/(1+Ft!I$39*($A652-Ft!I$2)^2)+Ft!I$7*EXP(Ft!I$40*($A652-Ft!I$2)^2)))</f>
        <v>0</v>
      </c>
      <c r="N652" s="3">
        <f>IF(($A652-Ft!J$2)&lt;0,Ft!J$3*((1-Ft!J$6)/(1+Ft!J$37*($A652-Ft!J$2)^2)+Ft!J$6*EXP(Ft!J$38*($A652-Ft!J$2)^2)),Ft!J$3*((1-Ft!J$7)/(1+Ft!J$39*($A652-Ft!J$2)^2)+Ft!J$7*EXP(Ft!J$40*($A652-Ft!J$2)^2)))</f>
        <v>0</v>
      </c>
      <c r="O652" s="3">
        <f>IF(($A652-Ft!K$2)&lt;0,Ft!K$3*((1-Ft!K$6)/(1+Ft!K$37*($A652-Ft!K$2)^2)+Ft!K$6*EXP(Ft!K$38*($A652-Ft!K$2)^2)),Ft!K$3*((1-Ft!K$7)/(1+Ft!K$39*($A652-Ft!K$2)^2)+Ft!K$7*EXP(Ft!K$40*($A652-Ft!K$2)^2)))</f>
        <v>0</v>
      </c>
      <c r="P652"/>
      <c r="Q652"/>
    </row>
    <row r="653" spans="1:17">
      <c r="A653" s="20">
        <v>1303</v>
      </c>
      <c r="B653" s="29">
        <v>1.710426222486346</v>
      </c>
      <c r="C653" s="7">
        <f t="shared" si="21"/>
        <v>2.1431919568793947</v>
      </c>
      <c r="D653" s="3">
        <f t="shared" si="20"/>
        <v>0.18728618086475474</v>
      </c>
      <c r="E653" s="3">
        <f>Ft!$B$12+Ft!$B$14*(Data!A653-Vars!$B$3)</f>
        <v>-200</v>
      </c>
      <c r="F653" s="3">
        <f>IF(($A653-Ft!B$2)&lt;0,Ft!B$3*((1-Ft!B$6)/(1+Ft!B$37*($A653-Ft!B$2)^2)+Ft!B$6*EXP(Ft!B$38*($A653-Ft!B$2)^2)),Ft!B$3*((1-Ft!B$7)/(1+Ft!B$39*($A653-Ft!B$2)^2)+Ft!B$7*EXP(Ft!B$40*($A653-Ft!B$2)^2)))</f>
        <v>0.70504988224022958</v>
      </c>
      <c r="G653" s="3">
        <f>IF(($A653-Ft!C$2)&lt;0,Ft!C$3*((1-Ft!C$6)/(1+Ft!C$37*($A653-Ft!C$2)^2)+Ft!C$6*EXP(Ft!C$38*($A653-Ft!C$2)^2)),Ft!C$3*((1-Ft!C$7)/(1+Ft!C$39*($A653-Ft!C$2)^2)+Ft!C$7*EXP(Ft!C$40*($A653-Ft!C$2)^2)))</f>
        <v>47.115579960372195</v>
      </c>
      <c r="H653" s="3">
        <f>IF(($A653-Ft!D$2)&lt;0,Ft!D$3*((1-Ft!D$6)/(1+Ft!D$37*($A653-Ft!D$2)^2)+Ft!D$6*EXP(Ft!D$38*($A653-Ft!D$2)^2)),Ft!D$3*((1-Ft!D$7)/(1+Ft!D$39*($A653-Ft!D$2)^2)+Ft!D$7*EXP(Ft!D$40*($A653-Ft!D$2)^2)))</f>
        <v>2.671665442093824E-226</v>
      </c>
      <c r="I653" s="3">
        <f>IF(($A653-Ft!E$2)&lt;0,Ft!E$3*((1-Ft!E$6)/(1+Ft!E$37*($A653-Ft!E$2)^2)+Ft!E$6*EXP(Ft!E$38*($A653-Ft!E$2)^2)),Ft!E$3*((1-Ft!E$7)/(1+Ft!E$39*($A653-Ft!E$2)^2)+Ft!E$7*EXP(Ft!E$40*($A653-Ft!E$2)^2)))</f>
        <v>9.5005331097669767</v>
      </c>
      <c r="J653" s="3">
        <f>IF(($A653-Ft!F$2)&lt;0,Ft!F$3*((1-Ft!F$6)/(1+Ft!F$37*($A653-Ft!F$2)^2)+Ft!F$6*EXP(Ft!F$38*($A653-Ft!F$2)^2)),Ft!F$3*((1-Ft!F$7)/(1+Ft!F$39*($A653-Ft!F$2)^2)+Ft!F$7*EXP(Ft!F$40*($A653-Ft!F$2)^2)))</f>
        <v>144.82159858526808</v>
      </c>
      <c r="K653" s="3">
        <f>IF(($A653-Ft!G$2)&lt;0,Ft!G$3*((1-Ft!G$6)/(1+Ft!G$37*($A653-Ft!G$2)^2)+Ft!G$6*EXP(Ft!G$38*($A653-Ft!G$2)^2)),Ft!G$3*((1-Ft!G$7)/(1+Ft!G$39*($A653-Ft!G$2)^2)+Ft!G$7*EXP(Ft!G$40*($A653-Ft!G$2)^2)))</f>
        <v>4.3041923193556188E-4</v>
      </c>
      <c r="L653" s="3">
        <f>IF(($A653-Ft!H$2)&lt;0,Ft!H$3*((1-Ft!H$6)/(1+Ft!H$37*($A653-Ft!H$2)^2)+Ft!H$6*EXP(Ft!H$38*($A653-Ft!H$2)^2)),Ft!H$3*((1-Ft!H$7)/(1+Ft!H$39*($A653-Ft!H$2)^2)+Ft!H$7*EXP(Ft!H$40*($A653-Ft!H$2)^2)))</f>
        <v>0</v>
      </c>
      <c r="M653" s="3">
        <f>IF(($A653-Ft!I$2)&lt;0,Ft!I$3*((1-Ft!I$6)/(1+Ft!I$37*($A653-Ft!I$2)^2)+Ft!I$6*EXP(Ft!I$38*($A653-Ft!I$2)^2)),Ft!I$3*((1-Ft!I$7)/(1+Ft!I$39*($A653-Ft!I$2)^2)+Ft!I$7*EXP(Ft!I$40*($A653-Ft!I$2)^2)))</f>
        <v>0</v>
      </c>
      <c r="N653" s="3">
        <f>IF(($A653-Ft!J$2)&lt;0,Ft!J$3*((1-Ft!J$6)/(1+Ft!J$37*($A653-Ft!J$2)^2)+Ft!J$6*EXP(Ft!J$38*($A653-Ft!J$2)^2)),Ft!J$3*((1-Ft!J$7)/(1+Ft!J$39*($A653-Ft!J$2)^2)+Ft!J$7*EXP(Ft!J$40*($A653-Ft!J$2)^2)))</f>
        <v>0</v>
      </c>
      <c r="O653" s="3">
        <f>IF(($A653-Ft!K$2)&lt;0,Ft!K$3*((1-Ft!K$6)/(1+Ft!K$37*($A653-Ft!K$2)^2)+Ft!K$6*EXP(Ft!K$38*($A653-Ft!K$2)^2)),Ft!K$3*((1-Ft!K$7)/(1+Ft!K$39*($A653-Ft!K$2)^2)+Ft!K$7*EXP(Ft!K$40*($A653-Ft!K$2)^2)))</f>
        <v>0</v>
      </c>
      <c r="P653"/>
      <c r="Q653"/>
    </row>
    <row r="654" spans="1:17">
      <c r="A654" s="20">
        <v>1305</v>
      </c>
      <c r="B654" s="29">
        <v>1.645954691655469</v>
      </c>
      <c r="C654" s="7">
        <f t="shared" si="21"/>
        <v>2.0463570771993527</v>
      </c>
      <c r="D654" s="3">
        <f t="shared" si="20"/>
        <v>0.16032207034923282</v>
      </c>
      <c r="E654" s="3">
        <f>Ft!$B$12+Ft!$B$14*(Data!A654-Vars!$B$3)</f>
        <v>-200</v>
      </c>
      <c r="F654" s="3">
        <f>IF(($A654-Ft!B$2)&lt;0,Ft!B$3*((1-Ft!B$6)/(1+Ft!B$37*($A654-Ft!B$2)^2)+Ft!B$6*EXP(Ft!B$38*($A654-Ft!B$2)^2)),Ft!B$3*((1-Ft!B$7)/(1+Ft!B$39*($A654-Ft!B$2)^2)+Ft!B$7*EXP(Ft!B$40*($A654-Ft!B$2)^2)))</f>
        <v>0.69485794354525177</v>
      </c>
      <c r="G654" s="3">
        <f>IF(($A654-Ft!C$2)&lt;0,Ft!C$3*((1-Ft!C$6)/(1+Ft!C$37*($A654-Ft!C$2)^2)+Ft!C$6*EXP(Ft!C$38*($A654-Ft!C$2)^2)),Ft!C$3*((1-Ft!C$7)/(1+Ft!C$39*($A654-Ft!C$2)^2)+Ft!C$7*EXP(Ft!C$40*($A654-Ft!C$2)^2)))</f>
        <v>47.032010409051274</v>
      </c>
      <c r="H654" s="3">
        <f>IF(($A654-Ft!D$2)&lt;0,Ft!D$3*((1-Ft!D$6)/(1+Ft!D$37*($A654-Ft!D$2)^2)+Ft!D$6*EXP(Ft!D$38*($A654-Ft!D$2)^2)),Ft!D$3*((1-Ft!D$7)/(1+Ft!D$39*($A654-Ft!D$2)^2)+Ft!D$7*EXP(Ft!D$40*($A654-Ft!D$2)^2)))</f>
        <v>2.4283602358884487E-227</v>
      </c>
      <c r="I654" s="3">
        <f>IF(($A654-Ft!E$2)&lt;0,Ft!E$3*((1-Ft!E$6)/(1+Ft!E$37*($A654-Ft!E$2)^2)+Ft!E$6*EXP(Ft!E$38*($A654-Ft!E$2)^2)),Ft!E$3*((1-Ft!E$7)/(1+Ft!E$39*($A654-Ft!E$2)^2)+Ft!E$7*EXP(Ft!E$40*($A654-Ft!E$2)^2)))</f>
        <v>9.3409983748598755</v>
      </c>
      <c r="J654" s="3">
        <f>IF(($A654-Ft!F$2)&lt;0,Ft!F$3*((1-Ft!F$6)/(1+Ft!F$37*($A654-Ft!F$2)^2)+Ft!F$6*EXP(Ft!F$38*($A654-Ft!F$2)^2)),Ft!F$3*((1-Ft!F$7)/(1+Ft!F$39*($A654-Ft!F$2)^2)+Ft!F$7*EXP(Ft!F$40*($A654-Ft!F$2)^2)))</f>
        <v>144.97808060241726</v>
      </c>
      <c r="K654" s="3">
        <f>IF(($A654-Ft!G$2)&lt;0,Ft!G$3*((1-Ft!G$6)/(1+Ft!G$37*($A654-Ft!G$2)^2)+Ft!G$6*EXP(Ft!G$38*($A654-Ft!G$2)^2)),Ft!G$3*((1-Ft!G$7)/(1+Ft!G$39*($A654-Ft!G$2)^2)+Ft!G$7*EXP(Ft!G$40*($A654-Ft!G$2)^2)))</f>
        <v>4.0974732566880531E-4</v>
      </c>
      <c r="L654" s="3">
        <f>IF(($A654-Ft!H$2)&lt;0,Ft!H$3*((1-Ft!H$6)/(1+Ft!H$37*($A654-Ft!H$2)^2)+Ft!H$6*EXP(Ft!H$38*($A654-Ft!H$2)^2)),Ft!H$3*((1-Ft!H$7)/(1+Ft!H$39*($A654-Ft!H$2)^2)+Ft!H$7*EXP(Ft!H$40*($A654-Ft!H$2)^2)))</f>
        <v>0</v>
      </c>
      <c r="M654" s="3">
        <f>IF(($A654-Ft!I$2)&lt;0,Ft!I$3*((1-Ft!I$6)/(1+Ft!I$37*($A654-Ft!I$2)^2)+Ft!I$6*EXP(Ft!I$38*($A654-Ft!I$2)^2)),Ft!I$3*((1-Ft!I$7)/(1+Ft!I$39*($A654-Ft!I$2)^2)+Ft!I$7*EXP(Ft!I$40*($A654-Ft!I$2)^2)))</f>
        <v>0</v>
      </c>
      <c r="N654" s="3">
        <f>IF(($A654-Ft!J$2)&lt;0,Ft!J$3*((1-Ft!J$6)/(1+Ft!J$37*($A654-Ft!J$2)^2)+Ft!J$6*EXP(Ft!J$38*($A654-Ft!J$2)^2)),Ft!J$3*((1-Ft!J$7)/(1+Ft!J$39*($A654-Ft!J$2)^2)+Ft!J$7*EXP(Ft!J$40*($A654-Ft!J$2)^2)))</f>
        <v>0</v>
      </c>
      <c r="O654" s="3">
        <f>IF(($A654-Ft!K$2)&lt;0,Ft!K$3*((1-Ft!K$6)/(1+Ft!K$37*($A654-Ft!K$2)^2)+Ft!K$6*EXP(Ft!K$38*($A654-Ft!K$2)^2)),Ft!K$3*((1-Ft!K$7)/(1+Ft!K$39*($A654-Ft!K$2)^2)+Ft!K$7*EXP(Ft!K$40*($A654-Ft!K$2)^2)))</f>
        <v>0</v>
      </c>
      <c r="P654"/>
      <c r="Q654"/>
    </row>
    <row r="655" spans="1:17">
      <c r="A655" s="20">
        <v>1307</v>
      </c>
      <c r="B655" s="29">
        <v>1.5915983459662726</v>
      </c>
      <c r="C655" s="7">
        <f t="shared" si="21"/>
        <v>1.9497948635744979</v>
      </c>
      <c r="D655" s="3">
        <f t="shared" si="20"/>
        <v>0.12830474522665969</v>
      </c>
      <c r="E655" s="3">
        <f>Ft!$B$12+Ft!$B$14*(Data!A655-Vars!$B$3)</f>
        <v>-200</v>
      </c>
      <c r="F655" s="3">
        <f>IF(($A655-Ft!B$2)&lt;0,Ft!B$3*((1-Ft!B$6)/(1+Ft!B$37*($A655-Ft!B$2)^2)+Ft!B$6*EXP(Ft!B$38*($A655-Ft!B$2)^2)),Ft!B$3*((1-Ft!B$7)/(1+Ft!B$39*($A655-Ft!B$2)^2)+Ft!B$7*EXP(Ft!B$40*($A655-Ft!B$2)^2)))</f>
        <v>0.68480026499039648</v>
      </c>
      <c r="G655" s="3">
        <f>IF(($A655-Ft!C$2)&lt;0,Ft!C$3*((1-Ft!C$6)/(1+Ft!C$37*($A655-Ft!C$2)^2)+Ft!C$6*EXP(Ft!C$38*($A655-Ft!C$2)^2)),Ft!C$3*((1-Ft!C$7)/(1+Ft!C$39*($A655-Ft!C$2)^2)+Ft!C$7*EXP(Ft!C$40*($A655-Ft!C$2)^2)))</f>
        <v>46.948174260928518</v>
      </c>
      <c r="H655" s="3">
        <f>IF(($A655-Ft!D$2)&lt;0,Ft!D$3*((1-Ft!D$6)/(1+Ft!D$37*($A655-Ft!D$2)^2)+Ft!D$6*EXP(Ft!D$38*($A655-Ft!D$2)^2)),Ft!D$3*((1-Ft!D$7)/(1+Ft!D$39*($A655-Ft!D$2)^2)+Ft!D$7*EXP(Ft!D$40*($A655-Ft!D$2)^2)))</f>
        <v>2.1950693194552888E-228</v>
      </c>
      <c r="I655" s="3">
        <f>IF(($A655-Ft!E$2)&lt;0,Ft!E$3*((1-Ft!E$6)/(1+Ft!E$37*($A655-Ft!E$2)^2)+Ft!E$6*EXP(Ft!E$38*($A655-Ft!E$2)^2)),Ft!E$3*((1-Ft!E$7)/(1+Ft!E$39*($A655-Ft!E$2)^2)+Ft!E$7*EXP(Ft!E$40*($A655-Ft!E$2)^2)))</f>
        <v>9.1836100831535354</v>
      </c>
      <c r="J655" s="3">
        <f>IF(($A655-Ft!F$2)&lt;0,Ft!F$3*((1-Ft!F$6)/(1+Ft!F$37*($A655-Ft!F$2)^2)+Ft!F$6*EXP(Ft!F$38*($A655-Ft!F$2)^2)),Ft!F$3*((1-Ft!F$7)/(1+Ft!F$39*($A655-Ft!F$2)^2)+Ft!F$7*EXP(Ft!F$40*($A655-Ft!F$2)^2)))</f>
        <v>145.1328202267517</v>
      </c>
      <c r="K655" s="3">
        <f>IF(($A655-Ft!G$2)&lt;0,Ft!G$3*((1-Ft!G$6)/(1+Ft!G$37*($A655-Ft!G$2)^2)+Ft!G$6*EXP(Ft!G$38*($A655-Ft!G$2)^2)),Ft!G$3*((1-Ft!G$7)/(1+Ft!G$39*($A655-Ft!G$2)^2)+Ft!G$7*EXP(Ft!G$40*($A655-Ft!G$2)^2)))</f>
        <v>3.9002775035795013E-4</v>
      </c>
      <c r="L655" s="3">
        <f>IF(($A655-Ft!H$2)&lt;0,Ft!H$3*((1-Ft!H$6)/(1+Ft!H$37*($A655-Ft!H$2)^2)+Ft!H$6*EXP(Ft!H$38*($A655-Ft!H$2)^2)),Ft!H$3*((1-Ft!H$7)/(1+Ft!H$39*($A655-Ft!H$2)^2)+Ft!H$7*EXP(Ft!H$40*($A655-Ft!H$2)^2)))</f>
        <v>0</v>
      </c>
      <c r="M655" s="3">
        <f>IF(($A655-Ft!I$2)&lt;0,Ft!I$3*((1-Ft!I$6)/(1+Ft!I$37*($A655-Ft!I$2)^2)+Ft!I$6*EXP(Ft!I$38*($A655-Ft!I$2)^2)),Ft!I$3*((1-Ft!I$7)/(1+Ft!I$39*($A655-Ft!I$2)^2)+Ft!I$7*EXP(Ft!I$40*($A655-Ft!I$2)^2)))</f>
        <v>0</v>
      </c>
      <c r="N655" s="3">
        <f>IF(($A655-Ft!J$2)&lt;0,Ft!J$3*((1-Ft!J$6)/(1+Ft!J$37*($A655-Ft!J$2)^2)+Ft!J$6*EXP(Ft!J$38*($A655-Ft!J$2)^2)),Ft!J$3*((1-Ft!J$7)/(1+Ft!J$39*($A655-Ft!J$2)^2)+Ft!J$7*EXP(Ft!J$40*($A655-Ft!J$2)^2)))</f>
        <v>0</v>
      </c>
      <c r="O655" s="3">
        <f>IF(($A655-Ft!K$2)&lt;0,Ft!K$3*((1-Ft!K$6)/(1+Ft!K$37*($A655-Ft!K$2)^2)+Ft!K$6*EXP(Ft!K$38*($A655-Ft!K$2)^2)),Ft!K$3*((1-Ft!K$7)/(1+Ft!K$39*($A655-Ft!K$2)^2)+Ft!K$7*EXP(Ft!K$40*($A655-Ft!K$2)^2)))</f>
        <v>0</v>
      </c>
      <c r="P655"/>
      <c r="Q655"/>
    </row>
    <row r="656" spans="1:17">
      <c r="A656" s="20">
        <v>1309</v>
      </c>
      <c r="B656" s="29">
        <v>1.5485950780960729</v>
      </c>
      <c r="C656" s="7">
        <f t="shared" si="21"/>
        <v>1.8534816606205349</v>
      </c>
      <c r="D656" s="3">
        <f t="shared" si="20"/>
        <v>9.295582820344557E-2</v>
      </c>
      <c r="E656" s="3">
        <f>Ft!$B$12+Ft!$B$14*(Data!A656-Vars!$B$3)</f>
        <v>-200</v>
      </c>
      <c r="F656" s="3">
        <f>IF(($A656-Ft!B$2)&lt;0,Ft!B$3*((1-Ft!B$6)/(1+Ft!B$37*($A656-Ft!B$2)^2)+Ft!B$6*EXP(Ft!B$38*($A656-Ft!B$2)^2)),Ft!B$3*((1-Ft!B$7)/(1+Ft!B$39*($A656-Ft!B$2)^2)+Ft!B$7*EXP(Ft!B$40*($A656-Ft!B$2)^2)))</f>
        <v>0.6748752843899366</v>
      </c>
      <c r="G656" s="3">
        <f>IF(($A656-Ft!C$2)&lt;0,Ft!C$3*((1-Ft!C$6)/(1+Ft!C$37*($A656-Ft!C$2)^2)+Ft!C$6*EXP(Ft!C$38*($A656-Ft!C$2)^2)),Ft!C$3*((1-Ft!C$7)/(1+Ft!C$39*($A656-Ft!C$2)^2)+Ft!C$7*EXP(Ft!C$40*($A656-Ft!C$2)^2)))</f>
        <v>46.864073471409192</v>
      </c>
      <c r="H656" s="3">
        <f>IF(($A656-Ft!D$2)&lt;0,Ft!D$3*((1-Ft!D$6)/(1+Ft!D$37*($A656-Ft!D$2)^2)+Ft!D$6*EXP(Ft!D$38*($A656-Ft!D$2)^2)),Ft!D$3*((1-Ft!D$7)/(1+Ft!D$39*($A656-Ft!D$2)^2)+Ft!D$7*EXP(Ft!D$40*($A656-Ft!D$2)^2)))</f>
        <v>1.9732742726825992E-229</v>
      </c>
      <c r="I656" s="3">
        <f>IF(($A656-Ft!E$2)&lt;0,Ft!E$3*((1-Ft!E$6)/(1+Ft!E$37*($A656-Ft!E$2)^2)+Ft!E$6*EXP(Ft!E$38*($A656-Ft!E$2)^2)),Ft!E$3*((1-Ft!E$7)/(1+Ft!E$39*($A656-Ft!E$2)^2)+Ft!E$7*EXP(Ft!E$40*($A656-Ft!E$2)^2)))</f>
        <v>9.0283501657139915</v>
      </c>
      <c r="J656" s="3">
        <f>IF(($A656-Ft!F$2)&lt;0,Ft!F$3*((1-Ft!F$6)/(1+Ft!F$37*($A656-Ft!F$2)^2)+Ft!F$6*EXP(Ft!F$38*($A656-Ft!F$2)^2)),Ft!F$3*((1-Ft!F$7)/(1+Ft!F$39*($A656-Ft!F$2)^2)+Ft!F$7*EXP(Ft!F$40*($A656-Ft!F$2)^2)))</f>
        <v>145.28581152043844</v>
      </c>
      <c r="K656" s="3">
        <f>IF(($A656-Ft!G$2)&lt;0,Ft!G$3*((1-Ft!G$6)/(1+Ft!G$37*($A656-Ft!G$2)^2)+Ft!G$6*EXP(Ft!G$38*($A656-Ft!G$2)^2)),Ft!G$3*((1-Ft!G$7)/(1+Ft!G$39*($A656-Ft!G$2)^2)+Ft!G$7*EXP(Ft!G$40*($A656-Ft!G$2)^2)))</f>
        <v>3.7121866896360606E-4</v>
      </c>
      <c r="L656" s="3">
        <f>IF(($A656-Ft!H$2)&lt;0,Ft!H$3*((1-Ft!H$6)/(1+Ft!H$37*($A656-Ft!H$2)^2)+Ft!H$6*EXP(Ft!H$38*($A656-Ft!H$2)^2)),Ft!H$3*((1-Ft!H$7)/(1+Ft!H$39*($A656-Ft!H$2)^2)+Ft!H$7*EXP(Ft!H$40*($A656-Ft!H$2)^2)))</f>
        <v>0</v>
      </c>
      <c r="M656" s="3">
        <f>IF(($A656-Ft!I$2)&lt;0,Ft!I$3*((1-Ft!I$6)/(1+Ft!I$37*($A656-Ft!I$2)^2)+Ft!I$6*EXP(Ft!I$38*($A656-Ft!I$2)^2)),Ft!I$3*((1-Ft!I$7)/(1+Ft!I$39*($A656-Ft!I$2)^2)+Ft!I$7*EXP(Ft!I$40*($A656-Ft!I$2)^2)))</f>
        <v>0</v>
      </c>
      <c r="N656" s="3">
        <f>IF(($A656-Ft!J$2)&lt;0,Ft!J$3*((1-Ft!J$6)/(1+Ft!J$37*($A656-Ft!J$2)^2)+Ft!J$6*EXP(Ft!J$38*($A656-Ft!J$2)^2)),Ft!J$3*((1-Ft!J$7)/(1+Ft!J$39*($A656-Ft!J$2)^2)+Ft!J$7*EXP(Ft!J$40*($A656-Ft!J$2)^2)))</f>
        <v>0</v>
      </c>
      <c r="O656" s="3">
        <f>IF(($A656-Ft!K$2)&lt;0,Ft!K$3*((1-Ft!K$6)/(1+Ft!K$37*($A656-Ft!K$2)^2)+Ft!K$6*EXP(Ft!K$38*($A656-Ft!K$2)^2)),Ft!K$3*((1-Ft!K$7)/(1+Ft!K$39*($A656-Ft!K$2)^2)+Ft!K$7*EXP(Ft!K$40*($A656-Ft!K$2)^2)))</f>
        <v>0</v>
      </c>
      <c r="P656"/>
      <c r="Q656"/>
    </row>
    <row r="657" spans="1:17">
      <c r="A657" s="20">
        <v>1311</v>
      </c>
      <c r="B657" s="29">
        <v>1.5012384151201545</v>
      </c>
      <c r="C657" s="7">
        <f t="shared" si="21"/>
        <v>1.7573938339905302</v>
      </c>
      <c r="D657" s="3">
        <f t="shared" si="20"/>
        <v>6.5615598616657597E-2</v>
      </c>
      <c r="E657" s="3">
        <f>Ft!$B$12+Ft!$B$14*(Data!A657-Vars!$B$3)</f>
        <v>-200</v>
      </c>
      <c r="F657" s="3">
        <f>IF(($A657-Ft!B$2)&lt;0,Ft!B$3*((1-Ft!B$6)/(1+Ft!B$37*($A657-Ft!B$2)^2)+Ft!B$6*EXP(Ft!B$38*($A657-Ft!B$2)^2)),Ft!B$3*((1-Ft!B$7)/(1+Ft!B$39*($A657-Ft!B$2)^2)+Ft!B$7*EXP(Ft!B$40*($A657-Ft!B$2)^2)))</f>
        <v>0.66508145464141855</v>
      </c>
      <c r="G657" s="3">
        <f>IF(($A657-Ft!C$2)&lt;0,Ft!C$3*((1-Ft!C$6)/(1+Ft!C$37*($A657-Ft!C$2)^2)+Ft!C$6*EXP(Ft!C$38*($A657-Ft!C$2)^2)),Ft!C$3*((1-Ft!C$7)/(1+Ft!C$39*($A657-Ft!C$2)^2)+Ft!C$7*EXP(Ft!C$40*($A657-Ft!C$2)^2)))</f>
        <v>46.779709999413008</v>
      </c>
      <c r="H657" s="3">
        <f>IF(($A657-Ft!D$2)&lt;0,Ft!D$3*((1-Ft!D$6)/(1+Ft!D$37*($A657-Ft!D$2)^2)+Ft!D$6*EXP(Ft!D$38*($A657-Ft!D$2)^2)),Ft!D$3*((1-Ft!D$7)/(1+Ft!D$39*($A657-Ft!D$2)^2)+Ft!D$7*EXP(Ft!D$40*($A657-Ft!D$2)^2)))</f>
        <v>1.764130687592285E-230</v>
      </c>
      <c r="I657" s="3">
        <f>IF(($A657-Ft!E$2)&lt;0,Ft!E$3*((1-Ft!E$6)/(1+Ft!E$37*($A657-Ft!E$2)^2)+Ft!E$6*EXP(Ft!E$38*($A657-Ft!E$2)^2)),Ft!E$3*((1-Ft!E$7)/(1+Ft!E$39*($A657-Ft!E$2)^2)+Ft!E$7*EXP(Ft!E$40*($A657-Ft!E$2)^2)))</f>
        <v>8.8752004914919578</v>
      </c>
      <c r="J657" s="3">
        <f>IF(($A657-Ft!F$2)&lt;0,Ft!F$3*((1-Ft!F$6)/(1+Ft!F$37*($A657-Ft!F$2)^2)+Ft!F$6*EXP(Ft!F$38*($A657-Ft!F$2)^2)),Ft!F$3*((1-Ft!F$7)/(1+Ft!F$39*($A657-Ft!F$2)^2)+Ft!F$7*EXP(Ft!F$40*($A657-Ft!F$2)^2)))</f>
        <v>145.43704860846086</v>
      </c>
      <c r="K657" s="3">
        <f>IF(($A657-Ft!G$2)&lt;0,Ft!G$3*((1-Ft!G$6)/(1+Ft!G$37*($A657-Ft!G$2)^2)+Ft!G$6*EXP(Ft!G$38*($A657-Ft!G$2)^2)),Ft!G$3*((1-Ft!G$7)/(1+Ft!G$39*($A657-Ft!G$2)^2)+Ft!G$7*EXP(Ft!G$40*($A657-Ft!G$2)^2)))</f>
        <v>3.532799832972995E-4</v>
      </c>
      <c r="L657" s="3">
        <f>IF(($A657-Ft!H$2)&lt;0,Ft!H$3*((1-Ft!H$6)/(1+Ft!H$37*($A657-Ft!H$2)^2)+Ft!H$6*EXP(Ft!H$38*($A657-Ft!H$2)^2)),Ft!H$3*((1-Ft!H$7)/(1+Ft!H$39*($A657-Ft!H$2)^2)+Ft!H$7*EXP(Ft!H$40*($A657-Ft!H$2)^2)))</f>
        <v>0</v>
      </c>
      <c r="M657" s="3">
        <f>IF(($A657-Ft!I$2)&lt;0,Ft!I$3*((1-Ft!I$6)/(1+Ft!I$37*($A657-Ft!I$2)^2)+Ft!I$6*EXP(Ft!I$38*($A657-Ft!I$2)^2)),Ft!I$3*((1-Ft!I$7)/(1+Ft!I$39*($A657-Ft!I$2)^2)+Ft!I$7*EXP(Ft!I$40*($A657-Ft!I$2)^2)))</f>
        <v>0</v>
      </c>
      <c r="N657" s="3">
        <f>IF(($A657-Ft!J$2)&lt;0,Ft!J$3*((1-Ft!J$6)/(1+Ft!J$37*($A657-Ft!J$2)^2)+Ft!J$6*EXP(Ft!J$38*($A657-Ft!J$2)^2)),Ft!J$3*((1-Ft!J$7)/(1+Ft!J$39*($A657-Ft!J$2)^2)+Ft!J$7*EXP(Ft!J$40*($A657-Ft!J$2)^2)))</f>
        <v>0</v>
      </c>
      <c r="O657" s="3">
        <f>IF(($A657-Ft!K$2)&lt;0,Ft!K$3*((1-Ft!K$6)/(1+Ft!K$37*($A657-Ft!K$2)^2)+Ft!K$6*EXP(Ft!K$38*($A657-Ft!K$2)^2)),Ft!K$3*((1-Ft!K$7)/(1+Ft!K$39*($A657-Ft!K$2)^2)+Ft!K$7*EXP(Ft!K$40*($A657-Ft!K$2)^2)))</f>
        <v>0</v>
      </c>
      <c r="P657"/>
      <c r="Q657"/>
    </row>
    <row r="658" spans="1:17">
      <c r="A658" s="20">
        <v>1313</v>
      </c>
      <c r="B658" s="29">
        <v>1.4642346879200934</v>
      </c>
      <c r="C658" s="7">
        <f t="shared" si="21"/>
        <v>1.6615077757262702</v>
      </c>
      <c r="D658" s="3">
        <f t="shared" si="20"/>
        <v>3.8916671172583545E-2</v>
      </c>
      <c r="E658" s="3">
        <f>Ft!$B$12+Ft!$B$14*(Data!A658-Vars!$B$3)</f>
        <v>-200</v>
      </c>
      <c r="F658" s="3">
        <f>IF(($A658-Ft!B$2)&lt;0,Ft!B$3*((1-Ft!B$6)/(1+Ft!B$37*($A658-Ft!B$2)^2)+Ft!B$6*EXP(Ft!B$38*($A658-Ft!B$2)^2)),Ft!B$3*((1-Ft!B$7)/(1+Ft!B$39*($A658-Ft!B$2)^2)+Ft!B$7*EXP(Ft!B$40*($A658-Ft!B$2)^2)))</f>
        <v>0.6554172436243183</v>
      </c>
      <c r="G658" s="3">
        <f>IF(($A658-Ft!C$2)&lt;0,Ft!C$3*((1-Ft!C$6)/(1+Ft!C$37*($A658-Ft!C$2)^2)+Ft!C$6*EXP(Ft!C$38*($A658-Ft!C$2)^2)),Ft!C$3*((1-Ft!C$7)/(1+Ft!C$39*($A658-Ft!C$2)^2)+Ft!C$7*EXP(Ft!C$40*($A658-Ft!C$2)^2)))</f>
        <v>46.695085807298611</v>
      </c>
      <c r="H658" s="3">
        <f>IF(($A658-Ft!D$2)&lt;0,Ft!D$3*((1-Ft!D$6)/(1+Ft!D$37*($A658-Ft!D$2)^2)+Ft!D$6*EXP(Ft!D$38*($A658-Ft!D$2)^2)),Ft!D$3*((1-Ft!D$7)/(1+Ft!D$39*($A658-Ft!D$2)^2)+Ft!D$7*EXP(Ft!D$40*($A658-Ft!D$2)^2)))</f>
        <v>1.5684769575556124E-231</v>
      </c>
      <c r="I658" s="3">
        <f>IF(($A658-Ft!E$2)&lt;0,Ft!E$3*((1-Ft!E$6)/(1+Ft!E$37*($A658-Ft!E$2)^2)+Ft!E$6*EXP(Ft!E$38*($A658-Ft!E$2)^2)),Ft!E$3*((1-Ft!E$7)/(1+Ft!E$39*($A658-Ft!E$2)^2)+Ft!E$7*EXP(Ft!E$40*($A658-Ft!E$2)^2)))</f>
        <v>8.7241428725421564</v>
      </c>
      <c r="J658" s="3">
        <f>IF(($A658-Ft!F$2)&lt;0,Ft!F$3*((1-Ft!F$6)/(1+Ft!F$37*($A658-Ft!F$2)^2)+Ft!F$6*EXP(Ft!F$38*($A658-Ft!F$2)^2)),Ft!F$3*((1-Ft!F$7)/(1+Ft!F$39*($A658-Ft!F$2)^2)+Ft!F$7*EXP(Ft!F$40*($A658-Ft!F$2)^2)))</f>
        <v>145.58652567899475</v>
      </c>
      <c r="K658" s="3">
        <f>IF(($A658-Ft!G$2)&lt;0,Ft!G$3*((1-Ft!G$6)/(1+Ft!G$37*($A658-Ft!G$2)^2)+Ft!G$6*EXP(Ft!G$38*($A658-Ft!G$2)^2)),Ft!G$3*((1-Ft!G$7)/(1+Ft!G$39*($A658-Ft!G$2)^2)+Ft!G$7*EXP(Ft!G$40*($A658-Ft!G$2)^2)))</f>
        <v>3.3617326641080601E-4</v>
      </c>
      <c r="L658" s="3">
        <f>IF(($A658-Ft!H$2)&lt;0,Ft!H$3*((1-Ft!H$6)/(1+Ft!H$37*($A658-Ft!H$2)^2)+Ft!H$6*EXP(Ft!H$38*($A658-Ft!H$2)^2)),Ft!H$3*((1-Ft!H$7)/(1+Ft!H$39*($A658-Ft!H$2)^2)+Ft!H$7*EXP(Ft!H$40*($A658-Ft!H$2)^2)))</f>
        <v>0</v>
      </c>
      <c r="M658" s="3">
        <f>IF(($A658-Ft!I$2)&lt;0,Ft!I$3*((1-Ft!I$6)/(1+Ft!I$37*($A658-Ft!I$2)^2)+Ft!I$6*EXP(Ft!I$38*($A658-Ft!I$2)^2)),Ft!I$3*((1-Ft!I$7)/(1+Ft!I$39*($A658-Ft!I$2)^2)+Ft!I$7*EXP(Ft!I$40*($A658-Ft!I$2)^2)))</f>
        <v>0</v>
      </c>
      <c r="N658" s="3">
        <f>IF(($A658-Ft!J$2)&lt;0,Ft!J$3*((1-Ft!J$6)/(1+Ft!J$37*($A658-Ft!J$2)^2)+Ft!J$6*EXP(Ft!J$38*($A658-Ft!J$2)^2)),Ft!J$3*((1-Ft!J$7)/(1+Ft!J$39*($A658-Ft!J$2)^2)+Ft!J$7*EXP(Ft!J$40*($A658-Ft!J$2)^2)))</f>
        <v>0</v>
      </c>
      <c r="O658" s="3">
        <f>IF(($A658-Ft!K$2)&lt;0,Ft!K$3*((1-Ft!K$6)/(1+Ft!K$37*($A658-Ft!K$2)^2)+Ft!K$6*EXP(Ft!K$38*($A658-Ft!K$2)^2)),Ft!K$3*((1-Ft!K$7)/(1+Ft!K$39*($A658-Ft!K$2)^2)+Ft!K$7*EXP(Ft!K$40*($A658-Ft!K$2)^2)))</f>
        <v>0</v>
      </c>
      <c r="P658"/>
      <c r="Q658"/>
    </row>
    <row r="659" spans="1:17">
      <c r="A659" s="20">
        <v>1315</v>
      </c>
      <c r="B659" s="29">
        <v>1.4422532970531901</v>
      </c>
      <c r="C659" s="7">
        <f t="shared" si="21"/>
        <v>1.5657999095351838</v>
      </c>
      <c r="D659" s="3">
        <f t="shared" si="20"/>
        <v>1.5263765455775928E-2</v>
      </c>
      <c r="E659" s="3">
        <f>Ft!$B$12+Ft!$B$14*(Data!A659-Vars!$B$3)</f>
        <v>-200</v>
      </c>
      <c r="F659" s="3">
        <f>IF(($A659-Ft!B$2)&lt;0,Ft!B$3*((1-Ft!B$6)/(1+Ft!B$37*($A659-Ft!B$2)^2)+Ft!B$6*EXP(Ft!B$38*($A659-Ft!B$2)^2)),Ft!B$3*((1-Ft!B$7)/(1+Ft!B$39*($A659-Ft!B$2)^2)+Ft!B$7*EXP(Ft!B$40*($A659-Ft!B$2)^2)))</f>
        <v>0.64588113409874048</v>
      </c>
      <c r="G659" s="3">
        <f>IF(($A659-Ft!C$2)&lt;0,Ft!C$3*((1-Ft!C$6)/(1+Ft!C$37*($A659-Ft!C$2)^2)+Ft!C$6*EXP(Ft!C$38*($A659-Ft!C$2)^2)),Ft!C$3*((1-Ft!C$7)/(1+Ft!C$39*($A659-Ft!C$2)^2)+Ft!C$7*EXP(Ft!C$40*($A659-Ft!C$2)^2)))</f>
        <v>46.610202860788192</v>
      </c>
      <c r="H659" s="3">
        <f>IF(($A659-Ft!D$2)&lt;0,Ft!D$3*((1-Ft!D$6)/(1+Ft!D$37*($A659-Ft!D$2)^2)+Ft!D$6*EXP(Ft!D$38*($A659-Ft!D$2)^2)),Ft!D$3*((1-Ft!D$7)/(1+Ft!D$39*($A659-Ft!D$2)^2)+Ft!D$7*EXP(Ft!D$40*($A659-Ft!D$2)^2)))</f>
        <v>1.3868504063844368E-232</v>
      </c>
      <c r="I659" s="3">
        <f>IF(($A659-Ft!E$2)&lt;0,Ft!E$3*((1-Ft!E$6)/(1+Ft!E$37*($A659-Ft!E$2)^2)+Ft!E$6*EXP(Ft!E$38*($A659-Ft!E$2)^2)),Ft!E$3*((1-Ft!E$7)/(1+Ft!E$39*($A659-Ft!E$2)^2)+Ft!E$7*EXP(Ft!E$40*($A659-Ft!E$2)^2)))</f>
        <v>8.5751590691706348</v>
      </c>
      <c r="J659" s="3">
        <f>IF(($A659-Ft!F$2)&lt;0,Ft!F$3*((1-Ft!F$6)/(1+Ft!F$37*($A659-Ft!F$2)^2)+Ft!F$6*EXP(Ft!F$38*($A659-Ft!F$2)^2)),Ft!F$3*((1-Ft!F$7)/(1+Ft!F$39*($A659-Ft!F$2)^2)+Ft!F$7*EXP(Ft!F$40*($A659-Ft!F$2)^2)))</f>
        <v>145.73423698378022</v>
      </c>
      <c r="K659" s="3">
        <f>IF(($A659-Ft!G$2)&lt;0,Ft!G$3*((1-Ft!G$6)/(1+Ft!G$37*($A659-Ft!G$2)^2)+Ft!G$6*EXP(Ft!G$38*($A659-Ft!G$2)^2)),Ft!G$3*((1-Ft!G$7)/(1+Ft!G$39*($A659-Ft!G$2)^2)+Ft!G$7*EXP(Ft!G$40*($A659-Ft!G$2)^2)))</f>
        <v>3.1986169740303371E-4</v>
      </c>
      <c r="L659" s="3">
        <f>IF(($A659-Ft!H$2)&lt;0,Ft!H$3*((1-Ft!H$6)/(1+Ft!H$37*($A659-Ft!H$2)^2)+Ft!H$6*EXP(Ft!H$38*($A659-Ft!H$2)^2)),Ft!H$3*((1-Ft!H$7)/(1+Ft!H$39*($A659-Ft!H$2)^2)+Ft!H$7*EXP(Ft!H$40*($A659-Ft!H$2)^2)))</f>
        <v>0</v>
      </c>
      <c r="M659" s="3">
        <f>IF(($A659-Ft!I$2)&lt;0,Ft!I$3*((1-Ft!I$6)/(1+Ft!I$37*($A659-Ft!I$2)^2)+Ft!I$6*EXP(Ft!I$38*($A659-Ft!I$2)^2)),Ft!I$3*((1-Ft!I$7)/(1+Ft!I$39*($A659-Ft!I$2)^2)+Ft!I$7*EXP(Ft!I$40*($A659-Ft!I$2)^2)))</f>
        <v>0</v>
      </c>
      <c r="N659" s="3">
        <f>IF(($A659-Ft!J$2)&lt;0,Ft!J$3*((1-Ft!J$6)/(1+Ft!J$37*($A659-Ft!J$2)^2)+Ft!J$6*EXP(Ft!J$38*($A659-Ft!J$2)^2)),Ft!J$3*((1-Ft!J$7)/(1+Ft!J$39*($A659-Ft!J$2)^2)+Ft!J$7*EXP(Ft!J$40*($A659-Ft!J$2)^2)))</f>
        <v>0</v>
      </c>
      <c r="O659" s="3">
        <f>IF(($A659-Ft!K$2)&lt;0,Ft!K$3*((1-Ft!K$6)/(1+Ft!K$37*($A659-Ft!K$2)^2)+Ft!K$6*EXP(Ft!K$38*($A659-Ft!K$2)^2)),Ft!K$3*((1-Ft!K$7)/(1+Ft!K$39*($A659-Ft!K$2)^2)+Ft!K$7*EXP(Ft!K$40*($A659-Ft!K$2)^2)))</f>
        <v>0</v>
      </c>
      <c r="P659"/>
      <c r="Q659"/>
    </row>
    <row r="660" spans="1:17">
      <c r="A660" s="20">
        <v>1317</v>
      </c>
      <c r="B660" s="29">
        <v>1.4044964303668017</v>
      </c>
      <c r="C660" s="7">
        <f t="shared" si="21"/>
        <v>1.4702466959943179</v>
      </c>
      <c r="D660" s="3">
        <f t="shared" si="20"/>
        <v>4.3230974300889355E-3</v>
      </c>
      <c r="E660" s="3">
        <f>Ft!$B$12+Ft!$B$14*(Data!A660-Vars!$B$3)</f>
        <v>-200</v>
      </c>
      <c r="F660" s="3">
        <f>IF(($A660-Ft!B$2)&lt;0,Ft!B$3*((1-Ft!B$6)/(1+Ft!B$37*($A660-Ft!B$2)^2)+Ft!B$6*EXP(Ft!B$38*($A660-Ft!B$2)^2)),Ft!B$3*((1-Ft!B$7)/(1+Ft!B$39*($A660-Ft!B$2)^2)+Ft!B$7*EXP(Ft!B$40*($A660-Ft!B$2)^2)))</f>
        <v>0.63647162360418497</v>
      </c>
      <c r="G660" s="3">
        <f>IF(($A660-Ft!C$2)&lt;0,Ft!C$3*((1-Ft!C$6)/(1+Ft!C$37*($A660-Ft!C$2)^2)+Ft!C$6*EXP(Ft!C$38*($A660-Ft!C$2)^2)),Ft!C$3*((1-Ft!C$7)/(1+Ft!C$39*($A660-Ft!C$2)^2)+Ft!C$7*EXP(Ft!C$40*($A660-Ft!C$2)^2)))</f>
        <v>46.525063128891865</v>
      </c>
      <c r="H660" s="3">
        <f>IF(($A660-Ft!D$2)&lt;0,Ft!D$3*((1-Ft!D$6)/(1+Ft!D$37*($A660-Ft!D$2)^2)+Ft!D$6*EXP(Ft!D$38*($A660-Ft!D$2)^2)),Ft!D$3*((1-Ft!D$7)/(1+Ft!D$39*($A660-Ft!D$2)^2)+Ft!D$7*EXP(Ft!D$40*($A660-Ft!D$2)^2)))</f>
        <v>1.2195094792477797E-233</v>
      </c>
      <c r="I660" s="3">
        <f>IF(($A660-Ft!E$2)&lt;0,Ft!E$3*((1-Ft!E$6)/(1+Ft!E$37*($A660-Ft!E$2)^2)+Ft!E$6*EXP(Ft!E$38*($A660-Ft!E$2)^2)),Ft!E$3*((1-Ft!E$7)/(1+Ft!E$39*($A660-Ft!E$2)^2)+Ft!E$7*EXP(Ft!E$40*($A660-Ft!E$2)^2)))</f>
        <v>8.428230795009485</v>
      </c>
      <c r="J660" s="3">
        <f>IF(($A660-Ft!F$2)&lt;0,Ft!F$3*((1-Ft!F$6)/(1+Ft!F$37*($A660-Ft!F$2)^2)+Ft!F$6*EXP(Ft!F$38*($A660-Ft!F$2)^2)),Ft!F$3*((1-Ft!F$7)/(1+Ft!F$39*($A660-Ft!F$2)^2)+Ft!F$7*EXP(Ft!F$40*($A660-Ft!F$2)^2)))</f>
        <v>145.8801768384902</v>
      </c>
      <c r="K660" s="3">
        <f>IF(($A660-Ft!G$2)&lt;0,Ft!G$3*((1-Ft!G$6)/(1+Ft!G$37*($A660-Ft!G$2)^2)+Ft!G$6*EXP(Ft!G$38*($A660-Ft!G$2)^2)),Ft!G$3*((1-Ft!G$7)/(1+Ft!G$39*($A660-Ft!G$2)^2)+Ft!G$7*EXP(Ft!G$40*($A660-Ft!G$2)^2)))</f>
        <v>3.0430999856724333E-4</v>
      </c>
      <c r="L660" s="3">
        <f>IF(($A660-Ft!H$2)&lt;0,Ft!H$3*((1-Ft!H$6)/(1+Ft!H$37*($A660-Ft!H$2)^2)+Ft!H$6*EXP(Ft!H$38*($A660-Ft!H$2)^2)),Ft!H$3*((1-Ft!H$7)/(1+Ft!H$39*($A660-Ft!H$2)^2)+Ft!H$7*EXP(Ft!H$40*($A660-Ft!H$2)^2)))</f>
        <v>0</v>
      </c>
      <c r="M660" s="3">
        <f>IF(($A660-Ft!I$2)&lt;0,Ft!I$3*((1-Ft!I$6)/(1+Ft!I$37*($A660-Ft!I$2)^2)+Ft!I$6*EXP(Ft!I$38*($A660-Ft!I$2)^2)),Ft!I$3*((1-Ft!I$7)/(1+Ft!I$39*($A660-Ft!I$2)^2)+Ft!I$7*EXP(Ft!I$40*($A660-Ft!I$2)^2)))</f>
        <v>0</v>
      </c>
      <c r="N660" s="3">
        <f>IF(($A660-Ft!J$2)&lt;0,Ft!J$3*((1-Ft!J$6)/(1+Ft!J$37*($A660-Ft!J$2)^2)+Ft!J$6*EXP(Ft!J$38*($A660-Ft!J$2)^2)),Ft!J$3*((1-Ft!J$7)/(1+Ft!J$39*($A660-Ft!J$2)^2)+Ft!J$7*EXP(Ft!J$40*($A660-Ft!J$2)^2)))</f>
        <v>0</v>
      </c>
      <c r="O660" s="3">
        <f>IF(($A660-Ft!K$2)&lt;0,Ft!K$3*((1-Ft!K$6)/(1+Ft!K$37*($A660-Ft!K$2)^2)+Ft!K$6*EXP(Ft!K$38*($A660-Ft!K$2)^2)),Ft!K$3*((1-Ft!K$7)/(1+Ft!K$39*($A660-Ft!K$2)^2)+Ft!K$7*EXP(Ft!K$40*($A660-Ft!K$2)^2)))</f>
        <v>0</v>
      </c>
      <c r="P660"/>
      <c r="Q660"/>
    </row>
    <row r="661" spans="1:17">
      <c r="A661" s="20">
        <v>1319</v>
      </c>
      <c r="B661" s="29">
        <v>1.3526349243256599</v>
      </c>
      <c r="C661" s="7">
        <f t="shared" si="21"/>
        <v>1.3748246376786992</v>
      </c>
      <c r="D661" s="3">
        <f t="shared" si="20"/>
        <v>4.9238337869005153E-4</v>
      </c>
      <c r="E661" s="3">
        <f>Ft!$B$12+Ft!$B$14*(Data!A661-Vars!$B$3)</f>
        <v>-200</v>
      </c>
      <c r="F661" s="3">
        <f>IF(($A661-Ft!B$2)&lt;0,Ft!B$3*((1-Ft!B$6)/(1+Ft!B$37*($A661-Ft!B$2)^2)+Ft!B$6*EXP(Ft!B$38*($A661-Ft!B$2)^2)),Ft!B$3*((1-Ft!B$7)/(1+Ft!B$39*($A661-Ft!B$2)^2)+Ft!B$7*EXP(Ft!B$40*($A661-Ft!B$2)^2)))</f>
        <v>0.62718722435838337</v>
      </c>
      <c r="G661" s="3">
        <f>IF(($A661-Ft!C$2)&lt;0,Ft!C$3*((1-Ft!C$6)/(1+Ft!C$37*($A661-Ft!C$2)^2)+Ft!C$6*EXP(Ft!C$38*($A661-Ft!C$2)^2)),Ft!C$3*((1-Ft!C$7)/(1+Ft!C$39*($A661-Ft!C$2)^2)+Ft!C$7*EXP(Ft!C$40*($A661-Ft!C$2)^2)))</f>
        <v>46.439668583832287</v>
      </c>
      <c r="H661" s="3">
        <f>IF(($A661-Ft!D$2)&lt;0,Ft!D$3*((1-Ft!D$6)/(1+Ft!D$37*($A661-Ft!D$2)^2)+Ft!D$6*EXP(Ft!D$38*($A661-Ft!D$2)^2)),Ft!D$3*((1-Ft!D$7)/(1+Ft!D$39*($A661-Ft!D$2)^2)+Ft!D$7*EXP(Ft!D$40*($A661-Ft!D$2)^2)))</f>
        <v>1.0664606358694695E-234</v>
      </c>
      <c r="I661" s="3">
        <f>IF(($A661-Ft!E$2)&lt;0,Ft!E$3*((1-Ft!E$6)/(1+Ft!E$37*($A661-Ft!E$2)^2)+Ft!E$6*EXP(Ft!E$38*($A661-Ft!E$2)^2)),Ft!E$3*((1-Ft!E$7)/(1+Ft!E$39*($A661-Ft!E$2)^2)+Ft!E$7*EXP(Ft!E$40*($A661-Ft!E$2)^2)))</f>
        <v>8.2833397220184803</v>
      </c>
      <c r="J661" s="3">
        <f>IF(($A661-Ft!F$2)&lt;0,Ft!F$3*((1-Ft!F$6)/(1+Ft!F$37*($A661-Ft!F$2)^2)+Ft!F$6*EXP(Ft!F$38*($A661-Ft!F$2)^2)),Ft!F$3*((1-Ft!F$7)/(1+Ft!F$39*($A661-Ft!F$2)^2)+Ft!F$7*EXP(Ft!F$40*($A661-Ft!F$2)^2)))</f>
        <v>146.02433962309476</v>
      </c>
      <c r="K661" s="3">
        <f>IF(($A661-Ft!G$2)&lt;0,Ft!G$3*((1-Ft!G$6)/(1+Ft!G$37*($A661-Ft!G$2)^2)+Ft!G$6*EXP(Ft!G$38*($A661-Ft!G$2)^2)),Ft!G$3*((1-Ft!G$7)/(1+Ft!G$39*($A661-Ft!G$2)^2)+Ft!G$7*EXP(Ft!G$40*($A661-Ft!G$2)^2)))</f>
        <v>2.8948437480347901E-4</v>
      </c>
      <c r="L661" s="3">
        <f>IF(($A661-Ft!H$2)&lt;0,Ft!H$3*((1-Ft!H$6)/(1+Ft!H$37*($A661-Ft!H$2)^2)+Ft!H$6*EXP(Ft!H$38*($A661-Ft!H$2)^2)),Ft!H$3*((1-Ft!H$7)/(1+Ft!H$39*($A661-Ft!H$2)^2)+Ft!H$7*EXP(Ft!H$40*($A661-Ft!H$2)^2)))</f>
        <v>0</v>
      </c>
      <c r="M661" s="3">
        <f>IF(($A661-Ft!I$2)&lt;0,Ft!I$3*((1-Ft!I$6)/(1+Ft!I$37*($A661-Ft!I$2)^2)+Ft!I$6*EXP(Ft!I$38*($A661-Ft!I$2)^2)),Ft!I$3*((1-Ft!I$7)/(1+Ft!I$39*($A661-Ft!I$2)^2)+Ft!I$7*EXP(Ft!I$40*($A661-Ft!I$2)^2)))</f>
        <v>0</v>
      </c>
      <c r="N661" s="3">
        <f>IF(($A661-Ft!J$2)&lt;0,Ft!J$3*((1-Ft!J$6)/(1+Ft!J$37*($A661-Ft!J$2)^2)+Ft!J$6*EXP(Ft!J$38*($A661-Ft!J$2)^2)),Ft!J$3*((1-Ft!J$7)/(1+Ft!J$39*($A661-Ft!J$2)^2)+Ft!J$7*EXP(Ft!J$40*($A661-Ft!J$2)^2)))</f>
        <v>0</v>
      </c>
      <c r="O661" s="3">
        <f>IF(($A661-Ft!K$2)&lt;0,Ft!K$3*((1-Ft!K$6)/(1+Ft!K$37*($A661-Ft!K$2)^2)+Ft!K$6*EXP(Ft!K$38*($A661-Ft!K$2)^2)),Ft!K$3*((1-Ft!K$7)/(1+Ft!K$39*($A661-Ft!K$2)^2)+Ft!K$7*EXP(Ft!K$40*($A661-Ft!K$2)^2)))</f>
        <v>0</v>
      </c>
      <c r="P661"/>
      <c r="Q661"/>
    </row>
    <row r="662" spans="1:17">
      <c r="A662" s="20">
        <v>1321</v>
      </c>
      <c r="B662" s="29">
        <v>1.2970804244127989</v>
      </c>
      <c r="C662" s="7">
        <f t="shared" si="21"/>
        <v>1.2795102842153807</v>
      </c>
      <c r="D662" s="3">
        <f t="shared" si="20"/>
        <v>3.0870982655693103E-4</v>
      </c>
      <c r="E662" s="3">
        <f>Ft!$B$12+Ft!$B$14*(Data!A662-Vars!$B$3)</f>
        <v>-200</v>
      </c>
      <c r="F662" s="3">
        <f>IF(($A662-Ft!B$2)&lt;0,Ft!B$3*((1-Ft!B$6)/(1+Ft!B$37*($A662-Ft!B$2)^2)+Ft!B$6*EXP(Ft!B$38*($A662-Ft!B$2)^2)),Ft!B$3*((1-Ft!B$7)/(1+Ft!B$39*($A662-Ft!B$2)^2)+Ft!B$7*EXP(Ft!B$40*($A662-Ft!B$2)^2)))</f>
        <v>0.61802646315621534</v>
      </c>
      <c r="G662" s="3">
        <f>IF(($A662-Ft!C$2)&lt;0,Ft!C$3*((1-Ft!C$6)/(1+Ft!C$37*($A662-Ft!C$2)^2)+Ft!C$6*EXP(Ft!C$38*($A662-Ft!C$2)^2)),Ft!C$3*((1-Ft!C$7)/(1+Ft!C$39*($A662-Ft!C$2)^2)+Ft!C$7*EXP(Ft!C$40*($A662-Ft!C$2)^2)))</f>
        <v>46.354021200969051</v>
      </c>
      <c r="H662" s="3">
        <f>IF(($A662-Ft!D$2)&lt;0,Ft!D$3*((1-Ft!D$6)/(1+Ft!D$37*($A662-Ft!D$2)^2)+Ft!D$6*EXP(Ft!D$38*($A662-Ft!D$2)^2)),Ft!D$3*((1-Ft!D$7)/(1+Ft!D$39*($A662-Ft!D$2)^2)+Ft!D$7*EXP(Ft!D$40*($A662-Ft!D$2)^2)))</f>
        <v>9.27488570157699E-236</v>
      </c>
      <c r="I662" s="3">
        <f>IF(($A662-Ft!E$2)&lt;0,Ft!E$3*((1-Ft!E$6)/(1+Ft!E$37*($A662-Ft!E$2)^2)+Ft!E$6*EXP(Ft!E$38*($A662-Ft!E$2)^2)),Ft!E$3*((1-Ft!E$7)/(1+Ft!E$39*($A662-Ft!E$2)^2)+Ft!E$7*EXP(Ft!E$40*($A662-Ft!E$2)^2)))</f>
        <v>8.1404674854130956</v>
      </c>
      <c r="J662" s="3">
        <f>IF(($A662-Ft!F$2)&lt;0,Ft!F$3*((1-Ft!F$6)/(1+Ft!F$37*($A662-Ft!F$2)^2)+Ft!F$6*EXP(Ft!F$38*($A662-Ft!F$2)^2)),Ft!F$3*((1-Ft!F$7)/(1+Ft!F$39*($A662-Ft!F$2)^2)+Ft!F$7*EXP(Ft!F$40*($A662-Ft!F$2)^2)))</f>
        <v>146.1667197822218</v>
      </c>
      <c r="K662" s="3">
        <f>IF(($A662-Ft!G$2)&lt;0,Ft!G$3*((1-Ft!G$6)/(1+Ft!G$37*($A662-Ft!G$2)^2)+Ft!G$6*EXP(Ft!G$38*($A662-Ft!G$2)^2)),Ft!G$3*((1-Ft!G$7)/(1+Ft!G$39*($A662-Ft!G$2)^2)+Ft!G$7*EXP(Ft!G$40*($A662-Ft!G$2)^2)))</f>
        <v>2.7535245522309888E-4</v>
      </c>
      <c r="L662" s="3">
        <f>IF(($A662-Ft!H$2)&lt;0,Ft!H$3*((1-Ft!H$6)/(1+Ft!H$37*($A662-Ft!H$2)^2)+Ft!H$6*EXP(Ft!H$38*($A662-Ft!H$2)^2)),Ft!H$3*((1-Ft!H$7)/(1+Ft!H$39*($A662-Ft!H$2)^2)+Ft!H$7*EXP(Ft!H$40*($A662-Ft!H$2)^2)))</f>
        <v>0</v>
      </c>
      <c r="M662" s="3">
        <f>IF(($A662-Ft!I$2)&lt;0,Ft!I$3*((1-Ft!I$6)/(1+Ft!I$37*($A662-Ft!I$2)^2)+Ft!I$6*EXP(Ft!I$38*($A662-Ft!I$2)^2)),Ft!I$3*((1-Ft!I$7)/(1+Ft!I$39*($A662-Ft!I$2)^2)+Ft!I$7*EXP(Ft!I$40*($A662-Ft!I$2)^2)))</f>
        <v>0</v>
      </c>
      <c r="N662" s="3">
        <f>IF(($A662-Ft!J$2)&lt;0,Ft!J$3*((1-Ft!J$6)/(1+Ft!J$37*($A662-Ft!J$2)^2)+Ft!J$6*EXP(Ft!J$38*($A662-Ft!J$2)^2)),Ft!J$3*((1-Ft!J$7)/(1+Ft!J$39*($A662-Ft!J$2)^2)+Ft!J$7*EXP(Ft!J$40*($A662-Ft!J$2)^2)))</f>
        <v>0</v>
      </c>
      <c r="O662" s="3">
        <f>IF(($A662-Ft!K$2)&lt;0,Ft!K$3*((1-Ft!K$6)/(1+Ft!K$37*($A662-Ft!K$2)^2)+Ft!K$6*EXP(Ft!K$38*($A662-Ft!K$2)^2)),Ft!K$3*((1-Ft!K$7)/(1+Ft!K$39*($A662-Ft!K$2)^2)+Ft!K$7*EXP(Ft!K$40*($A662-Ft!K$2)^2)))</f>
        <v>0</v>
      </c>
      <c r="P662"/>
      <c r="Q662"/>
    </row>
    <row r="663" spans="1:17">
      <c r="A663" s="20">
        <v>1323</v>
      </c>
      <c r="B663" s="29">
        <v>1.2516893179109443</v>
      </c>
      <c r="C663" s="7">
        <f t="shared" si="21"/>
        <v>1.1842802372611065</v>
      </c>
      <c r="D663" s="3">
        <f t="shared" si="20"/>
        <v>4.5439841540563302E-3</v>
      </c>
      <c r="E663" s="3">
        <f>Ft!$B$12+Ft!$B$14*(Data!A663-Vars!$B$3)</f>
        <v>-200</v>
      </c>
      <c r="F663" s="3">
        <f>IF(($A663-Ft!B$2)&lt;0,Ft!B$3*((1-Ft!B$6)/(1+Ft!B$37*($A663-Ft!B$2)^2)+Ft!B$6*EXP(Ft!B$38*($A663-Ft!B$2)^2)),Ft!B$3*((1-Ft!B$7)/(1+Ft!B$39*($A663-Ft!B$2)^2)+Ft!B$7*EXP(Ft!B$40*($A663-Ft!B$2)^2)))</f>
        <v>0.60898788126872017</v>
      </c>
      <c r="G663" s="3">
        <f>IF(($A663-Ft!C$2)&lt;0,Ft!C$3*((1-Ft!C$6)/(1+Ft!C$37*($A663-Ft!C$2)^2)+Ft!C$6*EXP(Ft!C$38*($A663-Ft!C$2)^2)),Ft!C$3*((1-Ft!C$7)/(1+Ft!C$39*($A663-Ft!C$2)^2)+Ft!C$7*EXP(Ft!C$40*($A663-Ft!C$2)^2)))</f>
        <v>46.268122958723247</v>
      </c>
      <c r="H663" s="3">
        <f>IF(($A663-Ft!D$2)&lt;0,Ft!D$3*((1-Ft!D$6)/(1+Ft!D$37*($A663-Ft!D$2)^2)+Ft!D$6*EXP(Ft!D$38*($A663-Ft!D$2)^2)),Ft!D$3*((1-Ft!D$7)/(1+Ft!D$39*($A663-Ft!D$2)^2)+Ft!D$7*EXP(Ft!D$40*($A663-Ft!D$2)^2)))</f>
        <v>8.0218842269711012E-237</v>
      </c>
      <c r="I663" s="3">
        <f>IF(($A663-Ft!E$2)&lt;0,Ft!E$3*((1-Ft!E$6)/(1+Ft!E$37*($A663-Ft!E$2)^2)+Ft!E$6*EXP(Ft!E$38*($A663-Ft!E$2)^2)),Ft!E$3*((1-Ft!E$7)/(1+Ft!E$39*($A663-Ft!E$2)^2)+Ft!E$7*EXP(Ft!E$40*($A663-Ft!E$2)^2)))</f>
        <v>7.9995956885185597</v>
      </c>
      <c r="J663" s="3">
        <f>IF(($A663-Ft!F$2)&lt;0,Ft!F$3*((1-Ft!F$6)/(1+Ft!F$37*($A663-Ft!F$2)^2)+Ft!F$6*EXP(Ft!F$38*($A663-Ft!F$2)^2)),Ft!F$3*((1-Ft!F$7)/(1+Ft!F$39*($A663-Ft!F$2)^2)+Ft!F$7*EXP(Ft!F$40*($A663-Ft!F$2)^2)))</f>
        <v>146.30731182551372</v>
      </c>
      <c r="K663" s="3">
        <f>IF(($A663-Ft!G$2)&lt;0,Ft!G$3*((1-Ft!G$6)/(1+Ft!G$37*($A663-Ft!G$2)^2)+Ft!G$6*EXP(Ft!G$38*($A663-Ft!G$2)^2)),Ft!G$3*((1-Ft!G$7)/(1+Ft!G$39*($A663-Ft!G$2)^2)+Ft!G$7*EXP(Ft!G$40*($A663-Ft!G$2)^2)))</f>
        <v>2.6188323687431262E-4</v>
      </c>
      <c r="L663" s="3">
        <f>IF(($A663-Ft!H$2)&lt;0,Ft!H$3*((1-Ft!H$6)/(1+Ft!H$37*($A663-Ft!H$2)^2)+Ft!H$6*EXP(Ft!H$38*($A663-Ft!H$2)^2)),Ft!H$3*((1-Ft!H$7)/(1+Ft!H$39*($A663-Ft!H$2)^2)+Ft!H$7*EXP(Ft!H$40*($A663-Ft!H$2)^2)))</f>
        <v>0</v>
      </c>
      <c r="M663" s="3">
        <f>IF(($A663-Ft!I$2)&lt;0,Ft!I$3*((1-Ft!I$6)/(1+Ft!I$37*($A663-Ft!I$2)^2)+Ft!I$6*EXP(Ft!I$38*($A663-Ft!I$2)^2)),Ft!I$3*((1-Ft!I$7)/(1+Ft!I$39*($A663-Ft!I$2)^2)+Ft!I$7*EXP(Ft!I$40*($A663-Ft!I$2)^2)))</f>
        <v>0</v>
      </c>
      <c r="N663" s="3">
        <f>IF(($A663-Ft!J$2)&lt;0,Ft!J$3*((1-Ft!J$6)/(1+Ft!J$37*($A663-Ft!J$2)^2)+Ft!J$6*EXP(Ft!J$38*($A663-Ft!J$2)^2)),Ft!J$3*((1-Ft!J$7)/(1+Ft!J$39*($A663-Ft!J$2)^2)+Ft!J$7*EXP(Ft!J$40*($A663-Ft!J$2)^2)))</f>
        <v>0</v>
      </c>
      <c r="O663" s="3">
        <f>IF(($A663-Ft!K$2)&lt;0,Ft!K$3*((1-Ft!K$6)/(1+Ft!K$37*($A663-Ft!K$2)^2)+Ft!K$6*EXP(Ft!K$38*($A663-Ft!K$2)^2)),Ft!K$3*((1-Ft!K$7)/(1+Ft!K$39*($A663-Ft!K$2)^2)+Ft!K$7*EXP(Ft!K$40*($A663-Ft!K$2)^2)))</f>
        <v>0</v>
      </c>
      <c r="P663"/>
      <c r="Q663"/>
    </row>
    <row r="664" spans="1:17">
      <c r="A664" s="20">
        <v>1325</v>
      </c>
      <c r="B664" s="29">
        <v>1.2164031186326765</v>
      </c>
      <c r="C664" s="7">
        <f t="shared" si="21"/>
        <v>1.0891111554044079</v>
      </c>
      <c r="D664" s="3">
        <f t="shared" si="20"/>
        <v>1.6203243902506867E-2</v>
      </c>
      <c r="E664" s="3">
        <f>Ft!$B$12+Ft!$B$14*(Data!A664-Vars!$B$3)</f>
        <v>-200</v>
      </c>
      <c r="F664" s="3">
        <f>IF(($A664-Ft!B$2)&lt;0,Ft!B$3*((1-Ft!B$6)/(1+Ft!B$37*($A664-Ft!B$2)^2)+Ft!B$6*EXP(Ft!B$38*($A664-Ft!B$2)^2)),Ft!B$3*((1-Ft!B$7)/(1+Ft!B$39*($A664-Ft!B$2)^2)+Ft!B$7*EXP(Ft!B$40*($A664-Ft!B$2)^2)))</f>
        <v>0.60007003434221273</v>
      </c>
      <c r="G664" s="3">
        <f>IF(($A664-Ft!C$2)&lt;0,Ft!C$3*((1-Ft!C$6)/(1+Ft!C$37*($A664-Ft!C$2)^2)+Ft!C$6*EXP(Ft!C$38*($A664-Ft!C$2)^2)),Ft!C$3*((1-Ft!C$7)/(1+Ft!C$39*($A664-Ft!C$2)^2)+Ft!C$7*EXP(Ft!C$40*($A664-Ft!C$2)^2)))</f>
        <v>46.181975838501913</v>
      </c>
      <c r="H664" s="3">
        <f>IF(($A664-Ft!D$2)&lt;0,Ft!D$3*((1-Ft!D$6)/(1+Ft!D$37*($A664-Ft!D$2)^2)+Ft!D$6*EXP(Ft!D$38*($A664-Ft!D$2)^2)),Ft!D$3*((1-Ft!D$7)/(1+Ft!D$39*($A664-Ft!D$2)^2)+Ft!D$7*EXP(Ft!D$40*($A664-Ft!D$2)^2)))</f>
        <v>6.8999874454353405E-238</v>
      </c>
      <c r="I664" s="3">
        <f>IF(($A664-Ft!E$2)&lt;0,Ft!E$3*((1-Ft!E$6)/(1+Ft!E$37*($A664-Ft!E$2)^2)+Ft!E$6*EXP(Ft!E$38*($A664-Ft!E$2)^2)),Ft!E$3*((1-Ft!E$7)/(1+Ft!E$39*($A664-Ft!E$2)^2)+Ft!E$7*EXP(Ft!E$40*($A664-Ft!E$2)^2)))</f>
        <v>7.8607059075494439</v>
      </c>
      <c r="J664" s="3">
        <f>IF(($A664-Ft!F$2)&lt;0,Ft!F$3*((1-Ft!F$6)/(1+Ft!F$37*($A664-Ft!F$2)^2)+Ft!F$6*EXP(Ft!F$38*($A664-Ft!F$2)^2)),Ft!F$3*((1-Ft!F$7)/(1+Ft!F$39*($A664-Ft!F$2)^2)+Ft!F$7*EXP(Ft!F$40*($A664-Ft!F$2)^2)))</f>
        <v>146.44611032798031</v>
      </c>
      <c r="K664" s="3">
        <f>IF(($A664-Ft!G$2)&lt;0,Ft!G$3*((1-Ft!G$6)/(1+Ft!G$37*($A664-Ft!G$2)^2)+Ft!G$6*EXP(Ft!G$38*($A664-Ft!G$2)^2)),Ft!G$3*((1-Ft!G$7)/(1+Ft!G$39*($A664-Ft!G$2)^2)+Ft!G$7*EXP(Ft!G$40*($A664-Ft!G$2)^2)))</f>
        <v>2.4904703051957527E-4</v>
      </c>
      <c r="L664" s="3">
        <f>IF(($A664-Ft!H$2)&lt;0,Ft!H$3*((1-Ft!H$6)/(1+Ft!H$37*($A664-Ft!H$2)^2)+Ft!H$6*EXP(Ft!H$38*($A664-Ft!H$2)^2)),Ft!H$3*((1-Ft!H$7)/(1+Ft!H$39*($A664-Ft!H$2)^2)+Ft!H$7*EXP(Ft!H$40*($A664-Ft!H$2)^2)))</f>
        <v>0</v>
      </c>
      <c r="M664" s="3">
        <f>IF(($A664-Ft!I$2)&lt;0,Ft!I$3*((1-Ft!I$6)/(1+Ft!I$37*($A664-Ft!I$2)^2)+Ft!I$6*EXP(Ft!I$38*($A664-Ft!I$2)^2)),Ft!I$3*((1-Ft!I$7)/(1+Ft!I$39*($A664-Ft!I$2)^2)+Ft!I$7*EXP(Ft!I$40*($A664-Ft!I$2)^2)))</f>
        <v>0</v>
      </c>
      <c r="N664" s="3">
        <f>IF(($A664-Ft!J$2)&lt;0,Ft!J$3*((1-Ft!J$6)/(1+Ft!J$37*($A664-Ft!J$2)^2)+Ft!J$6*EXP(Ft!J$38*($A664-Ft!J$2)^2)),Ft!J$3*((1-Ft!J$7)/(1+Ft!J$39*($A664-Ft!J$2)^2)+Ft!J$7*EXP(Ft!J$40*($A664-Ft!J$2)^2)))</f>
        <v>0</v>
      </c>
      <c r="O664" s="3">
        <f>IF(($A664-Ft!K$2)&lt;0,Ft!K$3*((1-Ft!K$6)/(1+Ft!K$37*($A664-Ft!K$2)^2)+Ft!K$6*EXP(Ft!K$38*($A664-Ft!K$2)^2)),Ft!K$3*((1-Ft!K$7)/(1+Ft!K$39*($A664-Ft!K$2)^2)+Ft!K$7*EXP(Ft!K$40*($A664-Ft!K$2)^2)))</f>
        <v>0</v>
      </c>
      <c r="P664"/>
      <c r="Q664"/>
    </row>
    <row r="665" spans="1:17">
      <c r="A665" s="20">
        <v>1327</v>
      </c>
      <c r="B665" s="29">
        <v>1.1888585630142663</v>
      </c>
      <c r="C665" s="7">
        <f t="shared" si="21"/>
        <v>0.99397975899027613</v>
      </c>
      <c r="D665" s="3">
        <f t="shared" si="20"/>
        <v>3.7977748257820763E-2</v>
      </c>
      <c r="E665" s="3">
        <f>Ft!$B$12+Ft!$B$14*(Data!A665-Vars!$B$3)</f>
        <v>-200</v>
      </c>
      <c r="F665" s="3">
        <f>IF(($A665-Ft!B$2)&lt;0,Ft!B$3*((1-Ft!B$6)/(1+Ft!B$37*($A665-Ft!B$2)^2)+Ft!B$6*EXP(Ft!B$38*($A665-Ft!B$2)^2)),Ft!B$3*((1-Ft!B$7)/(1+Ft!B$39*($A665-Ft!B$2)^2)+Ft!B$7*EXP(Ft!B$40*($A665-Ft!B$2)^2)))</f>
        <v>0.59127149229750708</v>
      </c>
      <c r="G665" s="3">
        <f>IF(($A665-Ft!C$2)&lt;0,Ft!C$3*((1-Ft!C$6)/(1+Ft!C$37*($A665-Ft!C$2)^2)+Ft!C$6*EXP(Ft!C$38*($A665-Ft!C$2)^2)),Ft!C$3*((1-Ft!C$7)/(1+Ft!C$39*($A665-Ft!C$2)^2)+Ft!C$7*EXP(Ft!C$40*($A665-Ft!C$2)^2)))</f>
        <v>46.09558182462257</v>
      </c>
      <c r="H665" s="3">
        <f>IF(($A665-Ft!D$2)&lt;0,Ft!D$3*((1-Ft!D$6)/(1+Ft!D$37*($A665-Ft!D$2)^2)+Ft!D$6*EXP(Ft!D$38*($A665-Ft!D$2)^2)),Ft!D$3*((1-Ft!D$7)/(1+Ft!D$39*($A665-Ft!D$2)^2)+Ft!D$7*EXP(Ft!D$40*($A665-Ft!D$2)^2)))</f>
        <v>5.9023410215442986E-239</v>
      </c>
      <c r="I665" s="3">
        <f>IF(($A665-Ft!E$2)&lt;0,Ft!E$3*((1-Ft!E$6)/(1+Ft!E$37*($A665-Ft!E$2)^2)+Ft!E$6*EXP(Ft!E$38*($A665-Ft!E$2)^2)),Ft!E$3*((1-Ft!E$7)/(1+Ft!E$39*($A665-Ft!E$2)^2)+Ft!E$7*EXP(Ft!E$40*($A665-Ft!E$2)^2)))</f>
        <v>7.7237796963145176</v>
      </c>
      <c r="J665" s="3">
        <f>IF(($A665-Ft!F$2)&lt;0,Ft!F$3*((1-Ft!F$6)/(1+Ft!F$37*($A665-Ft!F$2)^2)+Ft!F$6*EXP(Ft!F$38*($A665-Ft!F$2)^2)),Ft!F$3*((1-Ft!F$7)/(1+Ft!F$39*($A665-Ft!F$2)^2)+Ft!F$7*EXP(Ft!F$40*($A665-Ft!F$2)^2)))</f>
        <v>146.58310993034729</v>
      </c>
      <c r="K665" s="3">
        <f>IF(($A665-Ft!G$2)&lt;0,Ft!G$3*((1-Ft!G$6)/(1+Ft!G$37*($A665-Ft!G$2)^2)+Ft!G$6*EXP(Ft!G$38*($A665-Ft!G$2)^2)),Ft!G$3*((1-Ft!G$7)/(1+Ft!G$39*($A665-Ft!G$2)^2)+Ft!G$7*EXP(Ft!G$40*($A665-Ft!G$2)^2)))</f>
        <v>2.3681540839761545E-4</v>
      </c>
      <c r="L665" s="3">
        <f>IF(($A665-Ft!H$2)&lt;0,Ft!H$3*((1-Ft!H$6)/(1+Ft!H$37*($A665-Ft!H$2)^2)+Ft!H$6*EXP(Ft!H$38*($A665-Ft!H$2)^2)),Ft!H$3*((1-Ft!H$7)/(1+Ft!H$39*($A665-Ft!H$2)^2)+Ft!H$7*EXP(Ft!H$40*($A665-Ft!H$2)^2)))</f>
        <v>0</v>
      </c>
      <c r="M665" s="3">
        <f>IF(($A665-Ft!I$2)&lt;0,Ft!I$3*((1-Ft!I$6)/(1+Ft!I$37*($A665-Ft!I$2)^2)+Ft!I$6*EXP(Ft!I$38*($A665-Ft!I$2)^2)),Ft!I$3*((1-Ft!I$7)/(1+Ft!I$39*($A665-Ft!I$2)^2)+Ft!I$7*EXP(Ft!I$40*($A665-Ft!I$2)^2)))</f>
        <v>0</v>
      </c>
      <c r="N665" s="3">
        <f>IF(($A665-Ft!J$2)&lt;0,Ft!J$3*((1-Ft!J$6)/(1+Ft!J$37*($A665-Ft!J$2)^2)+Ft!J$6*EXP(Ft!J$38*($A665-Ft!J$2)^2)),Ft!J$3*((1-Ft!J$7)/(1+Ft!J$39*($A665-Ft!J$2)^2)+Ft!J$7*EXP(Ft!J$40*($A665-Ft!J$2)^2)))</f>
        <v>0</v>
      </c>
      <c r="O665" s="3">
        <f>IF(($A665-Ft!K$2)&lt;0,Ft!K$3*((1-Ft!K$6)/(1+Ft!K$37*($A665-Ft!K$2)^2)+Ft!K$6*EXP(Ft!K$38*($A665-Ft!K$2)^2)),Ft!K$3*((1-Ft!K$7)/(1+Ft!K$39*($A665-Ft!K$2)^2)+Ft!K$7*EXP(Ft!K$40*($A665-Ft!K$2)^2)))</f>
        <v>0</v>
      </c>
      <c r="P665"/>
      <c r="Q665"/>
    </row>
    <row r="666" spans="1:17">
      <c r="A666" s="20">
        <v>1329</v>
      </c>
      <c r="B666" s="29">
        <v>1.1505963184872654</v>
      </c>
      <c r="C666" s="7">
        <f t="shared" si="21"/>
        <v>0.89886283486870677</v>
      </c>
      <c r="D666" s="3">
        <f t="shared" si="20"/>
        <v>6.3369746774735128E-2</v>
      </c>
      <c r="E666" s="3">
        <f>Ft!$B$12+Ft!$B$14*(Data!A666-Vars!$B$3)</f>
        <v>-200</v>
      </c>
      <c r="F666" s="3">
        <f>IF(($A666-Ft!B$2)&lt;0,Ft!B$3*((1-Ft!B$6)/(1+Ft!B$37*($A666-Ft!B$2)^2)+Ft!B$6*EXP(Ft!B$38*($A666-Ft!B$2)^2)),Ft!B$3*((1-Ft!B$7)/(1+Ft!B$39*($A666-Ft!B$2)^2)+Ft!B$7*EXP(Ft!B$40*($A666-Ft!B$2)^2)))</f>
        <v>0.58259083922926502</v>
      </c>
      <c r="G666" s="3">
        <f>IF(($A666-Ft!C$2)&lt;0,Ft!C$3*((1-Ft!C$6)/(1+Ft!C$37*($A666-Ft!C$2)^2)+Ft!C$6*EXP(Ft!C$38*($A666-Ft!C$2)^2)),Ft!C$3*((1-Ft!C$7)/(1+Ft!C$39*($A666-Ft!C$2)^2)+Ft!C$7*EXP(Ft!C$40*($A666-Ft!C$2)^2)))</f>
        <v>46.008942904237692</v>
      </c>
      <c r="H666" s="3">
        <f>IF(($A666-Ft!D$2)&lt;0,Ft!D$3*((1-Ft!D$6)/(1+Ft!D$37*($A666-Ft!D$2)^2)+Ft!D$6*EXP(Ft!D$38*($A666-Ft!D$2)^2)),Ft!D$3*((1-Ft!D$7)/(1+Ft!D$39*($A666-Ft!D$2)^2)+Ft!D$7*EXP(Ft!D$40*($A666-Ft!D$2)^2)))</f>
        <v>5.0211637301077986E-240</v>
      </c>
      <c r="I666" s="3">
        <f>IF(($A666-Ft!E$2)&lt;0,Ft!E$3*((1-Ft!E$6)/(1+Ft!E$37*($A666-Ft!E$2)^2)+Ft!E$6*EXP(Ft!E$38*($A666-Ft!E$2)^2)),Ft!E$3*((1-Ft!E$7)/(1+Ft!E$39*($A666-Ft!E$2)^2)+Ft!E$7*EXP(Ft!E$40*($A666-Ft!E$2)^2)))</f>
        <v>7.5887985908464426</v>
      </c>
      <c r="J666" s="3">
        <f>IF(($A666-Ft!F$2)&lt;0,Ft!F$3*((1-Ft!F$6)/(1+Ft!F$37*($A666-Ft!F$2)^2)+Ft!F$6*EXP(Ft!F$38*($A666-Ft!F$2)^2)),Ft!F$3*((1-Ft!F$7)/(1+Ft!F$39*($A666-Ft!F$2)^2)+Ft!F$7*EXP(Ft!F$40*($A666-Ft!F$2)^2)))</f>
        <v>146.71830533940141</v>
      </c>
      <c r="K666" s="3">
        <f>IF(($A666-Ft!G$2)&lt;0,Ft!G$3*((1-Ft!G$6)/(1+Ft!G$37*($A666-Ft!G$2)^2)+Ft!G$6*EXP(Ft!G$38*($A666-Ft!G$2)^2)),Ft!G$3*((1-Ft!G$7)/(1+Ft!G$39*($A666-Ft!G$2)^2)+Ft!G$7*EXP(Ft!G$40*($A666-Ft!G$2)^2)))</f>
        <v>2.2516115390474662E-4</v>
      </c>
      <c r="L666" s="3">
        <f>IF(($A666-Ft!H$2)&lt;0,Ft!H$3*((1-Ft!H$6)/(1+Ft!H$37*($A666-Ft!H$2)^2)+Ft!H$6*EXP(Ft!H$38*($A666-Ft!H$2)^2)),Ft!H$3*((1-Ft!H$7)/(1+Ft!H$39*($A666-Ft!H$2)^2)+Ft!H$7*EXP(Ft!H$40*($A666-Ft!H$2)^2)))</f>
        <v>0</v>
      </c>
      <c r="M666" s="3">
        <f>IF(($A666-Ft!I$2)&lt;0,Ft!I$3*((1-Ft!I$6)/(1+Ft!I$37*($A666-Ft!I$2)^2)+Ft!I$6*EXP(Ft!I$38*($A666-Ft!I$2)^2)),Ft!I$3*((1-Ft!I$7)/(1+Ft!I$39*($A666-Ft!I$2)^2)+Ft!I$7*EXP(Ft!I$40*($A666-Ft!I$2)^2)))</f>
        <v>0</v>
      </c>
      <c r="N666" s="3">
        <f>IF(($A666-Ft!J$2)&lt;0,Ft!J$3*((1-Ft!J$6)/(1+Ft!J$37*($A666-Ft!J$2)^2)+Ft!J$6*EXP(Ft!J$38*($A666-Ft!J$2)^2)),Ft!J$3*((1-Ft!J$7)/(1+Ft!J$39*($A666-Ft!J$2)^2)+Ft!J$7*EXP(Ft!J$40*($A666-Ft!J$2)^2)))</f>
        <v>0</v>
      </c>
      <c r="O666" s="3">
        <f>IF(($A666-Ft!K$2)&lt;0,Ft!K$3*((1-Ft!K$6)/(1+Ft!K$37*($A666-Ft!K$2)^2)+Ft!K$6*EXP(Ft!K$38*($A666-Ft!K$2)^2)),Ft!K$3*((1-Ft!K$7)/(1+Ft!K$39*($A666-Ft!K$2)^2)+Ft!K$7*EXP(Ft!K$40*($A666-Ft!K$2)^2)))</f>
        <v>0</v>
      </c>
      <c r="P666"/>
      <c r="Q666"/>
    </row>
    <row r="667" spans="1:17">
      <c r="A667" s="20">
        <v>1331</v>
      </c>
      <c r="B667" s="29">
        <v>1.0941690104843051</v>
      </c>
      <c r="C667" s="7">
        <f t="shared" si="21"/>
        <v>0.80373724106503641</v>
      </c>
      <c r="D667" s="3">
        <f t="shared" si="20"/>
        <v>8.4350612688007282E-2</v>
      </c>
      <c r="E667" s="3">
        <f>Ft!$B$12+Ft!$B$14*(Data!A667-Vars!$B$3)</f>
        <v>-200</v>
      </c>
      <c r="F667" s="3">
        <f>IF(($A667-Ft!B$2)&lt;0,Ft!B$3*((1-Ft!B$6)/(1+Ft!B$37*($A667-Ft!B$2)^2)+Ft!B$6*EXP(Ft!B$38*($A667-Ft!B$2)^2)),Ft!B$3*((1-Ft!B$7)/(1+Ft!B$39*($A667-Ft!B$2)^2)+Ft!B$7*EXP(Ft!B$40*($A667-Ft!B$2)^2)))</f>
        <v>0.57402667330548185</v>
      </c>
      <c r="G667" s="3">
        <f>IF(($A667-Ft!C$2)&lt;0,Ft!C$3*((1-Ft!C$6)/(1+Ft!C$37*($A667-Ft!C$2)^2)+Ft!C$6*EXP(Ft!C$38*($A667-Ft!C$2)^2)),Ft!C$3*((1-Ft!C$7)/(1+Ft!C$39*($A667-Ft!C$2)^2)+Ft!C$7*EXP(Ft!C$40*($A667-Ft!C$2)^2)))</f>
        <v>45.922061067259307</v>
      </c>
      <c r="H667" s="3">
        <f>IF(($A667-Ft!D$2)&lt;0,Ft!D$3*((1-Ft!D$6)/(1+Ft!D$37*($A667-Ft!D$2)^2)+Ft!D$6*EXP(Ft!D$38*($A667-Ft!D$2)^2)),Ft!D$3*((1-Ft!D$7)/(1+Ft!D$39*($A667-Ft!D$2)^2)+Ft!D$7*EXP(Ft!D$40*($A667-Ft!D$2)^2)))</f>
        <v>4.2480395844654584E-241</v>
      </c>
      <c r="I667" s="3">
        <f>IF(($A667-Ft!E$2)&lt;0,Ft!E$3*((1-Ft!E$6)/(1+Ft!E$37*($A667-Ft!E$2)^2)+Ft!E$6*EXP(Ft!E$38*($A667-Ft!E$2)^2)),Ft!E$3*((1-Ft!E$7)/(1+Ft!E$39*($A667-Ft!E$2)^2)+Ft!E$7*EXP(Ft!E$40*($A667-Ft!E$2)^2)))</f>
        <v>7.4557441139560945</v>
      </c>
      <c r="J667" s="3">
        <f>IF(($A667-Ft!F$2)&lt;0,Ft!F$3*((1-Ft!F$6)/(1+Ft!F$37*($A667-Ft!F$2)^2)+Ft!F$6*EXP(Ft!F$38*($A667-Ft!F$2)^2)),Ft!F$3*((1-Ft!F$7)/(1+Ft!F$39*($A667-Ft!F$2)^2)+Ft!F$7*EXP(Ft!F$40*($A667-Ft!F$2)^2)))</f>
        <v>146.85169132833104</v>
      </c>
      <c r="K667" s="3">
        <f>IF(($A667-Ft!G$2)&lt;0,Ft!G$3*((1-Ft!G$6)/(1+Ft!G$37*($A667-Ft!G$2)^2)+Ft!G$6*EXP(Ft!G$38*($A667-Ft!G$2)^2)),Ft!G$3*((1-Ft!G$7)/(1+Ft!G$39*($A667-Ft!G$2)^2)+Ft!G$7*EXP(Ft!G$40*($A667-Ft!G$2)^2)))</f>
        <v>2.1405821313194966E-4</v>
      </c>
      <c r="L667" s="3">
        <f>IF(($A667-Ft!H$2)&lt;0,Ft!H$3*((1-Ft!H$6)/(1+Ft!H$37*($A667-Ft!H$2)^2)+Ft!H$6*EXP(Ft!H$38*($A667-Ft!H$2)^2)),Ft!H$3*((1-Ft!H$7)/(1+Ft!H$39*($A667-Ft!H$2)^2)+Ft!H$7*EXP(Ft!H$40*($A667-Ft!H$2)^2)))</f>
        <v>0</v>
      </c>
      <c r="M667" s="3">
        <f>IF(($A667-Ft!I$2)&lt;0,Ft!I$3*((1-Ft!I$6)/(1+Ft!I$37*($A667-Ft!I$2)^2)+Ft!I$6*EXP(Ft!I$38*($A667-Ft!I$2)^2)),Ft!I$3*((1-Ft!I$7)/(1+Ft!I$39*($A667-Ft!I$2)^2)+Ft!I$7*EXP(Ft!I$40*($A667-Ft!I$2)^2)))</f>
        <v>0</v>
      </c>
      <c r="N667" s="3">
        <f>IF(($A667-Ft!J$2)&lt;0,Ft!J$3*((1-Ft!J$6)/(1+Ft!J$37*($A667-Ft!J$2)^2)+Ft!J$6*EXP(Ft!J$38*($A667-Ft!J$2)^2)),Ft!J$3*((1-Ft!J$7)/(1+Ft!J$39*($A667-Ft!J$2)^2)+Ft!J$7*EXP(Ft!J$40*($A667-Ft!J$2)^2)))</f>
        <v>0</v>
      </c>
      <c r="O667" s="3">
        <f>IF(($A667-Ft!K$2)&lt;0,Ft!K$3*((1-Ft!K$6)/(1+Ft!K$37*($A667-Ft!K$2)^2)+Ft!K$6*EXP(Ft!K$38*($A667-Ft!K$2)^2)),Ft!K$3*((1-Ft!K$7)/(1+Ft!K$39*($A667-Ft!K$2)^2)+Ft!K$7*EXP(Ft!K$40*($A667-Ft!K$2)^2)))</f>
        <v>0</v>
      </c>
      <c r="P667"/>
      <c r="Q667"/>
    </row>
    <row r="668" spans="1:17">
      <c r="A668" s="20">
        <v>1333</v>
      </c>
      <c r="B668" s="29">
        <v>1.0493799837570552</v>
      </c>
      <c r="C668" s="7">
        <f t="shared" si="21"/>
        <v>0.70857991137303256</v>
      </c>
      <c r="D668" s="3">
        <f t="shared" si="20"/>
        <v>0.11614468933695508</v>
      </c>
      <c r="E668" s="3">
        <f>Ft!$B$12+Ft!$B$14*(Data!A668-Vars!$B$3)</f>
        <v>-200</v>
      </c>
      <c r="F668" s="3">
        <f>IF(($A668-Ft!B$2)&lt;0,Ft!B$3*((1-Ft!B$6)/(1+Ft!B$37*($A668-Ft!B$2)^2)+Ft!B$6*EXP(Ft!B$38*($A668-Ft!B$2)^2)),Ft!B$3*((1-Ft!B$7)/(1+Ft!B$39*($A668-Ft!B$2)^2)+Ft!B$7*EXP(Ft!B$40*($A668-Ft!B$2)^2)))</f>
        <v>0.56557760666710266</v>
      </c>
      <c r="G668" s="3">
        <f>IF(($A668-Ft!C$2)&lt;0,Ft!C$3*((1-Ft!C$6)/(1+Ft!C$37*($A668-Ft!C$2)^2)+Ft!C$6*EXP(Ft!C$38*($A668-Ft!C$2)^2)),Ft!C$3*((1-Ft!C$7)/(1+Ft!C$39*($A668-Ft!C$2)^2)+Ft!C$7*EXP(Ft!C$40*($A668-Ft!C$2)^2)))</f>
        <v>45.834938306283469</v>
      </c>
      <c r="H668" s="3">
        <f>IF(($A668-Ft!D$2)&lt;0,Ft!D$3*((1-Ft!D$6)/(1+Ft!D$37*($A668-Ft!D$2)^2)+Ft!D$6*EXP(Ft!D$38*($A668-Ft!D$2)^2)),Ft!D$3*((1-Ft!D$7)/(1+Ft!D$39*($A668-Ft!D$2)^2)+Ft!D$7*EXP(Ft!D$40*($A668-Ft!D$2)^2)))</f>
        <v>3.5741832395861882E-242</v>
      </c>
      <c r="I668" s="3">
        <f>IF(($A668-Ft!E$2)&lt;0,Ft!E$3*((1-Ft!E$6)/(1+Ft!E$37*($A668-Ft!E$2)^2)+Ft!E$6*EXP(Ft!E$38*($A668-Ft!E$2)^2)),Ft!E$3*((1-Ft!E$7)/(1+Ft!E$39*($A668-Ft!E$2)^2)+Ft!E$7*EXP(Ft!E$40*($A668-Ft!E$2)^2)))</f>
        <v>7.3245977797112287</v>
      </c>
      <c r="J668" s="3">
        <f>IF(($A668-Ft!F$2)&lt;0,Ft!F$3*((1-Ft!F$6)/(1+Ft!F$37*($A668-Ft!F$2)^2)+Ft!F$6*EXP(Ft!F$38*($A668-Ft!F$2)^2)),Ft!F$3*((1-Ft!F$7)/(1+Ft!F$39*($A668-Ft!F$2)^2)+Ft!F$7*EXP(Ft!F$40*($A668-Ft!F$2)^2)))</f>
        <v>146.98326273706303</v>
      </c>
      <c r="K668" s="3">
        <f>IF(($A668-Ft!G$2)&lt;0,Ft!G$3*((1-Ft!G$6)/(1+Ft!G$37*($A668-Ft!G$2)^2)+Ft!G$6*EXP(Ft!G$38*($A668-Ft!G$2)^2)),Ft!G$3*((1-Ft!G$7)/(1+Ft!G$39*($A668-Ft!G$2)^2)+Ft!G$7*EXP(Ft!G$40*($A668-Ft!G$2)^2)))</f>
        <v>2.0348164819602578E-4</v>
      </c>
      <c r="L668" s="3">
        <f>IF(($A668-Ft!H$2)&lt;0,Ft!H$3*((1-Ft!H$6)/(1+Ft!H$37*($A668-Ft!H$2)^2)+Ft!H$6*EXP(Ft!H$38*($A668-Ft!H$2)^2)),Ft!H$3*((1-Ft!H$7)/(1+Ft!H$39*($A668-Ft!H$2)^2)+Ft!H$7*EXP(Ft!H$40*($A668-Ft!H$2)^2)))</f>
        <v>0</v>
      </c>
      <c r="M668" s="3">
        <f>IF(($A668-Ft!I$2)&lt;0,Ft!I$3*((1-Ft!I$6)/(1+Ft!I$37*($A668-Ft!I$2)^2)+Ft!I$6*EXP(Ft!I$38*($A668-Ft!I$2)^2)),Ft!I$3*((1-Ft!I$7)/(1+Ft!I$39*($A668-Ft!I$2)^2)+Ft!I$7*EXP(Ft!I$40*($A668-Ft!I$2)^2)))</f>
        <v>0</v>
      </c>
      <c r="N668" s="3">
        <f>IF(($A668-Ft!J$2)&lt;0,Ft!J$3*((1-Ft!J$6)/(1+Ft!J$37*($A668-Ft!J$2)^2)+Ft!J$6*EXP(Ft!J$38*($A668-Ft!J$2)^2)),Ft!J$3*((1-Ft!J$7)/(1+Ft!J$39*($A668-Ft!J$2)^2)+Ft!J$7*EXP(Ft!J$40*($A668-Ft!J$2)^2)))</f>
        <v>0</v>
      </c>
      <c r="O668" s="3">
        <f>IF(($A668-Ft!K$2)&lt;0,Ft!K$3*((1-Ft!K$6)/(1+Ft!K$37*($A668-Ft!K$2)^2)+Ft!K$6*EXP(Ft!K$38*($A668-Ft!K$2)^2)),Ft!K$3*((1-Ft!K$7)/(1+Ft!K$39*($A668-Ft!K$2)^2)+Ft!K$7*EXP(Ft!K$40*($A668-Ft!K$2)^2)))</f>
        <v>0</v>
      </c>
      <c r="P668"/>
      <c r="Q668"/>
    </row>
    <row r="669" spans="1:17">
      <c r="A669" s="20">
        <v>1335</v>
      </c>
      <c r="B669" s="29">
        <v>1.0126978646002478</v>
      </c>
      <c r="C669" s="7">
        <f t="shared" si="21"/>
        <v>0.6133678598693979</v>
      </c>
      <c r="D669" s="3">
        <f t="shared" si="20"/>
        <v>0.15946445267834061</v>
      </c>
      <c r="E669" s="3">
        <f>Ft!$B$12+Ft!$B$14*(Data!A669-Vars!$B$3)</f>
        <v>-200</v>
      </c>
      <c r="F669" s="3">
        <f>IF(($A669-Ft!B$2)&lt;0,Ft!B$3*((1-Ft!B$6)/(1+Ft!B$37*($A669-Ft!B$2)^2)+Ft!B$6*EXP(Ft!B$38*($A669-Ft!B$2)^2)),Ft!B$3*((1-Ft!B$7)/(1+Ft!B$39*($A669-Ft!B$2)^2)+Ft!B$7*EXP(Ft!B$40*($A669-Ft!B$2)^2)))</f>
        <v>0.55724226532780008</v>
      </c>
      <c r="G669" s="3">
        <f>IF(($A669-Ft!C$2)&lt;0,Ft!C$3*((1-Ft!C$6)/(1+Ft!C$37*($A669-Ft!C$2)^2)+Ft!C$6*EXP(Ft!C$38*($A669-Ft!C$2)^2)),Ft!C$3*((1-Ft!C$7)/(1+Ft!C$39*($A669-Ft!C$2)^2)+Ft!C$7*EXP(Ft!C$40*($A669-Ft!C$2)^2)))</f>
        <v>45.747576616514898</v>
      </c>
      <c r="H669" s="3">
        <f>IF(($A669-Ft!D$2)&lt;0,Ft!D$3*((1-Ft!D$6)/(1+Ft!D$37*($A669-Ft!D$2)^2)+Ft!D$6*EXP(Ft!D$38*($A669-Ft!D$2)^2)),Ft!D$3*((1-Ft!D$7)/(1+Ft!D$39*($A669-Ft!D$2)^2)+Ft!D$7*EXP(Ft!D$40*($A669-Ft!D$2)^2)))</f>
        <v>2.990674584625585E-243</v>
      </c>
      <c r="I669" s="3">
        <f>IF(($A669-Ft!E$2)&lt;0,Ft!E$3*((1-Ft!E$6)/(1+Ft!E$37*($A669-Ft!E$2)^2)+Ft!E$6*EXP(Ft!E$38*($A669-Ft!E$2)^2)),Ft!E$3*((1-Ft!E$7)/(1+Ft!E$39*($A669-Ft!E$2)^2)+Ft!E$7*EXP(Ft!E$40*($A669-Ft!E$2)^2)))</f>
        <v>7.19534109783923</v>
      </c>
      <c r="J669" s="3">
        <f>IF(($A669-Ft!F$2)&lt;0,Ft!F$3*((1-Ft!F$6)/(1+Ft!F$37*($A669-Ft!F$2)^2)+Ft!F$6*EXP(Ft!F$38*($A669-Ft!F$2)^2)),Ft!F$3*((1-Ft!F$7)/(1+Ft!F$39*($A669-Ft!F$2)^2)+Ft!F$7*EXP(Ft!F$40*($A669-Ft!F$2)^2)))</f>
        <v>147.11301447259518</v>
      </c>
      <c r="K669" s="3">
        <f>IF(($A669-Ft!G$2)&lt;0,Ft!G$3*((1-Ft!G$6)/(1+Ft!G$37*($A669-Ft!G$2)^2)+Ft!G$6*EXP(Ft!G$38*($A669-Ft!G$2)^2)),Ft!G$3*((1-Ft!G$7)/(1+Ft!G$39*($A669-Ft!G$2)^2)+Ft!G$7*EXP(Ft!G$40*($A669-Ft!G$2)^2)))</f>
        <v>1.9340759230487153E-4</v>
      </c>
      <c r="L669" s="3">
        <f>IF(($A669-Ft!H$2)&lt;0,Ft!H$3*((1-Ft!H$6)/(1+Ft!H$37*($A669-Ft!H$2)^2)+Ft!H$6*EXP(Ft!H$38*($A669-Ft!H$2)^2)),Ft!H$3*((1-Ft!H$7)/(1+Ft!H$39*($A669-Ft!H$2)^2)+Ft!H$7*EXP(Ft!H$40*($A669-Ft!H$2)^2)))</f>
        <v>0</v>
      </c>
      <c r="M669" s="3">
        <f>IF(($A669-Ft!I$2)&lt;0,Ft!I$3*((1-Ft!I$6)/(1+Ft!I$37*($A669-Ft!I$2)^2)+Ft!I$6*EXP(Ft!I$38*($A669-Ft!I$2)^2)),Ft!I$3*((1-Ft!I$7)/(1+Ft!I$39*($A669-Ft!I$2)^2)+Ft!I$7*EXP(Ft!I$40*($A669-Ft!I$2)^2)))</f>
        <v>0</v>
      </c>
      <c r="N669" s="3">
        <f>IF(($A669-Ft!J$2)&lt;0,Ft!J$3*((1-Ft!J$6)/(1+Ft!J$37*($A669-Ft!J$2)^2)+Ft!J$6*EXP(Ft!J$38*($A669-Ft!J$2)^2)),Ft!J$3*((1-Ft!J$7)/(1+Ft!J$39*($A669-Ft!J$2)^2)+Ft!J$7*EXP(Ft!J$40*($A669-Ft!J$2)^2)))</f>
        <v>0</v>
      </c>
      <c r="O669" s="3">
        <f>IF(($A669-Ft!K$2)&lt;0,Ft!K$3*((1-Ft!K$6)/(1+Ft!K$37*($A669-Ft!K$2)^2)+Ft!K$6*EXP(Ft!K$38*($A669-Ft!K$2)^2)),Ft!K$3*((1-Ft!K$7)/(1+Ft!K$39*($A669-Ft!K$2)^2)+Ft!K$7*EXP(Ft!K$40*($A669-Ft!K$2)^2)))</f>
        <v>0</v>
      </c>
      <c r="P669"/>
      <c r="Q669"/>
    </row>
    <row r="670" spans="1:17">
      <c r="A670" s="20">
        <v>1337</v>
      </c>
      <c r="B670" s="29">
        <v>0.81015829168019826</v>
      </c>
      <c r="C670" s="7">
        <f t="shared" si="21"/>
        <v>0.51807818535071104</v>
      </c>
      <c r="D670" s="3">
        <f t="shared" si="20"/>
        <v>8.5310788513444563E-2</v>
      </c>
      <c r="E670" s="3">
        <f>Ft!$B$12+Ft!$B$14*(Data!A670-Vars!$B$3)</f>
        <v>-200</v>
      </c>
      <c r="F670" s="3">
        <f>IF(($A670-Ft!B$2)&lt;0,Ft!B$3*((1-Ft!B$6)/(1+Ft!B$37*($A670-Ft!B$2)^2)+Ft!B$6*EXP(Ft!B$38*($A670-Ft!B$2)^2)),Ft!B$3*((1-Ft!B$7)/(1+Ft!B$39*($A670-Ft!B$2)^2)+Ft!B$7*EXP(Ft!B$40*($A670-Ft!B$2)^2)))</f>
        <v>0.54901928907390574</v>
      </c>
      <c r="G670" s="3">
        <f>IF(($A670-Ft!C$2)&lt;0,Ft!C$3*((1-Ft!C$6)/(1+Ft!C$37*($A670-Ft!C$2)^2)+Ft!C$6*EXP(Ft!C$38*($A670-Ft!C$2)^2)),Ft!C$3*((1-Ft!C$7)/(1+Ft!C$39*($A670-Ft!C$2)^2)+Ft!C$7*EXP(Ft!C$40*($A670-Ft!C$2)^2)))</f>
        <v>45.659977995691534</v>
      </c>
      <c r="H670" s="3">
        <f>IF(($A670-Ft!D$2)&lt;0,Ft!D$3*((1-Ft!D$6)/(1+Ft!D$37*($A670-Ft!D$2)^2)+Ft!D$6*EXP(Ft!D$38*($A670-Ft!D$2)^2)),Ft!D$3*((1-Ft!D$7)/(1+Ft!D$39*($A670-Ft!D$2)^2)+Ft!D$7*EXP(Ft!D$40*($A670-Ft!D$2)^2)))</f>
        <v>2.4886601471140812E-244</v>
      </c>
      <c r="I670" s="3">
        <f>IF(($A670-Ft!E$2)&lt;0,Ft!E$3*((1-Ft!E$6)/(1+Ft!E$37*($A670-Ft!E$2)^2)+Ft!E$6*EXP(Ft!E$38*($A670-Ft!E$2)^2)),Ft!E$3*((1-Ft!E$7)/(1+Ft!E$39*($A670-Ft!E$2)^2)+Ft!E$7*EXP(Ft!E$40*($A670-Ft!E$2)^2)))</f>
        <v>7.0679555780538283</v>
      </c>
      <c r="J670" s="3">
        <f>IF(($A670-Ft!F$2)&lt;0,Ft!F$3*((1-Ft!F$6)/(1+Ft!F$37*($A670-Ft!F$2)^2)+Ft!F$6*EXP(Ft!F$38*($A670-Ft!F$2)^2)),Ft!F$3*((1-Ft!F$7)/(1+Ft!F$39*($A670-Ft!F$2)^2)+Ft!F$7*EXP(Ft!F$40*($A670-Ft!F$2)^2)))</f>
        <v>147.24094150932495</v>
      </c>
      <c r="K670" s="3">
        <f>IF(($A670-Ft!G$2)&lt;0,Ft!G$3*((1-Ft!G$6)/(1+Ft!G$37*($A670-Ft!G$2)^2)+Ft!G$6*EXP(Ft!G$38*($A670-Ft!G$2)^2)),Ft!G$3*((1-Ft!G$7)/(1+Ft!G$39*($A670-Ft!G$2)^2)+Ft!G$7*EXP(Ft!G$40*($A670-Ft!G$2)^2)))</f>
        <v>1.838132064986493E-4</v>
      </c>
      <c r="L670" s="3">
        <f>IF(($A670-Ft!H$2)&lt;0,Ft!H$3*((1-Ft!H$6)/(1+Ft!H$37*($A670-Ft!H$2)^2)+Ft!H$6*EXP(Ft!H$38*($A670-Ft!H$2)^2)),Ft!H$3*((1-Ft!H$7)/(1+Ft!H$39*($A670-Ft!H$2)^2)+Ft!H$7*EXP(Ft!H$40*($A670-Ft!H$2)^2)))</f>
        <v>0</v>
      </c>
      <c r="M670" s="3">
        <f>IF(($A670-Ft!I$2)&lt;0,Ft!I$3*((1-Ft!I$6)/(1+Ft!I$37*($A670-Ft!I$2)^2)+Ft!I$6*EXP(Ft!I$38*($A670-Ft!I$2)^2)),Ft!I$3*((1-Ft!I$7)/(1+Ft!I$39*($A670-Ft!I$2)^2)+Ft!I$7*EXP(Ft!I$40*($A670-Ft!I$2)^2)))</f>
        <v>0</v>
      </c>
      <c r="N670" s="3">
        <f>IF(($A670-Ft!J$2)&lt;0,Ft!J$3*((1-Ft!J$6)/(1+Ft!J$37*($A670-Ft!J$2)^2)+Ft!J$6*EXP(Ft!J$38*($A670-Ft!J$2)^2)),Ft!J$3*((1-Ft!J$7)/(1+Ft!J$39*($A670-Ft!J$2)^2)+Ft!J$7*EXP(Ft!J$40*($A670-Ft!J$2)^2)))</f>
        <v>0</v>
      </c>
      <c r="O670" s="3">
        <f>IF(($A670-Ft!K$2)&lt;0,Ft!K$3*((1-Ft!K$6)/(1+Ft!K$37*($A670-Ft!K$2)^2)+Ft!K$6*EXP(Ft!K$38*($A670-Ft!K$2)^2)),Ft!K$3*((1-Ft!K$7)/(1+Ft!K$39*($A670-Ft!K$2)^2)+Ft!K$7*EXP(Ft!K$40*($A670-Ft!K$2)^2)))</f>
        <v>0</v>
      </c>
      <c r="P670"/>
      <c r="Q670"/>
    </row>
    <row r="671" spans="1:17">
      <c r="A671" s="20">
        <v>1339</v>
      </c>
      <c r="B671" s="29">
        <v>0.60761871876014872</v>
      </c>
      <c r="C671" s="7">
        <f t="shared" si="21"/>
        <v>0.42268807569098449</v>
      </c>
      <c r="D671" s="3">
        <f t="shared" si="20"/>
        <v>3.4199342745974623E-2</v>
      </c>
      <c r="E671" s="3">
        <f>Ft!$B$12+Ft!$B$14*(Data!A671-Vars!$B$3)</f>
        <v>-200</v>
      </c>
      <c r="F671" s="3">
        <f>IF(($A671-Ft!B$2)&lt;0,Ft!B$3*((1-Ft!B$6)/(1+Ft!B$37*($A671-Ft!B$2)^2)+Ft!B$6*EXP(Ft!B$38*($A671-Ft!B$2)^2)),Ft!B$3*((1-Ft!B$7)/(1+Ft!B$39*($A671-Ft!B$2)^2)+Ft!B$7*EXP(Ft!B$40*($A671-Ft!B$2)^2)))</f>
        <v>0.54090733136451441</v>
      </c>
      <c r="G671" s="3">
        <f>IF(($A671-Ft!C$2)&lt;0,Ft!C$3*((1-Ft!C$6)/(1+Ft!C$37*($A671-Ft!C$2)^2)+Ft!C$6*EXP(Ft!C$38*($A671-Ft!C$2)^2)),Ft!C$3*((1-Ft!C$7)/(1+Ft!C$39*($A671-Ft!C$2)^2)+Ft!C$7*EXP(Ft!C$40*($A671-Ft!C$2)^2)))</f>
        <v>45.57214444400919</v>
      </c>
      <c r="H671" s="3">
        <f>IF(($A671-Ft!D$2)&lt;0,Ft!D$3*((1-Ft!D$6)/(1+Ft!D$37*($A671-Ft!D$2)^2)+Ft!D$6*EXP(Ft!D$38*($A671-Ft!D$2)^2)),Ft!D$3*((1-Ft!D$7)/(1+Ft!D$39*($A671-Ft!D$2)^2)+Ft!D$7*EXP(Ft!D$40*($A671-Ft!D$2)^2)))</f>
        <v>2.0595204724413555E-245</v>
      </c>
      <c r="I671" s="3">
        <f>IF(($A671-Ft!E$2)&lt;0,Ft!E$3*((1-Ft!E$6)/(1+Ft!E$37*($A671-Ft!E$2)^2)+Ft!E$6*EXP(Ft!E$38*($A671-Ft!E$2)^2)),Ft!E$3*((1-Ft!E$7)/(1+Ft!E$39*($A671-Ft!E$2)^2)+Ft!E$7*EXP(Ft!E$40*($A671-Ft!E$2)^2)))</f>
        <v>6.942422734305568</v>
      </c>
      <c r="J671" s="3">
        <f>IF(($A671-Ft!F$2)&lt;0,Ft!F$3*((1-Ft!F$6)/(1+Ft!F$37*($A671-Ft!F$2)^2)+Ft!F$6*EXP(Ft!F$38*($A671-Ft!F$2)^2)),Ft!F$3*((1-Ft!F$7)/(1+Ft!F$39*($A671-Ft!F$2)^2)+Ft!F$7*EXP(Ft!F$40*($A671-Ft!F$2)^2)))</f>
        <v>147.3670388893737</v>
      </c>
      <c r="K671" s="3">
        <f>IF(($A671-Ft!G$2)&lt;0,Ft!G$3*((1-Ft!G$6)/(1+Ft!G$37*($A671-Ft!G$2)^2)+Ft!G$6*EXP(Ft!G$38*($A671-Ft!G$2)^2)),Ft!G$3*((1-Ft!G$7)/(1+Ft!G$39*($A671-Ft!G$2)^2)+Ft!G$7*EXP(Ft!G$40*($A671-Ft!G$2)^2)))</f>
        <v>1.7467663801033127E-4</v>
      </c>
      <c r="L671" s="3">
        <f>IF(($A671-Ft!H$2)&lt;0,Ft!H$3*((1-Ft!H$6)/(1+Ft!H$37*($A671-Ft!H$2)^2)+Ft!H$6*EXP(Ft!H$38*($A671-Ft!H$2)^2)),Ft!H$3*((1-Ft!H$7)/(1+Ft!H$39*($A671-Ft!H$2)^2)+Ft!H$7*EXP(Ft!H$40*($A671-Ft!H$2)^2)))</f>
        <v>0</v>
      </c>
      <c r="M671" s="3">
        <f>IF(($A671-Ft!I$2)&lt;0,Ft!I$3*((1-Ft!I$6)/(1+Ft!I$37*($A671-Ft!I$2)^2)+Ft!I$6*EXP(Ft!I$38*($A671-Ft!I$2)^2)),Ft!I$3*((1-Ft!I$7)/(1+Ft!I$39*($A671-Ft!I$2)^2)+Ft!I$7*EXP(Ft!I$40*($A671-Ft!I$2)^2)))</f>
        <v>0</v>
      </c>
      <c r="N671" s="3">
        <f>IF(($A671-Ft!J$2)&lt;0,Ft!J$3*((1-Ft!J$6)/(1+Ft!J$37*($A671-Ft!J$2)^2)+Ft!J$6*EXP(Ft!J$38*($A671-Ft!J$2)^2)),Ft!J$3*((1-Ft!J$7)/(1+Ft!J$39*($A671-Ft!J$2)^2)+Ft!J$7*EXP(Ft!J$40*($A671-Ft!J$2)^2)))</f>
        <v>0</v>
      </c>
      <c r="O671" s="3">
        <f>IF(($A671-Ft!K$2)&lt;0,Ft!K$3*((1-Ft!K$6)/(1+Ft!K$37*($A671-Ft!K$2)^2)+Ft!K$6*EXP(Ft!K$38*($A671-Ft!K$2)^2)),Ft!K$3*((1-Ft!K$7)/(1+Ft!K$39*($A671-Ft!K$2)^2)+Ft!K$7*EXP(Ft!K$40*($A671-Ft!K$2)^2)))</f>
        <v>0</v>
      </c>
      <c r="P671"/>
      <c r="Q671"/>
    </row>
    <row r="672" spans="1:17">
      <c r="A672" s="20">
        <v>1341</v>
      </c>
      <c r="B672" s="29">
        <v>0.40507914584009913</v>
      </c>
      <c r="C672" s="7">
        <f t="shared" si="21"/>
        <v>0.32717481212103539</v>
      </c>
      <c r="D672" s="3">
        <f t="shared" si="20"/>
        <v>6.0690852122112521E-3</v>
      </c>
      <c r="E672" s="3">
        <f>Ft!$B$12+Ft!$B$14*(Data!A672-Vars!$B$3)</f>
        <v>-200</v>
      </c>
      <c r="F672" s="3">
        <f>IF(($A672-Ft!B$2)&lt;0,Ft!B$3*((1-Ft!B$6)/(1+Ft!B$37*($A672-Ft!B$2)^2)+Ft!B$6*EXP(Ft!B$38*($A672-Ft!B$2)^2)),Ft!B$3*((1-Ft!B$7)/(1+Ft!B$39*($A672-Ft!B$2)^2)+Ft!B$7*EXP(Ft!B$40*($A672-Ft!B$2)^2)))</f>
        <v>0.53290505923176612</v>
      </c>
      <c r="G672" s="3">
        <f>IF(($A672-Ft!C$2)&lt;0,Ft!C$3*((1-Ft!C$6)/(1+Ft!C$37*($A672-Ft!C$2)^2)+Ft!C$6*EXP(Ft!C$38*($A672-Ft!C$2)^2)),Ft!C$3*((1-Ft!C$7)/(1+Ft!C$39*($A672-Ft!C$2)^2)+Ft!C$7*EXP(Ft!C$40*($A672-Ft!C$2)^2)))</f>
        <v>45.484077964046236</v>
      </c>
      <c r="H672" s="3">
        <f>IF(($A672-Ft!D$2)&lt;0,Ft!D$3*((1-Ft!D$6)/(1+Ft!D$37*($A672-Ft!D$2)^2)+Ft!D$6*EXP(Ft!D$38*($A672-Ft!D$2)^2)),Ft!D$3*((1-Ft!D$7)/(1+Ft!D$39*($A672-Ft!D$2)^2)+Ft!D$7*EXP(Ft!D$40*($A672-Ft!D$2)^2)))</f>
        <v>1.6950039736708324E-246</v>
      </c>
      <c r="I672" s="3">
        <f>IF(($A672-Ft!E$2)&lt;0,Ft!E$3*((1-Ft!E$6)/(1+Ft!E$37*($A672-Ft!E$2)^2)+Ft!E$6*EXP(Ft!E$38*($A672-Ft!E$2)^2)),Ft!E$3*((1-Ft!E$7)/(1+Ft!E$39*($A672-Ft!E$2)^2)+Ft!E$7*EXP(Ft!E$40*($A672-Ft!E$2)^2)))</f>
        <v>6.8187240889559639</v>
      </c>
      <c r="J672" s="3">
        <f>IF(($A672-Ft!F$2)&lt;0,Ft!F$3*((1-Ft!F$6)/(1+Ft!F$37*($A672-Ft!F$2)^2)+Ft!F$6*EXP(Ft!F$38*($A672-Ft!F$2)^2)),Ft!F$3*((1-Ft!F$7)/(1+Ft!F$39*($A672-Ft!F$2)^2)+Ft!F$7*EXP(Ft!F$40*($A672-Ft!F$2)^2)))</f>
        <v>147.49130172290685</v>
      </c>
      <c r="K672" s="3">
        <f>IF(($A672-Ft!G$2)&lt;0,Ft!G$3*((1-Ft!G$6)/(1+Ft!G$37*($A672-Ft!G$2)^2)+Ft!G$6*EXP(Ft!G$38*($A672-Ft!G$2)^2)),Ft!G$3*((1-Ft!G$7)/(1+Ft!G$39*($A672-Ft!G$2)^2)+Ft!G$7*EXP(Ft!G$40*($A672-Ft!G$2)^2)))</f>
        <v>1.6597698019071863E-4</v>
      </c>
      <c r="L672" s="3">
        <f>IF(($A672-Ft!H$2)&lt;0,Ft!H$3*((1-Ft!H$6)/(1+Ft!H$37*($A672-Ft!H$2)^2)+Ft!H$6*EXP(Ft!H$38*($A672-Ft!H$2)^2)),Ft!H$3*((1-Ft!H$7)/(1+Ft!H$39*($A672-Ft!H$2)^2)+Ft!H$7*EXP(Ft!H$40*($A672-Ft!H$2)^2)))</f>
        <v>0</v>
      </c>
      <c r="M672" s="3">
        <f>IF(($A672-Ft!I$2)&lt;0,Ft!I$3*((1-Ft!I$6)/(1+Ft!I$37*($A672-Ft!I$2)^2)+Ft!I$6*EXP(Ft!I$38*($A672-Ft!I$2)^2)),Ft!I$3*((1-Ft!I$7)/(1+Ft!I$39*($A672-Ft!I$2)^2)+Ft!I$7*EXP(Ft!I$40*($A672-Ft!I$2)^2)))</f>
        <v>0</v>
      </c>
      <c r="N672" s="3">
        <f>IF(($A672-Ft!J$2)&lt;0,Ft!J$3*((1-Ft!J$6)/(1+Ft!J$37*($A672-Ft!J$2)^2)+Ft!J$6*EXP(Ft!J$38*($A672-Ft!J$2)^2)),Ft!J$3*((1-Ft!J$7)/(1+Ft!J$39*($A672-Ft!J$2)^2)+Ft!J$7*EXP(Ft!J$40*($A672-Ft!J$2)^2)))</f>
        <v>0</v>
      </c>
      <c r="O672" s="3">
        <f>IF(($A672-Ft!K$2)&lt;0,Ft!K$3*((1-Ft!K$6)/(1+Ft!K$37*($A672-Ft!K$2)^2)+Ft!K$6*EXP(Ft!K$38*($A672-Ft!K$2)^2)),Ft!K$3*((1-Ft!K$7)/(1+Ft!K$39*($A672-Ft!K$2)^2)+Ft!K$7*EXP(Ft!K$40*($A672-Ft!K$2)^2)))</f>
        <v>0</v>
      </c>
      <c r="P672"/>
      <c r="Q672"/>
    </row>
    <row r="673" spans="1:17">
      <c r="A673" s="20">
        <v>1343</v>
      </c>
      <c r="B673" s="29">
        <v>0.20253957292004957</v>
      </c>
      <c r="C673" s="7">
        <f t="shared" si="21"/>
        <v>0.23151577342876445</v>
      </c>
      <c r="D673" s="3">
        <f t="shared" si="20"/>
        <v>8.3962019592124864E-4</v>
      </c>
      <c r="E673" s="3">
        <f>Ft!$B$12+Ft!$B$14*(Data!A673-Vars!$B$3)</f>
        <v>-200</v>
      </c>
      <c r="F673" s="3">
        <f>IF(($A673-Ft!B$2)&lt;0,Ft!B$3*((1-Ft!B$6)/(1+Ft!B$37*($A673-Ft!B$2)^2)+Ft!B$6*EXP(Ft!B$38*($A673-Ft!B$2)^2)),Ft!B$3*((1-Ft!B$7)/(1+Ft!B$39*($A673-Ft!B$2)^2)+Ft!B$7*EXP(Ft!B$40*($A673-Ft!B$2)^2)))</f>
        <v>0.52501115318131009</v>
      </c>
      <c r="G673" s="3">
        <f>IF(($A673-Ft!C$2)&lt;0,Ft!C$3*((1-Ft!C$6)/(1+Ft!C$37*($A673-Ft!C$2)^2)+Ft!C$6*EXP(Ft!C$38*($A673-Ft!C$2)^2)),Ft!C$3*((1-Ft!C$7)/(1+Ft!C$39*($A673-Ft!C$2)^2)+Ft!C$7*EXP(Ft!C$40*($A673-Ft!C$2)^2)))</f>
        <v>45.395780560688273</v>
      </c>
      <c r="H673" s="3">
        <f>IF(($A673-Ft!D$2)&lt;0,Ft!D$3*((1-Ft!D$6)/(1+Ft!D$37*($A673-Ft!D$2)^2)+Ft!D$6*EXP(Ft!D$38*($A673-Ft!D$2)^2)),Ft!D$3*((1-Ft!D$7)/(1+Ft!D$39*($A673-Ft!D$2)^2)+Ft!D$7*EXP(Ft!D$40*($A673-Ft!D$2)^2)))</f>
        <v>1.3873288416384246E-247</v>
      </c>
      <c r="I673" s="3">
        <f>IF(($A673-Ft!E$2)&lt;0,Ft!E$3*((1-Ft!E$6)/(1+Ft!E$37*($A673-Ft!E$2)^2)+Ft!E$6*EXP(Ft!E$38*($A673-Ft!E$2)^2)),Ft!E$3*((1-Ft!E$7)/(1+Ft!E$39*($A673-Ft!E$2)^2)+Ft!E$7*EXP(Ft!E$40*($A673-Ft!E$2)^2)))</f>
        <v>6.6968411768751608</v>
      </c>
      <c r="J673" s="3">
        <f>IF(($A673-Ft!F$2)&lt;0,Ft!F$3*((1-Ft!F$6)/(1+Ft!F$37*($A673-Ft!F$2)^2)+Ft!F$6*EXP(Ft!F$38*($A673-Ft!F$2)^2)),Ft!F$3*((1-Ft!F$7)/(1+Ft!F$39*($A673-Ft!F$2)^2)+Ft!F$7*EXP(Ft!F$40*($A673-Ft!F$2)^2)))</f>
        <v>147.61372518845008</v>
      </c>
      <c r="K673" s="3">
        <f>IF(($A673-Ft!G$2)&lt;0,Ft!G$3*((1-Ft!G$6)/(1+Ft!G$37*($A673-Ft!G$2)^2)+Ft!G$6*EXP(Ft!G$38*($A673-Ft!G$2)^2)),Ft!G$3*((1-Ft!G$7)/(1+Ft!G$39*($A673-Ft!G$2)^2)+Ft!G$7*EXP(Ft!G$40*($A673-Ft!G$2)^2)))</f>
        <v>1.5769423394466943E-4</v>
      </c>
      <c r="L673" s="3">
        <f>IF(($A673-Ft!H$2)&lt;0,Ft!H$3*((1-Ft!H$6)/(1+Ft!H$37*($A673-Ft!H$2)^2)+Ft!H$6*EXP(Ft!H$38*($A673-Ft!H$2)^2)),Ft!H$3*((1-Ft!H$7)/(1+Ft!H$39*($A673-Ft!H$2)^2)+Ft!H$7*EXP(Ft!H$40*($A673-Ft!H$2)^2)))</f>
        <v>0</v>
      </c>
      <c r="M673" s="3">
        <f>IF(($A673-Ft!I$2)&lt;0,Ft!I$3*((1-Ft!I$6)/(1+Ft!I$37*($A673-Ft!I$2)^2)+Ft!I$6*EXP(Ft!I$38*($A673-Ft!I$2)^2)),Ft!I$3*((1-Ft!I$7)/(1+Ft!I$39*($A673-Ft!I$2)^2)+Ft!I$7*EXP(Ft!I$40*($A673-Ft!I$2)^2)))</f>
        <v>0</v>
      </c>
      <c r="N673" s="3">
        <f>IF(($A673-Ft!J$2)&lt;0,Ft!J$3*((1-Ft!J$6)/(1+Ft!J$37*($A673-Ft!J$2)^2)+Ft!J$6*EXP(Ft!J$38*($A673-Ft!J$2)^2)),Ft!J$3*((1-Ft!J$7)/(1+Ft!J$39*($A673-Ft!J$2)^2)+Ft!J$7*EXP(Ft!J$40*($A673-Ft!J$2)^2)))</f>
        <v>0</v>
      </c>
      <c r="O673" s="3">
        <f>IF(($A673-Ft!K$2)&lt;0,Ft!K$3*((1-Ft!K$6)/(1+Ft!K$37*($A673-Ft!K$2)^2)+Ft!K$6*EXP(Ft!K$38*($A673-Ft!K$2)^2)),Ft!K$3*((1-Ft!K$7)/(1+Ft!K$39*($A673-Ft!K$2)^2)+Ft!K$7*EXP(Ft!K$40*($A673-Ft!K$2)^2)))</f>
        <v>0</v>
      </c>
      <c r="P673"/>
      <c r="Q673"/>
    </row>
    <row r="674" spans="1:17">
      <c r="A674" s="20">
        <v>1345</v>
      </c>
      <c r="B674" s="29">
        <v>0</v>
      </c>
      <c r="C674" s="7">
        <f t="shared" si="21"/>
        <v>0.1356884400804316</v>
      </c>
      <c r="D674" s="3">
        <f t="shared" si="20"/>
        <v>1.8411352771460877E-2</v>
      </c>
      <c r="E674" s="3">
        <f>Ft!$B$12+Ft!$B$14*(Data!A674-Vars!$B$3)</f>
        <v>-200</v>
      </c>
      <c r="F674" s="3">
        <f>IF(($A674-Ft!B$2)&lt;0,Ft!B$3*((1-Ft!B$6)/(1+Ft!B$37*($A674-Ft!B$2)^2)+Ft!B$6*EXP(Ft!B$38*($A674-Ft!B$2)^2)),Ft!B$3*((1-Ft!B$7)/(1+Ft!B$39*($A674-Ft!B$2)^2)+Ft!B$7*EXP(Ft!B$40*($A674-Ft!B$2)^2)))</f>
        <v>0.51722430709297029</v>
      </c>
      <c r="G674" s="3">
        <f>IF(($A674-Ft!C$2)&lt;0,Ft!C$3*((1-Ft!C$6)/(1+Ft!C$37*($A674-Ft!C$2)^2)+Ft!C$6*EXP(Ft!C$38*($A674-Ft!C$2)^2)),Ft!C$3*((1-Ft!C$7)/(1+Ft!C$39*($A674-Ft!C$2)^2)+Ft!C$7*EXP(Ft!C$40*($A674-Ft!C$2)^2)))</f>
        <v>45.307254241052902</v>
      </c>
      <c r="H674" s="3">
        <f>IF(($A674-Ft!D$2)&lt;0,Ft!D$3*((1-Ft!D$6)/(1+Ft!D$37*($A674-Ft!D$2)^2)+Ft!D$6*EXP(Ft!D$38*($A674-Ft!D$2)^2)),Ft!D$3*((1-Ft!D$7)/(1+Ft!D$39*($A674-Ft!D$2)^2)+Ft!D$7*EXP(Ft!D$40*($A674-Ft!D$2)^2)))</f>
        <v>1.1292554533908208E-248</v>
      </c>
      <c r="I674" s="3">
        <f>IF(($A674-Ft!E$2)&lt;0,Ft!E$3*((1-Ft!E$6)/(1+Ft!E$37*($A674-Ft!E$2)^2)+Ft!E$6*EXP(Ft!E$38*($A674-Ft!E$2)^2)),Ft!E$3*((1-Ft!E$7)/(1+Ft!E$39*($A674-Ft!E$2)^2)+Ft!E$7*EXP(Ft!E$40*($A674-Ft!E$2)^2)))</f>
        <v>6.5767555494631766</v>
      </c>
      <c r="J674" s="3">
        <f>IF(($A674-Ft!F$2)&lt;0,Ft!F$3*((1-Ft!F$6)/(1+Ft!F$37*($A674-Ft!F$2)^2)+Ft!F$6*EXP(Ft!F$38*($A674-Ft!F$2)^2)),Ft!F$3*((1-Ft!F$7)/(1+Ft!F$39*($A674-Ft!F$2)^2)+Ft!F$7*EXP(Ft!F$40*($A674-Ft!F$2)^2)))</f>
        <v>147.73430453320077</v>
      </c>
      <c r="K674" s="3">
        <f>IF(($A674-Ft!G$2)&lt;0,Ft!G$3*((1-Ft!G$6)/(1+Ft!G$37*($A674-Ft!G$2)^2)+Ft!G$6*EXP(Ft!G$38*($A674-Ft!G$2)^2)),Ft!G$3*((1-Ft!G$7)/(1+Ft!G$39*($A674-Ft!G$2)^2)+Ft!G$7*EXP(Ft!G$40*($A674-Ft!G$2)^2)))</f>
        <v>1.4980927062683232E-4</v>
      </c>
      <c r="L674" s="3">
        <f>IF(($A674-Ft!H$2)&lt;0,Ft!H$3*((1-Ft!H$6)/(1+Ft!H$37*($A674-Ft!H$2)^2)+Ft!H$6*EXP(Ft!H$38*($A674-Ft!H$2)^2)),Ft!H$3*((1-Ft!H$7)/(1+Ft!H$39*($A674-Ft!H$2)^2)+Ft!H$7*EXP(Ft!H$40*($A674-Ft!H$2)^2)))</f>
        <v>0</v>
      </c>
      <c r="M674" s="3">
        <f>IF(($A674-Ft!I$2)&lt;0,Ft!I$3*((1-Ft!I$6)/(1+Ft!I$37*($A674-Ft!I$2)^2)+Ft!I$6*EXP(Ft!I$38*($A674-Ft!I$2)^2)),Ft!I$3*((1-Ft!I$7)/(1+Ft!I$39*($A674-Ft!I$2)^2)+Ft!I$7*EXP(Ft!I$40*($A674-Ft!I$2)^2)))</f>
        <v>0</v>
      </c>
      <c r="N674" s="3">
        <f>IF(($A674-Ft!J$2)&lt;0,Ft!J$3*((1-Ft!J$6)/(1+Ft!J$37*($A674-Ft!J$2)^2)+Ft!J$6*EXP(Ft!J$38*($A674-Ft!J$2)^2)),Ft!J$3*((1-Ft!J$7)/(1+Ft!J$39*($A674-Ft!J$2)^2)+Ft!J$7*EXP(Ft!J$40*($A674-Ft!J$2)^2)))</f>
        <v>0</v>
      </c>
      <c r="O674" s="3">
        <f>IF(($A674-Ft!K$2)&lt;0,Ft!K$3*((1-Ft!K$6)/(1+Ft!K$37*($A674-Ft!K$2)^2)+Ft!K$6*EXP(Ft!K$38*($A674-Ft!K$2)^2)),Ft!K$3*((1-Ft!K$7)/(1+Ft!K$39*($A674-Ft!K$2)^2)+Ft!K$7*EXP(Ft!K$40*($A674-Ft!K$2)^2)))</f>
        <v>0</v>
      </c>
      <c r="P674"/>
      <c r="Q674"/>
    </row>
    <row r="675" spans="1:17">
      <c r="A675" s="20">
        <v>1347</v>
      </c>
      <c r="B675" s="29">
        <v>0</v>
      </c>
      <c r="C675" s="7">
        <f t="shared" si="21"/>
        <v>3.9670398262851354E-2</v>
      </c>
      <c r="D675" s="3">
        <f t="shared" si="20"/>
        <v>1.5737404983332398E-3</v>
      </c>
      <c r="E675" s="3">
        <f>Ft!$B$12+Ft!$B$14*(Data!A675-Vars!$B$3)</f>
        <v>-200</v>
      </c>
      <c r="F675" s="3">
        <f>IF(($A675-Ft!B$2)&lt;0,Ft!B$3*((1-Ft!B$6)/(1+Ft!B$37*($A675-Ft!B$2)^2)+Ft!B$6*EXP(Ft!B$38*($A675-Ft!B$2)^2)),Ft!B$3*((1-Ft!B$7)/(1+Ft!B$39*($A675-Ft!B$2)^2)+Ft!B$7*EXP(Ft!B$40*($A675-Ft!B$2)^2)))</f>
        <v>0.50954322812161168</v>
      </c>
      <c r="G675" s="3">
        <f>IF(($A675-Ft!C$2)&lt;0,Ft!C$3*((1-Ft!C$6)/(1+Ft!C$37*($A675-Ft!C$2)^2)+Ft!C$6*EXP(Ft!C$38*($A675-Ft!C$2)^2)),Ft!C$3*((1-Ft!C$7)/(1+Ft!C$39*($A675-Ft!C$2)^2)+Ft!C$7*EXP(Ft!C$40*($A675-Ft!C$2)^2)))</f>
        <v>45.218501014414542</v>
      </c>
      <c r="H675" s="3">
        <f>IF(($A675-Ft!D$2)&lt;0,Ft!D$3*((1-Ft!D$6)/(1+Ft!D$37*($A675-Ft!D$2)^2)+Ft!D$6*EXP(Ft!D$38*($A675-Ft!D$2)^2)),Ft!D$3*((1-Ft!D$7)/(1+Ft!D$39*($A675-Ft!D$2)^2)+Ft!D$7*EXP(Ft!D$40*($A675-Ft!D$2)^2)))</f>
        <v>9.1413232206228333E-250</v>
      </c>
      <c r="I675" s="3">
        <f>IF(($A675-Ft!E$2)&lt;0,Ft!E$3*((1-Ft!E$6)/(1+Ft!E$37*($A675-Ft!E$2)^2)+Ft!E$6*EXP(Ft!E$38*($A675-Ft!E$2)^2)),Ft!E$3*((1-Ft!E$7)/(1+Ft!E$39*($A675-Ft!E$2)^2)+Ft!E$7*EXP(Ft!E$40*($A675-Ft!E$2)^2)))</f>
        <v>6.4584487785945965</v>
      </c>
      <c r="J675" s="3">
        <f>IF(($A675-Ft!F$2)&lt;0,Ft!F$3*((1-Ft!F$6)/(1+Ft!F$37*($A675-Ft!F$2)^2)+Ft!F$6*EXP(Ft!F$38*($A675-Ft!F$2)^2)),Ft!F$3*((1-Ft!F$7)/(1+Ft!F$39*($A675-Ft!F$2)^2)+Ft!F$7*EXP(Ft!F$40*($A675-Ft!F$2)^2)))</f>
        <v>147.85303507333575</v>
      </c>
      <c r="K675" s="3">
        <f>IF(($A675-Ft!G$2)&lt;0,Ft!G$3*((1-Ft!G$6)/(1+Ft!G$37*($A675-Ft!G$2)^2)+Ft!G$6*EXP(Ft!G$38*($A675-Ft!G$2)^2)),Ft!G$3*((1-Ft!G$7)/(1+Ft!G$39*($A675-Ft!G$2)^2)+Ft!G$7*EXP(Ft!G$40*($A675-Ft!G$2)^2)))</f>
        <v>1.4230379634672929E-4</v>
      </c>
      <c r="L675" s="3">
        <f>IF(($A675-Ft!H$2)&lt;0,Ft!H$3*((1-Ft!H$6)/(1+Ft!H$37*($A675-Ft!H$2)^2)+Ft!H$6*EXP(Ft!H$38*($A675-Ft!H$2)^2)),Ft!H$3*((1-Ft!H$7)/(1+Ft!H$39*($A675-Ft!H$2)^2)+Ft!H$7*EXP(Ft!H$40*($A675-Ft!H$2)^2)))</f>
        <v>0</v>
      </c>
      <c r="M675" s="3">
        <f>IF(($A675-Ft!I$2)&lt;0,Ft!I$3*((1-Ft!I$6)/(1+Ft!I$37*($A675-Ft!I$2)^2)+Ft!I$6*EXP(Ft!I$38*($A675-Ft!I$2)^2)),Ft!I$3*((1-Ft!I$7)/(1+Ft!I$39*($A675-Ft!I$2)^2)+Ft!I$7*EXP(Ft!I$40*($A675-Ft!I$2)^2)))</f>
        <v>0</v>
      </c>
      <c r="N675" s="3">
        <f>IF(($A675-Ft!J$2)&lt;0,Ft!J$3*((1-Ft!J$6)/(1+Ft!J$37*($A675-Ft!J$2)^2)+Ft!J$6*EXP(Ft!J$38*($A675-Ft!J$2)^2)),Ft!J$3*((1-Ft!J$7)/(1+Ft!J$39*($A675-Ft!J$2)^2)+Ft!J$7*EXP(Ft!J$40*($A675-Ft!J$2)^2)))</f>
        <v>0</v>
      </c>
      <c r="O675" s="3">
        <f>IF(($A675-Ft!K$2)&lt;0,Ft!K$3*((1-Ft!K$6)/(1+Ft!K$37*($A675-Ft!K$2)^2)+Ft!K$6*EXP(Ft!K$38*($A675-Ft!K$2)^2)),Ft!K$3*((1-Ft!K$7)/(1+Ft!K$39*($A675-Ft!K$2)^2)+Ft!K$7*EXP(Ft!K$40*($A675-Ft!K$2)^2)))</f>
        <v>0</v>
      </c>
      <c r="P675"/>
      <c r="Q675"/>
    </row>
    <row r="676" spans="1:17">
      <c r="A676" s="20">
        <v>1349</v>
      </c>
      <c r="B676" s="29">
        <v>0</v>
      </c>
      <c r="C676" s="7">
        <f t="shared" si="21"/>
        <v>-5.6560656153797656E-2</v>
      </c>
      <c r="D676" s="3">
        <f t="shared" si="20"/>
        <v>3.1991078245481286E-3</v>
      </c>
      <c r="E676" s="3">
        <f>Ft!$B$12+Ft!$B$14*(Data!A676-Vars!$B$3)</f>
        <v>-200</v>
      </c>
      <c r="F676" s="3">
        <f>IF(($A676-Ft!B$2)&lt;0,Ft!B$3*((1-Ft!B$6)/(1+Ft!B$37*($A676-Ft!B$2)^2)+Ft!B$6*EXP(Ft!B$38*($A676-Ft!B$2)^2)),Ft!B$3*((1-Ft!B$7)/(1+Ft!B$39*($A676-Ft!B$2)^2)+Ft!B$7*EXP(Ft!B$40*($A676-Ft!B$2)^2)))</f>
        <v>0.50196663659821927</v>
      </c>
      <c r="G676" s="3">
        <f>IF(($A676-Ft!C$2)&lt;0,Ft!C$3*((1-Ft!C$6)/(1+Ft!C$37*($A676-Ft!C$2)^2)+Ft!C$6*EXP(Ft!C$38*($A676-Ft!C$2)^2)),Ft!C$3*((1-Ft!C$7)/(1+Ft!C$39*($A676-Ft!C$2)^2)+Ft!C$7*EXP(Ft!C$40*($A676-Ft!C$2)^2)))</f>
        <v>45.129522892129245</v>
      </c>
      <c r="H676" s="3">
        <f>IF(($A676-Ft!D$2)&lt;0,Ft!D$3*((1-Ft!D$6)/(1+Ft!D$37*($A676-Ft!D$2)^2)+Ft!D$6*EXP(Ft!D$38*($A676-Ft!D$2)^2)),Ft!D$3*((1-Ft!D$7)/(1+Ft!D$39*($A676-Ft!D$2)^2)+Ft!D$7*EXP(Ft!D$40*($A676-Ft!D$2)^2)))</f>
        <v>7.3591900847323822E-251</v>
      </c>
      <c r="I676" s="3">
        <f>IF(($A676-Ft!E$2)&lt;0,Ft!E$3*((1-Ft!E$6)/(1+Ft!E$37*($A676-Ft!E$2)^2)+Ft!E$6*EXP(Ft!E$38*($A676-Ft!E$2)^2)),Ft!E$3*((1-Ft!E$7)/(1+Ft!E$39*($A676-Ft!E$2)^2)+Ft!E$7*EXP(Ft!E$40*($A676-Ft!E$2)^2)))</f>
        <v>6.3419024604867769</v>
      </c>
      <c r="J676" s="3">
        <f>IF(($A676-Ft!F$2)&lt;0,Ft!F$3*((1-Ft!F$6)/(1+Ft!F$37*($A676-Ft!F$2)^2)+Ft!F$6*EXP(Ft!F$38*($A676-Ft!F$2)^2)),Ft!F$3*((1-Ft!F$7)/(1+Ft!F$39*($A676-Ft!F$2)^2)+Ft!F$7*EXP(Ft!F$40*($A676-Ft!F$2)^2)))</f>
        <v>147.96991219431433</v>
      </c>
      <c r="K676" s="3">
        <f>IF(($A676-Ft!G$2)&lt;0,Ft!G$3*((1-Ft!G$6)/(1+Ft!G$37*($A676-Ft!G$2)^2)+Ft!G$6*EXP(Ft!G$38*($A676-Ft!G$2)^2)),Ft!G$3*((1-Ft!G$7)/(1+Ft!G$39*($A676-Ft!G$2)^2)+Ft!G$7*EXP(Ft!G$40*($A676-Ft!G$2)^2)))</f>
        <v>1.3516031763452426E-4</v>
      </c>
      <c r="L676" s="3">
        <f>IF(($A676-Ft!H$2)&lt;0,Ft!H$3*((1-Ft!H$6)/(1+Ft!H$37*($A676-Ft!H$2)^2)+Ft!H$6*EXP(Ft!H$38*($A676-Ft!H$2)^2)),Ft!H$3*((1-Ft!H$7)/(1+Ft!H$39*($A676-Ft!H$2)^2)+Ft!H$7*EXP(Ft!H$40*($A676-Ft!H$2)^2)))</f>
        <v>0</v>
      </c>
      <c r="M676" s="3">
        <f>IF(($A676-Ft!I$2)&lt;0,Ft!I$3*((1-Ft!I$6)/(1+Ft!I$37*($A676-Ft!I$2)^2)+Ft!I$6*EXP(Ft!I$38*($A676-Ft!I$2)^2)),Ft!I$3*((1-Ft!I$7)/(1+Ft!I$39*($A676-Ft!I$2)^2)+Ft!I$7*EXP(Ft!I$40*($A676-Ft!I$2)^2)))</f>
        <v>0</v>
      </c>
      <c r="N676" s="3">
        <f>IF(($A676-Ft!J$2)&lt;0,Ft!J$3*((1-Ft!J$6)/(1+Ft!J$37*($A676-Ft!J$2)^2)+Ft!J$6*EXP(Ft!J$38*($A676-Ft!J$2)^2)),Ft!J$3*((1-Ft!J$7)/(1+Ft!J$39*($A676-Ft!J$2)^2)+Ft!J$7*EXP(Ft!J$40*($A676-Ft!J$2)^2)))</f>
        <v>0</v>
      </c>
      <c r="O676" s="3">
        <f>IF(($A676-Ft!K$2)&lt;0,Ft!K$3*((1-Ft!K$6)/(1+Ft!K$37*($A676-Ft!K$2)^2)+Ft!K$6*EXP(Ft!K$38*($A676-Ft!K$2)^2)),Ft!K$3*((1-Ft!K$7)/(1+Ft!K$39*($A676-Ft!K$2)^2)+Ft!K$7*EXP(Ft!K$40*($A676-Ft!K$2)^2)))</f>
        <v>0</v>
      </c>
      <c r="P676"/>
      <c r="Q676"/>
    </row>
    <row r="677" spans="1:17">
      <c r="A677" s="20">
        <v>1351</v>
      </c>
      <c r="B677" s="29">
        <v>0</v>
      </c>
      <c r="C677" s="7">
        <f t="shared" si="21"/>
        <v>-0.1530269137318849</v>
      </c>
      <c r="D677" s="3">
        <f t="shared" si="20"/>
        <v>2.3417236326305744E-2</v>
      </c>
      <c r="E677" s="3">
        <f>Ft!$B$12+Ft!$B$14*(Data!A677-Vars!$B$3)</f>
        <v>-200</v>
      </c>
      <c r="F677" s="3">
        <f>IF(($A677-Ft!B$2)&lt;0,Ft!B$3*((1-Ft!B$6)/(1+Ft!B$37*($A677-Ft!B$2)^2)+Ft!B$6*EXP(Ft!B$38*($A677-Ft!B$2)^2)),Ft!B$3*((1-Ft!B$7)/(1+Ft!B$39*($A677-Ft!B$2)^2)+Ft!B$7*EXP(Ft!B$40*($A677-Ft!B$2)^2)))</f>
        <v>0.49449326593119297</v>
      </c>
      <c r="G677" s="3">
        <f>IF(($A677-Ft!C$2)&lt;0,Ft!C$3*((1-Ft!C$6)/(1+Ft!C$37*($A677-Ft!C$2)^2)+Ft!C$6*EXP(Ft!C$38*($A677-Ft!C$2)^2)),Ft!C$3*((1-Ft!C$7)/(1+Ft!C$39*($A677-Ft!C$2)^2)+Ft!C$7*EXP(Ft!C$40*($A677-Ft!C$2)^2)))</f>
        <v>45.040321887559607</v>
      </c>
      <c r="H677" s="3">
        <f>IF(($A677-Ft!D$2)&lt;0,Ft!D$3*((1-Ft!D$6)/(1+Ft!D$37*($A677-Ft!D$2)^2)+Ft!D$6*EXP(Ft!D$38*($A677-Ft!D$2)^2)),Ft!D$3*((1-Ft!D$7)/(1+Ft!D$39*($A677-Ft!D$2)^2)+Ft!D$7*EXP(Ft!D$40*($A677-Ft!D$2)^2)))</f>
        <v>5.8918958789472732E-252</v>
      </c>
      <c r="I677" s="3">
        <f>IF(($A677-Ft!E$2)&lt;0,Ft!E$3*((1-Ft!E$6)/(1+Ft!E$37*($A677-Ft!E$2)^2)+Ft!E$6*EXP(Ft!E$38*($A677-Ft!E$2)^2)),Ft!E$3*((1-Ft!E$7)/(1+Ft!E$39*($A677-Ft!E$2)^2)+Ft!E$7*EXP(Ft!E$40*($A677-Ft!E$2)^2)))</f>
        <v>6.2270982194915661</v>
      </c>
      <c r="J677" s="3">
        <f>IF(($A677-Ft!F$2)&lt;0,Ft!F$3*((1-Ft!F$6)/(1+Ft!F$37*($A677-Ft!F$2)^2)+Ft!F$6*EXP(Ft!F$38*($A677-Ft!F$2)^2)),Ft!F$3*((1-Ft!F$7)/(1+Ft!F$39*($A677-Ft!F$2)^2)+Ft!F$7*EXP(Ft!F$40*($A677-Ft!F$2)^2)))</f>
        <v>148.08493135117735</v>
      </c>
      <c r="K677" s="3">
        <f>IF(($A677-Ft!G$2)&lt;0,Ft!G$3*((1-Ft!G$6)/(1+Ft!G$37*($A677-Ft!G$2)^2)+Ft!G$6*EXP(Ft!G$38*($A677-Ft!G$2)^2)),Ft!G$3*((1-Ft!G$7)/(1+Ft!G$39*($A677-Ft!G$2)^2)+Ft!G$7*EXP(Ft!G$40*($A677-Ft!G$2)^2)))</f>
        <v>1.2836210842028946E-4</v>
      </c>
      <c r="L677" s="3">
        <f>IF(($A677-Ft!H$2)&lt;0,Ft!H$3*((1-Ft!H$6)/(1+Ft!H$37*($A677-Ft!H$2)^2)+Ft!H$6*EXP(Ft!H$38*($A677-Ft!H$2)^2)),Ft!H$3*((1-Ft!H$7)/(1+Ft!H$39*($A677-Ft!H$2)^2)+Ft!H$7*EXP(Ft!H$40*($A677-Ft!H$2)^2)))</f>
        <v>0</v>
      </c>
      <c r="M677" s="3">
        <f>IF(($A677-Ft!I$2)&lt;0,Ft!I$3*((1-Ft!I$6)/(1+Ft!I$37*($A677-Ft!I$2)^2)+Ft!I$6*EXP(Ft!I$38*($A677-Ft!I$2)^2)),Ft!I$3*((1-Ft!I$7)/(1+Ft!I$39*($A677-Ft!I$2)^2)+Ft!I$7*EXP(Ft!I$40*($A677-Ft!I$2)^2)))</f>
        <v>0</v>
      </c>
      <c r="N677" s="3">
        <f>IF(($A677-Ft!J$2)&lt;0,Ft!J$3*((1-Ft!J$6)/(1+Ft!J$37*($A677-Ft!J$2)^2)+Ft!J$6*EXP(Ft!J$38*($A677-Ft!J$2)^2)),Ft!J$3*((1-Ft!J$7)/(1+Ft!J$39*($A677-Ft!J$2)^2)+Ft!J$7*EXP(Ft!J$40*($A677-Ft!J$2)^2)))</f>
        <v>0</v>
      </c>
      <c r="O677" s="3">
        <f>IF(($A677-Ft!K$2)&lt;0,Ft!K$3*((1-Ft!K$6)/(1+Ft!K$37*($A677-Ft!K$2)^2)+Ft!K$6*EXP(Ft!K$38*($A677-Ft!K$2)^2)),Ft!K$3*((1-Ft!K$7)/(1+Ft!K$39*($A677-Ft!K$2)^2)+Ft!K$7*EXP(Ft!K$40*($A677-Ft!K$2)^2)))</f>
        <v>0</v>
      </c>
      <c r="P677"/>
      <c r="Q677"/>
    </row>
    <row r="678" spans="1:17">
      <c r="A678" s="20">
        <v>1353</v>
      </c>
      <c r="B678" s="29">
        <v>0</v>
      </c>
      <c r="C678" s="7">
        <f t="shared" si="21"/>
        <v>0</v>
      </c>
      <c r="P678"/>
      <c r="Q678"/>
    </row>
    <row r="679" spans="1:17">
      <c r="A679" s="20">
        <v>1355</v>
      </c>
      <c r="B679" s="29">
        <v>0</v>
      </c>
      <c r="C679" s="7">
        <f t="shared" si="21"/>
        <v>0</v>
      </c>
      <c r="P679"/>
      <c r="Q679"/>
    </row>
    <row r="680" spans="1:17">
      <c r="A680" s="20">
        <v>1357</v>
      </c>
      <c r="B680" s="29">
        <v>0</v>
      </c>
      <c r="C680" s="7">
        <f t="shared" si="21"/>
        <v>0</v>
      </c>
      <c r="P680"/>
      <c r="Q680"/>
    </row>
    <row r="681" spans="1:17">
      <c r="P681"/>
      <c r="Q681"/>
    </row>
    <row r="682" spans="1:17">
      <c r="P682"/>
      <c r="Q682"/>
    </row>
    <row r="683" spans="1:17">
      <c r="P683"/>
      <c r="Q683"/>
    </row>
    <row r="684" spans="1:17">
      <c r="P684"/>
      <c r="Q684"/>
    </row>
    <row r="685" spans="1:17">
      <c r="P685"/>
      <c r="Q685"/>
    </row>
    <row r="686" spans="1:17">
      <c r="P686"/>
      <c r="Q686"/>
    </row>
    <row r="687" spans="1:17">
      <c r="P687"/>
      <c r="Q687"/>
    </row>
    <row r="688" spans="1:17">
      <c r="P688"/>
      <c r="Q688"/>
    </row>
    <row r="689" spans="4:17">
      <c r="P689"/>
      <c r="Q689"/>
    </row>
    <row r="690" spans="4:17">
      <c r="P690"/>
      <c r="Q690"/>
    </row>
    <row r="691" spans="4:17">
      <c r="P691"/>
      <c r="Q691"/>
    </row>
    <row r="692" spans="4:17">
      <c r="P692"/>
      <c r="Q692"/>
    </row>
    <row r="693" spans="4:17">
      <c r="P693"/>
      <c r="Q693"/>
    </row>
    <row r="694" spans="4:17">
      <c r="P694"/>
      <c r="Q694"/>
    </row>
    <row r="695" spans="4:17">
      <c r="P695"/>
      <c r="Q695"/>
    </row>
    <row r="696" spans="4:17">
      <c r="P696"/>
      <c r="Q696"/>
    </row>
    <row r="697" spans="4:17">
      <c r="P697"/>
      <c r="Q697"/>
    </row>
    <row r="698" spans="4:17">
      <c r="P698"/>
      <c r="Q698"/>
    </row>
    <row r="699" spans="4:17">
      <c r="P699"/>
      <c r="Q699"/>
    </row>
    <row r="700" spans="4:17">
      <c r="P700"/>
      <c r="Q700"/>
    </row>
    <row r="701" spans="4:17">
      <c r="P701"/>
      <c r="Q701"/>
    </row>
    <row r="702" spans="4:17">
      <c r="P702"/>
      <c r="Q702"/>
    </row>
    <row r="703" spans="4:17">
      <c r="D703"/>
      <c r="E703"/>
      <c r="F703"/>
      <c r="G703"/>
      <c r="H703"/>
      <c r="I703"/>
      <c r="J703"/>
      <c r="K703"/>
      <c r="L703"/>
      <c r="M703"/>
      <c r="N703"/>
      <c r="O703"/>
      <c r="P703"/>
      <c r="Q703"/>
    </row>
    <row r="704" spans="4:17">
      <c r="D704"/>
      <c r="E704"/>
      <c r="F704"/>
      <c r="G704"/>
      <c r="H704"/>
      <c r="I704"/>
      <c r="J704"/>
      <c r="K704"/>
      <c r="L704"/>
      <c r="M704"/>
      <c r="N704"/>
      <c r="O704"/>
      <c r="P704"/>
      <c r="Q704"/>
    </row>
    <row r="705" spans="4:17">
      <c r="D705"/>
      <c r="E705"/>
      <c r="F705"/>
      <c r="G705"/>
      <c r="H705"/>
      <c r="I705"/>
      <c r="J705"/>
      <c r="K705"/>
      <c r="L705"/>
      <c r="M705"/>
      <c r="N705"/>
      <c r="O705"/>
      <c r="P705"/>
      <c r="Q705"/>
    </row>
    <row r="706" spans="4:17">
      <c r="D706"/>
      <c r="E706"/>
      <c r="F706"/>
      <c r="G706"/>
      <c r="H706"/>
      <c r="I706"/>
      <c r="J706"/>
      <c r="K706"/>
      <c r="L706"/>
      <c r="M706"/>
      <c r="N706"/>
      <c r="O706"/>
      <c r="P706"/>
      <c r="Q706"/>
    </row>
    <row r="707" spans="4:17">
      <c r="D707"/>
      <c r="E707"/>
      <c r="F707"/>
      <c r="G707"/>
      <c r="H707"/>
      <c r="I707"/>
      <c r="J707"/>
      <c r="K707"/>
      <c r="L707"/>
      <c r="M707"/>
      <c r="N707"/>
      <c r="O707"/>
      <c r="P707"/>
      <c r="Q707"/>
    </row>
    <row r="708" spans="4:17">
      <c r="D708"/>
      <c r="E708"/>
      <c r="F708"/>
      <c r="G708"/>
      <c r="H708"/>
      <c r="I708"/>
      <c r="J708"/>
      <c r="K708"/>
      <c r="L708"/>
      <c r="M708"/>
      <c r="N708"/>
      <c r="O708"/>
      <c r="P708"/>
      <c r="Q708"/>
    </row>
    <row r="709" spans="4:17">
      <c r="D709"/>
      <c r="E709"/>
      <c r="F709"/>
      <c r="G709"/>
      <c r="H709"/>
      <c r="I709"/>
      <c r="J709"/>
      <c r="K709"/>
      <c r="L709"/>
      <c r="M709"/>
      <c r="N709"/>
      <c r="O709"/>
      <c r="P709"/>
      <c r="Q709"/>
    </row>
    <row r="710" spans="4:17">
      <c r="D710"/>
      <c r="E710"/>
      <c r="F710"/>
      <c r="G710"/>
      <c r="H710"/>
      <c r="I710"/>
      <c r="J710"/>
      <c r="K710"/>
      <c r="L710"/>
      <c r="M710"/>
      <c r="N710"/>
      <c r="O710"/>
      <c r="P710"/>
      <c r="Q710"/>
    </row>
    <row r="711" spans="4:17">
      <c r="D711"/>
      <c r="E711"/>
      <c r="F711"/>
      <c r="G711"/>
      <c r="H711"/>
      <c r="I711"/>
      <c r="J711"/>
      <c r="K711"/>
      <c r="L711"/>
      <c r="M711"/>
      <c r="N711"/>
      <c r="O711"/>
      <c r="P711"/>
      <c r="Q711"/>
    </row>
    <row r="712" spans="4:17">
      <c r="D712"/>
      <c r="E712"/>
      <c r="F712"/>
      <c r="G712"/>
      <c r="H712"/>
      <c r="I712"/>
      <c r="J712"/>
      <c r="K712"/>
      <c r="L712"/>
      <c r="M712"/>
      <c r="N712"/>
      <c r="O712"/>
      <c r="P712"/>
      <c r="Q712"/>
    </row>
    <row r="713" spans="4:17">
      <c r="D713"/>
      <c r="E713"/>
      <c r="F713"/>
      <c r="G713"/>
      <c r="H713"/>
      <c r="I713"/>
      <c r="J713"/>
      <c r="K713"/>
      <c r="L713"/>
      <c r="M713"/>
      <c r="N713"/>
      <c r="O713"/>
      <c r="P713"/>
      <c r="Q713"/>
    </row>
    <row r="714" spans="4:17">
      <c r="D714"/>
      <c r="E714"/>
      <c r="F714"/>
      <c r="G714"/>
      <c r="H714"/>
      <c r="I714"/>
      <c r="J714"/>
      <c r="K714"/>
      <c r="L714"/>
      <c r="M714"/>
      <c r="N714"/>
      <c r="O714"/>
      <c r="P714"/>
      <c r="Q714"/>
    </row>
    <row r="715" spans="4:17">
      <c r="D715"/>
      <c r="E715"/>
      <c r="F715"/>
      <c r="G715"/>
      <c r="H715"/>
      <c r="I715"/>
      <c r="J715"/>
      <c r="K715"/>
      <c r="L715"/>
      <c r="M715"/>
      <c r="N715"/>
      <c r="O715"/>
      <c r="P715"/>
      <c r="Q715"/>
    </row>
    <row r="716" spans="4:17">
      <c r="D716"/>
      <c r="E716"/>
      <c r="F716"/>
      <c r="G716"/>
      <c r="H716"/>
      <c r="I716"/>
      <c r="J716"/>
      <c r="K716"/>
      <c r="L716"/>
      <c r="M716"/>
      <c r="N716"/>
      <c r="O716"/>
      <c r="P716"/>
      <c r="Q716"/>
    </row>
    <row r="717" spans="4:17">
      <c r="D717"/>
      <c r="E717"/>
      <c r="F717"/>
      <c r="G717"/>
      <c r="H717"/>
      <c r="I717"/>
      <c r="J717"/>
      <c r="K717"/>
      <c r="L717"/>
      <c r="M717"/>
      <c r="N717"/>
      <c r="O717"/>
      <c r="P717"/>
      <c r="Q717"/>
    </row>
    <row r="718" spans="4:17">
      <c r="D718"/>
      <c r="E718"/>
      <c r="F718"/>
      <c r="G718"/>
      <c r="H718"/>
      <c r="I718"/>
      <c r="J718"/>
      <c r="K718"/>
      <c r="L718"/>
      <c r="M718"/>
      <c r="N718"/>
      <c r="O718"/>
      <c r="P718"/>
      <c r="Q718"/>
    </row>
    <row r="719" spans="4:17">
      <c r="D719"/>
      <c r="E719"/>
      <c r="F719"/>
      <c r="G719"/>
      <c r="H719"/>
      <c r="I719"/>
      <c r="J719"/>
      <c r="K719"/>
      <c r="L719"/>
      <c r="M719"/>
      <c r="N719"/>
      <c r="O719"/>
      <c r="P719"/>
      <c r="Q719"/>
    </row>
    <row r="720" spans="4:17">
      <c r="D720"/>
      <c r="E720"/>
      <c r="F720"/>
      <c r="G720"/>
      <c r="H720"/>
      <c r="I720"/>
      <c r="J720"/>
      <c r="K720"/>
      <c r="L720"/>
      <c r="M720"/>
      <c r="N720"/>
      <c r="O720"/>
      <c r="P720"/>
      <c r="Q720"/>
    </row>
    <row r="721" spans="4:17">
      <c r="D721"/>
      <c r="E721"/>
      <c r="F721"/>
      <c r="G721"/>
      <c r="H721"/>
      <c r="I721"/>
      <c r="J721"/>
      <c r="K721"/>
      <c r="L721"/>
      <c r="M721"/>
      <c r="N721"/>
      <c r="O721"/>
      <c r="P721"/>
      <c r="Q721"/>
    </row>
    <row r="722" spans="4:17">
      <c r="D722"/>
      <c r="E722"/>
      <c r="F722"/>
      <c r="G722"/>
      <c r="H722"/>
      <c r="I722"/>
      <c r="J722"/>
      <c r="K722"/>
      <c r="L722"/>
      <c r="M722"/>
      <c r="N722"/>
      <c r="O722"/>
      <c r="P722"/>
      <c r="Q722"/>
    </row>
    <row r="723" spans="4:17">
      <c r="D723"/>
      <c r="E723"/>
      <c r="F723"/>
      <c r="G723"/>
      <c r="H723"/>
      <c r="I723"/>
      <c r="J723"/>
      <c r="K723"/>
      <c r="L723"/>
      <c r="M723"/>
      <c r="N723"/>
      <c r="O723"/>
      <c r="P723"/>
      <c r="Q723"/>
    </row>
    <row r="724" spans="4:17">
      <c r="D724"/>
      <c r="E724"/>
      <c r="F724"/>
      <c r="G724"/>
      <c r="H724"/>
      <c r="I724"/>
      <c r="J724"/>
      <c r="K724"/>
      <c r="L724"/>
      <c r="M724"/>
      <c r="N724"/>
      <c r="O724"/>
      <c r="P724"/>
      <c r="Q724"/>
    </row>
    <row r="725" spans="4:17">
      <c r="D725"/>
      <c r="E725"/>
      <c r="F725"/>
      <c r="G725"/>
      <c r="H725"/>
      <c r="I725"/>
      <c r="J725"/>
      <c r="K725"/>
      <c r="L725"/>
      <c r="M725"/>
      <c r="N725"/>
      <c r="O725"/>
      <c r="P725"/>
      <c r="Q725"/>
    </row>
    <row r="726" spans="4:17">
      <c r="D726"/>
      <c r="E726"/>
      <c r="F726"/>
      <c r="G726"/>
      <c r="H726"/>
      <c r="I726"/>
      <c r="J726"/>
      <c r="K726"/>
      <c r="L726"/>
      <c r="M726"/>
      <c r="N726"/>
      <c r="O726"/>
      <c r="P726"/>
      <c r="Q726"/>
    </row>
    <row r="727" spans="4:17">
      <c r="D727"/>
      <c r="E727"/>
      <c r="F727"/>
      <c r="G727"/>
      <c r="H727"/>
      <c r="I727"/>
      <c r="J727"/>
      <c r="K727"/>
      <c r="L727"/>
      <c r="M727"/>
      <c r="N727"/>
      <c r="O727"/>
      <c r="P727"/>
      <c r="Q727"/>
    </row>
    <row r="728" spans="4:17">
      <c r="D728"/>
      <c r="E728"/>
      <c r="F728"/>
      <c r="G728"/>
      <c r="H728"/>
      <c r="I728"/>
      <c r="J728"/>
      <c r="K728"/>
      <c r="L728"/>
      <c r="M728"/>
      <c r="N728"/>
      <c r="O728"/>
      <c r="P728"/>
      <c r="Q728"/>
    </row>
    <row r="729" spans="4:17">
      <c r="D729"/>
      <c r="E729"/>
      <c r="F729"/>
      <c r="G729"/>
      <c r="H729"/>
      <c r="I729"/>
      <c r="J729"/>
      <c r="K729"/>
      <c r="L729"/>
      <c r="M729"/>
      <c r="N729"/>
      <c r="O729"/>
      <c r="P729"/>
      <c r="Q729"/>
    </row>
    <row r="730" spans="4:17">
      <c r="D730"/>
      <c r="E730"/>
      <c r="F730"/>
      <c r="G730"/>
      <c r="H730"/>
      <c r="I730"/>
      <c r="J730"/>
      <c r="K730"/>
      <c r="L730"/>
      <c r="M730"/>
      <c r="N730"/>
      <c r="O730"/>
      <c r="P730"/>
      <c r="Q730"/>
    </row>
    <row r="731" spans="4:17">
      <c r="D731"/>
      <c r="E731"/>
      <c r="F731"/>
      <c r="G731"/>
      <c r="H731"/>
      <c r="I731"/>
      <c r="J731"/>
      <c r="K731"/>
      <c r="L731"/>
      <c r="M731"/>
      <c r="N731"/>
      <c r="O731"/>
      <c r="P731"/>
      <c r="Q731"/>
    </row>
    <row r="732" spans="4:17">
      <c r="D732"/>
      <c r="E732"/>
      <c r="F732"/>
      <c r="G732"/>
      <c r="H732"/>
      <c r="I732"/>
      <c r="J732"/>
      <c r="K732"/>
      <c r="L732"/>
      <c r="M732"/>
      <c r="N732"/>
      <c r="O732"/>
      <c r="P732"/>
      <c r="Q732"/>
    </row>
    <row r="733" spans="4:17">
      <c r="D733"/>
      <c r="E733"/>
      <c r="F733"/>
      <c r="G733"/>
      <c r="H733"/>
      <c r="I733"/>
      <c r="J733"/>
      <c r="K733"/>
      <c r="L733"/>
      <c r="M733"/>
      <c r="N733"/>
      <c r="O733"/>
      <c r="P733"/>
      <c r="Q733"/>
    </row>
    <row r="734" spans="4:17">
      <c r="D734"/>
      <c r="E734"/>
      <c r="F734"/>
      <c r="G734"/>
      <c r="H734"/>
      <c r="I734"/>
      <c r="J734"/>
      <c r="K734"/>
      <c r="L734"/>
      <c r="M734"/>
      <c r="N734"/>
      <c r="O734"/>
      <c r="P734"/>
      <c r="Q734"/>
    </row>
    <row r="735" spans="4:17">
      <c r="D735"/>
      <c r="E735"/>
      <c r="F735"/>
      <c r="G735"/>
      <c r="H735"/>
      <c r="I735"/>
      <c r="J735"/>
      <c r="K735"/>
      <c r="L735"/>
      <c r="M735"/>
      <c r="N735"/>
      <c r="O735"/>
      <c r="P735"/>
      <c r="Q735"/>
    </row>
    <row r="736" spans="4:17">
      <c r="D736"/>
      <c r="E736"/>
      <c r="F736"/>
      <c r="G736"/>
      <c r="H736"/>
      <c r="I736"/>
      <c r="J736"/>
      <c r="K736"/>
      <c r="L736"/>
      <c r="M736"/>
      <c r="N736"/>
      <c r="O736"/>
      <c r="P736"/>
      <c r="Q736"/>
    </row>
    <row r="737" spans="4:17">
      <c r="D737"/>
      <c r="E737"/>
      <c r="F737"/>
      <c r="G737"/>
      <c r="H737"/>
      <c r="I737"/>
      <c r="J737"/>
      <c r="K737"/>
      <c r="L737"/>
      <c r="M737"/>
      <c r="N737"/>
      <c r="O737"/>
      <c r="P737"/>
      <c r="Q737"/>
    </row>
    <row r="738" spans="4:17">
      <c r="D738"/>
      <c r="E738"/>
      <c r="F738"/>
      <c r="G738"/>
      <c r="H738"/>
      <c r="I738"/>
      <c r="J738"/>
      <c r="K738"/>
      <c r="L738"/>
      <c r="M738"/>
      <c r="N738"/>
      <c r="O738"/>
      <c r="P738"/>
      <c r="Q738"/>
    </row>
    <row r="739" spans="4:17">
      <c r="D739"/>
      <c r="E739"/>
      <c r="F739"/>
      <c r="G739"/>
      <c r="H739"/>
      <c r="I739"/>
      <c r="J739"/>
      <c r="K739"/>
      <c r="L739"/>
      <c r="M739"/>
      <c r="N739"/>
      <c r="O739"/>
      <c r="P739"/>
      <c r="Q739"/>
    </row>
    <row r="740" spans="4:17">
      <c r="D740"/>
      <c r="E740"/>
      <c r="F740"/>
      <c r="G740"/>
      <c r="H740"/>
      <c r="I740"/>
      <c r="J740"/>
      <c r="K740"/>
      <c r="L740"/>
      <c r="M740"/>
      <c r="N740"/>
      <c r="O740"/>
      <c r="P740"/>
      <c r="Q740"/>
    </row>
    <row r="741" spans="4:17">
      <c r="D741"/>
      <c r="E741"/>
      <c r="F741"/>
      <c r="G741"/>
      <c r="H741"/>
      <c r="I741"/>
      <c r="J741"/>
      <c r="K741"/>
      <c r="L741"/>
      <c r="M741"/>
      <c r="N741"/>
      <c r="O741"/>
      <c r="P741"/>
      <c r="Q741"/>
    </row>
    <row r="742" spans="4:17">
      <c r="D742"/>
      <c r="E742"/>
      <c r="F742"/>
      <c r="G742"/>
      <c r="H742"/>
      <c r="I742"/>
      <c r="J742"/>
      <c r="K742"/>
      <c r="L742"/>
      <c r="M742"/>
      <c r="N742"/>
      <c r="O742"/>
      <c r="P742"/>
      <c r="Q742"/>
    </row>
    <row r="743" spans="4:17">
      <c r="D743"/>
      <c r="E743"/>
      <c r="F743"/>
      <c r="G743"/>
      <c r="H743"/>
      <c r="I743"/>
      <c r="J743"/>
      <c r="K743"/>
      <c r="L743"/>
      <c r="M743"/>
      <c r="N743"/>
      <c r="O743"/>
      <c r="P743"/>
      <c r="Q743"/>
    </row>
    <row r="744" spans="4:17">
      <c r="D744"/>
      <c r="E744"/>
      <c r="F744"/>
      <c r="G744"/>
      <c r="H744"/>
      <c r="I744"/>
      <c r="J744"/>
      <c r="K744"/>
      <c r="L744"/>
      <c r="M744"/>
      <c r="N744"/>
      <c r="O744"/>
      <c r="P744"/>
      <c r="Q744"/>
    </row>
    <row r="745" spans="4:17">
      <c r="D745"/>
      <c r="E745"/>
      <c r="F745"/>
      <c r="G745"/>
      <c r="H745"/>
      <c r="I745"/>
      <c r="J745"/>
      <c r="K745"/>
      <c r="L745"/>
      <c r="M745"/>
      <c r="N745"/>
      <c r="O745"/>
      <c r="P745"/>
      <c r="Q745"/>
    </row>
    <row r="746" spans="4:17">
      <c r="D746"/>
      <c r="E746"/>
      <c r="F746"/>
      <c r="G746"/>
      <c r="H746"/>
      <c r="I746"/>
      <c r="J746"/>
      <c r="K746"/>
      <c r="L746"/>
      <c r="M746"/>
      <c r="N746"/>
      <c r="O746"/>
      <c r="P746"/>
      <c r="Q746"/>
    </row>
    <row r="747" spans="4:17">
      <c r="D747"/>
      <c r="E747"/>
      <c r="F747"/>
      <c r="G747"/>
      <c r="H747"/>
      <c r="I747"/>
      <c r="J747"/>
      <c r="K747"/>
      <c r="L747"/>
      <c r="M747"/>
      <c r="N747"/>
      <c r="O747"/>
      <c r="P747"/>
      <c r="Q747"/>
    </row>
    <row r="748" spans="4:17">
      <c r="D748"/>
      <c r="E748"/>
      <c r="F748"/>
      <c r="G748"/>
      <c r="H748"/>
      <c r="I748"/>
      <c r="J748"/>
      <c r="K748"/>
      <c r="L748"/>
      <c r="M748"/>
      <c r="N748"/>
      <c r="O748"/>
      <c r="P748"/>
      <c r="Q748"/>
    </row>
    <row r="749" spans="4:17">
      <c r="D749"/>
      <c r="E749"/>
      <c r="F749"/>
      <c r="G749"/>
      <c r="H749"/>
      <c r="I749"/>
      <c r="J749"/>
      <c r="K749"/>
      <c r="L749"/>
      <c r="M749"/>
      <c r="N749"/>
      <c r="O749"/>
      <c r="P749"/>
      <c r="Q749"/>
    </row>
    <row r="750" spans="4:17">
      <c r="D750"/>
      <c r="E750"/>
      <c r="F750"/>
      <c r="G750"/>
      <c r="H750"/>
      <c r="I750"/>
      <c r="J750"/>
      <c r="K750"/>
      <c r="L750"/>
      <c r="M750"/>
      <c r="N750"/>
      <c r="O750"/>
      <c r="P750"/>
      <c r="Q750"/>
    </row>
    <row r="751" spans="4:17">
      <c r="D751"/>
      <c r="E751"/>
      <c r="F751"/>
      <c r="G751"/>
      <c r="H751"/>
      <c r="I751"/>
      <c r="J751"/>
      <c r="K751"/>
      <c r="L751"/>
      <c r="M751"/>
      <c r="N751"/>
      <c r="O751"/>
      <c r="P751"/>
      <c r="Q751"/>
    </row>
    <row r="752" spans="4:17">
      <c r="D752"/>
      <c r="E752"/>
      <c r="F752"/>
      <c r="G752"/>
      <c r="H752"/>
      <c r="I752"/>
      <c r="J752"/>
      <c r="K752"/>
      <c r="L752"/>
      <c r="M752"/>
      <c r="N752"/>
      <c r="O752"/>
      <c r="P752"/>
      <c r="Q752"/>
    </row>
    <row r="753" spans="4:17">
      <c r="D753"/>
      <c r="E753"/>
      <c r="F753"/>
      <c r="G753"/>
      <c r="H753"/>
      <c r="I753"/>
      <c r="J753"/>
      <c r="K753"/>
      <c r="L753"/>
      <c r="M753"/>
      <c r="N753"/>
      <c r="O753"/>
      <c r="P753"/>
      <c r="Q753"/>
    </row>
    <row r="754" spans="4:17">
      <c r="D754"/>
      <c r="E754"/>
      <c r="F754"/>
      <c r="G754"/>
      <c r="H754"/>
      <c r="I754"/>
      <c r="J754"/>
      <c r="K754"/>
      <c r="L754"/>
      <c r="M754"/>
      <c r="N754"/>
      <c r="O754"/>
      <c r="P754"/>
      <c r="Q754"/>
    </row>
    <row r="755" spans="4:17">
      <c r="D755"/>
      <c r="E755"/>
      <c r="F755"/>
      <c r="G755"/>
      <c r="H755"/>
      <c r="I755"/>
      <c r="J755"/>
      <c r="K755"/>
      <c r="L755"/>
      <c r="M755"/>
      <c r="N755"/>
      <c r="O755"/>
      <c r="P755"/>
      <c r="Q755"/>
    </row>
    <row r="756" spans="4:17">
      <c r="D756"/>
      <c r="E756"/>
      <c r="F756"/>
      <c r="G756"/>
      <c r="H756"/>
      <c r="I756"/>
      <c r="J756"/>
      <c r="K756"/>
      <c r="L756"/>
      <c r="M756"/>
      <c r="N756"/>
      <c r="O756"/>
      <c r="P756"/>
      <c r="Q756"/>
    </row>
    <row r="757" spans="4:17">
      <c r="D757"/>
      <c r="E757"/>
      <c r="F757"/>
      <c r="G757"/>
      <c r="H757"/>
      <c r="I757"/>
      <c r="J757"/>
      <c r="K757"/>
      <c r="L757"/>
      <c r="M757"/>
      <c r="N757"/>
      <c r="O757"/>
      <c r="P757"/>
      <c r="Q757"/>
    </row>
    <row r="758" spans="4:17">
      <c r="D758"/>
      <c r="E758"/>
      <c r="F758"/>
      <c r="G758"/>
      <c r="H758"/>
      <c r="I758"/>
      <c r="J758"/>
      <c r="K758"/>
      <c r="L758"/>
      <c r="M758"/>
      <c r="N758"/>
      <c r="O758"/>
      <c r="P758"/>
      <c r="Q758"/>
    </row>
    <row r="759" spans="4:17">
      <c r="D759"/>
      <c r="E759"/>
      <c r="F759"/>
      <c r="G759"/>
      <c r="H759"/>
      <c r="I759"/>
      <c r="J759"/>
      <c r="K759"/>
      <c r="L759"/>
      <c r="M759"/>
      <c r="N759"/>
      <c r="O759"/>
      <c r="P759"/>
      <c r="Q759"/>
    </row>
    <row r="760" spans="4:17">
      <c r="D760"/>
      <c r="E760"/>
      <c r="F760"/>
      <c r="G760"/>
      <c r="H760"/>
      <c r="I760"/>
      <c r="J760"/>
      <c r="K760"/>
      <c r="L760"/>
      <c r="M760"/>
      <c r="N760"/>
      <c r="O760"/>
      <c r="P760"/>
      <c r="Q760"/>
    </row>
    <row r="761" spans="4:17">
      <c r="D761"/>
      <c r="E761"/>
      <c r="F761"/>
      <c r="G761"/>
      <c r="H761"/>
      <c r="I761"/>
      <c r="J761"/>
      <c r="K761"/>
      <c r="L761"/>
      <c r="M761"/>
      <c r="N761"/>
      <c r="O761"/>
      <c r="P761"/>
      <c r="Q761"/>
    </row>
    <row r="762" spans="4:17">
      <c r="D762"/>
      <c r="E762"/>
      <c r="F762"/>
      <c r="G762"/>
      <c r="H762"/>
      <c r="I762"/>
      <c r="J762"/>
      <c r="K762"/>
      <c r="L762"/>
      <c r="M762"/>
      <c r="N762"/>
      <c r="O762"/>
      <c r="P762"/>
      <c r="Q762"/>
    </row>
    <row r="763" spans="4:17">
      <c r="D763"/>
      <c r="E763"/>
      <c r="F763"/>
      <c r="G763"/>
      <c r="H763"/>
      <c r="I763"/>
      <c r="J763"/>
      <c r="K763"/>
      <c r="L763"/>
      <c r="M763"/>
      <c r="N763"/>
      <c r="O763"/>
      <c r="P763"/>
      <c r="Q763"/>
    </row>
    <row r="764" spans="4:17">
      <c r="D764"/>
      <c r="E764"/>
      <c r="F764"/>
      <c r="G764"/>
      <c r="H764"/>
      <c r="I764"/>
      <c r="J764"/>
      <c r="K764"/>
      <c r="L764"/>
      <c r="M764"/>
      <c r="N764"/>
      <c r="O764"/>
      <c r="P764"/>
      <c r="Q764"/>
    </row>
    <row r="765" spans="4:17">
      <c r="D765"/>
      <c r="E765"/>
      <c r="F765"/>
      <c r="G765"/>
      <c r="H765"/>
      <c r="I765"/>
      <c r="J765"/>
      <c r="K765"/>
      <c r="L765"/>
      <c r="M765"/>
      <c r="N765"/>
      <c r="O765"/>
      <c r="P765"/>
      <c r="Q765"/>
    </row>
    <row r="766" spans="4:17">
      <c r="D766"/>
      <c r="E766"/>
      <c r="F766"/>
      <c r="G766"/>
      <c r="H766"/>
      <c r="I766"/>
      <c r="J766"/>
      <c r="K766"/>
      <c r="L766"/>
      <c r="M766"/>
      <c r="N766"/>
      <c r="O766"/>
      <c r="P766"/>
      <c r="Q766"/>
    </row>
    <row r="767" spans="4:17">
      <c r="D767"/>
      <c r="E767"/>
      <c r="F767"/>
      <c r="G767"/>
      <c r="H767"/>
      <c r="I767"/>
      <c r="J767"/>
      <c r="K767"/>
      <c r="L767"/>
      <c r="M767"/>
      <c r="N767"/>
      <c r="O767"/>
      <c r="P767"/>
      <c r="Q767"/>
    </row>
    <row r="768" spans="4:17">
      <c r="D768"/>
      <c r="E768"/>
      <c r="F768"/>
      <c r="G768"/>
      <c r="H768"/>
      <c r="I768"/>
      <c r="J768"/>
      <c r="K768"/>
      <c r="L768"/>
      <c r="M768"/>
      <c r="N768"/>
      <c r="O768"/>
      <c r="P768"/>
      <c r="Q768"/>
    </row>
    <row r="769" spans="4:17">
      <c r="D769"/>
      <c r="E769"/>
      <c r="F769"/>
      <c r="G769"/>
      <c r="H769"/>
      <c r="I769"/>
      <c r="J769"/>
      <c r="K769"/>
      <c r="L769"/>
      <c r="M769"/>
      <c r="N769"/>
      <c r="O769"/>
      <c r="P769"/>
      <c r="Q769"/>
    </row>
    <row r="770" spans="4:17">
      <c r="D770"/>
      <c r="E770"/>
      <c r="F770"/>
      <c r="G770"/>
      <c r="H770"/>
      <c r="I770"/>
      <c r="J770"/>
      <c r="K770"/>
      <c r="L770"/>
      <c r="M770"/>
      <c r="N770"/>
      <c r="O770"/>
      <c r="P770"/>
      <c r="Q770"/>
    </row>
    <row r="771" spans="4:17">
      <c r="D771"/>
      <c r="E771"/>
      <c r="F771"/>
      <c r="G771"/>
      <c r="H771"/>
      <c r="I771"/>
      <c r="J771"/>
      <c r="K771"/>
      <c r="L771"/>
      <c r="M771"/>
      <c r="N771"/>
      <c r="O771"/>
      <c r="P771"/>
      <c r="Q771"/>
    </row>
    <row r="772" spans="4:17">
      <c r="D772"/>
      <c r="E772"/>
      <c r="F772"/>
      <c r="G772"/>
      <c r="H772"/>
      <c r="I772"/>
      <c r="J772"/>
      <c r="K772"/>
      <c r="L772"/>
      <c r="M772"/>
      <c r="N772"/>
      <c r="O772"/>
      <c r="P772"/>
      <c r="Q772"/>
    </row>
    <row r="773" spans="4:17">
      <c r="D773"/>
      <c r="E773"/>
      <c r="F773"/>
      <c r="G773"/>
      <c r="H773"/>
      <c r="I773"/>
      <c r="J773"/>
      <c r="K773"/>
      <c r="L773"/>
      <c r="M773"/>
      <c r="N773"/>
      <c r="O773"/>
      <c r="P773"/>
      <c r="Q773"/>
    </row>
    <row r="774" spans="4:17">
      <c r="D774"/>
      <c r="E774"/>
      <c r="F774"/>
      <c r="G774"/>
      <c r="H774"/>
      <c r="I774"/>
      <c r="J774"/>
      <c r="K774"/>
      <c r="L774"/>
      <c r="M774"/>
      <c r="N774"/>
      <c r="O774"/>
      <c r="P774"/>
      <c r="Q774"/>
    </row>
    <row r="775" spans="4:17">
      <c r="D775"/>
      <c r="E775"/>
      <c r="F775"/>
      <c r="G775"/>
      <c r="H775"/>
      <c r="I775"/>
      <c r="J775"/>
      <c r="K775"/>
      <c r="L775"/>
      <c r="M775"/>
      <c r="N775"/>
      <c r="O775"/>
      <c r="P775"/>
      <c r="Q775"/>
    </row>
    <row r="776" spans="4:17">
      <c r="D776"/>
      <c r="E776"/>
      <c r="F776"/>
      <c r="G776"/>
      <c r="H776"/>
      <c r="I776"/>
      <c r="J776"/>
      <c r="K776"/>
      <c r="L776"/>
      <c r="M776"/>
      <c r="N776"/>
      <c r="O776"/>
      <c r="P776"/>
      <c r="Q776"/>
    </row>
    <row r="777" spans="4:17">
      <c r="D777"/>
      <c r="E777"/>
      <c r="F777"/>
      <c r="G777"/>
      <c r="H777"/>
      <c r="I777"/>
      <c r="J777"/>
      <c r="K777"/>
      <c r="L777"/>
      <c r="M777"/>
      <c r="N777"/>
      <c r="O777"/>
      <c r="P777"/>
      <c r="Q777"/>
    </row>
    <row r="778" spans="4:17">
      <c r="D778"/>
      <c r="E778"/>
      <c r="F778"/>
      <c r="G778"/>
      <c r="H778"/>
      <c r="I778"/>
      <c r="J778"/>
      <c r="K778"/>
      <c r="L778"/>
      <c r="M778"/>
      <c r="N778"/>
      <c r="O778"/>
      <c r="P778"/>
      <c r="Q778"/>
    </row>
    <row r="779" spans="4:17">
      <c r="D779"/>
      <c r="E779"/>
      <c r="F779"/>
      <c r="G779"/>
      <c r="H779"/>
      <c r="I779"/>
      <c r="J779"/>
      <c r="K779"/>
      <c r="L779"/>
      <c r="M779"/>
      <c r="N779"/>
      <c r="O779"/>
      <c r="P779"/>
      <c r="Q779"/>
    </row>
    <row r="780" spans="4:17">
      <c r="D780"/>
      <c r="E780"/>
      <c r="F780"/>
      <c r="G780"/>
      <c r="H780"/>
      <c r="I780"/>
      <c r="J780"/>
      <c r="K780"/>
      <c r="L780"/>
      <c r="M780"/>
      <c r="N780"/>
      <c r="O780"/>
      <c r="P780"/>
      <c r="Q780"/>
    </row>
    <row r="781" spans="4:17">
      <c r="D781"/>
      <c r="E781"/>
      <c r="F781"/>
      <c r="G781"/>
      <c r="H781"/>
      <c r="I781"/>
      <c r="J781"/>
      <c r="K781"/>
      <c r="L781"/>
      <c r="M781"/>
      <c r="N781"/>
      <c r="O781"/>
      <c r="P781"/>
      <c r="Q781"/>
    </row>
    <row r="782" spans="4:17">
      <c r="D782"/>
      <c r="E782"/>
      <c r="F782"/>
      <c r="G782"/>
      <c r="H782"/>
      <c r="I782"/>
      <c r="J782"/>
      <c r="K782"/>
      <c r="L782"/>
      <c r="M782"/>
      <c r="N782"/>
      <c r="O782"/>
      <c r="P782"/>
      <c r="Q782"/>
    </row>
    <row r="783" spans="4:17">
      <c r="D783"/>
      <c r="E783"/>
      <c r="F783"/>
      <c r="G783"/>
      <c r="H783"/>
      <c r="I783"/>
      <c r="J783"/>
      <c r="K783"/>
      <c r="L783"/>
      <c r="M783"/>
      <c r="N783"/>
      <c r="O783"/>
      <c r="P783"/>
      <c r="Q783"/>
    </row>
    <row r="784" spans="4:17">
      <c r="D784"/>
      <c r="E784"/>
      <c r="F784"/>
      <c r="G784"/>
      <c r="H784"/>
      <c r="I784"/>
      <c r="J784"/>
      <c r="K784"/>
      <c r="L784"/>
      <c r="M784"/>
      <c r="N784"/>
      <c r="O784"/>
      <c r="P784"/>
      <c r="Q784"/>
    </row>
    <row r="785" spans="4:17">
      <c r="D785"/>
      <c r="E785"/>
      <c r="F785"/>
      <c r="G785"/>
      <c r="H785"/>
      <c r="I785"/>
      <c r="J785"/>
      <c r="K785"/>
      <c r="L785"/>
      <c r="M785"/>
      <c r="N785"/>
      <c r="O785"/>
      <c r="P785"/>
      <c r="Q785"/>
    </row>
    <row r="786" spans="4:17">
      <c r="D786"/>
      <c r="E786"/>
      <c r="F786"/>
      <c r="G786"/>
      <c r="H786"/>
      <c r="I786"/>
      <c r="J786"/>
      <c r="K786"/>
      <c r="L786"/>
      <c r="M786"/>
      <c r="N786"/>
      <c r="O786"/>
      <c r="P786"/>
      <c r="Q786"/>
    </row>
    <row r="787" spans="4:17">
      <c r="D787"/>
      <c r="E787"/>
      <c r="F787"/>
      <c r="G787"/>
      <c r="H787"/>
      <c r="I787"/>
      <c r="J787"/>
      <c r="K787"/>
      <c r="L787"/>
      <c r="M787"/>
      <c r="N787"/>
      <c r="O787"/>
      <c r="P787"/>
      <c r="Q787"/>
    </row>
    <row r="788" spans="4:17">
      <c r="D788"/>
      <c r="E788"/>
      <c r="F788"/>
      <c r="G788"/>
      <c r="H788"/>
      <c r="I788"/>
      <c r="J788"/>
      <c r="K788"/>
      <c r="L788"/>
      <c r="M788"/>
      <c r="N788"/>
      <c r="O788"/>
      <c r="P788"/>
      <c r="Q788"/>
    </row>
    <row r="789" spans="4:17">
      <c r="D789"/>
      <c r="E789"/>
      <c r="F789"/>
      <c r="G789"/>
      <c r="H789"/>
      <c r="I789"/>
      <c r="J789"/>
      <c r="K789"/>
      <c r="L789"/>
      <c r="M789"/>
      <c r="N789"/>
      <c r="O789"/>
      <c r="P789"/>
      <c r="Q789"/>
    </row>
    <row r="790" spans="4:17">
      <c r="D790"/>
      <c r="E790"/>
      <c r="F790"/>
      <c r="G790"/>
      <c r="H790"/>
      <c r="I790"/>
      <c r="J790"/>
      <c r="K790"/>
      <c r="L790"/>
      <c r="M790"/>
      <c r="N790"/>
      <c r="O790"/>
      <c r="P790"/>
      <c r="Q790"/>
    </row>
    <row r="791" spans="4:17">
      <c r="D791"/>
      <c r="E791"/>
      <c r="F791"/>
      <c r="G791"/>
      <c r="H791"/>
      <c r="I791"/>
      <c r="J791"/>
      <c r="K791"/>
      <c r="L791"/>
      <c r="M791"/>
      <c r="N791"/>
      <c r="O791"/>
      <c r="P791"/>
      <c r="Q791"/>
    </row>
    <row r="792" spans="4:17">
      <c r="D792"/>
      <c r="E792"/>
      <c r="F792"/>
      <c r="G792"/>
      <c r="H792"/>
      <c r="I792"/>
      <c r="J792"/>
      <c r="K792"/>
      <c r="L792"/>
      <c r="M792"/>
      <c r="N792"/>
      <c r="O792"/>
      <c r="P792"/>
      <c r="Q792"/>
    </row>
    <row r="793" spans="4:17">
      <c r="D793"/>
      <c r="E793"/>
      <c r="F793"/>
      <c r="G793"/>
      <c r="H793"/>
      <c r="I793"/>
      <c r="J793"/>
      <c r="K793"/>
      <c r="L793"/>
      <c r="M793"/>
      <c r="N793"/>
      <c r="O793"/>
      <c r="P793"/>
      <c r="Q793"/>
    </row>
    <row r="794" spans="4:17">
      <c r="D794"/>
      <c r="E794"/>
      <c r="F794"/>
      <c r="G794"/>
      <c r="H794"/>
      <c r="I794"/>
      <c r="J794"/>
      <c r="K794"/>
      <c r="L794"/>
      <c r="M794"/>
      <c r="N794"/>
      <c r="O794"/>
      <c r="P794"/>
      <c r="Q794"/>
    </row>
    <row r="795" spans="4:17">
      <c r="D795"/>
      <c r="E795"/>
      <c r="F795"/>
      <c r="G795"/>
      <c r="H795"/>
      <c r="I795"/>
      <c r="J795"/>
      <c r="K795"/>
      <c r="L795"/>
      <c r="M795"/>
      <c r="N795"/>
      <c r="O795"/>
      <c r="P795"/>
      <c r="Q795"/>
    </row>
    <row r="796" spans="4:17">
      <c r="D796"/>
      <c r="E796"/>
      <c r="F796"/>
      <c r="G796"/>
      <c r="H796"/>
      <c r="I796"/>
      <c r="J796"/>
      <c r="K796"/>
      <c r="L796"/>
      <c r="M796"/>
      <c r="N796"/>
      <c r="O796"/>
      <c r="P796"/>
      <c r="Q796"/>
    </row>
    <row r="797" spans="4:17">
      <c r="D797"/>
      <c r="E797"/>
      <c r="F797"/>
      <c r="G797"/>
      <c r="H797"/>
      <c r="I797"/>
      <c r="J797"/>
      <c r="K797"/>
      <c r="L797"/>
      <c r="M797"/>
      <c r="N797"/>
      <c r="O797"/>
      <c r="P797"/>
      <c r="Q797"/>
    </row>
    <row r="798" spans="4:17">
      <c r="D798"/>
      <c r="E798"/>
      <c r="F798"/>
      <c r="G798"/>
      <c r="H798"/>
      <c r="I798"/>
      <c r="J798"/>
      <c r="K798"/>
      <c r="L798"/>
      <c r="M798"/>
      <c r="N798"/>
      <c r="O798"/>
      <c r="P798"/>
      <c r="Q798"/>
    </row>
    <row r="799" spans="4:17">
      <c r="D799"/>
      <c r="E799"/>
      <c r="F799"/>
      <c r="G799"/>
      <c r="H799"/>
      <c r="I799"/>
      <c r="J799"/>
      <c r="K799"/>
      <c r="L799"/>
      <c r="M799"/>
      <c r="N799"/>
      <c r="O799"/>
      <c r="P799"/>
      <c r="Q799"/>
    </row>
    <row r="800" spans="4:17">
      <c r="D800"/>
      <c r="E800"/>
      <c r="F800"/>
      <c r="G800"/>
      <c r="H800"/>
      <c r="I800"/>
      <c r="J800"/>
      <c r="K800"/>
      <c r="L800"/>
      <c r="M800"/>
      <c r="N800"/>
      <c r="O800"/>
      <c r="P800"/>
      <c r="Q800"/>
    </row>
    <row r="801" spans="4:17">
      <c r="D801"/>
      <c r="E801"/>
      <c r="F801"/>
      <c r="G801"/>
      <c r="H801"/>
      <c r="I801"/>
      <c r="J801"/>
      <c r="K801"/>
      <c r="L801"/>
      <c r="M801"/>
      <c r="N801"/>
      <c r="O801"/>
      <c r="P801"/>
      <c r="Q801"/>
    </row>
    <row r="802" spans="4:17">
      <c r="D802"/>
      <c r="E802"/>
      <c r="F802"/>
      <c r="G802"/>
      <c r="H802"/>
      <c r="I802"/>
      <c r="J802"/>
      <c r="K802"/>
      <c r="L802"/>
      <c r="M802"/>
      <c r="N802"/>
      <c r="O802"/>
      <c r="P802"/>
      <c r="Q802"/>
    </row>
    <row r="803" spans="4:17">
      <c r="D803"/>
      <c r="E803"/>
      <c r="F803"/>
      <c r="G803"/>
      <c r="H803"/>
      <c r="I803"/>
      <c r="J803"/>
      <c r="K803"/>
      <c r="L803"/>
      <c r="M803"/>
      <c r="N803"/>
      <c r="O803"/>
      <c r="P803"/>
      <c r="Q803"/>
    </row>
    <row r="804" spans="4:17">
      <c r="D804"/>
      <c r="E804"/>
      <c r="F804"/>
      <c r="G804"/>
      <c r="H804"/>
      <c r="I804"/>
      <c r="J804"/>
      <c r="K804"/>
      <c r="L804"/>
      <c r="M804"/>
      <c r="N804"/>
      <c r="O804"/>
      <c r="P804"/>
      <c r="Q804"/>
    </row>
    <row r="805" spans="4:17">
      <c r="D805"/>
      <c r="E805"/>
      <c r="F805"/>
      <c r="G805"/>
      <c r="H805"/>
      <c r="I805"/>
      <c r="J805"/>
      <c r="K805"/>
      <c r="L805"/>
      <c r="M805"/>
      <c r="N805"/>
      <c r="O805"/>
      <c r="P805"/>
      <c r="Q805"/>
    </row>
    <row r="806" spans="4:17">
      <c r="D806"/>
      <c r="E806"/>
      <c r="F806"/>
      <c r="G806"/>
      <c r="H806"/>
      <c r="I806"/>
      <c r="J806"/>
      <c r="K806"/>
      <c r="L806"/>
      <c r="M806"/>
      <c r="N806"/>
      <c r="O806"/>
      <c r="P806"/>
      <c r="Q806"/>
    </row>
    <row r="807" spans="4:17">
      <c r="D807"/>
      <c r="E807"/>
      <c r="F807"/>
      <c r="G807"/>
      <c r="H807"/>
      <c r="I807"/>
      <c r="J807"/>
      <c r="K807"/>
      <c r="L807"/>
      <c r="M807"/>
      <c r="N807"/>
      <c r="O807"/>
      <c r="P807"/>
      <c r="Q807"/>
    </row>
    <row r="808" spans="4:17">
      <c r="D808"/>
      <c r="E808"/>
      <c r="F808"/>
      <c r="G808"/>
      <c r="H808"/>
      <c r="I808"/>
      <c r="J808"/>
      <c r="K808"/>
      <c r="L808"/>
      <c r="M808"/>
      <c r="N808"/>
      <c r="O808"/>
      <c r="P808"/>
      <c r="Q808"/>
    </row>
    <row r="809" spans="4:17">
      <c r="D809"/>
      <c r="E809"/>
      <c r="F809"/>
      <c r="G809"/>
      <c r="H809"/>
      <c r="I809"/>
      <c r="J809"/>
      <c r="K809"/>
      <c r="L809"/>
      <c r="M809"/>
      <c r="N809"/>
      <c r="O809"/>
      <c r="P809"/>
      <c r="Q809"/>
    </row>
    <row r="810" spans="4:17">
      <c r="D810"/>
      <c r="E810"/>
      <c r="F810"/>
      <c r="G810"/>
      <c r="H810"/>
      <c r="I810"/>
      <c r="J810"/>
      <c r="K810"/>
      <c r="L810"/>
      <c r="M810"/>
      <c r="N810"/>
      <c r="O810"/>
      <c r="P810"/>
      <c r="Q810"/>
    </row>
    <row r="811" spans="4:17">
      <c r="D811"/>
      <c r="E811"/>
      <c r="F811"/>
      <c r="G811"/>
      <c r="H811"/>
      <c r="I811"/>
      <c r="J811"/>
      <c r="K811"/>
      <c r="L811"/>
      <c r="M811"/>
      <c r="N811"/>
      <c r="O811"/>
      <c r="P811"/>
      <c r="Q811"/>
    </row>
    <row r="812" spans="4:17">
      <c r="D812"/>
      <c r="E812"/>
      <c r="F812"/>
      <c r="G812"/>
      <c r="H812"/>
      <c r="I812"/>
      <c r="J812"/>
      <c r="K812"/>
      <c r="L812"/>
      <c r="M812"/>
      <c r="N812"/>
      <c r="O812"/>
      <c r="P812"/>
      <c r="Q812"/>
    </row>
    <row r="813" spans="4:17">
      <c r="D813"/>
      <c r="E813"/>
      <c r="F813"/>
      <c r="G813"/>
      <c r="H813"/>
      <c r="I813"/>
      <c r="J813"/>
      <c r="K813"/>
      <c r="L813"/>
      <c r="M813"/>
      <c r="N813"/>
      <c r="O813"/>
      <c r="P813"/>
      <c r="Q813"/>
    </row>
    <row r="814" spans="4:17">
      <c r="D814"/>
      <c r="E814"/>
      <c r="F814"/>
      <c r="G814"/>
      <c r="H814"/>
      <c r="I814"/>
      <c r="J814"/>
      <c r="K814"/>
      <c r="L814"/>
      <c r="M814"/>
      <c r="N814"/>
      <c r="O814"/>
      <c r="P814"/>
      <c r="Q814"/>
    </row>
    <row r="815" spans="4:17">
      <c r="D815"/>
      <c r="E815"/>
      <c r="F815"/>
      <c r="G815"/>
      <c r="H815"/>
      <c r="I815"/>
      <c r="J815"/>
      <c r="K815"/>
      <c r="L815"/>
      <c r="M815"/>
      <c r="N815"/>
      <c r="O815"/>
      <c r="P815"/>
      <c r="Q815"/>
    </row>
    <row r="816" spans="4:17">
      <c r="D816"/>
      <c r="E816"/>
      <c r="F816"/>
      <c r="G816"/>
      <c r="H816"/>
      <c r="I816"/>
      <c r="J816"/>
      <c r="K816"/>
      <c r="L816"/>
      <c r="M816"/>
      <c r="N816"/>
      <c r="O816"/>
      <c r="P816"/>
      <c r="Q816"/>
    </row>
    <row r="817" spans="4:17">
      <c r="D817"/>
      <c r="E817"/>
      <c r="F817"/>
      <c r="G817"/>
      <c r="H817"/>
      <c r="I817"/>
      <c r="J817"/>
      <c r="K817"/>
      <c r="L817"/>
      <c r="M817"/>
      <c r="N817"/>
      <c r="O817"/>
      <c r="P817"/>
      <c r="Q817"/>
    </row>
    <row r="818" spans="4:17">
      <c r="D818"/>
      <c r="E818"/>
      <c r="F818"/>
      <c r="G818"/>
      <c r="H818"/>
      <c r="I818"/>
      <c r="J818"/>
      <c r="K818"/>
      <c r="L818"/>
      <c r="M818"/>
      <c r="N818"/>
      <c r="O818"/>
      <c r="P818"/>
      <c r="Q818"/>
    </row>
    <row r="819" spans="4:17">
      <c r="D819"/>
      <c r="E819"/>
      <c r="F819"/>
      <c r="G819"/>
      <c r="H819"/>
      <c r="I819"/>
      <c r="J819"/>
      <c r="K819"/>
      <c r="L819"/>
      <c r="M819"/>
      <c r="N819"/>
      <c r="O819"/>
      <c r="P819"/>
      <c r="Q819"/>
    </row>
    <row r="820" spans="4:17">
      <c r="D820"/>
      <c r="E820"/>
      <c r="F820"/>
      <c r="G820"/>
      <c r="H820"/>
      <c r="I820"/>
      <c r="J820"/>
      <c r="K820"/>
      <c r="L820"/>
      <c r="M820"/>
      <c r="N820"/>
      <c r="O820"/>
      <c r="P820"/>
      <c r="Q820"/>
    </row>
    <row r="821" spans="4:17">
      <c r="D821"/>
      <c r="E821"/>
      <c r="F821"/>
      <c r="G821"/>
      <c r="H821"/>
      <c r="I821"/>
      <c r="J821"/>
      <c r="K821"/>
      <c r="L821"/>
      <c r="M821"/>
      <c r="N821"/>
      <c r="O821"/>
      <c r="P821"/>
      <c r="Q821"/>
    </row>
    <row r="822" spans="4:17">
      <c r="D822"/>
      <c r="E822"/>
      <c r="F822"/>
      <c r="G822"/>
      <c r="H822"/>
      <c r="I822"/>
      <c r="J822"/>
      <c r="K822"/>
      <c r="L822"/>
      <c r="M822"/>
      <c r="N822"/>
      <c r="O822"/>
      <c r="P822"/>
      <c r="Q822"/>
    </row>
    <row r="823" spans="4:17">
      <c r="D823"/>
      <c r="E823"/>
      <c r="F823"/>
      <c r="G823"/>
      <c r="H823"/>
      <c r="I823"/>
      <c r="J823"/>
      <c r="K823"/>
      <c r="L823"/>
      <c r="M823"/>
      <c r="N823"/>
      <c r="O823"/>
      <c r="P823"/>
      <c r="Q823"/>
    </row>
    <row r="824" spans="4:17">
      <c r="D824"/>
      <c r="E824"/>
      <c r="F824"/>
      <c r="G824"/>
      <c r="H824"/>
      <c r="I824"/>
      <c r="J824"/>
      <c r="K824"/>
      <c r="L824"/>
      <c r="M824"/>
      <c r="N824"/>
      <c r="O824"/>
      <c r="P824"/>
      <c r="Q824"/>
    </row>
    <row r="825" spans="4:17">
      <c r="D825"/>
      <c r="E825"/>
      <c r="F825"/>
      <c r="G825"/>
      <c r="H825"/>
      <c r="I825"/>
      <c r="J825"/>
      <c r="K825"/>
      <c r="L825"/>
      <c r="M825"/>
      <c r="N825"/>
      <c r="O825"/>
      <c r="P825"/>
      <c r="Q825"/>
    </row>
    <row r="826" spans="4:17">
      <c r="D826"/>
      <c r="E826"/>
      <c r="F826"/>
      <c r="G826"/>
      <c r="H826"/>
      <c r="I826"/>
      <c r="J826"/>
      <c r="K826"/>
      <c r="L826"/>
      <c r="M826"/>
      <c r="N826"/>
      <c r="O826"/>
      <c r="P826"/>
      <c r="Q826"/>
    </row>
    <row r="827" spans="4:17">
      <c r="D827"/>
      <c r="E827"/>
      <c r="F827"/>
      <c r="G827"/>
      <c r="H827"/>
      <c r="I827"/>
      <c r="J827"/>
      <c r="K827"/>
      <c r="L827"/>
      <c r="M827"/>
      <c r="N827"/>
      <c r="O827"/>
      <c r="P827"/>
      <c r="Q827"/>
    </row>
    <row r="828" spans="4:17">
      <c r="D828"/>
      <c r="E828"/>
      <c r="F828"/>
      <c r="G828"/>
      <c r="H828"/>
      <c r="I828"/>
      <c r="J828"/>
      <c r="K828"/>
      <c r="L828"/>
      <c r="M828"/>
      <c r="N828"/>
      <c r="O828"/>
      <c r="P828"/>
      <c r="Q828"/>
    </row>
    <row r="829" spans="4:17">
      <c r="D829"/>
      <c r="E829"/>
      <c r="F829"/>
      <c r="G829"/>
      <c r="H829"/>
      <c r="I829"/>
      <c r="J829"/>
      <c r="K829"/>
      <c r="L829"/>
      <c r="M829"/>
      <c r="N829"/>
      <c r="O829"/>
      <c r="P829"/>
      <c r="Q829"/>
    </row>
    <row r="830" spans="4:17">
      <c r="D830"/>
      <c r="E830"/>
      <c r="F830"/>
      <c r="G830"/>
      <c r="H830"/>
      <c r="I830"/>
      <c r="J830"/>
      <c r="K830"/>
      <c r="L830"/>
      <c r="M830"/>
      <c r="N830"/>
      <c r="O830"/>
      <c r="P830"/>
      <c r="Q830"/>
    </row>
    <row r="831" spans="4:17">
      <c r="D831"/>
      <c r="E831"/>
      <c r="F831"/>
      <c r="G831"/>
      <c r="H831"/>
      <c r="I831"/>
      <c r="J831"/>
      <c r="K831"/>
      <c r="L831"/>
      <c r="M831"/>
      <c r="N831"/>
      <c r="O831"/>
      <c r="P831"/>
      <c r="Q831"/>
    </row>
    <row r="832" spans="4:17">
      <c r="D832"/>
      <c r="E832"/>
      <c r="F832"/>
      <c r="G832"/>
      <c r="H832"/>
      <c r="I832"/>
      <c r="J832"/>
      <c r="K832"/>
      <c r="L832"/>
      <c r="M832"/>
      <c r="N832"/>
      <c r="O832"/>
      <c r="P832"/>
      <c r="Q832"/>
    </row>
    <row r="833" spans="4:17">
      <c r="D833"/>
      <c r="E833"/>
      <c r="F833"/>
      <c r="G833"/>
      <c r="H833"/>
      <c r="I833"/>
      <c r="J833"/>
      <c r="K833"/>
      <c r="L833"/>
      <c r="M833"/>
      <c r="N833"/>
      <c r="O833"/>
      <c r="P833"/>
      <c r="Q833"/>
    </row>
    <row r="834" spans="4:17">
      <c r="D834"/>
      <c r="E834"/>
      <c r="F834"/>
      <c r="G834"/>
      <c r="H834"/>
      <c r="I834"/>
      <c r="J834"/>
      <c r="K834"/>
      <c r="L834"/>
      <c r="M834"/>
      <c r="N834"/>
      <c r="O834"/>
      <c r="P834"/>
      <c r="Q834"/>
    </row>
    <row r="835" spans="4:17">
      <c r="D835"/>
      <c r="E835"/>
      <c r="F835"/>
      <c r="G835"/>
      <c r="H835"/>
      <c r="I835"/>
      <c r="J835"/>
      <c r="K835"/>
      <c r="L835"/>
      <c r="M835"/>
      <c r="N835"/>
      <c r="O835"/>
      <c r="P835"/>
      <c r="Q835"/>
    </row>
    <row r="836" spans="4:17">
      <c r="D836"/>
      <c r="E836"/>
      <c r="F836"/>
      <c r="G836"/>
      <c r="H836"/>
      <c r="I836"/>
      <c r="J836"/>
      <c r="K836"/>
      <c r="L836"/>
      <c r="M836"/>
      <c r="N836"/>
      <c r="O836"/>
      <c r="P836"/>
      <c r="Q836"/>
    </row>
    <row r="837" spans="4:17">
      <c r="D837"/>
      <c r="E837"/>
      <c r="F837"/>
      <c r="G837"/>
      <c r="H837"/>
      <c r="I837"/>
      <c r="J837"/>
      <c r="K837"/>
      <c r="L837"/>
      <c r="M837"/>
      <c r="N837"/>
      <c r="O837"/>
      <c r="P837"/>
      <c r="Q837"/>
    </row>
    <row r="838" spans="4:17">
      <c r="D838"/>
      <c r="E838"/>
      <c r="F838"/>
      <c r="G838"/>
      <c r="H838"/>
      <c r="I838"/>
      <c r="J838"/>
      <c r="K838"/>
      <c r="L838"/>
      <c r="M838"/>
      <c r="N838"/>
      <c r="O838"/>
      <c r="P838"/>
      <c r="Q838"/>
    </row>
    <row r="839" spans="4:17">
      <c r="D839"/>
      <c r="E839"/>
      <c r="F839"/>
      <c r="G839"/>
      <c r="H839"/>
      <c r="I839"/>
      <c r="J839"/>
      <c r="K839"/>
      <c r="L839"/>
      <c r="M839"/>
      <c r="N839"/>
      <c r="O839"/>
      <c r="P839"/>
      <c r="Q839"/>
    </row>
    <row r="840" spans="4:17">
      <c r="D840"/>
      <c r="E840"/>
      <c r="F840"/>
      <c r="G840"/>
      <c r="H840"/>
      <c r="I840"/>
      <c r="J840"/>
      <c r="K840"/>
      <c r="L840"/>
      <c r="M840"/>
      <c r="N840"/>
      <c r="O840"/>
      <c r="P840"/>
      <c r="Q840"/>
    </row>
    <row r="841" spans="4:17">
      <c r="D841"/>
      <c r="E841"/>
      <c r="F841"/>
      <c r="G841"/>
      <c r="H841"/>
      <c r="I841"/>
      <c r="J841"/>
      <c r="K841"/>
      <c r="L841"/>
      <c r="M841"/>
      <c r="N841"/>
      <c r="O841"/>
      <c r="P841"/>
      <c r="Q841"/>
    </row>
    <row r="842" spans="4:17">
      <c r="D842"/>
      <c r="E842"/>
      <c r="F842"/>
      <c r="G842"/>
      <c r="H842"/>
      <c r="I842"/>
      <c r="J842"/>
      <c r="K842"/>
      <c r="L842"/>
      <c r="M842"/>
      <c r="N842"/>
      <c r="O842"/>
      <c r="P842"/>
      <c r="Q842"/>
    </row>
    <row r="843" spans="4:17">
      <c r="D843"/>
      <c r="E843"/>
      <c r="F843"/>
      <c r="G843"/>
      <c r="H843"/>
      <c r="I843"/>
      <c r="J843"/>
      <c r="K843"/>
      <c r="L843"/>
      <c r="M843"/>
      <c r="N843"/>
      <c r="O843"/>
      <c r="P843"/>
      <c r="Q843"/>
    </row>
    <row r="844" spans="4:17">
      <c r="D844"/>
      <c r="E844"/>
      <c r="F844"/>
      <c r="G844"/>
      <c r="H844"/>
      <c r="I844"/>
      <c r="J844"/>
      <c r="K844"/>
      <c r="L844"/>
      <c r="M844"/>
      <c r="N844"/>
      <c r="O844"/>
      <c r="P844"/>
      <c r="Q844"/>
    </row>
    <row r="845" spans="4:17">
      <c r="D845"/>
      <c r="E845"/>
      <c r="F845"/>
      <c r="G845"/>
      <c r="H845"/>
      <c r="I845"/>
      <c r="J845"/>
      <c r="K845"/>
      <c r="L845"/>
      <c r="M845"/>
      <c r="N845"/>
      <c r="O845"/>
      <c r="P845"/>
      <c r="Q845"/>
    </row>
    <row r="846" spans="4:17">
      <c r="D846"/>
      <c r="E846"/>
      <c r="F846"/>
      <c r="G846"/>
      <c r="H846"/>
      <c r="I846"/>
      <c r="J846"/>
      <c r="K846"/>
      <c r="L846"/>
      <c r="M846"/>
      <c r="N846"/>
      <c r="O846"/>
      <c r="P846"/>
      <c r="Q846"/>
    </row>
    <row r="847" spans="4:17">
      <c r="D847"/>
      <c r="E847"/>
      <c r="F847"/>
      <c r="G847"/>
      <c r="H847"/>
      <c r="I847"/>
      <c r="J847"/>
      <c r="K847"/>
      <c r="L847"/>
      <c r="M847"/>
      <c r="N847"/>
      <c r="O847"/>
      <c r="P847"/>
      <c r="Q847"/>
    </row>
    <row r="848" spans="4:17">
      <c r="D848"/>
      <c r="E848"/>
      <c r="F848"/>
      <c r="G848"/>
      <c r="H848"/>
      <c r="I848"/>
      <c r="J848"/>
      <c r="K848"/>
      <c r="L848"/>
      <c r="M848"/>
      <c r="N848"/>
      <c r="O848"/>
      <c r="P848"/>
      <c r="Q848"/>
    </row>
    <row r="849" spans="4:17">
      <c r="D849"/>
      <c r="E849"/>
      <c r="F849"/>
      <c r="G849"/>
      <c r="H849"/>
      <c r="I849"/>
      <c r="J849"/>
      <c r="K849"/>
      <c r="L849"/>
      <c r="M849"/>
      <c r="N849"/>
      <c r="O849"/>
      <c r="P849"/>
      <c r="Q849"/>
    </row>
    <row r="850" spans="4:17">
      <c r="D850"/>
      <c r="E850"/>
      <c r="F850"/>
      <c r="G850"/>
      <c r="H850"/>
      <c r="I850"/>
      <c r="J850"/>
      <c r="K850"/>
      <c r="L850"/>
      <c r="M850"/>
      <c r="N850"/>
      <c r="O850"/>
      <c r="P850"/>
      <c r="Q850"/>
    </row>
    <row r="851" spans="4:17">
      <c r="D851"/>
      <c r="E851"/>
      <c r="F851"/>
      <c r="G851"/>
      <c r="H851"/>
      <c r="I851"/>
      <c r="J851"/>
      <c r="K851"/>
      <c r="L851"/>
      <c r="M851"/>
      <c r="N851"/>
      <c r="O851"/>
      <c r="P851"/>
      <c r="Q851"/>
    </row>
    <row r="852" spans="4:17">
      <c r="D852"/>
      <c r="E852"/>
      <c r="F852"/>
      <c r="G852"/>
      <c r="H852"/>
      <c r="I852"/>
      <c r="J852"/>
      <c r="K852"/>
      <c r="L852"/>
      <c r="M852"/>
      <c r="N852"/>
      <c r="O852"/>
      <c r="P852"/>
      <c r="Q852"/>
    </row>
    <row r="853" spans="4:17">
      <c r="D853"/>
      <c r="E853"/>
      <c r="F853"/>
      <c r="G853"/>
      <c r="H853"/>
      <c r="I853"/>
      <c r="J853"/>
      <c r="K853"/>
      <c r="L853"/>
      <c r="M853"/>
      <c r="N853"/>
      <c r="O853"/>
      <c r="P853"/>
      <c r="Q853"/>
    </row>
    <row r="854" spans="4:17">
      <c r="D854"/>
      <c r="E854"/>
      <c r="F854"/>
      <c r="G854"/>
      <c r="H854"/>
      <c r="I854"/>
      <c r="J854"/>
      <c r="K854"/>
      <c r="L854"/>
      <c r="M854"/>
      <c r="N854"/>
      <c r="O854"/>
      <c r="P854"/>
      <c r="Q854"/>
    </row>
    <row r="855" spans="4:17">
      <c r="D855"/>
      <c r="E855"/>
      <c r="F855"/>
      <c r="G855"/>
      <c r="H855"/>
      <c r="I855"/>
      <c r="J855"/>
      <c r="K855"/>
      <c r="L855"/>
      <c r="M855"/>
      <c r="N855"/>
      <c r="O855"/>
      <c r="P855"/>
      <c r="Q855"/>
    </row>
    <row r="856" spans="4:17">
      <c r="D856"/>
      <c r="E856"/>
      <c r="F856"/>
      <c r="G856"/>
      <c r="H856"/>
      <c r="I856"/>
      <c r="J856"/>
      <c r="K856"/>
      <c r="L856"/>
      <c r="M856"/>
      <c r="N856"/>
      <c r="O856"/>
      <c r="P856"/>
      <c r="Q856"/>
    </row>
    <row r="857" spans="4:17">
      <c r="D857"/>
      <c r="E857"/>
      <c r="F857"/>
      <c r="G857"/>
      <c r="H857"/>
      <c r="I857"/>
      <c r="J857"/>
      <c r="K857"/>
      <c r="L857"/>
      <c r="M857"/>
      <c r="N857"/>
      <c r="O857"/>
      <c r="P857"/>
      <c r="Q857"/>
    </row>
    <row r="858" spans="4:17">
      <c r="D858"/>
      <c r="E858"/>
      <c r="F858"/>
      <c r="G858"/>
      <c r="H858"/>
      <c r="I858"/>
      <c r="J858"/>
      <c r="K858"/>
      <c r="L858"/>
      <c r="M858"/>
      <c r="N858"/>
      <c r="O858"/>
      <c r="P858"/>
      <c r="Q858"/>
    </row>
    <row r="859" spans="4:17">
      <c r="D859"/>
      <c r="E859"/>
      <c r="F859"/>
      <c r="G859"/>
      <c r="H859"/>
      <c r="I859"/>
      <c r="J859"/>
      <c r="K859"/>
      <c r="L859"/>
      <c r="M859"/>
      <c r="N859"/>
      <c r="O859"/>
      <c r="P859"/>
      <c r="Q859"/>
    </row>
    <row r="860" spans="4:17">
      <c r="D860"/>
      <c r="E860"/>
      <c r="F860"/>
      <c r="G860"/>
      <c r="H860"/>
      <c r="I860"/>
      <c r="J860"/>
      <c r="K860"/>
      <c r="L860"/>
      <c r="M860"/>
      <c r="N860"/>
      <c r="O860"/>
      <c r="P860"/>
      <c r="Q860"/>
    </row>
    <row r="861" spans="4:17">
      <c r="D861"/>
      <c r="E861"/>
      <c r="F861"/>
      <c r="G861"/>
      <c r="H861"/>
      <c r="I861"/>
      <c r="J861"/>
      <c r="K861"/>
      <c r="L861"/>
      <c r="M861"/>
      <c r="N861"/>
      <c r="O861"/>
      <c r="P861"/>
      <c r="Q861"/>
    </row>
    <row r="862" spans="4:17">
      <c r="D862"/>
      <c r="E862"/>
      <c r="F862"/>
      <c r="G862"/>
      <c r="H862"/>
      <c r="I862"/>
      <c r="J862"/>
      <c r="K862"/>
      <c r="L862"/>
      <c r="M862"/>
      <c r="N862"/>
      <c r="O862"/>
      <c r="P862"/>
      <c r="Q862"/>
    </row>
    <row r="863" spans="4:17">
      <c r="D863"/>
      <c r="E863"/>
      <c r="F863"/>
      <c r="G863"/>
      <c r="H863"/>
      <c r="I863"/>
      <c r="J863"/>
      <c r="K863"/>
      <c r="L863"/>
      <c r="M863"/>
      <c r="N863"/>
      <c r="O863"/>
      <c r="P863"/>
      <c r="Q863"/>
    </row>
    <row r="864" spans="4:17">
      <c r="D864"/>
      <c r="E864"/>
      <c r="F864"/>
      <c r="G864"/>
      <c r="H864"/>
      <c r="I864"/>
      <c r="J864"/>
      <c r="K864"/>
      <c r="L864"/>
      <c r="M864"/>
      <c r="N864"/>
      <c r="O864"/>
      <c r="P864"/>
      <c r="Q864"/>
    </row>
    <row r="865" spans="4:17">
      <c r="D865"/>
      <c r="E865"/>
      <c r="F865"/>
      <c r="G865"/>
      <c r="H865"/>
      <c r="I865"/>
      <c r="J865"/>
      <c r="K865"/>
      <c r="L865"/>
      <c r="M865"/>
      <c r="N865"/>
      <c r="O865"/>
      <c r="P865"/>
      <c r="Q865"/>
    </row>
    <row r="866" spans="4:17">
      <c r="D866"/>
      <c r="E866"/>
      <c r="F866"/>
      <c r="G866"/>
      <c r="H866"/>
      <c r="I866"/>
      <c r="J866"/>
      <c r="K866"/>
      <c r="L866"/>
      <c r="M866"/>
      <c r="N866"/>
      <c r="O866"/>
      <c r="P866"/>
      <c r="Q866"/>
    </row>
    <row r="867" spans="4:17">
      <c r="D867"/>
      <c r="E867"/>
      <c r="F867"/>
      <c r="G867"/>
      <c r="H867"/>
      <c r="I867"/>
      <c r="J867"/>
      <c r="K867"/>
      <c r="L867"/>
      <c r="M867"/>
      <c r="N867"/>
      <c r="O867"/>
      <c r="P867"/>
      <c r="Q867"/>
    </row>
    <row r="868" spans="4:17">
      <c r="D868"/>
      <c r="E868"/>
      <c r="F868"/>
      <c r="G868"/>
      <c r="H868"/>
      <c r="I868"/>
      <c r="J868"/>
      <c r="K868"/>
      <c r="L868"/>
      <c r="M868"/>
      <c r="N868"/>
      <c r="O868"/>
      <c r="P868"/>
      <c r="Q868"/>
    </row>
    <row r="869" spans="4:17">
      <c r="D869"/>
      <c r="E869"/>
      <c r="F869"/>
      <c r="G869"/>
      <c r="H869"/>
      <c r="I869"/>
      <c r="J869"/>
      <c r="K869"/>
      <c r="L869"/>
      <c r="M869"/>
      <c r="N869"/>
      <c r="O869"/>
      <c r="P869"/>
      <c r="Q869"/>
    </row>
    <row r="870" spans="4:17">
      <c r="D870"/>
      <c r="E870"/>
      <c r="F870"/>
      <c r="G870"/>
      <c r="H870"/>
      <c r="I870"/>
      <c r="J870"/>
      <c r="K870"/>
      <c r="L870"/>
      <c r="M870"/>
      <c r="N870"/>
      <c r="O870"/>
      <c r="P870"/>
      <c r="Q870"/>
    </row>
    <row r="871" spans="4:17">
      <c r="D871"/>
      <c r="E871"/>
      <c r="F871"/>
      <c r="G871"/>
      <c r="H871"/>
      <c r="I871"/>
      <c r="J871"/>
      <c r="K871"/>
      <c r="L871"/>
      <c r="M871"/>
      <c r="N871"/>
      <c r="O871"/>
      <c r="P871"/>
      <c r="Q871"/>
    </row>
    <row r="872" spans="4:17">
      <c r="D872"/>
      <c r="E872"/>
      <c r="F872"/>
      <c r="G872"/>
      <c r="H872"/>
      <c r="I872"/>
      <c r="J872"/>
      <c r="K872"/>
      <c r="L872"/>
      <c r="M872"/>
      <c r="N872"/>
      <c r="O872"/>
      <c r="P872"/>
      <c r="Q872"/>
    </row>
    <row r="873" spans="4:17">
      <c r="D873"/>
      <c r="E873"/>
      <c r="F873"/>
      <c r="G873"/>
      <c r="H873"/>
      <c r="I873"/>
      <c r="J873"/>
      <c r="K873"/>
      <c r="L873"/>
      <c r="M873"/>
      <c r="N873"/>
      <c r="O873"/>
      <c r="P873"/>
      <c r="Q873"/>
    </row>
    <row r="874" spans="4:17">
      <c r="D874"/>
      <c r="E874"/>
      <c r="F874"/>
      <c r="G874"/>
      <c r="H874"/>
      <c r="I874"/>
      <c r="J874"/>
      <c r="K874"/>
      <c r="L874"/>
      <c r="M874"/>
      <c r="N874"/>
      <c r="O874"/>
      <c r="P874"/>
      <c r="Q874"/>
    </row>
    <row r="875" spans="4:17">
      <c r="D875"/>
      <c r="E875"/>
      <c r="F875"/>
      <c r="G875"/>
      <c r="H875"/>
      <c r="I875"/>
      <c r="J875"/>
      <c r="K875"/>
      <c r="L875"/>
      <c r="M875"/>
      <c r="N875"/>
      <c r="O875"/>
      <c r="P875"/>
      <c r="Q875"/>
    </row>
    <row r="876" spans="4:17">
      <c r="D876"/>
      <c r="E876"/>
      <c r="F876"/>
      <c r="G876"/>
      <c r="H876"/>
      <c r="I876"/>
      <c r="J876"/>
      <c r="K876"/>
      <c r="L876"/>
      <c r="M876"/>
      <c r="N876"/>
      <c r="O876"/>
      <c r="P876"/>
      <c r="Q876"/>
    </row>
    <row r="877" spans="4:17">
      <c r="D877"/>
      <c r="E877"/>
      <c r="F877"/>
      <c r="G877"/>
      <c r="H877"/>
      <c r="I877"/>
      <c r="J877"/>
      <c r="K877"/>
      <c r="L877"/>
      <c r="M877"/>
      <c r="N877"/>
      <c r="O877"/>
      <c r="P877"/>
      <c r="Q877"/>
    </row>
    <row r="878" spans="4:17">
      <c r="D878"/>
      <c r="E878"/>
      <c r="F878"/>
      <c r="G878"/>
      <c r="H878"/>
      <c r="I878"/>
      <c r="J878"/>
      <c r="K878"/>
      <c r="L878"/>
      <c r="M878"/>
      <c r="N878"/>
      <c r="O878"/>
      <c r="P878"/>
      <c r="Q878"/>
    </row>
    <row r="879" spans="4:17">
      <c r="D879"/>
      <c r="E879"/>
      <c r="F879"/>
      <c r="G879"/>
      <c r="H879"/>
      <c r="I879"/>
      <c r="J879"/>
      <c r="K879"/>
      <c r="L879"/>
      <c r="M879"/>
      <c r="N879"/>
      <c r="O879"/>
      <c r="P879"/>
      <c r="Q879"/>
    </row>
    <row r="880" spans="4:17">
      <c r="D880"/>
      <c r="E880"/>
      <c r="F880"/>
      <c r="G880"/>
      <c r="H880"/>
      <c r="I880"/>
      <c r="J880"/>
      <c r="K880"/>
      <c r="L880"/>
      <c r="M880"/>
      <c r="N880"/>
      <c r="O880"/>
      <c r="P880"/>
      <c r="Q880"/>
    </row>
    <row r="881" spans="4:17">
      <c r="D881"/>
      <c r="E881"/>
      <c r="F881"/>
      <c r="G881"/>
      <c r="H881"/>
      <c r="I881"/>
      <c r="J881"/>
      <c r="K881"/>
      <c r="L881"/>
      <c r="M881"/>
      <c r="N881"/>
      <c r="O881"/>
      <c r="P881"/>
      <c r="Q881"/>
    </row>
    <row r="882" spans="4:17">
      <c r="D882"/>
      <c r="E882"/>
      <c r="F882"/>
      <c r="G882"/>
      <c r="H882"/>
      <c r="I882"/>
      <c r="J882"/>
      <c r="K882"/>
      <c r="L882"/>
      <c r="M882"/>
      <c r="N882"/>
      <c r="O882"/>
      <c r="P882"/>
      <c r="Q882"/>
    </row>
    <row r="883" spans="4:17">
      <c r="D883"/>
      <c r="E883"/>
      <c r="F883"/>
      <c r="G883"/>
      <c r="H883"/>
      <c r="I883"/>
      <c r="J883"/>
      <c r="K883"/>
      <c r="L883"/>
      <c r="M883"/>
      <c r="N883"/>
      <c r="O883"/>
      <c r="P883"/>
      <c r="Q883"/>
    </row>
    <row r="884" spans="4:17">
      <c r="D884"/>
      <c r="E884"/>
      <c r="F884"/>
      <c r="G884"/>
      <c r="H884"/>
      <c r="I884"/>
      <c r="J884"/>
      <c r="K884"/>
      <c r="L884"/>
      <c r="M884"/>
      <c r="N884"/>
      <c r="O884"/>
      <c r="P884"/>
      <c r="Q884"/>
    </row>
    <row r="885" spans="4:17">
      <c r="D885"/>
      <c r="E885"/>
      <c r="F885"/>
      <c r="G885"/>
      <c r="H885"/>
      <c r="I885"/>
      <c r="J885"/>
      <c r="K885"/>
      <c r="L885"/>
      <c r="M885"/>
      <c r="N885"/>
      <c r="O885"/>
      <c r="P885"/>
      <c r="Q885"/>
    </row>
    <row r="886" spans="4:17">
      <c r="D886"/>
      <c r="E886"/>
      <c r="F886"/>
      <c r="G886"/>
      <c r="H886"/>
      <c r="I886"/>
      <c r="J886"/>
      <c r="K886"/>
      <c r="L886"/>
      <c r="M886"/>
      <c r="N886"/>
      <c r="O886"/>
      <c r="P886"/>
      <c r="Q886"/>
    </row>
    <row r="887" spans="4:17">
      <c r="D887"/>
      <c r="E887"/>
      <c r="F887"/>
      <c r="G887"/>
      <c r="H887"/>
      <c r="I887"/>
      <c r="J887"/>
      <c r="K887"/>
      <c r="L887"/>
      <c r="M887"/>
      <c r="N887"/>
      <c r="O887"/>
      <c r="P887"/>
      <c r="Q887"/>
    </row>
    <row r="888" spans="4:17">
      <c r="D888"/>
      <c r="E888"/>
      <c r="F888"/>
      <c r="G888"/>
      <c r="H888"/>
      <c r="I888"/>
      <c r="J888"/>
      <c r="K888"/>
      <c r="L888"/>
      <c r="M888"/>
      <c r="N888"/>
      <c r="O888"/>
      <c r="P888"/>
      <c r="Q888"/>
    </row>
    <row r="889" spans="4:17">
      <c r="D889"/>
      <c r="E889"/>
      <c r="F889"/>
      <c r="G889"/>
      <c r="H889"/>
      <c r="I889"/>
      <c r="J889"/>
      <c r="K889"/>
      <c r="L889"/>
      <c r="M889"/>
      <c r="N889"/>
      <c r="O889"/>
      <c r="P889"/>
      <c r="Q889"/>
    </row>
    <row r="890" spans="4:17">
      <c r="D890"/>
      <c r="E890"/>
      <c r="F890"/>
      <c r="G890"/>
      <c r="H890"/>
      <c r="I890"/>
      <c r="J890"/>
      <c r="K890"/>
      <c r="L890"/>
      <c r="M890"/>
      <c r="N890"/>
      <c r="O890"/>
      <c r="P890"/>
      <c r="Q890"/>
    </row>
    <row r="891" spans="4:17">
      <c r="D891"/>
      <c r="E891"/>
      <c r="F891"/>
      <c r="G891"/>
      <c r="H891"/>
      <c r="I891"/>
      <c r="J891"/>
      <c r="K891"/>
      <c r="L891"/>
      <c r="M891"/>
      <c r="N891"/>
      <c r="O891"/>
      <c r="P891"/>
      <c r="Q891"/>
    </row>
    <row r="892" spans="4:17">
      <c r="D892"/>
      <c r="E892"/>
      <c r="F892"/>
      <c r="G892"/>
      <c r="H892"/>
      <c r="I892"/>
      <c r="J892"/>
      <c r="K892"/>
      <c r="L892"/>
      <c r="M892"/>
      <c r="N892"/>
      <c r="O892"/>
      <c r="P892"/>
      <c r="Q892"/>
    </row>
    <row r="893" spans="4:17">
      <c r="D893"/>
      <c r="E893"/>
      <c r="F893"/>
      <c r="G893"/>
      <c r="H893"/>
      <c r="I893"/>
      <c r="J893"/>
      <c r="K893"/>
      <c r="L893"/>
      <c r="M893"/>
      <c r="N893"/>
      <c r="O893"/>
      <c r="P893"/>
      <c r="Q893"/>
    </row>
    <row r="894" spans="4:17">
      <c r="D894"/>
      <c r="E894"/>
      <c r="F894"/>
      <c r="G894"/>
      <c r="H894"/>
      <c r="I894"/>
      <c r="J894"/>
      <c r="K894"/>
      <c r="L894"/>
      <c r="M894"/>
      <c r="N894"/>
      <c r="O894"/>
      <c r="P894"/>
      <c r="Q894"/>
    </row>
    <row r="895" spans="4:17">
      <c r="D895"/>
      <c r="E895"/>
      <c r="F895"/>
      <c r="G895"/>
      <c r="H895"/>
      <c r="I895"/>
      <c r="J895"/>
      <c r="K895"/>
      <c r="L895"/>
      <c r="M895"/>
      <c r="N895"/>
      <c r="O895"/>
      <c r="P895"/>
      <c r="Q895"/>
    </row>
    <row r="896" spans="4:17">
      <c r="D896"/>
      <c r="E896"/>
      <c r="F896"/>
      <c r="G896"/>
      <c r="H896"/>
      <c r="I896"/>
      <c r="J896"/>
      <c r="K896"/>
      <c r="L896"/>
      <c r="M896"/>
      <c r="N896"/>
      <c r="O896"/>
      <c r="P896"/>
      <c r="Q896"/>
    </row>
    <row r="897" spans="4:17">
      <c r="D897"/>
      <c r="E897"/>
      <c r="F897"/>
      <c r="G897"/>
      <c r="H897"/>
      <c r="I897"/>
      <c r="J897"/>
      <c r="K897"/>
      <c r="L897"/>
      <c r="M897"/>
      <c r="N897"/>
      <c r="O897"/>
      <c r="P897"/>
      <c r="Q897"/>
    </row>
    <row r="898" spans="4:17">
      <c r="D898"/>
      <c r="E898"/>
      <c r="F898"/>
      <c r="G898"/>
      <c r="H898"/>
      <c r="I898"/>
      <c r="J898"/>
      <c r="K898"/>
      <c r="L898"/>
      <c r="M898"/>
      <c r="N898"/>
      <c r="O898"/>
      <c r="P898"/>
      <c r="Q898"/>
    </row>
    <row r="899" spans="4:17">
      <c r="D899"/>
      <c r="E899"/>
      <c r="F899"/>
      <c r="G899"/>
      <c r="H899"/>
      <c r="I899"/>
      <c r="J899"/>
      <c r="K899"/>
      <c r="L899"/>
      <c r="M899"/>
      <c r="N899"/>
      <c r="O899"/>
      <c r="P899"/>
      <c r="Q899"/>
    </row>
    <row r="900" spans="4:17">
      <c r="D900"/>
      <c r="E900"/>
      <c r="F900"/>
      <c r="G900"/>
      <c r="H900"/>
      <c r="I900"/>
      <c r="J900"/>
      <c r="K900"/>
      <c r="L900"/>
      <c r="M900"/>
      <c r="N900"/>
      <c r="O900"/>
      <c r="P900"/>
      <c r="Q900"/>
    </row>
    <row r="901" spans="4:17">
      <c r="D901"/>
      <c r="E901"/>
      <c r="F901"/>
      <c r="G901"/>
      <c r="H901"/>
      <c r="I901"/>
      <c r="J901"/>
      <c r="K901"/>
      <c r="L901"/>
      <c r="M901"/>
      <c r="N901"/>
      <c r="O901"/>
      <c r="P901"/>
      <c r="Q901"/>
    </row>
    <row r="902" spans="4:17">
      <c r="D902"/>
      <c r="E902"/>
      <c r="F902"/>
      <c r="G902"/>
      <c r="H902"/>
      <c r="I902"/>
      <c r="J902"/>
      <c r="K902"/>
      <c r="L902"/>
      <c r="M902"/>
      <c r="N902"/>
      <c r="O902"/>
      <c r="P902"/>
      <c r="Q902"/>
    </row>
    <row r="903" spans="4:17">
      <c r="D903"/>
      <c r="E903"/>
      <c r="F903"/>
      <c r="G903"/>
      <c r="H903"/>
      <c r="I903"/>
      <c r="J903"/>
      <c r="K903"/>
      <c r="L903"/>
      <c r="M903"/>
      <c r="N903"/>
      <c r="O903"/>
      <c r="P903"/>
      <c r="Q903"/>
    </row>
    <row r="904" spans="4:17">
      <c r="D904"/>
      <c r="E904"/>
      <c r="F904"/>
      <c r="G904"/>
      <c r="H904"/>
      <c r="I904"/>
      <c r="J904"/>
      <c r="K904"/>
      <c r="L904"/>
      <c r="M904"/>
      <c r="N904"/>
      <c r="O904"/>
      <c r="P904"/>
      <c r="Q904"/>
    </row>
    <row r="905" spans="4:17">
      <c r="D905"/>
      <c r="E905"/>
      <c r="F905"/>
      <c r="G905"/>
      <c r="H905"/>
      <c r="I905"/>
      <c r="J905"/>
      <c r="K905"/>
      <c r="L905"/>
      <c r="M905"/>
      <c r="N905"/>
      <c r="O905"/>
      <c r="P905"/>
      <c r="Q905"/>
    </row>
    <row r="906" spans="4:17">
      <c r="D906"/>
      <c r="E906"/>
      <c r="F906"/>
      <c r="G906"/>
      <c r="H906"/>
      <c r="I906"/>
      <c r="J906"/>
      <c r="K906"/>
      <c r="L906"/>
      <c r="M906"/>
      <c r="N906"/>
      <c r="O906"/>
      <c r="P906"/>
      <c r="Q906"/>
    </row>
    <row r="907" spans="4:17">
      <c r="D907"/>
      <c r="E907"/>
      <c r="F907"/>
      <c r="G907"/>
      <c r="H907"/>
      <c r="I907"/>
      <c r="J907"/>
      <c r="K907"/>
      <c r="L907"/>
      <c r="M907"/>
      <c r="N907"/>
      <c r="O907"/>
      <c r="P907"/>
      <c r="Q907"/>
    </row>
    <row r="908" spans="4:17">
      <c r="D908"/>
      <c r="E908"/>
      <c r="F908"/>
      <c r="G908"/>
      <c r="H908"/>
      <c r="I908"/>
      <c r="J908"/>
      <c r="K908"/>
      <c r="L908"/>
      <c r="M908"/>
      <c r="N908"/>
      <c r="O908"/>
      <c r="P908"/>
      <c r="Q908"/>
    </row>
    <row r="909" spans="4:17">
      <c r="D909"/>
      <c r="E909"/>
      <c r="F909"/>
      <c r="G909"/>
      <c r="H909"/>
      <c r="I909"/>
      <c r="J909"/>
      <c r="K909"/>
      <c r="L909"/>
      <c r="M909"/>
      <c r="N909"/>
      <c r="O909"/>
      <c r="P909"/>
      <c r="Q909"/>
    </row>
    <row r="910" spans="4:17">
      <c r="D910"/>
      <c r="E910"/>
      <c r="F910"/>
      <c r="G910"/>
      <c r="H910"/>
      <c r="I910"/>
      <c r="J910"/>
      <c r="K910"/>
      <c r="L910"/>
      <c r="M910"/>
      <c r="N910"/>
      <c r="O910"/>
      <c r="P910"/>
      <c r="Q910"/>
    </row>
    <row r="911" spans="4:17">
      <c r="D911"/>
      <c r="E911"/>
      <c r="F911"/>
      <c r="G911"/>
      <c r="H911"/>
      <c r="I911"/>
      <c r="J911"/>
      <c r="K911"/>
      <c r="L911"/>
      <c r="M911"/>
      <c r="N911"/>
      <c r="O911"/>
      <c r="P911"/>
      <c r="Q911"/>
    </row>
    <row r="912" spans="4:17">
      <c r="D912"/>
      <c r="E912"/>
      <c r="F912"/>
      <c r="G912"/>
      <c r="H912"/>
      <c r="I912"/>
      <c r="J912"/>
      <c r="K912"/>
      <c r="L912"/>
      <c r="M912"/>
      <c r="N912"/>
      <c r="O912"/>
      <c r="P912"/>
      <c r="Q912"/>
    </row>
    <row r="913" spans="4:17">
      <c r="D913"/>
      <c r="E913"/>
      <c r="F913"/>
      <c r="G913"/>
      <c r="H913"/>
      <c r="I913"/>
      <c r="J913"/>
      <c r="K913"/>
      <c r="L913"/>
      <c r="M913"/>
      <c r="N913"/>
      <c r="O913"/>
      <c r="P913"/>
      <c r="Q913"/>
    </row>
    <row r="914" spans="4:17">
      <c r="D914"/>
      <c r="E914"/>
      <c r="F914"/>
      <c r="G914"/>
      <c r="H914"/>
      <c r="I914"/>
      <c r="J914"/>
      <c r="K914"/>
      <c r="L914"/>
      <c r="M914"/>
      <c r="N914"/>
      <c r="O914"/>
      <c r="P914"/>
      <c r="Q914"/>
    </row>
    <row r="915" spans="4:17">
      <c r="D915"/>
      <c r="E915"/>
      <c r="F915"/>
      <c r="G915"/>
      <c r="H915"/>
      <c r="I915"/>
      <c r="J915"/>
      <c r="K915"/>
      <c r="L915"/>
      <c r="M915"/>
      <c r="N915"/>
      <c r="O915"/>
      <c r="P915"/>
      <c r="Q915"/>
    </row>
    <row r="916" spans="4:17">
      <c r="D916"/>
      <c r="E916"/>
      <c r="F916"/>
      <c r="G916"/>
      <c r="H916"/>
      <c r="I916"/>
      <c r="J916"/>
      <c r="K916"/>
      <c r="L916"/>
      <c r="M916"/>
      <c r="N916"/>
      <c r="O916"/>
      <c r="P916"/>
      <c r="Q916"/>
    </row>
    <row r="917" spans="4:17">
      <c r="D917"/>
      <c r="E917"/>
      <c r="F917"/>
      <c r="G917"/>
      <c r="H917"/>
      <c r="I917"/>
      <c r="J917"/>
      <c r="K917"/>
      <c r="L917"/>
      <c r="M917"/>
      <c r="N917"/>
      <c r="O917"/>
      <c r="P917"/>
      <c r="Q917"/>
    </row>
    <row r="918" spans="4:17">
      <c r="D918"/>
      <c r="E918"/>
      <c r="F918"/>
      <c r="G918"/>
      <c r="H918"/>
      <c r="I918"/>
      <c r="J918"/>
      <c r="K918"/>
      <c r="L918"/>
      <c r="M918"/>
      <c r="N918"/>
      <c r="O918"/>
      <c r="P918"/>
      <c r="Q918"/>
    </row>
    <row r="919" spans="4:17">
      <c r="D919"/>
      <c r="E919"/>
      <c r="F919"/>
      <c r="G919"/>
      <c r="H919"/>
      <c r="I919"/>
      <c r="J919"/>
      <c r="K919"/>
      <c r="L919"/>
      <c r="M919"/>
      <c r="N919"/>
      <c r="O919"/>
      <c r="P919"/>
      <c r="Q919"/>
    </row>
    <row r="920" spans="4:17">
      <c r="D920"/>
      <c r="E920"/>
      <c r="F920"/>
      <c r="G920"/>
      <c r="H920"/>
      <c r="I920"/>
      <c r="J920"/>
      <c r="K920"/>
      <c r="L920"/>
      <c r="M920"/>
      <c r="N920"/>
      <c r="O920"/>
      <c r="P920"/>
      <c r="Q920"/>
    </row>
    <row r="921" spans="4:17">
      <c r="D921"/>
      <c r="E921"/>
      <c r="F921"/>
      <c r="G921"/>
      <c r="H921"/>
      <c r="I921"/>
      <c r="J921"/>
      <c r="K921"/>
      <c r="L921"/>
      <c r="M921"/>
      <c r="N921"/>
      <c r="O921"/>
      <c r="P921"/>
      <c r="Q921"/>
    </row>
    <row r="922" spans="4:17">
      <c r="D922"/>
      <c r="E922"/>
      <c r="F922"/>
      <c r="G922"/>
      <c r="H922"/>
      <c r="I922"/>
      <c r="J922"/>
      <c r="K922"/>
      <c r="L922"/>
      <c r="M922"/>
      <c r="N922"/>
      <c r="O922"/>
      <c r="P922"/>
      <c r="Q922"/>
    </row>
    <row r="923" spans="4:17">
      <c r="D923"/>
      <c r="E923"/>
      <c r="F923"/>
      <c r="G923"/>
      <c r="H923"/>
      <c r="I923"/>
      <c r="J923"/>
      <c r="K923"/>
      <c r="L923"/>
      <c r="M923"/>
      <c r="N923"/>
      <c r="O923"/>
      <c r="P923"/>
      <c r="Q923"/>
    </row>
    <row r="924" spans="4:17">
      <c r="D924"/>
      <c r="E924"/>
      <c r="F924"/>
      <c r="G924"/>
      <c r="H924"/>
      <c r="I924"/>
      <c r="J924"/>
      <c r="K924"/>
      <c r="L924"/>
      <c r="M924"/>
      <c r="N924"/>
      <c r="O924"/>
      <c r="P924"/>
      <c r="Q924"/>
    </row>
    <row r="925" spans="4:17">
      <c r="D925"/>
      <c r="E925"/>
      <c r="F925"/>
      <c r="G925"/>
      <c r="H925"/>
      <c r="I925"/>
      <c r="J925"/>
      <c r="K925"/>
      <c r="L925"/>
      <c r="M925"/>
      <c r="N925"/>
      <c r="O925"/>
      <c r="P925"/>
      <c r="Q925"/>
    </row>
    <row r="926" spans="4:17">
      <c r="D926"/>
      <c r="E926"/>
      <c r="F926"/>
      <c r="G926"/>
      <c r="H926"/>
      <c r="I926"/>
      <c r="J926"/>
      <c r="K926"/>
      <c r="L926"/>
      <c r="M926"/>
      <c r="N926"/>
      <c r="O926"/>
      <c r="P926"/>
      <c r="Q926"/>
    </row>
    <row r="927" spans="4:17">
      <c r="D927"/>
      <c r="E927"/>
      <c r="F927"/>
      <c r="G927"/>
      <c r="H927"/>
      <c r="I927"/>
      <c r="J927"/>
      <c r="K927"/>
      <c r="L927"/>
      <c r="M927"/>
      <c r="N927"/>
      <c r="O927"/>
      <c r="P927"/>
      <c r="Q927"/>
    </row>
    <row r="928" spans="4:17">
      <c r="D928"/>
      <c r="E928"/>
      <c r="F928"/>
      <c r="G928"/>
      <c r="H928"/>
      <c r="I928"/>
      <c r="J928"/>
      <c r="K928"/>
      <c r="L928"/>
      <c r="M928"/>
      <c r="N928"/>
      <c r="O928"/>
      <c r="P928"/>
      <c r="Q928"/>
    </row>
    <row r="929" spans="4:17">
      <c r="D929"/>
      <c r="E929"/>
      <c r="F929"/>
      <c r="G929"/>
      <c r="H929"/>
      <c r="I929"/>
      <c r="J929"/>
      <c r="K929"/>
      <c r="L929"/>
      <c r="M929"/>
      <c r="N929"/>
      <c r="O929"/>
      <c r="P929"/>
      <c r="Q929"/>
    </row>
    <row r="930" spans="4:17">
      <c r="D930"/>
      <c r="E930"/>
      <c r="F930"/>
      <c r="G930"/>
      <c r="H930"/>
      <c r="I930"/>
      <c r="J930"/>
      <c r="K930"/>
      <c r="L930"/>
      <c r="M930"/>
      <c r="N930"/>
      <c r="O930"/>
      <c r="P930"/>
      <c r="Q930"/>
    </row>
    <row r="931" spans="4:17">
      <c r="D931"/>
      <c r="E931"/>
      <c r="F931"/>
      <c r="G931"/>
      <c r="H931"/>
      <c r="I931"/>
      <c r="J931"/>
      <c r="K931"/>
      <c r="L931"/>
      <c r="M931"/>
      <c r="N931"/>
      <c r="O931"/>
      <c r="P931"/>
      <c r="Q931"/>
    </row>
    <row r="932" spans="4:17">
      <c r="D932"/>
      <c r="E932"/>
      <c r="F932"/>
      <c r="G932"/>
      <c r="H932"/>
      <c r="I932"/>
      <c r="J932"/>
      <c r="K932"/>
      <c r="L932"/>
      <c r="M932"/>
      <c r="N932"/>
      <c r="O932"/>
      <c r="P932"/>
      <c r="Q932"/>
    </row>
    <row r="933" spans="4:17">
      <c r="D933"/>
      <c r="E933"/>
      <c r="F933"/>
      <c r="G933"/>
      <c r="H933"/>
      <c r="I933"/>
      <c r="J933"/>
      <c r="K933"/>
      <c r="L933"/>
      <c r="M933"/>
      <c r="N933"/>
      <c r="O933"/>
      <c r="P933"/>
      <c r="Q933"/>
    </row>
    <row r="934" spans="4:17">
      <c r="D934"/>
      <c r="E934"/>
      <c r="F934"/>
      <c r="G934"/>
      <c r="H934"/>
      <c r="I934"/>
      <c r="J934"/>
      <c r="K934"/>
      <c r="L934"/>
      <c r="M934"/>
      <c r="N934"/>
      <c r="O934"/>
      <c r="P934"/>
      <c r="Q934"/>
    </row>
    <row r="935" spans="4:17">
      <c r="D935"/>
      <c r="E935"/>
      <c r="F935"/>
      <c r="G935"/>
      <c r="H935"/>
      <c r="I935"/>
      <c r="J935"/>
      <c r="K935"/>
      <c r="L935"/>
      <c r="M935"/>
      <c r="N935"/>
      <c r="O935"/>
      <c r="P935"/>
      <c r="Q935"/>
    </row>
    <row r="936" spans="4:17">
      <c r="D936"/>
      <c r="E936"/>
      <c r="F936"/>
      <c r="G936"/>
      <c r="H936"/>
      <c r="I936"/>
      <c r="J936"/>
      <c r="K936"/>
      <c r="L936"/>
      <c r="M936"/>
      <c r="N936"/>
      <c r="O936"/>
      <c r="P936"/>
      <c r="Q936"/>
    </row>
    <row r="937" spans="4:17">
      <c r="D937"/>
      <c r="E937"/>
      <c r="F937"/>
      <c r="G937"/>
      <c r="H937"/>
      <c r="I937"/>
      <c r="J937"/>
      <c r="K937"/>
      <c r="L937"/>
      <c r="M937"/>
      <c r="N937"/>
      <c r="O937"/>
      <c r="P937"/>
      <c r="Q937"/>
    </row>
    <row r="938" spans="4:17">
      <c r="D938"/>
      <c r="E938"/>
      <c r="F938"/>
      <c r="G938"/>
      <c r="H938"/>
      <c r="I938"/>
      <c r="J938"/>
      <c r="K938"/>
      <c r="L938"/>
      <c r="M938"/>
      <c r="N938"/>
      <c r="O938"/>
      <c r="P938"/>
      <c r="Q938"/>
    </row>
    <row r="939" spans="4:17">
      <c r="D939"/>
      <c r="E939"/>
      <c r="F939"/>
      <c r="G939"/>
      <c r="H939"/>
      <c r="I939"/>
      <c r="J939"/>
      <c r="K939"/>
      <c r="L939"/>
      <c r="M939"/>
      <c r="N939"/>
      <c r="O939"/>
      <c r="P939"/>
      <c r="Q939"/>
    </row>
    <row r="940" spans="4:17">
      <c r="D940"/>
      <c r="E940"/>
      <c r="F940"/>
      <c r="G940"/>
      <c r="H940"/>
      <c r="I940"/>
      <c r="J940"/>
      <c r="K940"/>
      <c r="L940"/>
      <c r="M940"/>
      <c r="N940"/>
      <c r="O940"/>
      <c r="P940"/>
      <c r="Q940"/>
    </row>
    <row r="941" spans="4:17">
      <c r="D941"/>
      <c r="E941"/>
      <c r="F941"/>
      <c r="G941"/>
      <c r="H941"/>
      <c r="I941"/>
      <c r="J941"/>
      <c r="K941"/>
      <c r="L941"/>
      <c r="M941"/>
      <c r="N941"/>
      <c r="O941"/>
      <c r="P941"/>
      <c r="Q941"/>
    </row>
    <row r="942" spans="4:17">
      <c r="D942"/>
      <c r="E942"/>
      <c r="F942"/>
      <c r="G942"/>
      <c r="H942"/>
      <c r="I942"/>
      <c r="J942"/>
      <c r="K942"/>
      <c r="L942"/>
      <c r="M942"/>
      <c r="N942"/>
      <c r="O942"/>
      <c r="P942"/>
      <c r="Q942"/>
    </row>
    <row r="943" spans="4:17">
      <c r="D943"/>
      <c r="E943"/>
      <c r="F943"/>
      <c r="G943"/>
      <c r="H943"/>
      <c r="I943"/>
      <c r="J943"/>
      <c r="K943"/>
      <c r="L943"/>
      <c r="M943"/>
      <c r="N943"/>
      <c r="O943"/>
      <c r="P943"/>
      <c r="Q943"/>
    </row>
    <row r="944" spans="4:17">
      <c r="D944"/>
      <c r="E944"/>
      <c r="F944"/>
      <c r="G944"/>
      <c r="H944"/>
      <c r="I944"/>
      <c r="J944"/>
      <c r="K944"/>
      <c r="L944"/>
      <c r="M944"/>
      <c r="N944"/>
      <c r="O944"/>
      <c r="P944"/>
      <c r="Q944"/>
    </row>
    <row r="945" spans="4:17">
      <c r="D945"/>
      <c r="E945"/>
      <c r="F945"/>
      <c r="G945"/>
      <c r="H945"/>
      <c r="I945"/>
      <c r="J945"/>
      <c r="K945"/>
      <c r="L945"/>
      <c r="M945"/>
      <c r="N945"/>
      <c r="O945"/>
      <c r="P945"/>
      <c r="Q945"/>
    </row>
    <row r="946" spans="4:17">
      <c r="D946"/>
      <c r="E946"/>
      <c r="F946"/>
      <c r="G946"/>
      <c r="H946"/>
      <c r="I946"/>
      <c r="J946"/>
      <c r="K946"/>
      <c r="L946"/>
      <c r="M946"/>
      <c r="N946"/>
      <c r="O946"/>
      <c r="P946"/>
      <c r="Q946"/>
    </row>
    <row r="947" spans="4:17">
      <c r="D947"/>
      <c r="E947"/>
      <c r="F947"/>
      <c r="G947"/>
      <c r="H947"/>
      <c r="I947"/>
      <c r="J947"/>
      <c r="K947"/>
      <c r="L947"/>
      <c r="M947"/>
      <c r="N947"/>
      <c r="O947"/>
      <c r="P947"/>
      <c r="Q947"/>
    </row>
    <row r="948" spans="4:17">
      <c r="D948"/>
      <c r="E948"/>
      <c r="F948"/>
      <c r="G948"/>
      <c r="H948"/>
      <c r="I948"/>
      <c r="J948"/>
      <c r="K948"/>
      <c r="L948"/>
      <c r="M948"/>
      <c r="N948"/>
      <c r="O948"/>
      <c r="P948"/>
      <c r="Q948"/>
    </row>
    <row r="949" spans="4:17">
      <c r="D949"/>
      <c r="E949"/>
      <c r="F949"/>
      <c r="G949"/>
      <c r="H949"/>
      <c r="I949"/>
      <c r="J949"/>
      <c r="K949"/>
      <c r="L949"/>
      <c r="M949"/>
      <c r="N949"/>
      <c r="O949"/>
      <c r="P949"/>
      <c r="Q949"/>
    </row>
    <row r="950" spans="4:17">
      <c r="D950"/>
      <c r="E950"/>
      <c r="F950"/>
      <c r="G950"/>
      <c r="H950"/>
      <c r="I950"/>
      <c r="J950"/>
      <c r="K950"/>
      <c r="L950"/>
      <c r="M950"/>
      <c r="N950"/>
      <c r="O950"/>
      <c r="P950"/>
      <c r="Q950"/>
    </row>
    <row r="951" spans="4:17">
      <c r="D951"/>
      <c r="E951"/>
      <c r="F951"/>
      <c r="G951"/>
      <c r="H951"/>
      <c r="I951"/>
      <c r="J951"/>
      <c r="K951"/>
      <c r="L951"/>
      <c r="M951"/>
      <c r="N951"/>
      <c r="O951"/>
      <c r="P951"/>
      <c r="Q951"/>
    </row>
    <row r="952" spans="4:17">
      <c r="D952"/>
      <c r="E952"/>
      <c r="F952"/>
      <c r="G952"/>
      <c r="H952"/>
      <c r="I952"/>
      <c r="J952"/>
      <c r="K952"/>
      <c r="L952"/>
      <c r="M952"/>
      <c r="N952"/>
      <c r="O952"/>
      <c r="P952"/>
      <c r="Q952"/>
    </row>
    <row r="953" spans="4:17">
      <c r="D953"/>
      <c r="E953"/>
      <c r="F953"/>
      <c r="G953"/>
      <c r="H953"/>
      <c r="I953"/>
      <c r="J953"/>
      <c r="K953"/>
      <c r="L953"/>
      <c r="M953"/>
      <c r="N953"/>
      <c r="O953"/>
      <c r="P953"/>
      <c r="Q953"/>
    </row>
    <row r="954" spans="4:17">
      <c r="D954"/>
      <c r="E954"/>
      <c r="F954"/>
      <c r="G954"/>
      <c r="H954"/>
      <c r="I954"/>
      <c r="J954"/>
      <c r="K954"/>
      <c r="L954"/>
      <c r="M954"/>
      <c r="N954"/>
      <c r="O954"/>
      <c r="P954"/>
      <c r="Q954"/>
    </row>
    <row r="955" spans="4:17">
      <c r="D955"/>
      <c r="E955"/>
      <c r="F955"/>
      <c r="G955"/>
      <c r="H955"/>
      <c r="I955"/>
      <c r="J955"/>
      <c r="K955"/>
      <c r="L955"/>
      <c r="M955"/>
      <c r="N955"/>
      <c r="O955"/>
      <c r="P955"/>
      <c r="Q955"/>
    </row>
    <row r="956" spans="4:17">
      <c r="D956"/>
      <c r="E956"/>
      <c r="F956"/>
      <c r="G956"/>
      <c r="H956"/>
      <c r="I956"/>
      <c r="J956"/>
      <c r="K956"/>
      <c r="L956"/>
      <c r="M956"/>
      <c r="N956"/>
      <c r="O956"/>
      <c r="P956"/>
      <c r="Q956"/>
    </row>
    <row r="957" spans="4:17">
      <c r="D957"/>
      <c r="E957"/>
      <c r="F957"/>
      <c r="G957"/>
      <c r="H957"/>
      <c r="I957"/>
      <c r="J957"/>
      <c r="K957"/>
      <c r="L957"/>
      <c r="M957"/>
      <c r="N957"/>
      <c r="O957"/>
      <c r="P957"/>
      <c r="Q957"/>
    </row>
    <row r="958" spans="4:17">
      <c r="D958"/>
      <c r="E958"/>
      <c r="F958"/>
      <c r="G958"/>
      <c r="H958"/>
      <c r="I958"/>
      <c r="J958"/>
      <c r="K958"/>
      <c r="L958"/>
      <c r="M958"/>
      <c r="N958"/>
      <c r="O958"/>
      <c r="P958"/>
      <c r="Q958"/>
    </row>
    <row r="959" spans="4:17">
      <c r="D959"/>
      <c r="E959"/>
      <c r="F959"/>
      <c r="G959"/>
      <c r="H959"/>
      <c r="I959"/>
      <c r="J959"/>
      <c r="K959"/>
      <c r="L959"/>
      <c r="M959"/>
      <c r="N959"/>
      <c r="O959"/>
      <c r="P959"/>
      <c r="Q959"/>
    </row>
    <row r="960" spans="4:17">
      <c r="D960"/>
      <c r="E960"/>
      <c r="F960"/>
      <c r="G960"/>
      <c r="H960"/>
      <c r="I960"/>
      <c r="J960"/>
      <c r="K960"/>
      <c r="L960"/>
      <c r="M960"/>
      <c r="N960"/>
      <c r="O960"/>
      <c r="P960"/>
      <c r="Q960"/>
    </row>
    <row r="961" spans="4:17">
      <c r="D961"/>
      <c r="E961"/>
      <c r="F961"/>
      <c r="G961"/>
      <c r="H961"/>
      <c r="I961"/>
      <c r="J961"/>
      <c r="K961"/>
      <c r="L961"/>
      <c r="M961"/>
      <c r="N961"/>
      <c r="O961"/>
      <c r="P961"/>
      <c r="Q961"/>
    </row>
    <row r="962" spans="4:17">
      <c r="D962"/>
      <c r="E962"/>
      <c r="F962"/>
      <c r="G962"/>
      <c r="H962"/>
      <c r="I962"/>
      <c r="J962"/>
      <c r="K962"/>
      <c r="L962"/>
      <c r="M962"/>
      <c r="N962"/>
      <c r="O962"/>
      <c r="P962"/>
      <c r="Q962"/>
    </row>
    <row r="963" spans="4:17">
      <c r="D963"/>
      <c r="E963"/>
      <c r="F963"/>
      <c r="G963"/>
      <c r="H963"/>
      <c r="I963"/>
      <c r="J963"/>
      <c r="K963"/>
      <c r="L963"/>
      <c r="M963"/>
      <c r="N963"/>
      <c r="O963"/>
      <c r="P963"/>
      <c r="Q963"/>
    </row>
    <row r="964" spans="4:17">
      <c r="D964"/>
      <c r="E964"/>
      <c r="F964"/>
      <c r="G964"/>
      <c r="H964"/>
      <c r="I964"/>
      <c r="J964"/>
      <c r="K964"/>
      <c r="L964"/>
      <c r="M964"/>
      <c r="N964"/>
      <c r="O964"/>
      <c r="P964"/>
      <c r="Q964"/>
    </row>
    <row r="965" spans="4:17">
      <c r="D965"/>
      <c r="E965"/>
      <c r="F965"/>
      <c r="G965"/>
      <c r="H965"/>
      <c r="I965"/>
      <c r="J965"/>
      <c r="K965"/>
      <c r="L965"/>
      <c r="M965"/>
      <c r="N965"/>
      <c r="O965"/>
      <c r="P965"/>
      <c r="Q965"/>
    </row>
    <row r="966" spans="4:17">
      <c r="D966"/>
      <c r="E966"/>
      <c r="F966"/>
      <c r="G966"/>
      <c r="H966"/>
      <c r="I966"/>
      <c r="J966"/>
      <c r="K966"/>
      <c r="L966"/>
      <c r="M966"/>
      <c r="N966"/>
      <c r="O966"/>
      <c r="P966"/>
      <c r="Q966"/>
    </row>
    <row r="967" spans="4:17">
      <c r="D967"/>
      <c r="E967"/>
      <c r="F967"/>
      <c r="G967"/>
      <c r="H967"/>
      <c r="I967"/>
      <c r="J967"/>
      <c r="K967"/>
      <c r="L967"/>
      <c r="M967"/>
      <c r="N967"/>
      <c r="O967"/>
      <c r="P967"/>
      <c r="Q967"/>
    </row>
    <row r="968" spans="4:17">
      <c r="D968"/>
      <c r="E968"/>
      <c r="F968"/>
      <c r="G968"/>
      <c r="H968"/>
      <c r="I968"/>
      <c r="J968"/>
      <c r="K968"/>
      <c r="L968"/>
      <c r="M968"/>
      <c r="N968"/>
      <c r="O968"/>
      <c r="P968"/>
      <c r="Q968"/>
    </row>
    <row r="969" spans="4:17">
      <c r="D969"/>
      <c r="E969"/>
      <c r="F969"/>
      <c r="G969"/>
      <c r="H969"/>
      <c r="I969"/>
      <c r="J969"/>
      <c r="K969"/>
      <c r="L969"/>
      <c r="M969"/>
      <c r="N969"/>
      <c r="O969"/>
      <c r="P969"/>
      <c r="Q969"/>
    </row>
    <row r="970" spans="4:17">
      <c r="D970"/>
      <c r="E970"/>
      <c r="F970"/>
      <c r="G970"/>
      <c r="H970"/>
      <c r="I970"/>
      <c r="J970"/>
      <c r="K970"/>
      <c r="L970"/>
      <c r="M970"/>
      <c r="N970"/>
      <c r="O970"/>
      <c r="P970"/>
      <c r="Q970"/>
    </row>
    <row r="971" spans="4:17">
      <c r="D971"/>
      <c r="E971"/>
      <c r="F971"/>
      <c r="G971"/>
      <c r="H971"/>
      <c r="I971"/>
      <c r="J971"/>
      <c r="K971"/>
      <c r="L971"/>
      <c r="M971"/>
      <c r="N971"/>
      <c r="O971"/>
      <c r="P971"/>
      <c r="Q971"/>
    </row>
    <row r="972" spans="4:17">
      <c r="D972"/>
      <c r="E972"/>
      <c r="F972"/>
      <c r="G972"/>
      <c r="H972"/>
      <c r="I972"/>
      <c r="J972"/>
      <c r="K972"/>
      <c r="L972"/>
      <c r="M972"/>
      <c r="N972"/>
      <c r="O972"/>
      <c r="P972"/>
      <c r="Q972"/>
    </row>
    <row r="973" spans="4:17">
      <c r="D973"/>
      <c r="E973"/>
      <c r="F973"/>
      <c r="G973"/>
      <c r="H973"/>
      <c r="I973"/>
      <c r="J973"/>
      <c r="K973"/>
      <c r="L973"/>
      <c r="M973"/>
      <c r="N973"/>
      <c r="O973"/>
      <c r="P973"/>
      <c r="Q973"/>
    </row>
    <row r="974" spans="4:17">
      <c r="D974"/>
      <c r="E974"/>
      <c r="F974"/>
      <c r="G974"/>
      <c r="H974"/>
      <c r="I974"/>
      <c r="J974"/>
      <c r="K974"/>
      <c r="L974"/>
      <c r="M974"/>
      <c r="N974"/>
      <c r="O974"/>
      <c r="P974"/>
      <c r="Q974"/>
    </row>
    <row r="975" spans="4:17">
      <c r="D975"/>
      <c r="E975"/>
      <c r="F975"/>
      <c r="G975"/>
      <c r="H975"/>
      <c r="I975"/>
      <c r="J975"/>
      <c r="K975"/>
      <c r="L975"/>
      <c r="M975"/>
      <c r="N975"/>
      <c r="O975"/>
      <c r="P975"/>
      <c r="Q975"/>
    </row>
    <row r="976" spans="4:17">
      <c r="D976"/>
      <c r="E976"/>
      <c r="F976"/>
      <c r="G976"/>
      <c r="H976"/>
      <c r="I976"/>
      <c r="J976"/>
      <c r="K976"/>
      <c r="L976"/>
      <c r="M976"/>
      <c r="N976"/>
      <c r="O976"/>
      <c r="P976"/>
      <c r="Q976"/>
    </row>
    <row r="977" spans="4:17">
      <c r="D977"/>
      <c r="E977"/>
      <c r="F977"/>
      <c r="G977"/>
      <c r="H977"/>
      <c r="I977"/>
      <c r="J977"/>
      <c r="K977"/>
      <c r="L977"/>
      <c r="M977"/>
      <c r="N977"/>
      <c r="O977"/>
      <c r="P977"/>
      <c r="Q977"/>
    </row>
    <row r="978" spans="4:17">
      <c r="D978"/>
      <c r="E978"/>
      <c r="F978"/>
      <c r="G978"/>
      <c r="H978"/>
      <c r="I978"/>
      <c r="J978"/>
      <c r="K978"/>
      <c r="L978"/>
      <c r="M978"/>
      <c r="N978"/>
      <c r="O978"/>
      <c r="P978"/>
      <c r="Q978"/>
    </row>
    <row r="979" spans="4:17">
      <c r="D979"/>
      <c r="E979"/>
      <c r="F979"/>
      <c r="G979"/>
      <c r="H979"/>
      <c r="I979"/>
      <c r="J979"/>
      <c r="K979"/>
      <c r="L979"/>
      <c r="M979"/>
      <c r="N979"/>
      <c r="O979"/>
      <c r="P979"/>
      <c r="Q979"/>
    </row>
    <row r="980" spans="4:17">
      <c r="D980"/>
      <c r="E980"/>
      <c r="F980"/>
      <c r="G980"/>
      <c r="H980"/>
      <c r="I980"/>
      <c r="J980"/>
      <c r="K980"/>
      <c r="L980"/>
      <c r="M980"/>
      <c r="N980"/>
      <c r="O980"/>
      <c r="P980"/>
      <c r="Q980"/>
    </row>
    <row r="981" spans="4:17">
      <c r="D981"/>
      <c r="E981"/>
      <c r="F981"/>
      <c r="G981"/>
      <c r="H981"/>
      <c r="I981"/>
      <c r="J981"/>
      <c r="K981"/>
      <c r="L981"/>
      <c r="M981"/>
      <c r="N981"/>
      <c r="O981"/>
      <c r="P981"/>
      <c r="Q981"/>
    </row>
    <row r="982" spans="4:17">
      <c r="D982"/>
      <c r="E982"/>
      <c r="F982"/>
      <c r="G982"/>
      <c r="H982"/>
      <c r="I982"/>
      <c r="J982"/>
      <c r="K982"/>
      <c r="L982"/>
      <c r="M982"/>
      <c r="N982"/>
      <c r="O982"/>
      <c r="P982"/>
      <c r="Q982"/>
    </row>
    <row r="983" spans="4:17">
      <c r="D983"/>
      <c r="E983"/>
      <c r="F983"/>
      <c r="G983"/>
      <c r="H983"/>
      <c r="I983"/>
      <c r="J983"/>
      <c r="K983"/>
      <c r="L983"/>
      <c r="M983"/>
      <c r="N983"/>
      <c r="O983"/>
      <c r="P983"/>
      <c r="Q983"/>
    </row>
    <row r="984" spans="4:17">
      <c r="D984"/>
      <c r="E984"/>
      <c r="F984"/>
      <c r="G984"/>
      <c r="H984"/>
      <c r="I984"/>
      <c r="J984"/>
      <c r="K984"/>
      <c r="L984"/>
      <c r="M984"/>
      <c r="N984"/>
      <c r="O984"/>
      <c r="P984"/>
      <c r="Q984"/>
    </row>
    <row r="985" spans="4:17">
      <c r="D985"/>
      <c r="E985"/>
      <c r="F985"/>
      <c r="G985"/>
      <c r="H985"/>
      <c r="I985"/>
      <c r="J985"/>
      <c r="K985"/>
      <c r="L985"/>
      <c r="M985"/>
      <c r="N985"/>
      <c r="O985"/>
      <c r="P985"/>
      <c r="Q985"/>
    </row>
    <row r="986" spans="4:17">
      <c r="D986"/>
      <c r="E986"/>
      <c r="F986"/>
      <c r="G986"/>
      <c r="H986"/>
      <c r="I986"/>
      <c r="J986"/>
      <c r="K986"/>
      <c r="L986"/>
      <c r="M986"/>
      <c r="N986"/>
      <c r="O986"/>
      <c r="P986"/>
      <c r="Q986"/>
    </row>
    <row r="987" spans="4:17">
      <c r="D987"/>
      <c r="E987"/>
      <c r="F987"/>
      <c r="G987"/>
      <c r="H987"/>
      <c r="I987"/>
      <c r="J987"/>
      <c r="K987"/>
      <c r="L987"/>
      <c r="M987"/>
      <c r="N987"/>
      <c r="O987"/>
      <c r="P987"/>
      <c r="Q987"/>
    </row>
    <row r="988" spans="4:17">
      <c r="D988"/>
      <c r="E988"/>
      <c r="F988"/>
      <c r="G988"/>
      <c r="H988"/>
      <c r="I988"/>
      <c r="J988"/>
      <c r="K988"/>
      <c r="L988"/>
      <c r="M988"/>
      <c r="N988"/>
      <c r="O988"/>
      <c r="P988"/>
      <c r="Q988"/>
    </row>
    <row r="989" spans="4:17">
      <c r="D989"/>
      <c r="E989"/>
      <c r="F989"/>
      <c r="G989"/>
      <c r="H989"/>
      <c r="I989"/>
      <c r="J989"/>
      <c r="K989"/>
      <c r="L989"/>
      <c r="M989"/>
      <c r="N989"/>
      <c r="O989"/>
      <c r="P989"/>
      <c r="Q989"/>
    </row>
    <row r="990" spans="4:17">
      <c r="D990"/>
      <c r="E990"/>
      <c r="F990"/>
      <c r="G990"/>
      <c r="H990"/>
      <c r="I990"/>
      <c r="J990"/>
      <c r="K990"/>
      <c r="L990"/>
      <c r="M990"/>
      <c r="N990"/>
      <c r="O990"/>
      <c r="P990"/>
      <c r="Q990"/>
    </row>
    <row r="991" spans="4:17">
      <c r="D991"/>
      <c r="E991"/>
      <c r="F991"/>
      <c r="G991"/>
      <c r="H991"/>
      <c r="I991"/>
      <c r="J991"/>
      <c r="K991"/>
      <c r="L991"/>
      <c r="M991"/>
      <c r="N991"/>
      <c r="O991"/>
      <c r="P991"/>
      <c r="Q991"/>
    </row>
    <row r="992" spans="4:17">
      <c r="D992"/>
      <c r="E992"/>
      <c r="F992"/>
      <c r="G992"/>
      <c r="H992"/>
      <c r="I992"/>
      <c r="J992"/>
      <c r="K992"/>
      <c r="L992"/>
      <c r="M992"/>
      <c r="N992"/>
      <c r="O992"/>
      <c r="P992"/>
      <c r="Q992"/>
    </row>
    <row r="993" spans="4:17">
      <c r="D993"/>
      <c r="E993"/>
      <c r="F993"/>
      <c r="G993"/>
      <c r="H993"/>
      <c r="I993"/>
      <c r="J993"/>
      <c r="K993"/>
      <c r="L993"/>
      <c r="M993"/>
      <c r="N993"/>
      <c r="O993"/>
      <c r="P993"/>
      <c r="Q993"/>
    </row>
    <row r="994" spans="4:17">
      <c r="D994"/>
      <c r="E994"/>
      <c r="F994"/>
      <c r="G994"/>
      <c r="H994"/>
      <c r="I994"/>
      <c r="J994"/>
      <c r="K994"/>
      <c r="L994"/>
      <c r="M994"/>
      <c r="N994"/>
      <c r="O994"/>
      <c r="P994"/>
      <c r="Q994"/>
    </row>
    <row r="995" spans="4:17">
      <c r="D995"/>
      <c r="E995"/>
      <c r="F995"/>
      <c r="G995"/>
      <c r="H995"/>
      <c r="I995"/>
      <c r="J995"/>
      <c r="K995"/>
      <c r="L995"/>
      <c r="M995"/>
      <c r="N995"/>
      <c r="O995"/>
      <c r="P995"/>
      <c r="Q995"/>
    </row>
    <row r="996" spans="4:17">
      <c r="D996"/>
      <c r="E996"/>
      <c r="F996"/>
      <c r="G996"/>
      <c r="H996"/>
      <c r="I996"/>
      <c r="J996"/>
      <c r="K996"/>
      <c r="L996"/>
      <c r="M996"/>
      <c r="N996"/>
      <c r="O996"/>
      <c r="P996"/>
      <c r="Q996"/>
    </row>
    <row r="997" spans="4:17">
      <c r="D997"/>
      <c r="E997"/>
      <c r="F997"/>
      <c r="G997"/>
      <c r="H997"/>
      <c r="I997"/>
      <c r="J997"/>
      <c r="K997"/>
      <c r="L997"/>
      <c r="M997"/>
      <c r="N997"/>
      <c r="O997"/>
      <c r="P997"/>
      <c r="Q997"/>
    </row>
    <row r="998" spans="4:17">
      <c r="D998"/>
      <c r="E998"/>
      <c r="F998"/>
      <c r="G998"/>
      <c r="H998"/>
      <c r="I998"/>
      <c r="J998"/>
      <c r="K998"/>
      <c r="L998"/>
      <c r="M998"/>
      <c r="N998"/>
      <c r="O998"/>
      <c r="P998"/>
      <c r="Q998"/>
    </row>
    <row r="999" spans="4:17">
      <c r="D999"/>
      <c r="E999"/>
      <c r="F999"/>
      <c r="G999"/>
      <c r="H999"/>
      <c r="I999"/>
      <c r="J999"/>
      <c r="K999"/>
      <c r="L999"/>
      <c r="M999"/>
      <c r="N999"/>
      <c r="O999"/>
      <c r="P999"/>
      <c r="Q999"/>
    </row>
    <row r="1000" spans="4:17">
      <c r="D1000"/>
      <c r="E1000"/>
      <c r="F1000"/>
      <c r="G1000"/>
      <c r="H1000"/>
      <c r="I1000"/>
      <c r="J1000"/>
      <c r="K1000"/>
      <c r="L1000"/>
      <c r="M1000"/>
      <c r="N1000"/>
      <c r="O1000"/>
      <c r="P1000"/>
      <c r="Q1000"/>
    </row>
    <row r="1001" spans="4:17">
      <c r="D1001"/>
      <c r="E1001"/>
      <c r="F1001"/>
      <c r="G1001"/>
      <c r="H1001"/>
      <c r="I1001"/>
      <c r="J1001"/>
      <c r="K1001"/>
      <c r="L1001"/>
      <c r="M1001"/>
      <c r="N1001"/>
      <c r="O1001"/>
      <c r="P1001"/>
      <c r="Q1001"/>
    </row>
  </sheetData>
  <pageMargins left="0.75" right="0.75" top="1" bottom="1" header="0.5" footer="0.5"/>
  <headerFooter alignWithMargins="0">
    <oddHeader>&amp;A</oddHeader>
    <oddFooter>Page &amp;P</oddFooter>
  </headerFooter>
</worksheet>
</file>

<file path=xl/worksheets/sheet5.xml><?xml version="1.0" encoding="utf-8"?>
<worksheet xmlns="http://schemas.openxmlformats.org/spreadsheetml/2006/main" xmlns:r="http://schemas.openxmlformats.org/officeDocument/2006/relationships">
  <sheetPr codeName="Sheet5"/>
  <dimension ref="A1:F677"/>
  <sheetViews>
    <sheetView workbookViewId="0">
      <selection activeCell="B1" sqref="B1"/>
    </sheetView>
  </sheetViews>
  <sheetFormatPr defaultRowHeight="12.75"/>
  <cols>
    <col min="1" max="1" width="9.140625" style="1"/>
    <col min="5" max="5" width="11.85546875" customWidth="1"/>
  </cols>
  <sheetData>
    <row r="1" spans="1:6">
      <c r="A1" s="1" t="s">
        <v>1</v>
      </c>
      <c r="B1" t="s">
        <v>40</v>
      </c>
      <c r="C1" s="14" t="s">
        <v>42</v>
      </c>
      <c r="D1" s="14" t="s">
        <v>37</v>
      </c>
      <c r="E1" s="2" t="s">
        <v>38</v>
      </c>
      <c r="F1" t="s">
        <v>39</v>
      </c>
    </row>
    <row r="2" spans="1:6">
      <c r="A2" s="1">
        <v>0</v>
      </c>
      <c r="B2">
        <v>0</v>
      </c>
      <c r="C2">
        <v>0</v>
      </c>
      <c r="D2">
        <v>0</v>
      </c>
      <c r="E2">
        <v>0</v>
      </c>
      <c r="F2">
        <v>1</v>
      </c>
    </row>
    <row r="3" spans="1:6">
      <c r="A3" s="1">
        <v>1</v>
      </c>
      <c r="B3">
        <v>0</v>
      </c>
      <c r="C3">
        <v>0</v>
      </c>
      <c r="D3">
        <v>0</v>
      </c>
      <c r="E3">
        <v>0</v>
      </c>
    </row>
    <row r="4" spans="1:6">
      <c r="A4" s="1">
        <v>2</v>
      </c>
      <c r="B4">
        <v>0</v>
      </c>
      <c r="C4">
        <v>0</v>
      </c>
      <c r="D4">
        <v>0</v>
      </c>
      <c r="E4">
        <v>0</v>
      </c>
    </row>
    <row r="5" spans="1:6">
      <c r="A5" s="1">
        <v>3</v>
      </c>
      <c r="B5">
        <v>0</v>
      </c>
      <c r="C5">
        <v>0</v>
      </c>
      <c r="D5">
        <v>0</v>
      </c>
      <c r="E5">
        <v>0</v>
      </c>
    </row>
    <row r="6" spans="1:6">
      <c r="A6" s="1">
        <v>4</v>
      </c>
      <c r="B6">
        <v>0</v>
      </c>
      <c r="C6">
        <v>0</v>
      </c>
      <c r="D6">
        <v>0</v>
      </c>
      <c r="E6">
        <v>0</v>
      </c>
    </row>
    <row r="7" spans="1:6">
      <c r="A7" s="1">
        <v>5</v>
      </c>
      <c r="B7">
        <v>0</v>
      </c>
      <c r="C7">
        <v>0</v>
      </c>
      <c r="D7">
        <v>0</v>
      </c>
      <c r="E7">
        <v>0</v>
      </c>
    </row>
    <row r="8" spans="1:6">
      <c r="A8" s="1">
        <v>6</v>
      </c>
      <c r="B8">
        <v>0</v>
      </c>
      <c r="C8">
        <v>0</v>
      </c>
      <c r="D8">
        <v>0</v>
      </c>
      <c r="E8">
        <v>0</v>
      </c>
    </row>
    <row r="9" spans="1:6">
      <c r="A9" s="1">
        <v>7</v>
      </c>
      <c r="B9">
        <v>0</v>
      </c>
      <c r="C9">
        <v>0</v>
      </c>
      <c r="D9">
        <v>0</v>
      </c>
      <c r="E9">
        <v>0</v>
      </c>
    </row>
    <row r="10" spans="1:6">
      <c r="A10" s="1">
        <v>8</v>
      </c>
      <c r="B10">
        <v>0</v>
      </c>
      <c r="C10">
        <v>0</v>
      </c>
      <c r="D10">
        <v>0</v>
      </c>
      <c r="E10">
        <v>0</v>
      </c>
    </row>
    <row r="11" spans="1:6">
      <c r="A11" s="1">
        <v>9</v>
      </c>
      <c r="B11">
        <v>0</v>
      </c>
      <c r="C11">
        <v>0</v>
      </c>
      <c r="D11">
        <v>0</v>
      </c>
      <c r="E11">
        <v>0</v>
      </c>
    </row>
    <row r="12" spans="1:6">
      <c r="A12" s="1">
        <v>10</v>
      </c>
      <c r="B12">
        <v>0</v>
      </c>
      <c r="C12">
        <v>0</v>
      </c>
      <c r="D12">
        <v>0</v>
      </c>
      <c r="E12">
        <v>0</v>
      </c>
    </row>
    <row r="13" spans="1:6">
      <c r="A13" s="1">
        <v>11</v>
      </c>
      <c r="B13">
        <v>0</v>
      </c>
      <c r="C13">
        <v>0</v>
      </c>
      <c r="D13">
        <v>0</v>
      </c>
      <c r="E13">
        <v>0</v>
      </c>
    </row>
    <row r="14" spans="1:6">
      <c r="A14" s="1">
        <v>12</v>
      </c>
      <c r="B14">
        <v>0</v>
      </c>
      <c r="C14">
        <v>0</v>
      </c>
      <c r="D14">
        <v>0</v>
      </c>
      <c r="E14">
        <v>0</v>
      </c>
    </row>
    <row r="15" spans="1:6">
      <c r="A15" s="1">
        <v>13</v>
      </c>
      <c r="B15">
        <v>0</v>
      </c>
      <c r="C15">
        <v>0</v>
      </c>
      <c r="D15">
        <v>0</v>
      </c>
      <c r="E15">
        <v>0</v>
      </c>
    </row>
    <row r="16" spans="1:6">
      <c r="A16" s="1">
        <v>14</v>
      </c>
      <c r="B16">
        <v>0</v>
      </c>
      <c r="C16">
        <v>0</v>
      </c>
      <c r="D16">
        <v>0</v>
      </c>
      <c r="E16">
        <v>0</v>
      </c>
    </row>
    <row r="17" spans="1:5">
      <c r="A17" s="1">
        <v>15</v>
      </c>
      <c r="B17">
        <v>0</v>
      </c>
      <c r="C17">
        <v>0</v>
      </c>
      <c r="D17">
        <v>0</v>
      </c>
      <c r="E17">
        <v>0</v>
      </c>
    </row>
    <row r="18" spans="1:5">
      <c r="A18" s="1">
        <v>16</v>
      </c>
      <c r="B18">
        <v>0</v>
      </c>
      <c r="C18">
        <v>0</v>
      </c>
      <c r="D18">
        <v>0</v>
      </c>
      <c r="E18">
        <v>0</v>
      </c>
    </row>
    <row r="19" spans="1:5">
      <c r="A19" s="1">
        <v>17</v>
      </c>
      <c r="B19">
        <v>0</v>
      </c>
      <c r="C19">
        <v>0</v>
      </c>
      <c r="D19">
        <v>0</v>
      </c>
      <c r="E19">
        <v>0</v>
      </c>
    </row>
    <row r="20" spans="1:5">
      <c r="A20" s="1">
        <v>18</v>
      </c>
      <c r="B20">
        <v>0</v>
      </c>
      <c r="C20">
        <v>0</v>
      </c>
      <c r="D20">
        <v>0</v>
      </c>
      <c r="E20">
        <v>0</v>
      </c>
    </row>
    <row r="21" spans="1:5">
      <c r="A21" s="1">
        <v>19</v>
      </c>
      <c r="B21">
        <v>0</v>
      </c>
      <c r="C21">
        <v>0</v>
      </c>
      <c r="D21">
        <v>0</v>
      </c>
      <c r="E21">
        <v>0</v>
      </c>
    </row>
    <row r="22" spans="1:5">
      <c r="A22" s="1">
        <v>20</v>
      </c>
      <c r="B22">
        <v>0</v>
      </c>
      <c r="C22">
        <v>0</v>
      </c>
      <c r="D22">
        <v>0</v>
      </c>
      <c r="E22">
        <v>0</v>
      </c>
    </row>
    <row r="23" spans="1:5">
      <c r="A23" s="1">
        <v>21</v>
      </c>
      <c r="B23">
        <v>0</v>
      </c>
      <c r="C23">
        <v>0</v>
      </c>
      <c r="D23">
        <v>0</v>
      </c>
      <c r="E23">
        <v>0</v>
      </c>
    </row>
    <row r="24" spans="1:5">
      <c r="A24" s="1">
        <v>22</v>
      </c>
      <c r="B24">
        <v>0</v>
      </c>
      <c r="C24">
        <v>0</v>
      </c>
      <c r="D24">
        <v>0</v>
      </c>
      <c r="E24">
        <v>0</v>
      </c>
    </row>
    <row r="25" spans="1:5">
      <c r="A25" s="1">
        <v>23</v>
      </c>
      <c r="B25">
        <v>0</v>
      </c>
      <c r="C25">
        <v>0</v>
      </c>
      <c r="D25">
        <v>0</v>
      </c>
      <c r="E25">
        <v>0</v>
      </c>
    </row>
    <row r="26" spans="1:5">
      <c r="A26" s="1">
        <v>24</v>
      </c>
      <c r="B26">
        <v>0</v>
      </c>
      <c r="C26">
        <v>0</v>
      </c>
      <c r="D26">
        <v>0</v>
      </c>
      <c r="E26">
        <v>0</v>
      </c>
    </row>
    <row r="27" spans="1:5">
      <c r="A27" s="1">
        <v>25</v>
      </c>
      <c r="B27">
        <v>0</v>
      </c>
      <c r="C27">
        <v>0</v>
      </c>
      <c r="D27">
        <v>0</v>
      </c>
      <c r="E27">
        <v>0</v>
      </c>
    </row>
    <row r="28" spans="1:5">
      <c r="A28" s="1">
        <v>26</v>
      </c>
      <c r="B28">
        <v>0</v>
      </c>
      <c r="C28">
        <v>0</v>
      </c>
      <c r="D28">
        <v>0</v>
      </c>
      <c r="E28">
        <v>0</v>
      </c>
    </row>
    <row r="29" spans="1:5">
      <c r="A29" s="1">
        <v>27</v>
      </c>
      <c r="B29">
        <v>0</v>
      </c>
      <c r="C29">
        <v>0</v>
      </c>
      <c r="D29">
        <v>0</v>
      </c>
      <c r="E29">
        <v>0</v>
      </c>
    </row>
    <row r="30" spans="1:5">
      <c r="A30" s="1">
        <v>28</v>
      </c>
      <c r="B30">
        <v>0</v>
      </c>
      <c r="C30">
        <v>0</v>
      </c>
      <c r="D30">
        <v>0</v>
      </c>
      <c r="E30">
        <v>0</v>
      </c>
    </row>
    <row r="31" spans="1:5">
      <c r="A31" s="1">
        <v>29</v>
      </c>
      <c r="B31">
        <v>0</v>
      </c>
      <c r="C31">
        <v>0</v>
      </c>
      <c r="D31">
        <v>0</v>
      </c>
      <c r="E31">
        <v>0</v>
      </c>
    </row>
    <row r="32" spans="1:5">
      <c r="A32" s="1">
        <v>30</v>
      </c>
      <c r="B32">
        <v>0</v>
      </c>
      <c r="C32">
        <v>0</v>
      </c>
      <c r="D32">
        <v>0</v>
      </c>
      <c r="E32">
        <v>0</v>
      </c>
    </row>
    <row r="33" spans="1:5">
      <c r="A33" s="1">
        <v>31</v>
      </c>
      <c r="B33">
        <v>0</v>
      </c>
      <c r="C33">
        <v>0</v>
      </c>
      <c r="D33">
        <v>0</v>
      </c>
      <c r="E33">
        <v>0</v>
      </c>
    </row>
    <row r="34" spans="1:5">
      <c r="A34" s="1">
        <v>32</v>
      </c>
      <c r="B34">
        <v>0</v>
      </c>
      <c r="C34">
        <v>0</v>
      </c>
      <c r="D34">
        <v>0</v>
      </c>
      <c r="E34">
        <v>0</v>
      </c>
    </row>
    <row r="35" spans="1:5">
      <c r="A35" s="1">
        <v>33</v>
      </c>
      <c r="B35">
        <v>0</v>
      </c>
      <c r="C35">
        <v>0</v>
      </c>
      <c r="D35">
        <v>0</v>
      </c>
      <c r="E35">
        <v>0</v>
      </c>
    </row>
    <row r="36" spans="1:5">
      <c r="A36" s="1">
        <v>34</v>
      </c>
      <c r="B36">
        <v>0</v>
      </c>
      <c r="C36">
        <v>0</v>
      </c>
      <c r="D36">
        <v>0</v>
      </c>
      <c r="E36">
        <v>0</v>
      </c>
    </row>
    <row r="37" spans="1:5">
      <c r="A37" s="1">
        <v>35</v>
      </c>
      <c r="B37">
        <v>0</v>
      </c>
      <c r="C37">
        <v>0</v>
      </c>
      <c r="D37">
        <v>0</v>
      </c>
      <c r="E37">
        <v>0</v>
      </c>
    </row>
    <row r="38" spans="1:5">
      <c r="A38" s="1">
        <v>36</v>
      </c>
      <c r="B38">
        <v>1</v>
      </c>
      <c r="C38">
        <v>0</v>
      </c>
      <c r="D38">
        <v>0</v>
      </c>
      <c r="E38">
        <v>1</v>
      </c>
    </row>
    <row r="39" spans="1:5">
      <c r="A39" s="1">
        <v>37</v>
      </c>
      <c r="B39">
        <v>1</v>
      </c>
      <c r="C39">
        <v>0</v>
      </c>
      <c r="D39">
        <v>0</v>
      </c>
      <c r="E39">
        <v>1</v>
      </c>
    </row>
    <row r="40" spans="1:5">
      <c r="A40" s="1">
        <v>38</v>
      </c>
      <c r="B40">
        <v>1</v>
      </c>
      <c r="C40">
        <v>0</v>
      </c>
      <c r="D40">
        <v>0</v>
      </c>
      <c r="E40">
        <v>1</v>
      </c>
    </row>
    <row r="41" spans="1:5">
      <c r="A41" s="1">
        <v>39</v>
      </c>
      <c r="B41">
        <v>1</v>
      </c>
      <c r="C41">
        <v>0</v>
      </c>
      <c r="D41">
        <v>0</v>
      </c>
      <c r="E41">
        <v>1</v>
      </c>
    </row>
    <row r="42" spans="1:5">
      <c r="A42" s="1">
        <v>40</v>
      </c>
      <c r="B42">
        <v>1</v>
      </c>
      <c r="C42">
        <v>0</v>
      </c>
      <c r="D42">
        <v>0</v>
      </c>
      <c r="E42">
        <v>1</v>
      </c>
    </row>
    <row r="43" spans="1:5">
      <c r="A43" s="1">
        <v>41</v>
      </c>
      <c r="B43">
        <v>1</v>
      </c>
      <c r="C43">
        <v>0</v>
      </c>
      <c r="D43">
        <v>0</v>
      </c>
      <c r="E43">
        <v>1</v>
      </c>
    </row>
    <row r="44" spans="1:5">
      <c r="A44" s="1">
        <v>42</v>
      </c>
      <c r="B44">
        <v>1</v>
      </c>
      <c r="C44">
        <v>0</v>
      </c>
      <c r="D44">
        <v>0</v>
      </c>
      <c r="E44">
        <v>1</v>
      </c>
    </row>
    <row r="45" spans="1:5">
      <c r="A45" s="1">
        <v>43</v>
      </c>
      <c r="B45">
        <v>1</v>
      </c>
      <c r="C45">
        <v>0</v>
      </c>
      <c r="D45">
        <v>0</v>
      </c>
      <c r="E45">
        <v>1</v>
      </c>
    </row>
    <row r="46" spans="1:5">
      <c r="A46" s="1">
        <v>44</v>
      </c>
      <c r="B46">
        <v>1</v>
      </c>
      <c r="C46">
        <v>0</v>
      </c>
      <c r="D46">
        <v>0</v>
      </c>
      <c r="E46">
        <v>1</v>
      </c>
    </row>
    <row r="47" spans="1:5">
      <c r="A47" s="1">
        <v>45</v>
      </c>
      <c r="B47">
        <v>1</v>
      </c>
      <c r="C47">
        <v>0</v>
      </c>
      <c r="D47">
        <v>0</v>
      </c>
      <c r="E47">
        <v>1</v>
      </c>
    </row>
    <row r="48" spans="1:5">
      <c r="A48" s="1">
        <v>46</v>
      </c>
      <c r="B48">
        <v>1</v>
      </c>
      <c r="C48">
        <v>0</v>
      </c>
      <c r="D48">
        <v>0</v>
      </c>
      <c r="E48">
        <v>1</v>
      </c>
    </row>
    <row r="49" spans="1:5">
      <c r="A49" s="1">
        <v>47</v>
      </c>
      <c r="B49">
        <v>1</v>
      </c>
      <c r="C49">
        <v>0</v>
      </c>
      <c r="D49">
        <v>0</v>
      </c>
      <c r="E49">
        <v>1</v>
      </c>
    </row>
    <row r="50" spans="1:5">
      <c r="A50" s="1">
        <v>48</v>
      </c>
      <c r="B50">
        <v>1</v>
      </c>
      <c r="C50">
        <v>0</v>
      </c>
      <c r="D50">
        <v>0</v>
      </c>
      <c r="E50">
        <v>1</v>
      </c>
    </row>
    <row r="51" spans="1:5">
      <c r="A51" s="1">
        <v>49</v>
      </c>
      <c r="B51">
        <v>2</v>
      </c>
      <c r="C51">
        <v>0</v>
      </c>
      <c r="D51">
        <v>0</v>
      </c>
      <c r="E51">
        <v>2</v>
      </c>
    </row>
    <row r="52" spans="1:5">
      <c r="A52" s="1">
        <v>50</v>
      </c>
      <c r="B52">
        <v>2</v>
      </c>
      <c r="C52">
        <v>0</v>
      </c>
      <c r="D52">
        <v>0</v>
      </c>
      <c r="E52">
        <v>2</v>
      </c>
    </row>
    <row r="53" spans="1:5">
      <c r="A53" s="1">
        <v>51</v>
      </c>
      <c r="B53">
        <v>2</v>
      </c>
      <c r="C53">
        <v>0</v>
      </c>
      <c r="D53">
        <v>0</v>
      </c>
      <c r="E53">
        <v>2</v>
      </c>
    </row>
    <row r="54" spans="1:5">
      <c r="A54" s="1">
        <v>52</v>
      </c>
      <c r="B54">
        <v>2</v>
      </c>
      <c r="C54">
        <v>0</v>
      </c>
      <c r="D54">
        <v>0</v>
      </c>
      <c r="E54">
        <v>2</v>
      </c>
    </row>
    <row r="55" spans="1:5">
      <c r="A55" s="1">
        <v>53</v>
      </c>
      <c r="B55">
        <v>2</v>
      </c>
      <c r="C55">
        <v>0</v>
      </c>
      <c r="D55">
        <v>0</v>
      </c>
      <c r="E55">
        <v>2</v>
      </c>
    </row>
    <row r="56" spans="1:5">
      <c r="A56" s="1">
        <v>54</v>
      </c>
      <c r="B56">
        <v>2</v>
      </c>
      <c r="C56">
        <v>0</v>
      </c>
      <c r="D56">
        <v>0</v>
      </c>
      <c r="E56">
        <v>2</v>
      </c>
    </row>
    <row r="57" spans="1:5">
      <c r="A57" s="1">
        <v>55</v>
      </c>
      <c r="B57">
        <v>2</v>
      </c>
      <c r="C57">
        <v>0</v>
      </c>
      <c r="D57">
        <v>0</v>
      </c>
      <c r="E57">
        <v>2</v>
      </c>
    </row>
    <row r="58" spans="1:5">
      <c r="A58" s="1">
        <v>56</v>
      </c>
      <c r="B58">
        <v>2</v>
      </c>
      <c r="C58">
        <v>0</v>
      </c>
      <c r="D58">
        <v>0</v>
      </c>
      <c r="E58">
        <v>2</v>
      </c>
    </row>
    <row r="59" spans="1:5">
      <c r="A59" s="1">
        <v>57</v>
      </c>
      <c r="B59">
        <v>2</v>
      </c>
      <c r="C59">
        <v>0</v>
      </c>
      <c r="D59">
        <v>0</v>
      </c>
      <c r="E59">
        <v>2</v>
      </c>
    </row>
    <row r="60" spans="1:5">
      <c r="A60" s="1">
        <v>58</v>
      </c>
      <c r="B60">
        <v>3</v>
      </c>
      <c r="C60">
        <v>0</v>
      </c>
      <c r="D60">
        <v>0</v>
      </c>
      <c r="E60">
        <v>3</v>
      </c>
    </row>
    <row r="61" spans="1:5">
      <c r="A61" s="1">
        <v>59</v>
      </c>
      <c r="B61">
        <v>3</v>
      </c>
      <c r="C61">
        <v>0</v>
      </c>
      <c r="D61">
        <v>0</v>
      </c>
      <c r="E61">
        <v>3</v>
      </c>
    </row>
    <row r="62" spans="1:5">
      <c r="A62" s="1">
        <v>60</v>
      </c>
      <c r="B62">
        <v>3</v>
      </c>
      <c r="C62">
        <v>0</v>
      </c>
      <c r="D62">
        <v>0</v>
      </c>
      <c r="E62">
        <v>3</v>
      </c>
    </row>
    <row r="63" spans="1:5">
      <c r="A63" s="1">
        <v>61</v>
      </c>
      <c r="B63">
        <v>3</v>
      </c>
      <c r="C63">
        <v>0</v>
      </c>
      <c r="D63">
        <v>0</v>
      </c>
      <c r="E63">
        <v>3</v>
      </c>
    </row>
    <row r="64" spans="1:5">
      <c r="A64" s="1">
        <v>62</v>
      </c>
      <c r="B64">
        <v>3</v>
      </c>
      <c r="C64">
        <v>0</v>
      </c>
      <c r="D64">
        <v>0</v>
      </c>
      <c r="E64">
        <v>3</v>
      </c>
    </row>
    <row r="65" spans="1:5">
      <c r="A65" s="1">
        <v>63</v>
      </c>
      <c r="B65">
        <v>3</v>
      </c>
      <c r="C65">
        <v>0</v>
      </c>
      <c r="D65">
        <v>0</v>
      </c>
      <c r="E65">
        <v>3</v>
      </c>
    </row>
    <row r="66" spans="1:5">
      <c r="A66" s="1">
        <v>64</v>
      </c>
      <c r="B66">
        <v>3</v>
      </c>
      <c r="C66">
        <v>0</v>
      </c>
      <c r="D66">
        <v>0</v>
      </c>
      <c r="E66">
        <v>3</v>
      </c>
    </row>
    <row r="67" spans="1:5">
      <c r="A67" s="1">
        <v>65</v>
      </c>
      <c r="B67">
        <v>3</v>
      </c>
      <c r="C67">
        <v>0</v>
      </c>
      <c r="D67">
        <v>0</v>
      </c>
      <c r="E67">
        <v>3</v>
      </c>
    </row>
    <row r="68" spans="1:5">
      <c r="A68" s="1">
        <v>66</v>
      </c>
      <c r="B68">
        <v>3</v>
      </c>
      <c r="C68">
        <v>0</v>
      </c>
      <c r="D68">
        <v>0</v>
      </c>
      <c r="E68">
        <v>3</v>
      </c>
    </row>
    <row r="69" spans="1:5">
      <c r="A69" s="1">
        <v>67</v>
      </c>
      <c r="B69">
        <v>4</v>
      </c>
      <c r="C69">
        <v>0</v>
      </c>
      <c r="D69">
        <v>0</v>
      </c>
      <c r="E69">
        <v>4</v>
      </c>
    </row>
    <row r="70" spans="1:5">
      <c r="A70" s="1">
        <v>68</v>
      </c>
      <c r="B70">
        <v>4</v>
      </c>
      <c r="C70">
        <v>0</v>
      </c>
      <c r="D70">
        <v>0</v>
      </c>
      <c r="E70">
        <v>4</v>
      </c>
    </row>
    <row r="71" spans="1:5">
      <c r="A71" s="1">
        <v>69</v>
      </c>
      <c r="B71">
        <v>4</v>
      </c>
      <c r="C71">
        <v>0</v>
      </c>
      <c r="D71">
        <v>0</v>
      </c>
      <c r="E71">
        <v>4</v>
      </c>
    </row>
    <row r="72" spans="1:5">
      <c r="A72" s="1">
        <v>70</v>
      </c>
      <c r="B72">
        <v>4</v>
      </c>
      <c r="C72">
        <v>0</v>
      </c>
      <c r="D72">
        <v>0</v>
      </c>
      <c r="E72">
        <v>4</v>
      </c>
    </row>
    <row r="73" spans="1:5">
      <c r="A73" s="1">
        <v>71</v>
      </c>
      <c r="B73">
        <v>4</v>
      </c>
      <c r="C73">
        <v>0</v>
      </c>
      <c r="D73">
        <v>0</v>
      </c>
      <c r="E73">
        <v>4</v>
      </c>
    </row>
    <row r="74" spans="1:5">
      <c r="A74" s="1">
        <v>72</v>
      </c>
      <c r="B74">
        <v>4</v>
      </c>
      <c r="C74">
        <v>0</v>
      </c>
      <c r="D74">
        <v>0</v>
      </c>
      <c r="E74">
        <v>4</v>
      </c>
    </row>
    <row r="75" spans="1:5">
      <c r="A75" s="1">
        <v>73</v>
      </c>
      <c r="B75">
        <v>5</v>
      </c>
      <c r="C75">
        <v>0</v>
      </c>
      <c r="D75">
        <v>0</v>
      </c>
      <c r="E75">
        <v>5</v>
      </c>
    </row>
    <row r="76" spans="1:5">
      <c r="A76" s="1">
        <v>74</v>
      </c>
      <c r="B76">
        <v>5</v>
      </c>
      <c r="C76">
        <v>0</v>
      </c>
      <c r="D76">
        <v>0</v>
      </c>
      <c r="E76">
        <v>5</v>
      </c>
    </row>
    <row r="77" spans="1:5">
      <c r="A77" s="1">
        <v>75</v>
      </c>
      <c r="B77">
        <v>5</v>
      </c>
      <c r="C77">
        <v>0</v>
      </c>
      <c r="D77">
        <v>0</v>
      </c>
      <c r="E77">
        <v>5</v>
      </c>
    </row>
    <row r="78" spans="1:5">
      <c r="A78" s="1">
        <v>76</v>
      </c>
      <c r="B78">
        <v>5</v>
      </c>
      <c r="C78">
        <v>0</v>
      </c>
      <c r="D78">
        <v>0</v>
      </c>
      <c r="E78">
        <v>5</v>
      </c>
    </row>
    <row r="79" spans="1:5">
      <c r="A79" s="1">
        <v>77</v>
      </c>
      <c r="B79">
        <v>5</v>
      </c>
      <c r="C79">
        <v>0</v>
      </c>
      <c r="D79">
        <v>0</v>
      </c>
      <c r="E79">
        <v>5</v>
      </c>
    </row>
    <row r="80" spans="1:5">
      <c r="A80" s="1">
        <v>78</v>
      </c>
      <c r="B80">
        <v>5</v>
      </c>
      <c r="C80">
        <v>0</v>
      </c>
      <c r="D80">
        <v>0</v>
      </c>
      <c r="E80">
        <v>5</v>
      </c>
    </row>
    <row r="81" spans="1:5">
      <c r="A81" s="1">
        <v>79</v>
      </c>
      <c r="B81">
        <v>5</v>
      </c>
      <c r="C81">
        <v>0</v>
      </c>
      <c r="D81">
        <v>0</v>
      </c>
      <c r="E81">
        <v>5</v>
      </c>
    </row>
    <row r="82" spans="1:5">
      <c r="A82" s="1">
        <v>80</v>
      </c>
      <c r="B82">
        <v>6</v>
      </c>
      <c r="C82">
        <v>0</v>
      </c>
      <c r="D82">
        <v>0</v>
      </c>
      <c r="E82">
        <v>6</v>
      </c>
    </row>
    <row r="83" spans="1:5">
      <c r="A83" s="1">
        <v>81</v>
      </c>
      <c r="B83">
        <v>6</v>
      </c>
      <c r="C83">
        <v>0</v>
      </c>
      <c r="D83">
        <v>0</v>
      </c>
      <c r="E83">
        <v>6</v>
      </c>
    </row>
    <row r="84" spans="1:5">
      <c r="A84" s="1">
        <v>82</v>
      </c>
      <c r="B84">
        <v>6</v>
      </c>
      <c r="C84">
        <v>0</v>
      </c>
      <c r="D84">
        <v>0</v>
      </c>
      <c r="E84">
        <v>6</v>
      </c>
    </row>
    <row r="85" spans="1:5">
      <c r="A85" s="1">
        <v>83</v>
      </c>
      <c r="B85">
        <v>6</v>
      </c>
      <c r="C85">
        <v>0</v>
      </c>
      <c r="D85">
        <v>0</v>
      </c>
      <c r="E85">
        <v>6</v>
      </c>
    </row>
    <row r="86" spans="1:5">
      <c r="A86" s="1">
        <v>84</v>
      </c>
      <c r="B86">
        <v>6</v>
      </c>
      <c r="C86">
        <v>0</v>
      </c>
      <c r="D86">
        <v>0</v>
      </c>
      <c r="E86">
        <v>6</v>
      </c>
    </row>
    <row r="87" spans="1:5">
      <c r="A87" s="1">
        <v>85</v>
      </c>
      <c r="B87">
        <v>6</v>
      </c>
      <c r="C87">
        <v>0</v>
      </c>
      <c r="D87">
        <v>0</v>
      </c>
      <c r="E87">
        <v>6</v>
      </c>
    </row>
    <row r="88" spans="1:5">
      <c r="A88" s="1">
        <v>86</v>
      </c>
      <c r="B88">
        <v>7</v>
      </c>
      <c r="C88">
        <v>0</v>
      </c>
      <c r="D88">
        <v>0</v>
      </c>
      <c r="E88">
        <v>7</v>
      </c>
    </row>
    <row r="89" spans="1:5">
      <c r="A89" s="1">
        <v>87</v>
      </c>
      <c r="B89">
        <v>7</v>
      </c>
      <c r="C89">
        <v>0</v>
      </c>
      <c r="D89">
        <v>0</v>
      </c>
      <c r="E89">
        <v>7</v>
      </c>
    </row>
    <row r="90" spans="1:5">
      <c r="A90" s="1">
        <v>88</v>
      </c>
      <c r="B90">
        <v>7</v>
      </c>
      <c r="C90">
        <v>0</v>
      </c>
      <c r="D90">
        <v>0</v>
      </c>
      <c r="E90">
        <v>7</v>
      </c>
    </row>
    <row r="91" spans="1:5">
      <c r="A91" s="1">
        <v>89</v>
      </c>
      <c r="B91">
        <v>7</v>
      </c>
      <c r="C91">
        <v>0</v>
      </c>
      <c r="D91">
        <v>0</v>
      </c>
      <c r="E91">
        <v>7</v>
      </c>
    </row>
    <row r="92" spans="1:5">
      <c r="A92" s="1">
        <v>90</v>
      </c>
      <c r="B92">
        <v>7</v>
      </c>
      <c r="C92">
        <v>0</v>
      </c>
      <c r="D92">
        <v>0</v>
      </c>
      <c r="E92">
        <v>7</v>
      </c>
    </row>
    <row r="93" spans="1:5">
      <c r="A93" s="1">
        <v>91</v>
      </c>
      <c r="B93">
        <v>7</v>
      </c>
      <c r="C93">
        <v>0</v>
      </c>
      <c r="D93">
        <v>0</v>
      </c>
      <c r="E93">
        <v>7</v>
      </c>
    </row>
    <row r="94" spans="1:5">
      <c r="A94" s="1">
        <v>92</v>
      </c>
      <c r="B94">
        <v>7</v>
      </c>
      <c r="C94">
        <v>0</v>
      </c>
      <c r="D94">
        <v>0</v>
      </c>
      <c r="E94">
        <v>7</v>
      </c>
    </row>
    <row r="95" spans="1:5">
      <c r="A95" s="1">
        <v>93</v>
      </c>
      <c r="B95">
        <v>7</v>
      </c>
      <c r="C95">
        <v>0</v>
      </c>
      <c r="D95">
        <v>0</v>
      </c>
      <c r="E95">
        <v>7</v>
      </c>
    </row>
    <row r="96" spans="1:5">
      <c r="A96" s="1">
        <v>94</v>
      </c>
      <c r="B96">
        <v>8</v>
      </c>
      <c r="C96">
        <v>0</v>
      </c>
      <c r="D96">
        <v>0</v>
      </c>
      <c r="E96">
        <v>8</v>
      </c>
    </row>
    <row r="97" spans="1:5">
      <c r="A97" s="1">
        <v>95</v>
      </c>
      <c r="B97">
        <v>8</v>
      </c>
      <c r="C97">
        <v>0</v>
      </c>
      <c r="D97">
        <v>0</v>
      </c>
      <c r="E97">
        <v>8</v>
      </c>
    </row>
    <row r="98" spans="1:5">
      <c r="A98" s="1">
        <v>96</v>
      </c>
      <c r="B98">
        <v>8</v>
      </c>
      <c r="C98">
        <v>0</v>
      </c>
      <c r="D98">
        <v>0</v>
      </c>
      <c r="E98">
        <v>8</v>
      </c>
    </row>
    <row r="99" spans="1:5">
      <c r="A99" s="1">
        <v>97</v>
      </c>
      <c r="B99">
        <v>8</v>
      </c>
      <c r="C99">
        <v>0</v>
      </c>
      <c r="D99">
        <v>0</v>
      </c>
      <c r="E99">
        <v>8</v>
      </c>
    </row>
    <row r="100" spans="1:5">
      <c r="A100" s="1">
        <v>98</v>
      </c>
      <c r="B100">
        <v>8</v>
      </c>
      <c r="C100">
        <v>0</v>
      </c>
      <c r="D100">
        <v>0</v>
      </c>
      <c r="E100">
        <v>8</v>
      </c>
    </row>
    <row r="101" spans="1:5">
      <c r="A101" s="1">
        <v>99</v>
      </c>
      <c r="B101">
        <v>8</v>
      </c>
      <c r="C101">
        <v>0</v>
      </c>
      <c r="D101">
        <v>0</v>
      </c>
      <c r="E101">
        <v>8</v>
      </c>
    </row>
    <row r="102" spans="1:5">
      <c r="A102" s="1">
        <v>100</v>
      </c>
      <c r="B102">
        <v>9</v>
      </c>
      <c r="C102">
        <v>0</v>
      </c>
      <c r="D102">
        <v>0</v>
      </c>
      <c r="E102">
        <v>9</v>
      </c>
    </row>
    <row r="103" spans="1:5">
      <c r="A103" s="1">
        <v>101</v>
      </c>
      <c r="B103">
        <v>9</v>
      </c>
      <c r="C103">
        <v>0</v>
      </c>
      <c r="D103">
        <v>0</v>
      </c>
      <c r="E103">
        <v>9</v>
      </c>
    </row>
    <row r="104" spans="1:5">
      <c r="A104" s="1">
        <v>102</v>
      </c>
      <c r="B104">
        <v>9</v>
      </c>
      <c r="C104">
        <v>0</v>
      </c>
      <c r="D104">
        <v>0</v>
      </c>
      <c r="E104">
        <v>9</v>
      </c>
    </row>
    <row r="105" spans="1:5">
      <c r="A105" s="1">
        <v>103</v>
      </c>
      <c r="B105">
        <v>9</v>
      </c>
      <c r="C105">
        <v>0</v>
      </c>
      <c r="D105">
        <v>0</v>
      </c>
      <c r="E105">
        <v>9</v>
      </c>
    </row>
    <row r="106" spans="1:5">
      <c r="A106" s="1">
        <v>104</v>
      </c>
      <c r="B106">
        <v>9</v>
      </c>
      <c r="C106">
        <v>0</v>
      </c>
      <c r="D106">
        <v>0</v>
      </c>
      <c r="E106">
        <v>9</v>
      </c>
    </row>
    <row r="107" spans="1:5">
      <c r="A107" s="1">
        <v>105</v>
      </c>
      <c r="B107">
        <v>9</v>
      </c>
      <c r="C107">
        <v>0</v>
      </c>
      <c r="D107">
        <v>0</v>
      </c>
      <c r="E107">
        <v>9</v>
      </c>
    </row>
    <row r="108" spans="1:5">
      <c r="A108" s="1">
        <v>106</v>
      </c>
      <c r="B108">
        <v>10</v>
      </c>
      <c r="C108">
        <v>0</v>
      </c>
      <c r="D108">
        <v>0</v>
      </c>
      <c r="E108">
        <v>10</v>
      </c>
    </row>
    <row r="109" spans="1:5">
      <c r="A109" s="1">
        <v>107</v>
      </c>
      <c r="B109">
        <v>10</v>
      </c>
      <c r="C109">
        <v>0</v>
      </c>
      <c r="D109">
        <v>0</v>
      </c>
      <c r="E109">
        <v>10</v>
      </c>
    </row>
    <row r="110" spans="1:5">
      <c r="A110" s="1">
        <v>108</v>
      </c>
      <c r="B110">
        <v>10</v>
      </c>
      <c r="C110">
        <v>0</v>
      </c>
      <c r="D110">
        <v>0</v>
      </c>
      <c r="E110">
        <v>10</v>
      </c>
    </row>
    <row r="111" spans="1:5">
      <c r="A111" s="1">
        <v>109</v>
      </c>
      <c r="B111">
        <v>10</v>
      </c>
      <c r="C111">
        <v>0</v>
      </c>
      <c r="D111">
        <v>0</v>
      </c>
      <c r="E111">
        <v>10</v>
      </c>
    </row>
    <row r="112" spans="1:5">
      <c r="A112" s="1">
        <v>110</v>
      </c>
      <c r="B112">
        <v>10</v>
      </c>
      <c r="C112">
        <v>0</v>
      </c>
      <c r="D112">
        <v>0</v>
      </c>
      <c r="E112">
        <v>10</v>
      </c>
    </row>
    <row r="113" spans="1:5">
      <c r="A113" s="1">
        <v>111</v>
      </c>
      <c r="B113">
        <v>11</v>
      </c>
      <c r="C113">
        <v>0</v>
      </c>
      <c r="D113">
        <v>0</v>
      </c>
      <c r="E113">
        <v>11</v>
      </c>
    </row>
    <row r="114" spans="1:5">
      <c r="A114" s="1">
        <v>112</v>
      </c>
      <c r="B114">
        <v>11</v>
      </c>
      <c r="C114">
        <v>0</v>
      </c>
      <c r="D114">
        <v>0</v>
      </c>
      <c r="E114">
        <v>11</v>
      </c>
    </row>
    <row r="115" spans="1:5">
      <c r="A115" s="1">
        <v>113</v>
      </c>
      <c r="B115">
        <v>11</v>
      </c>
      <c r="C115">
        <v>0</v>
      </c>
      <c r="D115">
        <v>0</v>
      </c>
      <c r="E115">
        <v>11</v>
      </c>
    </row>
    <row r="116" spans="1:5">
      <c r="A116" s="1">
        <v>114</v>
      </c>
      <c r="B116">
        <v>11</v>
      </c>
      <c r="C116">
        <v>0</v>
      </c>
      <c r="D116">
        <v>0</v>
      </c>
      <c r="E116">
        <v>11</v>
      </c>
    </row>
    <row r="117" spans="1:5">
      <c r="A117" s="1">
        <v>115</v>
      </c>
      <c r="B117">
        <v>11</v>
      </c>
      <c r="C117">
        <v>0</v>
      </c>
      <c r="D117">
        <v>0</v>
      </c>
      <c r="E117">
        <v>11</v>
      </c>
    </row>
    <row r="118" spans="1:5">
      <c r="A118" s="1">
        <v>116</v>
      </c>
      <c r="B118">
        <v>11</v>
      </c>
      <c r="C118">
        <v>0</v>
      </c>
      <c r="D118">
        <v>0</v>
      </c>
      <c r="E118">
        <v>11</v>
      </c>
    </row>
    <row r="119" spans="1:5">
      <c r="A119" s="1">
        <v>117</v>
      </c>
      <c r="B119">
        <v>12</v>
      </c>
      <c r="C119">
        <v>0</v>
      </c>
      <c r="D119">
        <v>0</v>
      </c>
      <c r="E119">
        <v>12</v>
      </c>
    </row>
    <row r="120" spans="1:5">
      <c r="A120" s="1">
        <v>118</v>
      </c>
      <c r="B120">
        <v>12</v>
      </c>
      <c r="C120">
        <v>0</v>
      </c>
      <c r="D120">
        <v>0</v>
      </c>
      <c r="E120">
        <v>12</v>
      </c>
    </row>
    <row r="121" spans="1:5">
      <c r="A121" s="1">
        <v>119</v>
      </c>
      <c r="B121">
        <v>12</v>
      </c>
      <c r="C121">
        <v>0</v>
      </c>
      <c r="D121">
        <v>0</v>
      </c>
      <c r="E121">
        <v>12</v>
      </c>
    </row>
    <row r="122" spans="1:5">
      <c r="A122" s="1">
        <v>120</v>
      </c>
      <c r="B122">
        <v>12</v>
      </c>
      <c r="C122">
        <v>0</v>
      </c>
      <c r="D122">
        <v>0</v>
      </c>
      <c r="E122">
        <v>12</v>
      </c>
    </row>
    <row r="123" spans="1:5">
      <c r="A123" s="1">
        <v>121</v>
      </c>
      <c r="B123">
        <v>12</v>
      </c>
      <c r="C123">
        <v>0</v>
      </c>
      <c r="D123">
        <v>0</v>
      </c>
      <c r="E123">
        <v>12</v>
      </c>
    </row>
    <row r="124" spans="1:5">
      <c r="A124" s="1">
        <v>122</v>
      </c>
      <c r="B124">
        <v>13</v>
      </c>
      <c r="C124">
        <v>0</v>
      </c>
      <c r="D124">
        <v>0</v>
      </c>
      <c r="E124">
        <v>13</v>
      </c>
    </row>
    <row r="125" spans="1:5">
      <c r="A125" s="1">
        <v>123</v>
      </c>
      <c r="B125">
        <v>13</v>
      </c>
      <c r="C125">
        <v>0</v>
      </c>
      <c r="D125">
        <v>0</v>
      </c>
      <c r="E125">
        <v>13</v>
      </c>
    </row>
    <row r="126" spans="1:5">
      <c r="A126" s="1">
        <v>124</v>
      </c>
      <c r="B126">
        <v>13</v>
      </c>
      <c r="C126">
        <v>0</v>
      </c>
      <c r="D126">
        <v>0</v>
      </c>
      <c r="E126">
        <v>13</v>
      </c>
    </row>
    <row r="127" spans="1:5">
      <c r="A127" s="1">
        <v>125</v>
      </c>
      <c r="B127">
        <v>13</v>
      </c>
      <c r="C127">
        <v>0</v>
      </c>
      <c r="D127">
        <v>0</v>
      </c>
      <c r="E127">
        <v>13</v>
      </c>
    </row>
    <row r="128" spans="1:5">
      <c r="A128" s="1">
        <v>126</v>
      </c>
      <c r="B128">
        <v>13</v>
      </c>
      <c r="C128">
        <v>0</v>
      </c>
      <c r="D128">
        <v>0</v>
      </c>
      <c r="E128">
        <v>13</v>
      </c>
    </row>
    <row r="129" spans="1:5">
      <c r="A129" s="1">
        <v>127</v>
      </c>
      <c r="B129">
        <v>13</v>
      </c>
      <c r="C129">
        <v>0</v>
      </c>
      <c r="D129">
        <v>0</v>
      </c>
      <c r="E129">
        <v>13</v>
      </c>
    </row>
    <row r="130" spans="1:5">
      <c r="A130" s="1">
        <v>128</v>
      </c>
      <c r="B130">
        <v>14</v>
      </c>
      <c r="C130">
        <v>0</v>
      </c>
      <c r="D130">
        <v>0</v>
      </c>
      <c r="E130">
        <v>14</v>
      </c>
    </row>
    <row r="131" spans="1:5">
      <c r="A131" s="1">
        <v>129</v>
      </c>
      <c r="B131">
        <v>14</v>
      </c>
      <c r="C131">
        <v>0</v>
      </c>
      <c r="D131">
        <v>0</v>
      </c>
      <c r="E131">
        <v>14</v>
      </c>
    </row>
    <row r="132" spans="1:5">
      <c r="A132" s="1">
        <v>130</v>
      </c>
      <c r="B132">
        <v>14</v>
      </c>
      <c r="C132">
        <v>0</v>
      </c>
      <c r="D132">
        <v>0</v>
      </c>
      <c r="E132">
        <v>14</v>
      </c>
    </row>
    <row r="133" spans="1:5">
      <c r="A133" s="1">
        <v>131</v>
      </c>
      <c r="B133">
        <v>14</v>
      </c>
      <c r="C133">
        <v>0</v>
      </c>
      <c r="D133">
        <v>0</v>
      </c>
      <c r="E133">
        <v>14</v>
      </c>
    </row>
    <row r="134" spans="1:5">
      <c r="A134" s="1">
        <v>132</v>
      </c>
      <c r="B134">
        <v>14</v>
      </c>
      <c r="C134">
        <v>0</v>
      </c>
      <c r="D134">
        <v>0</v>
      </c>
      <c r="E134">
        <v>14</v>
      </c>
    </row>
    <row r="135" spans="1:5">
      <c r="A135" s="1">
        <v>133</v>
      </c>
      <c r="B135">
        <v>15</v>
      </c>
      <c r="C135">
        <v>0</v>
      </c>
      <c r="D135">
        <v>0</v>
      </c>
      <c r="E135">
        <v>15</v>
      </c>
    </row>
    <row r="136" spans="1:5">
      <c r="A136" s="1">
        <v>134</v>
      </c>
      <c r="B136">
        <v>15</v>
      </c>
      <c r="C136">
        <v>0</v>
      </c>
      <c r="D136">
        <v>0</v>
      </c>
      <c r="E136">
        <v>15</v>
      </c>
    </row>
    <row r="137" spans="1:5">
      <c r="A137" s="1">
        <v>135</v>
      </c>
      <c r="B137">
        <v>15</v>
      </c>
      <c r="C137">
        <v>0</v>
      </c>
      <c r="D137">
        <v>0</v>
      </c>
      <c r="E137">
        <v>15</v>
      </c>
    </row>
    <row r="138" spans="1:5">
      <c r="A138" s="1">
        <v>136</v>
      </c>
      <c r="B138">
        <v>15</v>
      </c>
      <c r="C138">
        <v>0</v>
      </c>
      <c r="D138">
        <v>0</v>
      </c>
      <c r="E138">
        <v>15</v>
      </c>
    </row>
    <row r="139" spans="1:5">
      <c r="A139" s="1">
        <v>137</v>
      </c>
      <c r="B139">
        <v>15</v>
      </c>
      <c r="C139">
        <v>0</v>
      </c>
      <c r="D139">
        <v>0</v>
      </c>
      <c r="E139">
        <v>15</v>
      </c>
    </row>
    <row r="140" spans="1:5">
      <c r="A140" s="1">
        <v>138</v>
      </c>
      <c r="B140">
        <v>15</v>
      </c>
      <c r="C140">
        <v>0</v>
      </c>
      <c r="D140">
        <v>0</v>
      </c>
      <c r="E140">
        <v>15</v>
      </c>
    </row>
    <row r="141" spans="1:5">
      <c r="A141" s="1">
        <v>139</v>
      </c>
      <c r="B141">
        <v>16</v>
      </c>
      <c r="C141">
        <v>0</v>
      </c>
      <c r="D141">
        <v>0</v>
      </c>
      <c r="E141">
        <v>16</v>
      </c>
    </row>
    <row r="142" spans="1:5">
      <c r="A142" s="1">
        <v>140</v>
      </c>
      <c r="B142">
        <v>16</v>
      </c>
      <c r="C142">
        <v>0</v>
      </c>
      <c r="D142">
        <v>0</v>
      </c>
      <c r="E142">
        <v>16</v>
      </c>
    </row>
    <row r="143" spans="1:5">
      <c r="A143" s="1">
        <v>141</v>
      </c>
      <c r="B143">
        <v>16</v>
      </c>
      <c r="C143">
        <v>0</v>
      </c>
      <c r="D143">
        <v>0</v>
      </c>
      <c r="E143">
        <v>16</v>
      </c>
    </row>
    <row r="144" spans="1:5">
      <c r="A144" s="1">
        <v>142</v>
      </c>
      <c r="B144">
        <v>16</v>
      </c>
      <c r="C144">
        <v>0</v>
      </c>
      <c r="D144">
        <v>0</v>
      </c>
      <c r="E144">
        <v>16</v>
      </c>
    </row>
    <row r="145" spans="1:5">
      <c r="A145" s="1">
        <v>143</v>
      </c>
      <c r="B145">
        <v>16</v>
      </c>
      <c r="C145">
        <v>0</v>
      </c>
      <c r="D145">
        <v>0</v>
      </c>
      <c r="E145">
        <v>16</v>
      </c>
    </row>
    <row r="146" spans="1:5">
      <c r="A146" s="1">
        <v>144</v>
      </c>
      <c r="B146">
        <v>17</v>
      </c>
      <c r="C146">
        <v>0</v>
      </c>
      <c r="D146">
        <v>0</v>
      </c>
      <c r="E146">
        <v>17</v>
      </c>
    </row>
    <row r="147" spans="1:5">
      <c r="A147" s="1">
        <v>145</v>
      </c>
      <c r="B147">
        <v>17</v>
      </c>
      <c r="C147">
        <v>0</v>
      </c>
      <c r="D147">
        <v>0</v>
      </c>
      <c r="E147">
        <v>17</v>
      </c>
    </row>
    <row r="148" spans="1:5">
      <c r="A148" s="1">
        <v>146</v>
      </c>
      <c r="B148">
        <v>17</v>
      </c>
      <c r="C148">
        <v>0</v>
      </c>
      <c r="D148">
        <v>0</v>
      </c>
      <c r="E148">
        <v>17</v>
      </c>
    </row>
    <row r="149" spans="1:5">
      <c r="A149" s="1">
        <v>147</v>
      </c>
      <c r="B149">
        <v>17</v>
      </c>
      <c r="C149">
        <v>0</v>
      </c>
      <c r="D149">
        <v>0</v>
      </c>
      <c r="E149">
        <v>17</v>
      </c>
    </row>
    <row r="150" spans="1:5">
      <c r="A150" s="1">
        <v>148</v>
      </c>
      <c r="B150">
        <v>17</v>
      </c>
      <c r="C150">
        <v>0</v>
      </c>
      <c r="D150">
        <v>0</v>
      </c>
      <c r="E150">
        <v>17</v>
      </c>
    </row>
    <row r="151" spans="1:5">
      <c r="A151" s="1">
        <v>149</v>
      </c>
      <c r="B151">
        <v>18</v>
      </c>
      <c r="C151">
        <v>0</v>
      </c>
      <c r="D151">
        <v>0</v>
      </c>
      <c r="E151">
        <v>18</v>
      </c>
    </row>
    <row r="152" spans="1:5">
      <c r="A152" s="1">
        <v>150</v>
      </c>
      <c r="B152">
        <v>18</v>
      </c>
      <c r="C152">
        <v>0</v>
      </c>
      <c r="D152">
        <v>0</v>
      </c>
      <c r="E152">
        <v>18</v>
      </c>
    </row>
    <row r="153" spans="1:5">
      <c r="A153" s="1">
        <v>151</v>
      </c>
      <c r="B153">
        <v>18</v>
      </c>
      <c r="C153">
        <v>0</v>
      </c>
      <c r="D153">
        <v>0</v>
      </c>
      <c r="E153">
        <v>18</v>
      </c>
    </row>
    <row r="154" spans="1:5">
      <c r="A154" s="1">
        <v>152</v>
      </c>
      <c r="B154">
        <v>18</v>
      </c>
      <c r="C154">
        <v>0</v>
      </c>
      <c r="D154">
        <v>0</v>
      </c>
      <c r="E154">
        <v>18</v>
      </c>
    </row>
    <row r="155" spans="1:5">
      <c r="A155" s="1">
        <v>153</v>
      </c>
      <c r="B155">
        <v>18</v>
      </c>
      <c r="C155">
        <v>0</v>
      </c>
      <c r="D155">
        <v>0</v>
      </c>
      <c r="E155">
        <v>18</v>
      </c>
    </row>
    <row r="156" spans="1:5">
      <c r="A156" s="1">
        <v>154</v>
      </c>
      <c r="B156">
        <v>18</v>
      </c>
      <c r="C156">
        <v>0</v>
      </c>
      <c r="D156">
        <v>0</v>
      </c>
      <c r="E156">
        <v>18</v>
      </c>
    </row>
    <row r="157" spans="1:5">
      <c r="A157" s="1">
        <v>155</v>
      </c>
      <c r="B157">
        <v>19</v>
      </c>
      <c r="C157">
        <v>0</v>
      </c>
      <c r="D157">
        <v>0</v>
      </c>
      <c r="E157">
        <v>19</v>
      </c>
    </row>
    <row r="158" spans="1:5">
      <c r="A158" s="1">
        <v>156</v>
      </c>
      <c r="B158">
        <v>19</v>
      </c>
      <c r="C158">
        <v>0</v>
      </c>
      <c r="D158">
        <v>0</v>
      </c>
      <c r="E158">
        <v>19</v>
      </c>
    </row>
    <row r="159" spans="1:5">
      <c r="A159" s="1">
        <v>157</v>
      </c>
      <c r="B159">
        <v>19</v>
      </c>
      <c r="C159">
        <v>0</v>
      </c>
      <c r="D159">
        <v>0</v>
      </c>
      <c r="E159">
        <v>19</v>
      </c>
    </row>
    <row r="160" spans="1:5">
      <c r="A160" s="1">
        <v>158</v>
      </c>
      <c r="B160">
        <v>19</v>
      </c>
      <c r="C160">
        <v>0</v>
      </c>
      <c r="D160">
        <v>0</v>
      </c>
      <c r="E160">
        <v>19</v>
      </c>
    </row>
    <row r="161" spans="1:5">
      <c r="A161" s="1">
        <v>159</v>
      </c>
      <c r="B161">
        <v>19</v>
      </c>
      <c r="C161">
        <v>0</v>
      </c>
      <c r="D161">
        <v>0</v>
      </c>
      <c r="E161">
        <v>19</v>
      </c>
    </row>
    <row r="162" spans="1:5">
      <c r="A162" s="1">
        <v>160</v>
      </c>
      <c r="B162">
        <v>20</v>
      </c>
      <c r="C162">
        <v>0</v>
      </c>
      <c r="D162">
        <v>0</v>
      </c>
      <c r="E162">
        <v>20</v>
      </c>
    </row>
    <row r="163" spans="1:5">
      <c r="A163" s="1">
        <v>161</v>
      </c>
      <c r="B163">
        <v>20</v>
      </c>
      <c r="C163">
        <v>0</v>
      </c>
      <c r="D163">
        <v>0</v>
      </c>
      <c r="E163">
        <v>20</v>
      </c>
    </row>
    <row r="164" spans="1:5">
      <c r="A164" s="1">
        <v>162</v>
      </c>
      <c r="B164">
        <v>20</v>
      </c>
      <c r="C164">
        <v>0</v>
      </c>
      <c r="D164">
        <v>0</v>
      </c>
      <c r="E164">
        <v>20</v>
      </c>
    </row>
    <row r="165" spans="1:5">
      <c r="A165" s="1">
        <v>163</v>
      </c>
      <c r="B165">
        <v>20</v>
      </c>
      <c r="C165">
        <v>0</v>
      </c>
      <c r="D165">
        <v>0</v>
      </c>
      <c r="E165">
        <v>20</v>
      </c>
    </row>
    <row r="166" spans="1:5">
      <c r="A166" s="1">
        <v>164</v>
      </c>
      <c r="B166">
        <v>20</v>
      </c>
      <c r="C166">
        <v>0</v>
      </c>
      <c r="D166">
        <v>0</v>
      </c>
      <c r="E166">
        <v>20</v>
      </c>
    </row>
    <row r="167" spans="1:5">
      <c r="A167" s="1">
        <v>165</v>
      </c>
      <c r="B167">
        <v>21</v>
      </c>
      <c r="C167">
        <v>0</v>
      </c>
      <c r="D167">
        <v>0</v>
      </c>
      <c r="E167">
        <v>21</v>
      </c>
    </row>
    <row r="168" spans="1:5">
      <c r="A168" s="1">
        <v>166</v>
      </c>
      <c r="B168">
        <v>21</v>
      </c>
      <c r="C168">
        <v>0</v>
      </c>
      <c r="D168">
        <v>0</v>
      </c>
      <c r="E168">
        <v>21</v>
      </c>
    </row>
    <row r="169" spans="1:5">
      <c r="A169" s="1">
        <v>167</v>
      </c>
      <c r="B169">
        <v>21</v>
      </c>
      <c r="C169">
        <v>0</v>
      </c>
      <c r="D169">
        <v>0</v>
      </c>
      <c r="E169">
        <v>21</v>
      </c>
    </row>
    <row r="170" spans="1:5">
      <c r="A170" s="1">
        <v>168</v>
      </c>
      <c r="B170">
        <v>21</v>
      </c>
      <c r="C170">
        <v>0</v>
      </c>
      <c r="D170">
        <v>0</v>
      </c>
      <c r="E170">
        <v>21</v>
      </c>
    </row>
    <row r="171" spans="1:5">
      <c r="A171" s="1">
        <v>169</v>
      </c>
      <c r="B171">
        <v>21</v>
      </c>
      <c r="C171">
        <v>0</v>
      </c>
      <c r="D171">
        <v>0</v>
      </c>
      <c r="E171">
        <v>21</v>
      </c>
    </row>
    <row r="172" spans="1:5">
      <c r="A172" s="1">
        <v>170</v>
      </c>
      <c r="B172">
        <v>22</v>
      </c>
      <c r="C172">
        <v>0</v>
      </c>
      <c r="D172">
        <v>0</v>
      </c>
      <c r="E172">
        <v>22</v>
      </c>
    </row>
    <row r="173" spans="1:5">
      <c r="A173" s="1">
        <v>171</v>
      </c>
      <c r="B173">
        <v>22</v>
      </c>
      <c r="C173">
        <v>0</v>
      </c>
      <c r="D173">
        <v>0</v>
      </c>
      <c r="E173">
        <v>22</v>
      </c>
    </row>
    <row r="174" spans="1:5">
      <c r="A174" s="1">
        <v>172</v>
      </c>
      <c r="B174">
        <v>22</v>
      </c>
      <c r="C174">
        <v>0</v>
      </c>
      <c r="D174">
        <v>0</v>
      </c>
      <c r="E174">
        <v>22</v>
      </c>
    </row>
    <row r="175" spans="1:5">
      <c r="A175" s="1">
        <v>173</v>
      </c>
      <c r="B175">
        <v>22</v>
      </c>
      <c r="C175">
        <v>0</v>
      </c>
      <c r="D175">
        <v>0</v>
      </c>
      <c r="E175">
        <v>22</v>
      </c>
    </row>
    <row r="176" spans="1:5">
      <c r="A176" s="1">
        <v>174</v>
      </c>
      <c r="B176">
        <v>22</v>
      </c>
      <c r="C176">
        <v>0</v>
      </c>
      <c r="D176">
        <v>0</v>
      </c>
      <c r="E176">
        <v>22</v>
      </c>
    </row>
    <row r="177" spans="1:5">
      <c r="A177" s="1">
        <v>175</v>
      </c>
      <c r="B177">
        <v>23</v>
      </c>
      <c r="C177">
        <v>0</v>
      </c>
      <c r="D177">
        <v>0</v>
      </c>
      <c r="E177">
        <v>23</v>
      </c>
    </row>
    <row r="178" spans="1:5">
      <c r="A178" s="1">
        <v>176</v>
      </c>
      <c r="B178">
        <v>23</v>
      </c>
      <c r="C178">
        <v>0</v>
      </c>
      <c r="D178">
        <v>0</v>
      </c>
      <c r="E178">
        <v>23</v>
      </c>
    </row>
    <row r="179" spans="1:5">
      <c r="A179" s="1">
        <v>177</v>
      </c>
      <c r="B179">
        <v>23</v>
      </c>
      <c r="C179">
        <v>0</v>
      </c>
      <c r="D179">
        <v>0</v>
      </c>
      <c r="E179">
        <v>23</v>
      </c>
    </row>
    <row r="180" spans="1:5">
      <c r="A180" s="1">
        <v>178</v>
      </c>
      <c r="B180">
        <v>23</v>
      </c>
      <c r="C180">
        <v>0</v>
      </c>
      <c r="D180">
        <v>0</v>
      </c>
      <c r="E180">
        <v>23</v>
      </c>
    </row>
    <row r="181" spans="1:5">
      <c r="A181" s="1">
        <v>179</v>
      </c>
      <c r="B181">
        <v>23</v>
      </c>
      <c r="C181">
        <v>0</v>
      </c>
      <c r="D181">
        <v>0</v>
      </c>
      <c r="E181">
        <v>23</v>
      </c>
    </row>
    <row r="182" spans="1:5">
      <c r="A182" s="1">
        <v>180</v>
      </c>
      <c r="B182">
        <v>24</v>
      </c>
      <c r="C182">
        <v>0</v>
      </c>
      <c r="D182">
        <v>0</v>
      </c>
      <c r="E182">
        <v>24</v>
      </c>
    </row>
    <row r="183" spans="1:5">
      <c r="A183" s="1">
        <v>181</v>
      </c>
      <c r="B183">
        <v>24</v>
      </c>
      <c r="C183">
        <v>0</v>
      </c>
      <c r="D183">
        <v>0</v>
      </c>
      <c r="E183">
        <v>24</v>
      </c>
    </row>
    <row r="184" spans="1:5">
      <c r="A184" s="1">
        <v>182</v>
      </c>
      <c r="B184">
        <v>24</v>
      </c>
      <c r="C184">
        <v>0</v>
      </c>
      <c r="D184">
        <v>0</v>
      </c>
      <c r="E184">
        <v>24</v>
      </c>
    </row>
    <row r="185" spans="1:5">
      <c r="A185" s="1">
        <v>183</v>
      </c>
      <c r="B185">
        <v>24</v>
      </c>
      <c r="C185">
        <v>0</v>
      </c>
      <c r="D185">
        <v>0</v>
      </c>
      <c r="E185">
        <v>24</v>
      </c>
    </row>
    <row r="186" spans="1:5">
      <c r="A186" s="1">
        <v>184</v>
      </c>
      <c r="B186">
        <v>25</v>
      </c>
      <c r="C186">
        <v>0</v>
      </c>
      <c r="D186">
        <v>0</v>
      </c>
      <c r="E186">
        <v>25</v>
      </c>
    </row>
    <row r="187" spans="1:5">
      <c r="A187" s="1">
        <v>185</v>
      </c>
      <c r="B187">
        <v>25</v>
      </c>
      <c r="C187">
        <v>0</v>
      </c>
      <c r="D187">
        <v>0</v>
      </c>
      <c r="E187">
        <v>25</v>
      </c>
    </row>
    <row r="188" spans="1:5">
      <c r="A188" s="1">
        <v>186</v>
      </c>
      <c r="B188">
        <v>25</v>
      </c>
      <c r="C188">
        <v>0</v>
      </c>
      <c r="D188">
        <v>0</v>
      </c>
      <c r="E188">
        <v>25</v>
      </c>
    </row>
    <row r="189" spans="1:5">
      <c r="A189" s="1">
        <v>187</v>
      </c>
      <c r="B189">
        <v>25</v>
      </c>
      <c r="C189">
        <v>0</v>
      </c>
      <c r="D189">
        <v>0</v>
      </c>
      <c r="E189">
        <v>25</v>
      </c>
    </row>
    <row r="190" spans="1:5">
      <c r="A190" s="1">
        <v>188</v>
      </c>
      <c r="B190">
        <v>25</v>
      </c>
      <c r="C190">
        <v>0</v>
      </c>
      <c r="D190">
        <v>0</v>
      </c>
      <c r="E190">
        <v>25</v>
      </c>
    </row>
    <row r="191" spans="1:5">
      <c r="A191" s="1">
        <v>189</v>
      </c>
      <c r="B191">
        <v>26</v>
      </c>
      <c r="C191">
        <v>0</v>
      </c>
      <c r="D191">
        <v>0</v>
      </c>
      <c r="E191">
        <v>26</v>
      </c>
    </row>
    <row r="192" spans="1:5">
      <c r="A192" s="1">
        <v>190</v>
      </c>
      <c r="B192">
        <v>26</v>
      </c>
      <c r="C192">
        <v>0</v>
      </c>
      <c r="D192">
        <v>0</v>
      </c>
      <c r="E192">
        <v>26</v>
      </c>
    </row>
    <row r="193" spans="1:5">
      <c r="A193" s="1">
        <v>191</v>
      </c>
      <c r="B193">
        <v>26</v>
      </c>
      <c r="C193">
        <v>0</v>
      </c>
      <c r="D193">
        <v>0</v>
      </c>
      <c r="E193">
        <v>26</v>
      </c>
    </row>
    <row r="194" spans="1:5">
      <c r="A194" s="1">
        <v>192</v>
      </c>
      <c r="B194">
        <v>26</v>
      </c>
      <c r="C194">
        <v>0</v>
      </c>
      <c r="D194">
        <v>0</v>
      </c>
      <c r="E194">
        <v>26</v>
      </c>
    </row>
    <row r="195" spans="1:5">
      <c r="A195" s="1">
        <v>193</v>
      </c>
      <c r="B195">
        <v>26</v>
      </c>
      <c r="C195">
        <v>0</v>
      </c>
      <c r="D195">
        <v>0</v>
      </c>
      <c r="E195">
        <v>26</v>
      </c>
    </row>
    <row r="196" spans="1:5">
      <c r="A196" s="1">
        <v>194</v>
      </c>
      <c r="B196">
        <v>27</v>
      </c>
      <c r="C196">
        <v>0</v>
      </c>
      <c r="D196">
        <v>0</v>
      </c>
      <c r="E196">
        <v>27</v>
      </c>
    </row>
    <row r="197" spans="1:5">
      <c r="A197" s="1">
        <v>195</v>
      </c>
      <c r="B197">
        <v>27</v>
      </c>
      <c r="C197">
        <v>0</v>
      </c>
      <c r="D197">
        <v>0</v>
      </c>
      <c r="E197">
        <v>27</v>
      </c>
    </row>
    <row r="198" spans="1:5">
      <c r="A198" s="1">
        <v>196</v>
      </c>
      <c r="B198">
        <v>27</v>
      </c>
      <c r="C198">
        <v>0</v>
      </c>
      <c r="D198">
        <v>0</v>
      </c>
      <c r="E198">
        <v>27</v>
      </c>
    </row>
    <row r="199" spans="1:5">
      <c r="A199" s="1">
        <v>197</v>
      </c>
      <c r="B199">
        <v>27</v>
      </c>
      <c r="C199">
        <v>0</v>
      </c>
      <c r="D199">
        <v>0</v>
      </c>
      <c r="E199">
        <v>27</v>
      </c>
    </row>
    <row r="200" spans="1:5">
      <c r="A200" s="1">
        <v>198</v>
      </c>
      <c r="B200">
        <v>28</v>
      </c>
      <c r="C200">
        <v>0</v>
      </c>
      <c r="D200">
        <v>0</v>
      </c>
      <c r="E200">
        <v>28</v>
      </c>
    </row>
    <row r="201" spans="1:5">
      <c r="A201" s="1">
        <v>199</v>
      </c>
      <c r="B201">
        <v>28</v>
      </c>
      <c r="C201">
        <v>0</v>
      </c>
      <c r="D201">
        <v>0</v>
      </c>
      <c r="E201">
        <v>28</v>
      </c>
    </row>
    <row r="202" spans="1:5">
      <c r="A202" s="1">
        <v>200</v>
      </c>
      <c r="B202">
        <v>28</v>
      </c>
      <c r="C202">
        <v>0</v>
      </c>
      <c r="D202">
        <v>0</v>
      </c>
      <c r="E202">
        <v>28</v>
      </c>
    </row>
    <row r="203" spans="1:5">
      <c r="A203" s="1">
        <v>201</v>
      </c>
      <c r="B203">
        <v>28</v>
      </c>
      <c r="C203">
        <v>0</v>
      </c>
      <c r="D203">
        <v>0</v>
      </c>
      <c r="E203">
        <v>28</v>
      </c>
    </row>
    <row r="204" spans="1:5">
      <c r="A204" s="1">
        <v>202</v>
      </c>
      <c r="B204">
        <v>29</v>
      </c>
      <c r="C204">
        <v>0</v>
      </c>
      <c r="D204">
        <v>0</v>
      </c>
      <c r="E204">
        <v>29</v>
      </c>
    </row>
    <row r="205" spans="1:5">
      <c r="A205" s="1">
        <v>203</v>
      </c>
      <c r="B205">
        <v>29</v>
      </c>
      <c r="C205">
        <v>0</v>
      </c>
      <c r="D205">
        <v>0</v>
      </c>
      <c r="E205">
        <v>29</v>
      </c>
    </row>
    <row r="206" spans="1:5">
      <c r="A206" s="1">
        <v>204</v>
      </c>
      <c r="B206">
        <v>29</v>
      </c>
      <c r="C206">
        <v>0</v>
      </c>
      <c r="D206">
        <v>0</v>
      </c>
      <c r="E206">
        <v>29</v>
      </c>
    </row>
    <row r="207" spans="1:5">
      <c r="A207" s="1">
        <v>205</v>
      </c>
      <c r="B207">
        <v>29</v>
      </c>
      <c r="C207">
        <v>0</v>
      </c>
      <c r="D207">
        <v>0</v>
      </c>
      <c r="E207">
        <v>29</v>
      </c>
    </row>
    <row r="208" spans="1:5">
      <c r="A208" s="1">
        <v>206</v>
      </c>
      <c r="B208">
        <v>29</v>
      </c>
      <c r="C208">
        <v>0</v>
      </c>
      <c r="D208">
        <v>0</v>
      </c>
      <c r="E208">
        <v>29</v>
      </c>
    </row>
    <row r="209" spans="1:5">
      <c r="A209" s="1">
        <v>207</v>
      </c>
      <c r="B209">
        <v>30</v>
      </c>
      <c r="C209">
        <v>0</v>
      </c>
      <c r="D209">
        <v>0</v>
      </c>
      <c r="E209">
        <v>30</v>
      </c>
    </row>
    <row r="210" spans="1:5">
      <c r="A210" s="1">
        <v>208</v>
      </c>
      <c r="B210">
        <v>30</v>
      </c>
      <c r="C210">
        <v>0</v>
      </c>
      <c r="D210">
        <v>0</v>
      </c>
      <c r="E210">
        <v>30</v>
      </c>
    </row>
    <row r="211" spans="1:5">
      <c r="A211" s="1">
        <v>209</v>
      </c>
      <c r="B211">
        <v>30</v>
      </c>
      <c r="C211">
        <v>0</v>
      </c>
      <c r="D211">
        <v>0</v>
      </c>
      <c r="E211">
        <v>30</v>
      </c>
    </row>
    <row r="212" spans="1:5">
      <c r="A212" s="1">
        <v>210</v>
      </c>
      <c r="B212">
        <v>30</v>
      </c>
      <c r="C212">
        <v>0</v>
      </c>
      <c r="D212">
        <v>0</v>
      </c>
      <c r="E212">
        <v>30</v>
      </c>
    </row>
    <row r="213" spans="1:5">
      <c r="A213" s="1">
        <v>211</v>
      </c>
      <c r="B213">
        <v>31</v>
      </c>
      <c r="C213">
        <v>0</v>
      </c>
      <c r="D213">
        <v>0</v>
      </c>
      <c r="E213">
        <v>31</v>
      </c>
    </row>
    <row r="214" spans="1:5">
      <c r="A214" s="1">
        <v>212</v>
      </c>
      <c r="B214">
        <v>31</v>
      </c>
      <c r="C214">
        <v>0</v>
      </c>
      <c r="D214">
        <v>0</v>
      </c>
      <c r="E214">
        <v>31</v>
      </c>
    </row>
    <row r="215" spans="1:5">
      <c r="A215" s="1">
        <v>213</v>
      </c>
      <c r="B215">
        <v>31</v>
      </c>
      <c r="C215">
        <v>0</v>
      </c>
      <c r="D215">
        <v>0</v>
      </c>
      <c r="E215">
        <v>31</v>
      </c>
    </row>
    <row r="216" spans="1:5">
      <c r="A216" s="1">
        <v>214</v>
      </c>
      <c r="B216">
        <v>31</v>
      </c>
      <c r="C216">
        <v>0</v>
      </c>
      <c r="D216">
        <v>0</v>
      </c>
      <c r="E216">
        <v>31</v>
      </c>
    </row>
    <row r="217" spans="1:5">
      <c r="A217" s="1">
        <v>215</v>
      </c>
      <c r="B217">
        <v>32</v>
      </c>
      <c r="C217">
        <v>0</v>
      </c>
      <c r="D217">
        <v>0</v>
      </c>
      <c r="E217">
        <v>32</v>
      </c>
    </row>
    <row r="218" spans="1:5">
      <c r="A218" s="1">
        <v>216</v>
      </c>
      <c r="B218">
        <v>32</v>
      </c>
      <c r="C218">
        <v>0</v>
      </c>
      <c r="D218">
        <v>0</v>
      </c>
      <c r="E218">
        <v>32</v>
      </c>
    </row>
    <row r="219" spans="1:5">
      <c r="A219" s="1">
        <v>217</v>
      </c>
      <c r="B219">
        <v>32</v>
      </c>
      <c r="C219">
        <v>0</v>
      </c>
      <c r="D219">
        <v>0</v>
      </c>
      <c r="E219">
        <v>32</v>
      </c>
    </row>
    <row r="220" spans="1:5">
      <c r="A220" s="1">
        <v>218</v>
      </c>
      <c r="B220">
        <v>32</v>
      </c>
      <c r="C220">
        <v>0</v>
      </c>
      <c r="D220">
        <v>0</v>
      </c>
      <c r="E220">
        <v>32</v>
      </c>
    </row>
    <row r="221" spans="1:5">
      <c r="A221" s="1">
        <v>219</v>
      </c>
      <c r="B221">
        <v>33</v>
      </c>
      <c r="C221">
        <v>0</v>
      </c>
      <c r="D221">
        <v>0</v>
      </c>
      <c r="E221">
        <v>33</v>
      </c>
    </row>
    <row r="222" spans="1:5">
      <c r="A222" s="1">
        <v>220</v>
      </c>
      <c r="B222">
        <v>33</v>
      </c>
      <c r="C222">
        <v>0</v>
      </c>
      <c r="D222">
        <v>0</v>
      </c>
      <c r="E222">
        <v>33</v>
      </c>
    </row>
    <row r="223" spans="1:5">
      <c r="A223" s="1">
        <v>221</v>
      </c>
      <c r="B223">
        <v>33</v>
      </c>
      <c r="C223">
        <v>0</v>
      </c>
      <c r="D223">
        <v>0</v>
      </c>
      <c r="E223">
        <v>33</v>
      </c>
    </row>
    <row r="224" spans="1:5">
      <c r="A224" s="1">
        <v>222</v>
      </c>
      <c r="B224">
        <v>33</v>
      </c>
      <c r="C224">
        <v>0</v>
      </c>
      <c r="D224">
        <v>0</v>
      </c>
      <c r="E224">
        <v>33</v>
      </c>
    </row>
    <row r="225" spans="1:5">
      <c r="A225" s="1">
        <v>223</v>
      </c>
      <c r="B225">
        <v>34</v>
      </c>
      <c r="C225">
        <v>0</v>
      </c>
      <c r="D225">
        <v>0</v>
      </c>
      <c r="E225">
        <v>34</v>
      </c>
    </row>
    <row r="226" spans="1:5">
      <c r="A226" s="1">
        <v>224</v>
      </c>
      <c r="B226">
        <v>34</v>
      </c>
      <c r="C226">
        <v>0</v>
      </c>
      <c r="D226">
        <v>0</v>
      </c>
      <c r="E226">
        <v>34</v>
      </c>
    </row>
    <row r="227" spans="1:5">
      <c r="A227" s="1">
        <v>225</v>
      </c>
      <c r="B227">
        <v>34</v>
      </c>
      <c r="C227">
        <v>0</v>
      </c>
      <c r="D227">
        <v>0</v>
      </c>
      <c r="E227">
        <v>34</v>
      </c>
    </row>
    <row r="228" spans="1:5">
      <c r="A228" s="1">
        <v>226</v>
      </c>
      <c r="B228">
        <v>35</v>
      </c>
      <c r="C228">
        <v>0</v>
      </c>
      <c r="D228">
        <v>0</v>
      </c>
      <c r="E228">
        <v>35</v>
      </c>
    </row>
    <row r="229" spans="1:5">
      <c r="A229" s="1">
        <v>227</v>
      </c>
      <c r="B229">
        <v>35</v>
      </c>
      <c r="C229">
        <v>0</v>
      </c>
      <c r="D229">
        <v>0</v>
      </c>
      <c r="E229">
        <v>35</v>
      </c>
    </row>
    <row r="230" spans="1:5">
      <c r="A230" s="1">
        <v>228</v>
      </c>
      <c r="B230">
        <v>35</v>
      </c>
      <c r="C230">
        <v>0</v>
      </c>
      <c r="D230">
        <v>0</v>
      </c>
      <c r="E230">
        <v>35</v>
      </c>
    </row>
    <row r="231" spans="1:5">
      <c r="A231" s="1">
        <v>229</v>
      </c>
      <c r="B231">
        <v>35</v>
      </c>
      <c r="C231">
        <v>0</v>
      </c>
      <c r="D231">
        <v>0</v>
      </c>
      <c r="E231">
        <v>35</v>
      </c>
    </row>
    <row r="232" spans="1:5">
      <c r="A232" s="1">
        <v>230</v>
      </c>
      <c r="B232">
        <v>36</v>
      </c>
      <c r="C232">
        <v>0</v>
      </c>
      <c r="D232">
        <v>0</v>
      </c>
      <c r="E232">
        <v>36</v>
      </c>
    </row>
    <row r="233" spans="1:5">
      <c r="A233" s="1">
        <v>231</v>
      </c>
      <c r="B233">
        <v>36</v>
      </c>
      <c r="C233">
        <v>0</v>
      </c>
      <c r="D233">
        <v>0</v>
      </c>
      <c r="E233">
        <v>36</v>
      </c>
    </row>
    <row r="234" spans="1:5">
      <c r="A234" s="1">
        <v>232</v>
      </c>
      <c r="B234">
        <v>36</v>
      </c>
      <c r="C234">
        <v>0</v>
      </c>
      <c r="D234">
        <v>0</v>
      </c>
      <c r="E234">
        <v>36</v>
      </c>
    </row>
    <row r="235" spans="1:5">
      <c r="A235" s="1">
        <v>233</v>
      </c>
      <c r="B235">
        <v>37</v>
      </c>
      <c r="C235">
        <v>0</v>
      </c>
      <c r="D235">
        <v>0</v>
      </c>
      <c r="E235">
        <v>37</v>
      </c>
    </row>
    <row r="236" spans="1:5">
      <c r="A236" s="1">
        <v>234</v>
      </c>
      <c r="B236">
        <v>37</v>
      </c>
      <c r="C236">
        <v>0</v>
      </c>
      <c r="D236">
        <v>0</v>
      </c>
      <c r="E236">
        <v>37</v>
      </c>
    </row>
    <row r="237" spans="1:5">
      <c r="A237" s="1">
        <v>235</v>
      </c>
      <c r="B237">
        <v>37</v>
      </c>
      <c r="C237">
        <v>0</v>
      </c>
      <c r="D237">
        <v>0</v>
      </c>
      <c r="E237">
        <v>37</v>
      </c>
    </row>
    <row r="238" spans="1:5">
      <c r="A238" s="1">
        <v>236</v>
      </c>
      <c r="B238">
        <v>37</v>
      </c>
      <c r="C238">
        <v>0</v>
      </c>
      <c r="D238">
        <v>0</v>
      </c>
      <c r="E238">
        <v>37</v>
      </c>
    </row>
    <row r="239" spans="1:5">
      <c r="A239" s="1">
        <v>237</v>
      </c>
      <c r="B239">
        <v>38</v>
      </c>
      <c r="C239">
        <v>0</v>
      </c>
      <c r="D239">
        <v>0</v>
      </c>
      <c r="E239">
        <v>38</v>
      </c>
    </row>
    <row r="240" spans="1:5">
      <c r="A240" s="1">
        <v>238</v>
      </c>
      <c r="B240">
        <v>38</v>
      </c>
      <c r="C240">
        <v>0</v>
      </c>
      <c r="D240">
        <v>0</v>
      </c>
      <c r="E240">
        <v>38</v>
      </c>
    </row>
    <row r="241" spans="1:5">
      <c r="A241" s="1">
        <v>239</v>
      </c>
      <c r="B241">
        <v>38</v>
      </c>
      <c r="C241">
        <v>0</v>
      </c>
      <c r="D241">
        <v>0</v>
      </c>
      <c r="E241">
        <v>38</v>
      </c>
    </row>
    <row r="242" spans="1:5">
      <c r="A242" s="1">
        <v>240</v>
      </c>
      <c r="B242">
        <v>38</v>
      </c>
      <c r="C242">
        <v>0</v>
      </c>
      <c r="D242">
        <v>0</v>
      </c>
      <c r="E242">
        <v>38</v>
      </c>
    </row>
    <row r="243" spans="1:5">
      <c r="A243" s="1">
        <v>241</v>
      </c>
      <c r="B243">
        <v>39</v>
      </c>
      <c r="C243">
        <v>0</v>
      </c>
      <c r="D243">
        <v>0</v>
      </c>
      <c r="E243">
        <v>39</v>
      </c>
    </row>
    <row r="244" spans="1:5">
      <c r="A244" s="1">
        <v>242</v>
      </c>
      <c r="B244">
        <v>39</v>
      </c>
      <c r="C244">
        <v>0</v>
      </c>
      <c r="D244">
        <v>0</v>
      </c>
      <c r="E244">
        <v>39</v>
      </c>
    </row>
    <row r="245" spans="1:5">
      <c r="A245" s="1">
        <v>243</v>
      </c>
      <c r="B245">
        <v>39</v>
      </c>
      <c r="C245">
        <v>0</v>
      </c>
      <c r="D245">
        <v>0</v>
      </c>
      <c r="E245">
        <v>39</v>
      </c>
    </row>
    <row r="246" spans="1:5">
      <c r="A246" s="1">
        <v>244</v>
      </c>
      <c r="B246">
        <v>39</v>
      </c>
      <c r="C246">
        <v>0</v>
      </c>
      <c r="D246">
        <v>0</v>
      </c>
      <c r="E246">
        <v>39</v>
      </c>
    </row>
    <row r="247" spans="1:5">
      <c r="A247" s="1">
        <v>245</v>
      </c>
      <c r="B247">
        <v>39</v>
      </c>
      <c r="C247">
        <v>0</v>
      </c>
      <c r="D247">
        <v>0</v>
      </c>
      <c r="E247">
        <v>39</v>
      </c>
    </row>
    <row r="248" spans="1:5">
      <c r="A248" s="1">
        <v>246</v>
      </c>
      <c r="B248">
        <v>39</v>
      </c>
      <c r="C248">
        <v>0</v>
      </c>
      <c r="D248">
        <v>0</v>
      </c>
      <c r="E248">
        <v>39</v>
      </c>
    </row>
    <row r="249" spans="1:5">
      <c r="A249" s="1">
        <v>247</v>
      </c>
      <c r="B249">
        <v>39</v>
      </c>
      <c r="C249">
        <v>0</v>
      </c>
      <c r="D249">
        <v>0</v>
      </c>
      <c r="E249">
        <v>39</v>
      </c>
    </row>
    <row r="250" spans="1:5">
      <c r="A250" s="1">
        <v>248</v>
      </c>
      <c r="B250">
        <v>40</v>
      </c>
      <c r="C250">
        <v>0</v>
      </c>
      <c r="D250">
        <v>0</v>
      </c>
      <c r="E250">
        <v>40</v>
      </c>
    </row>
    <row r="251" spans="1:5">
      <c r="A251" s="1">
        <v>249</v>
      </c>
      <c r="B251">
        <v>40</v>
      </c>
      <c r="C251">
        <v>0</v>
      </c>
      <c r="D251">
        <v>0</v>
      </c>
      <c r="E251">
        <v>40</v>
      </c>
    </row>
    <row r="252" spans="1:5">
      <c r="A252" s="1">
        <v>250</v>
      </c>
      <c r="B252">
        <v>40</v>
      </c>
      <c r="C252">
        <v>0</v>
      </c>
      <c r="D252">
        <v>0</v>
      </c>
      <c r="E252">
        <v>40</v>
      </c>
    </row>
    <row r="253" spans="1:5">
      <c r="A253" s="1">
        <v>251</v>
      </c>
      <c r="B253">
        <v>40</v>
      </c>
      <c r="C253">
        <v>0</v>
      </c>
      <c r="D253">
        <v>0</v>
      </c>
      <c r="E253">
        <v>40</v>
      </c>
    </row>
    <row r="254" spans="1:5">
      <c r="A254" s="1">
        <v>252</v>
      </c>
      <c r="B254">
        <v>40</v>
      </c>
      <c r="C254">
        <v>0</v>
      </c>
      <c r="D254">
        <v>0</v>
      </c>
      <c r="E254">
        <v>40</v>
      </c>
    </row>
    <row r="255" spans="1:5">
      <c r="A255" s="1">
        <v>253</v>
      </c>
      <c r="B255">
        <v>40</v>
      </c>
      <c r="C255">
        <v>0</v>
      </c>
      <c r="D255">
        <v>0</v>
      </c>
      <c r="E255">
        <v>40</v>
      </c>
    </row>
    <row r="256" spans="1:5">
      <c r="A256" s="1">
        <v>254</v>
      </c>
      <c r="B256">
        <v>40</v>
      </c>
      <c r="C256">
        <v>0</v>
      </c>
      <c r="D256">
        <v>0</v>
      </c>
      <c r="E256">
        <v>40</v>
      </c>
    </row>
    <row r="257" spans="1:5">
      <c r="A257" s="1">
        <v>255</v>
      </c>
      <c r="B257">
        <v>40</v>
      </c>
      <c r="C257">
        <v>0</v>
      </c>
      <c r="D257">
        <v>0</v>
      </c>
      <c r="E257">
        <v>40</v>
      </c>
    </row>
    <row r="258" spans="1:5">
      <c r="A258" s="1">
        <v>256</v>
      </c>
      <c r="B258">
        <v>40</v>
      </c>
      <c r="C258">
        <v>0</v>
      </c>
      <c r="D258">
        <v>0</v>
      </c>
      <c r="E258">
        <v>40</v>
      </c>
    </row>
    <row r="259" spans="1:5">
      <c r="A259" s="1">
        <v>257</v>
      </c>
      <c r="B259">
        <v>40</v>
      </c>
      <c r="C259">
        <v>0</v>
      </c>
      <c r="D259">
        <v>0</v>
      </c>
      <c r="E259">
        <v>40</v>
      </c>
    </row>
    <row r="260" spans="1:5">
      <c r="A260" s="1">
        <v>258</v>
      </c>
      <c r="B260">
        <v>40</v>
      </c>
      <c r="C260">
        <v>0</v>
      </c>
      <c r="D260">
        <v>0</v>
      </c>
      <c r="E260">
        <v>40</v>
      </c>
    </row>
    <row r="261" spans="1:5">
      <c r="A261" s="1">
        <v>259</v>
      </c>
      <c r="B261">
        <v>40</v>
      </c>
      <c r="C261">
        <v>0</v>
      </c>
      <c r="D261">
        <v>0</v>
      </c>
      <c r="E261">
        <v>40</v>
      </c>
    </row>
    <row r="262" spans="1:5">
      <c r="A262" s="1">
        <v>260</v>
      </c>
      <c r="B262">
        <v>41</v>
      </c>
      <c r="C262">
        <v>0</v>
      </c>
      <c r="D262">
        <v>0</v>
      </c>
      <c r="E262">
        <v>41</v>
      </c>
    </row>
    <row r="263" spans="1:5">
      <c r="A263" s="1">
        <v>261</v>
      </c>
      <c r="B263">
        <v>41</v>
      </c>
      <c r="C263">
        <v>0</v>
      </c>
      <c r="D263">
        <v>0</v>
      </c>
      <c r="E263">
        <v>41</v>
      </c>
    </row>
    <row r="264" spans="1:5">
      <c r="A264" s="1">
        <v>262</v>
      </c>
      <c r="B264">
        <v>41</v>
      </c>
      <c r="C264">
        <v>0</v>
      </c>
      <c r="D264">
        <v>0</v>
      </c>
      <c r="E264">
        <v>41</v>
      </c>
    </row>
    <row r="265" spans="1:5">
      <c r="A265" s="1">
        <v>263</v>
      </c>
      <c r="B265">
        <v>41</v>
      </c>
      <c r="C265">
        <v>0</v>
      </c>
      <c r="D265">
        <v>0</v>
      </c>
      <c r="E265">
        <v>41</v>
      </c>
    </row>
    <row r="266" spans="1:5">
      <c r="A266" s="1">
        <v>264</v>
      </c>
      <c r="B266">
        <v>42</v>
      </c>
      <c r="C266">
        <v>0</v>
      </c>
      <c r="D266">
        <v>0</v>
      </c>
      <c r="E266">
        <v>42</v>
      </c>
    </row>
    <row r="267" spans="1:5">
      <c r="A267" s="1">
        <v>265</v>
      </c>
      <c r="B267">
        <v>42</v>
      </c>
      <c r="C267">
        <v>0</v>
      </c>
      <c r="D267">
        <v>0</v>
      </c>
      <c r="E267">
        <v>42</v>
      </c>
    </row>
    <row r="268" spans="1:5">
      <c r="A268" s="1">
        <v>266</v>
      </c>
      <c r="B268">
        <v>42</v>
      </c>
      <c r="C268">
        <v>0</v>
      </c>
      <c r="D268">
        <v>0</v>
      </c>
      <c r="E268">
        <v>42</v>
      </c>
    </row>
    <row r="269" spans="1:5">
      <c r="A269" s="1">
        <v>267</v>
      </c>
      <c r="B269">
        <v>42</v>
      </c>
      <c r="C269">
        <v>0</v>
      </c>
      <c r="D269">
        <v>0</v>
      </c>
      <c r="E269">
        <v>42</v>
      </c>
    </row>
    <row r="270" spans="1:5">
      <c r="A270" s="1">
        <v>268</v>
      </c>
      <c r="B270">
        <v>42</v>
      </c>
      <c r="C270">
        <v>0</v>
      </c>
      <c r="D270">
        <v>0</v>
      </c>
      <c r="E270">
        <v>42</v>
      </c>
    </row>
    <row r="271" spans="1:5">
      <c r="A271" s="1">
        <v>269</v>
      </c>
      <c r="B271">
        <v>43</v>
      </c>
      <c r="C271">
        <v>0</v>
      </c>
      <c r="D271">
        <v>0</v>
      </c>
      <c r="E271">
        <v>43</v>
      </c>
    </row>
    <row r="272" spans="1:5">
      <c r="A272" s="1">
        <v>270</v>
      </c>
      <c r="B272">
        <v>43</v>
      </c>
      <c r="C272">
        <v>0</v>
      </c>
      <c r="D272">
        <v>0</v>
      </c>
      <c r="E272">
        <v>43</v>
      </c>
    </row>
    <row r="273" spans="1:5">
      <c r="A273" s="1">
        <v>271</v>
      </c>
      <c r="B273">
        <v>43</v>
      </c>
      <c r="C273">
        <v>0</v>
      </c>
      <c r="D273">
        <v>0</v>
      </c>
      <c r="E273">
        <v>43</v>
      </c>
    </row>
    <row r="274" spans="1:5">
      <c r="A274" s="1">
        <v>272</v>
      </c>
      <c r="B274">
        <v>43</v>
      </c>
      <c r="C274">
        <v>0</v>
      </c>
      <c r="D274">
        <v>0</v>
      </c>
      <c r="E274">
        <v>43</v>
      </c>
    </row>
    <row r="275" spans="1:5">
      <c r="A275" s="1">
        <v>273</v>
      </c>
      <c r="B275">
        <v>44</v>
      </c>
      <c r="C275">
        <v>0</v>
      </c>
      <c r="D275">
        <v>0</v>
      </c>
      <c r="E275">
        <v>44</v>
      </c>
    </row>
    <row r="276" spans="1:5">
      <c r="A276" s="1">
        <v>274</v>
      </c>
      <c r="B276">
        <v>44</v>
      </c>
      <c r="C276">
        <v>0</v>
      </c>
      <c r="D276">
        <v>0</v>
      </c>
      <c r="E276">
        <v>44</v>
      </c>
    </row>
    <row r="277" spans="1:5">
      <c r="A277" s="1">
        <v>275</v>
      </c>
      <c r="B277">
        <v>44</v>
      </c>
      <c r="C277">
        <v>0</v>
      </c>
      <c r="D277">
        <v>0</v>
      </c>
      <c r="E277">
        <v>44</v>
      </c>
    </row>
    <row r="278" spans="1:5">
      <c r="A278" s="1">
        <v>276</v>
      </c>
      <c r="B278">
        <v>44</v>
      </c>
      <c r="C278">
        <v>0</v>
      </c>
      <c r="D278">
        <v>0</v>
      </c>
      <c r="E278">
        <v>44</v>
      </c>
    </row>
    <row r="279" spans="1:5">
      <c r="A279" s="1">
        <v>277</v>
      </c>
      <c r="B279">
        <v>44</v>
      </c>
      <c r="C279">
        <v>0</v>
      </c>
      <c r="D279">
        <v>0</v>
      </c>
      <c r="E279">
        <v>44</v>
      </c>
    </row>
    <row r="280" spans="1:5">
      <c r="A280" s="1">
        <v>278</v>
      </c>
      <c r="B280">
        <v>45</v>
      </c>
      <c r="C280">
        <v>0</v>
      </c>
      <c r="D280">
        <v>0</v>
      </c>
      <c r="E280">
        <v>45</v>
      </c>
    </row>
    <row r="281" spans="1:5">
      <c r="A281" s="1">
        <v>279</v>
      </c>
      <c r="B281">
        <v>45</v>
      </c>
      <c r="C281">
        <v>0</v>
      </c>
      <c r="D281">
        <v>0</v>
      </c>
      <c r="E281">
        <v>45</v>
      </c>
    </row>
    <row r="282" spans="1:5">
      <c r="A282" s="1">
        <v>280</v>
      </c>
      <c r="B282">
        <v>45</v>
      </c>
      <c r="C282">
        <v>0</v>
      </c>
      <c r="D282">
        <v>0</v>
      </c>
      <c r="E282">
        <v>45</v>
      </c>
    </row>
    <row r="283" spans="1:5">
      <c r="A283" s="1">
        <v>281</v>
      </c>
      <c r="B283">
        <v>45</v>
      </c>
      <c r="C283">
        <v>0</v>
      </c>
      <c r="D283">
        <v>0</v>
      </c>
      <c r="E283">
        <v>45</v>
      </c>
    </row>
    <row r="284" spans="1:5">
      <c r="A284" s="1">
        <v>282</v>
      </c>
      <c r="B284">
        <v>45</v>
      </c>
      <c r="C284">
        <v>0</v>
      </c>
      <c r="D284">
        <v>0</v>
      </c>
      <c r="E284">
        <v>45</v>
      </c>
    </row>
    <row r="285" spans="1:5">
      <c r="A285" s="1">
        <v>283</v>
      </c>
      <c r="B285">
        <v>45</v>
      </c>
      <c r="C285">
        <v>0</v>
      </c>
      <c r="D285">
        <v>0</v>
      </c>
      <c r="E285">
        <v>45</v>
      </c>
    </row>
    <row r="286" spans="1:5">
      <c r="A286" s="1">
        <v>284</v>
      </c>
      <c r="B286">
        <v>46</v>
      </c>
      <c r="C286">
        <v>0</v>
      </c>
      <c r="D286">
        <v>0</v>
      </c>
      <c r="E286">
        <v>46</v>
      </c>
    </row>
    <row r="287" spans="1:5">
      <c r="A287" s="1">
        <v>285</v>
      </c>
      <c r="B287">
        <v>46</v>
      </c>
      <c r="C287">
        <v>0</v>
      </c>
      <c r="D287">
        <v>0</v>
      </c>
      <c r="E287">
        <v>46</v>
      </c>
    </row>
    <row r="288" spans="1:5">
      <c r="A288" s="1">
        <v>286</v>
      </c>
      <c r="B288">
        <v>46</v>
      </c>
      <c r="C288">
        <v>0</v>
      </c>
      <c r="D288">
        <v>0</v>
      </c>
      <c r="E288">
        <v>46</v>
      </c>
    </row>
    <row r="289" spans="1:5">
      <c r="A289" s="1">
        <v>287</v>
      </c>
      <c r="B289">
        <v>46</v>
      </c>
      <c r="C289">
        <v>0</v>
      </c>
      <c r="D289">
        <v>0</v>
      </c>
      <c r="E289">
        <v>46</v>
      </c>
    </row>
    <row r="290" spans="1:5">
      <c r="A290" s="1">
        <v>288</v>
      </c>
      <c r="B290">
        <v>46</v>
      </c>
      <c r="C290">
        <v>0</v>
      </c>
      <c r="D290">
        <v>0</v>
      </c>
      <c r="E290">
        <v>46</v>
      </c>
    </row>
    <row r="291" spans="1:5">
      <c r="A291" s="1">
        <v>289</v>
      </c>
      <c r="B291">
        <v>46</v>
      </c>
      <c r="C291">
        <v>0</v>
      </c>
      <c r="D291">
        <v>0</v>
      </c>
      <c r="E291">
        <v>46</v>
      </c>
    </row>
    <row r="292" spans="1:5">
      <c r="A292" s="1">
        <v>290</v>
      </c>
      <c r="B292">
        <v>46</v>
      </c>
      <c r="C292">
        <v>0</v>
      </c>
      <c r="D292">
        <v>0</v>
      </c>
      <c r="E292">
        <v>46</v>
      </c>
    </row>
    <row r="293" spans="1:5">
      <c r="A293" s="1">
        <v>291</v>
      </c>
      <c r="B293">
        <v>46</v>
      </c>
      <c r="C293">
        <v>0</v>
      </c>
      <c r="D293">
        <v>0</v>
      </c>
      <c r="E293">
        <v>46</v>
      </c>
    </row>
    <row r="294" spans="1:5">
      <c r="A294" s="1">
        <v>292</v>
      </c>
      <c r="B294">
        <v>46</v>
      </c>
      <c r="C294">
        <v>0</v>
      </c>
      <c r="D294">
        <v>0</v>
      </c>
      <c r="E294">
        <v>46</v>
      </c>
    </row>
    <row r="295" spans="1:5">
      <c r="A295" s="1">
        <v>293</v>
      </c>
      <c r="B295">
        <v>47</v>
      </c>
      <c r="C295">
        <v>0</v>
      </c>
      <c r="D295">
        <v>0</v>
      </c>
      <c r="E295">
        <v>47</v>
      </c>
    </row>
    <row r="296" spans="1:5">
      <c r="A296" s="1">
        <v>294</v>
      </c>
      <c r="B296">
        <v>47</v>
      </c>
      <c r="C296">
        <v>0</v>
      </c>
      <c r="D296">
        <v>0</v>
      </c>
      <c r="E296">
        <v>47</v>
      </c>
    </row>
    <row r="297" spans="1:5">
      <c r="A297" s="1">
        <v>295</v>
      </c>
      <c r="B297">
        <v>47</v>
      </c>
      <c r="C297">
        <v>0</v>
      </c>
      <c r="D297">
        <v>0</v>
      </c>
      <c r="E297">
        <v>47</v>
      </c>
    </row>
    <row r="298" spans="1:5">
      <c r="A298" s="1">
        <v>296</v>
      </c>
      <c r="B298">
        <v>47</v>
      </c>
      <c r="C298">
        <v>0</v>
      </c>
      <c r="D298">
        <v>0</v>
      </c>
      <c r="E298">
        <v>47</v>
      </c>
    </row>
    <row r="299" spans="1:5">
      <c r="A299" s="1">
        <v>297</v>
      </c>
      <c r="B299">
        <v>47</v>
      </c>
      <c r="C299">
        <v>0</v>
      </c>
      <c r="D299">
        <v>0</v>
      </c>
      <c r="E299">
        <v>47</v>
      </c>
    </row>
    <row r="300" spans="1:5">
      <c r="A300" s="1">
        <v>298</v>
      </c>
      <c r="B300">
        <v>47</v>
      </c>
      <c r="C300">
        <v>0</v>
      </c>
      <c r="D300">
        <v>0</v>
      </c>
      <c r="E300">
        <v>47</v>
      </c>
    </row>
    <row r="301" spans="1:5">
      <c r="A301" s="1">
        <v>299</v>
      </c>
      <c r="B301">
        <v>47</v>
      </c>
      <c r="C301">
        <v>0</v>
      </c>
      <c r="D301">
        <v>0</v>
      </c>
      <c r="E301">
        <v>47</v>
      </c>
    </row>
    <row r="302" spans="1:5">
      <c r="A302" s="1">
        <v>300</v>
      </c>
      <c r="B302">
        <v>47</v>
      </c>
      <c r="C302">
        <v>0</v>
      </c>
      <c r="D302">
        <v>0</v>
      </c>
      <c r="E302">
        <v>47</v>
      </c>
    </row>
    <row r="303" spans="1:5">
      <c r="A303" s="1">
        <v>301</v>
      </c>
      <c r="B303">
        <v>47</v>
      </c>
      <c r="C303">
        <v>0</v>
      </c>
      <c r="D303">
        <v>0</v>
      </c>
      <c r="E303">
        <v>47</v>
      </c>
    </row>
    <row r="304" spans="1:5">
      <c r="A304" s="1">
        <v>302</v>
      </c>
      <c r="B304">
        <v>47</v>
      </c>
      <c r="C304">
        <v>0</v>
      </c>
      <c r="D304">
        <v>0</v>
      </c>
      <c r="E304">
        <v>47</v>
      </c>
    </row>
    <row r="305" spans="1:5">
      <c r="A305" s="1">
        <v>303</v>
      </c>
      <c r="B305">
        <v>47</v>
      </c>
      <c r="C305">
        <v>0</v>
      </c>
      <c r="D305">
        <v>0</v>
      </c>
      <c r="E305">
        <v>47</v>
      </c>
    </row>
    <row r="306" spans="1:5">
      <c r="A306" s="1">
        <v>304</v>
      </c>
      <c r="B306">
        <v>47</v>
      </c>
      <c r="C306">
        <v>0</v>
      </c>
      <c r="D306">
        <v>0</v>
      </c>
      <c r="E306">
        <v>47</v>
      </c>
    </row>
    <row r="307" spans="1:5">
      <c r="A307" s="1">
        <v>305</v>
      </c>
      <c r="B307">
        <v>47</v>
      </c>
      <c r="C307">
        <v>0</v>
      </c>
      <c r="D307">
        <v>0</v>
      </c>
      <c r="E307">
        <v>47</v>
      </c>
    </row>
    <row r="308" spans="1:5">
      <c r="A308" s="1">
        <v>306</v>
      </c>
      <c r="B308">
        <v>47</v>
      </c>
      <c r="C308">
        <v>0</v>
      </c>
      <c r="D308">
        <v>0</v>
      </c>
      <c r="E308">
        <v>47</v>
      </c>
    </row>
    <row r="309" spans="1:5">
      <c r="A309" s="1">
        <v>307</v>
      </c>
      <c r="B309">
        <v>47</v>
      </c>
      <c r="C309">
        <v>0</v>
      </c>
      <c r="D309">
        <v>0</v>
      </c>
      <c r="E309">
        <v>47</v>
      </c>
    </row>
    <row r="310" spans="1:5">
      <c r="A310" s="1">
        <v>308</v>
      </c>
      <c r="B310">
        <v>47</v>
      </c>
      <c r="C310">
        <v>0</v>
      </c>
      <c r="D310">
        <v>0</v>
      </c>
      <c r="E310">
        <v>47</v>
      </c>
    </row>
    <row r="311" spans="1:5">
      <c r="A311" s="1">
        <v>309</v>
      </c>
      <c r="B311">
        <v>47</v>
      </c>
      <c r="C311">
        <v>0</v>
      </c>
      <c r="D311">
        <v>0</v>
      </c>
      <c r="E311">
        <v>47</v>
      </c>
    </row>
    <row r="312" spans="1:5">
      <c r="A312" s="1">
        <v>310</v>
      </c>
      <c r="B312">
        <v>47</v>
      </c>
      <c r="C312">
        <v>0</v>
      </c>
      <c r="D312">
        <v>0</v>
      </c>
      <c r="E312">
        <v>47</v>
      </c>
    </row>
    <row r="313" spans="1:5">
      <c r="A313" s="1">
        <v>311</v>
      </c>
      <c r="B313">
        <v>47</v>
      </c>
      <c r="C313">
        <v>0</v>
      </c>
      <c r="D313">
        <v>0</v>
      </c>
      <c r="E313">
        <v>47</v>
      </c>
    </row>
    <row r="314" spans="1:5">
      <c r="A314" s="1">
        <v>312</v>
      </c>
      <c r="B314">
        <v>47</v>
      </c>
      <c r="C314">
        <v>0</v>
      </c>
      <c r="D314">
        <v>0</v>
      </c>
      <c r="E314">
        <v>47</v>
      </c>
    </row>
    <row r="315" spans="1:5">
      <c r="A315" s="1">
        <v>313</v>
      </c>
      <c r="B315">
        <v>47</v>
      </c>
      <c r="C315">
        <v>0</v>
      </c>
      <c r="D315">
        <v>0</v>
      </c>
      <c r="E315">
        <v>47</v>
      </c>
    </row>
    <row r="316" spans="1:5">
      <c r="A316" s="1">
        <v>314</v>
      </c>
      <c r="B316">
        <v>47</v>
      </c>
      <c r="C316">
        <v>0</v>
      </c>
      <c r="D316">
        <v>0</v>
      </c>
      <c r="E316">
        <v>47</v>
      </c>
    </row>
    <row r="317" spans="1:5">
      <c r="A317" s="1">
        <v>315</v>
      </c>
      <c r="B317">
        <v>47</v>
      </c>
      <c r="C317">
        <v>0</v>
      </c>
      <c r="D317">
        <v>0</v>
      </c>
      <c r="E317">
        <v>47</v>
      </c>
    </row>
    <row r="318" spans="1:5">
      <c r="A318" s="1">
        <v>316</v>
      </c>
      <c r="B318">
        <v>47</v>
      </c>
      <c r="C318">
        <v>0</v>
      </c>
      <c r="D318">
        <v>0</v>
      </c>
      <c r="E318">
        <v>47</v>
      </c>
    </row>
    <row r="319" spans="1:5">
      <c r="A319" s="1">
        <v>317</v>
      </c>
      <c r="B319">
        <v>47</v>
      </c>
      <c r="C319">
        <v>0</v>
      </c>
      <c r="D319">
        <v>0</v>
      </c>
      <c r="E319">
        <v>47</v>
      </c>
    </row>
    <row r="320" spans="1:5">
      <c r="A320" s="1">
        <v>318</v>
      </c>
      <c r="B320">
        <v>47</v>
      </c>
      <c r="C320">
        <v>0</v>
      </c>
      <c r="D320">
        <v>0</v>
      </c>
      <c r="E320">
        <v>47</v>
      </c>
    </row>
    <row r="321" spans="1:5">
      <c r="A321" s="1">
        <v>319</v>
      </c>
      <c r="B321">
        <v>47</v>
      </c>
      <c r="C321">
        <v>0</v>
      </c>
      <c r="D321">
        <v>0</v>
      </c>
      <c r="E321">
        <v>47</v>
      </c>
    </row>
    <row r="322" spans="1:5">
      <c r="A322" s="1">
        <v>320</v>
      </c>
      <c r="B322">
        <v>47</v>
      </c>
      <c r="C322">
        <v>0</v>
      </c>
      <c r="D322">
        <v>0</v>
      </c>
      <c r="E322">
        <v>47</v>
      </c>
    </row>
    <row r="323" spans="1:5">
      <c r="A323" s="1">
        <v>321</v>
      </c>
      <c r="B323">
        <v>47</v>
      </c>
      <c r="C323">
        <v>0</v>
      </c>
      <c r="D323">
        <v>0</v>
      </c>
      <c r="E323">
        <v>47</v>
      </c>
    </row>
    <row r="324" spans="1:5">
      <c r="A324" s="1">
        <v>322</v>
      </c>
      <c r="B324">
        <v>47</v>
      </c>
      <c r="C324">
        <v>0</v>
      </c>
      <c r="D324">
        <v>0</v>
      </c>
      <c r="E324">
        <v>47</v>
      </c>
    </row>
    <row r="325" spans="1:5">
      <c r="A325" s="1">
        <v>323</v>
      </c>
      <c r="B325">
        <v>47</v>
      </c>
      <c r="C325">
        <v>0</v>
      </c>
      <c r="D325">
        <v>0</v>
      </c>
      <c r="E325">
        <v>47</v>
      </c>
    </row>
    <row r="326" spans="1:5">
      <c r="A326" s="1">
        <v>324</v>
      </c>
      <c r="B326">
        <v>47</v>
      </c>
      <c r="C326">
        <v>0</v>
      </c>
      <c r="D326">
        <v>0</v>
      </c>
      <c r="E326">
        <v>47</v>
      </c>
    </row>
    <row r="327" spans="1:5">
      <c r="A327" s="1">
        <v>325</v>
      </c>
      <c r="B327">
        <v>47</v>
      </c>
      <c r="C327">
        <v>0</v>
      </c>
      <c r="D327">
        <v>0</v>
      </c>
      <c r="E327">
        <v>47</v>
      </c>
    </row>
    <row r="328" spans="1:5">
      <c r="A328" s="1">
        <v>326</v>
      </c>
      <c r="B328">
        <v>47</v>
      </c>
      <c r="C328">
        <v>0</v>
      </c>
      <c r="D328">
        <v>0</v>
      </c>
      <c r="E328">
        <v>47</v>
      </c>
    </row>
    <row r="329" spans="1:5">
      <c r="A329" s="1">
        <v>327</v>
      </c>
      <c r="B329">
        <v>47</v>
      </c>
      <c r="C329">
        <v>0</v>
      </c>
      <c r="D329">
        <v>0</v>
      </c>
      <c r="E329">
        <v>47</v>
      </c>
    </row>
    <row r="330" spans="1:5">
      <c r="A330" s="1">
        <v>328</v>
      </c>
      <c r="B330">
        <v>47</v>
      </c>
      <c r="C330">
        <v>0</v>
      </c>
      <c r="D330">
        <v>0</v>
      </c>
      <c r="E330">
        <v>47</v>
      </c>
    </row>
    <row r="331" spans="1:5">
      <c r="A331" s="1">
        <v>329</v>
      </c>
      <c r="B331">
        <v>47</v>
      </c>
      <c r="C331">
        <v>0</v>
      </c>
      <c r="D331">
        <v>0</v>
      </c>
      <c r="E331">
        <v>47</v>
      </c>
    </row>
    <row r="332" spans="1:5">
      <c r="A332" s="1">
        <v>330</v>
      </c>
      <c r="B332">
        <v>47</v>
      </c>
      <c r="C332">
        <v>0</v>
      </c>
      <c r="D332">
        <v>0</v>
      </c>
      <c r="E332">
        <v>47</v>
      </c>
    </row>
    <row r="333" spans="1:5">
      <c r="A333" s="1">
        <v>331</v>
      </c>
      <c r="B333">
        <v>47</v>
      </c>
      <c r="C333">
        <v>0</v>
      </c>
      <c r="D333">
        <v>0</v>
      </c>
      <c r="E333">
        <v>47</v>
      </c>
    </row>
    <row r="334" spans="1:5">
      <c r="A334" s="1">
        <v>332</v>
      </c>
      <c r="B334">
        <v>47</v>
      </c>
      <c r="C334">
        <v>0</v>
      </c>
      <c r="D334">
        <v>0</v>
      </c>
      <c r="E334">
        <v>47</v>
      </c>
    </row>
    <row r="335" spans="1:5">
      <c r="A335" s="1">
        <v>333</v>
      </c>
      <c r="B335">
        <v>47</v>
      </c>
      <c r="C335">
        <v>0</v>
      </c>
      <c r="D335">
        <v>0</v>
      </c>
      <c r="E335">
        <v>47</v>
      </c>
    </row>
    <row r="336" spans="1:5">
      <c r="A336" s="1">
        <v>334</v>
      </c>
      <c r="B336">
        <v>47</v>
      </c>
      <c r="C336">
        <v>0</v>
      </c>
      <c r="D336">
        <v>0</v>
      </c>
      <c r="E336">
        <v>47</v>
      </c>
    </row>
    <row r="337" spans="1:5">
      <c r="A337" s="1">
        <v>335</v>
      </c>
      <c r="B337">
        <v>47</v>
      </c>
      <c r="C337">
        <v>0</v>
      </c>
      <c r="D337">
        <v>0</v>
      </c>
      <c r="E337">
        <v>47</v>
      </c>
    </row>
    <row r="338" spans="1:5">
      <c r="A338" s="1">
        <v>336</v>
      </c>
      <c r="B338">
        <v>47</v>
      </c>
      <c r="C338">
        <v>0</v>
      </c>
      <c r="D338">
        <v>0</v>
      </c>
      <c r="E338">
        <v>47</v>
      </c>
    </row>
    <row r="339" spans="1:5">
      <c r="A339" s="1">
        <v>337</v>
      </c>
      <c r="B339">
        <v>47</v>
      </c>
      <c r="C339">
        <v>0</v>
      </c>
      <c r="D339">
        <v>0</v>
      </c>
      <c r="E339">
        <v>47</v>
      </c>
    </row>
    <row r="340" spans="1:5">
      <c r="A340" s="1">
        <v>338</v>
      </c>
      <c r="B340">
        <v>47</v>
      </c>
      <c r="C340">
        <v>0</v>
      </c>
      <c r="D340">
        <v>0</v>
      </c>
      <c r="E340">
        <v>47</v>
      </c>
    </row>
    <row r="341" spans="1:5">
      <c r="A341" s="1">
        <v>339</v>
      </c>
      <c r="B341">
        <v>47</v>
      </c>
      <c r="C341">
        <v>0</v>
      </c>
      <c r="D341">
        <v>0</v>
      </c>
      <c r="E341">
        <v>47</v>
      </c>
    </row>
    <row r="342" spans="1:5">
      <c r="A342" s="1">
        <v>340</v>
      </c>
      <c r="B342">
        <v>47</v>
      </c>
      <c r="C342">
        <v>0</v>
      </c>
      <c r="D342">
        <v>0</v>
      </c>
      <c r="E342">
        <v>47</v>
      </c>
    </row>
    <row r="343" spans="1:5">
      <c r="A343" s="1">
        <v>341</v>
      </c>
      <c r="B343">
        <v>47</v>
      </c>
      <c r="C343">
        <v>0</v>
      </c>
      <c r="D343">
        <v>0</v>
      </c>
      <c r="E343">
        <v>47</v>
      </c>
    </row>
    <row r="344" spans="1:5">
      <c r="A344" s="1">
        <v>342</v>
      </c>
      <c r="B344">
        <v>47</v>
      </c>
      <c r="C344">
        <v>0</v>
      </c>
      <c r="D344">
        <v>0</v>
      </c>
      <c r="E344">
        <v>47</v>
      </c>
    </row>
    <row r="345" spans="1:5">
      <c r="A345" s="1">
        <v>343</v>
      </c>
      <c r="B345">
        <v>47</v>
      </c>
      <c r="C345">
        <v>0</v>
      </c>
      <c r="D345">
        <v>0</v>
      </c>
      <c r="E345">
        <v>47</v>
      </c>
    </row>
    <row r="346" spans="1:5">
      <c r="A346" s="1">
        <v>344</v>
      </c>
      <c r="B346">
        <v>47</v>
      </c>
      <c r="C346">
        <v>0</v>
      </c>
      <c r="D346">
        <v>0</v>
      </c>
      <c r="E346">
        <v>47</v>
      </c>
    </row>
    <row r="347" spans="1:5">
      <c r="A347" s="1">
        <v>345</v>
      </c>
      <c r="B347">
        <v>47</v>
      </c>
      <c r="C347">
        <v>0</v>
      </c>
      <c r="D347">
        <v>0</v>
      </c>
      <c r="E347">
        <v>47</v>
      </c>
    </row>
    <row r="348" spans="1:5">
      <c r="A348" s="1">
        <v>346</v>
      </c>
      <c r="B348">
        <v>47</v>
      </c>
      <c r="C348">
        <v>0</v>
      </c>
      <c r="D348">
        <v>0</v>
      </c>
      <c r="E348">
        <v>47</v>
      </c>
    </row>
    <row r="349" spans="1:5">
      <c r="A349" s="1">
        <v>347</v>
      </c>
      <c r="B349">
        <v>47</v>
      </c>
      <c r="C349">
        <v>0</v>
      </c>
      <c r="D349">
        <v>0</v>
      </c>
      <c r="E349">
        <v>47</v>
      </c>
    </row>
    <row r="350" spans="1:5">
      <c r="A350" s="1">
        <v>348</v>
      </c>
      <c r="B350">
        <v>47</v>
      </c>
      <c r="C350">
        <v>0</v>
      </c>
      <c r="D350">
        <v>0</v>
      </c>
      <c r="E350">
        <v>47</v>
      </c>
    </row>
    <row r="351" spans="1:5">
      <c r="A351" s="1">
        <v>349</v>
      </c>
      <c r="B351">
        <v>47</v>
      </c>
      <c r="C351">
        <v>0</v>
      </c>
      <c r="D351">
        <v>0</v>
      </c>
      <c r="E351">
        <v>47</v>
      </c>
    </row>
    <row r="352" spans="1:5">
      <c r="A352" s="1">
        <v>350</v>
      </c>
      <c r="B352">
        <v>48</v>
      </c>
      <c r="C352">
        <v>0</v>
      </c>
      <c r="D352">
        <v>0</v>
      </c>
      <c r="E352">
        <v>48</v>
      </c>
    </row>
    <row r="353" spans="1:5">
      <c r="A353" s="1">
        <v>351</v>
      </c>
      <c r="B353">
        <v>48</v>
      </c>
      <c r="C353">
        <v>0</v>
      </c>
      <c r="D353">
        <v>0</v>
      </c>
      <c r="E353">
        <v>48</v>
      </c>
    </row>
    <row r="354" spans="1:5">
      <c r="A354" s="1">
        <v>352</v>
      </c>
      <c r="B354">
        <v>48</v>
      </c>
      <c r="C354">
        <v>0</v>
      </c>
      <c r="D354">
        <v>0</v>
      </c>
      <c r="E354">
        <v>48</v>
      </c>
    </row>
    <row r="355" spans="1:5">
      <c r="A355" s="1">
        <v>353</v>
      </c>
      <c r="B355">
        <v>48</v>
      </c>
      <c r="C355">
        <v>0</v>
      </c>
      <c r="D355">
        <v>0</v>
      </c>
      <c r="E355">
        <v>48</v>
      </c>
    </row>
    <row r="356" spans="1:5">
      <c r="A356" s="1">
        <v>354</v>
      </c>
      <c r="B356">
        <v>47</v>
      </c>
      <c r="C356">
        <v>0</v>
      </c>
      <c r="D356">
        <v>0</v>
      </c>
      <c r="E356">
        <v>47</v>
      </c>
    </row>
    <row r="357" spans="1:5">
      <c r="A357" s="1">
        <v>355</v>
      </c>
      <c r="B357">
        <v>47</v>
      </c>
      <c r="C357">
        <v>0</v>
      </c>
      <c r="D357">
        <v>0</v>
      </c>
      <c r="E357">
        <v>47</v>
      </c>
    </row>
    <row r="358" spans="1:5">
      <c r="A358" s="1">
        <v>356</v>
      </c>
      <c r="B358">
        <v>47</v>
      </c>
      <c r="C358">
        <v>0</v>
      </c>
      <c r="D358">
        <v>0</v>
      </c>
      <c r="E358">
        <v>47</v>
      </c>
    </row>
    <row r="359" spans="1:5">
      <c r="A359" s="1">
        <v>357</v>
      </c>
      <c r="B359">
        <v>47</v>
      </c>
      <c r="C359">
        <v>0</v>
      </c>
      <c r="D359">
        <v>0</v>
      </c>
      <c r="E359">
        <v>47</v>
      </c>
    </row>
    <row r="360" spans="1:5">
      <c r="A360" s="1">
        <v>358</v>
      </c>
      <c r="B360">
        <v>47</v>
      </c>
      <c r="C360">
        <v>0</v>
      </c>
      <c r="D360">
        <v>0</v>
      </c>
      <c r="E360">
        <v>47</v>
      </c>
    </row>
    <row r="361" spans="1:5">
      <c r="A361" s="1">
        <v>359</v>
      </c>
      <c r="B361">
        <v>47</v>
      </c>
      <c r="C361">
        <v>0</v>
      </c>
      <c r="D361">
        <v>0</v>
      </c>
      <c r="E361">
        <v>47</v>
      </c>
    </row>
    <row r="362" spans="1:5">
      <c r="A362" s="1">
        <v>360</v>
      </c>
      <c r="B362">
        <v>47</v>
      </c>
      <c r="C362">
        <v>0</v>
      </c>
      <c r="D362">
        <v>0</v>
      </c>
      <c r="E362">
        <v>47</v>
      </c>
    </row>
    <row r="363" spans="1:5">
      <c r="A363" s="1">
        <v>361</v>
      </c>
      <c r="B363">
        <v>47</v>
      </c>
      <c r="C363">
        <v>0</v>
      </c>
      <c r="D363">
        <v>0</v>
      </c>
      <c r="E363">
        <v>47</v>
      </c>
    </row>
    <row r="364" spans="1:5">
      <c r="A364" s="1">
        <v>362</v>
      </c>
      <c r="B364">
        <v>47</v>
      </c>
      <c r="C364">
        <v>0</v>
      </c>
      <c r="D364">
        <v>0</v>
      </c>
      <c r="E364">
        <v>47</v>
      </c>
    </row>
    <row r="365" spans="1:5">
      <c r="A365" s="1">
        <v>363</v>
      </c>
      <c r="B365">
        <v>47</v>
      </c>
      <c r="C365">
        <v>0</v>
      </c>
      <c r="D365">
        <v>0</v>
      </c>
      <c r="E365">
        <v>47</v>
      </c>
    </row>
    <row r="366" spans="1:5">
      <c r="A366" s="1">
        <v>364</v>
      </c>
      <c r="B366">
        <v>47</v>
      </c>
      <c r="C366">
        <v>0</v>
      </c>
      <c r="D366">
        <v>0</v>
      </c>
      <c r="E366">
        <v>47</v>
      </c>
    </row>
    <row r="367" spans="1:5">
      <c r="A367" s="1">
        <v>365</v>
      </c>
      <c r="B367">
        <v>47</v>
      </c>
      <c r="C367">
        <v>0</v>
      </c>
      <c r="D367">
        <v>0</v>
      </c>
      <c r="E367">
        <v>47</v>
      </c>
    </row>
    <row r="368" spans="1:5">
      <c r="A368" s="1">
        <v>366</v>
      </c>
      <c r="B368">
        <v>47</v>
      </c>
      <c r="C368">
        <v>0</v>
      </c>
      <c r="D368">
        <v>0</v>
      </c>
      <c r="E368">
        <v>47</v>
      </c>
    </row>
    <row r="369" spans="1:5">
      <c r="A369" s="1">
        <v>367</v>
      </c>
      <c r="B369">
        <v>47</v>
      </c>
      <c r="C369">
        <v>0</v>
      </c>
      <c r="D369">
        <v>0</v>
      </c>
      <c r="E369">
        <v>47</v>
      </c>
    </row>
    <row r="370" spans="1:5">
      <c r="A370" s="1">
        <v>368</v>
      </c>
      <c r="B370">
        <v>47</v>
      </c>
      <c r="C370">
        <v>0</v>
      </c>
      <c r="D370">
        <v>0</v>
      </c>
      <c r="E370">
        <v>47</v>
      </c>
    </row>
    <row r="371" spans="1:5">
      <c r="A371" s="1">
        <v>369</v>
      </c>
      <c r="B371">
        <v>47</v>
      </c>
      <c r="C371">
        <v>0</v>
      </c>
      <c r="D371">
        <v>0</v>
      </c>
      <c r="E371">
        <v>47</v>
      </c>
    </row>
    <row r="372" spans="1:5">
      <c r="A372" s="1">
        <v>370</v>
      </c>
      <c r="B372">
        <v>47</v>
      </c>
      <c r="C372">
        <v>0</v>
      </c>
      <c r="D372">
        <v>0</v>
      </c>
      <c r="E372">
        <v>47</v>
      </c>
    </row>
    <row r="373" spans="1:5">
      <c r="A373" s="1">
        <v>371</v>
      </c>
      <c r="B373">
        <v>47</v>
      </c>
      <c r="C373">
        <v>0</v>
      </c>
      <c r="D373">
        <v>0</v>
      </c>
      <c r="E373">
        <v>47</v>
      </c>
    </row>
    <row r="374" spans="1:5">
      <c r="A374" s="1">
        <v>372</v>
      </c>
      <c r="B374">
        <v>47</v>
      </c>
      <c r="C374">
        <v>0</v>
      </c>
      <c r="D374">
        <v>0</v>
      </c>
      <c r="E374">
        <v>47</v>
      </c>
    </row>
    <row r="375" spans="1:5">
      <c r="A375" s="1">
        <v>373</v>
      </c>
      <c r="B375">
        <v>47</v>
      </c>
      <c r="C375">
        <v>0</v>
      </c>
      <c r="D375">
        <v>0</v>
      </c>
      <c r="E375">
        <v>47</v>
      </c>
    </row>
    <row r="376" spans="1:5">
      <c r="A376" s="1">
        <v>374</v>
      </c>
      <c r="B376">
        <v>47</v>
      </c>
      <c r="C376">
        <v>0</v>
      </c>
      <c r="D376">
        <v>0</v>
      </c>
      <c r="E376">
        <v>47</v>
      </c>
    </row>
    <row r="377" spans="1:5">
      <c r="A377" s="1">
        <v>375</v>
      </c>
      <c r="B377">
        <v>47</v>
      </c>
      <c r="C377">
        <v>0</v>
      </c>
      <c r="D377">
        <v>0</v>
      </c>
      <c r="E377">
        <v>47</v>
      </c>
    </row>
    <row r="378" spans="1:5">
      <c r="A378" s="1">
        <v>376</v>
      </c>
      <c r="B378">
        <v>47</v>
      </c>
      <c r="C378">
        <v>0</v>
      </c>
      <c r="D378">
        <v>0</v>
      </c>
      <c r="E378">
        <v>47</v>
      </c>
    </row>
    <row r="379" spans="1:5">
      <c r="A379" s="1">
        <v>377</v>
      </c>
      <c r="B379">
        <v>47</v>
      </c>
      <c r="C379">
        <v>0</v>
      </c>
      <c r="D379">
        <v>0</v>
      </c>
      <c r="E379">
        <v>47</v>
      </c>
    </row>
    <row r="380" spans="1:5">
      <c r="A380" s="1">
        <v>378</v>
      </c>
      <c r="B380">
        <v>47</v>
      </c>
      <c r="C380">
        <v>0</v>
      </c>
      <c r="D380">
        <v>0</v>
      </c>
      <c r="E380">
        <v>47</v>
      </c>
    </row>
    <row r="381" spans="1:5">
      <c r="A381" s="1">
        <v>379</v>
      </c>
      <c r="B381">
        <v>47</v>
      </c>
      <c r="C381">
        <v>0</v>
      </c>
      <c r="D381">
        <v>0</v>
      </c>
      <c r="E381">
        <v>47</v>
      </c>
    </row>
    <row r="382" spans="1:5">
      <c r="A382" s="1">
        <v>380</v>
      </c>
      <c r="B382">
        <v>47</v>
      </c>
      <c r="C382">
        <v>0</v>
      </c>
      <c r="D382">
        <v>0</v>
      </c>
      <c r="E382">
        <v>47</v>
      </c>
    </row>
    <row r="383" spans="1:5">
      <c r="A383" s="1">
        <v>381</v>
      </c>
      <c r="B383">
        <v>47</v>
      </c>
      <c r="C383">
        <v>0</v>
      </c>
      <c r="D383">
        <v>0</v>
      </c>
      <c r="E383">
        <v>47</v>
      </c>
    </row>
    <row r="384" spans="1:5">
      <c r="A384" s="1">
        <v>382</v>
      </c>
      <c r="B384">
        <v>47</v>
      </c>
      <c r="C384">
        <v>0</v>
      </c>
      <c r="D384">
        <v>0</v>
      </c>
      <c r="E384">
        <v>47</v>
      </c>
    </row>
    <row r="385" spans="1:5">
      <c r="A385" s="1">
        <v>383</v>
      </c>
      <c r="B385">
        <v>47</v>
      </c>
      <c r="C385">
        <v>0</v>
      </c>
      <c r="D385">
        <v>0</v>
      </c>
      <c r="E385">
        <v>47</v>
      </c>
    </row>
    <row r="386" spans="1:5">
      <c r="A386" s="1">
        <v>384</v>
      </c>
      <c r="B386">
        <v>47</v>
      </c>
      <c r="C386">
        <v>0</v>
      </c>
      <c r="D386">
        <v>0</v>
      </c>
      <c r="E386">
        <v>47</v>
      </c>
    </row>
    <row r="387" spans="1:5">
      <c r="A387" s="1">
        <v>385</v>
      </c>
      <c r="B387">
        <v>47</v>
      </c>
      <c r="C387">
        <v>0</v>
      </c>
      <c r="D387">
        <v>0</v>
      </c>
      <c r="E387">
        <v>47</v>
      </c>
    </row>
    <row r="388" spans="1:5">
      <c r="A388" s="1">
        <v>386</v>
      </c>
      <c r="B388">
        <v>47</v>
      </c>
      <c r="C388">
        <v>0</v>
      </c>
      <c r="D388">
        <v>0</v>
      </c>
      <c r="E388">
        <v>47</v>
      </c>
    </row>
    <row r="389" spans="1:5">
      <c r="A389" s="1">
        <v>387</v>
      </c>
      <c r="B389">
        <v>47</v>
      </c>
      <c r="C389">
        <v>0</v>
      </c>
      <c r="D389">
        <v>0</v>
      </c>
      <c r="E389">
        <v>47</v>
      </c>
    </row>
    <row r="390" spans="1:5">
      <c r="A390" s="1">
        <v>388</v>
      </c>
      <c r="B390">
        <v>47</v>
      </c>
      <c r="C390">
        <v>0</v>
      </c>
      <c r="D390">
        <v>0</v>
      </c>
      <c r="E390">
        <v>47</v>
      </c>
    </row>
    <row r="391" spans="1:5">
      <c r="A391" s="1">
        <v>389</v>
      </c>
      <c r="B391">
        <v>47</v>
      </c>
      <c r="C391">
        <v>0</v>
      </c>
      <c r="D391">
        <v>0</v>
      </c>
      <c r="E391">
        <v>47</v>
      </c>
    </row>
    <row r="392" spans="1:5">
      <c r="A392" s="1">
        <v>390</v>
      </c>
      <c r="B392">
        <v>47</v>
      </c>
      <c r="C392">
        <v>0</v>
      </c>
      <c r="D392">
        <v>0</v>
      </c>
      <c r="E392">
        <v>47</v>
      </c>
    </row>
    <row r="393" spans="1:5">
      <c r="A393" s="1">
        <v>391</v>
      </c>
      <c r="B393">
        <v>47</v>
      </c>
      <c r="C393">
        <v>0</v>
      </c>
      <c r="D393">
        <v>0</v>
      </c>
      <c r="E393">
        <v>47</v>
      </c>
    </row>
    <row r="394" spans="1:5">
      <c r="A394" s="1">
        <v>392</v>
      </c>
      <c r="B394">
        <v>46</v>
      </c>
      <c r="C394">
        <v>0</v>
      </c>
      <c r="D394">
        <v>0</v>
      </c>
      <c r="E394">
        <v>46</v>
      </c>
    </row>
    <row r="395" spans="1:5">
      <c r="A395" s="1">
        <v>393</v>
      </c>
      <c r="B395">
        <v>46</v>
      </c>
      <c r="C395">
        <v>0</v>
      </c>
      <c r="D395">
        <v>0</v>
      </c>
      <c r="E395">
        <v>46</v>
      </c>
    </row>
    <row r="396" spans="1:5">
      <c r="A396" s="1">
        <v>394</v>
      </c>
      <c r="B396">
        <v>46</v>
      </c>
      <c r="C396">
        <v>0</v>
      </c>
      <c r="D396">
        <v>0</v>
      </c>
      <c r="E396">
        <v>46</v>
      </c>
    </row>
    <row r="397" spans="1:5">
      <c r="A397" s="1">
        <v>395</v>
      </c>
      <c r="B397">
        <v>46</v>
      </c>
      <c r="C397">
        <v>0</v>
      </c>
      <c r="D397">
        <v>0</v>
      </c>
      <c r="E397">
        <v>46</v>
      </c>
    </row>
    <row r="398" spans="1:5">
      <c r="A398" s="1">
        <v>396</v>
      </c>
      <c r="B398">
        <v>46</v>
      </c>
      <c r="C398">
        <v>0</v>
      </c>
      <c r="D398">
        <v>0</v>
      </c>
      <c r="E398">
        <v>46</v>
      </c>
    </row>
    <row r="399" spans="1:5">
      <c r="A399" s="1">
        <v>397</v>
      </c>
      <c r="B399">
        <v>46</v>
      </c>
      <c r="C399">
        <v>0</v>
      </c>
      <c r="D399">
        <v>0</v>
      </c>
      <c r="E399">
        <v>46</v>
      </c>
    </row>
    <row r="400" spans="1:5">
      <c r="A400" s="1">
        <v>398</v>
      </c>
      <c r="B400">
        <v>46</v>
      </c>
      <c r="C400">
        <v>0</v>
      </c>
      <c r="D400">
        <v>0</v>
      </c>
      <c r="E400">
        <v>46</v>
      </c>
    </row>
    <row r="401" spans="1:5">
      <c r="A401" s="1">
        <v>399</v>
      </c>
      <c r="B401">
        <v>46</v>
      </c>
      <c r="C401">
        <v>0</v>
      </c>
      <c r="D401">
        <v>0</v>
      </c>
      <c r="E401">
        <v>46</v>
      </c>
    </row>
    <row r="402" spans="1:5">
      <c r="A402" s="1">
        <v>400</v>
      </c>
      <c r="B402">
        <v>46</v>
      </c>
      <c r="C402">
        <v>0</v>
      </c>
      <c r="D402">
        <v>0</v>
      </c>
      <c r="E402">
        <v>46</v>
      </c>
    </row>
    <row r="403" spans="1:5">
      <c r="A403" s="1">
        <v>401</v>
      </c>
      <c r="B403">
        <v>45</v>
      </c>
      <c r="C403">
        <v>0</v>
      </c>
      <c r="D403">
        <v>0</v>
      </c>
      <c r="E403">
        <v>45</v>
      </c>
    </row>
    <row r="404" spans="1:5">
      <c r="A404" s="1">
        <v>402</v>
      </c>
      <c r="B404">
        <v>45</v>
      </c>
      <c r="C404">
        <v>0</v>
      </c>
      <c r="D404">
        <v>0</v>
      </c>
      <c r="E404">
        <v>45</v>
      </c>
    </row>
    <row r="405" spans="1:5">
      <c r="A405" s="1">
        <v>403</v>
      </c>
      <c r="B405">
        <v>45</v>
      </c>
      <c r="C405">
        <v>0</v>
      </c>
      <c r="D405">
        <v>0</v>
      </c>
      <c r="E405">
        <v>45</v>
      </c>
    </row>
    <row r="406" spans="1:5">
      <c r="A406" s="1">
        <v>404</v>
      </c>
      <c r="B406">
        <v>45</v>
      </c>
      <c r="C406">
        <v>0</v>
      </c>
      <c r="D406">
        <v>0</v>
      </c>
      <c r="E406">
        <v>45</v>
      </c>
    </row>
    <row r="407" spans="1:5">
      <c r="A407" s="1">
        <v>405</v>
      </c>
      <c r="B407">
        <v>45</v>
      </c>
      <c r="C407">
        <v>0</v>
      </c>
      <c r="D407">
        <v>0</v>
      </c>
      <c r="E407">
        <v>45</v>
      </c>
    </row>
    <row r="408" spans="1:5">
      <c r="A408" s="1">
        <v>406</v>
      </c>
      <c r="B408">
        <v>45</v>
      </c>
      <c r="C408">
        <v>0</v>
      </c>
      <c r="D408">
        <v>0</v>
      </c>
      <c r="E408">
        <v>45</v>
      </c>
    </row>
    <row r="409" spans="1:5">
      <c r="A409" s="1">
        <v>407</v>
      </c>
      <c r="B409">
        <v>44</v>
      </c>
      <c r="C409">
        <v>0</v>
      </c>
      <c r="D409">
        <v>0</v>
      </c>
      <c r="E409">
        <v>44</v>
      </c>
    </row>
    <row r="410" spans="1:5">
      <c r="A410" s="1">
        <v>408</v>
      </c>
      <c r="B410">
        <v>44</v>
      </c>
      <c r="C410">
        <v>0</v>
      </c>
      <c r="D410">
        <v>0</v>
      </c>
      <c r="E410">
        <v>44</v>
      </c>
    </row>
    <row r="411" spans="1:5">
      <c r="A411" s="1">
        <v>409</v>
      </c>
      <c r="B411">
        <v>44</v>
      </c>
      <c r="C411">
        <v>0</v>
      </c>
      <c r="D411">
        <v>0</v>
      </c>
      <c r="E411">
        <v>44</v>
      </c>
    </row>
    <row r="412" spans="1:5">
      <c r="A412" s="1">
        <v>410</v>
      </c>
      <c r="B412">
        <v>44</v>
      </c>
      <c r="C412">
        <v>0</v>
      </c>
      <c r="D412">
        <v>0</v>
      </c>
      <c r="E412">
        <v>44</v>
      </c>
    </row>
    <row r="413" spans="1:5">
      <c r="A413" s="1">
        <v>411</v>
      </c>
      <c r="B413">
        <v>44</v>
      </c>
      <c r="C413">
        <v>0</v>
      </c>
      <c r="D413">
        <v>0</v>
      </c>
      <c r="E413">
        <v>44</v>
      </c>
    </row>
    <row r="414" spans="1:5">
      <c r="A414" s="1">
        <v>412</v>
      </c>
      <c r="B414">
        <v>43</v>
      </c>
      <c r="C414">
        <v>0</v>
      </c>
      <c r="D414">
        <v>0</v>
      </c>
      <c r="E414">
        <v>43</v>
      </c>
    </row>
    <row r="415" spans="1:5">
      <c r="A415" s="1">
        <v>413</v>
      </c>
      <c r="B415">
        <v>43</v>
      </c>
      <c r="C415">
        <v>0</v>
      </c>
      <c r="D415">
        <v>0</v>
      </c>
      <c r="E415">
        <v>43</v>
      </c>
    </row>
    <row r="416" spans="1:5">
      <c r="A416" s="1">
        <v>414</v>
      </c>
      <c r="B416">
        <v>43</v>
      </c>
      <c r="C416">
        <v>0</v>
      </c>
      <c r="D416">
        <v>0</v>
      </c>
      <c r="E416">
        <v>43</v>
      </c>
    </row>
    <row r="417" spans="1:5">
      <c r="A417" s="1">
        <v>415</v>
      </c>
      <c r="B417">
        <v>43</v>
      </c>
      <c r="C417">
        <v>0</v>
      </c>
      <c r="D417">
        <v>0</v>
      </c>
      <c r="E417">
        <v>43</v>
      </c>
    </row>
    <row r="418" spans="1:5">
      <c r="A418" s="1">
        <v>416</v>
      </c>
      <c r="B418">
        <v>43</v>
      </c>
      <c r="C418">
        <v>0</v>
      </c>
      <c r="D418">
        <v>0</v>
      </c>
      <c r="E418">
        <v>43</v>
      </c>
    </row>
    <row r="419" spans="1:5">
      <c r="A419" s="1">
        <v>417</v>
      </c>
      <c r="B419">
        <v>42</v>
      </c>
      <c r="C419">
        <v>0</v>
      </c>
      <c r="D419">
        <v>0</v>
      </c>
      <c r="E419">
        <v>42</v>
      </c>
    </row>
    <row r="420" spans="1:5">
      <c r="A420" s="1">
        <v>418</v>
      </c>
      <c r="B420">
        <v>42</v>
      </c>
      <c r="C420">
        <v>0</v>
      </c>
      <c r="D420">
        <v>0</v>
      </c>
      <c r="E420">
        <v>42</v>
      </c>
    </row>
    <row r="421" spans="1:5">
      <c r="A421" s="1">
        <v>419</v>
      </c>
      <c r="B421">
        <v>42</v>
      </c>
      <c r="C421">
        <v>0</v>
      </c>
      <c r="D421">
        <v>0</v>
      </c>
      <c r="E421">
        <v>42</v>
      </c>
    </row>
    <row r="422" spans="1:5">
      <c r="A422" s="1">
        <v>420</v>
      </c>
      <c r="B422">
        <v>42</v>
      </c>
      <c r="C422">
        <v>0</v>
      </c>
      <c r="D422">
        <v>0</v>
      </c>
      <c r="E422">
        <v>42</v>
      </c>
    </row>
    <row r="423" spans="1:5">
      <c r="A423" s="1">
        <v>421</v>
      </c>
      <c r="B423">
        <v>42</v>
      </c>
      <c r="C423">
        <v>0</v>
      </c>
      <c r="D423">
        <v>0</v>
      </c>
      <c r="E423">
        <v>42</v>
      </c>
    </row>
    <row r="424" spans="1:5">
      <c r="A424" s="1">
        <v>422</v>
      </c>
      <c r="B424">
        <v>41</v>
      </c>
      <c r="C424">
        <v>0</v>
      </c>
      <c r="D424">
        <v>0</v>
      </c>
      <c r="E424">
        <v>41</v>
      </c>
    </row>
    <row r="425" spans="1:5">
      <c r="A425" s="1">
        <v>423</v>
      </c>
      <c r="B425">
        <v>41</v>
      </c>
      <c r="C425">
        <v>0</v>
      </c>
      <c r="D425">
        <v>0</v>
      </c>
      <c r="E425">
        <v>41</v>
      </c>
    </row>
    <row r="426" spans="1:5">
      <c r="A426" s="1">
        <v>424</v>
      </c>
      <c r="B426">
        <v>41</v>
      </c>
      <c r="C426">
        <v>0</v>
      </c>
      <c r="D426">
        <v>0</v>
      </c>
      <c r="E426">
        <v>41</v>
      </c>
    </row>
    <row r="427" spans="1:5">
      <c r="A427" s="1">
        <v>425</v>
      </c>
      <c r="B427">
        <v>41</v>
      </c>
      <c r="C427">
        <v>0</v>
      </c>
      <c r="D427">
        <v>0</v>
      </c>
      <c r="E427">
        <v>41</v>
      </c>
    </row>
    <row r="428" spans="1:5">
      <c r="A428" s="1">
        <v>426</v>
      </c>
      <c r="B428">
        <v>40</v>
      </c>
      <c r="C428">
        <v>0</v>
      </c>
      <c r="D428">
        <v>0</v>
      </c>
      <c r="E428">
        <v>40</v>
      </c>
    </row>
    <row r="429" spans="1:5">
      <c r="A429" s="1">
        <v>427</v>
      </c>
      <c r="B429">
        <v>40</v>
      </c>
      <c r="C429">
        <v>0</v>
      </c>
      <c r="D429">
        <v>0</v>
      </c>
      <c r="E429">
        <v>40</v>
      </c>
    </row>
    <row r="430" spans="1:5">
      <c r="A430" s="1">
        <v>428</v>
      </c>
      <c r="B430">
        <v>40</v>
      </c>
      <c r="C430">
        <v>0</v>
      </c>
      <c r="D430">
        <v>0</v>
      </c>
      <c r="E430">
        <v>40</v>
      </c>
    </row>
    <row r="431" spans="1:5">
      <c r="A431" s="1">
        <v>429</v>
      </c>
      <c r="B431">
        <v>40</v>
      </c>
      <c r="C431">
        <v>0</v>
      </c>
      <c r="D431">
        <v>0</v>
      </c>
      <c r="E431">
        <v>40</v>
      </c>
    </row>
    <row r="432" spans="1:5">
      <c r="A432" s="1">
        <v>430</v>
      </c>
      <c r="B432">
        <v>39</v>
      </c>
      <c r="C432">
        <v>0</v>
      </c>
      <c r="D432">
        <v>0</v>
      </c>
      <c r="E432">
        <v>39</v>
      </c>
    </row>
    <row r="433" spans="1:5">
      <c r="A433" s="1">
        <v>431</v>
      </c>
      <c r="B433">
        <v>39</v>
      </c>
      <c r="C433">
        <v>0</v>
      </c>
      <c r="D433">
        <v>0</v>
      </c>
      <c r="E433">
        <v>39</v>
      </c>
    </row>
    <row r="434" spans="1:5">
      <c r="A434" s="1">
        <v>432</v>
      </c>
      <c r="B434">
        <v>39</v>
      </c>
      <c r="C434">
        <v>0</v>
      </c>
      <c r="D434">
        <v>0</v>
      </c>
      <c r="E434">
        <v>39</v>
      </c>
    </row>
    <row r="435" spans="1:5">
      <c r="A435" s="1">
        <v>433</v>
      </c>
      <c r="B435">
        <v>39</v>
      </c>
      <c r="C435">
        <v>0</v>
      </c>
      <c r="D435">
        <v>0</v>
      </c>
      <c r="E435">
        <v>39</v>
      </c>
    </row>
    <row r="436" spans="1:5">
      <c r="A436" s="1">
        <v>434</v>
      </c>
      <c r="B436">
        <v>38</v>
      </c>
      <c r="C436">
        <v>0</v>
      </c>
      <c r="D436">
        <v>0</v>
      </c>
      <c r="E436">
        <v>38</v>
      </c>
    </row>
    <row r="437" spans="1:5">
      <c r="A437" s="1">
        <v>435</v>
      </c>
      <c r="B437">
        <v>38</v>
      </c>
      <c r="C437">
        <v>0</v>
      </c>
      <c r="D437">
        <v>0</v>
      </c>
      <c r="E437">
        <v>38</v>
      </c>
    </row>
    <row r="438" spans="1:5">
      <c r="A438" s="1">
        <v>436</v>
      </c>
      <c r="B438">
        <v>38</v>
      </c>
      <c r="C438">
        <v>0</v>
      </c>
      <c r="D438">
        <v>0</v>
      </c>
      <c r="E438">
        <v>38</v>
      </c>
    </row>
    <row r="439" spans="1:5">
      <c r="A439" s="1">
        <v>437</v>
      </c>
      <c r="B439">
        <v>38</v>
      </c>
      <c r="C439">
        <v>0</v>
      </c>
      <c r="D439">
        <v>0</v>
      </c>
      <c r="E439">
        <v>38</v>
      </c>
    </row>
    <row r="440" spans="1:5">
      <c r="A440" s="1">
        <v>438</v>
      </c>
      <c r="B440">
        <v>38</v>
      </c>
      <c r="C440">
        <v>0</v>
      </c>
      <c r="D440">
        <v>0</v>
      </c>
      <c r="E440">
        <v>38</v>
      </c>
    </row>
    <row r="441" spans="1:5">
      <c r="A441" s="1">
        <v>439</v>
      </c>
      <c r="B441">
        <v>37</v>
      </c>
      <c r="C441">
        <v>0</v>
      </c>
      <c r="D441">
        <v>0</v>
      </c>
      <c r="E441">
        <v>37</v>
      </c>
    </row>
    <row r="442" spans="1:5">
      <c r="A442" s="1">
        <v>440</v>
      </c>
      <c r="B442">
        <v>37</v>
      </c>
      <c r="C442">
        <v>0</v>
      </c>
      <c r="D442">
        <v>0</v>
      </c>
      <c r="E442">
        <v>37</v>
      </c>
    </row>
    <row r="443" spans="1:5">
      <c r="A443" s="1">
        <v>441</v>
      </c>
      <c r="B443">
        <v>37</v>
      </c>
      <c r="C443">
        <v>0</v>
      </c>
      <c r="D443">
        <v>0</v>
      </c>
      <c r="E443">
        <v>37</v>
      </c>
    </row>
    <row r="444" spans="1:5">
      <c r="A444" s="1">
        <v>442</v>
      </c>
      <c r="B444">
        <v>37</v>
      </c>
      <c r="C444">
        <v>0</v>
      </c>
      <c r="D444">
        <v>0</v>
      </c>
      <c r="E444">
        <v>37</v>
      </c>
    </row>
    <row r="445" spans="1:5">
      <c r="A445" s="1">
        <v>443</v>
      </c>
      <c r="B445">
        <v>36</v>
      </c>
      <c r="C445">
        <v>0</v>
      </c>
      <c r="D445">
        <v>0</v>
      </c>
      <c r="E445">
        <v>36</v>
      </c>
    </row>
    <row r="446" spans="1:5">
      <c r="A446" s="1">
        <v>444</v>
      </c>
      <c r="B446">
        <v>36</v>
      </c>
      <c r="C446">
        <v>0</v>
      </c>
      <c r="D446">
        <v>0</v>
      </c>
      <c r="E446">
        <v>36</v>
      </c>
    </row>
    <row r="447" spans="1:5">
      <c r="A447" s="1">
        <v>445</v>
      </c>
      <c r="B447">
        <v>36</v>
      </c>
      <c r="C447">
        <v>0</v>
      </c>
      <c r="D447">
        <v>0</v>
      </c>
      <c r="E447">
        <v>36</v>
      </c>
    </row>
    <row r="448" spans="1:5">
      <c r="A448" s="1">
        <v>446</v>
      </c>
      <c r="B448">
        <v>36</v>
      </c>
      <c r="C448">
        <v>0</v>
      </c>
      <c r="D448">
        <v>0</v>
      </c>
      <c r="E448">
        <v>36</v>
      </c>
    </row>
    <row r="449" spans="1:5">
      <c r="A449" s="1">
        <v>447</v>
      </c>
      <c r="B449">
        <v>36</v>
      </c>
      <c r="C449">
        <v>0</v>
      </c>
      <c r="D449">
        <v>0</v>
      </c>
      <c r="E449">
        <v>36</v>
      </c>
    </row>
    <row r="450" spans="1:5">
      <c r="A450" s="1">
        <v>448</v>
      </c>
      <c r="B450">
        <v>35</v>
      </c>
      <c r="C450">
        <v>0</v>
      </c>
      <c r="D450">
        <v>0</v>
      </c>
      <c r="E450">
        <v>35</v>
      </c>
    </row>
    <row r="451" spans="1:5">
      <c r="A451" s="1">
        <v>449</v>
      </c>
      <c r="B451">
        <v>35</v>
      </c>
      <c r="C451">
        <v>0</v>
      </c>
      <c r="D451">
        <v>0</v>
      </c>
      <c r="E451">
        <v>35</v>
      </c>
    </row>
    <row r="452" spans="1:5">
      <c r="A452" s="1">
        <v>450</v>
      </c>
      <c r="B452">
        <v>35</v>
      </c>
      <c r="C452">
        <v>0</v>
      </c>
      <c r="D452">
        <v>0</v>
      </c>
      <c r="E452">
        <v>35</v>
      </c>
    </row>
    <row r="453" spans="1:5">
      <c r="A453" s="1">
        <v>451</v>
      </c>
      <c r="B453">
        <v>34</v>
      </c>
      <c r="C453">
        <v>0</v>
      </c>
      <c r="D453">
        <v>0</v>
      </c>
      <c r="E453">
        <v>34</v>
      </c>
    </row>
    <row r="454" spans="1:5">
      <c r="A454" s="1">
        <v>452</v>
      </c>
      <c r="B454">
        <v>34</v>
      </c>
      <c r="C454">
        <v>0</v>
      </c>
      <c r="D454">
        <v>0</v>
      </c>
      <c r="E454">
        <v>34</v>
      </c>
    </row>
    <row r="455" spans="1:5">
      <c r="A455" s="1">
        <v>453</v>
      </c>
      <c r="B455">
        <v>34</v>
      </c>
      <c r="C455">
        <v>0</v>
      </c>
      <c r="D455">
        <v>0</v>
      </c>
      <c r="E455">
        <v>34</v>
      </c>
    </row>
    <row r="456" spans="1:5">
      <c r="A456" s="1">
        <v>454</v>
      </c>
      <c r="B456">
        <v>34</v>
      </c>
      <c r="C456">
        <v>0</v>
      </c>
      <c r="D456">
        <v>0</v>
      </c>
      <c r="E456">
        <v>34</v>
      </c>
    </row>
    <row r="457" spans="1:5">
      <c r="A457" s="1">
        <v>455</v>
      </c>
      <c r="B457">
        <v>34</v>
      </c>
      <c r="C457">
        <v>0</v>
      </c>
      <c r="D457">
        <v>0</v>
      </c>
      <c r="E457">
        <v>34</v>
      </c>
    </row>
    <row r="458" spans="1:5">
      <c r="A458" s="1">
        <v>456</v>
      </c>
      <c r="B458">
        <v>33</v>
      </c>
      <c r="C458">
        <v>0</v>
      </c>
      <c r="D458">
        <v>0</v>
      </c>
      <c r="E458">
        <v>33</v>
      </c>
    </row>
    <row r="459" spans="1:5">
      <c r="A459" s="1">
        <v>457</v>
      </c>
      <c r="B459">
        <v>33</v>
      </c>
      <c r="C459">
        <v>0</v>
      </c>
      <c r="D459">
        <v>0</v>
      </c>
      <c r="E459">
        <v>33</v>
      </c>
    </row>
    <row r="460" spans="1:5">
      <c r="A460" s="1">
        <v>458</v>
      </c>
      <c r="B460">
        <v>33</v>
      </c>
      <c r="C460">
        <v>0</v>
      </c>
      <c r="D460">
        <v>0</v>
      </c>
      <c r="E460">
        <v>33</v>
      </c>
    </row>
    <row r="461" spans="1:5">
      <c r="A461" s="1">
        <v>459</v>
      </c>
      <c r="B461">
        <v>33</v>
      </c>
      <c r="C461">
        <v>0</v>
      </c>
      <c r="D461">
        <v>0</v>
      </c>
      <c r="E461">
        <v>33</v>
      </c>
    </row>
    <row r="462" spans="1:5">
      <c r="A462" s="1">
        <v>460</v>
      </c>
      <c r="B462">
        <v>32</v>
      </c>
      <c r="C462">
        <v>0</v>
      </c>
      <c r="D462">
        <v>0</v>
      </c>
      <c r="E462">
        <v>32</v>
      </c>
    </row>
    <row r="463" spans="1:5">
      <c r="A463" s="1">
        <v>461</v>
      </c>
      <c r="B463">
        <v>32</v>
      </c>
      <c r="C463">
        <v>0</v>
      </c>
      <c r="D463">
        <v>0</v>
      </c>
      <c r="E463">
        <v>32</v>
      </c>
    </row>
    <row r="464" spans="1:5">
      <c r="A464" s="1">
        <v>462</v>
      </c>
      <c r="B464">
        <v>32</v>
      </c>
      <c r="C464">
        <v>0</v>
      </c>
      <c r="D464">
        <v>0</v>
      </c>
      <c r="E464">
        <v>32</v>
      </c>
    </row>
    <row r="465" spans="1:5">
      <c r="A465" s="1">
        <v>463</v>
      </c>
      <c r="B465">
        <v>32</v>
      </c>
      <c r="C465">
        <v>0</v>
      </c>
      <c r="D465">
        <v>0</v>
      </c>
      <c r="E465">
        <v>32</v>
      </c>
    </row>
    <row r="466" spans="1:5">
      <c r="A466" s="1">
        <v>464</v>
      </c>
      <c r="B466">
        <v>31</v>
      </c>
      <c r="C466">
        <v>0</v>
      </c>
      <c r="D466">
        <v>0</v>
      </c>
      <c r="E466">
        <v>31</v>
      </c>
    </row>
    <row r="467" spans="1:5">
      <c r="A467" s="1">
        <v>465</v>
      </c>
      <c r="B467">
        <v>31</v>
      </c>
      <c r="C467">
        <v>0</v>
      </c>
      <c r="D467">
        <v>0</v>
      </c>
      <c r="E467">
        <v>31</v>
      </c>
    </row>
    <row r="468" spans="1:5">
      <c r="A468" s="1">
        <v>466</v>
      </c>
      <c r="B468">
        <v>31</v>
      </c>
      <c r="C468">
        <v>0</v>
      </c>
      <c r="D468">
        <v>0</v>
      </c>
      <c r="E468">
        <v>31</v>
      </c>
    </row>
    <row r="469" spans="1:5">
      <c r="A469" s="1">
        <v>467</v>
      </c>
      <c r="B469">
        <v>31</v>
      </c>
      <c r="C469">
        <v>0</v>
      </c>
      <c r="D469">
        <v>0</v>
      </c>
      <c r="E469">
        <v>31</v>
      </c>
    </row>
    <row r="470" spans="1:5">
      <c r="A470" s="1">
        <v>468</v>
      </c>
      <c r="B470">
        <v>31</v>
      </c>
      <c r="C470">
        <v>0</v>
      </c>
      <c r="D470">
        <v>0</v>
      </c>
      <c r="E470">
        <v>31</v>
      </c>
    </row>
    <row r="471" spans="1:5">
      <c r="A471" s="1">
        <v>469</v>
      </c>
      <c r="B471">
        <v>30</v>
      </c>
      <c r="C471">
        <v>0</v>
      </c>
      <c r="D471">
        <v>0</v>
      </c>
      <c r="E471">
        <v>30</v>
      </c>
    </row>
    <row r="472" spans="1:5">
      <c r="A472" s="1">
        <v>470</v>
      </c>
      <c r="B472">
        <v>30</v>
      </c>
      <c r="C472">
        <v>0</v>
      </c>
      <c r="D472">
        <v>0</v>
      </c>
      <c r="E472">
        <v>30</v>
      </c>
    </row>
    <row r="473" spans="1:5">
      <c r="A473" s="1">
        <v>471</v>
      </c>
      <c r="B473">
        <v>30</v>
      </c>
      <c r="C473">
        <v>0</v>
      </c>
      <c r="D473">
        <v>0</v>
      </c>
      <c r="E473">
        <v>30</v>
      </c>
    </row>
    <row r="474" spans="1:5">
      <c r="A474" s="1">
        <v>472</v>
      </c>
      <c r="B474">
        <v>30</v>
      </c>
      <c r="C474">
        <v>0</v>
      </c>
      <c r="D474">
        <v>0</v>
      </c>
      <c r="E474">
        <v>30</v>
      </c>
    </row>
    <row r="475" spans="1:5">
      <c r="A475" s="1">
        <v>473</v>
      </c>
      <c r="B475">
        <v>29</v>
      </c>
      <c r="C475">
        <v>0</v>
      </c>
      <c r="D475">
        <v>0</v>
      </c>
      <c r="E475">
        <v>29</v>
      </c>
    </row>
    <row r="476" spans="1:5">
      <c r="A476" s="1">
        <v>474</v>
      </c>
      <c r="B476">
        <v>29</v>
      </c>
      <c r="C476">
        <v>0</v>
      </c>
      <c r="D476">
        <v>0</v>
      </c>
      <c r="E476">
        <v>29</v>
      </c>
    </row>
    <row r="477" spans="1:5">
      <c r="A477" s="1">
        <v>475</v>
      </c>
      <c r="B477">
        <v>29</v>
      </c>
      <c r="C477">
        <v>0</v>
      </c>
      <c r="D477">
        <v>0</v>
      </c>
      <c r="E477">
        <v>29</v>
      </c>
    </row>
    <row r="478" spans="1:5">
      <c r="A478" s="1">
        <v>476</v>
      </c>
      <c r="B478">
        <v>29</v>
      </c>
      <c r="C478">
        <v>0</v>
      </c>
      <c r="D478">
        <v>0</v>
      </c>
      <c r="E478">
        <v>29</v>
      </c>
    </row>
    <row r="479" spans="1:5">
      <c r="A479" s="1">
        <v>477</v>
      </c>
      <c r="B479">
        <v>28</v>
      </c>
      <c r="C479">
        <v>0</v>
      </c>
      <c r="D479">
        <v>0</v>
      </c>
      <c r="E479">
        <v>28</v>
      </c>
    </row>
    <row r="480" spans="1:5">
      <c r="A480" s="1">
        <v>478</v>
      </c>
      <c r="B480">
        <v>28</v>
      </c>
      <c r="C480">
        <v>0</v>
      </c>
      <c r="D480">
        <v>0</v>
      </c>
      <c r="E480">
        <v>28</v>
      </c>
    </row>
    <row r="481" spans="1:5">
      <c r="A481" s="1">
        <v>479</v>
      </c>
      <c r="B481">
        <v>28</v>
      </c>
      <c r="C481">
        <v>0</v>
      </c>
      <c r="D481">
        <v>0</v>
      </c>
      <c r="E481">
        <v>28</v>
      </c>
    </row>
    <row r="482" spans="1:5">
      <c r="A482" s="1">
        <v>480</v>
      </c>
      <c r="B482">
        <v>28</v>
      </c>
      <c r="C482">
        <v>0</v>
      </c>
      <c r="D482">
        <v>0</v>
      </c>
      <c r="E482">
        <v>28</v>
      </c>
    </row>
    <row r="483" spans="1:5">
      <c r="A483" s="1">
        <v>481</v>
      </c>
      <c r="B483">
        <v>28</v>
      </c>
      <c r="C483">
        <v>0</v>
      </c>
      <c r="D483">
        <v>0</v>
      </c>
      <c r="E483">
        <v>28</v>
      </c>
    </row>
    <row r="484" spans="1:5">
      <c r="A484" s="1">
        <v>482</v>
      </c>
      <c r="B484">
        <v>27</v>
      </c>
      <c r="C484">
        <v>0</v>
      </c>
      <c r="D484">
        <v>0</v>
      </c>
      <c r="E484">
        <v>27</v>
      </c>
    </row>
    <row r="485" spans="1:5">
      <c r="A485" s="1">
        <v>483</v>
      </c>
      <c r="B485">
        <v>27</v>
      </c>
      <c r="C485">
        <v>0</v>
      </c>
      <c r="D485">
        <v>0</v>
      </c>
      <c r="E485">
        <v>27</v>
      </c>
    </row>
    <row r="486" spans="1:5">
      <c r="A486" s="1">
        <v>484</v>
      </c>
      <c r="B486">
        <v>27</v>
      </c>
      <c r="C486">
        <v>0</v>
      </c>
      <c r="D486">
        <v>0</v>
      </c>
      <c r="E486">
        <v>27</v>
      </c>
    </row>
    <row r="487" spans="1:5">
      <c r="A487" s="1">
        <v>485</v>
      </c>
      <c r="B487">
        <v>27</v>
      </c>
      <c r="C487">
        <v>0</v>
      </c>
      <c r="D487">
        <v>0</v>
      </c>
      <c r="E487">
        <v>27</v>
      </c>
    </row>
    <row r="488" spans="1:5">
      <c r="A488" s="1">
        <v>486</v>
      </c>
      <c r="B488">
        <v>26</v>
      </c>
      <c r="C488">
        <v>0</v>
      </c>
      <c r="D488">
        <v>0</v>
      </c>
      <c r="E488">
        <v>26</v>
      </c>
    </row>
    <row r="489" spans="1:5">
      <c r="A489" s="1">
        <v>487</v>
      </c>
      <c r="B489">
        <v>26</v>
      </c>
      <c r="C489">
        <v>0</v>
      </c>
      <c r="D489">
        <v>0</v>
      </c>
      <c r="E489">
        <v>26</v>
      </c>
    </row>
    <row r="490" spans="1:5">
      <c r="A490" s="1">
        <v>488</v>
      </c>
      <c r="B490">
        <v>26</v>
      </c>
      <c r="C490">
        <v>0</v>
      </c>
      <c r="D490">
        <v>0</v>
      </c>
      <c r="E490">
        <v>26</v>
      </c>
    </row>
    <row r="491" spans="1:5">
      <c r="A491" s="1">
        <v>489</v>
      </c>
      <c r="B491">
        <v>26</v>
      </c>
      <c r="C491">
        <v>0</v>
      </c>
      <c r="D491">
        <v>0</v>
      </c>
      <c r="E491">
        <v>26</v>
      </c>
    </row>
    <row r="492" spans="1:5">
      <c r="A492" s="1">
        <v>490</v>
      </c>
      <c r="B492">
        <v>26</v>
      </c>
      <c r="C492">
        <v>0</v>
      </c>
      <c r="D492">
        <v>0</v>
      </c>
      <c r="E492">
        <v>26</v>
      </c>
    </row>
    <row r="493" spans="1:5">
      <c r="A493" s="1">
        <v>491</v>
      </c>
      <c r="B493">
        <v>25</v>
      </c>
      <c r="C493">
        <v>0</v>
      </c>
      <c r="D493">
        <v>0</v>
      </c>
      <c r="E493">
        <v>25</v>
      </c>
    </row>
    <row r="494" spans="1:5">
      <c r="A494" s="1">
        <v>492</v>
      </c>
      <c r="B494">
        <v>25</v>
      </c>
      <c r="C494">
        <v>0</v>
      </c>
      <c r="D494">
        <v>0</v>
      </c>
      <c r="E494">
        <v>25</v>
      </c>
    </row>
    <row r="495" spans="1:5">
      <c r="A495" s="1">
        <v>493</v>
      </c>
      <c r="B495">
        <v>25</v>
      </c>
      <c r="C495">
        <v>0</v>
      </c>
      <c r="D495">
        <v>0</v>
      </c>
      <c r="E495">
        <v>25</v>
      </c>
    </row>
    <row r="496" spans="1:5">
      <c r="A496" s="1">
        <v>494</v>
      </c>
      <c r="B496">
        <v>25</v>
      </c>
      <c r="C496">
        <v>0</v>
      </c>
      <c r="D496">
        <v>0</v>
      </c>
      <c r="E496">
        <v>25</v>
      </c>
    </row>
    <row r="497" spans="1:5">
      <c r="A497" s="1">
        <v>495</v>
      </c>
      <c r="B497">
        <v>24</v>
      </c>
      <c r="C497">
        <v>0</v>
      </c>
      <c r="D497">
        <v>0</v>
      </c>
      <c r="E497">
        <v>24</v>
      </c>
    </row>
    <row r="498" spans="1:5">
      <c r="A498" s="1">
        <v>496</v>
      </c>
      <c r="B498">
        <v>24</v>
      </c>
      <c r="C498">
        <v>0</v>
      </c>
      <c r="D498">
        <v>0</v>
      </c>
      <c r="E498">
        <v>24</v>
      </c>
    </row>
    <row r="499" spans="1:5">
      <c r="A499" s="1">
        <v>497</v>
      </c>
      <c r="B499">
        <v>24</v>
      </c>
      <c r="C499">
        <v>0</v>
      </c>
      <c r="D499">
        <v>0</v>
      </c>
      <c r="E499">
        <v>24</v>
      </c>
    </row>
    <row r="500" spans="1:5">
      <c r="A500" s="1">
        <v>498</v>
      </c>
      <c r="B500">
        <v>24</v>
      </c>
      <c r="C500">
        <v>0</v>
      </c>
      <c r="D500">
        <v>0</v>
      </c>
      <c r="E500">
        <v>24</v>
      </c>
    </row>
    <row r="501" spans="1:5">
      <c r="A501" s="1">
        <v>499</v>
      </c>
      <c r="B501">
        <v>24</v>
      </c>
      <c r="C501">
        <v>0</v>
      </c>
      <c r="D501">
        <v>0</v>
      </c>
      <c r="E501">
        <v>24</v>
      </c>
    </row>
    <row r="502" spans="1:5">
      <c r="A502" s="1">
        <v>500</v>
      </c>
      <c r="B502">
        <v>23</v>
      </c>
      <c r="C502">
        <v>0</v>
      </c>
      <c r="D502">
        <v>0</v>
      </c>
      <c r="E502">
        <v>23</v>
      </c>
    </row>
    <row r="503" spans="1:5">
      <c r="A503" s="1">
        <v>501</v>
      </c>
      <c r="B503">
        <v>23</v>
      </c>
      <c r="C503">
        <v>0</v>
      </c>
      <c r="D503">
        <v>0</v>
      </c>
      <c r="E503">
        <v>23</v>
      </c>
    </row>
    <row r="504" spans="1:5">
      <c r="A504" s="1">
        <v>502</v>
      </c>
      <c r="B504">
        <v>23</v>
      </c>
      <c r="C504">
        <v>0</v>
      </c>
      <c r="D504">
        <v>0</v>
      </c>
      <c r="E504">
        <v>23</v>
      </c>
    </row>
    <row r="505" spans="1:5">
      <c r="A505" s="1">
        <v>503</v>
      </c>
      <c r="B505">
        <v>23</v>
      </c>
      <c r="C505">
        <v>0</v>
      </c>
      <c r="D505">
        <v>0</v>
      </c>
      <c r="E505">
        <v>23</v>
      </c>
    </row>
    <row r="506" spans="1:5">
      <c r="A506" s="1">
        <v>504</v>
      </c>
      <c r="B506">
        <v>23</v>
      </c>
      <c r="C506">
        <v>0</v>
      </c>
      <c r="D506">
        <v>0</v>
      </c>
      <c r="E506">
        <v>23</v>
      </c>
    </row>
    <row r="507" spans="1:5">
      <c r="A507" s="1">
        <v>505</v>
      </c>
      <c r="B507">
        <v>23</v>
      </c>
      <c r="C507">
        <v>0</v>
      </c>
      <c r="D507">
        <v>0</v>
      </c>
      <c r="E507">
        <v>23</v>
      </c>
    </row>
    <row r="508" spans="1:5">
      <c r="A508" s="1">
        <v>506</v>
      </c>
      <c r="B508">
        <v>22</v>
      </c>
      <c r="C508">
        <v>0</v>
      </c>
      <c r="D508">
        <v>0</v>
      </c>
      <c r="E508">
        <v>22</v>
      </c>
    </row>
    <row r="509" spans="1:5">
      <c r="A509" s="1">
        <v>507</v>
      </c>
      <c r="B509">
        <v>22</v>
      </c>
      <c r="C509">
        <v>0</v>
      </c>
      <c r="D509">
        <v>0</v>
      </c>
      <c r="E509">
        <v>22</v>
      </c>
    </row>
    <row r="510" spans="1:5">
      <c r="A510" s="1">
        <v>508</v>
      </c>
      <c r="B510">
        <v>22</v>
      </c>
      <c r="C510">
        <v>0</v>
      </c>
      <c r="D510">
        <v>0</v>
      </c>
      <c r="E510">
        <v>22</v>
      </c>
    </row>
    <row r="511" spans="1:5">
      <c r="A511" s="1">
        <v>509</v>
      </c>
      <c r="B511">
        <v>22</v>
      </c>
      <c r="C511">
        <v>0</v>
      </c>
      <c r="D511">
        <v>0</v>
      </c>
      <c r="E511">
        <v>22</v>
      </c>
    </row>
    <row r="512" spans="1:5">
      <c r="A512" s="1">
        <v>510</v>
      </c>
      <c r="B512">
        <v>22</v>
      </c>
      <c r="C512">
        <v>0</v>
      </c>
      <c r="D512">
        <v>0</v>
      </c>
      <c r="E512">
        <v>22</v>
      </c>
    </row>
    <row r="513" spans="1:5">
      <c r="A513" s="1">
        <v>511</v>
      </c>
      <c r="B513">
        <v>21</v>
      </c>
      <c r="C513">
        <v>0</v>
      </c>
      <c r="D513">
        <v>0</v>
      </c>
      <c r="E513">
        <v>21</v>
      </c>
    </row>
    <row r="514" spans="1:5">
      <c r="A514" s="1">
        <v>512</v>
      </c>
      <c r="B514">
        <v>21</v>
      </c>
      <c r="C514">
        <v>0</v>
      </c>
      <c r="D514">
        <v>0</v>
      </c>
      <c r="E514">
        <v>21</v>
      </c>
    </row>
    <row r="515" spans="1:5">
      <c r="A515" s="1">
        <v>513</v>
      </c>
      <c r="B515">
        <v>21</v>
      </c>
      <c r="C515">
        <v>0</v>
      </c>
      <c r="D515">
        <v>0</v>
      </c>
      <c r="E515">
        <v>21</v>
      </c>
    </row>
    <row r="516" spans="1:5">
      <c r="A516" s="1">
        <v>514</v>
      </c>
      <c r="B516">
        <v>21</v>
      </c>
      <c r="C516">
        <v>0</v>
      </c>
      <c r="D516">
        <v>0</v>
      </c>
      <c r="E516">
        <v>21</v>
      </c>
    </row>
    <row r="517" spans="1:5">
      <c r="A517" s="1">
        <v>515</v>
      </c>
      <c r="B517">
        <v>21</v>
      </c>
      <c r="C517">
        <v>0</v>
      </c>
      <c r="D517">
        <v>0</v>
      </c>
      <c r="E517">
        <v>21</v>
      </c>
    </row>
    <row r="518" spans="1:5">
      <c r="A518" s="1">
        <v>516</v>
      </c>
      <c r="B518">
        <v>20</v>
      </c>
      <c r="C518">
        <v>0</v>
      </c>
      <c r="D518">
        <v>0</v>
      </c>
      <c r="E518">
        <v>20</v>
      </c>
    </row>
    <row r="519" spans="1:5">
      <c r="A519" s="1">
        <v>517</v>
      </c>
      <c r="B519">
        <v>20</v>
      </c>
      <c r="C519">
        <v>0</v>
      </c>
      <c r="D519">
        <v>0</v>
      </c>
      <c r="E519">
        <v>20</v>
      </c>
    </row>
    <row r="520" spans="1:5">
      <c r="A520" s="1">
        <v>518</v>
      </c>
      <c r="B520">
        <v>20</v>
      </c>
      <c r="C520">
        <v>0</v>
      </c>
      <c r="D520">
        <v>0</v>
      </c>
      <c r="E520">
        <v>20</v>
      </c>
    </row>
    <row r="521" spans="1:5">
      <c r="A521" s="1">
        <v>519</v>
      </c>
      <c r="B521">
        <v>20</v>
      </c>
      <c r="C521">
        <v>0</v>
      </c>
      <c r="D521">
        <v>0</v>
      </c>
      <c r="E521">
        <v>20</v>
      </c>
    </row>
    <row r="522" spans="1:5">
      <c r="A522" s="1">
        <v>520</v>
      </c>
      <c r="B522">
        <v>20</v>
      </c>
      <c r="C522">
        <v>0</v>
      </c>
      <c r="D522">
        <v>0</v>
      </c>
      <c r="E522">
        <v>20</v>
      </c>
    </row>
    <row r="523" spans="1:5">
      <c r="A523" s="1">
        <v>521</v>
      </c>
      <c r="B523">
        <v>20</v>
      </c>
      <c r="C523">
        <v>0</v>
      </c>
      <c r="D523">
        <v>0</v>
      </c>
      <c r="E523">
        <v>20</v>
      </c>
    </row>
    <row r="524" spans="1:5">
      <c r="A524" s="1">
        <v>522</v>
      </c>
      <c r="B524">
        <v>19</v>
      </c>
      <c r="C524">
        <v>0</v>
      </c>
      <c r="D524">
        <v>0</v>
      </c>
      <c r="E524">
        <v>19</v>
      </c>
    </row>
    <row r="525" spans="1:5">
      <c r="A525" s="1">
        <v>523</v>
      </c>
      <c r="B525">
        <v>19</v>
      </c>
      <c r="C525">
        <v>0</v>
      </c>
      <c r="D525">
        <v>0</v>
      </c>
      <c r="E525">
        <v>19</v>
      </c>
    </row>
    <row r="526" spans="1:5">
      <c r="A526" s="1">
        <v>524</v>
      </c>
      <c r="B526">
        <v>19</v>
      </c>
      <c r="C526">
        <v>0</v>
      </c>
      <c r="D526">
        <v>0</v>
      </c>
      <c r="E526">
        <v>19</v>
      </c>
    </row>
    <row r="527" spans="1:5">
      <c r="A527" s="1">
        <v>525</v>
      </c>
      <c r="B527">
        <v>19</v>
      </c>
      <c r="C527">
        <v>0</v>
      </c>
      <c r="D527">
        <v>0</v>
      </c>
      <c r="E527">
        <v>19</v>
      </c>
    </row>
    <row r="528" spans="1:5">
      <c r="A528" s="1">
        <v>526</v>
      </c>
      <c r="B528">
        <v>19</v>
      </c>
      <c r="C528">
        <v>0</v>
      </c>
      <c r="D528">
        <v>0</v>
      </c>
      <c r="E528">
        <v>19</v>
      </c>
    </row>
    <row r="529" spans="1:5">
      <c r="A529" s="1">
        <v>527</v>
      </c>
      <c r="B529">
        <v>18</v>
      </c>
      <c r="C529">
        <v>0</v>
      </c>
      <c r="D529">
        <v>0</v>
      </c>
      <c r="E529">
        <v>18</v>
      </c>
    </row>
    <row r="530" spans="1:5">
      <c r="A530" s="1">
        <v>528</v>
      </c>
      <c r="B530">
        <v>18</v>
      </c>
      <c r="C530">
        <v>0</v>
      </c>
      <c r="D530">
        <v>0</v>
      </c>
      <c r="E530">
        <v>18</v>
      </c>
    </row>
    <row r="531" spans="1:5">
      <c r="A531" s="1">
        <v>529</v>
      </c>
      <c r="B531">
        <v>18</v>
      </c>
      <c r="C531">
        <v>0</v>
      </c>
      <c r="D531">
        <v>0</v>
      </c>
      <c r="E531">
        <v>18</v>
      </c>
    </row>
    <row r="532" spans="1:5">
      <c r="A532" s="1">
        <v>530</v>
      </c>
      <c r="B532">
        <v>18</v>
      </c>
      <c r="C532">
        <v>0</v>
      </c>
      <c r="D532">
        <v>0</v>
      </c>
      <c r="E532">
        <v>18</v>
      </c>
    </row>
    <row r="533" spans="1:5">
      <c r="A533" s="1">
        <v>531</v>
      </c>
      <c r="B533">
        <v>18</v>
      </c>
      <c r="C533">
        <v>0</v>
      </c>
      <c r="D533">
        <v>0</v>
      </c>
      <c r="E533">
        <v>18</v>
      </c>
    </row>
    <row r="534" spans="1:5">
      <c r="A534" s="1">
        <v>532</v>
      </c>
      <c r="B534">
        <v>17</v>
      </c>
      <c r="C534">
        <v>0</v>
      </c>
      <c r="D534">
        <v>0</v>
      </c>
      <c r="E534">
        <v>17</v>
      </c>
    </row>
    <row r="535" spans="1:5">
      <c r="A535" s="1">
        <v>533</v>
      </c>
      <c r="B535">
        <v>17</v>
      </c>
      <c r="C535">
        <v>0</v>
      </c>
      <c r="D535">
        <v>0</v>
      </c>
      <c r="E535">
        <v>17</v>
      </c>
    </row>
    <row r="536" spans="1:5">
      <c r="A536" s="1">
        <v>534</v>
      </c>
      <c r="B536">
        <v>17</v>
      </c>
      <c r="C536">
        <v>0</v>
      </c>
      <c r="D536">
        <v>0</v>
      </c>
      <c r="E536">
        <v>17</v>
      </c>
    </row>
    <row r="537" spans="1:5">
      <c r="A537" s="1">
        <v>535</v>
      </c>
      <c r="B537">
        <v>17</v>
      </c>
      <c r="C537">
        <v>0</v>
      </c>
      <c r="D537">
        <v>0</v>
      </c>
      <c r="E537">
        <v>17</v>
      </c>
    </row>
    <row r="538" spans="1:5">
      <c r="A538" s="1">
        <v>536</v>
      </c>
      <c r="B538">
        <v>17</v>
      </c>
      <c r="C538">
        <v>0</v>
      </c>
      <c r="D538">
        <v>0</v>
      </c>
      <c r="E538">
        <v>17</v>
      </c>
    </row>
    <row r="539" spans="1:5">
      <c r="A539" s="1">
        <v>537</v>
      </c>
      <c r="B539">
        <v>16</v>
      </c>
      <c r="C539">
        <v>0</v>
      </c>
      <c r="D539">
        <v>0</v>
      </c>
      <c r="E539">
        <v>16</v>
      </c>
    </row>
    <row r="540" spans="1:5">
      <c r="A540" s="1">
        <v>538</v>
      </c>
      <c r="B540">
        <v>16</v>
      </c>
      <c r="C540">
        <v>0</v>
      </c>
      <c r="D540">
        <v>0</v>
      </c>
      <c r="E540">
        <v>16</v>
      </c>
    </row>
    <row r="541" spans="1:5">
      <c r="A541" s="1">
        <v>539</v>
      </c>
      <c r="B541">
        <v>16</v>
      </c>
      <c r="C541">
        <v>0</v>
      </c>
      <c r="D541">
        <v>0</v>
      </c>
      <c r="E541">
        <v>16</v>
      </c>
    </row>
    <row r="542" spans="1:5">
      <c r="A542" s="1">
        <v>540</v>
      </c>
      <c r="B542">
        <v>16</v>
      </c>
      <c r="C542">
        <v>0</v>
      </c>
      <c r="D542">
        <v>0</v>
      </c>
      <c r="E542">
        <v>16</v>
      </c>
    </row>
    <row r="543" spans="1:5">
      <c r="A543" s="1">
        <v>541</v>
      </c>
      <c r="B543">
        <v>16</v>
      </c>
      <c r="C543">
        <v>0</v>
      </c>
      <c r="D543">
        <v>0</v>
      </c>
      <c r="E543">
        <v>16</v>
      </c>
    </row>
    <row r="544" spans="1:5">
      <c r="A544" s="1">
        <v>542</v>
      </c>
      <c r="B544">
        <v>15</v>
      </c>
      <c r="C544">
        <v>0</v>
      </c>
      <c r="D544">
        <v>0</v>
      </c>
      <c r="E544">
        <v>15</v>
      </c>
    </row>
    <row r="545" spans="1:5">
      <c r="A545" s="1">
        <v>543</v>
      </c>
      <c r="B545">
        <v>15</v>
      </c>
      <c r="C545">
        <v>0</v>
      </c>
      <c r="D545">
        <v>0</v>
      </c>
      <c r="E545">
        <v>15</v>
      </c>
    </row>
    <row r="546" spans="1:5">
      <c r="A546" s="1">
        <v>544</v>
      </c>
      <c r="B546">
        <v>15</v>
      </c>
      <c r="C546">
        <v>0</v>
      </c>
      <c r="D546">
        <v>0</v>
      </c>
      <c r="E546">
        <v>15</v>
      </c>
    </row>
    <row r="547" spans="1:5">
      <c r="A547" s="1">
        <v>545</v>
      </c>
      <c r="B547">
        <v>15</v>
      </c>
      <c r="C547">
        <v>0</v>
      </c>
      <c r="D547">
        <v>0</v>
      </c>
      <c r="E547">
        <v>15</v>
      </c>
    </row>
    <row r="548" spans="1:5">
      <c r="A548" s="1">
        <v>546</v>
      </c>
      <c r="B548">
        <v>15</v>
      </c>
      <c r="C548">
        <v>0</v>
      </c>
      <c r="D548">
        <v>0</v>
      </c>
      <c r="E548">
        <v>15</v>
      </c>
    </row>
    <row r="549" spans="1:5">
      <c r="A549" s="1">
        <v>547</v>
      </c>
      <c r="B549">
        <v>14</v>
      </c>
      <c r="C549">
        <v>0</v>
      </c>
      <c r="D549">
        <v>0</v>
      </c>
      <c r="E549">
        <v>14</v>
      </c>
    </row>
    <row r="550" spans="1:5">
      <c r="A550" s="1">
        <v>548</v>
      </c>
      <c r="B550">
        <v>14</v>
      </c>
      <c r="C550">
        <v>0</v>
      </c>
      <c r="D550">
        <v>0</v>
      </c>
      <c r="E550">
        <v>14</v>
      </c>
    </row>
    <row r="551" spans="1:5">
      <c r="A551" s="1">
        <v>549</v>
      </c>
      <c r="B551">
        <v>14</v>
      </c>
      <c r="C551">
        <v>0</v>
      </c>
      <c r="D551">
        <v>0</v>
      </c>
      <c r="E551">
        <v>14</v>
      </c>
    </row>
    <row r="552" spans="1:5">
      <c r="A552" s="1">
        <v>550</v>
      </c>
      <c r="B552">
        <v>14</v>
      </c>
      <c r="C552">
        <v>0</v>
      </c>
      <c r="D552">
        <v>0</v>
      </c>
      <c r="E552">
        <v>14</v>
      </c>
    </row>
    <row r="553" spans="1:5">
      <c r="A553" s="1">
        <v>551</v>
      </c>
      <c r="B553">
        <v>14</v>
      </c>
      <c r="C553">
        <v>0</v>
      </c>
      <c r="D553">
        <v>0</v>
      </c>
      <c r="E553">
        <v>14</v>
      </c>
    </row>
    <row r="554" spans="1:5">
      <c r="A554" s="1">
        <v>552</v>
      </c>
      <c r="B554">
        <v>13</v>
      </c>
      <c r="C554">
        <v>0</v>
      </c>
      <c r="D554">
        <v>0</v>
      </c>
      <c r="E554">
        <v>13</v>
      </c>
    </row>
    <row r="555" spans="1:5">
      <c r="A555" s="1">
        <v>553</v>
      </c>
      <c r="B555">
        <v>13</v>
      </c>
      <c r="C555">
        <v>0</v>
      </c>
      <c r="D555">
        <v>0</v>
      </c>
      <c r="E555">
        <v>13</v>
      </c>
    </row>
    <row r="556" spans="1:5">
      <c r="A556" s="1">
        <v>554</v>
      </c>
      <c r="B556">
        <v>13</v>
      </c>
      <c r="C556">
        <v>0</v>
      </c>
      <c r="D556">
        <v>0</v>
      </c>
      <c r="E556">
        <v>13</v>
      </c>
    </row>
    <row r="557" spans="1:5">
      <c r="A557" s="1">
        <v>555</v>
      </c>
      <c r="B557">
        <v>13</v>
      </c>
      <c r="C557">
        <v>0</v>
      </c>
      <c r="D557">
        <v>0</v>
      </c>
      <c r="E557">
        <v>13</v>
      </c>
    </row>
    <row r="558" spans="1:5">
      <c r="A558" s="1">
        <v>556</v>
      </c>
      <c r="B558">
        <v>13</v>
      </c>
      <c r="C558">
        <v>0</v>
      </c>
      <c r="D558">
        <v>0</v>
      </c>
      <c r="E558">
        <v>13</v>
      </c>
    </row>
    <row r="559" spans="1:5">
      <c r="A559" s="1">
        <v>557</v>
      </c>
      <c r="B559">
        <v>12</v>
      </c>
      <c r="C559">
        <v>0</v>
      </c>
      <c r="D559">
        <v>0</v>
      </c>
      <c r="E559">
        <v>12</v>
      </c>
    </row>
    <row r="560" spans="1:5">
      <c r="A560" s="1">
        <v>558</v>
      </c>
      <c r="B560">
        <v>12</v>
      </c>
      <c r="C560">
        <v>0</v>
      </c>
      <c r="D560">
        <v>0</v>
      </c>
      <c r="E560">
        <v>12</v>
      </c>
    </row>
    <row r="561" spans="1:5">
      <c r="A561" s="1">
        <v>559</v>
      </c>
      <c r="B561">
        <v>12</v>
      </c>
      <c r="C561">
        <v>0</v>
      </c>
      <c r="D561">
        <v>0</v>
      </c>
      <c r="E561">
        <v>12</v>
      </c>
    </row>
    <row r="562" spans="1:5">
      <c r="A562" s="1">
        <v>560</v>
      </c>
      <c r="B562">
        <v>12</v>
      </c>
      <c r="C562">
        <v>0</v>
      </c>
      <c r="D562">
        <v>0</v>
      </c>
      <c r="E562">
        <v>12</v>
      </c>
    </row>
    <row r="563" spans="1:5">
      <c r="A563" s="1">
        <v>561</v>
      </c>
      <c r="B563">
        <v>11</v>
      </c>
      <c r="C563">
        <v>0</v>
      </c>
      <c r="D563">
        <v>0</v>
      </c>
      <c r="E563">
        <v>11</v>
      </c>
    </row>
    <row r="564" spans="1:5">
      <c r="A564" s="1">
        <v>562</v>
      </c>
      <c r="B564">
        <v>11</v>
      </c>
      <c r="C564">
        <v>0</v>
      </c>
      <c r="D564">
        <v>0</v>
      </c>
      <c r="E564">
        <v>11</v>
      </c>
    </row>
    <row r="565" spans="1:5">
      <c r="A565" s="1">
        <v>563</v>
      </c>
      <c r="B565">
        <v>11</v>
      </c>
      <c r="C565">
        <v>0</v>
      </c>
      <c r="D565">
        <v>0</v>
      </c>
      <c r="E565">
        <v>11</v>
      </c>
    </row>
    <row r="566" spans="1:5">
      <c r="A566" s="1">
        <v>564</v>
      </c>
      <c r="B566">
        <v>11</v>
      </c>
      <c r="C566">
        <v>0</v>
      </c>
      <c r="D566">
        <v>0</v>
      </c>
      <c r="E566">
        <v>11</v>
      </c>
    </row>
    <row r="567" spans="1:5">
      <c r="A567" s="1">
        <v>565</v>
      </c>
      <c r="B567">
        <v>11</v>
      </c>
      <c r="C567">
        <v>0</v>
      </c>
      <c r="D567">
        <v>0</v>
      </c>
      <c r="E567">
        <v>11</v>
      </c>
    </row>
    <row r="568" spans="1:5">
      <c r="A568" s="1">
        <v>566</v>
      </c>
      <c r="B568">
        <v>10</v>
      </c>
      <c r="C568">
        <v>0</v>
      </c>
      <c r="D568">
        <v>0</v>
      </c>
      <c r="E568">
        <v>10</v>
      </c>
    </row>
    <row r="569" spans="1:5">
      <c r="A569" s="1">
        <v>567</v>
      </c>
      <c r="B569">
        <v>10</v>
      </c>
      <c r="C569">
        <v>0</v>
      </c>
      <c r="D569">
        <v>0</v>
      </c>
      <c r="E569">
        <v>10</v>
      </c>
    </row>
    <row r="570" spans="1:5">
      <c r="A570" s="1">
        <v>568</v>
      </c>
      <c r="B570">
        <v>10</v>
      </c>
      <c r="C570">
        <v>0</v>
      </c>
      <c r="D570">
        <v>0</v>
      </c>
      <c r="E570">
        <v>10</v>
      </c>
    </row>
    <row r="571" spans="1:5">
      <c r="A571" s="1">
        <v>569</v>
      </c>
      <c r="B571">
        <v>10</v>
      </c>
      <c r="C571">
        <v>0</v>
      </c>
      <c r="D571">
        <v>0</v>
      </c>
      <c r="E571">
        <v>10</v>
      </c>
    </row>
    <row r="572" spans="1:5">
      <c r="A572" s="1">
        <v>570</v>
      </c>
      <c r="B572">
        <v>10</v>
      </c>
      <c r="C572">
        <v>0</v>
      </c>
      <c r="D572">
        <v>0</v>
      </c>
      <c r="E572">
        <v>10</v>
      </c>
    </row>
    <row r="573" spans="1:5">
      <c r="A573" s="1">
        <v>571</v>
      </c>
      <c r="B573">
        <v>9</v>
      </c>
      <c r="C573">
        <v>0</v>
      </c>
      <c r="D573">
        <v>0</v>
      </c>
      <c r="E573">
        <v>9</v>
      </c>
    </row>
    <row r="574" spans="1:5">
      <c r="A574" s="1">
        <v>572</v>
      </c>
      <c r="B574">
        <v>9</v>
      </c>
      <c r="C574">
        <v>0</v>
      </c>
      <c r="D574">
        <v>0</v>
      </c>
      <c r="E574">
        <v>9</v>
      </c>
    </row>
    <row r="575" spans="1:5">
      <c r="A575" s="1">
        <v>573</v>
      </c>
      <c r="B575">
        <v>9</v>
      </c>
      <c r="C575">
        <v>0</v>
      </c>
      <c r="D575">
        <v>0</v>
      </c>
      <c r="E575">
        <v>9</v>
      </c>
    </row>
    <row r="576" spans="1:5">
      <c r="A576" s="1">
        <v>574</v>
      </c>
      <c r="B576">
        <v>9</v>
      </c>
      <c r="C576">
        <v>0</v>
      </c>
      <c r="D576">
        <v>0</v>
      </c>
      <c r="E576">
        <v>9</v>
      </c>
    </row>
    <row r="577" spans="1:5">
      <c r="A577" s="1">
        <v>575</v>
      </c>
      <c r="B577">
        <v>9</v>
      </c>
      <c r="C577">
        <v>0</v>
      </c>
      <c r="D577">
        <v>0</v>
      </c>
      <c r="E577">
        <v>9</v>
      </c>
    </row>
    <row r="578" spans="1:5">
      <c r="A578" s="1">
        <v>576</v>
      </c>
      <c r="B578">
        <v>9</v>
      </c>
      <c r="C578">
        <v>0</v>
      </c>
      <c r="D578">
        <v>0</v>
      </c>
      <c r="E578">
        <v>9</v>
      </c>
    </row>
    <row r="579" spans="1:5">
      <c r="A579" s="1">
        <v>577</v>
      </c>
      <c r="B579">
        <v>8</v>
      </c>
      <c r="C579">
        <v>0</v>
      </c>
      <c r="D579">
        <v>0</v>
      </c>
      <c r="E579">
        <v>8</v>
      </c>
    </row>
    <row r="580" spans="1:5">
      <c r="A580" s="1">
        <v>578</v>
      </c>
      <c r="B580">
        <v>8</v>
      </c>
      <c r="C580">
        <v>0</v>
      </c>
      <c r="D580">
        <v>0</v>
      </c>
      <c r="E580">
        <v>8</v>
      </c>
    </row>
    <row r="581" spans="1:5">
      <c r="A581" s="1">
        <v>579</v>
      </c>
      <c r="B581">
        <v>8</v>
      </c>
      <c r="C581">
        <v>0</v>
      </c>
      <c r="D581">
        <v>0</v>
      </c>
      <c r="E581">
        <v>8</v>
      </c>
    </row>
    <row r="582" spans="1:5">
      <c r="A582" s="1">
        <v>580</v>
      </c>
      <c r="B582">
        <v>8</v>
      </c>
      <c r="C582">
        <v>0</v>
      </c>
      <c r="D582">
        <v>0</v>
      </c>
      <c r="E582">
        <v>8</v>
      </c>
    </row>
    <row r="583" spans="1:5">
      <c r="A583" s="1">
        <v>581</v>
      </c>
      <c r="B583">
        <v>8</v>
      </c>
      <c r="C583">
        <v>0</v>
      </c>
      <c r="D583">
        <v>0</v>
      </c>
      <c r="E583">
        <v>8</v>
      </c>
    </row>
    <row r="584" spans="1:5">
      <c r="A584" s="1">
        <v>582</v>
      </c>
      <c r="B584">
        <v>8</v>
      </c>
      <c r="C584">
        <v>0</v>
      </c>
      <c r="D584">
        <v>0</v>
      </c>
      <c r="E584">
        <v>8</v>
      </c>
    </row>
    <row r="585" spans="1:5">
      <c r="A585" s="1">
        <v>583</v>
      </c>
      <c r="B585">
        <v>8</v>
      </c>
      <c r="C585">
        <v>0</v>
      </c>
      <c r="D585">
        <v>0</v>
      </c>
      <c r="E585">
        <v>8</v>
      </c>
    </row>
    <row r="586" spans="1:5">
      <c r="A586" s="1">
        <v>584</v>
      </c>
      <c r="B586">
        <v>8</v>
      </c>
      <c r="C586">
        <v>0</v>
      </c>
      <c r="D586">
        <v>0</v>
      </c>
      <c r="E586">
        <v>8</v>
      </c>
    </row>
    <row r="587" spans="1:5">
      <c r="A587" s="1">
        <v>585</v>
      </c>
      <c r="B587">
        <v>8</v>
      </c>
      <c r="C587">
        <v>0</v>
      </c>
      <c r="D587">
        <v>0</v>
      </c>
      <c r="E587">
        <v>8</v>
      </c>
    </row>
    <row r="588" spans="1:5">
      <c r="A588" s="1">
        <v>586</v>
      </c>
      <c r="B588">
        <v>8</v>
      </c>
      <c r="C588">
        <v>0</v>
      </c>
      <c r="D588">
        <v>0</v>
      </c>
      <c r="E588">
        <v>8</v>
      </c>
    </row>
    <row r="589" spans="1:5">
      <c r="A589" s="1">
        <v>587</v>
      </c>
      <c r="B589">
        <v>8</v>
      </c>
      <c r="C589">
        <v>0</v>
      </c>
      <c r="D589">
        <v>0</v>
      </c>
      <c r="E589">
        <v>8</v>
      </c>
    </row>
    <row r="590" spans="1:5">
      <c r="A590" s="1">
        <v>588</v>
      </c>
      <c r="B590">
        <v>8</v>
      </c>
      <c r="C590">
        <v>0</v>
      </c>
      <c r="D590">
        <v>0</v>
      </c>
      <c r="E590">
        <v>8</v>
      </c>
    </row>
    <row r="591" spans="1:5">
      <c r="A591" s="1">
        <v>589</v>
      </c>
      <c r="B591">
        <v>8</v>
      </c>
      <c r="C591">
        <v>0</v>
      </c>
      <c r="D591">
        <v>0</v>
      </c>
      <c r="E591">
        <v>8</v>
      </c>
    </row>
    <row r="592" spans="1:5">
      <c r="A592" s="1">
        <v>590</v>
      </c>
      <c r="B592">
        <v>7</v>
      </c>
      <c r="C592">
        <v>0</v>
      </c>
      <c r="D592">
        <v>0</v>
      </c>
      <c r="E592">
        <v>7</v>
      </c>
    </row>
    <row r="593" spans="1:5">
      <c r="A593" s="1">
        <v>591</v>
      </c>
      <c r="B593">
        <v>7</v>
      </c>
      <c r="C593">
        <v>0</v>
      </c>
      <c r="D593">
        <v>0</v>
      </c>
      <c r="E593">
        <v>7</v>
      </c>
    </row>
    <row r="594" spans="1:5">
      <c r="A594" s="1">
        <v>592</v>
      </c>
      <c r="B594">
        <v>7</v>
      </c>
      <c r="C594">
        <v>0</v>
      </c>
      <c r="D594">
        <v>0</v>
      </c>
      <c r="E594">
        <v>7</v>
      </c>
    </row>
    <row r="595" spans="1:5">
      <c r="A595" s="1">
        <v>593</v>
      </c>
      <c r="B595">
        <v>7</v>
      </c>
      <c r="C595">
        <v>0</v>
      </c>
      <c r="D595">
        <v>0</v>
      </c>
      <c r="E595">
        <v>7</v>
      </c>
    </row>
    <row r="596" spans="1:5">
      <c r="A596" s="1">
        <v>594</v>
      </c>
      <c r="B596">
        <v>7</v>
      </c>
      <c r="C596">
        <v>0</v>
      </c>
      <c r="D596">
        <v>0</v>
      </c>
      <c r="E596">
        <v>7</v>
      </c>
    </row>
    <row r="597" spans="1:5">
      <c r="A597" s="1">
        <v>595</v>
      </c>
      <c r="B597">
        <v>7</v>
      </c>
      <c r="C597">
        <v>0</v>
      </c>
      <c r="D597">
        <v>0</v>
      </c>
      <c r="E597">
        <v>7</v>
      </c>
    </row>
    <row r="598" spans="1:5">
      <c r="A598" s="1">
        <v>596</v>
      </c>
      <c r="B598">
        <v>7</v>
      </c>
      <c r="C598">
        <v>0</v>
      </c>
      <c r="D598">
        <v>0</v>
      </c>
      <c r="E598">
        <v>7</v>
      </c>
    </row>
    <row r="599" spans="1:5">
      <c r="A599" s="1">
        <v>597</v>
      </c>
      <c r="B599">
        <v>7</v>
      </c>
      <c r="C599">
        <v>0</v>
      </c>
      <c r="D599">
        <v>0</v>
      </c>
      <c r="E599">
        <v>7</v>
      </c>
    </row>
    <row r="600" spans="1:5">
      <c r="A600" s="1">
        <v>598</v>
      </c>
      <c r="B600">
        <v>7</v>
      </c>
      <c r="C600">
        <v>0</v>
      </c>
      <c r="D600">
        <v>0</v>
      </c>
      <c r="E600">
        <v>7</v>
      </c>
    </row>
    <row r="601" spans="1:5">
      <c r="A601" s="1">
        <v>599</v>
      </c>
      <c r="B601">
        <v>7</v>
      </c>
      <c r="C601">
        <v>0</v>
      </c>
      <c r="D601">
        <v>0</v>
      </c>
      <c r="E601">
        <v>7</v>
      </c>
    </row>
    <row r="602" spans="1:5">
      <c r="A602" s="1">
        <v>600</v>
      </c>
      <c r="B602">
        <v>7</v>
      </c>
      <c r="C602">
        <v>0</v>
      </c>
      <c r="D602">
        <v>0</v>
      </c>
      <c r="E602">
        <v>7</v>
      </c>
    </row>
    <row r="603" spans="1:5">
      <c r="A603" s="1">
        <v>601</v>
      </c>
      <c r="B603">
        <v>7</v>
      </c>
      <c r="C603">
        <v>0</v>
      </c>
      <c r="D603">
        <v>0</v>
      </c>
      <c r="E603">
        <v>7</v>
      </c>
    </row>
    <row r="604" spans="1:5">
      <c r="A604" s="1">
        <v>602</v>
      </c>
      <c r="B604">
        <v>6</v>
      </c>
      <c r="C604">
        <v>0</v>
      </c>
      <c r="D604">
        <v>0</v>
      </c>
      <c r="E604">
        <v>6</v>
      </c>
    </row>
    <row r="605" spans="1:5">
      <c r="A605" s="1">
        <v>603</v>
      </c>
      <c r="B605">
        <v>6</v>
      </c>
      <c r="C605">
        <v>0</v>
      </c>
      <c r="D605">
        <v>0</v>
      </c>
      <c r="E605">
        <v>6</v>
      </c>
    </row>
    <row r="606" spans="1:5">
      <c r="A606" s="1">
        <v>604</v>
      </c>
      <c r="B606">
        <v>6</v>
      </c>
      <c r="C606">
        <v>0</v>
      </c>
      <c r="D606">
        <v>0</v>
      </c>
      <c r="E606">
        <v>6</v>
      </c>
    </row>
    <row r="607" spans="1:5">
      <c r="A607" s="1">
        <v>605</v>
      </c>
      <c r="B607">
        <v>6</v>
      </c>
      <c r="C607">
        <v>0</v>
      </c>
      <c r="D607">
        <v>0</v>
      </c>
      <c r="E607">
        <v>6</v>
      </c>
    </row>
    <row r="608" spans="1:5">
      <c r="A608" s="1">
        <v>606</v>
      </c>
      <c r="B608">
        <v>6</v>
      </c>
      <c r="C608">
        <v>0</v>
      </c>
      <c r="D608">
        <v>0</v>
      </c>
      <c r="E608">
        <v>6</v>
      </c>
    </row>
    <row r="609" spans="1:5">
      <c r="A609" s="1">
        <v>607</v>
      </c>
      <c r="B609">
        <v>6</v>
      </c>
      <c r="C609">
        <v>0</v>
      </c>
      <c r="D609">
        <v>0</v>
      </c>
      <c r="E609">
        <v>6</v>
      </c>
    </row>
    <row r="610" spans="1:5">
      <c r="A610" s="1">
        <v>608</v>
      </c>
      <c r="B610">
        <v>6</v>
      </c>
      <c r="C610">
        <v>0</v>
      </c>
      <c r="D610">
        <v>0</v>
      </c>
      <c r="E610">
        <v>6</v>
      </c>
    </row>
    <row r="611" spans="1:5">
      <c r="A611" s="1">
        <v>609</v>
      </c>
      <c r="B611">
        <v>5</v>
      </c>
      <c r="C611">
        <v>0</v>
      </c>
      <c r="D611">
        <v>0</v>
      </c>
      <c r="E611">
        <v>5</v>
      </c>
    </row>
    <row r="612" spans="1:5">
      <c r="A612" s="1">
        <v>610</v>
      </c>
      <c r="B612">
        <v>5</v>
      </c>
      <c r="C612">
        <v>0</v>
      </c>
      <c r="D612">
        <v>0</v>
      </c>
      <c r="E612">
        <v>5</v>
      </c>
    </row>
    <row r="613" spans="1:5">
      <c r="A613" s="1">
        <v>611</v>
      </c>
      <c r="B613">
        <v>5</v>
      </c>
      <c r="C613">
        <v>0</v>
      </c>
      <c r="D613">
        <v>0</v>
      </c>
      <c r="E613">
        <v>5</v>
      </c>
    </row>
    <row r="614" spans="1:5">
      <c r="A614" s="1">
        <v>612</v>
      </c>
      <c r="B614">
        <v>5</v>
      </c>
      <c r="C614">
        <v>0</v>
      </c>
      <c r="D614">
        <v>0</v>
      </c>
      <c r="E614">
        <v>5</v>
      </c>
    </row>
    <row r="615" spans="1:5">
      <c r="A615" s="1">
        <v>613</v>
      </c>
      <c r="B615">
        <v>5</v>
      </c>
      <c r="C615">
        <v>0</v>
      </c>
      <c r="D615">
        <v>0</v>
      </c>
      <c r="E615">
        <v>5</v>
      </c>
    </row>
    <row r="616" spans="1:5">
      <c r="A616" s="1">
        <v>614</v>
      </c>
      <c r="B616">
        <v>5</v>
      </c>
      <c r="C616">
        <v>0</v>
      </c>
      <c r="D616">
        <v>0</v>
      </c>
      <c r="E616">
        <v>5</v>
      </c>
    </row>
    <row r="617" spans="1:5">
      <c r="A617" s="1">
        <v>615</v>
      </c>
      <c r="B617">
        <v>4</v>
      </c>
      <c r="C617">
        <v>0</v>
      </c>
      <c r="D617">
        <v>0</v>
      </c>
      <c r="E617">
        <v>4</v>
      </c>
    </row>
    <row r="618" spans="1:5">
      <c r="A618" s="1">
        <v>616</v>
      </c>
      <c r="B618">
        <v>4</v>
      </c>
      <c r="C618">
        <v>0</v>
      </c>
      <c r="D618">
        <v>0</v>
      </c>
      <c r="E618">
        <v>4</v>
      </c>
    </row>
    <row r="619" spans="1:5">
      <c r="A619" s="1">
        <v>617</v>
      </c>
      <c r="B619">
        <v>4</v>
      </c>
      <c r="C619">
        <v>0</v>
      </c>
      <c r="D619">
        <v>0</v>
      </c>
      <c r="E619">
        <v>4</v>
      </c>
    </row>
    <row r="620" spans="1:5">
      <c r="A620" s="1">
        <v>618</v>
      </c>
      <c r="B620">
        <v>4</v>
      </c>
      <c r="C620">
        <v>0</v>
      </c>
      <c r="D620">
        <v>0</v>
      </c>
      <c r="E620">
        <v>4</v>
      </c>
    </row>
    <row r="621" spans="1:5">
      <c r="A621" s="1">
        <v>619</v>
      </c>
      <c r="B621">
        <v>4</v>
      </c>
      <c r="C621">
        <v>0</v>
      </c>
      <c r="D621">
        <v>0</v>
      </c>
      <c r="E621">
        <v>4</v>
      </c>
    </row>
    <row r="622" spans="1:5">
      <c r="A622" s="1">
        <v>620</v>
      </c>
      <c r="B622">
        <v>4</v>
      </c>
      <c r="C622">
        <v>0</v>
      </c>
      <c r="D622">
        <v>0</v>
      </c>
      <c r="E622">
        <v>4</v>
      </c>
    </row>
    <row r="623" spans="1:5">
      <c r="A623" s="1">
        <v>621</v>
      </c>
      <c r="B623">
        <v>3</v>
      </c>
      <c r="C623">
        <v>0</v>
      </c>
      <c r="D623">
        <v>0</v>
      </c>
      <c r="E623">
        <v>3</v>
      </c>
    </row>
    <row r="624" spans="1:5">
      <c r="A624" s="1">
        <v>622</v>
      </c>
      <c r="B624">
        <v>3</v>
      </c>
      <c r="C624">
        <v>0</v>
      </c>
      <c r="D624">
        <v>0</v>
      </c>
      <c r="E624">
        <v>3</v>
      </c>
    </row>
    <row r="625" spans="1:5">
      <c r="A625" s="1">
        <v>623</v>
      </c>
      <c r="B625">
        <v>3</v>
      </c>
      <c r="C625">
        <v>0</v>
      </c>
      <c r="D625">
        <v>0</v>
      </c>
      <c r="E625">
        <v>3</v>
      </c>
    </row>
    <row r="626" spans="1:5">
      <c r="A626" s="1">
        <v>624</v>
      </c>
      <c r="B626">
        <v>3</v>
      </c>
      <c r="C626">
        <v>0</v>
      </c>
      <c r="D626">
        <v>0</v>
      </c>
      <c r="E626">
        <v>3</v>
      </c>
    </row>
    <row r="627" spans="1:5">
      <c r="A627" s="1">
        <v>625</v>
      </c>
      <c r="B627">
        <v>3</v>
      </c>
      <c r="C627">
        <v>0</v>
      </c>
      <c r="D627">
        <v>0</v>
      </c>
      <c r="E627">
        <v>3</v>
      </c>
    </row>
    <row r="628" spans="1:5">
      <c r="A628" s="1">
        <v>626</v>
      </c>
      <c r="B628">
        <v>3</v>
      </c>
      <c r="C628">
        <v>0</v>
      </c>
      <c r="D628">
        <v>0</v>
      </c>
      <c r="E628">
        <v>3</v>
      </c>
    </row>
    <row r="629" spans="1:5">
      <c r="A629" s="1">
        <v>627</v>
      </c>
      <c r="B629">
        <v>2</v>
      </c>
      <c r="C629">
        <v>0</v>
      </c>
      <c r="D629">
        <v>0</v>
      </c>
      <c r="E629">
        <v>2</v>
      </c>
    </row>
    <row r="630" spans="1:5">
      <c r="A630" s="1">
        <v>628</v>
      </c>
      <c r="B630">
        <v>2</v>
      </c>
      <c r="C630">
        <v>0</v>
      </c>
      <c r="D630">
        <v>0</v>
      </c>
      <c r="E630">
        <v>2</v>
      </c>
    </row>
    <row r="631" spans="1:5">
      <c r="A631" s="1">
        <v>629</v>
      </c>
      <c r="B631">
        <v>2</v>
      </c>
      <c r="C631">
        <v>0</v>
      </c>
      <c r="D631">
        <v>0</v>
      </c>
      <c r="E631">
        <v>2</v>
      </c>
    </row>
    <row r="632" spans="1:5">
      <c r="A632" s="1">
        <v>630</v>
      </c>
      <c r="B632">
        <v>2</v>
      </c>
      <c r="C632">
        <v>0</v>
      </c>
      <c r="D632">
        <v>0</v>
      </c>
      <c r="E632">
        <v>2</v>
      </c>
    </row>
    <row r="633" spans="1:5">
      <c r="A633" s="1">
        <v>631</v>
      </c>
      <c r="B633">
        <v>2</v>
      </c>
      <c r="C633">
        <v>0</v>
      </c>
      <c r="D633">
        <v>0</v>
      </c>
      <c r="E633">
        <v>2</v>
      </c>
    </row>
    <row r="634" spans="1:5">
      <c r="A634" s="1">
        <v>632</v>
      </c>
      <c r="B634">
        <v>2</v>
      </c>
      <c r="C634">
        <v>0</v>
      </c>
      <c r="D634">
        <v>0</v>
      </c>
      <c r="E634">
        <v>2</v>
      </c>
    </row>
    <row r="635" spans="1:5">
      <c r="A635" s="1">
        <v>633</v>
      </c>
      <c r="B635">
        <v>2</v>
      </c>
      <c r="C635">
        <v>0</v>
      </c>
      <c r="D635">
        <v>0</v>
      </c>
      <c r="E635">
        <v>2</v>
      </c>
    </row>
    <row r="636" spans="1:5">
      <c r="A636" s="1">
        <v>634</v>
      </c>
      <c r="B636">
        <v>2</v>
      </c>
      <c r="C636">
        <v>0</v>
      </c>
      <c r="D636">
        <v>0</v>
      </c>
      <c r="E636">
        <v>2</v>
      </c>
    </row>
    <row r="637" spans="1:5">
      <c r="A637" s="1">
        <v>635</v>
      </c>
      <c r="B637">
        <v>1</v>
      </c>
      <c r="C637">
        <v>0</v>
      </c>
      <c r="D637">
        <v>0</v>
      </c>
      <c r="E637">
        <v>1</v>
      </c>
    </row>
    <row r="638" spans="1:5">
      <c r="A638" s="1">
        <v>636</v>
      </c>
      <c r="B638">
        <v>1</v>
      </c>
      <c r="C638">
        <v>0</v>
      </c>
      <c r="D638">
        <v>0</v>
      </c>
      <c r="E638">
        <v>1</v>
      </c>
    </row>
    <row r="639" spans="1:5">
      <c r="A639" s="1">
        <v>637</v>
      </c>
      <c r="B639">
        <v>1</v>
      </c>
      <c r="C639">
        <v>0</v>
      </c>
      <c r="D639">
        <v>0</v>
      </c>
      <c r="E639">
        <v>1</v>
      </c>
    </row>
    <row r="640" spans="1:5">
      <c r="A640" s="1">
        <v>638</v>
      </c>
      <c r="B640">
        <v>1</v>
      </c>
      <c r="C640">
        <v>0</v>
      </c>
      <c r="D640">
        <v>0</v>
      </c>
      <c r="E640">
        <v>1</v>
      </c>
    </row>
    <row r="641" spans="1:5">
      <c r="A641" s="1">
        <v>639</v>
      </c>
      <c r="B641">
        <v>1</v>
      </c>
      <c r="C641">
        <v>0</v>
      </c>
      <c r="D641">
        <v>0</v>
      </c>
      <c r="E641">
        <v>1</v>
      </c>
    </row>
    <row r="642" spans="1:5">
      <c r="A642" s="1">
        <v>640</v>
      </c>
      <c r="B642">
        <v>1</v>
      </c>
      <c r="C642">
        <v>0</v>
      </c>
      <c r="D642">
        <v>0</v>
      </c>
      <c r="E642">
        <v>1</v>
      </c>
    </row>
    <row r="643" spans="1:5">
      <c r="A643" s="1">
        <v>641</v>
      </c>
      <c r="B643">
        <v>1</v>
      </c>
      <c r="C643">
        <v>0</v>
      </c>
      <c r="D643">
        <v>0</v>
      </c>
      <c r="E643">
        <v>1</v>
      </c>
    </row>
    <row r="644" spans="1:5">
      <c r="A644" s="1">
        <v>642</v>
      </c>
      <c r="B644">
        <v>1</v>
      </c>
      <c r="C644">
        <v>0</v>
      </c>
      <c r="D644">
        <v>0</v>
      </c>
      <c r="E644">
        <v>1</v>
      </c>
    </row>
    <row r="645" spans="1:5">
      <c r="A645" s="1">
        <v>643</v>
      </c>
      <c r="B645">
        <v>1</v>
      </c>
      <c r="C645">
        <v>0</v>
      </c>
      <c r="D645">
        <v>0</v>
      </c>
      <c r="E645">
        <v>1</v>
      </c>
    </row>
    <row r="646" spans="1:5">
      <c r="A646" s="1">
        <v>644</v>
      </c>
      <c r="B646">
        <v>1</v>
      </c>
      <c r="C646">
        <v>0</v>
      </c>
      <c r="D646">
        <v>0</v>
      </c>
      <c r="E646">
        <v>1</v>
      </c>
    </row>
    <row r="647" spans="1:5">
      <c r="A647" s="1">
        <v>645</v>
      </c>
      <c r="B647">
        <v>1</v>
      </c>
      <c r="C647">
        <v>0</v>
      </c>
      <c r="D647">
        <v>0</v>
      </c>
      <c r="E647">
        <v>1</v>
      </c>
    </row>
    <row r="648" spans="1:5">
      <c r="A648" s="1">
        <v>646</v>
      </c>
      <c r="B648">
        <v>1</v>
      </c>
      <c r="C648">
        <v>0</v>
      </c>
      <c r="D648">
        <v>0</v>
      </c>
      <c r="E648">
        <v>1</v>
      </c>
    </row>
    <row r="649" spans="1:5">
      <c r="A649" s="1">
        <v>647</v>
      </c>
      <c r="B649">
        <v>0</v>
      </c>
      <c r="C649">
        <v>0</v>
      </c>
      <c r="D649">
        <v>0</v>
      </c>
      <c r="E649">
        <v>0</v>
      </c>
    </row>
    <row r="650" spans="1:5">
      <c r="A650" s="1">
        <v>648</v>
      </c>
      <c r="B650">
        <v>0</v>
      </c>
      <c r="C650">
        <v>0</v>
      </c>
      <c r="D650">
        <v>0</v>
      </c>
      <c r="E650">
        <v>0</v>
      </c>
    </row>
    <row r="651" spans="1:5">
      <c r="A651" s="1">
        <v>649</v>
      </c>
      <c r="B651">
        <v>0</v>
      </c>
      <c r="C651">
        <v>0</v>
      </c>
      <c r="D651">
        <v>0</v>
      </c>
      <c r="E651">
        <v>0</v>
      </c>
    </row>
    <row r="652" spans="1:5">
      <c r="A652" s="1">
        <v>650</v>
      </c>
      <c r="B652">
        <v>0</v>
      </c>
      <c r="C652">
        <v>0</v>
      </c>
      <c r="D652">
        <v>0</v>
      </c>
      <c r="E652">
        <v>0</v>
      </c>
    </row>
    <row r="653" spans="1:5">
      <c r="A653" s="1">
        <v>651</v>
      </c>
      <c r="B653">
        <v>0</v>
      </c>
      <c r="C653">
        <v>0</v>
      </c>
      <c r="D653">
        <v>0</v>
      </c>
      <c r="E653">
        <v>0</v>
      </c>
    </row>
    <row r="654" spans="1:5">
      <c r="A654" s="1">
        <v>652</v>
      </c>
      <c r="B654">
        <v>0</v>
      </c>
      <c r="C654">
        <v>0</v>
      </c>
      <c r="D654">
        <v>0</v>
      </c>
      <c r="E654">
        <v>0</v>
      </c>
    </row>
    <row r="655" spans="1:5">
      <c r="A655" s="1">
        <v>653</v>
      </c>
      <c r="B655">
        <v>0</v>
      </c>
      <c r="C655">
        <v>0</v>
      </c>
      <c r="D655">
        <v>0</v>
      </c>
      <c r="E655">
        <v>0</v>
      </c>
    </row>
    <row r="656" spans="1:5">
      <c r="A656" s="1">
        <v>654</v>
      </c>
      <c r="B656">
        <v>0</v>
      </c>
      <c r="C656">
        <v>0</v>
      </c>
      <c r="D656">
        <v>0</v>
      </c>
      <c r="E656">
        <v>0</v>
      </c>
    </row>
    <row r="657" spans="1:5">
      <c r="A657" s="1">
        <v>655</v>
      </c>
      <c r="B657">
        <v>0</v>
      </c>
      <c r="C657">
        <v>0</v>
      </c>
      <c r="D657">
        <v>0</v>
      </c>
      <c r="E657">
        <v>0</v>
      </c>
    </row>
    <row r="658" spans="1:5">
      <c r="A658" s="1">
        <v>656</v>
      </c>
      <c r="B658">
        <v>0</v>
      </c>
      <c r="C658">
        <v>0</v>
      </c>
      <c r="D658">
        <v>0</v>
      </c>
      <c r="E658">
        <v>0</v>
      </c>
    </row>
    <row r="659" spans="1:5">
      <c r="A659" s="1">
        <v>657</v>
      </c>
      <c r="B659">
        <v>0</v>
      </c>
      <c r="C659">
        <v>0</v>
      </c>
      <c r="D659">
        <v>0</v>
      </c>
      <c r="E659">
        <v>0</v>
      </c>
    </row>
    <row r="660" spans="1:5">
      <c r="A660" s="1">
        <v>658</v>
      </c>
      <c r="B660">
        <v>0</v>
      </c>
      <c r="C660">
        <v>0</v>
      </c>
      <c r="D660">
        <v>0</v>
      </c>
      <c r="E660">
        <v>0</v>
      </c>
    </row>
    <row r="661" spans="1:5">
      <c r="A661" s="1">
        <v>659</v>
      </c>
      <c r="B661">
        <v>0</v>
      </c>
      <c r="C661">
        <v>0</v>
      </c>
      <c r="D661">
        <v>0</v>
      </c>
      <c r="E661">
        <v>0</v>
      </c>
    </row>
    <row r="662" spans="1:5">
      <c r="A662" s="1">
        <v>660</v>
      </c>
      <c r="B662">
        <v>0</v>
      </c>
      <c r="C662">
        <v>0</v>
      </c>
      <c r="D662">
        <v>0</v>
      </c>
      <c r="E662">
        <v>0</v>
      </c>
    </row>
    <row r="663" spans="1:5">
      <c r="A663" s="1">
        <v>661</v>
      </c>
      <c r="B663">
        <v>0</v>
      </c>
      <c r="C663">
        <v>0</v>
      </c>
      <c r="D663">
        <v>0</v>
      </c>
      <c r="E663">
        <v>0</v>
      </c>
    </row>
    <row r="664" spans="1:5">
      <c r="A664" s="1">
        <v>662</v>
      </c>
      <c r="B664">
        <v>0</v>
      </c>
      <c r="C664">
        <v>0</v>
      </c>
      <c r="D664">
        <v>0</v>
      </c>
      <c r="E664">
        <v>0</v>
      </c>
    </row>
    <row r="665" spans="1:5">
      <c r="A665" s="1">
        <v>663</v>
      </c>
      <c r="B665">
        <v>0</v>
      </c>
      <c r="C665">
        <v>0</v>
      </c>
      <c r="D665">
        <v>0</v>
      </c>
      <c r="E665">
        <v>0</v>
      </c>
    </row>
    <row r="666" spans="1:5">
      <c r="A666" s="1">
        <v>664</v>
      </c>
      <c r="B666">
        <v>0</v>
      </c>
      <c r="C666">
        <v>0</v>
      </c>
      <c r="D666">
        <v>0</v>
      </c>
      <c r="E666">
        <v>0</v>
      </c>
    </row>
    <row r="667" spans="1:5">
      <c r="A667" s="1">
        <v>665</v>
      </c>
      <c r="B667">
        <v>0</v>
      </c>
      <c r="C667">
        <v>0</v>
      </c>
      <c r="D667">
        <v>0</v>
      </c>
      <c r="E667">
        <v>0</v>
      </c>
    </row>
    <row r="668" spans="1:5">
      <c r="A668" s="1">
        <v>666</v>
      </c>
      <c r="B668">
        <v>0</v>
      </c>
      <c r="C668">
        <v>0</v>
      </c>
      <c r="D668">
        <v>0</v>
      </c>
      <c r="E668">
        <v>0</v>
      </c>
    </row>
    <row r="669" spans="1:5">
      <c r="A669" s="1">
        <v>667</v>
      </c>
      <c r="B669">
        <v>0</v>
      </c>
      <c r="C669">
        <v>0</v>
      </c>
      <c r="D669">
        <v>0</v>
      </c>
      <c r="E669">
        <v>0</v>
      </c>
    </row>
    <row r="670" spans="1:5">
      <c r="A670" s="1">
        <v>668</v>
      </c>
      <c r="B670">
        <v>0</v>
      </c>
      <c r="C670">
        <v>0</v>
      </c>
      <c r="D670">
        <v>0</v>
      </c>
      <c r="E670">
        <v>0</v>
      </c>
    </row>
    <row r="671" spans="1:5">
      <c r="A671" s="1">
        <v>669</v>
      </c>
      <c r="B671">
        <v>0</v>
      </c>
      <c r="C671">
        <v>0</v>
      </c>
      <c r="D671">
        <v>0</v>
      </c>
      <c r="E671">
        <v>0</v>
      </c>
    </row>
    <row r="672" spans="1:5">
      <c r="A672" s="1">
        <v>670</v>
      </c>
      <c r="B672">
        <v>0</v>
      </c>
      <c r="C672">
        <v>0</v>
      </c>
      <c r="D672">
        <v>0</v>
      </c>
      <c r="E672">
        <v>0</v>
      </c>
    </row>
    <row r="673" spans="1:5">
      <c r="A673" s="1">
        <v>671</v>
      </c>
      <c r="B673">
        <v>0</v>
      </c>
      <c r="C673">
        <v>0</v>
      </c>
      <c r="D673">
        <v>0</v>
      </c>
      <c r="E673">
        <v>0</v>
      </c>
    </row>
    <row r="674" spans="1:5">
      <c r="A674" s="1">
        <v>672</v>
      </c>
      <c r="B674">
        <v>0</v>
      </c>
      <c r="C674">
        <v>0</v>
      </c>
      <c r="D674">
        <v>0</v>
      </c>
      <c r="E674">
        <v>0</v>
      </c>
    </row>
    <row r="675" spans="1:5">
      <c r="A675" s="1">
        <v>673</v>
      </c>
      <c r="B675">
        <v>0</v>
      </c>
      <c r="C675">
        <v>0</v>
      </c>
      <c r="D675">
        <v>0</v>
      </c>
      <c r="E675">
        <v>0</v>
      </c>
    </row>
    <row r="676" spans="1:5">
      <c r="A676" s="1">
        <v>674</v>
      </c>
      <c r="B676">
        <v>0</v>
      </c>
      <c r="C676">
        <v>0</v>
      </c>
      <c r="D676">
        <v>0</v>
      </c>
      <c r="E676">
        <v>0</v>
      </c>
    </row>
    <row r="677" spans="1:5">
      <c r="A677" s="1">
        <v>675</v>
      </c>
      <c r="B677">
        <v>0</v>
      </c>
      <c r="C677">
        <v>0</v>
      </c>
      <c r="D677">
        <v>0</v>
      </c>
      <c r="E677">
        <v>0</v>
      </c>
    </row>
  </sheetData>
  <pageMargins left="0.75" right="0.75" top="1" bottom="1" header="0.5" footer="0.5"/>
  <headerFooter alignWithMargins="0">
    <oddHeader>&amp;A</oddHeader>
    <oddFooter>Page &amp;P</oddFooter>
  </headerFooter>
</worksheet>
</file>

<file path=xl/worksheets/sheet6.xml><?xml version="1.0" encoding="utf-8"?>
<worksheet xmlns="http://schemas.openxmlformats.org/spreadsheetml/2006/main" xmlns:r="http://schemas.openxmlformats.org/officeDocument/2006/relationships">
  <sheetPr codeName="Sheet6"/>
  <dimension ref="A1:J1353"/>
  <sheetViews>
    <sheetView topLeftCell="C309" workbookViewId="0">
      <selection activeCell="E149" sqref="E149"/>
    </sheetView>
  </sheetViews>
  <sheetFormatPr defaultRowHeight="12.75"/>
  <cols>
    <col min="4" max="4" width="19.5703125" bestFit="1" customWidth="1"/>
    <col min="5" max="5" width="28.140625" customWidth="1"/>
    <col min="6" max="6" width="21.140625" customWidth="1"/>
    <col min="7" max="7" width="19.5703125" customWidth="1"/>
    <col min="8" max="8" width="19.7109375" customWidth="1"/>
    <col min="9" max="9" width="19.5703125" bestFit="1" customWidth="1"/>
    <col min="10" max="10" width="19.7109375" customWidth="1"/>
  </cols>
  <sheetData>
    <row r="1" spans="1:10" ht="25.5">
      <c r="A1" s="24" t="s">
        <v>43</v>
      </c>
      <c r="B1" s="26" t="s">
        <v>44</v>
      </c>
      <c r="D1" s="31" t="s">
        <v>45</v>
      </c>
    </row>
    <row r="2" spans="1:10">
      <c r="A2" s="20">
        <v>0</v>
      </c>
      <c r="B2" s="29">
        <v>0.9473817611813331</v>
      </c>
      <c r="C2" s="28">
        <f ca="1">OFFSET($B2,1*(ROWS(C$2:C2)-1),0)</f>
        <v>0.9473817611813331</v>
      </c>
      <c r="D2" s="27">
        <f>Ft!B$3*EXP(Ft!B$38*($A2-Ft!B$2)^2) +Ft!C$3*EXP(Ft!C$38*($A2-Ft!C$2)^2) + Ft!D$3*EXP(Ft!D$38*($A2-Ft!D$2)^2)+Ft!E$3*EXP(Ft!E$38*($A2-Ft!E$2)^2) +Ft!F$3*EXP(Ft!F$38*($A2-Ft!F$2)^2) + Ft!G$3*EXP(Ft!G$38*($A2-Ft!G$2)^2)</f>
        <v>200.18809184959221</v>
      </c>
      <c r="E2" s="27">
        <f>Ft!B$3*EXP(Ft!B$38*($A2-Ft!B$2)^2)</f>
        <v>160.80059642521888</v>
      </c>
      <c r="F2" s="27">
        <f>Ft!C$3*EXP(Ft!C$38*($A2-Ft!C$2)^2)</f>
        <v>22.900163834753656</v>
      </c>
      <c r="G2" s="27">
        <f>Ft!D$3*EXP(Ft!D$38*($A2-Ft!D$2)^2)</f>
        <v>4.875583009370109E-57</v>
      </c>
      <c r="H2" s="27">
        <f>Ft!E$3*EXP(Ft!E$38*($A2-Ft!E$2)^2)</f>
        <v>2.6124761742585663</v>
      </c>
      <c r="I2" s="27">
        <f>Ft!F$3*EXP(Ft!F$38*($A2-Ft!F$2)^2)</f>
        <v>4.360240781236735</v>
      </c>
      <c r="J2" s="27">
        <f>Ft!G$3*EXP(Ft!G$38*($A2-Ft!G$2)^2)</f>
        <v>9.5146146341243671</v>
      </c>
    </row>
    <row r="3" spans="1:10">
      <c r="A3" s="20">
        <v>1</v>
      </c>
      <c r="B3" s="29">
        <v>0.96170225908088014</v>
      </c>
      <c r="C3" s="28">
        <f ca="1">OFFSET($B3,1*(ROWS(C$2:C3)-1),0)</f>
        <v>0.97179617465477008</v>
      </c>
      <c r="D3" s="27">
        <f>Ft!B$3*EXP(Ft!B$38*($A3-Ft!B$2)^2) +Ft!C$3*EXP(Ft!C$38*($A3-Ft!C$2)^2) + Ft!D$3*EXP(Ft!D$38*($A3-Ft!D$2)^2)+Ft!E$3*EXP(Ft!E$38*($A3-Ft!E$2)^2) +Ft!F$3*EXP(Ft!F$38*($A3-Ft!F$2)^2) + Ft!G$3*EXP(Ft!G$38*($A3-Ft!G$2)^2)</f>
        <v>200.19987534966265</v>
      </c>
      <c r="E3" s="27">
        <f>Ft!B$3*EXP(Ft!B$38*($A3-Ft!B$2)^2)</f>
        <v>160.6301302669965</v>
      </c>
      <c r="F3" s="27">
        <f>Ft!C$3*EXP(Ft!C$38*($A3-Ft!C$2)^2)</f>
        <v>22.945819848509711</v>
      </c>
      <c r="G3" s="27">
        <f>Ft!D$3*EXP(Ft!D$38*($A3-Ft!D$2)^2)</f>
        <v>8.8727898814655004E-57</v>
      </c>
      <c r="H3" s="27">
        <f>Ft!E$3*EXP(Ft!E$38*($A3-Ft!E$2)^2)</f>
        <v>2.6398597707563702</v>
      </c>
      <c r="I3" s="27">
        <f>Ft!F$3*EXP(Ft!F$38*($A3-Ft!F$2)^2)</f>
        <v>4.3813599219295716</v>
      </c>
      <c r="J3" s="27">
        <f>Ft!G$3*EXP(Ft!G$38*($A3-Ft!G$2)^2)</f>
        <v>9.6027055414704847</v>
      </c>
    </row>
    <row r="4" spans="1:10">
      <c r="A4" s="20">
        <v>2</v>
      </c>
      <c r="B4" s="29">
        <v>0.97179617465477008</v>
      </c>
      <c r="C4" s="28">
        <f ca="1">OFFSET($B4,1*(ROWS(C$2:C4)-1),0)</f>
        <v>0.99194486307237639</v>
      </c>
      <c r="D4" s="27">
        <f>Ft!B$3*EXP(Ft!B$38*($A4-Ft!B$2)^2) +Ft!C$3*EXP(Ft!C$38*($A4-Ft!C$2)^2) + Ft!D$3*EXP(Ft!D$38*($A4-Ft!D$2)^2)+Ft!E$3*EXP(Ft!E$38*($A4-Ft!E$2)^2) +Ft!F$3*EXP(Ft!F$38*($A4-Ft!F$2)^2) + Ft!G$3*EXP(Ft!G$38*($A4-Ft!G$2)^2)</f>
        <v>200.21201439550265</v>
      </c>
      <c r="E4" s="27">
        <f>Ft!B$3*EXP(Ft!B$38*($A4-Ft!B$2)^2)</f>
        <v>160.45907915929135</v>
      </c>
      <c r="F4" s="27">
        <f>Ft!C$3*EXP(Ft!C$38*($A4-Ft!C$2)^2)</f>
        <v>22.991516099562098</v>
      </c>
      <c r="G4" s="27">
        <f>Ft!D$3*EXP(Ft!D$38*($A4-Ft!D$2)^2)</f>
        <v>1.6124819462735204E-56</v>
      </c>
      <c r="H4" s="27">
        <f>Ft!E$3*EXP(Ft!E$38*($A4-Ft!E$2)^2)</f>
        <v>2.6674917316360234</v>
      </c>
      <c r="I4" s="27">
        <f>Ft!F$3*EXP(Ft!F$38*($A4-Ft!F$2)^2)</f>
        <v>4.4025668587560425</v>
      </c>
      <c r="J4" s="27">
        <f>Ft!G$3*EXP(Ft!G$38*($A4-Ft!G$2)^2)</f>
        <v>9.6913605462571422</v>
      </c>
    </row>
    <row r="5" spans="1:10">
      <c r="A5" s="20">
        <v>3</v>
      </c>
      <c r="B5" s="29">
        <v>0.9763906471486905</v>
      </c>
      <c r="C5" s="28">
        <f ca="1">OFFSET($B5,1*(ROWS(C$2:C5)-1),0)</f>
        <v>0.99958649406190148</v>
      </c>
      <c r="D5" s="27">
        <f>Ft!B$3*EXP(Ft!B$38*($A5-Ft!B$2)^2) +Ft!C$3*EXP(Ft!C$38*($A5-Ft!C$2)^2) + Ft!D$3*EXP(Ft!D$38*($A5-Ft!D$2)^2)+Ft!E$3*EXP(Ft!E$38*($A5-Ft!E$2)^2) +Ft!F$3*EXP(Ft!F$38*($A5-Ft!F$2)^2) + Ft!G$3*EXP(Ft!G$38*($A5-Ft!G$2)^2)</f>
        <v>200.22451378458274</v>
      </c>
      <c r="E5" s="27">
        <f>Ft!B$3*EXP(Ft!B$38*($A5-Ft!B$2)^2)</f>
        <v>160.2874453565332</v>
      </c>
      <c r="F5" s="27">
        <f>Ft!C$3*EXP(Ft!C$38*($A5-Ft!C$2)^2)</f>
        <v>23.037252465961132</v>
      </c>
      <c r="G5" s="27">
        <f>Ft!D$3*EXP(Ft!D$38*($A5-Ft!D$2)^2)</f>
        <v>2.926378830850411E-56</v>
      </c>
      <c r="H5" s="27">
        <f>Ft!E$3*EXP(Ft!E$38*($A5-Ft!E$2)^2)</f>
        <v>2.695373851322596</v>
      </c>
      <c r="I5" s="27">
        <f>Ft!F$3*EXP(Ft!F$38*($A5-Ft!F$2)^2)</f>
        <v>4.4238618766826017</v>
      </c>
      <c r="J5" s="27">
        <f>Ft!G$3*EXP(Ft!G$38*($A5-Ft!G$2)^2)</f>
        <v>9.7805802340832244</v>
      </c>
    </row>
    <row r="6" spans="1:10">
      <c r="A6" s="20">
        <v>4</v>
      </c>
      <c r="B6" s="29">
        <v>0.99194486307237639</v>
      </c>
      <c r="C6" s="28">
        <f ca="1">OFFSET($B6,1*(ROWS(C$2:C6)-1),0)</f>
        <v>1.0143720987520624</v>
      </c>
      <c r="D6" s="27">
        <f>Ft!B$3*EXP(Ft!B$38*($A6-Ft!B$2)^2) +Ft!C$3*EXP(Ft!C$38*($A6-Ft!C$2)^2) + Ft!D$3*EXP(Ft!D$38*($A6-Ft!D$2)^2)+Ft!E$3*EXP(Ft!E$38*($A6-Ft!E$2)^2) +Ft!F$3*EXP(Ft!F$38*($A6-Ft!F$2)^2) + Ft!G$3*EXP(Ft!G$38*($A6-Ft!G$2)^2)</f>
        <v>200.2373782893734</v>
      </c>
      <c r="E6" s="27">
        <f>Ft!B$3*EXP(Ft!B$38*($A6-Ft!B$2)^2)</f>
        <v>160.11523111908261</v>
      </c>
      <c r="F6" s="27">
        <f>Ft!C$3*EXP(Ft!C$38*($A6-Ft!C$2)^2)</f>
        <v>23.083028825248277</v>
      </c>
      <c r="G6" s="27">
        <f>Ft!D$3*EXP(Ft!D$38*($A6-Ft!D$2)^2)</f>
        <v>5.3035571599873184E-56</v>
      </c>
      <c r="H6" s="27">
        <f>Ft!E$3*EXP(Ft!E$38*($A6-Ft!E$2)^2)</f>
        <v>2.7235079320754463</v>
      </c>
      <c r="I6" s="27">
        <f>Ft!F$3*EXP(Ft!F$38*($A6-Ft!F$2)^2)</f>
        <v>4.4452452611823823</v>
      </c>
      <c r="J6" s="27">
        <f>Ft!G$3*EXP(Ft!G$38*($A6-Ft!G$2)^2)</f>
        <v>9.8703651517846769</v>
      </c>
    </row>
    <row r="7" spans="1:10">
      <c r="A7" s="20">
        <v>5</v>
      </c>
      <c r="B7" s="29">
        <v>0.99712947285610198</v>
      </c>
      <c r="C7" s="28">
        <f ca="1">OFFSET($B7,1*(ROWS(C$2:C7)-1),0)</f>
        <v>1.0260371374365036</v>
      </c>
      <c r="D7" s="27">
        <f>Ft!B$3*EXP(Ft!B$38*($A7-Ft!B$2)^2) +Ft!C$3*EXP(Ft!C$38*($A7-Ft!C$2)^2) + Ft!D$3*EXP(Ft!D$38*($A7-Ft!D$2)^2)+Ft!E$3*EXP(Ft!E$38*($A7-Ft!E$2)^2) +Ft!F$3*EXP(Ft!F$38*($A7-Ft!F$2)^2) + Ft!G$3*EXP(Ft!G$38*($A7-Ft!G$2)^2)</f>
        <v>200.25061265685733</v>
      </c>
      <c r="E7" s="27">
        <f>Ft!B$3*EXP(Ft!B$38*($A7-Ft!B$2)^2)</f>
        <v>159.94243871318147</v>
      </c>
      <c r="F7" s="27">
        <f>Ft!C$3*EXP(Ft!C$38*($A7-Ft!C$2)^2)</f>
        <v>23.128845054456271</v>
      </c>
      <c r="G7" s="27">
        <f>Ft!D$3*EXP(Ft!D$38*($A7-Ft!D$2)^2)</f>
        <v>9.5985356680921544E-56</v>
      </c>
      <c r="H7" s="27">
        <f>Ft!E$3*EXP(Ft!E$38*($A7-Ft!E$2)^2)</f>
        <v>2.7518957839650677</v>
      </c>
      <c r="I7" s="27">
        <f>Ft!F$3*EXP(Ft!F$38*($A7-Ft!F$2)^2)</f>
        <v>4.4667172982339007</v>
      </c>
      <c r="J7" s="27">
        <f>Ft!G$3*EXP(Ft!G$38*($A7-Ft!G$2)^2)</f>
        <v>9.9607158070206214</v>
      </c>
    </row>
    <row r="8" spans="1:10">
      <c r="A8" s="20">
        <v>6</v>
      </c>
      <c r="B8" s="29">
        <v>0.99958649406190148</v>
      </c>
      <c r="C8" s="28">
        <f ca="1">OFFSET($B8,1*(ROWS(C$2:C8)-1),0)</f>
        <v>1.0375608214797012</v>
      </c>
      <c r="D8" s="27">
        <f>Ft!B$3*EXP(Ft!B$38*($A8-Ft!B$2)^2) +Ft!C$3*EXP(Ft!C$38*($A8-Ft!C$2)^2) + Ft!D$3*EXP(Ft!D$38*($A8-Ft!D$2)^2)+Ft!E$3*EXP(Ft!E$38*($A8-Ft!E$2)^2) +Ft!F$3*EXP(Ft!F$38*($A8-Ft!F$2)^2) + Ft!G$3*EXP(Ft!G$38*($A8-Ft!G$2)^2)</f>
        <v>200.26422160804225</v>
      </c>
      <c r="E8" s="27">
        <f>Ft!B$3*EXP(Ft!B$38*($A8-Ft!B$2)^2)</f>
        <v>159.76907041090348</v>
      </c>
      <c r="F8" s="27">
        <f>Ft!C$3*EXP(Ft!C$38*($A8-Ft!C$2)^2)</f>
        <v>23.174701030109134</v>
      </c>
      <c r="G8" s="27">
        <f>Ft!D$3*EXP(Ft!D$38*($A8-Ft!D$2)^2)</f>
        <v>1.7347773133435438E-55</v>
      </c>
      <c r="H8" s="27">
        <f>Ft!E$3*EXP(Ft!E$38*($A8-Ft!E$2)^2)</f>
        <v>2.7805392248491305</v>
      </c>
      <c r="I8" s="27">
        <f>Ft!F$3*EXP(Ft!F$38*($A8-Ft!F$2)^2)</f>
        <v>4.4882782743197156</v>
      </c>
      <c r="J8" s="27">
        <f>Ft!G$3*EXP(Ft!G$38*($A8-Ft!G$2)^2)</f>
        <v>10.051632667860787</v>
      </c>
    </row>
    <row r="9" spans="1:10">
      <c r="A9" s="20">
        <v>7</v>
      </c>
      <c r="B9" s="29">
        <v>1.0002786351847135</v>
      </c>
      <c r="C9" s="28">
        <f ca="1">OFFSET($B9,1*(ROWS(C$2:C9)-1),0)</f>
        <v>1.0630038880129291</v>
      </c>
      <c r="D9" s="27">
        <f>Ft!B$3*EXP(Ft!B$38*($A9-Ft!B$2)^2) +Ft!C$3*EXP(Ft!C$38*($A9-Ft!C$2)^2) + Ft!D$3*EXP(Ft!D$38*($A9-Ft!D$2)^2)+Ft!E$3*EXP(Ft!E$38*($A9-Ft!E$2)^2) +Ft!F$3*EXP(Ft!F$38*($A9-Ft!F$2)^2) + Ft!G$3*EXP(Ft!G$38*($A9-Ft!G$2)^2)</f>
        <v>200.27820983747378</v>
      </c>
      <c r="E9" s="27">
        <f>Ft!B$3*EXP(Ft!B$38*($A9-Ft!B$2)^2)</f>
        <v>159.59512849010437</v>
      </c>
      <c r="F9" s="27">
        <f>Ft!C$3*EXP(Ft!C$38*($A9-Ft!C$2)^2)</f>
        <v>23.220596628222321</v>
      </c>
      <c r="G9" s="27">
        <f>Ft!D$3*EXP(Ft!D$38*($A9-Ft!D$2)^2)</f>
        <v>3.1310031655954268E-55</v>
      </c>
      <c r="H9" s="27">
        <f>Ft!E$3*EXP(Ft!E$38*($A9-Ft!E$2)^2)</f>
        <v>2.8094400803476893</v>
      </c>
      <c r="I9" s="27">
        <f>Ft!F$3*EXP(Ft!F$38*($A9-Ft!F$2)^2)</f>
        <v>4.5099284764250607</v>
      </c>
      <c r="J9" s="27">
        <f>Ft!G$3*EXP(Ft!G$38*($A9-Ft!G$2)^2)</f>
        <v>10.143116162374325</v>
      </c>
    </row>
    <row r="10" spans="1:10">
      <c r="A10" s="20">
        <v>8</v>
      </c>
      <c r="B10" s="29">
        <v>1.0143720987520624</v>
      </c>
      <c r="C10" s="28">
        <f ca="1">OFFSET($B10,1*(ROWS(C$2:C10)-1),0)</f>
        <v>1.0919651284577583</v>
      </c>
      <c r="D10" s="27">
        <f>Ft!B$3*EXP(Ft!B$38*($A10-Ft!B$2)^2) +Ft!C$3*EXP(Ft!C$38*($A10-Ft!C$2)^2) + Ft!D$3*EXP(Ft!D$38*($A10-Ft!D$2)^2)+Ft!E$3*EXP(Ft!E$38*($A10-Ft!E$2)^2) +Ft!F$3*EXP(Ft!F$38*($A10-Ft!F$2)^2) + Ft!G$3*EXP(Ft!G$38*($A10-Ft!G$2)^2)</f>
        <v>200.29258201274931</v>
      </c>
      <c r="E10" s="27">
        <f>Ft!B$3*EXP(Ft!B$38*($A10-Ft!B$2)^2)</f>
        <v>159.42061523437238</v>
      </c>
      <c r="F10" s="27">
        <f>Ft!C$3*EXP(Ft!C$38*($A10-Ft!C$2)^2)</f>
        <v>23.266531724302769</v>
      </c>
      <c r="G10" s="27">
        <f>Ft!D$3*EXP(Ft!D$38*($A10-Ft!D$2)^2)</f>
        <v>5.6431851721774936E-55</v>
      </c>
      <c r="H10" s="27">
        <f>Ft!E$3*EXP(Ft!E$38*($A10-Ft!E$2)^2)</f>
        <v>2.8386001838175865</v>
      </c>
      <c r="I10" s="27">
        <f>Ft!F$3*EXP(Ft!F$38*($A10-Ft!F$2)^2)</f>
        <v>4.5316681920365092</v>
      </c>
      <c r="J10" s="27">
        <f>Ft!G$3*EXP(Ft!G$38*($A10-Ft!G$2)^2)</f>
        <v>10.235166678220056</v>
      </c>
    </row>
    <row r="11" spans="1:10">
      <c r="A11" s="20">
        <v>9</v>
      </c>
      <c r="B11" s="29">
        <v>1.0154577826339448</v>
      </c>
      <c r="C11" s="28">
        <f ca="1">OFFSET($B11,1*(ROWS(C$2:C11)-1),0)</f>
        <v>1.135284763524453</v>
      </c>
      <c r="D11" s="27">
        <f>Ft!B$3*EXP(Ft!B$38*($A11-Ft!B$2)^2) +Ft!C$3*EXP(Ft!C$38*($A11-Ft!C$2)^2) + Ft!D$3*EXP(Ft!D$38*($A11-Ft!D$2)^2)+Ft!E$3*EXP(Ft!E$38*($A11-Ft!E$2)^2) +Ft!F$3*EXP(Ft!F$38*($A11-Ft!F$2)^2) + Ft!G$3*EXP(Ft!G$38*($A11-Ft!G$2)^2)</f>
        <v>200.30734277403212</v>
      </c>
      <c r="E11" s="27">
        <f>Ft!B$3*EXP(Ft!B$38*($A11-Ft!B$2)^2)</f>
        <v>159.24553293297828</v>
      </c>
      <c r="F11" s="27">
        <f>Ft!C$3*EXP(Ft!C$38*($A11-Ft!C$2)^2)</f>
        <v>23.312506193348991</v>
      </c>
      <c r="G11" s="27">
        <f>Ft!D$3*EXP(Ft!D$38*($A11-Ft!D$2)^2)</f>
        <v>1.0157015552289994E-54</v>
      </c>
      <c r="H11" s="27">
        <f>Ft!E$3*EXP(Ft!E$38*($A11-Ft!E$2)^2)</f>
        <v>2.8680213763260105</v>
      </c>
      <c r="I11" s="27">
        <f>Ft!F$3*EXP(Ft!F$38*($A11-Ft!F$2)^2)</f>
        <v>4.553497709140589</v>
      </c>
      <c r="J11" s="27">
        <f>Ft!G$3*EXP(Ft!G$38*($A11-Ft!G$2)^2)</f>
        <v>10.327784562238271</v>
      </c>
    </row>
    <row r="12" spans="1:10">
      <c r="A12" s="20">
        <v>10</v>
      </c>
      <c r="B12" s="29">
        <v>1.0260371374365036</v>
      </c>
      <c r="C12" s="28">
        <f ca="1">OFFSET($B12,1*(ROWS(C$2:C12)-1),0)</f>
        <v>1.1756650453954194</v>
      </c>
      <c r="D12" s="27">
        <f>Ft!B$3*EXP(Ft!B$38*($A12-Ft!B$2)^2) +Ft!C$3*EXP(Ft!C$38*($A12-Ft!C$2)^2) + Ft!D$3*EXP(Ft!D$38*($A12-Ft!D$2)^2)+Ft!E$3*EXP(Ft!E$38*($A12-Ft!E$2)^2) +Ft!F$3*EXP(Ft!F$38*($A12-Ft!F$2)^2) + Ft!G$3*EXP(Ft!G$38*($A12-Ft!G$2)^2)</f>
        <v>200.32249673356657</v>
      </c>
      <c r="E12" s="27">
        <f>Ft!B$3*EXP(Ft!B$38*($A12-Ft!B$2)^2)</f>
        <v>159.06988388082561</v>
      </c>
      <c r="F12" s="27">
        <f>Ft!C$3*EXP(Ft!C$38*($A12-Ft!C$2)^2)</f>
        <v>23.358519909851189</v>
      </c>
      <c r="G12" s="27">
        <f>Ft!D$3*EXP(Ft!D$38*($A12-Ft!D$2)^2)</f>
        <v>1.8256139912485937E-54</v>
      </c>
      <c r="H12" s="27">
        <f>Ft!E$3*EXP(Ft!E$38*($A12-Ft!E$2)^2)</f>
        <v>2.8977055066232307</v>
      </c>
      <c r="I12" s="27">
        <f>Ft!F$3*EXP(Ft!F$38*($A12-Ft!F$2)^2)</f>
        <v>4.5754173162223752</v>
      </c>
      <c r="J12" s="27">
        <f>Ft!G$3*EXP(Ft!G$38*($A12-Ft!G$2)^2)</f>
        <v>10.420970120044148</v>
      </c>
    </row>
    <row r="13" spans="1:10">
      <c r="A13" s="20">
        <v>11</v>
      </c>
      <c r="B13" s="29">
        <v>1.0286450660695436</v>
      </c>
      <c r="C13" s="28">
        <f ca="1">OFFSET($B13,1*(ROWS(C$2:C13)-1),0)</f>
        <v>1.2476498507832048</v>
      </c>
      <c r="D13" s="27">
        <f>Ft!B$3*EXP(Ft!B$38*($A13-Ft!B$2)^2) +Ft!C$3*EXP(Ft!C$38*($A13-Ft!C$2)^2) + Ft!D$3*EXP(Ft!D$38*($A13-Ft!D$2)^2)+Ft!E$3*EXP(Ft!E$38*($A13-Ft!E$2)^2) +Ft!F$3*EXP(Ft!F$38*($A13-Ft!F$2)^2) + Ft!G$3*EXP(Ft!G$38*($A13-Ft!G$2)^2)</f>
        <v>200.33804847519337</v>
      </c>
      <c r="E13" s="27">
        <f>Ft!B$3*EXP(Ft!B$38*($A13-Ft!B$2)^2)</f>
        <v>158.89367037840063</v>
      </c>
      <c r="F13" s="27">
        <f>Ft!C$3*EXP(Ft!C$38*($A13-Ft!C$2)^2)</f>
        <v>23.404572747791359</v>
      </c>
      <c r="G13" s="27">
        <f>Ft!D$3*EXP(Ft!D$38*($A13-Ft!D$2)^2)</f>
        <v>3.2768217321757468E-54</v>
      </c>
      <c r="H13" s="27">
        <f>Ft!E$3*EXP(Ft!E$38*($A13-Ft!E$2)^2)</f>
        <v>2.9276544311144783</v>
      </c>
      <c r="I13" s="27">
        <f>Ft!F$3*EXP(Ft!F$38*($A13-Ft!F$2)^2)</f>
        <v>4.5974273022641032</v>
      </c>
      <c r="J13" s="27">
        <f>Ft!G$3*EXP(Ft!G$38*($A13-Ft!G$2)^2)</f>
        <v>10.514723615622819</v>
      </c>
    </row>
    <row r="14" spans="1:10">
      <c r="A14" s="20">
        <v>12</v>
      </c>
      <c r="B14" s="29">
        <v>1.0375608214797012</v>
      </c>
      <c r="C14" s="28">
        <f ca="1">OFFSET($B14,1*(ROWS(C$2:C14)-1),0)</f>
        <v>1.3300808917291249</v>
      </c>
      <c r="D14" s="27">
        <f>Ft!B$3*EXP(Ft!B$38*($A14-Ft!B$2)^2) +Ft!C$3*EXP(Ft!C$38*($A14-Ft!C$2)^2) + Ft!D$3*EXP(Ft!D$38*($A14-Ft!D$2)^2)+Ft!E$3*EXP(Ft!E$38*($A14-Ft!E$2)^2) +Ft!F$3*EXP(Ft!F$38*($A14-Ft!F$2)^2) + Ft!G$3*EXP(Ft!G$38*($A14-Ft!G$2)^2)</f>
        <v>200.35400255386668</v>
      </c>
      <c r="E14" s="27">
        <f>Ft!B$3*EXP(Ft!B$38*($A14-Ft!B$2)^2)</f>
        <v>158.71689473172233</v>
      </c>
      <c r="F14" s="27">
        <f>Ft!C$3*EXP(Ft!C$38*($A14-Ft!C$2)^2)</f>
        <v>23.450664580643398</v>
      </c>
      <c r="G14" s="27">
        <f>Ft!D$3*EXP(Ft!D$38*($A14-Ft!D$2)^2)</f>
        <v>5.8735097877909082E-54</v>
      </c>
      <c r="H14" s="27">
        <f>Ft!E$3*EXP(Ft!E$38*($A14-Ft!E$2)^2)</f>
        <v>2.9578700138309824</v>
      </c>
      <c r="I14" s="27">
        <f>Ft!F$3*EXP(Ft!F$38*($A14-Ft!F$2)^2)</f>
        <v>4.6195279567437373</v>
      </c>
      <c r="J14" s="27">
        <f>Ft!G$3*EXP(Ft!G$38*($A14-Ft!G$2)^2)</f>
        <v>10.609045270926243</v>
      </c>
    </row>
    <row r="15" spans="1:10">
      <c r="A15" s="20">
        <v>13</v>
      </c>
      <c r="B15" s="29">
        <v>1.051216892362163</v>
      </c>
      <c r="C15" s="28">
        <f ca="1">OFFSET($B15,1*(ROWS(C$2:C15)-1),0)</f>
        <v>1.4050154910238746</v>
      </c>
      <c r="D15" s="27">
        <f>Ft!B$3*EXP(Ft!B$38*($A15-Ft!B$2)^2) +Ft!C$3*EXP(Ft!C$38*($A15-Ft!C$2)^2) + Ft!D$3*EXP(Ft!D$38*($A15-Ft!D$2)^2)+Ft!E$3*EXP(Ft!E$38*($A15-Ft!E$2)^2) +Ft!F$3*EXP(Ft!F$38*($A15-Ft!F$2)^2) + Ft!G$3*EXP(Ft!G$38*($A15-Ft!G$2)^2)</f>
        <v>200.3703634951712</v>
      </c>
      <c r="E15" s="27">
        <f>Ft!B$3*EXP(Ft!B$38*($A15-Ft!B$2)^2)</f>
        <v>158.53955925229235</v>
      </c>
      <c r="F15" s="27">
        <f>Ft!C$3*EXP(Ft!C$38*($A15-Ft!C$2)^2)</f>
        <v>23.496795281373206</v>
      </c>
      <c r="G15" s="27">
        <f>Ft!D$3*EXP(Ft!D$38*($A15-Ft!D$2)^2)</f>
        <v>1.0513409972468482E-53</v>
      </c>
      <c r="H15" s="27">
        <f>Ft!E$3*EXP(Ft!E$38*($A15-Ft!E$2)^2)</f>
        <v>2.9883541264001585</v>
      </c>
      <c r="I15" s="27">
        <f>Ft!F$3*EXP(Ft!F$38*($A15-Ft!F$2)^2)</f>
        <v>4.6417195696335449</v>
      </c>
      <c r="J15" s="27">
        <f>Ft!G$3*EXP(Ft!G$38*($A15-Ft!G$2)^2)</f>
        <v>10.703935265471927</v>
      </c>
    </row>
    <row r="16" spans="1:10">
      <c r="A16" s="20">
        <v>14</v>
      </c>
      <c r="B16" s="29">
        <v>1.0630038880129291</v>
      </c>
      <c r="C16" s="28">
        <f ca="1">OFFSET($B16,1*(ROWS(C$2:C16)-1),0)</f>
        <v>1.4492486361786519</v>
      </c>
      <c r="D16" s="27">
        <f>Ft!B$3*EXP(Ft!B$38*($A16-Ft!B$2)^2) +Ft!C$3*EXP(Ft!C$38*($A16-Ft!C$2)^2) + Ft!D$3*EXP(Ft!D$38*($A16-Ft!D$2)^2)+Ft!E$3*EXP(Ft!E$38*($A16-Ft!E$2)^2) +Ft!F$3*EXP(Ft!F$38*($A16-Ft!F$2)^2) + Ft!G$3*EXP(Ft!G$38*($A16-Ft!G$2)^2)</f>
        <v>200.38713579484056</v>
      </c>
      <c r="E16" s="27">
        <f>Ft!B$3*EXP(Ft!B$38*($A16-Ft!B$2)^2)</f>
        <v>158.36166625704465</v>
      </c>
      <c r="F16" s="27">
        <f>Ft!C$3*EXP(Ft!C$38*($A16-Ft!C$2)^2)</f>
        <v>23.542964722438853</v>
      </c>
      <c r="G16" s="27">
        <f>Ft!D$3*EXP(Ft!D$38*($A16-Ft!D$2)^2)</f>
        <v>1.8792758172626388E-53</v>
      </c>
      <c r="H16" s="27">
        <f>Ft!E$3*EXP(Ft!E$38*($A16-Ft!E$2)^2)</f>
        <v>3.0191086480149241</v>
      </c>
      <c r="I16" s="27">
        <f>Ft!F$3*EXP(Ft!F$38*($A16-Ft!F$2)^2)</f>
        <v>4.6640024313986093</v>
      </c>
      <c r="J16" s="27">
        <f>Ft!G$3*EXP(Ft!G$38*($A16-Ft!G$2)^2)</f>
        <v>10.799393735943525</v>
      </c>
    </row>
    <row r="17" spans="1:10">
      <c r="A17" s="20">
        <v>15</v>
      </c>
      <c r="B17" s="29">
        <v>1.0760280179390236</v>
      </c>
      <c r="C17" s="28">
        <f ca="1">OFFSET($B17,1*(ROWS(C$2:C17)-1),0)</f>
        <v>1.5368713877024049</v>
      </c>
      <c r="D17" s="27">
        <f>Ft!B$3*EXP(Ft!B$38*($A17-Ft!B$2)^2) +Ft!C$3*EXP(Ft!C$38*($A17-Ft!C$2)^2) + Ft!D$3*EXP(Ft!D$38*($A17-Ft!D$2)^2)+Ft!E$3*EXP(Ft!E$38*($A17-Ft!E$2)^2) +Ft!F$3*EXP(Ft!F$38*($A17-Ft!F$2)^2) + Ft!G$3*EXP(Ft!G$38*($A17-Ft!G$2)^2)</f>
        <v>200.4043239182771</v>
      </c>
      <c r="E17" s="27">
        <f>Ft!B$3*EXP(Ft!B$38*($A17-Ft!B$2)^2)</f>
        <v>158.18321806829536</v>
      </c>
      <c r="F17" s="27">
        <f>Ft!C$3*EXP(Ft!C$38*($A17-Ft!C$2)^2)</f>
        <v>23.589172775790662</v>
      </c>
      <c r="G17" s="27">
        <f>Ft!D$3*EXP(Ft!D$38*($A17-Ft!D$2)^2)</f>
        <v>3.3545824619317733E-53</v>
      </c>
      <c r="H17" s="27">
        <f>Ft!E$3*EXP(Ft!E$38*($A17-Ft!E$2)^2)</f>
        <v>3.0501354654021462</v>
      </c>
      <c r="I17" s="27">
        <f>Ft!F$3*EXP(Ft!F$38*($A17-Ft!F$2)^2)</f>
        <v>4.686376832995415</v>
      </c>
      <c r="J17" s="27">
        <f>Ft!G$3*EXP(Ft!G$38*($A17-Ft!G$2)^2)</f>
        <v>10.895420775793497</v>
      </c>
    </row>
    <row r="18" spans="1:10">
      <c r="A18" s="20">
        <v>16</v>
      </c>
      <c r="B18" s="29">
        <v>1.0919651284577583</v>
      </c>
      <c r="C18" s="28">
        <f ca="1">OFFSET($B18,1*(ROWS(C$2:C18)-1),0)</f>
        <v>1.6308469684382203</v>
      </c>
      <c r="D18" s="27">
        <f>Ft!B$3*EXP(Ft!B$38*($A18-Ft!B$2)^2) +Ft!C$3*EXP(Ft!C$38*($A18-Ft!C$2)^2) + Ft!D$3*EXP(Ft!D$38*($A18-Ft!D$2)^2)+Ft!E$3*EXP(Ft!E$38*($A18-Ft!E$2)^2) +Ft!F$3*EXP(Ft!F$38*($A18-Ft!F$2)^2) + Ft!G$3*EXP(Ft!G$38*($A18-Ft!G$2)^2)</f>
        <v>200.42193230007217</v>
      </c>
      <c r="E18" s="27">
        <f>Ft!B$3*EXP(Ft!B$38*($A18-Ft!B$2)^2)</f>
        <v>158.00421701369243</v>
      </c>
      <c r="F18" s="27">
        <f>Ft!C$3*EXP(Ft!C$38*($A18-Ft!C$2)^2)</f>
        <v>23.635419312871367</v>
      </c>
      <c r="G18" s="27">
        <f>Ft!D$3*EXP(Ft!D$38*($A18-Ft!D$2)^2)</f>
        <v>5.9798107661681044E-53</v>
      </c>
      <c r="H18" s="27">
        <f>Ft!E$3*EXP(Ft!E$38*($A18-Ft!E$2)^2)</f>
        <v>3.0814364727902332</v>
      </c>
      <c r="I18" s="27">
        <f>Ft!F$3*EXP(Ft!F$38*($A18-Ft!F$2)^2)</f>
        <v>4.7088430658703251</v>
      </c>
      <c r="J18" s="27">
        <f>Ft!G$3*EXP(Ft!G$38*($A18-Ft!G$2)^2)</f>
        <v>10.992016434847821</v>
      </c>
    </row>
    <row r="19" spans="1:10">
      <c r="A19" s="20">
        <v>17</v>
      </c>
      <c r="B19" s="29">
        <v>1.1207934707887262</v>
      </c>
      <c r="C19" s="28">
        <f ca="1">OFFSET($B19,1*(ROWS(C$2:C19)-1),0)</f>
        <v>1.8202667496568665</v>
      </c>
      <c r="D19" s="27">
        <f>Ft!B$3*EXP(Ft!B$38*($A19-Ft!B$2)^2) +Ft!C$3*EXP(Ft!C$38*($A19-Ft!C$2)^2) + Ft!D$3*EXP(Ft!D$38*($A19-Ft!D$2)^2)+Ft!E$3*EXP(Ft!E$38*($A19-Ft!E$2)^2) +Ft!F$3*EXP(Ft!F$38*($A19-Ft!F$2)^2) + Ft!G$3*EXP(Ft!G$38*($A19-Ft!G$2)^2)</f>
        <v>200.43996534352817</v>
      </c>
      <c r="E19" s="27">
        <f>Ft!B$3*EXP(Ft!B$38*($A19-Ft!B$2)^2)</f>
        <v>157.82466542616515</v>
      </c>
      <c r="F19" s="27">
        <f>Ft!C$3*EXP(Ft!C$38*($A19-Ft!C$2)^2)</f>
        <v>23.681704204616238</v>
      </c>
      <c r="G19" s="27">
        <f>Ft!D$3*EXP(Ft!D$38*($A19-Ft!D$2)^2)</f>
        <v>1.0644798163447291E-52</v>
      </c>
      <c r="H19" s="27">
        <f>Ft!E$3*EXP(Ft!E$38*($A19-Ft!E$2)^2)</f>
        <v>3.1130135718758236</v>
      </c>
      <c r="I19" s="27">
        <f>Ft!F$3*EXP(Ft!F$38*($A19-Ft!F$2)^2)</f>
        <v>4.731401421958096</v>
      </c>
      <c r="J19" s="27">
        <f>Ft!G$3*EXP(Ft!G$38*($A19-Ft!G$2)^2)</f>
        <v>11.089180718912885</v>
      </c>
    </row>
    <row r="20" spans="1:10">
      <c r="A20" s="20">
        <v>18</v>
      </c>
      <c r="B20" s="29">
        <v>1.135284763524453</v>
      </c>
      <c r="C20" s="28">
        <f ca="1">OFFSET($B20,1*(ROWS(C$2:C20)-1),0)</f>
        <v>2.0200351726556391</v>
      </c>
      <c r="D20" s="27">
        <f>Ft!B$3*EXP(Ft!B$38*($A20-Ft!B$2)^2) +Ft!C$3*EXP(Ft!C$38*($A20-Ft!C$2)^2) + Ft!D$3*EXP(Ft!D$38*($A20-Ft!D$2)^2)+Ft!E$3*EXP(Ft!E$38*($A20-Ft!E$2)^2) +Ft!F$3*EXP(Ft!F$38*($A20-Ft!F$2)^2) + Ft!G$3*EXP(Ft!G$38*($A20-Ft!G$2)^2)</f>
        <v>200.45842742018158</v>
      </c>
      <c r="E20" s="27">
        <f>Ft!B$3*EXP(Ft!B$38*($A20-Ft!B$2)^2)</f>
        <v>157.64456564387376</v>
      </c>
      <c r="F20" s="27">
        <f>Ft!C$3*EXP(Ft!C$38*($A20-Ft!C$2)^2)</f>
        <v>23.728027321453258</v>
      </c>
      <c r="G20" s="27">
        <f>Ft!D$3*EXP(Ft!D$38*($A20-Ft!D$2)^2)</f>
        <v>1.8922932637596447E-52</v>
      </c>
      <c r="H20" s="27">
        <f>Ft!E$3*EXP(Ft!E$38*($A20-Ft!E$2)^2)</f>
        <v>3.1448686717896042</v>
      </c>
      <c r="I20" s="27">
        <f>Ft!F$3*EXP(Ft!F$38*($A20-Ft!F$2)^2)</f>
        <v>4.754052193680371</v>
      </c>
      <c r="J20" s="27">
        <f>Ft!G$3*EXP(Ft!G$38*($A20-Ft!G$2)^2)</f>
        <v>11.186913589384615</v>
      </c>
    </row>
    <row r="21" spans="1:10">
      <c r="A21" s="20">
        <v>19</v>
      </c>
      <c r="B21" s="29">
        <v>1.1549577488627278</v>
      </c>
      <c r="C21" s="28">
        <f ca="1">OFFSET($B21,1*(ROWS(C$2:C21)-1),0)</f>
        <v>2.2068991824084492</v>
      </c>
      <c r="D21" s="27">
        <f>Ft!B$3*EXP(Ft!B$38*($A21-Ft!B$2)^2) +Ft!C$3*EXP(Ft!C$38*($A21-Ft!C$2)^2) + Ft!D$3*EXP(Ft!D$38*($A21-Ft!D$2)^2)+Ft!E$3*EXP(Ft!E$38*($A21-Ft!E$2)^2) +Ft!F$3*EXP(Ft!F$38*($A21-Ft!F$2)^2) + Ft!G$3*EXP(Ft!G$38*($A21-Ft!G$2)^2)</f>
        <v>200.47732286932739</v>
      </c>
      <c r="E21" s="27">
        <f>Ft!B$3*EXP(Ft!B$38*($A21-Ft!B$2)^2)</f>
        <v>157.46392001015886</v>
      </c>
      <c r="F21" s="27">
        <f>Ft!C$3*EXP(Ft!C$38*($A21-Ft!C$2)^2)</f>
        <v>23.774388533303245</v>
      </c>
      <c r="G21" s="27">
        <f>Ft!D$3*EXP(Ft!D$38*($A21-Ft!D$2)^2)</f>
        <v>3.3592357017652748E-52</v>
      </c>
      <c r="H21" s="27">
        <f>Ft!E$3*EXP(Ft!E$38*($A21-Ft!E$2)^2)</f>
        <v>3.1770036890612308</v>
      </c>
      <c r="I21" s="27">
        <f>Ft!F$3*EXP(Ft!F$38*($A21-Ft!F$2)^2)</f>
        <v>4.7767956739441448</v>
      </c>
      <c r="J21" s="27">
        <f>Ft!G$3*EXP(Ft!G$38*($A21-Ft!G$2)^2)</f>
        <v>11.285214962859939</v>
      </c>
    </row>
    <row r="22" spans="1:10">
      <c r="A22" s="20">
        <v>20</v>
      </c>
      <c r="B22" s="29">
        <v>1.1756650453954194</v>
      </c>
      <c r="C22" s="28">
        <f ca="1">OFFSET($B22,1*(ROWS(C$2:C22)-1),0)</f>
        <v>2.371052613505924</v>
      </c>
      <c r="D22" s="27">
        <f>Ft!B$3*EXP(Ft!B$38*($A22-Ft!B$2)^2) +Ft!C$3*EXP(Ft!C$38*($A22-Ft!C$2)^2) + Ft!D$3*EXP(Ft!D$38*($A22-Ft!D$2)^2)+Ft!E$3*EXP(Ft!E$38*($A22-Ft!E$2)^2) +Ft!F$3*EXP(Ft!F$38*($A22-Ft!F$2)^2) + Ft!G$3*EXP(Ft!G$38*($A22-Ft!G$2)^2)</f>
        <v>200.49665599754496</v>
      </c>
      <c r="E22" s="27">
        <f>Ft!B$3*EXP(Ft!B$38*($A22-Ft!B$2)^2)</f>
        <v>157.28273087349072</v>
      </c>
      <c r="F22" s="27">
        <f>Ft!C$3*EXP(Ft!C$38*($A22-Ft!C$2)^2)</f>
        <v>23.82078770958001</v>
      </c>
      <c r="G22" s="27">
        <f>Ft!D$3*EXP(Ft!D$38*($A22-Ft!D$2)^2)</f>
        <v>5.9551613530281616E-52</v>
      </c>
      <c r="H22" s="27">
        <f>Ft!E$3*EXP(Ft!E$38*($A22-Ft!E$2)^2)</f>
        <v>3.2094205475833464</v>
      </c>
      <c r="I22" s="27">
        <f>Ft!F$3*EXP(Ft!F$38*($A22-Ft!F$2)^2)</f>
        <v>4.7996321561402207</v>
      </c>
      <c r="J22" s="27">
        <f>Ft!G$3*EXP(Ft!G$38*($A22-Ft!G$2)^2)</f>
        <v>11.384084710750656</v>
      </c>
    </row>
    <row r="23" spans="1:10">
      <c r="A23" s="20">
        <v>21</v>
      </c>
      <c r="B23" s="29">
        <v>1.2189107232988192</v>
      </c>
      <c r="C23" s="28">
        <f ca="1">OFFSET($B23,1*(ROWS(C$2:C23)-1),0)</f>
        <v>2.4958820834738162</v>
      </c>
      <c r="D23" s="27">
        <f>Ft!B$3*EXP(Ft!B$38*($A23-Ft!B$2)^2) +Ft!C$3*EXP(Ft!C$38*($A23-Ft!C$2)^2) + Ft!D$3*EXP(Ft!D$38*($A23-Ft!D$2)^2)+Ft!E$3*EXP(Ft!E$38*($A23-Ft!E$2)^2) +Ft!F$3*EXP(Ft!F$38*($A23-Ft!F$2)^2) + Ft!G$3*EXP(Ft!G$38*($A23-Ft!G$2)^2)</f>
        <v>200.51643107822554</v>
      </c>
      <c r="E23" s="27">
        <f>Ft!B$3*EXP(Ft!B$38*($A23-Ft!B$2)^2)</f>
        <v>157.10100058741881</v>
      </c>
      <c r="F23" s="27">
        <f>Ft!C$3*EXP(Ft!C$38*($A23-Ft!C$2)^2)</f>
        <v>23.86722471919056</v>
      </c>
      <c r="G23" s="27">
        <f>Ft!D$3*EXP(Ft!D$38*($A23-Ft!D$2)^2)</f>
        <v>1.054259712097004E-51</v>
      </c>
      <c r="H23" s="27">
        <f>Ft!E$3*EXP(Ft!E$38*($A23-Ft!E$2)^2)</f>
        <v>3.2421211785747106</v>
      </c>
      <c r="I23" s="27">
        <f>Ft!F$3*EXP(Ft!F$38*($A23-Ft!F$2)^2)</f>
        <v>4.8225619341416559</v>
      </c>
      <c r="J23" s="27">
        <f>Ft!G$3*EXP(Ft!G$38*($A23-Ft!G$2)^2)</f>
        <v>11.483522658899787</v>
      </c>
    </row>
    <row r="24" spans="1:10">
      <c r="A24" s="20">
        <v>22</v>
      </c>
      <c r="B24" s="29">
        <v>1.2476498507832048</v>
      </c>
      <c r="C24" s="28">
        <f ca="1">OFFSET($B24,1*(ROWS(C$2:C24)-1),0)</f>
        <v>2.5921188377053568</v>
      </c>
      <c r="D24" s="27">
        <f>Ft!B$3*EXP(Ft!B$38*($A24-Ft!B$2)^2) +Ft!C$3*EXP(Ft!C$38*($A24-Ft!C$2)^2) + Ft!D$3*EXP(Ft!D$38*($A24-Ft!D$2)^2)+Ft!E$3*EXP(Ft!E$38*($A24-Ft!E$2)^2) +Ft!F$3*EXP(Ft!F$38*($A24-Ft!F$2)^2) + Ft!G$3*EXP(Ft!G$38*($A24-Ft!G$2)^2)</f>
        <v>200.53665235110111</v>
      </c>
      <c r="E24" s="27">
        <f>Ft!B$3*EXP(Ft!B$38*($A24-Ft!B$2)^2)</f>
        <v>156.91873151052079</v>
      </c>
      <c r="F24" s="27">
        <f>Ft!C$3*EXP(Ft!C$38*($A24-Ft!C$2)^2)</f>
        <v>23.913699430535218</v>
      </c>
      <c r="G24" s="27">
        <f>Ft!D$3*EXP(Ft!D$38*($A24-Ft!D$2)^2)</f>
        <v>1.8638146016552692E-51</v>
      </c>
      <c r="H24" s="27">
        <f>Ft!E$3*EXP(Ft!E$38*($A24-Ft!E$2)^2)</f>
        <v>3.2751075205423965</v>
      </c>
      <c r="I24" s="27">
        <f>Ft!F$3*EXP(Ft!F$38*($A24-Ft!F$2)^2)</f>
        <v>4.8455853023021787</v>
      </c>
      <c r="J24" s="27">
        <f>Ft!G$3*EXP(Ft!G$38*($A24-Ft!G$2)^2)</f>
        <v>11.583528587200524</v>
      </c>
    </row>
    <row r="25" spans="1:10">
      <c r="A25" s="20">
        <v>23</v>
      </c>
      <c r="B25" s="29">
        <v>1.2893384630175149</v>
      </c>
      <c r="C25" s="28">
        <f ca="1">OFFSET($B25,1*(ROWS(C$2:C25)-1),0)</f>
        <v>2.7603583577131872</v>
      </c>
      <c r="D25" s="27">
        <f>Ft!B$3*EXP(Ft!B$38*($A25-Ft!B$2)^2) +Ft!C$3*EXP(Ft!C$38*($A25-Ft!C$2)^2) + Ft!D$3*EXP(Ft!D$38*($A25-Ft!D$2)^2)+Ft!E$3*EXP(Ft!E$38*($A25-Ft!E$2)^2) +Ft!F$3*EXP(Ft!F$38*($A25-Ft!F$2)^2) + Ft!G$3*EXP(Ft!G$38*($A25-Ft!G$2)^2)</f>
        <v>200.55732402177529</v>
      </c>
      <c r="E25" s="27">
        <f>Ft!B$3*EXP(Ft!B$38*($A25-Ft!B$2)^2)</f>
        <v>156.73592600635197</v>
      </c>
      <c r="F25" s="27">
        <f>Ft!C$3*EXP(Ft!C$38*($A25-Ft!C$2)^2)</f>
        <v>23.960211711507828</v>
      </c>
      <c r="G25" s="27">
        <f>Ft!D$3*EXP(Ft!D$38*($A25-Ft!D$2)^2)</f>
        <v>3.2904767829197826E-51</v>
      </c>
      <c r="H25" s="27">
        <f>Ft!E$3*EXP(Ft!E$38*($A25-Ft!E$2)^2)</f>
        <v>3.3083815192430901</v>
      </c>
      <c r="I25" s="27">
        <f>Ft!F$3*EXP(Ft!F$38*($A25-Ft!F$2)^2)</f>
        <v>4.8687025554546155</v>
      </c>
      <c r="J25" s="27">
        <f>Ft!G$3*EXP(Ft!G$38*($A25-Ft!G$2)^2)</f>
        <v>11.684102229217794</v>
      </c>
    </row>
    <row r="26" spans="1:10">
      <c r="A26" s="20">
        <v>24</v>
      </c>
      <c r="B26" s="29">
        <v>1.3300808917291249</v>
      </c>
      <c r="C26" s="28">
        <f ca="1">OFFSET($B26,1*(ROWS(C$2:C26)-1),0)</f>
        <v>2.9508699050124108</v>
      </c>
      <c r="D26" s="27">
        <f>Ft!B$3*EXP(Ft!B$38*($A26-Ft!B$2)^2) +Ft!C$3*EXP(Ft!C$38*($A26-Ft!C$2)^2) + Ft!D$3*EXP(Ft!D$38*($A26-Ft!D$2)^2)+Ft!E$3*EXP(Ft!E$38*($A26-Ft!E$2)^2) +Ft!F$3*EXP(Ft!F$38*($A26-Ft!F$2)^2) + Ft!G$3*EXP(Ft!G$38*($A26-Ft!G$2)^2)</f>
        <v>200.57845026125548</v>
      </c>
      <c r="E26" s="27">
        <f>Ft!B$3*EXP(Ft!B$38*($A26-Ft!B$2)^2)</f>
        <v>156.55258644339426</v>
      </c>
      <c r="F26" s="27">
        <f>Ft!C$3*EXP(Ft!C$38*($A26-Ft!C$2)^2)</f>
        <v>24.006761429495931</v>
      </c>
      <c r="G26" s="27">
        <f>Ft!D$3*EXP(Ft!D$38*($A26-Ft!D$2)^2)</f>
        <v>5.8011750923963823E-51</v>
      </c>
      <c r="H26" s="27">
        <f>Ft!E$3*EXP(Ft!E$38*($A26-Ft!E$2)^2)</f>
        <v>3.3419451276434544</v>
      </c>
      <c r="I26" s="27">
        <f>Ft!F$3*EXP(Ft!F$38*($A26-Ft!F$2)^2)</f>
        <v>4.8919139889092689</v>
      </c>
      <c r="J26" s="27">
        <f>Ft!G$3*EXP(Ft!G$38*($A26-Ft!G$2)^2)</f>
        <v>11.785243271812602</v>
      </c>
    </row>
    <row r="27" spans="1:10">
      <c r="A27" s="20">
        <v>25</v>
      </c>
      <c r="B27" s="29">
        <v>1.361703555709596</v>
      </c>
      <c r="C27" s="28">
        <f ca="1">OFFSET($B27,1*(ROWS(C$2:C27)-1),0)</f>
        <v>3.1501615817441859</v>
      </c>
      <c r="D27" s="27">
        <f>Ft!B$3*EXP(Ft!B$38*($A27-Ft!B$2)^2) +Ft!C$3*EXP(Ft!C$38*($A27-Ft!C$2)^2) + Ft!D$3*EXP(Ft!D$38*($A27-Ft!D$2)^2)+Ft!E$3*EXP(Ft!E$38*($A27-Ft!E$2)^2) +Ft!F$3*EXP(Ft!F$38*($A27-Ft!F$2)^2) + Ft!G$3*EXP(Ft!G$38*($A27-Ft!G$2)^2)</f>
        <v>200.60003520548733</v>
      </c>
      <c r="E27" s="27">
        <f>Ft!B$3*EXP(Ft!B$38*($A27-Ft!B$2)^2)</f>
        <v>156.36871519500531</v>
      </c>
      <c r="F27" s="27">
        <f>Ft!C$3*EXP(Ft!C$38*($A27-Ft!C$2)^2)</f>
        <v>24.053348451380963</v>
      </c>
      <c r="G27" s="27">
        <f>Ft!D$3*EXP(Ft!D$38*($A27-Ft!D$2)^2)</f>
        <v>1.0213489299197046E-50</v>
      </c>
      <c r="H27" s="27">
        <f>Ft!E$3*EXP(Ft!E$38*($A27-Ft!E$2)^2)</f>
        <v>3.3758003058795802</v>
      </c>
      <c r="I27" s="27">
        <f>Ft!F$3*EXP(Ft!F$38*($A27-Ft!F$2)^2)</f>
        <v>4.9152198984522961</v>
      </c>
      <c r="J27" s="27">
        <f>Ft!G$3*EXP(Ft!G$38*($A27-Ft!G$2)^2)</f>
        <v>11.88695135476916</v>
      </c>
    </row>
    <row r="28" spans="1:10">
      <c r="A28" s="20">
        <v>26</v>
      </c>
      <c r="B28" s="29">
        <v>1.4050154910238746</v>
      </c>
      <c r="C28" s="28">
        <f ca="1">OFFSET($B28,1*(ROWS(C$2:C28)-1),0)</f>
        <v>3.3243625965870365</v>
      </c>
      <c r="D28" s="27">
        <f>Ft!B$3*EXP(Ft!B$38*($A28-Ft!B$2)^2) +Ft!C$3*EXP(Ft!C$38*($A28-Ft!C$2)^2) + Ft!D$3*EXP(Ft!D$38*($A28-Ft!D$2)^2)+Ft!E$3*EXP(Ft!E$38*($A28-Ft!E$2)^2) +Ft!F$3*EXP(Ft!F$38*($A28-Ft!F$2)^2) + Ft!G$3*EXP(Ft!G$38*($A28-Ft!G$2)^2)</f>
        <v>200.62208295489057</v>
      </c>
      <c r="E28" s="27">
        <f>Ft!B$3*EXP(Ft!B$38*($A28-Ft!B$2)^2)</f>
        <v>156.18431463936764</v>
      </c>
      <c r="F28" s="27">
        <f>Ft!C$3*EXP(Ft!C$38*($A28-Ft!C$2)^2)</f>
        <v>24.099972643538429</v>
      </c>
      <c r="G28" s="27">
        <f>Ft!D$3*EXP(Ft!D$38*($A28-Ft!D$2)^2)</f>
        <v>1.7956981059377765E-50</v>
      </c>
      <c r="H28" s="27">
        <f>Ft!E$3*EXP(Ft!E$38*($A28-Ft!E$2)^2)</f>
        <v>3.4099490212154859</v>
      </c>
      <c r="I28" s="27">
        <f>Ft!F$3*EXP(Ft!F$38*($A28-Ft!F$2)^2)</f>
        <v>4.938620580344093</v>
      </c>
      <c r="J28" s="27">
        <f>Ft!G$3*EXP(Ft!G$38*($A28-Ft!G$2)^2)</f>
        <v>11.989226070424934</v>
      </c>
    </row>
    <row r="29" spans="1:10">
      <c r="A29" s="20">
        <v>27</v>
      </c>
      <c r="B29" s="29">
        <v>1.4238662720605078</v>
      </c>
      <c r="C29" s="28">
        <f ca="1">OFFSET($B29,1*(ROWS(C$2:C29)-1),0)</f>
        <v>3.5637574580262026</v>
      </c>
      <c r="D29" s="27">
        <f>Ft!B$3*EXP(Ft!B$38*($A29-Ft!B$2)^2) +Ft!C$3*EXP(Ft!C$38*($A29-Ft!C$2)^2) + Ft!D$3*EXP(Ft!D$38*($A29-Ft!D$2)^2)+Ft!E$3*EXP(Ft!E$38*($A29-Ft!E$2)^2) +Ft!F$3*EXP(Ft!F$38*($A29-Ft!F$2)^2) + Ft!G$3*EXP(Ft!G$38*($A29-Ft!G$2)^2)</f>
        <v>200.64459757389744</v>
      </c>
      <c r="E29" s="27">
        <f>Ft!B$3*EXP(Ft!B$38*($A29-Ft!B$2)^2)</f>
        <v>155.99938715943736</v>
      </c>
      <c r="F29" s="27">
        <f>Ft!C$3*EXP(Ft!C$38*($A29-Ft!C$2)^2)</f>
        <v>24.146633871838112</v>
      </c>
      <c r="G29" s="27">
        <f>Ft!D$3*EXP(Ft!D$38*($A29-Ft!D$2)^2)</f>
        <v>3.1527790258581776E-50</v>
      </c>
      <c r="H29" s="27">
        <f>Ft!E$3*EXP(Ft!E$38*($A29-Ft!E$2)^2)</f>
        <v>3.444393248000686</v>
      </c>
      <c r="I29" s="27">
        <f>Ft!F$3*EXP(Ft!F$38*($A29-Ft!F$2)^2)</f>
        <v>4.9621163313176222</v>
      </c>
      <c r="J29" s="27">
        <f>Ft!G$3*EXP(Ft!G$38*($A29-Ft!G$2)^2)</f>
        <v>12.092066963303671</v>
      </c>
    </row>
    <row r="30" spans="1:10">
      <c r="A30" s="20">
        <v>28</v>
      </c>
      <c r="B30" s="29">
        <v>1.4492486361786519</v>
      </c>
      <c r="C30" s="28">
        <f ca="1">OFFSET($B30,1*(ROWS(C$2:C30)-1),0)</f>
        <v>3.8172766562090885</v>
      </c>
      <c r="D30" s="27">
        <f>Ft!B$3*EXP(Ft!B$38*($A30-Ft!B$2)^2) +Ft!C$3*EXP(Ft!C$38*($A30-Ft!C$2)^2) + Ft!D$3*EXP(Ft!D$38*($A30-Ft!D$2)^2)+Ft!E$3*EXP(Ft!E$38*($A30-Ft!E$2)^2) +Ft!F$3*EXP(Ft!F$38*($A30-Ft!F$2)^2) + Ft!G$3*EXP(Ft!G$38*($A30-Ft!G$2)^2)</f>
        <v>200.66758309049271</v>
      </c>
      <c r="E30" s="27">
        <f>Ft!B$3*EXP(Ft!B$38*($A30-Ft!B$2)^2)</f>
        <v>155.81393514289337</v>
      </c>
      <c r="F30" s="27">
        <f>Ft!C$3*EXP(Ft!C$38*($A30-Ft!C$2)^2)</f>
        <v>24.19333200164429</v>
      </c>
      <c r="G30" s="27">
        <f>Ft!D$3*EXP(Ft!D$38*($A30-Ft!D$2)^2)</f>
        <v>5.527831070041534E-50</v>
      </c>
      <c r="H30" s="27">
        <f>Ft!E$3*EXP(Ft!E$38*($A30-Ft!E$2)^2)</f>
        <v>3.4791349676268193</v>
      </c>
      <c r="I30" s="27">
        <f>Ft!F$3*EXP(Ft!F$38*($A30-Ft!F$2)^2)</f>
        <v>4.9857074485767523</v>
      </c>
      <c r="J30" s="27">
        <f>Ft!G$3*EXP(Ft!G$38*($A30-Ft!G$2)^2)</f>
        <v>12.195473529751501</v>
      </c>
    </row>
    <row r="31" spans="1:10">
      <c r="A31" s="20">
        <v>29</v>
      </c>
      <c r="B31" s="29">
        <v>1.4828855934443652</v>
      </c>
      <c r="C31" s="28">
        <f ca="1">OFFSET($B31,1*(ROWS(C$2:C31)-1),0)</f>
        <v>4.0635912179145635</v>
      </c>
      <c r="D31" s="27">
        <f>Ft!B$3*EXP(Ft!B$38*($A31-Ft!B$2)^2) +Ft!C$3*EXP(Ft!C$38*($A31-Ft!C$2)^2) + Ft!D$3*EXP(Ft!D$38*($A31-Ft!D$2)^2)+Ft!E$3*EXP(Ft!E$38*($A31-Ft!E$2)^2) +Ft!F$3*EXP(Ft!F$38*($A31-Ft!F$2)^2) + Ft!G$3*EXP(Ft!G$38*($A31-Ft!G$2)^2)</f>
        <v>200.69104349575605</v>
      </c>
      <c r="E31" s="27">
        <f>Ft!B$3*EXP(Ft!B$38*($A31-Ft!B$2)^2)</f>
        <v>155.62796098208602</v>
      </c>
      <c r="F31" s="27">
        <f>Ft!C$3*EXP(Ft!C$38*($A31-Ft!C$2)^2)</f>
        <v>24.240066897815932</v>
      </c>
      <c r="G31" s="27">
        <f>Ft!D$3*EXP(Ft!D$38*($A31-Ft!D$2)^2)</f>
        <v>9.6786996771502044E-50</v>
      </c>
      <c r="H31" s="27">
        <f>Ft!E$3*EXP(Ft!E$38*($A31-Ft!E$2)^2)</f>
        <v>3.5141761684833166</v>
      </c>
      <c r="I31" s="27">
        <f>Ft!F$3*EXP(Ft!F$38*($A31-Ft!F$2)^2)</f>
        <v>5.0093942297945802</v>
      </c>
      <c r="J31" s="27">
        <f>Ft!G$3*EXP(Ft!G$38*($A31-Ft!G$2)^2)</f>
        <v>12.299445217576185</v>
      </c>
    </row>
    <row r="32" spans="1:10">
      <c r="A32" s="20">
        <v>30</v>
      </c>
      <c r="B32" s="29">
        <v>1.5368713877024049</v>
      </c>
      <c r="C32" s="28">
        <f ca="1">OFFSET($B32,1*(ROWS(C$2:C32)-1),0)</f>
        <v>4.2823507860106531</v>
      </c>
      <c r="D32" s="27">
        <f>Ft!B$3*EXP(Ft!B$38*($A32-Ft!B$2)^2) +Ft!C$3*EXP(Ft!C$38*($A32-Ft!C$2)^2) + Ft!D$3*EXP(Ft!D$38*($A32-Ft!D$2)^2)+Ft!E$3*EXP(Ft!E$38*($A32-Ft!E$2)^2) +Ft!F$3*EXP(Ft!F$38*($A32-Ft!F$2)^2) + Ft!G$3*EXP(Ft!G$38*($A32-Ft!G$2)^2)</f>
        <v>200.7149827434063</v>
      </c>
      <c r="E32" s="27">
        <f>Ft!B$3*EXP(Ft!B$38*($A32-Ft!B$2)^2)</f>
        <v>155.44146707398596</v>
      </c>
      <c r="F32" s="27">
        <f>Ft!C$3*EXP(Ft!C$38*($A32-Ft!C$2)^2)</f>
        <v>24.286838424706922</v>
      </c>
      <c r="G32" s="27">
        <f>Ft!D$3*EXP(Ft!D$38*($A32-Ft!D$2)^2)</f>
        <v>1.6923114298041336E-49</v>
      </c>
      <c r="H32" s="27">
        <f>Ft!E$3*EXP(Ft!E$38*($A32-Ft!E$2)^2)</f>
        <v>3.5495188459121119</v>
      </c>
      <c r="I32" s="27">
        <f>Ft!F$3*EXP(Ft!F$38*($A32-Ft!F$2)^2)</f>
        <v>5.0331769731117122</v>
      </c>
      <c r="J32" s="27">
        <f>Ft!G$3*EXP(Ft!G$38*($A32-Ft!G$2)^2)</f>
        <v>12.403981425689581</v>
      </c>
    </row>
    <row r="33" spans="1:10">
      <c r="A33" s="20">
        <v>31</v>
      </c>
      <c r="B33" s="29">
        <v>1.5834185676403081</v>
      </c>
      <c r="C33" s="28">
        <f ca="1">OFFSET($B33,1*(ROWS(C$2:C33)-1),0)</f>
        <v>4.5695920522557572</v>
      </c>
      <c r="D33" s="27">
        <f>Ft!B$3*EXP(Ft!B$38*($A33-Ft!B$2)^2) +Ft!C$3*EXP(Ft!C$38*($A33-Ft!C$2)^2) + Ft!D$3*EXP(Ft!D$38*($A33-Ft!D$2)^2)+Ft!E$3*EXP(Ft!E$38*($A33-Ft!E$2)^2) +Ft!F$3*EXP(Ft!F$38*($A33-Ft!F$2)^2) + Ft!G$3*EXP(Ft!G$38*($A33-Ft!G$2)^2)</f>
        <v>200.73940474934878</v>
      </c>
      <c r="E33" s="27">
        <f>Ft!B$3*EXP(Ft!B$38*($A33-Ft!B$2)^2)</f>
        <v>155.25445582013305</v>
      </c>
      <c r="F33" s="27">
        <f>Ft!C$3*EXP(Ft!C$38*($A33-Ft!C$2)^2)</f>
        <v>24.333646446166291</v>
      </c>
      <c r="G33" s="27">
        <f>Ft!D$3*EXP(Ft!D$38*($A33-Ft!D$2)^2)</f>
        <v>2.9549122118923848E-49</v>
      </c>
      <c r="H33" s="27">
        <f>Ft!E$3*EXP(Ft!E$38*($A33-Ft!E$2)^2)</f>
        <v>3.5851650021613977</v>
      </c>
      <c r="I33" s="27">
        <f>Ft!F$3*EXP(Ft!F$38*($A33-Ft!F$2)^2)</f>
        <v>5.0570559771345858</v>
      </c>
      <c r="J33" s="27">
        <f>Ft!G$3*EXP(Ft!G$38*($A33-Ft!G$2)^2)</f>
        <v>12.509081503753475</v>
      </c>
    </row>
    <row r="34" spans="1:10">
      <c r="A34" s="20">
        <v>32</v>
      </c>
      <c r="B34" s="29">
        <v>1.6308469684382203</v>
      </c>
      <c r="C34" s="28">
        <f ca="1">OFFSET($B34,1*(ROWS(C$2:C34)-1),0)</f>
        <v>4.7505049174518774</v>
      </c>
      <c r="D34" s="27">
        <f>Ft!B$3*EXP(Ft!B$38*($A34-Ft!B$2)^2) +Ft!C$3*EXP(Ft!C$38*($A34-Ft!C$2)^2) + Ft!D$3*EXP(Ft!D$38*($A34-Ft!D$2)^2)+Ft!E$3*EXP(Ft!E$38*($A34-Ft!E$2)^2) +Ft!F$3*EXP(Ft!F$38*($A34-Ft!F$2)^2) + Ft!G$3*EXP(Ft!G$38*($A34-Ft!G$2)^2)</f>
        <v>200.76431339122414</v>
      </c>
      <c r="E34" s="27">
        <f>Ft!B$3*EXP(Ft!B$38*($A34-Ft!B$2)^2)</f>
        <v>155.06692962658482</v>
      </c>
      <c r="F34" s="27">
        <f>Ft!C$3*EXP(Ft!C$38*($A34-Ft!C$2)^2)</f>
        <v>24.38049082553843</v>
      </c>
      <c r="G34" s="27">
        <f>Ft!D$3*EXP(Ft!D$38*($A34-Ft!D$2)^2)</f>
        <v>5.152403894605443E-49</v>
      </c>
      <c r="H34" s="27">
        <f>Ft!E$3*EXP(Ft!E$38*($A34-Ft!E$2)^2)</f>
        <v>3.6211166463384004</v>
      </c>
      <c r="I34" s="27">
        <f>Ft!F$3*EXP(Ft!F$38*($A34-Ft!F$2)^2)</f>
        <v>5.0810315409336972</v>
      </c>
      <c r="J34" s="27">
        <f>Ft!G$3*EXP(Ft!G$38*($A34-Ft!G$2)^2)</f>
        <v>12.614744751828766</v>
      </c>
    </row>
    <row r="35" spans="1:10">
      <c r="A35" s="20">
        <v>33</v>
      </c>
      <c r="B35" s="29">
        <v>1.6962694846097008</v>
      </c>
      <c r="C35" s="28">
        <f ca="1">OFFSET($B35,1*(ROWS(C$2:C35)-1),0)</f>
        <v>4.9867759017905087</v>
      </c>
      <c r="D35" s="27">
        <f>Ft!B$3*EXP(Ft!B$38*($A35-Ft!B$2)^2) +Ft!C$3*EXP(Ft!C$38*($A35-Ft!C$2)^2) + Ft!D$3*EXP(Ft!D$38*($A35-Ft!D$2)^2)+Ft!E$3*EXP(Ft!E$38*($A35-Ft!E$2)^2) +Ft!F$3*EXP(Ft!F$38*($A35-Ft!F$2)^2) + Ft!G$3*EXP(Ft!G$38*($A35-Ft!G$2)^2)</f>
        <v>200.78971250795996</v>
      </c>
      <c r="E35" s="27">
        <f>Ft!B$3*EXP(Ft!B$38*($A35-Ft!B$2)^2)</f>
        <v>154.87889090386537</v>
      </c>
      <c r="F35" s="27">
        <f>Ft!C$3*EXP(Ft!C$38*($A35-Ft!C$2)^2)</f>
        <v>24.427371425663342</v>
      </c>
      <c r="G35" s="27">
        <f>Ft!D$3*EXP(Ft!D$38*($A35-Ft!D$2)^2)</f>
        <v>8.971730895652429E-49</v>
      </c>
      <c r="H35" s="27">
        <f>Ft!E$3*EXP(Ft!E$38*($A35-Ft!E$2)^2)</f>
        <v>3.6573757943612022</v>
      </c>
      <c r="I35" s="27">
        <f>Ft!F$3*EXP(Ft!F$38*($A35-Ft!F$2)^2)</f>
        <v>5.1051039640418807</v>
      </c>
      <c r="J35" s="27">
        <f>Ft!G$3*EXP(Ft!G$38*($A35-Ft!G$2)^2)</f>
        <v>12.720970420028154</v>
      </c>
    </row>
    <row r="36" spans="1:10">
      <c r="A36" s="20">
        <v>34</v>
      </c>
      <c r="B36" s="29">
        <v>1.8202667496568665</v>
      </c>
      <c r="C36" s="28">
        <f ca="1">OFFSET($B36,1*(ROWS(C$2:C36)-1),0)</f>
        <v>5.2369768814498627</v>
      </c>
      <c r="D36" s="27">
        <f>Ft!B$3*EXP(Ft!B$38*($A36-Ft!B$2)^2) +Ft!C$3*EXP(Ft!C$38*($A36-Ft!C$2)^2) + Ft!D$3*EXP(Ft!D$38*($A36-Ft!D$2)^2)+Ft!E$3*EXP(Ft!E$38*($A36-Ft!E$2)^2) +Ft!F$3*EXP(Ft!F$38*($A36-Ft!F$2)^2) + Ft!G$3*EXP(Ft!G$38*($A36-Ft!G$2)^2)</f>
        <v>200.81560589932519</v>
      </c>
      <c r="E36" s="27">
        <f>Ft!B$3*EXP(Ft!B$38*($A36-Ft!B$2)^2)</f>
        <v>154.69034206691381</v>
      </c>
      <c r="F36" s="27">
        <f>Ft!C$3*EXP(Ft!C$38*($A36-Ft!C$2)^2)</f>
        <v>24.474288108876873</v>
      </c>
      <c r="G36" s="27">
        <f>Ft!D$3*EXP(Ft!D$38*($A36-Ft!D$2)^2)</f>
        <v>1.5600682527456873E-48</v>
      </c>
      <c r="H36" s="27">
        <f>Ft!E$3*EXP(Ft!E$38*($A36-Ft!E$2)^2)</f>
        <v>3.693944468909554</v>
      </c>
      <c r="I36" s="27">
        <f>Ft!F$3*EXP(Ft!F$38*($A36-Ft!F$2)^2)</f>
        <v>5.1292735464525494</v>
      </c>
      <c r="J36" s="27">
        <f>Ft!G$3*EXP(Ft!G$38*($A36-Ft!G$2)^2)</f>
        <v>12.827757708172401</v>
      </c>
    </row>
    <row r="37" spans="1:10">
      <c r="A37" s="20">
        <v>35</v>
      </c>
      <c r="B37" s="29">
        <v>1.9172634496794103</v>
      </c>
      <c r="C37" s="28">
        <f ca="1">OFFSET($B37,1*(ROWS(C$2:C37)-1),0)</f>
        <v>5.5561225587664183</v>
      </c>
      <c r="D37" s="27">
        <f>Ft!B$3*EXP(Ft!B$38*($A37-Ft!B$2)^2) +Ft!C$3*EXP(Ft!C$38*($A37-Ft!C$2)^2) + Ft!D$3*EXP(Ft!D$38*($A37-Ft!D$2)^2)+Ft!E$3*EXP(Ft!E$38*($A37-Ft!E$2)^2) +Ft!F$3*EXP(Ft!F$38*($A37-Ft!F$2)^2) + Ft!G$3*EXP(Ft!G$38*($A37-Ft!G$2)^2)</f>
        <v>200.84199732548689</v>
      </c>
      <c r="E37" s="27">
        <f>Ft!B$3*EXP(Ft!B$38*($A37-Ft!B$2)^2)</f>
        <v>154.50128553503305</v>
      </c>
      <c r="F37" s="27">
        <f>Ft!C$3*EXP(Ft!C$38*($A37-Ft!C$2)^2)</f>
        <v>24.52124073701097</v>
      </c>
      <c r="G37" s="27">
        <f>Ft!D$3*EXP(Ft!D$38*($A37-Ft!D$2)^2)</f>
        <v>2.7090185655627166E-48</v>
      </c>
      <c r="H37" s="27">
        <f>Ft!E$3*EXP(Ft!E$38*($A37-Ft!E$2)^2)</f>
        <v>3.7308246993747254</v>
      </c>
      <c r="I37" s="27">
        <f>Ft!F$3*EXP(Ft!F$38*($A37-Ft!F$2)^2)</f>
        <v>5.1535405886178953</v>
      </c>
      <c r="J37" s="27">
        <f>Ft!G$3*EXP(Ft!G$38*($A37-Ft!G$2)^2)</f>
        <v>12.93510576545026</v>
      </c>
    </row>
    <row r="38" spans="1:10">
      <c r="A38" s="20">
        <v>36</v>
      </c>
      <c r="B38" s="29">
        <v>2.0200351726556391</v>
      </c>
      <c r="C38" s="28">
        <f ca="1">OFFSET($B38,1*(ROWS(C$2:C38)-1),0)</f>
        <v>5.8714795976146945</v>
      </c>
      <c r="D38" s="27">
        <f>Ft!B$3*EXP(Ft!B$38*($A38-Ft!B$2)^2) +Ft!C$3*EXP(Ft!C$38*($A38-Ft!C$2)^2) + Ft!D$3*EXP(Ft!D$38*($A38-Ft!D$2)^2)+Ft!E$3*EXP(Ft!E$38*($A38-Ft!E$2)^2) +Ft!F$3*EXP(Ft!F$38*($A38-Ft!F$2)^2) + Ft!G$3*EXP(Ft!G$38*($A38-Ft!G$2)^2)</f>
        <v>200.86889050656964</v>
      </c>
      <c r="E38" s="27">
        <f>Ft!B$3*EXP(Ft!B$38*($A38-Ft!B$2)^2)</f>
        <v>154.31172373183813</v>
      </c>
      <c r="F38" s="27">
        <f>Ft!C$3*EXP(Ft!C$38*($A38-Ft!C$2)^2)</f>
        <v>24.568229171393927</v>
      </c>
      <c r="G38" s="27">
        <f>Ft!D$3*EXP(Ft!D$38*($A38-Ft!D$2)^2)</f>
        <v>4.6976578857542951E-48</v>
      </c>
      <c r="H38" s="27">
        <f>Ft!E$3*EXP(Ft!E$38*($A38-Ft!E$2)^2)</f>
        <v>3.7680185218083606</v>
      </c>
      <c r="I38" s="27">
        <f>Ft!F$3*EXP(Ft!F$38*($A38-Ft!F$2)^2)</f>
        <v>5.177905391447112</v>
      </c>
      <c r="J38" s="27">
        <f>Ft!G$3*EXP(Ft!G$38*($A38-Ft!G$2)^2)</f>
        <v>13.043013690082097</v>
      </c>
    </row>
    <row r="39" spans="1:10">
      <c r="A39" s="20">
        <v>37</v>
      </c>
      <c r="B39" s="29">
        <v>2.1161167334557831</v>
      </c>
      <c r="C39" s="28">
        <f ca="1">OFFSET($B39,1*(ROWS(C$2:C39)-1),0)</f>
        <v>6.178612119866159</v>
      </c>
      <c r="D39" s="27">
        <f>Ft!B$3*EXP(Ft!B$38*($A39-Ft!B$2)^2) +Ft!C$3*EXP(Ft!C$38*($A39-Ft!C$2)^2) + Ft!D$3*EXP(Ft!D$38*($A39-Ft!D$2)^2)+Ft!E$3*EXP(Ft!E$38*($A39-Ft!E$2)^2) +Ft!F$3*EXP(Ft!F$38*($A39-Ft!F$2)^2) + Ft!G$3*EXP(Ft!G$38*($A39-Ft!G$2)^2)</f>
        <v>200.89628912221778</v>
      </c>
      <c r="E39" s="27">
        <f>Ft!B$3*EXP(Ft!B$38*($A39-Ft!B$2)^2)</f>
        <v>154.12165908520484</v>
      </c>
      <c r="F39" s="27">
        <f>Ft!C$3*EXP(Ft!C$38*($A39-Ft!C$2)^2)</f>
        <v>24.615253272850648</v>
      </c>
      <c r="G39" s="27">
        <f>Ft!D$3*EXP(Ft!D$38*($A39-Ft!D$2)^2)</f>
        <v>8.134892368819524E-48</v>
      </c>
      <c r="H39" s="27">
        <f>Ft!E$3*EXP(Ft!E$38*($A39-Ft!E$2)^2)</f>
        <v>3.8055279788703325</v>
      </c>
      <c r="I39" s="27">
        <f>Ft!F$3*EXP(Ft!F$38*($A39-Ft!F$2)^2)</f>
        <v>5.202368256304581</v>
      </c>
      <c r="J39" s="27">
        <f>Ft!G$3*EXP(Ft!G$38*($A39-Ft!G$2)^2)</f>
        <v>13.151480528987381</v>
      </c>
    </row>
    <row r="40" spans="1:10">
      <c r="A40" s="20">
        <v>38</v>
      </c>
      <c r="B40" s="29">
        <v>2.2068991824084492</v>
      </c>
      <c r="C40" s="28">
        <f ca="1">OFFSET($B40,1*(ROWS(C$2:C40)-1),0)</f>
        <v>6.4864274404777689</v>
      </c>
      <c r="D40" s="27">
        <f>Ft!B$3*EXP(Ft!B$38*($A40-Ft!B$2)^2) +Ft!C$3*EXP(Ft!C$38*($A40-Ft!C$2)^2) + Ft!D$3*EXP(Ft!D$38*($A40-Ft!D$2)^2)+Ft!E$3*EXP(Ft!E$38*($A40-Ft!E$2)^2) +Ft!F$3*EXP(Ft!F$38*($A40-Ft!F$2)^2) + Ft!G$3*EXP(Ft!G$38*($A40-Ft!G$2)^2)</f>
        <v>200.92419681116078</v>
      </c>
      <c r="E40" s="27">
        <f>Ft!B$3*EXP(Ft!B$38*($A40-Ft!B$2)^2)</f>
        <v>153.93109402721814</v>
      </c>
      <c r="F40" s="27">
        <f>Ft!C$3*EXP(Ft!C$38*($A40-Ft!C$2)^2)</f>
        <v>24.662312901702919</v>
      </c>
      <c r="G40" s="27">
        <f>Ft!D$3*EXP(Ft!D$38*($A40-Ft!D$2)^2)</f>
        <v>1.4067705202792364E-47</v>
      </c>
      <c r="H40" s="27">
        <f>Ft!E$3*EXP(Ft!E$38*($A40-Ft!E$2)^2)</f>
        <v>3.8433551197755937</v>
      </c>
      <c r="I40" s="27">
        <f>Ft!F$3*EXP(Ft!F$38*($A40-Ft!F$2)^2)</f>
        <v>5.2269294850080428</v>
      </c>
      <c r="J40" s="27">
        <f>Ft!G$3*EXP(Ft!G$38*($A40-Ft!G$2)^2)</f>
        <v>13.260505277456069</v>
      </c>
    </row>
    <row r="41" spans="1:10">
      <c r="A41" s="20">
        <v>39</v>
      </c>
      <c r="B41" s="29">
        <v>2.2952077843763732</v>
      </c>
      <c r="C41" s="28">
        <f ca="1">OFFSET($B41,1*(ROWS(C$2:C41)-1),0)</f>
        <v>6.7686960378715071</v>
      </c>
      <c r="D41" s="27">
        <f>Ft!B$3*EXP(Ft!B$38*($A41-Ft!B$2)^2) +Ft!C$3*EXP(Ft!C$38*($A41-Ft!C$2)^2) + Ft!D$3*EXP(Ft!D$38*($A41-Ft!D$2)^2)+Ft!E$3*EXP(Ft!E$38*($A41-Ft!E$2)^2) +Ft!F$3*EXP(Ft!F$38*($A41-Ft!F$2)^2) + Ft!G$3*EXP(Ft!G$38*($A41-Ft!G$2)^2)</f>
        <v>200.95261717078097</v>
      </c>
      <c r="E41" s="27">
        <f>Ft!B$3*EXP(Ft!B$38*($A41-Ft!B$2)^2)</f>
        <v>153.74003099412059</v>
      </c>
      <c r="F41" s="27">
        <f>Ft!C$3*EXP(Ft!C$38*($A41-Ft!C$2)^2)</f>
        <v>24.709407917769667</v>
      </c>
      <c r="G41" s="27">
        <f>Ft!D$3*EXP(Ft!D$38*($A41-Ft!D$2)^2)</f>
        <v>2.429381546077539E-47</v>
      </c>
      <c r="H41" s="27">
        <f>Ft!E$3*EXP(Ft!E$38*($A41-Ft!E$2)^2)</f>
        <v>3.8815020002400291</v>
      </c>
      <c r="I41" s="27">
        <f>Ft!F$3*EXP(Ft!F$38*($A41-Ft!F$2)^2)</f>
        <v>5.2515893798267541</v>
      </c>
      <c r="J41" s="27">
        <f>Ft!G$3*EXP(Ft!G$38*($A41-Ft!G$2)^2)</f>
        <v>13.370086878823948</v>
      </c>
    </row>
    <row r="42" spans="1:10">
      <c r="A42" s="20">
        <v>40</v>
      </c>
      <c r="B42" s="29">
        <v>2.371052613505924</v>
      </c>
      <c r="C42" s="28">
        <f ca="1">OFFSET($B42,1*(ROWS(C$2:C42)-1),0)</f>
        <v>7.0641778348127104</v>
      </c>
      <c r="D42" s="27">
        <f>Ft!B$3*EXP(Ft!B$38*($A42-Ft!B$2)^2) +Ft!C$3*EXP(Ft!C$38*($A42-Ft!C$2)^2) + Ft!D$3*EXP(Ft!D$38*($A42-Ft!D$2)^2)+Ft!E$3*EXP(Ft!E$38*($A42-Ft!E$2)^2) +Ft!F$3*EXP(Ft!F$38*($A42-Ft!F$2)^2) + Ft!G$3*EXP(Ft!G$38*($A42-Ft!G$2)^2)</f>
        <v>200.98155375668497</v>
      </c>
      <c r="E42" s="27">
        <f>Ft!B$3*EXP(Ft!B$38*($A42-Ft!B$2)^2)</f>
        <v>153.5484724262607</v>
      </c>
      <c r="F42" s="27">
        <f>Ft!C$3*EXP(Ft!C$38*($A42-Ft!C$2)^2)</f>
        <v>24.756538180367244</v>
      </c>
      <c r="G42" s="27">
        <f>Ft!D$3*EXP(Ft!D$38*($A42-Ft!D$2)^2)</f>
        <v>4.1895677644335931E-47</v>
      </c>
      <c r="H42" s="27">
        <f>Ft!E$3*EXP(Ft!E$38*($A42-Ft!E$2)^2)</f>
        <v>3.9199706824252925</v>
      </c>
      <c r="I42" s="27">
        <f>Ft!F$3*EXP(Ft!F$38*($A42-Ft!F$2)^2)</f>
        <v>5.2763482434796325</v>
      </c>
      <c r="J42" s="27">
        <f>Ft!G$3*EXP(Ft!G$38*($A42-Ft!G$2)^2)</f>
        <v>13.480224224152094</v>
      </c>
    </row>
    <row r="43" spans="1:10">
      <c r="A43" s="20">
        <v>41</v>
      </c>
      <c r="B43" s="29">
        <v>2.4336054109384122</v>
      </c>
      <c r="C43" s="28">
        <f ca="1">OFFSET($B43,1*(ROWS(C$2:C43)-1),0)</f>
        <v>7.3964267172944176</v>
      </c>
      <c r="D43" s="27">
        <f>Ft!B$3*EXP(Ft!B$38*($A43-Ft!B$2)^2) +Ft!C$3*EXP(Ft!C$38*($A43-Ft!C$2)^2) + Ft!D$3*EXP(Ft!D$38*($A43-Ft!D$2)^2)+Ft!E$3*EXP(Ft!E$38*($A43-Ft!E$2)^2) +Ft!F$3*EXP(Ft!F$38*($A43-Ft!F$2)^2) + Ft!G$3*EXP(Ft!G$38*($A43-Ft!G$2)^2)</f>
        <v>201.01101008227769</v>
      </c>
      <c r="E43" s="27">
        <f>Ft!B$3*EXP(Ft!B$38*($A43-Ft!B$2)^2)</f>
        <v>153.35642076804149</v>
      </c>
      <c r="F43" s="27">
        <f>Ft!C$3*EXP(Ft!C$38*($A43-Ft!C$2)^2)</f>
        <v>24.803703548309727</v>
      </c>
      <c r="G43" s="27">
        <f>Ft!D$3*EXP(Ft!D$38*($A43-Ft!D$2)^2)</f>
        <v>7.2151228854245317E-47</v>
      </c>
      <c r="H43" s="27">
        <f>Ft!E$3*EXP(Ft!E$38*($A43-Ft!E$2)^2)</f>
        <v>3.9587632348826181</v>
      </c>
      <c r="I43" s="27">
        <f>Ft!F$3*EXP(Ft!F$38*($A43-Ft!F$2)^2)</f>
        <v>5.3012063791333768</v>
      </c>
      <c r="J43" s="27">
        <f>Ft!G$3*EXP(Ft!G$38*($A43-Ft!G$2)^2)</f>
        <v>13.590916151910466</v>
      </c>
    </row>
    <row r="44" spans="1:10">
      <c r="A44" s="20">
        <v>42</v>
      </c>
      <c r="B44" s="29">
        <v>2.4958820834738162</v>
      </c>
      <c r="C44" s="28">
        <f ca="1">OFFSET($B44,1*(ROWS(C$2:C44)-1),0)</f>
        <v>7.7141521591006494</v>
      </c>
      <c r="D44" s="27">
        <f>Ft!B$3*EXP(Ft!B$38*($A44-Ft!B$2)^2) +Ft!C$3*EXP(Ft!C$38*($A44-Ft!C$2)^2) + Ft!D$3*EXP(Ft!D$38*($A44-Ft!D$2)^2)+Ft!E$3*EXP(Ft!E$38*($A44-Ft!E$2)^2) +Ft!F$3*EXP(Ft!F$38*($A44-Ft!F$2)^2) + Ft!G$3*EXP(Ft!G$38*($A44-Ft!G$2)^2)</f>
        <v>201.04098961833955</v>
      </c>
      <c r="E44" s="27">
        <f>Ft!B$3*EXP(Ft!B$38*($A44-Ft!B$2)^2)</f>
        <v>153.16387846786841</v>
      </c>
      <c r="F44" s="27">
        <f>Ft!C$3*EXP(Ft!C$38*($A44-Ft!C$2)^2)</f>
        <v>24.850903879909183</v>
      </c>
      <c r="G44" s="27">
        <f>Ft!D$3*EXP(Ft!D$38*($A44-Ft!D$2)^2)</f>
        <v>1.2408499482335083E-46</v>
      </c>
      <c r="H44" s="27">
        <f>Ft!E$3*EXP(Ft!E$38*($A44-Ft!E$2)^2)</f>
        <v>3.9978817324956251</v>
      </c>
      <c r="I44" s="27">
        <f>Ft!F$3*EXP(Ft!F$38*($A44-Ft!F$2)^2)</f>
        <v>5.3261640904005851</v>
      </c>
      <c r="J44" s="27">
        <f>Ft!G$3*EXP(Ft!G$38*($A44-Ft!G$2)^2)</f>
        <v>13.702161447665743</v>
      </c>
    </row>
    <row r="45" spans="1:10">
      <c r="A45" s="20">
        <v>43</v>
      </c>
      <c r="B45" s="29">
        <v>2.5252779718411205</v>
      </c>
      <c r="C45" s="28">
        <f ca="1">OFFSET($B45,1*(ROWS(C$2:C45)-1),0)</f>
        <v>7.992637002132966</v>
      </c>
      <c r="D45" s="27">
        <f>Ft!B$3*EXP(Ft!B$38*($A45-Ft!B$2)^2) +Ft!C$3*EXP(Ft!C$38*($A45-Ft!C$2)^2) + Ft!D$3*EXP(Ft!D$38*($A45-Ft!D$2)^2)+Ft!E$3*EXP(Ft!E$38*($A45-Ft!E$2)^2) +Ft!F$3*EXP(Ft!F$38*($A45-Ft!F$2)^2) + Ft!G$3*EXP(Ft!G$38*($A45-Ft!G$2)^2)</f>
        <v>201.07149579260741</v>
      </c>
      <c r="E45" s="27">
        <f>Ft!B$3*EXP(Ft!B$38*($A45-Ft!B$2)^2)</f>
        <v>152.97084797809805</v>
      </c>
      <c r="F45" s="27">
        <f>Ft!C$3*EXP(Ft!C$38*($A45-Ft!C$2)^2)</f>
        <v>24.898139032975994</v>
      </c>
      <c r="G45" s="27">
        <f>Ft!D$3*EXP(Ft!D$38*($A45-Ft!D$2)^2)</f>
        <v>2.1310607160016279E-46</v>
      </c>
      <c r="H45" s="27">
        <f>Ft!E$3*EXP(Ft!E$38*($A45-Ft!E$2)^2)</f>
        <v>4.0373282564220823</v>
      </c>
      <c r="I45" s="27">
        <f>Ft!F$3*EXP(Ft!F$38*($A45-Ft!F$2)^2)</f>
        <v>5.3512216813378313</v>
      </c>
      <c r="J45" s="27">
        <f>Ft!G$3*EXP(Ft!G$38*($A45-Ft!G$2)^2)</f>
        <v>13.813958843773472</v>
      </c>
    </row>
    <row r="46" spans="1:10">
      <c r="A46" s="20">
        <v>44</v>
      </c>
      <c r="B46" s="29">
        <v>2.5921188377053568</v>
      </c>
      <c r="C46" s="28">
        <f ca="1">OFFSET($B46,1*(ROWS(C$2:C46)-1),0)</f>
        <v>8.2469018850756015</v>
      </c>
      <c r="D46" s="27">
        <f>Ft!B$3*EXP(Ft!B$38*($A46-Ft!B$2)^2) +Ft!C$3*EXP(Ft!C$38*($A46-Ft!C$2)^2) + Ft!D$3*EXP(Ft!D$38*($A46-Ft!D$2)^2)+Ft!E$3*EXP(Ft!E$38*($A46-Ft!E$2)^2) +Ft!F$3*EXP(Ft!F$38*($A46-Ft!F$2)^2) + Ft!G$3*EXP(Ft!G$38*($A46-Ft!G$2)^2)</f>
        <v>201.10253198935837</v>
      </c>
      <c r="E46" s="27">
        <f>Ft!B$3*EXP(Ft!B$38*($A46-Ft!B$2)^2)</f>
        <v>152.77733175498616</v>
      </c>
      <c r="F46" s="27">
        <f>Ft!C$3*EXP(Ft!C$38*($A46-Ft!C$2)^2)</f>
        <v>24.945408864819122</v>
      </c>
      <c r="G46" s="27">
        <f>Ft!D$3*EXP(Ft!D$38*($A46-Ft!D$2)^2)</f>
        <v>3.6548823493509761E-46</v>
      </c>
      <c r="H46" s="27">
        <f>Ft!E$3*EXP(Ft!E$38*($A46-Ft!E$2)^2)</f>
        <v>4.0771048940346368</v>
      </c>
      <c r="I46" s="27">
        <f>Ft!F$3*EXP(Ft!F$38*($A46-Ft!F$2)^2)</f>
        <v>5.3763794564437584</v>
      </c>
      <c r="J46" s="27">
        <f>Ft!G$3*EXP(Ft!G$38*($A46-Ft!G$2)^2)</f>
        <v>13.92630701907467</v>
      </c>
    </row>
    <row r="47" spans="1:10">
      <c r="A47" s="20">
        <v>45</v>
      </c>
      <c r="B47" s="29">
        <v>2.6680189673701591</v>
      </c>
      <c r="C47" s="28">
        <f ca="1">OFFSET($B47,1*(ROWS(C$2:C47)-1),0)</f>
        <v>8.5076102389976427</v>
      </c>
      <c r="D47" s="27">
        <f>Ft!B$3*EXP(Ft!B$38*($A47-Ft!B$2)^2) +Ft!C$3*EXP(Ft!C$38*($A47-Ft!C$2)^2) + Ft!D$3*EXP(Ft!D$38*($A47-Ft!D$2)^2)+Ft!E$3*EXP(Ft!E$38*($A47-Ft!E$2)^2) +Ft!F$3*EXP(Ft!F$38*($A47-Ft!F$2)^2) + Ft!G$3*EXP(Ft!G$38*($A47-Ft!G$2)^2)</f>
        <v>201.13410154899691</v>
      </c>
      <c r="E47" s="27">
        <f>Ft!B$3*EXP(Ft!B$38*($A47-Ft!B$2)^2)</f>
        <v>152.58333225863595</v>
      </c>
      <c r="F47" s="27">
        <f>Ft!C$3*EXP(Ft!C$38*($A47-Ft!C$2)^2)</f>
        <v>24.992713232246448</v>
      </c>
      <c r="G47" s="27">
        <f>Ft!D$3*EXP(Ft!D$38*($A47-Ft!D$2)^2)</f>
        <v>6.2596781159059082E-46</v>
      </c>
      <c r="H47" s="27">
        <f>Ft!E$3*EXP(Ft!E$38*($A47-Ft!E$2)^2)</f>
        <v>4.1172137388605261</v>
      </c>
      <c r="I47" s="27">
        <f>Ft!F$3*EXP(Ft!F$38*($A47-Ft!F$2)^2)</f>
        <v>5.4016377206571304</v>
      </c>
      <c r="J47" s="27">
        <f>Ft!G$3*EXP(Ft!G$38*($A47-Ft!G$2)^2)</f>
        <v>14.039204598596868</v>
      </c>
    </row>
    <row r="48" spans="1:10">
      <c r="A48" s="20">
        <v>46</v>
      </c>
      <c r="B48" s="29">
        <v>2.7603583577131872</v>
      </c>
      <c r="C48" s="28">
        <f ca="1">OFFSET($B48,1*(ROWS(C$2:C48)-1),0)</f>
        <v>8.7885767445847591</v>
      </c>
      <c r="D48" s="27">
        <f>Ft!B$3*EXP(Ft!B$38*($A48-Ft!B$2)^2) +Ft!C$3*EXP(Ft!C$38*($A48-Ft!C$2)^2) + Ft!D$3*EXP(Ft!D$38*($A48-Ft!D$2)^2)+Ft!E$3*EXP(Ft!E$38*($A48-Ft!E$2)^2) +Ft!F$3*EXP(Ft!F$38*($A48-Ft!F$2)^2) + Ft!G$3*EXP(Ft!G$38*($A48-Ft!G$2)^2)</f>
        <v>201.1662077676462</v>
      </c>
      <c r="E48" s="27">
        <f>Ft!B$3*EXP(Ft!B$38*($A48-Ft!B$2)^2)</f>
        <v>152.38885195294625</v>
      </c>
      <c r="F48" s="27">
        <f>Ft!C$3*EXP(Ft!C$38*($A48-Ft!C$2)^2)</f>
        <v>25.04005199156509</v>
      </c>
      <c r="G48" s="27">
        <f>Ft!D$3*EXP(Ft!D$38*($A48-Ft!D$2)^2)</f>
        <v>1.0706108079480367E-45</v>
      </c>
      <c r="H48" s="27">
        <f>Ft!E$3*EXP(Ft!E$38*($A48-Ft!E$2)^2)</f>
        <v>4.1576568905202249</v>
      </c>
      <c r="I48" s="27">
        <f>Ft!F$3*EXP(Ft!F$38*($A48-Ft!F$2)^2)</f>
        <v>5.4269967793548703</v>
      </c>
      <c r="J48" s="27">
        <f>Ft!G$3*EXP(Ft!G$38*($A48-Ft!G$2)^2)</f>
        <v>14.152650153259744</v>
      </c>
    </row>
    <row r="49" spans="1:10">
      <c r="A49" s="20">
        <v>47</v>
      </c>
      <c r="B49" s="29">
        <v>2.8621251566917181</v>
      </c>
      <c r="C49" s="28">
        <f ca="1">OFFSET($B49,1*(ROWS(C$2:C49)-1),0)</f>
        <v>9.1133830614483031</v>
      </c>
      <c r="D49" s="27">
        <f>Ft!B$3*EXP(Ft!B$38*($A49-Ft!B$2)^2) +Ft!C$3*EXP(Ft!C$38*($A49-Ft!C$2)^2) + Ft!D$3*EXP(Ft!D$38*($A49-Ft!D$2)^2)+Ft!E$3*EXP(Ft!E$38*($A49-Ft!E$2)^2) +Ft!F$3*EXP(Ft!F$38*($A49-Ft!F$2)^2) + Ft!G$3*EXP(Ft!G$38*($A49-Ft!G$2)^2)</f>
        <v>201.19885389674209</v>
      </c>
      <c r="E49" s="27">
        <f>Ft!B$3*EXP(Ft!B$38*($A49-Ft!B$2)^2)</f>
        <v>152.19389330555981</v>
      </c>
      <c r="F49" s="27">
        <f>Ft!C$3*EXP(Ft!C$38*($A49-Ft!C$2)^2)</f>
        <v>25.087424998581707</v>
      </c>
      <c r="G49" s="27">
        <f>Ft!D$3*EXP(Ft!D$38*($A49-Ft!D$2)^2)</f>
        <v>1.8285728484184126E-45</v>
      </c>
      <c r="H49" s="27">
        <f>Ft!E$3*EXP(Ft!E$38*($A49-Ft!E$2)^2)</f>
        <v>4.1984364546650399</v>
      </c>
      <c r="I49" s="27">
        <f>Ft!F$3*EXP(Ft!F$38*($A49-Ft!F$2)^2)</f>
        <v>5.4524569383500996</v>
      </c>
      <c r="J49" s="27">
        <f>Ft!G$3*EXP(Ft!G$38*($A49-Ft!G$2)^2)</f>
        <v>14.266642199585444</v>
      </c>
    </row>
    <row r="50" spans="1:10">
      <c r="A50" s="20">
        <v>48</v>
      </c>
      <c r="B50" s="29">
        <v>2.9508699050124108</v>
      </c>
      <c r="C50" s="28">
        <f ca="1">OFFSET($B50,1*(ROWS(C$2:C50)-1),0)</f>
        <v>9.4320488532431455</v>
      </c>
      <c r="D50" s="27">
        <f>Ft!B$3*EXP(Ft!B$38*($A50-Ft!B$2)^2) +Ft!C$3*EXP(Ft!C$38*($A50-Ft!C$2)^2) + Ft!D$3*EXP(Ft!D$38*($A50-Ft!D$2)^2)+Ft!E$3*EXP(Ft!E$38*($A50-Ft!E$2)^2) +Ft!F$3*EXP(Ft!F$38*($A50-Ft!F$2)^2) + Ft!G$3*EXP(Ft!G$38*($A50-Ft!G$2)^2)</f>
        <v>201.2320431426316</v>
      </c>
      <c r="E50" s="27">
        <f>Ft!B$3*EXP(Ft!B$38*($A50-Ft!B$2)^2)</f>
        <v>151.99845878781133</v>
      </c>
      <c r="F50" s="27">
        <f>Ft!C$3*EXP(Ft!C$38*($A50-Ft!C$2)^2)</f>
        <v>25.134832108602826</v>
      </c>
      <c r="G50" s="27">
        <f>Ft!D$3*EXP(Ft!D$38*($A50-Ft!D$2)^2)</f>
        <v>3.1188460080990162E-45</v>
      </c>
      <c r="H50" s="27">
        <f>Ft!E$3*EXP(Ft!E$38*($A50-Ft!E$2)^2)</f>
        <v>4.23955454291369</v>
      </c>
      <c r="I50" s="27">
        <f>Ft!F$3*EXP(Ft!F$38*($A50-Ft!F$2)^2)</f>
        <v>5.4780185038901426</v>
      </c>
      <c r="J50" s="27">
        <f>Ft!G$3*EXP(Ft!G$38*($A50-Ft!G$2)^2)</f>
        <v>14.381179199413591</v>
      </c>
    </row>
    <row r="51" spans="1:10">
      <c r="A51" s="20">
        <v>49</v>
      </c>
      <c r="B51" s="29">
        <v>3.0509638103258112</v>
      </c>
      <c r="C51" s="28">
        <f ca="1">OFFSET($B51,1*(ROWS(C$2:C51)-1),0)</f>
        <v>9.7876246534981419</v>
      </c>
      <c r="D51" s="27">
        <f>Ft!B$3*EXP(Ft!B$38*($A51-Ft!B$2)^2) +Ft!C$3*EXP(Ft!C$38*($A51-Ft!C$2)^2) + Ft!D$3*EXP(Ft!D$38*($A51-Ft!D$2)^2)+Ft!E$3*EXP(Ft!E$38*($A51-Ft!E$2)^2) +Ft!F$3*EXP(Ft!F$38*($A51-Ft!F$2)^2) + Ft!G$3*EXP(Ft!G$38*($A51-Ft!G$2)^2)</f>
        <v>201.2657786661743</v>
      </c>
      <c r="E51" s="27">
        <f>Ft!B$3*EXP(Ft!B$38*($A51-Ft!B$2)^2)</f>
        <v>151.80255087467563</v>
      </c>
      <c r="F51" s="27">
        <f>Ft!C$3*EXP(Ft!C$38*($A51-Ft!C$2)^2)</f>
        <v>25.182273176435189</v>
      </c>
      <c r="G51" s="27">
        <f>Ft!D$3*EXP(Ft!D$38*($A51-Ft!D$2)^2)</f>
        <v>5.3122269310573264E-45</v>
      </c>
      <c r="H51" s="27">
        <f>Ft!E$3*EXP(Ft!E$38*($A51-Ft!E$2)^2)</f>
        <v>4.2810132727877814</v>
      </c>
      <c r="I51" s="27">
        <f>Ft!F$3*EXP(Ft!F$38*($A51-Ft!F$2)^2)</f>
        <v>5.5036817826545175</v>
      </c>
      <c r="J51" s="27">
        <f>Ft!G$3*EXP(Ft!G$38*($A51-Ft!G$2)^2)</f>
        <v>14.496259559621175</v>
      </c>
    </row>
    <row r="52" spans="1:10">
      <c r="A52" s="20">
        <v>50</v>
      </c>
      <c r="B52" s="29">
        <v>3.1501615817441859</v>
      </c>
      <c r="C52" s="28">
        <f ca="1">OFFSET($B52,1*(ROWS(C$2:C52)-1),0)</f>
        <v>10.099000759053354</v>
      </c>
      <c r="D52" s="27">
        <f>Ft!B$3*EXP(Ft!B$38*($A52-Ft!B$2)^2) +Ft!C$3*EXP(Ft!C$38*($A52-Ft!C$2)^2) + Ft!D$3*EXP(Ft!D$38*($A52-Ft!D$2)^2)+Ft!E$3*EXP(Ft!E$38*($A52-Ft!E$2)^2) +Ft!F$3*EXP(Ft!F$38*($A52-Ft!F$2)^2) + Ft!G$3*EXP(Ft!G$38*($A52-Ft!G$2)^2)</f>
        <v>201.3000635823484</v>
      </c>
      <c r="E52" s="27">
        <f>Ft!B$3*EXP(Ft!B$38*($A52-Ft!B$2)^2)</f>
        <v>151.60617204471586</v>
      </c>
      <c r="F52" s="27">
        <f>Ft!C$3*EXP(Ft!C$38*($A52-Ft!C$2)^2)</f>
        <v>25.229748056386082</v>
      </c>
      <c r="G52" s="27">
        <f>Ft!D$3*EXP(Ft!D$38*($A52-Ft!D$2)^2)</f>
        <v>9.0356693090666348E-45</v>
      </c>
      <c r="H52" s="27">
        <f>Ft!E$3*EXP(Ft!E$38*($A52-Ft!E$2)^2)</f>
        <v>4.3228147676462489</v>
      </c>
      <c r="I52" s="27">
        <f>Ft!F$3*EXP(Ft!F$38*($A52-Ft!F$2)^2)</f>
        <v>5.5294470817529202</v>
      </c>
      <c r="J52" s="27">
        <f>Ft!G$3*EXP(Ft!G$38*($A52-Ft!G$2)^2)</f>
        <v>14.611881631847295</v>
      </c>
    </row>
    <row r="53" spans="1:10">
      <c r="A53" s="20">
        <v>51</v>
      </c>
      <c r="B53" s="29">
        <v>3.227246970057422</v>
      </c>
      <c r="C53" s="28">
        <f ca="1">OFFSET($B53,1*(ROWS(C$2:C53)-1),0)</f>
        <v>10.439505247681268</v>
      </c>
      <c r="D53" s="27">
        <f>Ft!B$3*EXP(Ft!B$38*($A53-Ft!B$2)^2) +Ft!C$3*EXP(Ft!C$38*($A53-Ft!C$2)^2) + Ft!D$3*EXP(Ft!D$38*($A53-Ft!D$2)^2)+Ft!E$3*EXP(Ft!E$38*($A53-Ft!E$2)^2) +Ft!F$3*EXP(Ft!F$38*($A53-Ft!F$2)^2) + Ft!G$3*EXP(Ft!G$38*($A53-Ft!G$2)^2)</f>
        <v>201.33490095986005</v>
      </c>
      <c r="E53" s="27">
        <f>Ft!B$3*EXP(Ft!B$38*($A53-Ft!B$2)^2)</f>
        <v>151.40932478003148</v>
      </c>
      <c r="F53" s="27">
        <f>Ft!C$3*EXP(Ft!C$38*($A53-Ft!C$2)^2)</f>
        <v>25.277256602263687</v>
      </c>
      <c r="G53" s="27">
        <f>Ft!D$3*EXP(Ft!D$38*($A53-Ft!D$2)^2)</f>
        <v>1.5347762097571584E-44</v>
      </c>
      <c r="H53" s="27">
        <f>Ft!E$3*EXP(Ft!E$38*($A53-Ft!E$2)^2)</f>
        <v>4.3649611566187314</v>
      </c>
      <c r="I53" s="27">
        <f>Ft!F$3*EXP(Ft!F$38*($A53-Ft!F$2)^2)</f>
        <v>5.5553147087231798</v>
      </c>
      <c r="J53" s="27">
        <f>Ft!G$3*EXP(Ft!G$38*($A53-Ft!G$2)^2)</f>
        <v>14.728043712222965</v>
      </c>
    </row>
    <row r="54" spans="1:10">
      <c r="A54" s="20">
        <v>52</v>
      </c>
      <c r="B54" s="29">
        <v>3.3243625965870365</v>
      </c>
      <c r="C54" s="28">
        <f ca="1">OFFSET($B54,1*(ROWS(C$2:C54)-1),0)</f>
        <v>10.802473385059983</v>
      </c>
      <c r="D54" s="27">
        <f>Ft!B$3*EXP(Ft!B$38*($A54-Ft!B$2)^2) +Ft!C$3*EXP(Ft!C$38*($A54-Ft!C$2)^2) + Ft!D$3*EXP(Ft!D$38*($A54-Ft!D$2)^2)+Ft!E$3*EXP(Ft!E$38*($A54-Ft!E$2)^2) +Ft!F$3*EXP(Ft!F$38*($A54-Ft!F$2)^2) + Ft!G$3*EXP(Ft!G$38*($A54-Ft!G$2)^2)</f>
        <v>201.37029382075676</v>
      </c>
      <c r="E54" s="27">
        <f>Ft!B$3*EXP(Ft!B$38*($A54-Ft!B$2)^2)</f>
        <v>151.21201156620637</v>
      </c>
      <c r="F54" s="27">
        <f>Ft!C$3*EXP(Ft!C$38*($A54-Ft!C$2)^2)</f>
        <v>25.324798667377433</v>
      </c>
      <c r="G54" s="27">
        <f>Ft!D$3*EXP(Ft!D$38*($A54-Ft!D$2)^2)</f>
        <v>2.6033395189226118E-44</v>
      </c>
      <c r="H54" s="27">
        <f>Ft!E$3*EXP(Ft!E$38*($A54-Ft!E$2)^2)</f>
        <v>4.4074545745378648</v>
      </c>
      <c r="I54" s="27">
        <f>Ft!F$3*EXP(Ft!F$38*($A54-Ft!F$2)^2)</f>
        <v>5.5812849715292039</v>
      </c>
      <c r="J54" s="27">
        <f>Ft!G$3*EXP(Ft!G$38*($A54-Ft!G$2)^2)</f>
        <v>14.844744041105884</v>
      </c>
    </row>
    <row r="55" spans="1:10">
      <c r="A55" s="20">
        <v>53</v>
      </c>
      <c r="B55" s="29">
        <v>3.43401787253012</v>
      </c>
      <c r="C55" s="28">
        <f ca="1">OFFSET($B55,1*(ROWS(C$2:C55)-1),0)</f>
        <v>11.163340480703027</v>
      </c>
      <c r="D55" s="27">
        <f>Ft!B$3*EXP(Ft!B$38*($A55-Ft!B$2)^2) +Ft!C$3*EXP(Ft!C$38*($A55-Ft!C$2)^2) + Ft!D$3*EXP(Ft!D$38*($A55-Ft!D$2)^2)+Ft!E$3*EXP(Ft!E$38*($A55-Ft!E$2)^2) +Ft!F$3*EXP(Ft!F$38*($A55-Ft!F$2)^2) + Ft!G$3*EXP(Ft!G$38*($A55-Ft!G$2)^2)</f>
        <v>201.40624514004517</v>
      </c>
      <c r="E55" s="27">
        <f>Ft!B$3*EXP(Ft!B$38*($A55-Ft!B$2)^2)</f>
        <v>151.01423489225695</v>
      </c>
      <c r="F55" s="27">
        <f>Ft!C$3*EXP(Ft!C$38*($A55-Ft!C$2)^2)</f>
        <v>25.372374104538352</v>
      </c>
      <c r="G55" s="27">
        <f>Ft!D$3*EXP(Ft!D$38*($A55-Ft!D$2)^2)</f>
        <v>4.4097867194418297E-44</v>
      </c>
      <c r="H55" s="27">
        <f>Ft!E$3*EXP(Ft!E$38*($A55-Ft!E$2)^2)</f>
        <v>4.4502971618704921</v>
      </c>
      <c r="I55" s="27">
        <f>Ft!F$3*EXP(Ft!F$38*($A55-Ft!F$2)^2)</f>
        <v>5.6073581785589175</v>
      </c>
      <c r="J55" s="27">
        <f>Ft!G$3*EXP(Ft!G$38*($A55-Ft!G$2)^2)</f>
        <v>14.961980802820479</v>
      </c>
    </row>
    <row r="56" spans="1:10">
      <c r="A56" s="20">
        <v>54</v>
      </c>
      <c r="B56" s="29">
        <v>3.5637574580262026</v>
      </c>
      <c r="C56" s="28">
        <f ca="1">OFFSET($B56,1*(ROWS(C$2:C56)-1),0)</f>
        <v>11.52182957950356</v>
      </c>
      <c r="D56" s="27">
        <f>Ft!B$3*EXP(Ft!B$38*($A56-Ft!B$2)^2) +Ft!C$3*EXP(Ft!C$38*($A56-Ft!C$2)^2) + Ft!D$3*EXP(Ft!D$38*($A56-Ft!D$2)^2)+Ft!E$3*EXP(Ft!E$38*($A56-Ft!E$2)^2) +Ft!F$3*EXP(Ft!F$38*($A56-Ft!F$2)^2) + Ft!G$3*EXP(Ft!G$38*($A56-Ft!G$2)^2)</f>
        <v>201.44275784531266</v>
      </c>
      <c r="E56" s="27">
        <f>Ft!B$3*EXP(Ft!B$38*($A56-Ft!B$2)^2)</f>
        <v>150.81599725058015</v>
      </c>
      <c r="F56" s="27">
        <f>Ft!C$3*EXP(Ft!C$38*($A56-Ft!C$2)^2)</f>
        <v>25.419982766059441</v>
      </c>
      <c r="G56" s="27">
        <f>Ft!D$3*EXP(Ft!D$38*($A56-Ft!D$2)^2)</f>
        <v>7.4594255046682129E-44</v>
      </c>
      <c r="H56" s="27">
        <f>Ft!E$3*EXP(Ft!E$38*($A56-Ft!E$2)^2)</f>
        <v>4.4934910646478174</v>
      </c>
      <c r="I56" s="27">
        <f>Ft!F$3*EXP(Ft!F$38*($A56-Ft!F$2)^2)</f>
        <v>5.633534638622157</v>
      </c>
      <c r="J56" s="27">
        <f>Ft!G$3*EXP(Ft!G$38*($A56-Ft!G$2)^2)</f>
        <v>15.079752125403088</v>
      </c>
    </row>
    <row r="57" spans="1:10">
      <c r="A57" s="20">
        <v>55</v>
      </c>
      <c r="B57" s="29">
        <v>3.6903880591168274</v>
      </c>
      <c r="C57" s="28">
        <f ca="1">OFFSET($B57,1*(ROWS(C$2:C57)-1),0)</f>
        <v>11.896485039986999</v>
      </c>
      <c r="D57" s="27">
        <f>Ft!B$3*EXP(Ft!B$38*($A57-Ft!B$2)^2) +Ft!C$3*EXP(Ft!C$38*($A57-Ft!C$2)^2) + Ft!D$3*EXP(Ft!D$38*($A57-Ft!D$2)^2)+Ft!E$3*EXP(Ft!E$38*($A57-Ft!E$2)^2) +Ft!F$3*EXP(Ft!F$38*($A57-Ft!F$2)^2) + Ft!G$3*EXP(Ft!G$38*($A57-Ft!G$2)^2)</f>
        <v>201.47983481635308</v>
      </c>
      <c r="E57" s="27">
        <f>Ft!B$3*EXP(Ft!B$38*($A57-Ft!B$2)^2)</f>
        <v>150.61730113690152</v>
      </c>
      <c r="F57" s="27">
        <f>Ft!C$3*EXP(Ft!C$38*($A57-Ft!C$2)^2)</f>
        <v>25.467624503756038</v>
      </c>
      <c r="G57" s="27">
        <f>Ft!D$3*EXP(Ft!D$38*($A57-Ft!D$2)^2)</f>
        <v>1.2600686273325401E-43</v>
      </c>
      <c r="H57" s="27">
        <f>Ft!E$3*EXP(Ft!E$38*($A57-Ft!E$2)^2)</f>
        <v>4.5370384343944608</v>
      </c>
      <c r="I57" s="27">
        <f>Ft!F$3*EXP(Ft!F$38*($A57-Ft!F$2)^2)</f>
        <v>5.659814660948566</v>
      </c>
      <c r="J57" s="27">
        <f>Ft!G$3*EXP(Ft!G$38*($A57-Ft!G$2)^2)</f>
        <v>15.19805608035251</v>
      </c>
    </row>
    <row r="58" spans="1:10">
      <c r="A58" s="20">
        <v>56</v>
      </c>
      <c r="B58" s="29">
        <v>3.8172766562090885</v>
      </c>
      <c r="C58" s="28">
        <f ca="1">OFFSET($B58,1*(ROWS(C$2:C58)-1),0)</f>
        <v>12.230686157111478</v>
      </c>
      <c r="D58" s="27">
        <f>Ft!B$3*EXP(Ft!B$38*($A58-Ft!B$2)^2) +Ft!C$3*EXP(Ft!C$38*($A58-Ft!C$2)^2) + Ft!D$3*EXP(Ft!D$38*($A58-Ft!D$2)^2)+Ft!E$3*EXP(Ft!E$38*($A58-Ft!E$2)^2) +Ft!F$3*EXP(Ft!F$38*($A58-Ft!F$2)^2) + Ft!G$3*EXP(Ft!G$38*($A58-Ft!G$2)^2)</f>
        <v>201.51747888479727</v>
      </c>
      <c r="E58" s="27">
        <f>Ft!B$3*EXP(Ft!B$38*($A58-Ft!B$2)^2)</f>
        <v>150.41814905022324</v>
      </c>
      <c r="F58" s="27">
        <f>Ft!C$3*EXP(Ft!C$38*($A58-Ft!C$2)^2)</f>
        <v>25.515299168946189</v>
      </c>
      <c r="G58" s="27">
        <f>Ft!D$3*EXP(Ft!D$38*($A58-Ft!D$2)^2)</f>
        <v>2.1256122206840964E-43</v>
      </c>
      <c r="H58" s="27">
        <f>Ft!E$3*EXP(Ft!E$38*($A58-Ft!E$2)^2)</f>
        <v>4.5809414280564118</v>
      </c>
      <c r="I58" s="27">
        <f>Ft!F$3*EXP(Ft!F$38*($A58-Ft!F$2)^2)</f>
        <v>5.686198555185495</v>
      </c>
      <c r="J58" s="27">
        <f>Ft!G$3*EXP(Ft!G$38*($A58-Ft!G$2)^2)</f>
        <v>15.316890682385944</v>
      </c>
    </row>
    <row r="59" spans="1:10">
      <c r="A59" s="20">
        <v>57</v>
      </c>
      <c r="B59" s="29">
        <v>3.9466178352534484</v>
      </c>
      <c r="C59" s="28">
        <f ca="1">OFFSET($B59,1*(ROWS(C$2:C59)-1),0)</f>
        <v>12.610685455559974</v>
      </c>
      <c r="D59" s="27">
        <f>Ft!B$3*EXP(Ft!B$38*($A59-Ft!B$2)^2) +Ft!C$3*EXP(Ft!C$38*($A59-Ft!C$2)^2) + Ft!D$3*EXP(Ft!D$38*($A59-Ft!D$2)^2)+Ft!E$3*EXP(Ft!E$38*($A59-Ft!E$2)^2) +Ft!F$3*EXP(Ft!F$38*($A59-Ft!F$2)^2) + Ft!G$3*EXP(Ft!G$38*($A59-Ft!G$2)^2)</f>
        <v>201.55569283374729</v>
      </c>
      <c r="E59" s="27">
        <f>Ft!B$3*EXP(Ft!B$38*($A59-Ft!B$2)^2)</f>
        <v>150.21854349277208</v>
      </c>
      <c r="F59" s="27">
        <f>Ft!C$3*EXP(Ft!C$38*($A59-Ft!C$2)^2)</f>
        <v>25.563006612451058</v>
      </c>
      <c r="G59" s="27">
        <f>Ft!D$3*EXP(Ft!D$38*($A59-Ft!D$2)^2)</f>
        <v>3.5807574115525467E-43</v>
      </c>
      <c r="H59" s="27">
        <f>Ft!E$3*EXP(Ft!E$38*($A59-Ft!E$2)^2)</f>
        <v>4.6252022079279209</v>
      </c>
      <c r="I59" s="27">
        <f>Ft!F$3*EXP(Ft!F$38*($A59-Ft!F$2)^2)</f>
        <v>5.7126866313958358</v>
      </c>
      <c r="J59" s="27">
        <f>Ft!G$3*EXP(Ft!G$38*($A59-Ft!G$2)^2)</f>
        <v>15.43625388920039</v>
      </c>
    </row>
    <row r="60" spans="1:10">
      <c r="A60" s="20">
        <v>58</v>
      </c>
      <c r="B60" s="29">
        <v>4.0635912179145635</v>
      </c>
      <c r="C60" s="28">
        <f ca="1">OFFSET($B60,1*(ROWS(C$2:C60)-1),0)</f>
        <v>12.96845858955993</v>
      </c>
      <c r="D60" s="27">
        <f>Ft!B$3*EXP(Ft!B$38*($A60-Ft!B$2)^2) +Ft!C$3*EXP(Ft!C$38*($A60-Ft!C$2)^2) + Ft!D$3*EXP(Ft!D$38*($A60-Ft!D$2)^2)+Ft!E$3*EXP(Ft!E$38*($A60-Ft!E$2)^2) +Ft!F$3*EXP(Ft!F$38*($A60-Ft!F$2)^2) + Ft!G$3*EXP(Ft!G$38*($A60-Ft!G$2)^2)</f>
        <v>201.59447939741557</v>
      </c>
      <c r="E60" s="27">
        <f>Ft!B$3*EXP(Ft!B$38*($A60-Ft!B$2)^2)</f>
        <v>150.0184869699475</v>
      </c>
      <c r="F60" s="27">
        <f>Ft!C$3*EXP(Ft!C$38*($A60-Ft!C$2)^2)</f>
        <v>25.610746684595281</v>
      </c>
      <c r="G60" s="27">
        <f>Ft!D$3*EXP(Ft!D$38*($A60-Ft!D$2)^2)</f>
        <v>6.0237478252326235E-43</v>
      </c>
      <c r="H60" s="27">
        <f>Ft!E$3*EXP(Ft!E$38*($A60-Ft!E$2)^2)</f>
        <v>4.6698229415772605</v>
      </c>
      <c r="I60" s="27">
        <f>Ft!F$3*EXP(Ft!F$38*($A60-Ft!F$2)^2)</f>
        <v>5.7392792000558757</v>
      </c>
      <c r="J60" s="27">
        <f>Ft!G$3*EXP(Ft!G$38*($A60-Ft!G$2)^2)</f>
        <v>15.556143601239642</v>
      </c>
    </row>
    <row r="61" spans="1:10">
      <c r="A61" s="20">
        <v>59</v>
      </c>
      <c r="B61" s="29">
        <v>4.1554433538397859</v>
      </c>
      <c r="C61" s="28">
        <f ca="1">OFFSET($B61,1*(ROWS(C$2:C61)-1),0)</f>
        <v>13.328736845980472</v>
      </c>
      <c r="D61" s="27">
        <f>Ft!B$3*EXP(Ft!B$38*($A61-Ft!B$2)^2) +Ft!C$3*EXP(Ft!C$38*($A61-Ft!C$2)^2) + Ft!D$3*EXP(Ft!D$38*($A61-Ft!D$2)^2)+Ft!E$3*EXP(Ft!E$38*($A61-Ft!E$2)^2) +Ft!F$3*EXP(Ft!F$38*($A61-Ft!F$2)^2) + Ft!G$3*EXP(Ft!G$38*($A61-Ft!G$2)^2)</f>
        <v>201.63384126076829</v>
      </c>
      <c r="E61" s="27">
        <f>Ft!B$3*EXP(Ft!B$38*($A61-Ft!B$2)^2)</f>
        <v>149.81798199026954</v>
      </c>
      <c r="F61" s="27">
        <f>Ft!C$3*EXP(Ft!C$38*($A61-Ft!C$2)^2)</f>
        <v>25.658519235207372</v>
      </c>
      <c r="G61" s="27">
        <f>Ft!D$3*EXP(Ft!D$38*($A61-Ft!D$2)^2)</f>
        <v>1.0119514739121503E-42</v>
      </c>
      <c r="H61" s="27">
        <f>Ft!E$3*EXP(Ft!E$38*($A61-Ft!E$2)^2)</f>
        <v>4.714805801771405</v>
      </c>
      <c r="I61" s="27">
        <f>Ft!F$3*EXP(Ft!F$38*($A61-Ft!F$2)^2)</f>
        <v>5.7659765720531304</v>
      </c>
      <c r="J61" s="27">
        <f>Ft!G$3*EXP(Ft!G$38*($A61-Ft!G$2)^2)</f>
        <v>15.676557661466861</v>
      </c>
    </row>
    <row r="62" spans="1:10">
      <c r="A62" s="20">
        <v>60</v>
      </c>
      <c r="B62" s="29">
        <v>4.2823507860106531</v>
      </c>
      <c r="C62" s="28">
        <f ca="1">OFFSET($B62,1*(ROWS(C$2:C62)-1),0)</f>
        <v>13.6951030192362</v>
      </c>
      <c r="D62" s="27">
        <f>Ft!B$3*EXP(Ft!B$38*($A62-Ft!B$2)^2) +Ft!C$3*EXP(Ft!C$38*($A62-Ft!C$2)^2) + Ft!D$3*EXP(Ft!D$38*($A62-Ft!D$2)^2)+Ft!E$3*EXP(Ft!E$38*($A62-Ft!E$2)^2) +Ft!F$3*EXP(Ft!F$38*($A62-Ft!F$2)^2) + Ft!G$3*EXP(Ft!G$38*($A62-Ft!G$2)^2)</f>
        <v>201.67378105917376</v>
      </c>
      <c r="E62" s="27">
        <f>Ft!B$3*EXP(Ft!B$38*($A62-Ft!B$2)^2)</f>
        <v>149.61703106532693</v>
      </c>
      <c r="F62" s="27">
        <f>Ft!C$3*EXP(Ft!C$38*($A62-Ft!C$2)^2)</f>
        <v>25.706324113620145</v>
      </c>
      <c r="G62" s="27">
        <f>Ft!D$3*EXP(Ft!D$38*($A62-Ft!D$2)^2)</f>
        <v>1.6976713277000923E-42</v>
      </c>
      <c r="H62" s="27">
        <f>Ft!E$3*EXP(Ft!E$38*($A62-Ft!E$2)^2)</f>
        <v>4.7601529663995965</v>
      </c>
      <c r="I62" s="27">
        <f>Ft!F$3*EXP(Ft!F$38*($A62-Ft!F$2)^2)</f>
        <v>5.7927790586841441</v>
      </c>
      <c r="J62" s="27">
        <f>Ft!G$3*EXP(Ft!G$38*($A62-Ft!G$2)^2)</f>
        <v>15.797493855142937</v>
      </c>
    </row>
    <row r="63" spans="1:10">
      <c r="A63" s="20">
        <v>61</v>
      </c>
      <c r="B63" s="29">
        <v>4.4353012911035989</v>
      </c>
      <c r="C63" s="28">
        <f ca="1">OFFSET($B63,1*(ROWS(C$2:C63)-1),0)</f>
        <v>14.046353878849629</v>
      </c>
      <c r="D63" s="27">
        <f>Ft!B$3*EXP(Ft!B$38*($A63-Ft!B$2)^2) +Ft!C$3*EXP(Ft!C$38*($A63-Ft!C$2)^2) + Ft!D$3*EXP(Ft!D$38*($A63-Ft!D$2)^2)+Ft!E$3*EXP(Ft!E$38*($A63-Ft!E$2)^2) +Ft!F$3*EXP(Ft!F$38*($A63-Ft!F$2)^2) + Ft!G$3*EXP(Ft!G$38*($A63-Ft!G$2)^2)</f>
        <v>201.71430137805484</v>
      </c>
      <c r="E63" s="27">
        <f>Ft!B$3*EXP(Ft!B$38*($A63-Ft!B$2)^2)</f>
        <v>149.41563670972505</v>
      </c>
      <c r="F63" s="27">
        <f>Ft!C$3*EXP(Ft!C$38*($A63-Ft!C$2)^2)</f>
        <v>25.7541611686711</v>
      </c>
      <c r="G63" s="27">
        <f>Ft!D$3*EXP(Ft!D$38*($A63-Ft!D$2)^2)</f>
        <v>2.8441242293370556E-42</v>
      </c>
      <c r="H63" s="27">
        <f>Ft!E$3*EXP(Ft!E$38*($A63-Ft!E$2)^2)</f>
        <v>4.8058666183958074</v>
      </c>
      <c r="I63" s="27">
        <f>Ft!F$3*EXP(Ft!F$38*($A63-Ft!F$2)^2)</f>
        <v>5.8196869716522919</v>
      </c>
      <c r="J63" s="27">
        <f>Ft!G$3*EXP(Ft!G$38*($A63-Ft!G$2)^2)</f>
        <v>15.918949909610598</v>
      </c>
    </row>
    <row r="64" spans="1:10">
      <c r="A64" s="20">
        <v>62</v>
      </c>
      <c r="B64" s="29">
        <v>4.5695920522557572</v>
      </c>
      <c r="C64" s="28">
        <f ca="1">OFFSET($B64,1*(ROWS(C$2:C64)-1),0)</f>
        <v>14.387525308725145</v>
      </c>
      <c r="D64" s="27">
        <f>Ft!B$3*EXP(Ft!B$38*($A64-Ft!B$2)^2) +Ft!C$3*EXP(Ft!C$38*($A64-Ft!C$2)^2) + Ft!D$3*EXP(Ft!D$38*($A64-Ft!D$2)^2)+Ft!E$3*EXP(Ft!E$38*($A64-Ft!E$2)^2) +Ft!F$3*EXP(Ft!F$38*($A64-Ft!F$2)^2) + Ft!G$3*EXP(Ft!G$38*($A64-Ft!G$2)^2)</f>
        <v>201.75540475254675</v>
      </c>
      <c r="E64" s="27">
        <f>Ft!B$3*EXP(Ft!B$38*($A64-Ft!B$2)^2)</f>
        <v>149.21380144103389</v>
      </c>
      <c r="F64" s="27">
        <f>Ft!C$3*EXP(Ft!C$38*($A64-Ft!C$2)^2)</f>
        <v>25.802030248702831</v>
      </c>
      <c r="G64" s="27">
        <f>Ft!D$3*EXP(Ft!D$38*($A64-Ft!D$2)^2)</f>
        <v>4.7582201547583418E-42</v>
      </c>
      <c r="H64" s="27">
        <f>Ft!E$3*EXP(Ft!E$38*($A64-Ft!E$2)^2)</f>
        <v>4.8519489456600766</v>
      </c>
      <c r="I64" s="27">
        <f>Ft!F$3*EXP(Ft!F$38*($A64-Ft!F$2)^2)</f>
        <v>5.8467006230655478</v>
      </c>
      <c r="J64" s="27">
        <f>Ft!G$3*EXP(Ft!G$38*($A64-Ft!G$2)^2)</f>
        <v>16.040923494084407</v>
      </c>
    </row>
    <row r="65" spans="1:10">
      <c r="A65" s="20">
        <v>63</v>
      </c>
      <c r="B65" s="29">
        <v>4.6582821590243952</v>
      </c>
      <c r="C65" s="28">
        <f ca="1">OFFSET($B65,1*(ROWS(C$2:C65)-1),0)</f>
        <v>14.777167821591888</v>
      </c>
      <c r="D65" s="27">
        <f>Ft!B$3*EXP(Ft!B$38*($A65-Ft!B$2)^2) +Ft!C$3*EXP(Ft!C$38*($A65-Ft!C$2)^2) + Ft!D$3*EXP(Ft!D$38*($A65-Ft!D$2)^2)+Ft!E$3*EXP(Ft!E$38*($A65-Ft!E$2)^2) +Ft!F$3*EXP(Ft!F$38*($A65-Ft!F$2)^2) + Ft!G$3*EXP(Ft!G$38*($A65-Ft!G$2)^2)</f>
        <v>201.79709366715915</v>
      </c>
      <c r="E65" s="27">
        <f>Ft!B$3*EXP(Ft!B$38*($A65-Ft!B$2)^2)</f>
        <v>149.01152777973596</v>
      </c>
      <c r="F65" s="27">
        <f>Ft!C$3*EXP(Ft!C$38*($A65-Ft!C$2)^2)</f>
        <v>25.849931201563479</v>
      </c>
      <c r="G65" s="27">
        <f>Ft!D$3*EXP(Ft!D$38*($A65-Ft!D$2)^2)</f>
        <v>7.9495313080961504E-42</v>
      </c>
      <c r="H65" s="27">
        <f>Ft!E$3*EXP(Ft!E$38*($A65-Ft!E$2)^2)</f>
        <v>4.8984021409787433</v>
      </c>
      <c r="I65" s="27">
        <f>Ft!F$3*EXP(Ft!F$38*($A65-Ft!F$2)^2)</f>
        <v>5.8738203254342469</v>
      </c>
      <c r="J65" s="27">
        <f>Ft!G$3*EXP(Ft!G$38*($A65-Ft!G$2)^2)</f>
        <v>16.163412219446716</v>
      </c>
    </row>
    <row r="66" spans="1:10">
      <c r="A66" s="20">
        <v>64</v>
      </c>
      <c r="B66" s="29">
        <v>4.7505049174518774</v>
      </c>
      <c r="C66" s="28">
        <f ca="1">OFFSET($B66,1*(ROWS(C$2:C66)-1),0)</f>
        <v>15.149173782330706</v>
      </c>
      <c r="D66" s="27">
        <f>Ft!B$3*EXP(Ft!B$38*($A66-Ft!B$2)^2) +Ft!C$3*EXP(Ft!C$38*($A66-Ft!C$2)^2) + Ft!D$3*EXP(Ft!D$38*($A66-Ft!D$2)^2)+Ft!E$3*EXP(Ft!E$38*($A66-Ft!E$2)^2) +Ft!F$3*EXP(Ft!F$38*($A66-Ft!F$2)^2) + Ft!G$3*EXP(Ft!G$38*($A66-Ft!G$2)^2)</f>
        <v>201.83937055544374</v>
      </c>
      <c r="E66" s="27">
        <f>Ft!B$3*EXP(Ft!B$38*($A66-Ft!B$2)^2)</f>
        <v>148.80881824917452</v>
      </c>
      <c r="F66" s="27">
        <f>Ft!C$3*EXP(Ft!C$38*($A66-Ft!C$2)^2)</f>
        <v>25.897863874607133</v>
      </c>
      <c r="G66" s="27">
        <f>Ft!D$3*EXP(Ft!D$38*($A66-Ft!D$2)^2)</f>
        <v>1.3262931839467785E-41</v>
      </c>
      <c r="H66" s="27">
        <f>Ft!E$3*EXP(Ft!E$38*($A66-Ft!E$2)^2)</f>
        <v>4.9452284019435426</v>
      </c>
      <c r="I66" s="27">
        <f>Ft!F$3*EXP(Ft!F$38*($A66-Ft!F$2)^2)</f>
        <v>5.9010463916688316</v>
      </c>
      <c r="J66" s="27">
        <f>Ft!G$3*EXP(Ft!G$38*($A66-Ft!G$2)^2)</f>
        <v>16.28641363804967</v>
      </c>
    </row>
    <row r="67" spans="1:10">
      <c r="A67" s="20">
        <v>65</v>
      </c>
      <c r="B67" s="29">
        <v>4.8679723122635323</v>
      </c>
      <c r="C67" s="28">
        <f ca="1">OFFSET($B67,1*(ROWS(C$2:C67)-1),0)</f>
        <v>15.483601489081508</v>
      </c>
      <c r="D67" s="27">
        <f>Ft!B$3*EXP(Ft!B$38*($A67-Ft!B$2)^2) +Ft!C$3*EXP(Ft!C$38*($A67-Ft!C$2)^2) + Ft!D$3*EXP(Ft!D$38*($A67-Ft!D$2)^2)+Ft!E$3*EXP(Ft!E$38*($A67-Ft!E$2)^2) +Ft!F$3*EXP(Ft!F$38*($A67-Ft!F$2)^2) + Ft!G$3*EXP(Ft!G$38*($A67-Ft!G$2)^2)</f>
        <v>201.88223779966603</v>
      </c>
      <c r="E67" s="27">
        <f>Ft!B$3*EXP(Ft!B$38*($A67-Ft!B$2)^2)</f>
        <v>148.60567537550131</v>
      </c>
      <c r="F67" s="27">
        <f>Ft!C$3*EXP(Ft!C$38*($A67-Ft!C$2)^2)</f>
        <v>25.945828114694255</v>
      </c>
      <c r="G67" s="27">
        <f>Ft!D$3*EXP(Ft!D$38*($A67-Ft!D$2)^2)</f>
        <v>2.2097267500897226E-41</v>
      </c>
      <c r="H67" s="27">
        <f>Ft!E$3*EXP(Ft!E$38*($A67-Ft!E$2)^2)</f>
        <v>4.9924299308696032</v>
      </c>
      <c r="I67" s="27">
        <f>Ft!F$3*EXP(Ft!F$38*($A67-Ft!F$2)^2)</f>
        <v>5.9283791350775799</v>
      </c>
      <c r="J67" s="27">
        <f>Ft!G$3*EXP(Ft!G$38*($A67-Ft!G$2)^2)</f>
        <v>16.409925243523261</v>
      </c>
    </row>
    <row r="68" spans="1:10">
      <c r="A68" s="20">
        <v>66</v>
      </c>
      <c r="B68" s="29">
        <v>4.9867759017905087</v>
      </c>
      <c r="C68" s="28">
        <f ca="1">OFFSET($B68,1*(ROWS(C$2:C68)-1),0)</f>
        <v>15.816000534660589</v>
      </c>
      <c r="D68" s="27">
        <f>Ft!B$3*EXP(Ft!B$38*($A68-Ft!B$2)^2) +Ft!C$3*EXP(Ft!C$38*($A68-Ft!C$2)^2) + Ft!D$3*EXP(Ft!D$38*($A68-Ft!D$2)^2)+Ft!E$3*EXP(Ft!E$38*($A68-Ft!E$2)^2) +Ft!F$3*EXP(Ft!F$38*($A68-Ft!F$2)^2) + Ft!G$3*EXP(Ft!G$38*($A68-Ft!G$2)^2)</f>
        <v>201.92569773048314</v>
      </c>
      <c r="E68" s="27">
        <f>Ft!B$3*EXP(Ft!B$38*($A68-Ft!B$2)^2)</f>
        <v>148.40210168762479</v>
      </c>
      <c r="F68" s="27">
        <f>Ft!C$3*EXP(Ft!C$38*($A68-Ft!C$2)^2)</f>
        <v>25.993823768192136</v>
      </c>
      <c r="G68" s="27">
        <f>Ft!D$3*EXP(Ft!D$38*($A68-Ft!D$2)^2)</f>
        <v>3.6765343696688253E-41</v>
      </c>
      <c r="H68" s="27">
        <f>Ft!E$3*EXP(Ft!E$38*($A68-Ft!E$2)^2)</f>
        <v>5.0400089347122812</v>
      </c>
      <c r="I68" s="27">
        <f>Ft!F$3*EXP(Ft!F$38*($A68-Ft!F$2)^2)</f>
        <v>5.9558188693642879</v>
      </c>
      <c r="J68" s="27">
        <f>Ft!G$3*EXP(Ft!G$38*($A68-Ft!G$2)^2)</f>
        <v>16.533944470589642</v>
      </c>
    </row>
    <row r="69" spans="1:10">
      <c r="A69" s="20">
        <v>67</v>
      </c>
      <c r="B69" s="29">
        <v>5.0832946642760248</v>
      </c>
      <c r="C69" s="28">
        <f ca="1">OFFSET($B69,1*(ROWS(C$2:C69)-1),0)</f>
        <v>16.179396027476258</v>
      </c>
      <c r="D69" s="27">
        <f>Ft!B$3*EXP(Ft!B$38*($A69-Ft!B$2)^2) +Ft!C$3*EXP(Ft!C$38*($A69-Ft!C$2)^2) + Ft!D$3*EXP(Ft!D$38*($A69-Ft!D$2)^2)+Ft!E$3*EXP(Ft!E$38*($A69-Ft!E$2)^2) +Ft!F$3*EXP(Ft!F$38*($A69-Ft!F$2)^2) + Ft!G$3*EXP(Ft!G$38*($A69-Ft!G$2)^2)</f>
        <v>201.96975262662576</v>
      </c>
      <c r="E69" s="27">
        <f>Ft!B$3*EXP(Ft!B$38*($A69-Ft!B$2)^2)</f>
        <v>148.19809971715785</v>
      </c>
      <c r="F69" s="27">
        <f>Ft!C$3*EXP(Ft!C$38*($A69-Ft!C$2)^2)</f>
        <v>26.041850680975358</v>
      </c>
      <c r="G69" s="27">
        <f>Ft!D$3*EXP(Ft!D$38*($A69-Ft!D$2)^2)</f>
        <v>6.1085721697570655E-41</v>
      </c>
      <c r="H69" s="27">
        <f>Ft!E$3*EXP(Ft!E$38*($A69-Ft!E$2)^2)</f>
        <v>5.0879676249828893</v>
      </c>
      <c r="I69" s="27">
        <f>Ft!F$3*EXP(Ft!F$38*($A69-Ft!F$2)^2)</f>
        <v>5.9833659086260038</v>
      </c>
      <c r="J69" s="27">
        <f>Ft!G$3*EXP(Ft!G$38*($A69-Ft!G$2)^2)</f>
        <v>16.658468694883641</v>
      </c>
    </row>
    <row r="70" spans="1:10">
      <c r="A70" s="20">
        <v>68</v>
      </c>
      <c r="B70" s="29">
        <v>5.2369768814498627</v>
      </c>
      <c r="C70" s="28">
        <f ca="1">OFFSET($B70,1*(ROWS(C$2:C70)-1),0)</f>
        <v>16.527629289316621</v>
      </c>
      <c r="D70" s="27">
        <f>Ft!B$3*EXP(Ft!B$38*($A70-Ft!B$2)^2) +Ft!C$3*EXP(Ft!C$38*($A70-Ft!C$2)^2) + Ft!D$3*EXP(Ft!D$38*($A70-Ft!D$2)^2)+Ft!E$3*EXP(Ft!E$38*($A70-Ft!E$2)^2) +Ft!F$3*EXP(Ft!F$38*($A70-Ft!F$2)^2) + Ft!G$3*EXP(Ft!G$38*($A70-Ft!G$2)^2)</f>
        <v>202.01440471458591</v>
      </c>
      <c r="E70" s="27">
        <f>Ft!B$3*EXP(Ft!B$38*($A70-Ft!B$2)^2)</f>
        <v>147.99367199836612</v>
      </c>
      <c r="F70" s="27">
        <f>Ft!C$3*EXP(Ft!C$38*($A70-Ft!C$2)^2)</f>
        <v>26.089908698426207</v>
      </c>
      <c r="G70" s="27">
        <f>Ft!D$3*EXP(Ft!D$38*($A70-Ft!D$2)^2)</f>
        <v>1.0135421397147542E-40</v>
      </c>
      <c r="H70" s="27">
        <f>Ft!E$3*EXP(Ft!E$38*($A70-Ft!E$2)^2)</f>
        <v>5.1363082176632764</v>
      </c>
      <c r="I70" s="27">
        <f>Ft!F$3*EXP(Ft!F$38*($A70-Ft!F$2)^2)</f>
        <v>6.0110205673506591</v>
      </c>
      <c r="J70" s="27">
        <f>Ft!G$3*EXP(Ft!G$38*($A70-Ft!G$2)^2)</f>
        <v>16.78349523277965</v>
      </c>
    </row>
    <row r="71" spans="1:10">
      <c r="A71" s="20">
        <v>69</v>
      </c>
      <c r="B71" s="29">
        <v>5.4029527669019899</v>
      </c>
      <c r="C71" s="28">
        <f ca="1">OFFSET($B71,1*(ROWS(C$2:C71)-1),0)</f>
        <v>16.904902499082766</v>
      </c>
      <c r="D71" s="27">
        <f>Ft!B$3*EXP(Ft!B$38*($A71-Ft!B$2)^2) +Ft!C$3*EXP(Ft!C$38*($A71-Ft!C$2)^2) + Ft!D$3*EXP(Ft!D$38*($A71-Ft!D$2)^2)+Ft!E$3*EXP(Ft!E$38*($A71-Ft!E$2)^2) +Ft!F$3*EXP(Ft!F$38*($A71-Ft!F$2)^2) + Ft!G$3*EXP(Ft!G$38*($A71-Ft!G$2)^2)</f>
        <v>202.05965616830991</v>
      </c>
      <c r="E71" s="27">
        <f>Ft!B$3*EXP(Ft!B$38*($A71-Ft!B$2)^2)</f>
        <v>147.78882106811582</v>
      </c>
      <c r="F71" s="27">
        <f>Ft!C$3*EXP(Ft!C$38*($A71-Ft!C$2)^2)</f>
        <v>26.13799766543514</v>
      </c>
      <c r="G71" s="27">
        <f>Ft!D$3*EXP(Ft!D$38*($A71-Ft!D$2)^2)</f>
        <v>1.6793643607411699E-40</v>
      </c>
      <c r="H71" s="27">
        <f>Ft!E$3*EXP(Ft!E$38*($A71-Ft!E$2)^2)</f>
        <v>5.1850329331192784</v>
      </c>
      <c r="I71" s="27">
        <f>Ft!F$3*EXP(Ft!F$38*($A71-Ft!F$2)^2)</f>
        <v>6.0387831604147566</v>
      </c>
      <c r="J71" s="27">
        <f>Ft!G$3*EXP(Ft!G$38*($A71-Ft!G$2)^2)</f>
        <v>16.909021341224911</v>
      </c>
    </row>
    <row r="72" spans="1:10">
      <c r="A72" s="20">
        <v>70</v>
      </c>
      <c r="B72" s="29">
        <v>5.5561225587664183</v>
      </c>
      <c r="C72" s="28">
        <f ca="1">OFFSET($B72,1*(ROWS(C$2:C72)-1),0)</f>
        <v>17.267720281426762</v>
      </c>
      <c r="D72" s="27">
        <f>Ft!B$3*EXP(Ft!B$38*($A72-Ft!B$2)^2) +Ft!C$3*EXP(Ft!C$38*($A72-Ft!C$2)^2) + Ft!D$3*EXP(Ft!D$38*($A72-Ft!D$2)^2)+Ft!E$3*EXP(Ft!E$38*($A72-Ft!E$2)^2) +Ft!F$3*EXP(Ft!F$38*($A72-Ft!F$2)^2) + Ft!G$3*EXP(Ft!G$38*($A72-Ft!G$2)^2)</f>
        <v>202.10550910889629</v>
      </c>
      <c r="E72" s="27">
        <f>Ft!B$3*EXP(Ft!B$38*($A72-Ft!B$2)^2)</f>
        <v>147.58354946582173</v>
      </c>
      <c r="F72" s="27">
        <f>Ft!C$3*EXP(Ft!C$38*($A72-Ft!C$2)^2)</f>
        <v>26.186117426401278</v>
      </c>
      <c r="G72" s="27">
        <f>Ft!D$3*EXP(Ft!D$38*($A72-Ft!D$2)^2)</f>
        <v>2.7787474467374228E-40</v>
      </c>
      <c r="H72" s="27">
        <f>Ft!E$3*EXP(Ft!E$38*($A72-Ft!E$2)^2)</f>
        <v>5.2341439960130138</v>
      </c>
      <c r="I72" s="27">
        <f>Ft!F$3*EXP(Ft!F$38*($A72-Ft!F$2)^2)</f>
        <v>6.0666540030809868</v>
      </c>
      <c r="J72" s="27">
        <f>Ft!G$3*EXP(Ft!G$38*($A72-Ft!G$2)^2)</f>
        <v>17.035044217579284</v>
      </c>
    </row>
    <row r="73" spans="1:10">
      <c r="A73" s="20">
        <v>71</v>
      </c>
      <c r="B73" s="29">
        <v>5.7081216887532094</v>
      </c>
      <c r="C73" s="28">
        <f ca="1">OFFSET($B73,1*(ROWS(C$2:C73)-1),0)</f>
        <v>17.665299644178816</v>
      </c>
      <c r="D73" s="27">
        <f>Ft!B$3*EXP(Ft!B$38*($A73-Ft!B$2)^2) +Ft!C$3*EXP(Ft!C$38*($A73-Ft!C$2)^2) + Ft!D$3*EXP(Ft!D$38*($A73-Ft!D$2)^2)+Ft!E$3*EXP(Ft!E$38*($A73-Ft!E$2)^2) +Ft!F$3*EXP(Ft!F$38*($A73-Ft!F$2)^2) + Ft!G$3*EXP(Ft!G$38*($A73-Ft!G$2)^2)</f>
        <v>202.15196560429979</v>
      </c>
      <c r="E73" s="27">
        <f>Ft!B$3*EXP(Ft!B$38*($A73-Ft!B$2)^2)</f>
        <v>147.37785973339544</v>
      </c>
      <c r="F73" s="27">
        <f>Ft!C$3*EXP(Ft!C$38*($A73-Ft!C$2)^2)</f>
        <v>26.234267825232848</v>
      </c>
      <c r="G73" s="27">
        <f>Ft!D$3*EXP(Ft!D$38*($A73-Ft!D$2)^2)</f>
        <v>4.591496342199277E-40</v>
      </c>
      <c r="H73" s="27">
        <f>Ft!E$3*EXP(Ft!E$38*($A73-Ft!E$2)^2)</f>
        <v>5.2836436352140446</v>
      </c>
      <c r="I73" s="27">
        <f>Ft!F$3*EXP(Ft!F$38*($A73-Ft!F$2)^2)</f>
        <v>6.0946334109958684</v>
      </c>
      <c r="J73" s="27">
        <f>Ft!G$3*EXP(Ft!G$38*($A73-Ft!G$2)^2)</f>
        <v>17.161560999461589</v>
      </c>
    </row>
    <row r="74" spans="1:10">
      <c r="A74" s="20">
        <v>72</v>
      </c>
      <c r="B74" s="29">
        <v>5.8714795976146945</v>
      </c>
      <c r="C74" s="28">
        <f ca="1">OFFSET($B74,1*(ROWS(C$2:C74)-1),0)</f>
        <v>18.041167608967839</v>
      </c>
      <c r="D74" s="27">
        <f>Ft!B$3*EXP(Ft!B$38*($A74-Ft!B$2)^2) +Ft!C$3*EXP(Ft!C$38*($A74-Ft!C$2)^2) + Ft!D$3*EXP(Ft!D$38*($A74-Ft!D$2)^2)+Ft!E$3*EXP(Ft!E$38*($A74-Ft!E$2)^2) +Ft!F$3*EXP(Ft!F$38*($A74-Ft!F$2)^2) + Ft!G$3*EXP(Ft!G$38*($A74-Ft!G$2)^2)</f>
        <v>202.19902766904008</v>
      </c>
      <c r="E74" s="27">
        <f>Ft!B$3*EXP(Ft!B$38*($A74-Ft!B$2)^2)</f>
        <v>147.17175441519313</v>
      </c>
      <c r="F74" s="27">
        <f>Ft!C$3*EXP(Ft!C$38*($A74-Ft!C$2)^2)</f>
        <v>26.282448705347665</v>
      </c>
      <c r="G74" s="27">
        <f>Ft!D$3*EXP(Ft!D$38*($A74-Ft!D$2)^2)</f>
        <v>7.5763569984782138E-40</v>
      </c>
      <c r="H74" s="27">
        <f>Ft!E$3*EXP(Ft!E$38*($A74-Ft!E$2)^2)</f>
        <v>5.3335340837093819</v>
      </c>
      <c r="I74" s="27">
        <f>Ft!F$3*EXP(Ft!F$38*($A74-Ft!F$2)^2)</f>
        <v>6.1227217001873413</v>
      </c>
      <c r="J74" s="27">
        <f>Ft!G$3*EXP(Ft!G$38*($A74-Ft!G$2)^2)</f>
        <v>17.288568764602552</v>
      </c>
    </row>
    <row r="75" spans="1:10">
      <c r="A75" s="20">
        <v>73</v>
      </c>
      <c r="B75" s="29">
        <v>6.0299192346290624</v>
      </c>
      <c r="C75" s="28">
        <f ca="1">OFFSET($B75,1*(ROWS(C$2:C75)-1),0)</f>
        <v>18.406214207687611</v>
      </c>
      <c r="D75" s="27">
        <f>Ft!B$3*EXP(Ft!B$38*($A75-Ft!B$2)^2) +Ft!C$3*EXP(Ft!C$38*($A75-Ft!C$2)^2) + Ft!D$3*EXP(Ft!D$38*($A75-Ft!D$2)^2)+Ft!E$3*EXP(Ft!E$38*($A75-Ft!E$2)^2) +Ft!F$3*EXP(Ft!F$38*($A75-Ft!F$2)^2) + Ft!G$3*EXP(Ft!G$38*($A75-Ft!G$2)^2)</f>
        <v>202.24669726391673</v>
      </c>
      <c r="E75" s="27">
        <f>Ft!B$3*EXP(Ft!B$38*($A75-Ft!B$2)^2)</f>
        <v>146.96523605796392</v>
      </c>
      <c r="F75" s="27">
        <f>Ft!C$3*EXP(Ft!C$38*($A75-Ft!C$2)^2)</f>
        <v>26.330659909673624</v>
      </c>
      <c r="G75" s="27">
        <f>Ft!D$3*EXP(Ft!D$38*($A75-Ft!D$2)^2)</f>
        <v>1.2484398994437971E-39</v>
      </c>
      <c r="H75" s="27">
        <f>Ft!E$3*EXP(Ft!E$38*($A75-Ft!E$2)^2)</f>
        <v>5.3838175785123532</v>
      </c>
      <c r="I75" s="27">
        <f>Ft!F$3*EXP(Ft!F$38*($A75-Ft!F$2)^2)</f>
        <v>6.1509191870623585</v>
      </c>
      <c r="J75" s="27">
        <f>Ft!G$3*EXP(Ft!G$38*($A75-Ft!G$2)^2)</f>
        <v>17.416064530704496</v>
      </c>
    </row>
    <row r="76" spans="1:10">
      <c r="A76" s="20">
        <v>74</v>
      </c>
      <c r="B76" s="29">
        <v>6.178612119866159</v>
      </c>
      <c r="C76" s="28">
        <f ca="1">OFFSET($B76,1*(ROWS(C$2:C76)-1),0)</f>
        <v>18.771690158042844</v>
      </c>
      <c r="D76" s="27">
        <f>Ft!B$3*EXP(Ft!B$38*($A76-Ft!B$2)^2) +Ft!C$3*EXP(Ft!C$38*($A76-Ft!C$2)^2) + Ft!D$3*EXP(Ft!D$38*($A76-Ft!D$2)^2)+Ft!E$3*EXP(Ft!E$38*($A76-Ft!E$2)^2) +Ft!F$3*EXP(Ft!F$38*($A76-Ft!F$2)^2) + Ft!G$3*EXP(Ft!G$38*($A76-Ft!G$2)^2)</f>
        <v>202.29497629572936</v>
      </c>
      <c r="E76" s="27">
        <f>Ft!B$3*EXP(Ft!B$38*($A76-Ft!B$2)^2)</f>
        <v>146.75830721079768</v>
      </c>
      <c r="F76" s="27">
        <f>Ft!C$3*EXP(Ft!C$38*($A76-Ft!C$2)^2)</f>
        <v>26.378901280649185</v>
      </c>
      <c r="G76" s="27">
        <f>Ft!D$3*EXP(Ft!D$38*($A76-Ft!D$2)^2)</f>
        <v>2.0543567878142372E-39</v>
      </c>
      <c r="H76" s="27">
        <f>Ft!E$3*EXP(Ft!E$38*($A76-Ft!E$2)^2)</f>
        <v>5.4344963605702921</v>
      </c>
      <c r="I76" s="27">
        <f>Ft!F$3*EXP(Ft!F$38*($A76-Ft!F$2)^2)</f>
        <v>6.1792261884044457</v>
      </c>
      <c r="J76" s="27">
        <f>Ft!G$3*EXP(Ft!G$38*($A76-Ft!G$2)^2)</f>
        <v>17.544045255307772</v>
      </c>
    </row>
    <row r="77" spans="1:10">
      <c r="A77" s="20">
        <v>75</v>
      </c>
      <c r="B77" s="29">
        <v>6.3337201953216038</v>
      </c>
      <c r="C77" s="28">
        <f ca="1">OFFSET($B77,1*(ROWS(C$2:C77)-1),0)</f>
        <v>19.124989979269742</v>
      </c>
      <c r="D77" s="27">
        <f>Ft!B$3*EXP(Ft!B$38*($A77-Ft!B$2)^2) +Ft!C$3*EXP(Ft!C$38*($A77-Ft!C$2)^2) + Ft!D$3*EXP(Ft!D$38*($A77-Ft!D$2)^2)+Ft!E$3*EXP(Ft!E$38*($A77-Ft!E$2)^2) +Ft!F$3*EXP(Ft!F$38*($A77-Ft!F$2)^2) + Ft!G$3*EXP(Ft!G$38*($A77-Ft!G$2)^2)</f>
        <v>202.34386661700364</v>
      </c>
      <c r="E77" s="27">
        <f>Ft!B$3*EXP(Ft!B$38*($A77-Ft!B$2)^2)</f>
        <v>146.55097042507333</v>
      </c>
      <c r="F77" s="27">
        <f>Ft!C$3*EXP(Ft!C$38*($A77-Ft!C$2)^2)</f>
        <v>26.427172660223857</v>
      </c>
      <c r="G77" s="27">
        <f>Ft!D$3*EXP(Ft!D$38*($A77-Ft!D$2)^2)</f>
        <v>3.3758654157503015E-39</v>
      </c>
      <c r="H77" s="27">
        <f>Ft!E$3*EXP(Ft!E$38*($A77-Ft!E$2)^2)</f>
        <v>5.48557267467109</v>
      </c>
      <c r="I77" s="27">
        <f>Ft!F$3*EXP(Ft!F$38*($A77-Ft!F$2)^2)</f>
        <v>6.2076430213712825</v>
      </c>
      <c r="J77" s="27">
        <f>Ft!G$3*EXP(Ft!G$38*($A77-Ft!G$2)^2)</f>
        <v>17.672507835664081</v>
      </c>
    </row>
    <row r="78" spans="1:10">
      <c r="A78" s="20">
        <v>76</v>
      </c>
      <c r="B78" s="29">
        <v>6.4864274404777689</v>
      </c>
      <c r="C78" s="28">
        <f ca="1">OFFSET($B78,1*(ROWS(C$2:C78)-1),0)</f>
        <v>19.510738182804175</v>
      </c>
      <c r="D78" s="27">
        <f>Ft!B$3*EXP(Ft!B$38*($A78-Ft!B$2)^2) +Ft!C$3*EXP(Ft!C$38*($A78-Ft!C$2)^2) + Ft!D$3*EXP(Ft!D$38*($A78-Ft!D$2)^2)+Ft!E$3*EXP(Ft!E$38*($A78-Ft!E$2)^2) +Ft!F$3*EXP(Ft!F$38*($A78-Ft!F$2)^2) + Ft!G$3*EXP(Ft!G$38*($A78-Ft!G$2)^2)</f>
        <v>202.39337002572296</v>
      </c>
      <c r="E78" s="27">
        <f>Ft!B$3*EXP(Ft!B$38*($A78-Ft!B$2)^2)</f>
        <v>146.3432282544068</v>
      </c>
      <c r="F78" s="27">
        <f>Ft!C$3*EXP(Ft!C$38*($A78-Ft!C$2)^2)</f>
        <v>26.475473889858723</v>
      </c>
      <c r="G78" s="27">
        <f>Ft!D$3*EXP(Ft!D$38*($A78-Ft!D$2)^2)</f>
        <v>5.5398167533901478E-39</v>
      </c>
      <c r="H78" s="27">
        <f>Ft!E$3*EXP(Ft!E$38*($A78-Ft!E$2)^2)</f>
        <v>5.5370487693485835</v>
      </c>
      <c r="I78" s="27">
        <f>Ft!F$3*EXP(Ft!F$38*($A78-Ft!F$2)^2)</f>
        <v>6.2361700034922007</v>
      </c>
      <c r="J78" s="27">
        <f>Ft!G$3*EXP(Ft!G$38*($A78-Ft!G$2)^2)</f>
        <v>17.801449108616648</v>
      </c>
    </row>
    <row r="79" spans="1:10">
      <c r="A79" s="20">
        <v>77</v>
      </c>
      <c r="B79" s="29">
        <v>6.6234343387646391</v>
      </c>
      <c r="C79" s="28">
        <f ca="1">OFFSET($B79,1*(ROWS(C$2:C79)-1),0)</f>
        <v>19.896422495919637</v>
      </c>
      <c r="D79" s="27">
        <f>Ft!B$3*EXP(Ft!B$38*($A79-Ft!B$2)^2) +Ft!C$3*EXP(Ft!C$38*($A79-Ft!C$2)^2) + Ft!D$3*EXP(Ft!D$38*($A79-Ft!D$2)^2)+Ft!E$3*EXP(Ft!E$38*($A79-Ft!E$2)^2) +Ft!F$3*EXP(Ft!F$38*($A79-Ft!F$2)^2) + Ft!G$3*EXP(Ft!G$38*($A79-Ft!G$2)^2)</f>
        <v>202.44348826506615</v>
      </c>
      <c r="E79" s="27">
        <f>Ft!B$3*EXP(Ft!B$38*($A79-Ft!B$2)^2)</f>
        <v>146.13508325459929</v>
      </c>
      <c r="F79" s="27">
        <f>Ft!C$3*EXP(Ft!C$38*($A79-Ft!C$2)^2)</f>
        <v>26.523804810526922</v>
      </c>
      <c r="G79" s="27">
        <f>Ft!D$3*EXP(Ft!D$38*($A79-Ft!D$2)^2)</f>
        <v>9.0783452710541774E-39</v>
      </c>
      <c r="H79" s="27">
        <f>Ft!E$3*EXP(Ft!E$38*($A79-Ft!E$2)^2)</f>
        <v>5.5889268967867762</v>
      </c>
      <c r="I79" s="27">
        <f>Ft!F$3*EXP(Ft!F$38*($A79-Ft!F$2)^2)</f>
        <v>6.2648074526657211</v>
      </c>
      <c r="J79" s="27">
        <f>Ft!G$3*EXP(Ft!G$38*($A79-Ft!G$2)^2)</f>
        <v>17.930865850487461</v>
      </c>
    </row>
    <row r="80" spans="1:10">
      <c r="A80" s="20">
        <v>78</v>
      </c>
      <c r="B80" s="29">
        <v>6.7686960378715071</v>
      </c>
      <c r="C80" s="28">
        <f ca="1">OFFSET($B80,1*(ROWS(C$2:C80)-1),0)</f>
        <v>20.285245962246563</v>
      </c>
      <c r="D80" s="27">
        <f>Ft!B$3*EXP(Ft!B$38*($A80-Ft!B$2)^2) +Ft!C$3*EXP(Ft!C$38*($A80-Ft!C$2)^2) + Ft!D$3*EXP(Ft!D$38*($A80-Ft!D$2)^2)+Ft!E$3*EXP(Ft!E$38*($A80-Ft!E$2)^2) +Ft!F$3*EXP(Ft!F$38*($A80-Ft!F$2)^2) + Ft!G$3*EXP(Ft!G$38*($A80-Ft!G$2)^2)</f>
        <v>202.49422302315102</v>
      </c>
      <c r="E80" s="27">
        <f>Ft!B$3*EXP(Ft!B$38*($A80-Ft!B$2)^2)</f>
        <v>145.9265379835854</v>
      </c>
      <c r="F80" s="27">
        <f>Ft!C$3*EXP(Ft!C$38*($A80-Ft!C$2)^2)</f>
        <v>26.57216526271419</v>
      </c>
      <c r="G80" s="27">
        <f>Ft!D$3*EXP(Ft!D$38*($A80-Ft!D$2)^2)</f>
        <v>1.4856585763877311E-38</v>
      </c>
      <c r="H80" s="27">
        <f>Ft!E$3*EXP(Ft!E$38*($A80-Ft!E$2)^2)</f>
        <v>5.6412093127228911</v>
      </c>
      <c r="I80" s="27">
        <f>Ft!F$3*EXP(Ft!F$38*($A80-Ft!F$2)^2)</f>
        <v>6.2935556871570606</v>
      </c>
      <c r="J80" s="27">
        <f>Ft!G$3*EXP(Ft!G$38*($A80-Ft!G$2)^2)</f>
        <v>18.0607547769715</v>
      </c>
    </row>
    <row r="81" spans="1:10">
      <c r="A81" s="20">
        <v>79</v>
      </c>
      <c r="B81" s="29">
        <v>6.9018393749587688</v>
      </c>
      <c r="C81" s="28">
        <f ca="1">OFFSET($B81,1*(ROWS(C$2:C81)-1),0)</f>
        <v>20.67976577465339</v>
      </c>
      <c r="D81" s="27">
        <f>Ft!B$3*EXP(Ft!B$38*($A81-Ft!B$2)^2) +Ft!C$3*EXP(Ft!C$38*($A81-Ft!C$2)^2) + Ft!D$3*EXP(Ft!D$38*($A81-Ft!D$2)^2)+Ft!E$3*EXP(Ft!E$38*($A81-Ft!E$2)^2) +Ft!F$3*EXP(Ft!F$38*($A81-Ft!F$2)^2) + Ft!G$3*EXP(Ft!G$38*($A81-Ft!G$2)^2)</f>
        <v>202.54557593278358</v>
      </c>
      <c r="E81" s="27">
        <f>Ft!B$3*EXP(Ft!B$38*($A81-Ft!B$2)^2)</f>
        <v>145.7175950013812</v>
      </c>
      <c r="F81" s="27">
        <f>Ft!C$3*EXP(Ft!C$38*($A81-Ft!C$2)^2)</f>
        <v>26.620555086419365</v>
      </c>
      <c r="G81" s="27">
        <f>Ft!D$3*EXP(Ft!D$38*($A81-Ft!D$2)^2)</f>
        <v>2.4279087180774533E-38</v>
      </c>
      <c r="H81" s="27">
        <f>Ft!E$3*EXP(Ft!E$38*($A81-Ft!E$2)^2)</f>
        <v>5.6938982763492652</v>
      </c>
      <c r="I81" s="27">
        <f>Ft!F$3*EXP(Ft!F$38*($A81-Ft!F$2)^2)</f>
        <v>6.3224150255955962</v>
      </c>
      <c r="J81" s="27">
        <f>Ft!G$3*EXP(Ft!G$38*($A81-Ft!G$2)^2)</f>
        <v>18.191112543038138</v>
      </c>
    </row>
    <row r="82" spans="1:10">
      <c r="A82" s="20">
        <v>80</v>
      </c>
      <c r="B82" s="29">
        <v>7.0641778348127104</v>
      </c>
      <c r="C82" s="28">
        <f ca="1">OFFSET($B82,1*(ROWS(C$2:C82)-1),0)</f>
        <v>21.070432870060131</v>
      </c>
      <c r="D82" s="27">
        <f>Ft!B$3*EXP(Ft!B$38*($A82-Ft!B$2)^2) +Ft!C$3*EXP(Ft!C$38*($A82-Ft!C$2)^2) + Ft!D$3*EXP(Ft!D$38*($A82-Ft!D$2)^2)+Ft!E$3*EXP(Ft!E$38*($A82-Ft!E$2)^2) +Ft!F$3*EXP(Ft!F$38*($A82-Ft!F$2)^2) + Ft!G$3*EXP(Ft!G$38*($A82-Ft!G$2)^2)</f>
        <v>202.59754857121357</v>
      </c>
      <c r="E82" s="27">
        <f>Ft!B$3*EXP(Ft!B$38*($A82-Ft!B$2)^2)</f>
        <v>145.50825687003251</v>
      </c>
      <c r="F82" s="27">
        <f>Ft!C$3*EXP(Ft!C$38*($A82-Ft!C$2)^2)</f>
        <v>26.668974121154918</v>
      </c>
      <c r="G82" s="27">
        <f>Ft!D$3*EXP(Ft!D$38*($A82-Ft!D$2)^2)</f>
        <v>3.9622941798942486E-38</v>
      </c>
      <c r="H82" s="27">
        <f>Ft!E$3*EXP(Ft!E$38*($A82-Ft!E$2)^2)</f>
        <v>5.746996050214074</v>
      </c>
      <c r="I82" s="27">
        <f>Ft!F$3*EXP(Ft!F$38*($A82-Ft!F$2)^2)</f>
        <v>6.3513857869723491</v>
      </c>
      <c r="J82" s="27">
        <f>Ft!G$3*EXP(Ft!G$38*($A82-Ft!G$2)^2)</f>
        <v>18.32193574283971</v>
      </c>
    </row>
    <row r="83" spans="1:10">
      <c r="A83" s="20">
        <v>81</v>
      </c>
      <c r="B83" s="29">
        <v>7.2316837788396811</v>
      </c>
      <c r="C83" s="28">
        <f ca="1">OFFSET($B83,1*(ROWS(C$2:C83)-1),0)</f>
        <v>21.47195862469394</v>
      </c>
      <c r="D83" s="27">
        <f>Ft!B$3*EXP(Ft!B$38*($A83-Ft!B$2)^2) +Ft!C$3*EXP(Ft!C$38*($A83-Ft!C$2)^2) + Ft!D$3*EXP(Ft!D$38*($A83-Ft!D$2)^2)+Ft!E$3*EXP(Ft!E$38*($A83-Ft!E$2)^2) +Ft!F$3*EXP(Ft!F$38*($A83-Ft!F$2)^2) + Ft!G$3*EXP(Ft!G$38*($A83-Ft!G$2)^2)</f>
        <v>202.65014245989636</v>
      </c>
      <c r="E83" s="27">
        <f>Ft!B$3*EXP(Ft!B$38*($A83-Ft!B$2)^2)</f>
        <v>145.29852615356324</v>
      </c>
      <c r="F83" s="27">
        <f>Ft!C$3*EXP(Ft!C$38*($A83-Ft!C$2)^2)</f>
        <v>26.717422205947472</v>
      </c>
      <c r="G83" s="27">
        <f>Ft!D$3*EXP(Ft!D$38*($A83-Ft!D$2)^2)</f>
        <v>6.4574655844773461E-38</v>
      </c>
      <c r="H83" s="27">
        <f>Ft!E$3*EXP(Ft!E$38*($A83-Ft!E$2)^2)</f>
        <v>5.8005049001208642</v>
      </c>
      <c r="I83" s="27">
        <f>Ft!F$3*EXP(Ft!F$38*($A83-Ft!F$2)^2)</f>
        <v>6.3804682906374133</v>
      </c>
      <c r="J83" s="27">
        <f>Ft!G$3*EXP(Ft!G$38*($A83-Ft!G$2)^2)</f>
        <v>18.453220909627333</v>
      </c>
    </row>
    <row r="84" spans="1:10">
      <c r="A84" s="20">
        <v>82</v>
      </c>
      <c r="B84" s="29">
        <v>7.3964267172944176</v>
      </c>
      <c r="C84" s="28">
        <f ca="1">OFFSET($B84,1*(ROWS(C$2:C84)-1),0)</f>
        <v>21.870875198535799</v>
      </c>
      <c r="D84" s="27">
        <f>Ft!B$3*EXP(Ft!B$38*($A84-Ft!B$2)^2) +Ft!C$3*EXP(Ft!C$38*($A84-Ft!C$2)^2) + Ft!D$3*EXP(Ft!D$38*($A84-Ft!D$2)^2)+Ft!E$3*EXP(Ft!E$38*($A84-Ft!E$2)^2) +Ft!F$3*EXP(Ft!F$38*($A84-Ft!F$2)^2) + Ft!G$3*EXP(Ft!G$38*($A84-Ft!G$2)^2)</f>
        <v>202.70335906426021</v>
      </c>
      <c r="E84" s="27">
        <f>Ft!B$3*EXP(Ft!B$38*($A84-Ft!B$2)^2)</f>
        <v>145.08840541792341</v>
      </c>
      <c r="F84" s="27">
        <f>Ft!C$3*EXP(Ft!C$38*($A84-Ft!C$2)^2)</f>
        <v>26.765899179338376</v>
      </c>
      <c r="G84" s="27">
        <f>Ft!D$3*EXP(Ft!D$38*($A84-Ft!D$2)^2)</f>
        <v>1.0509414123334411E-37</v>
      </c>
      <c r="H84" s="27">
        <f>Ft!E$3*EXP(Ft!E$38*($A84-Ft!E$2)^2)</f>
        <v>5.8544270950269386</v>
      </c>
      <c r="I84" s="27">
        <f>Ft!F$3*EXP(Ft!F$38*($A84-Ft!F$2)^2)</f>
        <v>6.409662856297401</v>
      </c>
      <c r="J84" s="27">
        <f>Ft!G$3*EXP(Ft!G$38*($A84-Ft!G$2)^2)</f>
        <v>18.584964515674088</v>
      </c>
    </row>
    <row r="85" spans="1:10">
      <c r="A85" s="20">
        <v>83</v>
      </c>
      <c r="B85" s="29">
        <v>7.5441696910785652</v>
      </c>
      <c r="C85" s="28">
        <f ca="1">OFFSET($B85,1*(ROWS(C$2:C85)-1),0)</f>
        <v>22.244750409105109</v>
      </c>
      <c r="D85" s="27">
        <f>Ft!B$3*EXP(Ft!B$38*($A85-Ft!B$2)^2) +Ft!C$3*EXP(Ft!C$38*($A85-Ft!C$2)^2) + Ft!D$3*EXP(Ft!D$38*($A85-Ft!D$2)^2)+Ft!E$3*EXP(Ft!E$38*($A85-Ft!E$2)^2) +Ft!F$3*EXP(Ft!F$38*($A85-Ft!F$2)^2) + Ft!G$3*EXP(Ft!G$38*($A85-Ft!G$2)^2)</f>
        <v>202.75719979348077</v>
      </c>
      <c r="E85" s="27">
        <f>Ft!B$3*EXP(Ft!B$38*($A85-Ft!B$2)^2)</f>
        <v>144.87789723093761</v>
      </c>
      <c r="F85" s="27">
        <f>Ft!C$3*EXP(Ft!C$38*($A85-Ft!C$2)^2)</f>
        <v>26.814404879384217</v>
      </c>
      <c r="G85" s="27">
        <f>Ft!D$3*EXP(Ft!D$38*($A85-Ft!D$2)^2)</f>
        <v>1.7080317249625719E-37</v>
      </c>
      <c r="H85" s="27">
        <f>Ft!E$3*EXP(Ft!E$38*($A85-Ft!E$2)^2)</f>
        <v>5.9087649069405561</v>
      </c>
      <c r="I85" s="27">
        <f>Ft!F$3*EXP(Ft!F$38*($A85-Ft!F$2)^2)</f>
        <v>6.4389698040128467</v>
      </c>
      <c r="J85" s="27">
        <f>Ft!G$3*EXP(Ft!G$38*($A85-Ft!G$2)^2)</f>
        <v>18.717162972205539</v>
      </c>
    </row>
    <row r="86" spans="1:10">
      <c r="A86" s="20">
        <v>84</v>
      </c>
      <c r="B86" s="29">
        <v>7.7141521591006494</v>
      </c>
      <c r="C86" s="28">
        <f ca="1">OFFSET($B86,1*(ROWS(C$2:C86)-1),0)</f>
        <v>22.645533232781503</v>
      </c>
      <c r="D86" s="27">
        <f>Ft!B$3*EXP(Ft!B$38*($A86-Ft!B$2)^2) +Ft!C$3*EXP(Ft!C$38*($A86-Ft!C$2)^2) + Ft!D$3*EXP(Ft!D$38*($A86-Ft!D$2)^2)+Ft!E$3*EXP(Ft!E$38*($A86-Ft!E$2)^2) +Ft!F$3*EXP(Ft!F$38*($A86-Ft!F$2)^2) + Ft!G$3*EXP(Ft!G$38*($A86-Ft!G$2)^2)</f>
        <v>202.81166600026097</v>
      </c>
      <c r="E86" s="27">
        <f>Ft!B$3*EXP(Ft!B$38*($A86-Ft!B$2)^2)</f>
        <v>144.66700416225328</v>
      </c>
      <c r="F86" s="27">
        <f>Ft!C$3*EXP(Ft!C$38*($A86-Ft!C$2)^2)</f>
        <v>26.862939143657396</v>
      </c>
      <c r="G86" s="27">
        <f>Ft!D$3*EXP(Ft!D$38*($A86-Ft!D$2)^2)</f>
        <v>2.7721350377551989E-37</v>
      </c>
      <c r="H86" s="27">
        <f>Ft!E$3*EXP(Ft!E$38*($A86-Ft!E$2)^2)</f>
        <v>5.9635206108169383</v>
      </c>
      <c r="I86" s="27">
        <f>Ft!F$3*EXP(Ft!F$38*($A86-Ft!F$2)^2)</f>
        <v>6.4683894541956022</v>
      </c>
      <c r="J86" s="27">
        <f>Ft!G$3*EXP(Ft!G$38*($A86-Ft!G$2)^2)</f>
        <v>18.849812629337745</v>
      </c>
    </row>
    <row r="87" spans="1:10">
      <c r="A87" s="20">
        <v>85</v>
      </c>
      <c r="B87" s="29">
        <v>7.8827262081648257</v>
      </c>
      <c r="C87" s="28">
        <f ca="1">OFFSET($B87,1*(ROWS(C$2:C87)-1),0)</f>
        <v>23.02990260638478</v>
      </c>
      <c r="D87" s="27">
        <f>Ft!B$3*EXP(Ft!B$38*($A87-Ft!B$2)^2) +Ft!C$3*EXP(Ft!C$38*($A87-Ft!C$2)^2) + Ft!D$3*EXP(Ft!D$38*($A87-Ft!D$2)^2)+Ft!E$3*EXP(Ft!E$38*($A87-Ft!E$2)^2) +Ft!F$3*EXP(Ft!F$38*($A87-Ft!F$2)^2) + Ft!G$3*EXP(Ft!G$38*($A87-Ft!G$2)^2)</f>
        <v>202.86675898061773</v>
      </c>
      <c r="E87" s="27">
        <f>Ft!B$3*EXP(Ft!B$38*($A87-Ft!B$2)^2)</f>
        <v>144.45572878328898</v>
      </c>
      <c r="F87" s="27">
        <f>Ft!C$3*EXP(Ft!C$38*($A87-Ft!C$2)^2)</f>
        <v>26.911501809246683</v>
      </c>
      <c r="G87" s="27">
        <f>Ft!D$3*EXP(Ft!D$38*($A87-Ft!D$2)^2)</f>
        <v>4.4929734561613878E-37</v>
      </c>
      <c r="H87" s="27">
        <f>Ft!E$3*EXP(Ft!E$38*($A87-Ft!E$2)^2)</f>
        <v>6.018696484453109</v>
      </c>
      <c r="I87" s="27">
        <f>Ft!F$3*EXP(Ft!F$38*($A87-Ft!F$2)^2)</f>
        <v>6.4979221276062171</v>
      </c>
      <c r="J87" s="27">
        <f>Ft!G$3*EXP(Ft!G$38*($A87-Ft!G$2)^2)</f>
        <v>18.982909776022762</v>
      </c>
    </row>
    <row r="88" spans="1:10">
      <c r="A88" s="20">
        <v>86</v>
      </c>
      <c r="B88" s="29">
        <v>7.992637002132966</v>
      </c>
      <c r="C88" s="28">
        <f ca="1">OFFSET($B88,1*(ROWS(C$2:C88)-1),0)</f>
        <v>23.408598188949128</v>
      </c>
      <c r="D88" s="27">
        <f>Ft!B$3*EXP(Ft!B$38*($A88-Ft!B$2)^2) +Ft!C$3*EXP(Ft!C$38*($A88-Ft!C$2)^2) + Ft!D$3*EXP(Ft!D$38*($A88-Ft!D$2)^2)+Ft!E$3*EXP(Ft!E$38*($A88-Ft!E$2)^2) +Ft!F$3*EXP(Ft!F$38*($A88-Ft!F$2)^2) + Ft!G$3*EXP(Ft!G$38*($A88-Ft!G$2)^2)</f>
        <v>202.92247997367522</v>
      </c>
      <c r="E88" s="27">
        <f>Ft!B$3*EXP(Ft!B$38*($A88-Ft!B$2)^2)</f>
        <v>144.24407366718287</v>
      </c>
      <c r="F88" s="27">
        <f>Ft!C$3*EXP(Ft!C$38*($A88-Ft!C$2)^2)</f>
        <v>26.960092712757753</v>
      </c>
      <c r="G88" s="27">
        <f>Ft!D$3*EXP(Ft!D$38*($A88-Ft!D$2)^2)</f>
        <v>7.2720079571876578E-37</v>
      </c>
      <c r="H88" s="27">
        <f>Ft!E$3*EXP(Ft!E$38*($A88-Ft!E$2)^2)</f>
        <v>6.074294808381552</v>
      </c>
      <c r="I88" s="27">
        <f>Ft!F$3*EXP(Ft!F$38*($A88-Ft!F$2)^2)</f>
        <v>6.5275681453512941</v>
      </c>
      <c r="J88" s="27">
        <f>Ft!G$3*EXP(Ft!G$38*($A88-Ft!G$2)^2)</f>
        <v>19.116450640001737</v>
      </c>
    </row>
    <row r="89" spans="1:10">
      <c r="A89" s="20">
        <v>87</v>
      </c>
      <c r="B89" s="29">
        <v>8.1120957961436204</v>
      </c>
      <c r="C89" s="28">
        <f ca="1">OFFSET($B89,1*(ROWS(C$2:C89)-1),0)</f>
        <v>23.812698239267917</v>
      </c>
      <c r="D89" s="27">
        <f>Ft!B$3*EXP(Ft!B$38*($A89-Ft!B$2)^2) +Ft!C$3*EXP(Ft!C$38*($A89-Ft!C$2)^2) + Ft!D$3*EXP(Ft!D$38*($A89-Ft!D$2)^2)+Ft!E$3*EXP(Ft!E$38*($A89-Ft!E$2)^2) +Ft!F$3*EXP(Ft!F$38*($A89-Ft!F$2)^2) + Ft!G$3*EXP(Ft!G$38*($A89-Ft!G$2)^2)</f>
        <v>202.97883016146409</v>
      </c>
      <c r="E89" s="27">
        <f>Ft!B$3*EXP(Ft!B$38*($A89-Ft!B$2)^2)</f>
        <v>144.03204138874111</v>
      </c>
      <c r="F89" s="27">
        <f>Ft!C$3*EXP(Ft!C$38*($A89-Ft!C$2)^2)</f>
        <v>27.008711690313806</v>
      </c>
      <c r="G89" s="27">
        <f>Ft!D$3*EXP(Ft!D$38*($A89-Ft!D$2)^2)</f>
        <v>1.1753734050093806E-36</v>
      </c>
      <c r="H89" s="27">
        <f>Ft!E$3*EXP(Ft!E$38*($A89-Ft!E$2)^2)</f>
        <v>6.1303178657626853</v>
      </c>
      <c r="I89" s="27">
        <f>Ft!F$3*EXP(Ft!F$38*($A89-Ft!F$2)^2)</f>
        <v>6.5573278288808341</v>
      </c>
      <c r="J89" s="27">
        <f>Ft!G$3*EXP(Ft!G$38*($A89-Ft!G$2)^2)</f>
        <v>19.25043138776563</v>
      </c>
    </row>
    <row r="90" spans="1:10">
      <c r="A90" s="20">
        <v>88</v>
      </c>
      <c r="B90" s="29">
        <v>8.2469018850756015</v>
      </c>
      <c r="C90" s="28">
        <f ca="1">OFFSET($B90,1*(ROWS(C$2:C90)-1),0)</f>
        <v>24.24048730529779</v>
      </c>
      <c r="D90" s="27">
        <f>Ft!B$3*EXP(Ft!B$38*($A90-Ft!B$2)^2) +Ft!C$3*EXP(Ft!C$38*($A90-Ft!C$2)^2) + Ft!D$3*EXP(Ft!D$38*($A90-Ft!D$2)^2)+Ft!E$3*EXP(Ft!E$38*($A90-Ft!E$2)^2) +Ft!F$3*EXP(Ft!F$38*($A90-Ft!F$2)^2) + Ft!G$3*EXP(Ft!G$38*($A90-Ft!G$2)^2)</f>
        <v>203.03581066872761</v>
      </c>
      <c r="E90" s="27">
        <f>Ft!B$3*EXP(Ft!B$38*($A90-Ft!B$2)^2)</f>
        <v>143.81963452438617</v>
      </c>
      <c r="F90" s="27">
        <f>Ft!C$3*EXP(Ft!C$38*($A90-Ft!C$2)^2)</f>
        <v>27.057358577556112</v>
      </c>
      <c r="G90" s="27">
        <f>Ft!D$3*EXP(Ft!D$38*($A90-Ft!D$2)^2)</f>
        <v>1.8971356969186999E-36</v>
      </c>
      <c r="H90" s="27">
        <f>Ft!E$3*EXP(Ft!E$38*($A90-Ft!E$2)^2)</f>
        <v>6.1867679422761412</v>
      </c>
      <c r="I90" s="27">
        <f>Ft!F$3*EXP(Ft!F$38*($A90-Ft!F$2)^2)</f>
        <v>6.5872014999855484</v>
      </c>
      <c r="J90" s="27">
        <f>Ft!G$3*EXP(Ft!G$38*($A90-Ft!G$2)^2)</f>
        <v>19.384848124523643</v>
      </c>
    </row>
    <row r="91" spans="1:10">
      <c r="A91" s="20">
        <v>89</v>
      </c>
      <c r="B91" s="29">
        <v>8.3738897956557139</v>
      </c>
      <c r="C91" s="28">
        <f ca="1">OFFSET($B91,1*(ROWS(C$2:C91)-1),0)</f>
        <v>24.67964745736748</v>
      </c>
      <c r="D91" s="27">
        <f>Ft!B$3*EXP(Ft!B$38*($A91-Ft!B$2)^2) +Ft!C$3*EXP(Ft!C$38*($A91-Ft!C$2)^2) + Ft!D$3*EXP(Ft!D$38*($A91-Ft!D$2)^2)+Ft!E$3*EXP(Ft!E$38*($A91-Ft!E$2)^2) +Ft!F$3*EXP(Ft!F$38*($A91-Ft!F$2)^2) + Ft!G$3*EXP(Ft!G$38*($A91-Ft!G$2)^2)</f>
        <v>203.09342256273456</v>
      </c>
      <c r="E91" s="27">
        <f>Ft!B$3*EXP(Ft!B$38*($A91-Ft!B$2)^2)</f>
        <v>143.60685565210548</v>
      </c>
      <c r="F91" s="27">
        <f>Ft!C$3*EXP(Ft!C$38*($A91-Ft!C$2)^2)</f>
        <v>27.106033209644607</v>
      </c>
      <c r="G91" s="27">
        <f>Ft!D$3*EXP(Ft!D$38*($A91-Ft!D$2)^2)</f>
        <v>3.0578906695404294E-36</v>
      </c>
      <c r="H91" s="27">
        <f>Ft!E$3*EXP(Ft!E$38*($A91-Ft!E$2)^2)</f>
        <v>6.2436473260108656</v>
      </c>
      <c r="I91" s="27">
        <f>Ft!F$3*EXP(Ft!F$38*($A91-Ft!F$2)^2)</f>
        <v>6.617189480794182</v>
      </c>
      <c r="J91" s="27">
        <f>Ft!G$3*EXP(Ft!G$38*($A91-Ft!G$2)^2)</f>
        <v>19.519696894179411</v>
      </c>
    </row>
    <row r="92" spans="1:10">
      <c r="A92" s="20">
        <v>90</v>
      </c>
      <c r="B92" s="29">
        <v>8.5076102389976427</v>
      </c>
      <c r="C92" s="28">
        <f ca="1">OFFSET($B92,1*(ROWS(C$2:C92)-1),0)</f>
        <v>25.087396458903925</v>
      </c>
      <c r="D92" s="27">
        <f>Ft!B$3*EXP(Ft!B$38*($A92-Ft!B$2)^2) +Ft!C$3*EXP(Ft!C$38*($A92-Ft!C$2)^2) + Ft!D$3*EXP(Ft!D$38*($A92-Ft!D$2)^2)+Ft!E$3*EXP(Ft!E$38*($A92-Ft!E$2)^2) +Ft!F$3*EXP(Ft!F$38*($A92-Ft!F$2)^2) + Ft!G$3*EXP(Ft!G$38*($A92-Ft!G$2)^2)</f>
        <v>203.15166685309813</v>
      </c>
      <c r="E92" s="27">
        <f>Ft!B$3*EXP(Ft!B$38*($A92-Ft!B$2)^2)</f>
        <v>143.39370735139988</v>
      </c>
      <c r="F92" s="27">
        <f>Ft!C$3*EXP(Ft!C$38*($A92-Ft!C$2)^2)</f>
        <v>27.154735421258479</v>
      </c>
      <c r="G92" s="27">
        <f>Ft!D$3*EXP(Ft!D$38*($A92-Ft!D$2)^2)</f>
        <v>4.9220558064509169E-36</v>
      </c>
      <c r="H92" s="27">
        <f>Ft!E$3*EXP(Ft!E$38*($A92-Ft!E$2)^2)</f>
        <v>6.3009583073540334</v>
      </c>
      <c r="I92" s="27">
        <f>Ft!F$3*EXP(Ft!F$38*($A92-Ft!F$2)^2)</f>
        <v>6.6472920937707896</v>
      </c>
      <c r="J92" s="27">
        <f>Ft!G$3*EXP(Ft!G$38*($A92-Ft!G$2)^2)</f>
        <v>19.654973679314971</v>
      </c>
    </row>
    <row r="93" spans="1:10">
      <c r="A93" s="20">
        <v>91</v>
      </c>
      <c r="B93" s="29">
        <v>8.6344773123532832</v>
      </c>
      <c r="C93" s="28">
        <f ca="1">OFFSET($B93,1*(ROWS(C$2:C93)-1),0)</f>
        <v>25.513182195821116</v>
      </c>
      <c r="D93" s="27">
        <f>Ft!B$3*EXP(Ft!B$38*($A93-Ft!B$2)^2) +Ft!C$3*EXP(Ft!C$38*($A93-Ft!C$2)^2) + Ft!D$3*EXP(Ft!D$38*($A93-Ft!D$2)^2)+Ft!E$3*EXP(Ft!E$38*($A93-Ft!E$2)^2) +Ft!F$3*EXP(Ft!F$38*($A93-Ft!F$2)^2) + Ft!G$3*EXP(Ft!G$38*($A93-Ft!G$2)^2)</f>
        <v>203.21054449160243</v>
      </c>
      <c r="E93" s="27">
        <f>Ft!B$3*EXP(Ft!B$38*($A93-Ft!B$2)^2)</f>
        <v>143.18019220323222</v>
      </c>
      <c r="F93" s="27">
        <f>Ft!C$3*EXP(Ft!C$38*($A93-Ft!C$2)^2)</f>
        <v>27.203465046596772</v>
      </c>
      <c r="G93" s="27">
        <f>Ft!D$3*EXP(Ft!D$38*($A93-Ft!D$2)^2)</f>
        <v>7.9117423331873388E-36</v>
      </c>
      <c r="H93" s="27">
        <f>Ft!E$3*EXP(Ft!E$38*($A93-Ft!E$2)^2)</f>
        <v>6.3587031788787725</v>
      </c>
      <c r="I93" s="27">
        <f>Ft!F$3*EXP(Ft!F$38*($A93-Ft!F$2)^2)</f>
        <v>6.6775096617120111</v>
      </c>
      <c r="J93" s="27">
        <f>Ft!G$3*EXP(Ft!G$38*($A93-Ft!G$2)^2)</f>
        <v>19.790674401182656</v>
      </c>
    </row>
    <row r="94" spans="1:10">
      <c r="A94" s="20">
        <v>92</v>
      </c>
      <c r="B94" s="29">
        <v>8.7885767445847591</v>
      </c>
      <c r="C94" s="28">
        <f ca="1">OFFSET($B94,1*(ROWS(C$2:C94)-1),0)</f>
        <v>25.946852757409033</v>
      </c>
      <c r="D94" s="27">
        <f>Ft!B$3*EXP(Ft!B$38*($A94-Ft!B$2)^2) +Ft!C$3*EXP(Ft!C$38*($A94-Ft!C$2)^2) + Ft!D$3*EXP(Ft!D$38*($A94-Ft!D$2)^2)+Ft!E$3*EXP(Ft!E$38*($A94-Ft!E$2)^2) +Ft!F$3*EXP(Ft!F$38*($A94-Ft!F$2)^2) + Ft!G$3*EXP(Ft!G$38*($A94-Ft!G$2)^2)</f>
        <v>203.27005637203476</v>
      </c>
      <c r="E94" s="27">
        <f>Ft!B$3*EXP(Ft!B$38*($A94-Ft!B$2)^2)</f>
        <v>142.96631278997592</v>
      </c>
      <c r="F94" s="27">
        <f>Ft!C$3*EXP(Ft!C$38*($A94-Ft!C$2)^2)</f>
        <v>27.252221919378968</v>
      </c>
      <c r="G94" s="27">
        <f>Ft!D$3*EXP(Ft!D$38*($A94-Ft!D$2)^2)</f>
        <v>1.2699854872026414E-35</v>
      </c>
      <c r="H94" s="27">
        <f>Ft!E$3*EXP(Ft!E$38*($A94-Ft!E$2)^2)</f>
        <v>6.4168842352306728</v>
      </c>
      <c r="I94" s="27">
        <f>Ft!F$3*EXP(Ft!F$38*($A94-Ft!F$2)^2)</f>
        <v>6.7078425077443118</v>
      </c>
      <c r="J94" s="27">
        <f>Ft!G$3*EXP(Ft!G$38*($A94-Ft!G$2)^2)</f>
        <v>19.926794919704889</v>
      </c>
    </row>
    <row r="95" spans="1:10">
      <c r="A95" s="20">
        <v>93</v>
      </c>
      <c r="B95" s="29">
        <v>8.9464760474274385</v>
      </c>
      <c r="C95" s="28">
        <f ca="1">OFFSET($B95,1*(ROWS(C$2:C95)-1),0)</f>
        <v>26.388888023433736</v>
      </c>
      <c r="D95" s="27">
        <f>Ft!B$3*EXP(Ft!B$38*($A95-Ft!B$2)^2) +Ft!C$3*EXP(Ft!C$38*($A95-Ft!C$2)^2) + Ft!D$3*EXP(Ft!D$38*($A95-Ft!D$2)^2)+Ft!E$3*EXP(Ft!E$38*($A95-Ft!E$2)^2) +Ft!F$3*EXP(Ft!F$38*($A95-Ft!F$2)^2) + Ft!G$3*EXP(Ft!G$38*($A95-Ft!G$2)^2)</f>
        <v>203.33020333002554</v>
      </c>
      <c r="E95" s="27">
        <f>Ft!B$3*EXP(Ft!B$38*($A95-Ft!B$2)^2)</f>
        <v>142.75207169536358</v>
      </c>
      <c r="F95" s="27">
        <f>Ft!C$3*EXP(Ft!C$38*($A95-Ft!C$2)^2)</f>
        <v>27.301005872845643</v>
      </c>
      <c r="G95" s="27">
        <f>Ft!D$3*EXP(Ft!D$38*($A95-Ft!D$2)^2)</f>
        <v>2.0357591855118973E-35</v>
      </c>
      <c r="H95" s="27">
        <f>Ft!E$3*EXP(Ft!E$38*($A95-Ft!E$2)^2)</f>
        <v>6.4755037730131573</v>
      </c>
      <c r="I95" s="27">
        <f>Ft!F$3*EXP(Ft!F$38*($A95-Ft!F$2)^2)</f>
        <v>6.7382909553212311</v>
      </c>
      <c r="J95" s="27">
        <f>Ft!G$3*EXP(Ft!G$38*($A95-Ft!G$2)^2)</f>
        <v>20.063331033481955</v>
      </c>
    </row>
    <row r="96" spans="1:10">
      <c r="A96" s="20">
        <v>94</v>
      </c>
      <c r="B96" s="29">
        <v>9.1133830614483031</v>
      </c>
      <c r="C96" s="28">
        <f ca="1">OFFSET($B96,1*(ROWS(C$2:C96)-1),0)</f>
        <v>26.780087100169624</v>
      </c>
      <c r="D96" s="27">
        <f>Ft!B$3*EXP(Ft!B$38*($A96-Ft!B$2)^2) +Ft!C$3*EXP(Ft!C$38*($A96-Ft!C$2)^2) + Ft!D$3*EXP(Ft!D$38*($A96-Ft!D$2)^2)+Ft!E$3*EXP(Ft!E$38*($A96-Ft!E$2)^2) +Ft!F$3*EXP(Ft!F$38*($A96-Ft!F$2)^2) + Ft!G$3*EXP(Ft!G$38*($A96-Ft!G$2)^2)</f>
        <v>203.39098614289492</v>
      </c>
      <c r="E96" s="27">
        <f>Ft!B$3*EXP(Ft!B$38*($A96-Ft!B$2)^2)</f>
        <v>142.53747150443587</v>
      </c>
      <c r="F96" s="27">
        <f>Ft!C$3*EXP(Ft!C$38*($A96-Ft!C$2)^2)</f>
        <v>27.349816739759031</v>
      </c>
      <c r="G96" s="27">
        <f>Ft!D$3*EXP(Ft!D$38*($A96-Ft!D$2)^2)</f>
        <v>3.258780206473008E-35</v>
      </c>
      <c r="H96" s="27">
        <f>Ft!E$3*EXP(Ft!E$38*($A96-Ft!E$2)^2)</f>
        <v>6.5345640906716014</v>
      </c>
      <c r="I96" s="27">
        <f>Ft!F$3*EXP(Ft!F$38*($A96-Ft!F$2)^2)</f>
        <v>6.7688553282205959</v>
      </c>
      <c r="J96" s="27">
        <f>Ft!G$3*EXP(Ft!G$38*($A96-Ft!G$2)^2)</f>
        <v>20.200278479807825</v>
      </c>
    </row>
    <row r="97" spans="1:10">
      <c r="A97" s="20">
        <v>95</v>
      </c>
      <c r="B97" s="29">
        <v>9.2632725513311698</v>
      </c>
      <c r="C97" s="28">
        <f ca="1">OFFSET($B97,1*(ROWS(C$2:C97)-1),0)</f>
        <v>27.198130802772084</v>
      </c>
      <c r="D97" s="27">
        <f>Ft!B$3*EXP(Ft!B$38*($A97-Ft!B$2)^2) +Ft!C$3*EXP(Ft!C$38*($A97-Ft!C$2)^2) + Ft!D$3*EXP(Ft!D$38*($A97-Ft!D$2)^2)+Ft!E$3*EXP(Ft!E$38*($A97-Ft!E$2)^2) +Ft!F$3*EXP(Ft!F$38*($A97-Ft!F$2)^2) + Ft!G$3*EXP(Ft!G$38*($A97-Ft!G$2)^2)</f>
        <v>203.45240552950574</v>
      </c>
      <c r="E97" s="27">
        <f>Ft!B$3*EXP(Ft!B$38*($A97-Ft!B$2)^2)</f>
        <v>142.32251480348995</v>
      </c>
      <c r="F97" s="27">
        <f>Ft!C$3*EXP(Ft!C$38*($A97-Ft!C$2)^2)</f>
        <v>27.398654352403685</v>
      </c>
      <c r="G97" s="27">
        <f>Ft!D$3*EXP(Ft!D$38*($A97-Ft!D$2)^2)</f>
        <v>5.209364645730433E-35</v>
      </c>
      <c r="H97" s="27">
        <f>Ft!E$3*EXP(Ft!E$38*($A97-Ft!E$2)^2)</f>
        <v>6.594067488376302</v>
      </c>
      <c r="I97" s="27">
        <f>Ft!F$3*EXP(Ft!F$38*($A97-Ft!F$2)^2)</f>
        <v>6.7995359505417081</v>
      </c>
      <c r="J97" s="27">
        <f>Ft!G$3*EXP(Ft!G$38*($A97-Ft!G$2)^2)</f>
        <v>20.337632934694074</v>
      </c>
    </row>
    <row r="98" spans="1:10">
      <c r="A98" s="20">
        <v>96</v>
      </c>
      <c r="B98" s="29">
        <v>9.4320488532431455</v>
      </c>
      <c r="C98" s="28">
        <f ca="1">OFFSET($B98,1*(ROWS(C$2:C98)-1),0)</f>
        <v>27.641328953002471</v>
      </c>
      <c r="D98" s="27">
        <f>Ft!B$3*EXP(Ft!B$38*($A98-Ft!B$2)^2) +Ft!C$3*EXP(Ft!C$38*($A98-Ft!C$2)^2) + Ft!D$3*EXP(Ft!D$38*($A98-Ft!D$2)^2)+Ft!E$3*EXP(Ft!E$38*($A98-Ft!E$2)^2) +Ft!F$3*EXP(Ft!F$38*($A98-Ft!F$2)^2) + Ft!G$3*EXP(Ft!G$38*($A98-Ft!G$2)^2)</f>
        <v>203.51446215012436</v>
      </c>
      <c r="E98" s="27">
        <f>Ft!B$3*EXP(Ft!B$38*($A98-Ft!B$2)^2)</f>
        <v>142.10720418002859</v>
      </c>
      <c r="F98" s="27">
        <f>Ft!C$3*EXP(Ft!C$38*($A98-Ft!C$2)^2)</f>
        <v>27.447518542587083</v>
      </c>
      <c r="G98" s="27">
        <f>Ft!D$3*EXP(Ft!D$38*($A98-Ft!D$2)^2)</f>
        <v>8.3160189169378553E-35</v>
      </c>
      <c r="H98" s="27">
        <f>Ft!E$3*EXP(Ft!E$38*($A98-Ft!E$2)^2)</f>
        <v>6.6540162679042334</v>
      </c>
      <c r="I98" s="27">
        <f>Ft!F$3*EXP(Ft!F$38*($A98-Ft!F$2)^2)</f>
        <v>6.8303331467025368</v>
      </c>
      <c r="J98" s="27">
        <f>Ft!G$3*EXP(Ft!G$38*($A98-Ft!G$2)^2)</f>
        <v>20.475390012901908</v>
      </c>
    </row>
    <row r="99" spans="1:10">
      <c r="A99" s="20">
        <v>97</v>
      </c>
      <c r="B99" s="29">
        <v>9.6051338966068158</v>
      </c>
      <c r="C99" s="28">
        <f ca="1">OFFSET($B99,1*(ROWS(C$2:C99)-1),0)</f>
        <v>28.066420625154336</v>
      </c>
      <c r="D99" s="27">
        <f>Ft!B$3*EXP(Ft!B$38*($A99-Ft!B$2)^2) +Ft!C$3*EXP(Ft!C$38*($A99-Ft!C$2)^2) + Ft!D$3*EXP(Ft!D$38*($A99-Ft!D$2)^2)+Ft!E$3*EXP(Ft!E$38*($A99-Ft!E$2)^2) +Ft!F$3*EXP(Ft!F$38*($A99-Ft!F$2)^2) + Ft!G$3*EXP(Ft!G$38*($A99-Ft!G$2)^2)</f>
        <v>203.57715660628787</v>
      </c>
      <c r="E99" s="27">
        <f>Ft!B$3*EXP(Ft!B$38*($A99-Ft!B$2)^2)</f>
        <v>141.89154222270869</v>
      </c>
      <c r="F99" s="27">
        <f>Ft!C$3*EXP(Ft!C$38*($A99-Ft!C$2)^2)</f>
        <v>27.496409141640274</v>
      </c>
      <c r="G99" s="27">
        <f>Ft!D$3*EXP(Ft!D$38*($A99-Ft!D$2)^2)</f>
        <v>1.3257059352021857E-34</v>
      </c>
      <c r="H99" s="27">
        <f>Ft!E$3*EXP(Ft!E$38*($A99-Ft!E$2)^2)</f>
        <v>6.714412732519607</v>
      </c>
      <c r="I99" s="27">
        <f>Ft!F$3*EXP(Ft!F$38*($A99-Ft!F$2)^2)</f>
        <v>6.8612472414368728</v>
      </c>
      <c r="J99" s="27">
        <f>Ft!G$3*EXP(Ft!G$38*($A99-Ft!G$2)^2)</f>
        <v>20.613545267982431</v>
      </c>
    </row>
    <row r="100" spans="1:10">
      <c r="A100" s="20">
        <v>98</v>
      </c>
      <c r="B100" s="29">
        <v>9.7876246534981419</v>
      </c>
      <c r="C100" s="28">
        <f ca="1">OFFSET($B100,1*(ROWS(C$2:C100)-1),0)</f>
        <v>28.511654506547842</v>
      </c>
      <c r="D100" s="27">
        <f>Ft!B$3*EXP(Ft!B$38*($A100-Ft!B$2)^2) +Ft!C$3*EXP(Ft!C$38*($A100-Ft!C$2)^2) + Ft!D$3*EXP(Ft!D$38*($A100-Ft!D$2)^2)+Ft!E$3*EXP(Ft!E$38*($A100-Ft!E$2)^2) +Ft!F$3*EXP(Ft!F$38*($A100-Ft!F$2)^2) + Ft!G$3*EXP(Ft!G$38*($A100-Ft!G$2)^2)</f>
        <v>203.64048944067875</v>
      </c>
      <c r="E100" s="27">
        <f>Ft!B$3*EXP(Ft!B$38*($A100-Ft!B$2)^2)</f>
        <v>141.67553152129042</v>
      </c>
      <c r="F100" s="27">
        <f>Ft!C$3*EXP(Ft!C$38*($A100-Ft!C$2)^2)</f>
        <v>27.545325980418514</v>
      </c>
      <c r="G100" s="27">
        <f>Ft!D$3*EXP(Ft!D$38*($A100-Ft!D$2)^2)</f>
        <v>2.1104737483812548E-34</v>
      </c>
      <c r="H100" s="27">
        <f>Ft!E$3*EXP(Ft!E$38*($A100-Ft!E$2)^2)</f>
        <v>6.7752591868532424</v>
      </c>
      <c r="I100" s="27">
        <f>Ft!F$3*EXP(Ft!F$38*($A100-Ft!F$2)^2)</f>
        <v>6.8922785597914755</v>
      </c>
      <c r="J100" s="27">
        <f>Ft!G$3*EXP(Ft!G$38*($A100-Ft!G$2)^2)</f>
        <v>20.75209419232511</v>
      </c>
    </row>
    <row r="101" spans="1:10">
      <c r="A101" s="20">
        <v>99</v>
      </c>
      <c r="B101" s="29">
        <v>9.942575092701702</v>
      </c>
      <c r="C101" s="28">
        <f ca="1">OFFSET($B101,1*(ROWS(C$2:C101)-1),0)</f>
        <v>28.999358702288845</v>
      </c>
      <c r="D101" s="27">
        <f>Ft!B$3*EXP(Ft!B$38*($A101-Ft!B$2)^2) +Ft!C$3*EXP(Ft!C$38*($A101-Ft!C$2)^2) + Ft!D$3*EXP(Ft!D$38*($A101-Ft!D$2)^2)+Ft!E$3*EXP(Ft!E$38*($A101-Ft!E$2)^2) +Ft!F$3*EXP(Ft!F$38*($A101-Ft!F$2)^2) + Ft!G$3*EXP(Ft!G$38*($A101-Ft!G$2)^2)</f>
        <v>203.70446113700643</v>
      </c>
      <c r="E101" s="27">
        <f>Ft!B$3*EXP(Ft!B$38*($A101-Ft!B$2)^2)</f>
        <v>141.45917466658599</v>
      </c>
      <c r="F101" s="27">
        <f>Ft!C$3*EXP(Ft!C$38*($A101-Ft!C$2)^2)</f>
        <v>27.594268889301929</v>
      </c>
      <c r="G101" s="27">
        <f>Ft!D$3*EXP(Ft!D$38*($A101-Ft!D$2)^2)</f>
        <v>3.355163820459784E-34</v>
      </c>
      <c r="H101" s="27">
        <f>Ft!E$3*EXP(Ft!E$38*($A101-Ft!E$2)^2)</f>
        <v>6.8365579367807525</v>
      </c>
      <c r="I101" s="27">
        <f>Ft!F$3*EXP(Ft!F$38*($A101-Ft!F$2)^2)</f>
        <v>6.9234274271231993</v>
      </c>
      <c r="J101" s="27">
        <f>Ft!G$3*EXP(Ft!G$38*($A101-Ft!G$2)^2)</f>
        <v>20.891032217214565</v>
      </c>
    </row>
    <row r="102" spans="1:10">
      <c r="A102" s="20">
        <v>100</v>
      </c>
      <c r="B102" s="29">
        <v>10.099000759053354</v>
      </c>
      <c r="C102" s="28">
        <f ca="1">OFFSET($B102,1*(ROWS(C$2:C102)-1),0)</f>
        <v>29.466522888956916</v>
      </c>
      <c r="D102" s="27">
        <f>Ft!B$3*EXP(Ft!B$38*($A102-Ft!B$2)^2) +Ft!C$3*EXP(Ft!C$38*($A102-Ft!C$2)^2) + Ft!D$3*EXP(Ft!D$38*($A102-Ft!D$2)^2)+Ft!E$3*EXP(Ft!E$38*($A102-Ft!E$2)^2) +Ft!F$3*EXP(Ft!F$38*($A102-Ft!F$2)^2) + Ft!G$3*EXP(Ft!G$38*($A102-Ft!G$2)^2)</f>
        <v>203.76907211989626</v>
      </c>
      <c r="E102" s="27">
        <f>Ft!B$3*EXP(Ft!B$38*($A102-Ft!B$2)^2)</f>
        <v>141.24247425040883</v>
      </c>
      <c r="F102" s="27">
        <f>Ft!C$3*EXP(Ft!C$38*($A102-Ft!C$2)^2)</f>
        <v>27.643237698196153</v>
      </c>
      <c r="G102" s="27">
        <f>Ft!D$3*EXP(Ft!D$38*($A102-Ft!D$2)^2)</f>
        <v>5.3265808993296547E-34</v>
      </c>
      <c r="H102" s="27">
        <f>Ft!E$3*EXP(Ft!E$38*($A102-Ft!E$2)^2)</f>
        <v>6.8983112892995067</v>
      </c>
      <c r="I102" s="27">
        <f>Ft!F$3*EXP(Ft!F$38*($A102-Ft!F$2)^2)</f>
        <v>6.9546941690961015</v>
      </c>
      <c r="J102" s="27">
        <f>Ft!G$3*EXP(Ft!G$38*($A102-Ft!G$2)^2)</f>
        <v>21.030354712895665</v>
      </c>
    </row>
    <row r="103" spans="1:10">
      <c r="A103" s="20">
        <v>101</v>
      </c>
      <c r="B103" s="29">
        <v>10.273225602924725</v>
      </c>
      <c r="C103" s="28">
        <f ca="1">OFFSET($B103,1*(ROWS(C$2:C103)-1),0)</f>
        <v>29.900043858489028</v>
      </c>
      <c r="D103" s="27">
        <f>Ft!B$3*EXP(Ft!B$38*($A103-Ft!B$2)^2) +Ft!C$3*EXP(Ft!C$38*($A103-Ft!C$2)^2) + Ft!D$3*EXP(Ft!D$38*($A103-Ft!D$2)^2)+Ft!E$3*EXP(Ft!E$38*($A103-Ft!E$2)^2) +Ft!F$3*EXP(Ft!F$38*($A103-Ft!F$2)^2) + Ft!G$3*EXP(Ft!G$38*($A103-Ft!G$2)^2)</f>
        <v>203.83432275478523</v>
      </c>
      <c r="E103" s="27">
        <f>Ft!B$3*EXP(Ft!B$38*($A103-Ft!B$2)^2)</f>
        <v>141.02543286552225</v>
      </c>
      <c r="F103" s="27">
        <f>Ft!C$3*EXP(Ft!C$38*($A103-Ft!C$2)^2)</f>
        <v>27.692232236532991</v>
      </c>
      <c r="G103" s="27">
        <f>Ft!D$3*EXP(Ft!D$38*($A103-Ft!D$2)^2)</f>
        <v>8.4447023484766345E-34</v>
      </c>
      <c r="H103" s="27">
        <f>Ft!E$3*EXP(Ft!E$38*($A103-Ft!E$2)^2)</f>
        <v>6.9605215524044262</v>
      </c>
      <c r="I103" s="27">
        <f>Ft!F$3*EXP(Ft!F$38*($A103-Ft!F$2)^2)</f>
        <v>6.9860791116785261</v>
      </c>
      <c r="J103" s="27">
        <f>Ft!G$3*EXP(Ft!G$38*($A103-Ft!G$2)^2)</f>
        <v>21.170056988647044</v>
      </c>
    </row>
    <row r="104" spans="1:10">
      <c r="A104" s="20">
        <v>102</v>
      </c>
      <c r="B104" s="29">
        <v>10.439505247681268</v>
      </c>
      <c r="C104" s="28">
        <f ca="1">OFFSET($B104,1*(ROWS(C$2:C104)-1),0)</f>
        <v>30.344535046934908</v>
      </c>
      <c r="D104" s="27">
        <f>Ft!B$3*EXP(Ft!B$38*($A104-Ft!B$2)^2) +Ft!C$3*EXP(Ft!C$38*($A104-Ft!C$2)^2) + Ft!D$3*EXP(Ft!D$38*($A104-Ft!D$2)^2)+Ft!E$3*EXP(Ft!E$38*($A104-Ft!E$2)^2) +Ft!F$3*EXP(Ft!F$38*($A104-Ft!F$2)^2) + Ft!G$3*EXP(Ft!G$38*($A104-Ft!G$2)^2)</f>
        <v>203.90021334782583</v>
      </c>
      <c r="E104" s="27">
        <f>Ft!B$3*EXP(Ft!B$38*($A104-Ft!B$2)^2)</f>
        <v>140.80805310558901</v>
      </c>
      <c r="F104" s="27">
        <f>Ft!C$3*EXP(Ft!C$38*($A104-Ft!C$2)^2)</f>
        <v>27.741252333271095</v>
      </c>
      <c r="G104" s="27">
        <f>Ft!D$3*EXP(Ft!D$38*($A104-Ft!D$2)^2)</f>
        <v>1.3369685380961225E-33</v>
      </c>
      <c r="H104" s="27">
        <f>Ft!E$3*EXP(Ft!E$38*($A104-Ft!E$2)^2)</f>
        <v>7.0231910349625624</v>
      </c>
      <c r="I104" s="27">
        <f>Ft!F$3*EXP(Ft!F$38*($A104-Ft!F$2)^2)</f>
        <v>7.0175825811401866</v>
      </c>
      <c r="J104" s="27">
        <f>Ft!G$3*EXP(Ft!G$38*($A104-Ft!G$2)^2)</f>
        <v>21.31013429286299</v>
      </c>
    </row>
    <row r="105" spans="1:10">
      <c r="A105" s="20">
        <v>103</v>
      </c>
      <c r="B105" s="29">
        <v>10.619584116897244</v>
      </c>
      <c r="C105" s="28">
        <f ca="1">OFFSET($B105,1*(ROWS(C$2:C105)-1),0)</f>
        <v>30.843894465265123</v>
      </c>
      <c r="D105" s="27">
        <f>Ft!B$3*EXP(Ft!B$38*($A105-Ft!B$2)^2) +Ft!C$3*EXP(Ft!C$38*($A105-Ft!C$2)^2) + Ft!D$3*EXP(Ft!D$38*($A105-Ft!D$2)^2)+Ft!E$3*EXP(Ft!E$38*($A105-Ft!E$2)^2) +Ft!F$3*EXP(Ft!F$38*($A105-Ft!F$2)^2) + Ft!G$3*EXP(Ft!G$38*($A105-Ft!G$2)^2)</f>
        <v>203.96674414579627</v>
      </c>
      <c r="E105" s="27">
        <f>Ft!B$3*EXP(Ft!B$38*($A105-Ft!B$2)^2)</f>
        <v>140.59033756512005</v>
      </c>
      <c r="F105" s="27">
        <f>Ft!C$3*EXP(Ft!C$38*($A105-Ft!C$2)^2)</f>
        <v>27.790297816896633</v>
      </c>
      <c r="G105" s="27">
        <f>Ft!D$3*EXP(Ft!D$38*($A105-Ft!D$2)^2)</f>
        <v>2.1137764261088954E-33</v>
      </c>
      <c r="H105" s="27">
        <f>Ft!E$3*EXP(Ft!E$38*($A105-Ft!E$2)^2)</f>
        <v>7.0863220465864973</v>
      </c>
      <c r="I105" s="27">
        <f>Ft!F$3*EXP(Ft!F$38*($A105-Ft!F$2)^2)</f>
        <v>7.0492049040492013</v>
      </c>
      <c r="J105" s="27">
        <f>Ft!G$3*EXP(Ft!G$38*($A105-Ft!G$2)^2)</f>
        <v>21.450581813143874</v>
      </c>
    </row>
    <row r="106" spans="1:10">
      <c r="A106" s="20">
        <v>104</v>
      </c>
      <c r="B106" s="29">
        <v>10.802473385059983</v>
      </c>
      <c r="C106" s="28">
        <f ca="1">OFFSET($B106,1*(ROWS(C$2:C106)-1),0)</f>
        <v>31.294135625455283</v>
      </c>
      <c r="D106" s="27">
        <f>Ft!B$3*EXP(Ft!B$38*($A106-Ft!B$2)^2) +Ft!C$3*EXP(Ft!C$38*($A106-Ft!C$2)^2) + Ft!D$3*EXP(Ft!D$38*($A106-Ft!D$2)^2)+Ft!E$3*EXP(Ft!E$38*($A106-Ft!E$2)^2) +Ft!F$3*EXP(Ft!F$38*($A106-Ft!F$2)^2) + Ft!G$3*EXP(Ft!G$38*($A106-Ft!G$2)^2)</f>
        <v>204.03391533601877</v>
      </c>
      <c r="E106" s="27">
        <f>Ft!B$3*EXP(Ft!B$38*($A106-Ft!B$2)^2)</f>
        <v>140.37228883942407</v>
      </c>
      <c r="F106" s="27">
        <f>Ft!C$3*EXP(Ft!C$38*($A106-Ft!C$2)^2)</f>
        <v>27.839368515423974</v>
      </c>
      <c r="G106" s="27">
        <f>Ft!D$3*EXP(Ft!D$38*($A106-Ft!D$2)^2)</f>
        <v>3.3373206412788246E-33</v>
      </c>
      <c r="H106" s="27">
        <f>Ft!E$3*EXP(Ft!E$38*($A106-Ft!E$2)^2)</f>
        <v>7.1499168975065377</v>
      </c>
      <c r="I106" s="27">
        <f>Ft!F$3*EXP(Ft!F$38*($A106-Ft!F$2)^2)</f>
        <v>7.0809464072691508</v>
      </c>
      <c r="J106" s="27">
        <f>Ft!G$3*EXP(Ft!G$38*($A106-Ft!G$2)^2)</f>
        <v>21.59139467639503</v>
      </c>
    </row>
    <row r="107" spans="1:10">
      <c r="A107" s="20">
        <v>105</v>
      </c>
      <c r="B107" s="29">
        <v>10.969696392148194</v>
      </c>
      <c r="C107" s="28">
        <f ca="1">OFFSET($B107,1*(ROWS(C$2:C107)-1),0)</f>
        <v>31.781898328716949</v>
      </c>
      <c r="D107" s="27">
        <f>Ft!B$3*EXP(Ft!B$38*($A107-Ft!B$2)^2) +Ft!C$3*EXP(Ft!C$38*($A107-Ft!C$2)^2) + Ft!D$3*EXP(Ft!D$38*($A107-Ft!D$2)^2)+Ft!E$3*EXP(Ft!E$38*($A107-Ft!E$2)^2) +Ft!F$3*EXP(Ft!F$38*($A107-Ft!F$2)^2) + Ft!G$3*EXP(Ft!G$38*($A107-Ft!G$2)^2)</f>
        <v>204.10172704628488</v>
      </c>
      <c r="E107" s="27">
        <f>Ft!B$3*EXP(Ft!B$38*($A107-Ft!B$2)^2)</f>
        <v>140.1539095245565</v>
      </c>
      <c r="F107" s="27">
        <f>Ft!C$3*EXP(Ft!C$38*($A107-Ft!C$2)^2)</f>
        <v>27.888464256396372</v>
      </c>
      <c r="G107" s="27">
        <f>Ft!D$3*EXP(Ft!D$38*($A107-Ft!D$2)^2)</f>
        <v>5.2618424558003399E-33</v>
      </c>
      <c r="H107" s="27">
        <f>Ft!E$3*EXP(Ft!E$38*($A107-Ft!E$2)^2)</f>
        <v>7.2139778984417138</v>
      </c>
      <c r="I107" s="27">
        <f>Ft!F$3*EXP(Ft!F$38*($A107-Ft!F$2)^2)</f>
        <v>7.1128074179560805</v>
      </c>
      <c r="J107" s="27">
        <f>Ft!G$3*EXP(Ft!G$38*($A107-Ft!G$2)^2)</f>
        <v>21.732567948934228</v>
      </c>
    </row>
    <row r="108" spans="1:10">
      <c r="A108" s="20">
        <v>106</v>
      </c>
      <c r="B108" s="29">
        <v>11.163340480703027</v>
      </c>
      <c r="C108" s="28">
        <f ca="1">OFFSET($B108,1*(ROWS(C$2:C108)-1),0)</f>
        <v>32.256779118562747</v>
      </c>
      <c r="D108" s="27">
        <f>Ft!B$3*EXP(Ft!B$38*($A108-Ft!B$2)^2) +Ft!C$3*EXP(Ft!C$38*($A108-Ft!C$2)^2) + Ft!D$3*EXP(Ft!D$38*($A108-Ft!D$2)^2)+Ft!E$3*EXP(Ft!E$38*($A108-Ft!E$2)^2) +Ft!F$3*EXP(Ft!F$38*($A108-Ft!F$2)^2) + Ft!G$3*EXP(Ft!G$38*($A108-Ft!G$2)^2)</f>
        <v>204.17017934478844</v>
      </c>
      <c r="E108" s="27">
        <f>Ft!B$3*EXP(Ft!B$38*($A108-Ft!B$2)^2)</f>
        <v>139.93520221726897</v>
      </c>
      <c r="F108" s="27">
        <f>Ft!C$3*EXP(Ft!C$38*($A108-Ft!C$2)^2)</f>
        <v>27.937584866886645</v>
      </c>
      <c r="G108" s="27">
        <f>Ft!D$3*EXP(Ft!D$38*($A108-Ft!D$2)^2)</f>
        <v>8.284737811305521E-33</v>
      </c>
      <c r="H108" s="27">
        <f>Ft!E$3*EXP(Ft!E$38*($A108-Ft!E$2)^2)</f>
        <v>7.2785073604695949</v>
      </c>
      <c r="I108" s="27">
        <f>Ft!F$3*EXP(Ft!F$38*($A108-Ft!F$2)^2)</f>
        <v>7.1447882635554976</v>
      </c>
      <c r="J108" s="27">
        <f>Ft!G$3*EXP(Ft!G$38*($A108-Ft!G$2)^2)</f>
        <v>21.874096636607714</v>
      </c>
    </row>
    <row r="109" spans="1:10">
      <c r="A109" s="20">
        <v>107</v>
      </c>
      <c r="B109" s="29">
        <v>11.332259808034649</v>
      </c>
      <c r="C109" s="28">
        <f ca="1">OFFSET($B109,1*(ROWS(C$2:C109)-1),0)</f>
        <v>32.740730746427261</v>
      </c>
      <c r="D109" s="27">
        <f>Ft!B$3*EXP(Ft!B$38*($A109-Ft!B$2)^2) +Ft!C$3*EXP(Ft!C$38*($A109-Ft!C$2)^2) + Ft!D$3*EXP(Ft!D$38*($A109-Ft!D$2)^2)+Ft!E$3*EXP(Ft!E$38*($A109-Ft!E$2)^2) +Ft!F$3*EXP(Ft!F$38*($A109-Ft!F$2)^2) + Ft!G$3*EXP(Ft!G$38*($A109-Ft!G$2)^2)</f>
        <v>204.23927224006579</v>
      </c>
      <c r="E109" s="27">
        <f>Ft!B$3*EXP(Ft!B$38*($A109-Ft!B$2)^2)</f>
        <v>139.71616951495869</v>
      </c>
      <c r="F109" s="27">
        <f>Ft!C$3*EXP(Ft!C$38*($A109-Ft!C$2)^2)</f>
        <v>27.986730173497911</v>
      </c>
      <c r="G109" s="27">
        <f>Ft!D$3*EXP(Ft!D$38*($A109-Ft!D$2)^2)</f>
        <v>1.3026289280990663E-32</v>
      </c>
      <c r="H109" s="27">
        <f>Ft!E$3*EXP(Ft!E$38*($A109-Ft!E$2)^2)</f>
        <v>7.3435075948949011</v>
      </c>
      <c r="I109" s="27">
        <f>Ft!F$3*EXP(Ft!F$38*($A109-Ft!F$2)^2)</f>
        <v>7.1768892717993538</v>
      </c>
      <c r="J109" s="27">
        <f>Ft!G$3*EXP(Ft!G$38*($A109-Ft!G$2)^2)</f>
        <v>22.015975684914924</v>
      </c>
    </row>
    <row r="110" spans="1:10">
      <c r="A110" s="20">
        <v>108</v>
      </c>
      <c r="B110" s="29">
        <v>11.52182957950356</v>
      </c>
      <c r="C110" s="28">
        <f ca="1">OFFSET($B110,1*(ROWS(C$2:C110)-1),0)</f>
        <v>33.230181546578848</v>
      </c>
      <c r="D110" s="27">
        <f>Ft!B$3*EXP(Ft!B$38*($A110-Ft!B$2)^2) +Ft!C$3*EXP(Ft!C$38*($A110-Ft!C$2)^2) + Ft!D$3*EXP(Ft!D$38*($A110-Ft!D$2)^2)+Ft!E$3*EXP(Ft!E$38*($A110-Ft!E$2)^2) +Ft!F$3*EXP(Ft!F$38*($A110-Ft!F$2)^2) + Ft!G$3*EXP(Ft!G$38*($A110-Ft!G$2)^2)</f>
        <v>204.30900568094393</v>
      </c>
      <c r="E110" s="27">
        <f>Ft!B$3*EXP(Ft!B$38*($A110-Ft!B$2)^2)</f>
        <v>139.49681401561796</v>
      </c>
      <c r="F110" s="27">
        <f>Ft!C$3*EXP(Ft!C$38*($A110-Ft!C$2)^2)</f>
        <v>28.035900002364247</v>
      </c>
      <c r="G110" s="27">
        <f>Ft!D$3*EXP(Ft!D$38*($A110-Ft!D$2)^2)</f>
        <v>2.0453314204800879E-32</v>
      </c>
      <c r="H110" s="27">
        <f>Ft!E$3*EXP(Ft!E$38*($A110-Ft!E$2)^2)</f>
        <v>7.4089809131169257</v>
      </c>
      <c r="I110" s="27">
        <f>Ft!F$3*EXP(Ft!F$38*($A110-Ft!F$2)^2)</f>
        <v>7.2091107707030195</v>
      </c>
      <c r="J110" s="27">
        <f>Ft!G$3*EXP(Ft!G$38*($A110-Ft!G$2)^2)</f>
        <v>22.158199979141799</v>
      </c>
    </row>
    <row r="111" spans="1:10">
      <c r="A111" s="20">
        <v>109</v>
      </c>
      <c r="B111" s="29">
        <v>11.712910322262445</v>
      </c>
      <c r="C111" s="28">
        <f ca="1">OFFSET($B111,1*(ROWS(C$2:C111)-1),0)</f>
        <v>33.722828164831469</v>
      </c>
      <c r="D111" s="27">
        <f>Ft!B$3*EXP(Ft!B$38*($A111-Ft!B$2)^2) +Ft!C$3*EXP(Ft!C$38*($A111-Ft!C$2)^2) + Ft!D$3*EXP(Ft!D$38*($A111-Ft!D$2)^2)+Ft!E$3*EXP(Ft!E$38*($A111-Ft!E$2)^2) +Ft!F$3*EXP(Ft!F$38*($A111-Ft!F$2)^2) + Ft!G$3*EXP(Ft!G$38*($A111-Ft!G$2)^2)</f>
        <v>204.37937955649573</v>
      </c>
      <c r="E111" s="27">
        <f>Ft!B$3*EXP(Ft!B$38*($A111-Ft!B$2)^2)</f>
        <v>139.27713831778348</v>
      </c>
      <c r="F111" s="27">
        <f>Ft!C$3*EXP(Ft!C$38*($A111-Ft!C$2)^2)</f>
        <v>28.085094179151437</v>
      </c>
      <c r="G111" s="27">
        <f>Ft!D$3*EXP(Ft!D$38*($A111-Ft!D$2)^2)</f>
        <v>3.2070644178334491E-32</v>
      </c>
      <c r="H111" s="27">
        <f>Ft!E$3*EXP(Ft!E$38*($A111-Ft!E$2)^2)</f>
        <v>7.4749296264957659</v>
      </c>
      <c r="I111" s="27">
        <f>Ft!F$3*EXP(Ft!F$38*($A111-Ft!F$2)^2)</f>
        <v>7.2414530885622055</v>
      </c>
      <c r="J111" s="27">
        <f>Ft!G$3*EXP(Ft!G$38*($A111-Ft!G$2)^2)</f>
        <v>22.300764344502863</v>
      </c>
    </row>
    <row r="112" spans="1:10">
      <c r="A112" s="20">
        <v>110</v>
      </c>
      <c r="B112" s="29">
        <v>11.896485039986999</v>
      </c>
      <c r="C112" s="28">
        <f ca="1">OFFSET($B112,1*(ROWS(C$2:C112)-1),0)</f>
        <v>34.225237407233976</v>
      </c>
      <c r="D112" s="27">
        <f>Ft!B$3*EXP(Ft!B$38*($A112-Ft!B$2)^2) +Ft!C$3*EXP(Ft!C$38*($A112-Ft!C$2)^2) + Ft!D$3*EXP(Ft!D$38*($A112-Ft!D$2)^2)+Ft!E$3*EXP(Ft!E$38*($A112-Ft!E$2)^2) +Ft!F$3*EXP(Ft!F$38*($A112-Ft!F$2)^2) + Ft!G$3*EXP(Ft!G$38*($A112-Ft!G$2)^2)</f>
        <v>204.4503936960032</v>
      </c>
      <c r="E112" s="27">
        <f>Ft!B$3*EXP(Ft!B$38*($A112-Ft!B$2)^2)</f>
        <v>139.05714502048622</v>
      </c>
      <c r="F112" s="27">
        <f>Ft!C$3*EXP(Ft!C$38*($A112-Ft!C$2)^2)</f>
        <v>28.134312529057688</v>
      </c>
      <c r="G112" s="27">
        <f>Ft!D$3*EXP(Ft!D$38*($A112-Ft!D$2)^2)</f>
        <v>5.0217223666027348E-32</v>
      </c>
      <c r="H112" s="27">
        <f>Ft!E$3*EXP(Ft!E$38*($A112-Ft!E$2)^2)</f>
        <v>7.5413560462173539</v>
      </c>
      <c r="I112" s="27">
        <f>Ft!F$3*EXP(Ft!F$38*($A112-Ft!F$2)^2)</f>
        <v>7.2739165539499044</v>
      </c>
      <c r="J112" s="27">
        <f>Ft!G$3*EXP(Ft!G$38*($A112-Ft!G$2)^2)</f>
        <v>22.443663546292047</v>
      </c>
    </row>
    <row r="113" spans="1:10">
      <c r="A113" s="20">
        <v>111</v>
      </c>
      <c r="B113" s="29">
        <v>12.052797268720155</v>
      </c>
      <c r="C113" s="28">
        <f ca="1">OFFSET($B113,1*(ROWS(C$2:C113)-1),0)</f>
        <v>34.815680286828268</v>
      </c>
      <c r="D113" s="27">
        <f>Ft!B$3*EXP(Ft!B$38*($A113-Ft!B$2)^2) +Ft!C$3*EXP(Ft!C$38*($A113-Ft!C$2)^2) + Ft!D$3*EXP(Ft!D$38*($A113-Ft!D$2)^2)+Ft!E$3*EXP(Ft!E$38*($A113-Ft!E$2)^2) +Ft!F$3*EXP(Ft!F$38*($A113-Ft!F$2)^2) + Ft!G$3*EXP(Ft!G$38*($A113-Ft!G$2)^2)</f>
        <v>204.52204786892804</v>
      </c>
      <c r="E113" s="27">
        <f>Ft!B$3*EXP(Ft!B$38*($A113-Ft!B$2)^2)</f>
        <v>138.83683672320089</v>
      </c>
      <c r="F113" s="27">
        <f>Ft!C$3*EXP(Ft!C$38*($A113-Ft!C$2)^2)</f>
        <v>28.183554876814327</v>
      </c>
      <c r="G113" s="27">
        <f>Ft!D$3*EXP(Ft!D$38*($A113-Ft!D$2)^2)</f>
        <v>7.8523334787768944E-32</v>
      </c>
      <c r="H113" s="27">
        <f>Ft!E$3*EXP(Ft!E$38*($A113-Ft!E$2)^2)</f>
        <v>7.6082624831573256</v>
      </c>
      <c r="I113" s="27">
        <f>Ft!F$3*EXP(Ft!F$38*($A113-Ft!F$2)^2)</f>
        <v>7.3065014957132917</v>
      </c>
      <c r="J113" s="27">
        <f>Ft!G$3*EXP(Ft!G$38*($A113-Ft!G$2)^2)</f>
        <v>22.586892290042204</v>
      </c>
    </row>
    <row r="114" spans="1:10">
      <c r="A114" s="20">
        <v>112</v>
      </c>
      <c r="B114" s="29">
        <v>12.230686157111478</v>
      </c>
      <c r="C114" s="28">
        <f ca="1">OFFSET($B114,1*(ROWS(C$2:C114)-1),0)</f>
        <v>35.381788283027902</v>
      </c>
      <c r="D114" s="27">
        <f>Ft!B$3*EXP(Ft!B$38*($A114-Ft!B$2)^2) +Ft!C$3*EXP(Ft!C$38*($A114-Ft!C$2)^2) + Ft!D$3*EXP(Ft!D$38*($A114-Ft!D$2)^2)+Ft!E$3*EXP(Ft!E$38*($A114-Ft!E$2)^2) +Ft!F$3*EXP(Ft!F$38*($A114-Ft!F$2)^2) + Ft!G$3*EXP(Ft!G$38*($A114-Ft!G$2)^2)</f>
        <v>204.5943417848901</v>
      </c>
      <c r="E114" s="27">
        <f>Ft!B$3*EXP(Ft!B$38*($A114-Ft!B$2)^2)</f>
        <v>138.61621602579572</v>
      </c>
      <c r="F114" s="27">
        <f>Ft!C$3*EXP(Ft!C$38*($A114-Ft!C$2)^2)</f>
        <v>28.232821046686574</v>
      </c>
      <c r="G114" s="27">
        <f>Ft!D$3*EXP(Ft!D$38*($A114-Ft!D$2)^2)</f>
        <v>1.2261561870280139E-31</v>
      </c>
      <c r="H114" s="27">
        <f>Ft!E$3*EXP(Ft!E$38*($A114-Ft!E$2)^2)</f>
        <v>7.6756512477436658</v>
      </c>
      <c r="I114" s="27">
        <f>Ft!F$3*EXP(Ft!F$38*($A114-Ft!F$2)^2)</f>
        <v>7.3392082429706127</v>
      </c>
      <c r="J114" s="27">
        <f>Ft!G$3*EXP(Ft!G$38*($A114-Ft!G$2)^2)</f>
        <v>22.730445221693518</v>
      </c>
    </row>
    <row r="115" spans="1:10">
      <c r="A115" s="20">
        <v>113</v>
      </c>
      <c r="B115" s="29">
        <v>12.409584681204421</v>
      </c>
      <c r="C115" s="28">
        <f ca="1">OFFSET($B115,1*(ROWS(C$2:C115)-1),0)</f>
        <v>35.9312302595755</v>
      </c>
      <c r="D115" s="27">
        <f>Ft!B$3*EXP(Ft!B$38*($A115-Ft!B$2)^2) +Ft!C$3*EXP(Ft!C$38*($A115-Ft!C$2)^2) + Ft!D$3*EXP(Ft!D$38*($A115-Ft!D$2)^2)+Ft!E$3*EXP(Ft!E$38*($A115-Ft!E$2)^2) +Ft!F$3*EXP(Ft!F$38*($A115-Ft!F$2)^2) + Ft!G$3*EXP(Ft!G$38*($A115-Ft!G$2)^2)</f>
        <v>204.66727509365336</v>
      </c>
      <c r="E115" s="27">
        <f>Ft!B$3*EXP(Ft!B$38*($A115-Ft!B$2)^2)</f>
        <v>138.39528552848219</v>
      </c>
      <c r="F115" s="27">
        <f>Ft!C$3*EXP(Ft!C$38*($A115-Ft!C$2)^2)</f>
        <v>28.282110862474248</v>
      </c>
      <c r="G115" s="27">
        <f>Ft!D$3*EXP(Ft!D$38*($A115-Ft!D$2)^2)</f>
        <v>1.9120263551785235E-31</v>
      </c>
      <c r="H115" s="27">
        <f>Ft!E$3*EXP(Ft!E$38*($A115-Ft!E$2)^2)</f>
        <v>7.7435246498181813</v>
      </c>
      <c r="I115" s="27">
        <f>Ft!F$3*EXP(Ft!F$38*($A115-Ft!F$2)^2)</f>
        <v>7.3720371251080632</v>
      </c>
      <c r="J115" s="27">
        <f>Ft!G$3*EXP(Ft!G$38*($A115-Ft!G$2)^2)</f>
        <v>22.874316927770714</v>
      </c>
    </row>
    <row r="116" spans="1:10">
      <c r="A116" s="20">
        <v>114</v>
      </c>
      <c r="B116" s="29">
        <v>12.610685455559974</v>
      </c>
      <c r="C116" s="28">
        <f ca="1">OFFSET($B116,1*(ROWS(C$2:C116)-1),0)</f>
        <v>36.494787646648575</v>
      </c>
      <c r="D116" s="27">
        <f>Ft!B$3*EXP(Ft!B$38*($A116-Ft!B$2)^2) +Ft!C$3*EXP(Ft!C$38*($A116-Ft!C$2)^2) + Ft!D$3*EXP(Ft!D$38*($A116-Ft!D$2)^2)+Ft!E$3*EXP(Ft!E$38*($A116-Ft!E$2)^2) +Ft!F$3*EXP(Ft!F$38*($A116-Ft!F$2)^2) + Ft!G$3*EXP(Ft!G$38*($A116-Ft!G$2)^2)</f>
        <v>204.74084738512008</v>
      </c>
      <c r="E116" s="27">
        <f>Ft!B$3*EXP(Ft!B$38*($A116-Ft!B$2)^2)</f>
        <v>138.17404783176505</v>
      </c>
      <c r="F116" s="27">
        <f>Ft!C$3*EXP(Ft!C$38*($A116-Ft!C$2)^2)</f>
        <v>28.331424147512521</v>
      </c>
      <c r="G116" s="27">
        <f>Ft!D$3*EXP(Ft!D$38*($A116-Ft!D$2)^2)</f>
        <v>2.9774397111154521E-31</v>
      </c>
      <c r="H116" s="27">
        <f>Ft!E$3*EXP(Ft!E$38*($A116-Ft!E$2)^2)</f>
        <v>7.8118849984968106</v>
      </c>
      <c r="I116" s="27">
        <f>Ft!F$3*EXP(Ft!F$38*($A116-Ft!F$2)^2)</f>
        <v>7.4049884717766199</v>
      </c>
      <c r="J116" s="27">
        <f>Ft!G$3*EXP(Ft!G$38*($A116-Ft!G$2)^2)</f>
        <v>23.018501935569088</v>
      </c>
    </row>
    <row r="117" spans="1:10">
      <c r="A117" s="20">
        <v>115</v>
      </c>
      <c r="B117" s="29">
        <v>12.778784954560876</v>
      </c>
      <c r="C117" s="28">
        <f ca="1">OFFSET($B117,1*(ROWS(C$2:C117)-1),0)</f>
        <v>37.062424050000743</v>
      </c>
      <c r="D117" s="27">
        <f>Ft!B$3*EXP(Ft!B$38*($A117-Ft!B$2)^2) +Ft!C$3*EXP(Ft!C$38*($A117-Ft!C$2)^2) + Ft!D$3*EXP(Ft!D$38*($A117-Ft!D$2)^2)+Ft!E$3*EXP(Ft!E$38*($A117-Ft!E$2)^2) +Ft!F$3*EXP(Ft!F$38*($A117-Ft!F$2)^2) + Ft!G$3*EXP(Ft!G$38*($A117-Ft!G$2)^2)</f>
        <v>204.81505818933192</v>
      </c>
      <c r="E117" s="27">
        <f>Ft!B$3*EXP(Ft!B$38*($A117-Ft!B$2)^2)</f>
        <v>137.9525055363921</v>
      </c>
      <c r="F117" s="27">
        <f>Ft!C$3*EXP(Ft!C$38*($A117-Ft!C$2)^2)</f>
        <v>28.380760724672676</v>
      </c>
      <c r="G117" s="27">
        <f>Ft!D$3*EXP(Ft!D$38*($A117-Ft!D$2)^2)</f>
        <v>4.6301290987413589E-31</v>
      </c>
      <c r="H117" s="27">
        <f>Ft!E$3*EXP(Ft!E$38*($A117-Ft!E$2)^2)</f>
        <v>7.8807346020287135</v>
      </c>
      <c r="I117" s="27">
        <f>Ft!F$3*EXP(Ft!F$38*($A117-Ft!F$2)^2)</f>
        <v>7.4380626128888929</v>
      </c>
      <c r="J117" s="27">
        <f>Ft!G$3*EXP(Ft!G$38*($A117-Ft!G$2)^2)</f>
        <v>23.162994713349505</v>
      </c>
    </row>
    <row r="118" spans="1:10">
      <c r="A118" s="20">
        <v>116</v>
      </c>
      <c r="B118" s="29">
        <v>12.96845858955993</v>
      </c>
      <c r="C118" s="28">
        <f ca="1">OFFSET($B118,1*(ROWS(C$2:C118)-1),0)</f>
        <v>37.600718472417498</v>
      </c>
      <c r="D118" s="27">
        <f>Ft!B$3*EXP(Ft!B$38*($A118-Ft!B$2)^2) +Ft!C$3*EXP(Ft!C$38*($A118-Ft!C$2)^2) + Ft!D$3*EXP(Ft!D$38*($A118-Ft!D$2)^2)+Ft!E$3*EXP(Ft!E$38*($A118-Ft!E$2)^2) +Ft!F$3*EXP(Ft!F$38*($A118-Ft!F$2)^2) + Ft!G$3*EXP(Ft!G$38*($A118-Ft!G$2)^2)</f>
        <v>204.88990697647944</v>
      </c>
      <c r="E118" s="27">
        <f>Ft!B$3*EXP(Ft!B$38*($A118-Ft!B$2)^2)</f>
        <v>137.73066124330421</v>
      </c>
      <c r="F118" s="27">
        <f>Ft!C$3*EXP(Ft!C$38*($A118-Ft!C$2)^2)</f>
        <v>28.43012041636285</v>
      </c>
      <c r="G118" s="27">
        <f>Ft!D$3*EXP(Ft!D$38*($A118-Ft!D$2)^2)</f>
        <v>7.1902542260140017E-31</v>
      </c>
      <c r="H118" s="27">
        <f>Ft!E$3*EXP(Ft!E$38*($A118-Ft!E$2)^2)</f>
        <v>7.9500757676541882</v>
      </c>
      <c r="I118" s="27">
        <f>Ft!F$3*EXP(Ft!F$38*($A118-Ft!F$2)^2)</f>
        <v>7.4712598786159372</v>
      </c>
      <c r="J118" s="27">
        <f>Ft!G$3*EXP(Ft!G$38*($A118-Ft!G$2)^2)</f>
        <v>23.307789670542245</v>
      </c>
    </row>
    <row r="119" spans="1:10">
      <c r="A119" s="20">
        <v>117</v>
      </c>
      <c r="B119" s="29">
        <v>13.160353711689652</v>
      </c>
      <c r="C119" s="28">
        <f ca="1">OFFSET($B119,1*(ROWS(C$2:C119)-1),0)</f>
        <v>38.162255768047714</v>
      </c>
      <c r="D119" s="27">
        <f>Ft!B$3*EXP(Ft!B$38*($A119-Ft!B$2)^2) +Ft!C$3*EXP(Ft!C$38*($A119-Ft!C$2)^2) + Ft!D$3*EXP(Ft!D$38*($A119-Ft!D$2)^2)+Ft!E$3*EXP(Ft!E$38*($A119-Ft!E$2)^2) +Ft!F$3*EXP(Ft!F$38*($A119-Ft!F$2)^2) + Ft!G$3*EXP(Ft!G$38*($A119-Ft!G$2)^2)</f>
        <v>204.9653931569197</v>
      </c>
      <c r="E119" s="27">
        <f>Ft!B$3*EXP(Ft!B$38*($A119-Ft!B$2)^2)</f>
        <v>137.50851755358556</v>
      </c>
      <c r="F119" s="27">
        <f>Ft!C$3*EXP(Ft!C$38*($A119-Ft!C$2)^2)</f>
        <v>28.479503044528837</v>
      </c>
      <c r="G119" s="27">
        <f>Ft!D$3*EXP(Ft!D$38*($A119-Ft!D$2)^2)</f>
        <v>1.1150553184344974E-30</v>
      </c>
      <c r="H119" s="27">
        <f>Ft!E$3*EXP(Ft!E$38*($A119-Ft!E$2)^2)</f>
        <v>8.0199108014614389</v>
      </c>
      <c r="I119" s="27">
        <f>Ft!F$3*EXP(Ft!F$38*($A119-Ft!F$2)^2)</f>
        <v>7.5045805993840355</v>
      </c>
      <c r="J119" s="27">
        <f>Ft!G$3*EXP(Ft!G$38*($A119-Ft!G$2)^2)</f>
        <v>23.452881157959833</v>
      </c>
    </row>
    <row r="120" spans="1:10">
      <c r="A120" s="20">
        <v>118</v>
      </c>
      <c r="B120" s="29">
        <v>13.328736845980472</v>
      </c>
      <c r="C120" s="28">
        <f ca="1">OFFSET($B120,1*(ROWS(C$2:C120)-1),0)</f>
        <v>38.724273346300777</v>
      </c>
      <c r="D120" s="27">
        <f>Ft!B$3*EXP(Ft!B$38*($A120-Ft!B$2)^2) +Ft!C$3*EXP(Ft!C$38*($A120-Ft!C$2)^2) + Ft!D$3*EXP(Ft!D$38*($A120-Ft!D$2)^2)+Ft!E$3*EXP(Ft!E$38*($A120-Ft!E$2)^2) +Ft!F$3*EXP(Ft!F$38*($A120-Ft!F$2)^2) + Ft!G$3*EXP(Ft!G$38*($A120-Ft!G$2)^2)</f>
        <v>205.04151608120077</v>
      </c>
      <c r="E120" s="27">
        <f>Ft!B$3*EXP(Ft!B$38*($A120-Ft!B$2)^2)</f>
        <v>137.28607706841359</v>
      </c>
      <c r="F120" s="27">
        <f>Ft!C$3*EXP(Ft!C$38*($A120-Ft!C$2)^2)</f>
        <v>28.528908430654788</v>
      </c>
      <c r="G120" s="27">
        <f>Ft!D$3*EXP(Ft!D$38*($A120-Ft!D$2)^2)</f>
        <v>1.7268300704490183E-30</v>
      </c>
      <c r="H120" s="27">
        <f>Ft!E$3*EXP(Ft!E$38*($A120-Ft!E$2)^2)</f>
        <v>8.0902420082421216</v>
      </c>
      <c r="I120" s="27">
        <f>Ft!F$3*EXP(Ft!F$38*($A120-Ft!F$2)^2)</f>
        <v>7.538025105871494</v>
      </c>
      <c r="J120" s="27">
        <f>Ft!G$3*EXP(Ft!G$38*($A120-Ft!G$2)^2)</f>
        <v>23.598263468018789</v>
      </c>
    </row>
    <row r="121" spans="1:10">
      <c r="A121" s="20">
        <v>119</v>
      </c>
      <c r="B121" s="29">
        <v>13.499949574380963</v>
      </c>
      <c r="C121" s="28">
        <f ca="1">OFFSET($B121,1*(ROWS(C$2:C121)-1),0)</f>
        <v>39.291900589379082</v>
      </c>
      <c r="D121" s="27">
        <f>Ft!B$3*EXP(Ft!B$38*($A121-Ft!B$2)^2) +Ft!C$3*EXP(Ft!C$38*($A121-Ft!C$2)^2) + Ft!D$3*EXP(Ft!D$38*($A121-Ft!D$2)^2)+Ft!E$3*EXP(Ft!E$38*($A121-Ft!E$2)^2) +Ft!F$3*EXP(Ft!F$38*($A121-Ft!F$2)^2) + Ft!G$3*EXP(Ft!G$38*($A121-Ft!G$2)^2)</f>
        <v>205.118275040095</v>
      </c>
      <c r="E121" s="27">
        <f>Ft!B$3*EXP(Ft!B$38*($A121-Ft!B$2)^2)</f>
        <v>137.06334238900939</v>
      </c>
      <c r="F121" s="27">
        <f>Ft!C$3*EXP(Ft!C$38*($A121-Ft!C$2)^2)</f>
        <v>28.578336395764058</v>
      </c>
      <c r="G121" s="27">
        <f>Ft!D$3*EXP(Ft!D$38*($A121-Ft!D$2)^2)</f>
        <v>2.6705690634266402E-30</v>
      </c>
      <c r="H121" s="27">
        <f>Ft!E$3*EXP(Ft!E$38*($A121-Ft!E$2)^2)</f>
        <v>8.1610716913457413</v>
      </c>
      <c r="I121" s="27">
        <f>Ft!F$3*EXP(Ft!F$38*($A121-Ft!F$2)^2)</f>
        <v>7.5715937290053912</v>
      </c>
      <c r="J121" s="27">
        <f>Ft!G$3*EXP(Ft!G$38*($A121-Ft!G$2)^2)</f>
        <v>23.743930834970403</v>
      </c>
    </row>
    <row r="122" spans="1:10">
      <c r="A122" s="20">
        <v>120</v>
      </c>
      <c r="B122" s="29">
        <v>13.6951030192362</v>
      </c>
      <c r="C122" s="28">
        <f ca="1">OFFSET($B122,1*(ROWS(C$2:C122)-1),0)</f>
        <v>39.770823437660511</v>
      </c>
      <c r="D122" s="27">
        <f>Ft!B$3*EXP(Ft!B$38*($A122-Ft!B$2)^2) +Ft!C$3*EXP(Ft!C$38*($A122-Ft!C$2)^2) + Ft!D$3*EXP(Ft!D$38*($A122-Ft!D$2)^2)+Ft!E$3*EXP(Ft!E$38*($A122-Ft!E$2)^2) +Ft!F$3*EXP(Ft!F$38*($A122-Ft!F$2)^2) + Ft!G$3*EXP(Ft!G$38*($A122-Ft!G$2)^2)</f>
        <v>205.19566926463972</v>
      </c>
      <c r="E122" s="27">
        <f>Ft!B$3*EXP(Ft!B$38*($A122-Ft!B$2)^2)</f>
        <v>136.84031611658807</v>
      </c>
      <c r="F122" s="27">
        <f>Ft!C$3*EXP(Ft!C$38*($A122-Ft!C$2)^2)</f>
        <v>28.627786760419948</v>
      </c>
      <c r="G122" s="27">
        <f>Ft!D$3*EXP(Ft!D$38*($A122-Ft!D$2)^2)</f>
        <v>4.1243835544811788E-30</v>
      </c>
      <c r="H122" s="27">
        <f>Ft!E$3*EXP(Ft!E$38*($A122-Ft!E$2)^2)</f>
        <v>8.2324021525328774</v>
      </c>
      <c r="I122" s="27">
        <f>Ft!F$3*EXP(Ft!F$38*($A122-Ft!F$2)^2)</f>
        <v>7.6052867999583178</v>
      </c>
      <c r="J122" s="27">
        <f>Ft!G$3*EXP(Ft!G$38*($A122-Ft!G$2)^2)</f>
        <v>23.889877435140491</v>
      </c>
    </row>
    <row r="123" spans="1:10">
      <c r="A123" s="20">
        <v>121</v>
      </c>
      <c r="B123" s="29">
        <v>13.866163896867732</v>
      </c>
      <c r="C123" s="28">
        <f ca="1">OFFSET($B123,1*(ROWS(C$2:C123)-1),0)</f>
        <v>40.168874241063747</v>
      </c>
      <c r="D123" s="27">
        <f>Ft!B$3*EXP(Ft!B$38*($A123-Ft!B$2)^2) +Ft!C$3*EXP(Ft!C$38*($A123-Ft!C$2)^2) + Ft!D$3*EXP(Ft!D$38*($A123-Ft!D$2)^2)+Ft!E$3*EXP(Ft!E$38*($A123-Ft!E$2)^2) +Ft!F$3*EXP(Ft!F$38*($A123-Ft!F$2)^2) + Ft!G$3*EXP(Ft!G$38*($A123-Ft!G$2)^2)</f>
        <v>205.27369792618595</v>
      </c>
      <c r="E123" s="27">
        <f>Ft!B$3*EXP(Ft!B$38*($A123-Ft!B$2)^2)</f>
        <v>136.61700085230896</v>
      </c>
      <c r="F123" s="27">
        <f>Ft!C$3*EXP(Ft!C$38*($A123-Ft!C$2)^2)</f>
        <v>28.677259344726512</v>
      </c>
      <c r="G123" s="27">
        <f>Ft!D$3*EXP(Ft!D$38*($A123-Ft!D$2)^2)</f>
        <v>6.3608521495055769E-30</v>
      </c>
      <c r="H123" s="27">
        <f>Ft!E$3*EXP(Ft!E$38*($A123-Ft!E$2)^2)</f>
        <v>8.3042356918272286</v>
      </c>
      <c r="I123" s="27">
        <f>Ft!F$3*EXP(Ft!F$38*($A123-Ft!F$2)^2)</f>
        <v>7.6391046501450983</v>
      </c>
      <c r="J123" s="27">
        <f>Ft!G$3*EXP(Ft!G$38*($A123-Ft!G$2)^2)</f>
        <v>24.03609738717817</v>
      </c>
    </row>
    <row r="124" spans="1:10">
      <c r="A124" s="20">
        <v>122</v>
      </c>
      <c r="B124" s="29">
        <v>14.046353878849629</v>
      </c>
      <c r="C124" s="28">
        <f ca="1">OFFSET($B124,1*(ROWS(C$2:C124)-1),0)</f>
        <v>40.446895427419491</v>
      </c>
      <c r="D124" s="27">
        <f>Ft!B$3*EXP(Ft!B$38*($A124-Ft!B$2)^2) +Ft!C$3*EXP(Ft!C$38*($A124-Ft!C$2)^2) + Ft!D$3*EXP(Ft!D$38*($A124-Ft!D$2)^2)+Ft!E$3*EXP(Ft!E$38*($A124-Ft!E$2)^2) +Ft!F$3*EXP(Ft!F$38*($A124-Ft!F$2)^2) + Ft!G$3*EXP(Ft!G$38*($A124-Ft!G$2)^2)</f>
        <v>205.35236013645522</v>
      </c>
      <c r="E124" s="27">
        <f>Ft!B$3*EXP(Ft!B$38*($A124-Ft!B$2)^2)</f>
        <v>136.39339919722619</v>
      </c>
      <c r="F124" s="27">
        <f>Ft!C$3*EXP(Ft!C$38*($A124-Ft!C$2)^2)</f>
        <v>28.726753968329348</v>
      </c>
      <c r="G124" s="27">
        <f>Ft!D$3*EXP(Ft!D$38*($A124-Ft!D$2)^2)</f>
        <v>9.7965368706061526E-30</v>
      </c>
      <c r="H124" s="27">
        <f>Ft!E$3*EXP(Ft!E$38*($A124-Ft!E$2)^2)</f>
        <v>8.3765746073664875</v>
      </c>
      <c r="I124" s="27">
        <f>Ft!F$3*EXP(Ft!F$38*($A124-Ft!F$2)^2)</f>
        <v>7.6730476112195065</v>
      </c>
      <c r="J124" s="27">
        <f>Ft!G$3*EXP(Ft!G$38*($A124-Ft!G$2)^2)</f>
        <v>24.182584752313687</v>
      </c>
    </row>
    <row r="125" spans="1:10">
      <c r="A125" s="20">
        <v>123</v>
      </c>
      <c r="B125" s="29">
        <v>14.210347087207793</v>
      </c>
      <c r="C125" s="28">
        <f ca="1">OFFSET($B125,1*(ROWS(C$2:C125)-1),0)</f>
        <v>40.674191523788522</v>
      </c>
      <c r="D125" s="27">
        <f>Ft!B$3*EXP(Ft!B$38*($A125-Ft!B$2)^2) +Ft!C$3*EXP(Ft!C$38*($A125-Ft!C$2)^2) + Ft!D$3*EXP(Ft!D$38*($A125-Ft!D$2)^2)+Ft!E$3*EXP(Ft!E$38*($A125-Ft!E$2)^2) +Ft!F$3*EXP(Ft!F$38*($A125-Ft!F$2)^2) + Ft!G$3*EXP(Ft!G$38*($A125-Ft!G$2)^2)</f>
        <v>205.43165494760407</v>
      </c>
      <c r="E125" s="27">
        <f>Ft!B$3*EXP(Ft!B$38*($A125-Ft!B$2)^2)</f>
        <v>136.16951375223937</v>
      </c>
      <c r="F125" s="27">
        <f>Ft!C$3*EXP(Ft!C$38*($A125-Ft!C$2)^2)</f>
        <v>28.776270450416391</v>
      </c>
      <c r="G125" s="27">
        <f>Ft!D$3*EXP(Ft!D$38*($A125-Ft!D$2)^2)</f>
        <v>1.5067141796739297E-29</v>
      </c>
      <c r="H125" s="27">
        <f>Ft!E$3*EXP(Ft!E$38*($A125-Ft!E$2)^2)</f>
        <v>8.4494211952520555</v>
      </c>
      <c r="I125" s="27">
        <f>Ft!F$3*EXP(Ft!F$38*($A125-Ft!F$2)^2)</f>
        <v>7.7071160150709321</v>
      </c>
      <c r="J125" s="27">
        <f>Ft!G$3*EXP(Ft!G$38*($A125-Ft!G$2)^2)</f>
        <v>24.329333534625302</v>
      </c>
    </row>
    <row r="126" spans="1:10">
      <c r="A126" s="20">
        <v>124</v>
      </c>
      <c r="B126" s="29">
        <v>14.387525308725145</v>
      </c>
      <c r="C126" s="28">
        <f ca="1">OFFSET($B126,1*(ROWS(C$2:C126)-1),0)</f>
        <v>40.823291326657966</v>
      </c>
      <c r="D126" s="27">
        <f>Ft!B$3*EXP(Ft!B$38*($A126-Ft!B$2)^2) +Ft!C$3*EXP(Ft!C$38*($A126-Ft!C$2)^2) + Ft!D$3*EXP(Ft!D$38*($A126-Ft!D$2)^2)+Ft!E$3*EXP(Ft!E$38*($A126-Ft!E$2)^2) +Ft!F$3*EXP(Ft!F$38*($A126-Ft!F$2)^2) + Ft!G$3*EXP(Ft!G$38*($A126-Ft!G$2)^2)</f>
        <v>205.51158135229676</v>
      </c>
      <c r="E126" s="27">
        <f>Ft!B$3*EXP(Ft!B$38*($A126-Ft!B$2)^2)</f>
        <v>135.94534711804408</v>
      </c>
      <c r="F126" s="27">
        <f>Ft!C$3*EXP(Ft!C$38*($A126-Ft!C$2)^2)</f>
        <v>28.825808609718749</v>
      </c>
      <c r="G126" s="27">
        <f>Ft!D$3*EXP(Ft!D$38*($A126-Ft!D$2)^2)</f>
        <v>2.3141430163970268E-29</v>
      </c>
      <c r="H126" s="27">
        <f>Ft!E$3*EXP(Ft!E$38*($A126-Ft!E$2)^2)</f>
        <v>8.5227777493976085</v>
      </c>
      <c r="I126" s="27">
        <f>Ft!F$3*EXP(Ft!F$38*($A126-Ft!F$2)^2)</f>
        <v>7.7413101938210653</v>
      </c>
      <c r="J126" s="27">
        <f>Ft!G$3*EXP(Ft!G$38*($A126-Ft!G$2)^2)</f>
        <v>24.476337681315208</v>
      </c>
    </row>
    <row r="127" spans="1:10">
      <c r="A127" s="20">
        <v>125</v>
      </c>
      <c r="B127" s="29">
        <v>14.574217688715834</v>
      </c>
      <c r="C127" s="28">
        <f ca="1">OFFSET($B127,1*(ROWS(C$2:C127)-1),0)</f>
        <v>40.951537460333725</v>
      </c>
      <c r="D127" s="27">
        <f>Ft!B$3*EXP(Ft!B$38*($A127-Ft!B$2)^2) +Ft!C$3*EXP(Ft!C$38*($A127-Ft!C$2)^2) + Ft!D$3*EXP(Ft!D$38*($A127-Ft!D$2)^2)+Ft!E$3*EXP(Ft!E$38*($A127-Ft!E$2)^2) +Ft!F$3*EXP(Ft!F$38*($A127-Ft!F$2)^2) + Ft!G$3*EXP(Ft!G$38*($A127-Ft!G$2)^2)</f>
        <v>205.59213828378574</v>
      </c>
      <c r="E127" s="27">
        <f>Ft!B$3*EXP(Ft!B$38*($A127-Ft!B$2)^2)</f>
        <v>135.7209018950827</v>
      </c>
      <c r="F127" s="27">
        <f>Ft!C$3*EXP(Ft!C$38*($A127-Ft!C$2)^2)</f>
        <v>28.87536826451149</v>
      </c>
      <c r="G127" s="27">
        <f>Ft!D$3*EXP(Ft!D$38*($A127-Ft!D$2)^2)</f>
        <v>3.5493639740556267E-29</v>
      </c>
      <c r="H127" s="27">
        <f>Ft!E$3*EXP(Ft!E$38*($A127-Ft!E$2)^2)</f>
        <v>8.5966465613764651</v>
      </c>
      <c r="I127" s="27">
        <f>Ft!F$3*EXP(Ft!F$38*($A127-Ft!F$2)^2)</f>
        <v>7.7756304798205207</v>
      </c>
      <c r="J127" s="27">
        <f>Ft!G$3*EXP(Ft!G$38*($A127-Ft!G$2)^2)</f>
        <v>24.623591082994562</v>
      </c>
    </row>
    <row r="128" spans="1:10">
      <c r="A128" s="20">
        <v>126</v>
      </c>
      <c r="B128" s="29">
        <v>14.777167821591888</v>
      </c>
      <c r="C128" s="28">
        <f ca="1">OFFSET($B128,1*(ROWS(C$2:C128)-1),0)</f>
        <v>41.067580417233387</v>
      </c>
      <c r="D128" s="27">
        <f>Ft!B$3*EXP(Ft!B$38*($A128-Ft!B$2)^2) +Ft!C$3*EXP(Ft!C$38*($A128-Ft!C$2)^2) + Ft!D$3*EXP(Ft!D$38*($A128-Ft!D$2)^2)+Ft!E$3*EXP(Ft!E$38*($A128-Ft!E$2)^2) +Ft!F$3*EXP(Ft!F$38*($A128-Ft!F$2)^2) + Ft!G$3*EXP(Ft!G$38*($A128-Ft!G$2)^2)</f>
        <v>205.67332461600063</v>
      </c>
      <c r="E128" s="27">
        <f>Ft!B$3*EXP(Ft!B$38*($A128-Ft!B$2)^2)</f>
        <v>135.49618068349517</v>
      </c>
      <c r="F128" s="27">
        <f>Ft!C$3*EXP(Ft!C$38*($A128-Ft!C$2)^2)</f>
        <v>28.924949232614487</v>
      </c>
      <c r="G128" s="27">
        <f>Ft!D$3*EXP(Ft!D$38*($A128-Ft!D$2)^2)</f>
        <v>5.4364062151906489E-29</v>
      </c>
      <c r="H128" s="27">
        <f>Ft!E$3*EXP(Ft!E$38*($A128-Ft!E$2)^2)</f>
        <v>8.6710299202678645</v>
      </c>
      <c r="I128" s="27">
        <f>Ft!F$3*EXP(Ft!F$38*($A128-Ft!F$2)^2)</f>
        <v>7.810077205645487</v>
      </c>
      <c r="J128" s="27">
        <f>Ft!G$3*EXP(Ft!G$38*($A128-Ft!G$2)^2)</f>
        <v>24.771087573977624</v>
      </c>
    </row>
    <row r="129" spans="1:10">
      <c r="A129" s="20">
        <v>127</v>
      </c>
      <c r="B129" s="29">
        <v>14.961044230915292</v>
      </c>
      <c r="C129" s="28">
        <f ca="1">OFFSET($B129,1*(ROWS(C$2:C129)-1),0)</f>
        <v>41.200496818677607</v>
      </c>
      <c r="D129" s="27">
        <f>Ft!B$3*EXP(Ft!B$38*($A129-Ft!B$2)^2) +Ft!C$3*EXP(Ft!C$38*($A129-Ft!C$2)^2) + Ft!D$3*EXP(Ft!D$38*($A129-Ft!D$2)^2)+Ft!E$3*EXP(Ft!E$38*($A129-Ft!E$2)^2) +Ft!F$3*EXP(Ft!F$38*($A129-Ft!F$2)^2) + Ft!G$3*EXP(Ft!G$38*($A129-Ft!G$2)^2)</f>
        <v>205.75513916364443</v>
      </c>
      <c r="E129" s="27">
        <f>Ft!B$3*EXP(Ft!B$38*($A129-Ft!B$2)^2)</f>
        <v>135.27118608306995</v>
      </c>
      <c r="F129" s="27">
        <f>Ft!C$3*EXP(Ft!C$38*($A129-Ft!C$2)^2)</f>
        <v>28.974551331393211</v>
      </c>
      <c r="G129" s="27">
        <f>Ft!D$3*EXP(Ft!D$38*($A129-Ft!D$2)^2)</f>
        <v>8.3152303662855527E-29</v>
      </c>
      <c r="H129" s="27">
        <f>Ft!E$3*EXP(Ft!E$38*($A129-Ft!E$2)^2)</f>
        <v>8.745930112502009</v>
      </c>
      <c r="I129" s="27">
        <f>Ft!F$3*EXP(Ft!F$38*($A129-Ft!F$2)^2)</f>
        <v>7.8446507040943398</v>
      </c>
      <c r="J129" s="27">
        <f>Ft!G$3*EXP(Ft!G$38*($A129-Ft!G$2)^2)</f>
        <v>24.918820932584929</v>
      </c>
    </row>
    <row r="130" spans="1:10">
      <c r="A130" s="20">
        <v>128</v>
      </c>
      <c r="B130" s="29">
        <v>15.149173782330706</v>
      </c>
      <c r="C130" s="28">
        <f ca="1">OFFSET($B130,1*(ROWS(C$2:C130)-1),0)</f>
        <v>41.34079029367183</v>
      </c>
      <c r="D130" s="27">
        <f>Ft!B$3*EXP(Ft!B$38*($A130-Ft!B$2)^2) +Ft!C$3*EXP(Ft!C$38*($A130-Ft!C$2)^2) + Ft!D$3*EXP(Ft!D$38*($A130-Ft!D$2)^2)+Ft!E$3*EXP(Ft!E$38*($A130-Ft!E$2)^2) +Ft!F$3*EXP(Ft!F$38*($A130-Ft!F$2)^2) + Ft!G$3*EXP(Ft!G$38*($A130-Ft!G$2)^2)</f>
        <v>205.83758068229852</v>
      </c>
      <c r="E130" s="27">
        <f>Ft!B$3*EXP(Ft!B$38*($A130-Ft!B$2)^2)</f>
        <v>135.04592069319503</v>
      </c>
      <c r="F130" s="27">
        <f>Ft!C$3*EXP(Ft!C$38*($A130-Ft!C$2)^2)</f>
        <v>29.024174377759621</v>
      </c>
      <c r="G130" s="27">
        <f>Ft!D$3*EXP(Ft!D$38*($A130-Ft!D$2)^2)</f>
        <v>1.2700993460442376E-28</v>
      </c>
      <c r="H130" s="27">
        <f>Ft!E$3*EXP(Ft!E$38*($A130-Ft!E$2)^2)</f>
        <v>8.821349421704042</v>
      </c>
      <c r="I130" s="27">
        <f>Ft!F$3*EXP(Ft!F$38*($A130-Ft!F$2)^2)</f>
        <v>7.8793513081842059</v>
      </c>
      <c r="J130" s="27">
        <f>Ft!G$3*EXP(Ft!G$38*($A130-Ft!G$2)^2)</f>
        <v>25.066784881455625</v>
      </c>
    </row>
    <row r="131" spans="1:10">
      <c r="A131" s="20">
        <v>129</v>
      </c>
      <c r="B131" s="29">
        <v>15.321722432805302</v>
      </c>
      <c r="C131" s="28">
        <f ca="1">OFFSET($B131,1*(ROWS(C$2:C131)-1),0)</f>
        <v>41.525005033410423</v>
      </c>
      <c r="D131" s="27">
        <f>Ft!B$3*EXP(Ft!B$38*($A131-Ft!B$2)^2) +Ft!C$3*EXP(Ft!C$38*($A131-Ft!C$2)^2) + Ft!D$3*EXP(Ft!D$38*($A131-Ft!D$2)^2)+Ft!E$3*EXP(Ft!E$38*($A131-Ft!E$2)^2) +Ft!F$3*EXP(Ft!F$38*($A131-Ft!F$2)^2) + Ft!G$3*EXP(Ft!G$38*($A131-Ft!G$2)^2)</f>
        <v>205.92064786853521</v>
      </c>
      <c r="E131" s="27">
        <f>Ft!B$3*EXP(Ft!B$38*($A131-Ft!B$2)^2)</f>
        <v>134.82038711280899</v>
      </c>
      <c r="F131" s="27">
        <f>Ft!C$3*EXP(Ft!C$38*($A131-Ft!C$2)^2)</f>
        <v>29.07381818817295</v>
      </c>
      <c r="G131" s="27">
        <f>Ft!D$3*EXP(Ft!D$38*($A131-Ft!D$2)^2)</f>
        <v>1.9373233865686559E-28</v>
      </c>
      <c r="H131" s="27">
        <f>Ft!E$3*EXP(Ft!E$38*($A131-Ft!E$2)^2)</f>
        <v>8.8972901285368007</v>
      </c>
      <c r="I131" s="27">
        <f>Ft!F$3*EXP(Ft!F$38*($A131-Ft!F$2)^2)</f>
        <v>7.9141793511475669</v>
      </c>
      <c r="J131" s="27">
        <f>Ft!G$3*EXP(Ft!G$38*($A131-Ft!G$2)^2)</f>
        <v>25.214973087868916</v>
      </c>
    </row>
    <row r="132" spans="1:10">
      <c r="A132" s="20">
        <v>130</v>
      </c>
      <c r="B132" s="29">
        <v>15.483601489081508</v>
      </c>
      <c r="C132" s="28">
        <f ca="1">OFFSET($B132,1*(ROWS(C$2:C132)-1),0)</f>
        <v>41.886978421684432</v>
      </c>
      <c r="D132" s="27">
        <f>Ft!B$3*EXP(Ft!B$38*($A132-Ft!B$2)^2) +Ft!C$3*EXP(Ft!C$38*($A132-Ft!C$2)^2) + Ft!D$3*EXP(Ft!D$38*($A132-Ft!D$2)^2)+Ft!E$3*EXP(Ft!E$38*($A132-Ft!E$2)^2) +Ft!F$3*EXP(Ft!F$38*($A132-Ft!F$2)^2) + Ft!G$3*EXP(Ft!G$38*($A132-Ft!G$2)^2)</f>
        <v>206.00433936003864</v>
      </c>
      <c r="E132" s="27">
        <f>Ft!B$3*EXP(Ft!B$38*($A132-Ft!B$2)^2)</f>
        <v>134.59458794035217</v>
      </c>
      <c r="F132" s="27">
        <f>Ft!C$3*EXP(Ft!C$38*($A132-Ft!C$2)^2)</f>
        <v>29.123482578640591</v>
      </c>
      <c r="G132" s="27">
        <f>Ft!D$3*EXP(Ft!D$38*($A132-Ft!D$2)^2)</f>
        <v>2.9509888706085752E-28</v>
      </c>
      <c r="H132" s="27">
        <f>Ft!E$3*EXP(Ft!E$38*($A132-Ft!E$2)^2)</f>
        <v>8.9737545105425021</v>
      </c>
      <c r="I132" s="27">
        <f>Ft!F$3*EXP(Ft!F$38*($A132-Ft!F$2)^2)</f>
        <v>7.9491351664287935</v>
      </c>
      <c r="J132" s="27">
        <f>Ft!G$3*EXP(Ft!G$38*($A132-Ft!G$2)^2)</f>
        <v>25.363379164074594</v>
      </c>
    </row>
    <row r="133" spans="1:10">
      <c r="A133" s="20">
        <v>131</v>
      </c>
      <c r="B133" s="29">
        <v>15.643859764964049</v>
      </c>
      <c r="C133" s="28">
        <f ca="1">OFFSET($B133,1*(ROWS(C$2:C133)-1),0)</f>
        <v>42.303395582887475</v>
      </c>
      <c r="D133" s="27">
        <f>Ft!B$3*EXP(Ft!B$38*($A133-Ft!B$2)^2) +Ft!C$3*EXP(Ft!C$38*($A133-Ft!C$2)^2) + Ft!D$3*EXP(Ft!D$38*($A133-Ft!D$2)^2)+Ft!E$3*EXP(Ft!E$38*($A133-Ft!E$2)^2) +Ft!F$3*EXP(Ft!F$38*($A133-Ft!F$2)^2) + Ft!G$3*EXP(Ft!G$38*($A133-Ft!G$2)^2)</f>
        <v>206.0886537357336</v>
      </c>
      <c r="E133" s="27">
        <f>Ft!B$3*EXP(Ft!B$38*($A133-Ft!B$2)^2)</f>
        <v>134.36852577371801</v>
      </c>
      <c r="F133" s="27">
        <f>Ft!C$3*EXP(Ft!C$38*($A133-Ft!C$2)^2)</f>
        <v>29.173167364718935</v>
      </c>
      <c r="G133" s="27">
        <f>Ft!D$3*EXP(Ft!D$38*($A133-Ft!D$2)^2)</f>
        <v>4.4888391539359069E-28</v>
      </c>
      <c r="H133" s="27">
        <f>Ft!E$3*EXP(Ft!E$38*($A133-Ft!E$2)^2)</f>
        <v>9.050744841983251</v>
      </c>
      <c r="I133" s="27">
        <f>Ft!F$3*EXP(Ft!F$38*($A133-Ft!F$2)^2)</f>
        <v>7.9842190876806898</v>
      </c>
      <c r="J133" s="27">
        <f>Ft!G$3*EXP(Ft!G$38*($A133-Ft!G$2)^2)</f>
        <v>25.511996667632719</v>
      </c>
    </row>
    <row r="134" spans="1:10">
      <c r="A134" s="20">
        <v>132</v>
      </c>
      <c r="B134" s="29">
        <v>15.816000534660589</v>
      </c>
      <c r="C134" s="28">
        <f ca="1">OFFSET($B134,1*(ROWS(C$2:C134)-1),0)</f>
        <v>42.741564736196779</v>
      </c>
      <c r="D134" s="27">
        <f>Ft!B$3*EXP(Ft!B$38*($A134-Ft!B$2)^2) +Ft!C$3*EXP(Ft!C$38*($A134-Ft!C$2)^2) + Ft!D$3*EXP(Ft!D$38*($A134-Ft!D$2)^2)+Ft!E$3*EXP(Ft!E$38*($A134-Ft!E$2)^2) +Ft!F$3*EXP(Ft!F$38*($A134-Ft!F$2)^2) + Ft!G$3*EXP(Ft!G$38*($A134-Ft!G$2)^2)</f>
        <v>206.17358951592234</v>
      </c>
      <c r="E134" s="27">
        <f>Ft!B$3*EXP(Ft!B$38*($A134-Ft!B$2)^2)</f>
        <v>134.14220321020434</v>
      </c>
      <c r="F134" s="27">
        <f>Ft!C$3*EXP(Ft!C$38*($A134-Ft!C$2)^2)</f>
        <v>29.222872361514231</v>
      </c>
      <c r="G134" s="27">
        <f>Ft!D$3*EXP(Ft!D$38*($A134-Ft!D$2)^2)</f>
        <v>6.8186992857554553E-28</v>
      </c>
      <c r="H134" s="27">
        <f>Ft!E$3*EXP(Ft!E$38*($A134-Ft!E$2)^2)</f>
        <v>9.1282633936803848</v>
      </c>
      <c r="I134" s="27">
        <f>Ft!F$3*EXP(Ft!F$38*($A134-Ft!F$2)^2)</f>
        <v>8.0194314487610114</v>
      </c>
      <c r="J134" s="27">
        <f>Ft!G$3*EXP(Ft!G$38*($A134-Ft!G$2)^2)</f>
        <v>25.660819101762399</v>
      </c>
    </row>
    <row r="135" spans="1:10">
      <c r="A135" s="20">
        <v>133</v>
      </c>
      <c r="B135" s="29">
        <v>15.998081767926834</v>
      </c>
      <c r="C135" s="28">
        <f ca="1">OFFSET($B135,1*(ROWS(C$2:C135)-1),0)</f>
        <v>43.209688971873959</v>
      </c>
      <c r="D135" s="27">
        <f>Ft!B$3*EXP(Ft!B$38*($A135-Ft!B$2)^2) +Ft!C$3*EXP(Ft!C$38*($A135-Ft!C$2)^2) + Ft!D$3*EXP(Ft!D$38*($A135-Ft!D$2)^2)+Ft!E$3*EXP(Ft!E$38*($A135-Ft!E$2)^2) +Ft!F$3*EXP(Ft!F$38*($A135-Ft!F$2)^2) + Ft!G$3*EXP(Ft!G$38*($A135-Ft!G$2)^2)</f>
        <v>206.25914516242986</v>
      </c>
      <c r="E135" s="27">
        <f>Ft!B$3*EXP(Ft!B$38*($A135-Ft!B$2)^2)</f>
        <v>133.91562284646497</v>
      </c>
      <c r="F135" s="27">
        <f>Ft!C$3*EXP(Ft!C$38*($A135-Ft!C$2)^2)</f>
        <v>29.272597383683458</v>
      </c>
      <c r="G135" s="27">
        <f>Ft!D$3*EXP(Ft!D$38*($A135-Ft!D$2)^2)</f>
        <v>1.0343560372706327E-27</v>
      </c>
      <c r="H135" s="27">
        <f>Ft!E$3*EXP(Ft!E$38*($A135-Ft!E$2)^2)</f>
        <v>9.2063124328527817</v>
      </c>
      <c r="I135" s="27">
        <f>Ft!F$3*EXP(Ft!F$38*($A135-Ft!F$2)^2)</f>
        <v>8.0547725837289512</v>
      </c>
      <c r="J135" s="27">
        <f>Ft!G$3*EXP(Ft!G$38*($A135-Ft!G$2)^2)</f>
        <v>25.809839915699708</v>
      </c>
    </row>
    <row r="136" spans="1:10">
      <c r="A136" s="20">
        <v>134</v>
      </c>
      <c r="B136" s="29">
        <v>16.179396027476258</v>
      </c>
      <c r="C136" s="28">
        <f ca="1">OFFSET($B136,1*(ROWS(C$2:C136)-1),0)</f>
        <v>43.648573448791581</v>
      </c>
      <c r="D136" s="27">
        <f>Ft!B$3*EXP(Ft!B$38*($A136-Ft!B$2)^2) +Ft!C$3*EXP(Ft!C$38*($A136-Ft!C$2)^2) + Ft!D$3*EXP(Ft!D$38*($A136-Ft!D$2)^2)+Ft!E$3*EXP(Ft!E$38*($A136-Ft!E$2)^2) +Ft!F$3*EXP(Ft!F$38*($A136-Ft!F$2)^2) + Ft!G$3*EXP(Ft!G$38*($A136-Ft!G$2)^2)</f>
        <v>206.34531907875657</v>
      </c>
      <c r="E136" s="27">
        <f>Ft!B$3*EXP(Ft!B$38*($A136-Ft!B$2)^2)</f>
        <v>133.68878727846112</v>
      </c>
      <c r="F136" s="27">
        <f>Ft!C$3*EXP(Ft!C$38*($A136-Ft!C$2)^2)</f>
        <v>29.322342245435195</v>
      </c>
      <c r="G136" s="27">
        <f>Ft!D$3*EXP(Ft!D$38*($A136-Ft!D$2)^2)</f>
        <v>1.5668939050149511E-27</v>
      </c>
      <c r="H136" s="27">
        <f>Ft!E$3*EXP(Ft!E$38*($A136-Ft!E$2)^2)</f>
        <v>9.2848942229539464</v>
      </c>
      <c r="I136" s="27">
        <f>Ft!F$3*EXP(Ft!F$38*($A136-Ft!F$2)^2)</f>
        <v>8.0902428268416244</v>
      </c>
      <c r="J136" s="27">
        <f>Ft!G$3*EXP(Ft!G$38*($A136-Ft!G$2)^2)</f>
        <v>25.95905250506469</v>
      </c>
    </row>
    <row r="137" spans="1:10">
      <c r="A137" s="20">
        <v>135</v>
      </c>
      <c r="B137" s="29">
        <v>16.3579838798656</v>
      </c>
      <c r="C137" s="28">
        <f ca="1">OFFSET($B137,1*(ROWS(C$2:C137)-1),0)</f>
        <v>44.083119291530693</v>
      </c>
      <c r="D137" s="27">
        <f>Ft!B$3*EXP(Ft!B$38*($A137-Ft!B$2)^2) +Ft!C$3*EXP(Ft!C$38*($A137-Ft!C$2)^2) + Ft!D$3*EXP(Ft!D$38*($A137-Ft!D$2)^2)+Ft!E$3*EXP(Ft!E$38*($A137-Ft!E$2)^2) +Ft!F$3*EXP(Ft!F$38*($A137-Ft!F$2)^2) + Ft!G$3*EXP(Ft!G$38*($A137-Ft!G$2)^2)</f>
        <v>206.43210961023973</v>
      </c>
      <c r="E137" s="27">
        <f>Ft!B$3*EXP(Ft!B$38*($A137-Ft!B$2)^2)</f>
        <v>133.46169910141313</v>
      </c>
      <c r="F137" s="27">
        <f>Ft!C$3*EXP(Ft!C$38*($A137-Ft!C$2)^2)</f>
        <v>29.3721067605305</v>
      </c>
      <c r="G137" s="27">
        <f>Ft!D$3*EXP(Ft!D$38*($A137-Ft!D$2)^2)</f>
        <v>2.3703372992011018E-27</v>
      </c>
      <c r="H137" s="27">
        <f>Ft!E$3*EXP(Ft!E$38*($A137-Ft!E$2)^2)</f>
        <v>9.3640110235080378</v>
      </c>
      <c r="I137" s="27">
        <f>Ft!F$3*EXP(Ft!F$38*($A137-Ft!F$2)^2)</f>
        <v>8.1258425125505465</v>
      </c>
      <c r="J137" s="27">
        <f>Ft!G$3*EXP(Ft!G$38*($A137-Ft!G$2)^2)</f>
        <v>26.108450212237525</v>
      </c>
    </row>
    <row r="138" spans="1:10">
      <c r="A138" s="20">
        <v>136</v>
      </c>
      <c r="B138" s="29">
        <v>16.527629289316621</v>
      </c>
      <c r="C138" s="28">
        <f ca="1">OFFSET($B138,1*(ROWS(C$2:C138)-1),0)</f>
        <v>44.505324269654693</v>
      </c>
      <c r="D138" s="27">
        <f>Ft!B$3*EXP(Ft!B$38*($A138-Ft!B$2)^2) +Ft!C$3*EXP(Ft!C$38*($A138-Ft!C$2)^2) + Ft!D$3*EXP(Ft!D$38*($A138-Ft!D$2)^2)+Ft!E$3*EXP(Ft!E$38*($A138-Ft!E$2)^2) +Ft!F$3*EXP(Ft!F$38*($A138-Ft!F$2)^2) + Ft!G$3*EXP(Ft!G$38*($A138-Ft!G$2)^2)</f>
        <v>206.51951504422263</v>
      </c>
      <c r="E138" s="27">
        <f>Ft!B$3*EXP(Ft!B$38*($A138-Ft!B$2)^2)</f>
        <v>133.23436090975227</v>
      </c>
      <c r="F138" s="27">
        <f>Ft!C$3*EXP(Ft!C$38*($A138-Ft!C$2)^2)</f>
        <v>29.421890742283811</v>
      </c>
      <c r="G138" s="27">
        <f>Ft!D$3*EXP(Ft!D$38*($A138-Ft!D$2)^2)</f>
        <v>3.5808137429762839E-27</v>
      </c>
      <c r="H138" s="27">
        <f>Ft!E$3*EXP(Ft!E$38*($A138-Ft!E$2)^2)</f>
        <v>9.4436650899447567</v>
      </c>
      <c r="I138" s="27">
        <f>Ft!F$3*EXP(Ft!F$38*($A138-Ft!F$2)^2)</f>
        <v>8.1615719754980436</v>
      </c>
      <c r="J138" s="27">
        <f>Ft!G$3*EXP(Ft!G$38*($A138-Ft!G$2)^2)</f>
        <v>26.258026326743757</v>
      </c>
    </row>
    <row r="139" spans="1:10">
      <c r="A139" s="20">
        <v>137</v>
      </c>
      <c r="B139" s="29">
        <v>16.712178988837252</v>
      </c>
      <c r="C139" s="28">
        <f ca="1">OFFSET($B139,1*(ROWS(C$2:C139)-1),0)</f>
        <v>44.919079122290896</v>
      </c>
      <c r="D139" s="27">
        <f>Ft!B$3*EXP(Ft!B$38*($A139-Ft!B$2)^2) +Ft!C$3*EXP(Ft!C$38*($A139-Ft!C$2)^2) + Ft!D$3*EXP(Ft!D$38*($A139-Ft!D$2)^2)+Ft!E$3*EXP(Ft!E$38*($A139-Ft!E$2)^2) +Ft!F$3*EXP(Ft!F$38*($A139-Ft!F$2)^2) + Ft!G$3*EXP(Ft!G$38*($A139-Ft!G$2)^2)</f>
        <v>206.60753361023183</v>
      </c>
      <c r="E139" s="27">
        <f>Ft!B$3*EXP(Ft!B$38*($A139-Ft!B$2)^2)</f>
        <v>133.00677529707255</v>
      </c>
      <c r="F139" s="27">
        <f>Ft!C$3*EXP(Ft!C$38*($A139-Ft!C$2)^2)</f>
        <v>29.471694003563815</v>
      </c>
      <c r="G139" s="27">
        <f>Ft!D$3*EXP(Ft!D$38*($A139-Ft!D$2)^2)</f>
        <v>5.4019969484656103E-27</v>
      </c>
      <c r="H139" s="27">
        <f>Ft!E$3*EXP(Ft!E$38*($A139-Ft!E$2)^2)</f>
        <v>9.5238586734331321</v>
      </c>
      <c r="I139" s="27">
        <f>Ft!F$3*EXP(Ft!F$38*($A139-Ft!F$2)^2)</f>
        <v>8.1974315505136932</v>
      </c>
      <c r="J139" s="27">
        <f>Ft!G$3*EXP(Ft!G$38*($A139-Ft!G$2)^2)</f>
        <v>26.40777408564864</v>
      </c>
    </row>
    <row r="140" spans="1:10">
      <c r="A140" s="20">
        <v>138</v>
      </c>
      <c r="B140" s="29">
        <v>16.904902499082766</v>
      </c>
      <c r="C140" s="28">
        <f ca="1">OFFSET($B140,1*(ROWS(C$2:C140)-1),0)</f>
        <v>45.316940648405136</v>
      </c>
      <c r="D140" s="27">
        <f>Ft!B$3*EXP(Ft!B$38*($A140-Ft!B$2)^2) +Ft!C$3*EXP(Ft!C$38*($A140-Ft!C$2)^2) + Ft!D$3*EXP(Ft!D$38*($A140-Ft!D$2)^2)+Ft!E$3*EXP(Ft!E$38*($A140-Ft!E$2)^2) +Ft!F$3*EXP(Ft!F$38*($A140-Ft!F$2)^2) + Ft!G$3*EXP(Ft!G$38*($A140-Ft!G$2)^2)</f>
        <v>206.6961634801626</v>
      </c>
      <c r="E140" s="27">
        <f>Ft!B$3*EXP(Ft!B$38*($A140-Ft!B$2)^2)</f>
        <v>132.77894485608275</v>
      </c>
      <c r="F140" s="27">
        <f>Ft!C$3*EXP(Ft!C$38*($A140-Ft!C$2)^2)</f>
        <v>29.521516356794368</v>
      </c>
      <c r="G140" s="27">
        <f>Ft!D$3*EXP(Ft!D$38*($A140-Ft!D$2)^2)</f>
        <v>8.1381925143866073E-27</v>
      </c>
      <c r="H140" s="27">
        <f>Ft!E$3*EXP(Ft!E$38*($A140-Ft!E$2)^2)</f>
        <v>9.6045940207141989</v>
      </c>
      <c r="I140" s="27">
        <f>Ft!F$3*EXP(Ft!F$38*($A140-Ft!F$2)^2)</f>
        <v>8.2334215726107338</v>
      </c>
      <c r="J140" s="27">
        <f>Ft!G$3*EXP(Ft!G$38*($A140-Ft!G$2)^2)</f>
        <v>26.557686673960585</v>
      </c>
    </row>
    <row r="141" spans="1:10">
      <c r="A141" s="20">
        <v>139</v>
      </c>
      <c r="B141" s="29">
        <v>17.080868993172373</v>
      </c>
      <c r="C141" s="28">
        <f ca="1">OFFSET($B141,1*(ROWS(C$2:C141)-1),0)</f>
        <v>45.727465960365095</v>
      </c>
      <c r="D141" s="27">
        <f>Ft!B$3*EXP(Ft!B$38*($A141-Ft!B$2)^2) +Ft!C$3*EXP(Ft!C$38*($A141-Ft!C$2)^2) + Ft!D$3*EXP(Ft!D$38*($A141-Ft!D$2)^2)+Ft!E$3*EXP(Ft!E$38*($A141-Ft!E$2)^2) +Ft!F$3*EXP(Ft!F$38*($A141-Ft!F$2)^2) + Ft!G$3*EXP(Ft!G$38*($A141-Ft!G$2)^2)</f>
        <v>206.78540276847238</v>
      </c>
      <c r="E141" s="27">
        <f>Ft!B$3*EXP(Ft!B$38*($A141-Ft!B$2)^2)</f>
        <v>132.55087217855834</v>
      </c>
      <c r="F141" s="27">
        <f>Ft!C$3*EXP(Ft!C$38*($A141-Ft!C$2)^2)</f>
        <v>29.571357613955392</v>
      </c>
      <c r="G141" s="27">
        <f>Ft!D$3*EXP(Ft!D$38*($A141-Ft!D$2)^2)</f>
        <v>1.2243415989210984E-26</v>
      </c>
      <c r="H141" s="27">
        <f>Ft!E$3*EXP(Ft!E$38*($A141-Ft!E$2)^2)</f>
        <v>9.6858733739325693</v>
      </c>
      <c r="I141" s="27">
        <f>Ft!F$3*EXP(Ft!F$38*($A141-Ft!F$2)^2)</f>
        <v>8.2695423769824359</v>
      </c>
      <c r="J141" s="27">
        <f>Ft!G$3*EXP(Ft!G$38*($A141-Ft!G$2)^2)</f>
        <v>26.707757225043647</v>
      </c>
    </row>
    <row r="142" spans="1:10">
      <c r="A142" s="20">
        <v>140</v>
      </c>
      <c r="B142" s="29">
        <v>17.267720281426762</v>
      </c>
      <c r="C142" s="28">
        <f ca="1">OFFSET($B142,1*(ROWS(C$2:C142)-1),0)</f>
        <v>46.095295073247314</v>
      </c>
      <c r="D142" s="27">
        <f>Ft!B$3*EXP(Ft!B$38*($A142-Ft!B$2)^2) +Ft!C$3*EXP(Ft!C$38*($A142-Ft!C$2)^2) + Ft!D$3*EXP(Ft!D$38*($A142-Ft!D$2)^2)+Ft!E$3*EXP(Ft!E$38*($A142-Ft!E$2)^2) +Ft!F$3*EXP(Ft!F$38*($A142-Ft!F$2)^2) + Ft!G$3*EXP(Ft!G$38*($A142-Ft!G$2)^2)</f>
        <v>206.87524953238218</v>
      </c>
      <c r="E142" s="27">
        <f>Ft!B$3*EXP(Ft!B$38*($A142-Ft!B$2)^2)</f>
        <v>132.32255985529386</v>
      </c>
      <c r="F142" s="27">
        <f>Ft!C$3*EXP(Ft!C$38*($A142-Ft!C$2)^2)</f>
        <v>29.621217586583775</v>
      </c>
      <c r="G142" s="27">
        <f>Ft!D$3*EXP(Ft!D$38*($A142-Ft!D$2)^2)</f>
        <v>1.8394088587846852E-26</v>
      </c>
      <c r="H142" s="27">
        <f>Ft!E$3*EXP(Ft!E$38*($A142-Ft!E$2)^2)</f>
        <v>9.7676989704669257</v>
      </c>
      <c r="I142" s="27">
        <f>Ft!F$3*EXP(Ft!F$38*($A142-Ft!F$2)^2)</f>
        <v>8.3057942989984692</v>
      </c>
      <c r="J142" s="27">
        <f>Ft!G$3*EXP(Ft!G$38*($A142-Ft!G$2)^2)</f>
        <v>26.857978821039133</v>
      </c>
    </row>
    <row r="143" spans="1:10">
      <c r="A143" s="20">
        <v>141</v>
      </c>
      <c r="B143" s="29">
        <v>17.471769508058856</v>
      </c>
      <c r="C143" s="28">
        <f ca="1">OFFSET($B143,1*(ROWS(C$2:C143)-1),0)</f>
        <v>46.427428060986159</v>
      </c>
      <c r="D143" s="27">
        <f>Ft!B$3*EXP(Ft!B$38*($A143-Ft!B$2)^2) +Ft!C$3*EXP(Ft!C$38*($A143-Ft!C$2)^2) + Ft!D$3*EXP(Ft!D$38*($A143-Ft!D$2)^2)+Ft!E$3*EXP(Ft!E$38*($A143-Ft!E$2)^2) +Ft!F$3*EXP(Ft!F$38*($A143-Ft!F$2)^2) + Ft!G$3*EXP(Ft!G$38*($A143-Ft!G$2)^2)</f>
        <v>206.96570177208631</v>
      </c>
      <c r="E143" s="27">
        <f>Ft!B$3*EXP(Ft!B$38*($A143-Ft!B$2)^2)</f>
        <v>132.0940104760551</v>
      </c>
      <c r="F143" s="27">
        <f>Ft!C$3*EXP(Ft!C$38*($A143-Ft!C$2)^2)</f>
        <v>29.67109608577432</v>
      </c>
      <c r="G143" s="27">
        <f>Ft!D$3*EXP(Ft!D$38*($A143-Ft!D$2)^2)</f>
        <v>2.7596560920149226E-26</v>
      </c>
      <c r="H143" s="27">
        <f>Ft!E$3*EXP(Ft!E$38*($A143-Ft!E$2)^2)</f>
        <v>9.8500730427594192</v>
      </c>
      <c r="I143" s="27">
        <f>Ft!F$3*EXP(Ft!F$38*($A143-Ft!F$2)^2)</f>
        <v>8.3421776742012597</v>
      </c>
      <c r="J143" s="27">
        <f>Ft!G$3*EXP(Ft!G$38*($A143-Ft!G$2)^2)</f>
        <v>27.008344493296214</v>
      </c>
    </row>
    <row r="144" spans="1:10">
      <c r="A144" s="20">
        <v>142</v>
      </c>
      <c r="B144" s="29">
        <v>17.665299644178816</v>
      </c>
      <c r="C144" s="28">
        <f ca="1">OFFSET($B144,1*(ROWS(C$2:C144)-1),0)</f>
        <v>46.681655639424719</v>
      </c>
      <c r="D144" s="27">
        <f>Ft!B$3*EXP(Ft!B$38*($A144-Ft!B$2)^2) +Ft!C$3*EXP(Ft!C$38*($A144-Ft!C$2)^2) + Ft!D$3*EXP(Ft!D$38*($A144-Ft!D$2)^2)+Ft!E$3*EXP(Ft!E$38*($A144-Ft!E$2)^2) +Ft!F$3*EXP(Ft!F$38*($A144-Ft!F$2)^2) + Ft!G$3*EXP(Ft!G$38*($A144-Ft!G$2)^2)</f>
        <v>207.05675743096987</v>
      </c>
      <c r="E144" s="27">
        <f>Ft!B$3*EXP(Ft!B$38*($A144-Ft!B$2)^2)</f>
        <v>131.86522662953135</v>
      </c>
      <c r="F144" s="27">
        <f>Ft!C$3*EXP(Ft!C$38*($A144-Ft!C$2)^2)</f>
        <v>29.720992922180628</v>
      </c>
      <c r="G144" s="27">
        <f>Ft!D$3*EXP(Ft!D$38*($A144-Ft!D$2)^2)</f>
        <v>4.1345921471291552E-26</v>
      </c>
      <c r="H144" s="27">
        <f>Ft!E$3*EXP(Ft!E$38*($A144-Ft!E$2)^2)</f>
        <v>9.9329978181439635</v>
      </c>
      <c r="I144" s="27">
        <f>Ft!F$3*EXP(Ft!F$38*($A144-Ft!F$2)^2)</f>
        <v>8.3786928383023138</v>
      </c>
      <c r="J144" s="27">
        <f>Ft!G$3*EXP(Ft!G$38*($A144-Ft!G$2)^2)</f>
        <v>27.158847222811634</v>
      </c>
    </row>
    <row r="145" spans="1:10">
      <c r="A145" s="20">
        <v>143</v>
      </c>
      <c r="B145" s="29">
        <v>17.854093999957456</v>
      </c>
      <c r="C145" s="28">
        <f ca="1">OFFSET($B145,1*(ROWS(C$2:C145)-1),0)</f>
        <v>46.931584327113484</v>
      </c>
      <c r="D145" s="27">
        <f>Ft!B$3*EXP(Ft!B$38*($A145-Ft!B$2)^2) +Ft!C$3*EXP(Ft!C$38*($A145-Ft!C$2)^2) + Ft!D$3*EXP(Ft!D$38*($A145-Ft!D$2)^2)+Ft!E$3*EXP(Ft!E$38*($A145-Ft!E$2)^2) +Ft!F$3*EXP(Ft!F$38*($A145-Ft!F$2)^2) + Ft!G$3*EXP(Ft!G$38*($A145-Ft!G$2)^2)</f>
        <v>207.14841439583449</v>
      </c>
      <c r="E145" s="27">
        <f>Ft!B$3*EXP(Ft!B$38*($A145-Ft!B$2)^2)</f>
        <v>131.63621090328809</v>
      </c>
      <c r="F145" s="27">
        <f>Ft!C$3*EXP(Ft!C$38*($A145-Ft!C$2)^2)</f>
        <v>29.770907906016092</v>
      </c>
      <c r="G145" s="27">
        <f>Ft!D$3*EXP(Ft!D$38*($A145-Ft!D$2)^2)</f>
        <v>6.1860212698203404E-26</v>
      </c>
      <c r="H145" s="27">
        <f>Ft!E$3*EXP(Ft!E$38*($A145-Ft!E$2)^2)</f>
        <v>10.016475518673486</v>
      </c>
      <c r="I145" s="27">
        <f>Ft!F$3*EXP(Ft!F$38*($A145-Ft!F$2)^2)</f>
        <v>8.4153401271785206</v>
      </c>
      <c r="J145" s="27">
        <f>Ft!G$3*EXP(Ft!G$38*($A145-Ft!G$2)^2)</f>
        <v>27.309479940678344</v>
      </c>
    </row>
    <row r="146" spans="1:10">
      <c r="A146" s="20">
        <v>144</v>
      </c>
      <c r="B146" s="29">
        <v>18.041167608967839</v>
      </c>
      <c r="C146" s="28">
        <f ca="1">OFFSET($B146,1*(ROWS(C$2:C146)-1),0)</f>
        <v>47.167427282568724</v>
      </c>
      <c r="D146" s="27">
        <f>Ft!B$3*EXP(Ft!B$38*($A146-Ft!B$2)^2) +Ft!C$3*EXP(Ft!C$38*($A146-Ft!C$2)^2) + Ft!D$3*EXP(Ft!D$38*($A146-Ft!D$2)^2)+Ft!E$3*EXP(Ft!E$38*($A146-Ft!E$2)^2) +Ft!F$3*EXP(Ft!F$38*($A146-Ft!F$2)^2) + Ft!G$3*EXP(Ft!G$38*($A146-Ft!G$2)^2)</f>
        <v>207.24067049713213</v>
      </c>
      <c r="E146" s="27">
        <f>Ft!B$3*EXP(Ft!B$38*($A146-Ft!B$2)^2)</f>
        <v>131.40696588371958</v>
      </c>
      <c r="F146" s="27">
        <f>Ft!C$3*EXP(Ft!C$38*($A146-Ft!C$2)^2)</f>
        <v>29.820840847054765</v>
      </c>
      <c r="G146" s="27">
        <f>Ft!D$3*EXP(Ft!D$38*($A146-Ft!D$2)^2)</f>
        <v>9.2425362842990425E-26</v>
      </c>
      <c r="H146" s="27">
        <f>Ft!E$3*EXP(Ft!E$38*($A146-Ft!E$2)^2)</f>
        <v>10.100508360946085</v>
      </c>
      <c r="I146" s="27">
        <f>Ft!F$3*EXP(Ft!F$38*($A146-Ft!F$2)^2)</f>
        <v>8.4521198768684567</v>
      </c>
      <c r="J146" s="27">
        <f>Ft!G$3*EXP(Ft!G$38*($A146-Ft!G$2)^2)</f>
        <v>27.460235528543212</v>
      </c>
    </row>
    <row r="147" spans="1:10">
      <c r="A147" s="20">
        <v>145</v>
      </c>
      <c r="B147" s="29">
        <v>18.227747084390387</v>
      </c>
      <c r="C147" s="28">
        <f ca="1">OFFSET($B147,1*(ROWS(C$2:C147)-1),0)</f>
        <v>47.417087667751957</v>
      </c>
      <c r="D147" s="27">
        <f>Ft!B$3*EXP(Ft!B$38*($A147-Ft!B$2)^2) +Ft!C$3*EXP(Ft!C$38*($A147-Ft!C$2)^2) + Ft!D$3*EXP(Ft!D$38*($A147-Ft!D$2)^2)+Ft!E$3*EXP(Ft!E$38*($A147-Ft!E$2)^2) +Ft!F$3*EXP(Ft!F$38*($A147-Ft!F$2)^2) + Ft!G$3*EXP(Ft!G$38*($A147-Ft!G$2)^2)</f>
        <v>207.33352350920632</v>
      </c>
      <c r="E147" s="27">
        <f>Ft!B$3*EXP(Ft!B$38*($A147-Ft!B$2)^2)</f>
        <v>131.17749415600147</v>
      </c>
      <c r="F147" s="27">
        <f>Ft!C$3*EXP(Ft!C$38*($A147-Ft!C$2)^2)</f>
        <v>29.870791554632341</v>
      </c>
      <c r="G147" s="27">
        <f>Ft!D$3*EXP(Ft!D$38*($A147-Ft!D$2)^2)</f>
        <v>1.3790243705613592E-25</v>
      </c>
      <c r="H147" s="27">
        <f>Ft!E$3*EXP(Ft!E$38*($A147-Ft!E$2)^2)</f>
        <v>10.185098555930141</v>
      </c>
      <c r="I147" s="27">
        <f>Ft!F$3*EXP(Ft!F$38*($A147-Ft!F$2)^2)</f>
        <v>8.4890324235686396</v>
      </c>
      <c r="J147" s="27">
        <f>Ft!G$3*EXP(Ft!G$38*($A147-Ft!G$2)^2)</f>
        <v>27.611106819073722</v>
      </c>
    </row>
    <row r="148" spans="1:10">
      <c r="A148" s="20">
        <v>146</v>
      </c>
      <c r="B148" s="29">
        <v>18.406214207687611</v>
      </c>
      <c r="C148" s="28">
        <f ca="1">OFFSET($B148,1*(ROWS(C$2:C148)-1),0)</f>
        <v>47.575802466907845</v>
      </c>
      <c r="D148" s="27">
        <f>Ft!B$3*EXP(Ft!B$38*($A148-Ft!B$2)^2) +Ft!C$3*EXP(Ft!C$38*($A148-Ft!C$2)^2) + Ft!D$3*EXP(Ft!D$38*($A148-Ft!D$2)^2)+Ft!E$3*EXP(Ft!E$38*($A148-Ft!E$2)^2) +Ft!F$3*EXP(Ft!F$38*($A148-Ft!F$2)^2) + Ft!G$3*EXP(Ft!G$38*($A148-Ft!G$2)^2)</f>
        <v>207.42697115054236</v>
      </c>
      <c r="E148" s="27">
        <f>Ft!B$3*EXP(Ft!B$38*($A148-Ft!B$2)^2)</f>
        <v>130.9477983040436</v>
      </c>
      <c r="F148" s="27">
        <f>Ft!C$3*EXP(Ft!C$38*($A148-Ft!C$2)^2)</f>
        <v>29.920759837647104</v>
      </c>
      <c r="G148" s="27">
        <f>Ft!D$3*EXP(Ft!D$38*($A148-Ft!D$2)^2)</f>
        <v>2.054725165518923E-25</v>
      </c>
      <c r="H148" s="27">
        <f>Ft!E$3*EXP(Ft!E$38*($A148-Ft!E$2)^2)</f>
        <v>10.270248308788329</v>
      </c>
      <c r="I148" s="27">
        <f>Ft!F$3*EXP(Ft!F$38*($A148-Ft!F$2)^2)</f>
        <v>8.5260781036298017</v>
      </c>
      <c r="J148" s="27">
        <f>Ft!G$3*EXP(Ft!G$38*($A148-Ft!G$2)^2)</f>
        <v>27.76208659643353</v>
      </c>
    </row>
    <row r="149" spans="1:10">
      <c r="A149" s="20">
        <v>147</v>
      </c>
      <c r="B149" s="29">
        <v>18.57920047253242</v>
      </c>
      <c r="C149" s="28">
        <f ca="1">OFFSET($B149,1*(ROWS(C$2:C149)-1),0)</f>
        <v>47.727399033613892</v>
      </c>
      <c r="D149" s="27">
        <f>Ft!B$3*EXP(Ft!B$38*($A149-Ft!B$2)^2) +Ft!C$3*EXP(Ft!C$38*($A149-Ft!C$2)^2) + Ft!D$3*EXP(Ft!D$38*($A149-Ft!D$2)^2)+Ft!E$3*EXP(Ft!E$38*($A149-Ft!E$2)^2) +Ft!F$3*EXP(Ft!F$38*($A149-Ft!F$2)^2) + Ft!G$3*EXP(Ft!G$38*($A149-Ft!G$2)^2)</f>
        <v>207.52101108402476</v>
      </c>
      <c r="E149" s="27">
        <f>Ft!B$3*EXP(Ft!B$38*($A149-Ft!B$2)^2)</f>
        <v>130.71788091044306</v>
      </c>
      <c r="F149" s="27">
        <f>Ft!C$3*EXP(Ft!C$38*($A149-Ft!C$2)^2)</f>
        <v>29.970745504560895</v>
      </c>
      <c r="G149" s="27">
        <f>Ft!D$3*EXP(Ft!D$38*($A149-Ft!D$2)^2)</f>
        <v>3.0572894708103075E-25</v>
      </c>
      <c r="H149" s="27">
        <f>Ft!E$3*EXP(Ft!E$38*($A149-Ft!E$2)^2)</f>
        <v>10.355959818700622</v>
      </c>
      <c r="I149" s="27">
        <f>Ft!F$3*EXP(Ft!F$38*($A149-Ft!F$2)^2)</f>
        <v>8.563257253553104</v>
      </c>
      <c r="J149" s="27">
        <f>Ft!G$3*EXP(Ft!G$38*($A149-Ft!G$2)^2)</f>
        <v>27.913167596767057</v>
      </c>
    </row>
    <row r="150" spans="1:10">
      <c r="A150" s="20">
        <v>148</v>
      </c>
      <c r="B150" s="29">
        <v>18.771690158042844</v>
      </c>
      <c r="C150" s="28">
        <f ca="1">OFFSET($B150,1*(ROWS(C$2:C150)-1),0)</f>
        <v>47.947038208703447</v>
      </c>
      <c r="D150" s="27">
        <f>Ft!B$3*EXP(Ft!B$38*($A150-Ft!B$2)^2) +Ft!C$3*EXP(Ft!C$38*($A150-Ft!C$2)^2) + Ft!D$3*EXP(Ft!D$38*($A150-Ft!D$2)^2)+Ft!E$3*EXP(Ft!E$38*($A150-Ft!E$2)^2) +Ft!F$3*EXP(Ft!F$38*($A150-Ft!F$2)^2) + Ft!G$3*EXP(Ft!G$38*($A150-Ft!G$2)^2)</f>
        <v>207.61564091720282</v>
      </c>
      <c r="E150" s="27">
        <f>Ft!B$3*EXP(Ft!B$38*($A150-Ft!B$2)^2)</f>
        <v>130.48774455643724</v>
      </c>
      <c r="F150" s="27">
        <f>Ft!C$3*EXP(Ft!C$38*($A150-Ft!C$2)^2)</f>
        <v>30.020748363400052</v>
      </c>
      <c r="G150" s="27">
        <f>Ft!D$3*EXP(Ft!D$38*($A150-Ft!D$2)^2)</f>
        <v>4.5427663795584257E-25</v>
      </c>
      <c r="H150" s="27">
        <f>Ft!E$3*EXP(Ft!E$38*($A150-Ft!E$2)^2)</f>
        <v>10.442235278686237</v>
      </c>
      <c r="I150" s="27">
        <f>Ft!F$3*EXP(Ft!F$38*($A150-Ft!F$2)^2)</f>
        <v>8.6005702099863637</v>
      </c>
      <c r="J150" s="27">
        <f>Ft!G$3*EXP(Ft!G$38*($A150-Ft!G$2)^2)</f>
        <v>28.064342508692942</v>
      </c>
    </row>
    <row r="151" spans="1:10">
      <c r="A151" s="20">
        <v>149</v>
      </c>
      <c r="B151" s="29">
        <v>18.958025828641865</v>
      </c>
      <c r="C151" s="28">
        <f ca="1">OFFSET($B151,1*(ROWS(C$2:C151)-1),0)</f>
        <v>48.10180977345297</v>
      </c>
      <c r="D151" s="27">
        <f>Ft!B$3*EXP(Ft!B$38*($A151-Ft!B$2)^2) +Ft!C$3*EXP(Ft!C$38*($A151-Ft!C$2)^2) + Ft!D$3*EXP(Ft!D$38*($A151-Ft!D$2)^2)+Ft!E$3*EXP(Ft!E$38*($A151-Ft!E$2)^2) +Ft!F$3*EXP(Ft!F$38*($A151-Ft!F$2)^2) + Ft!G$3*EXP(Ft!G$38*($A151-Ft!G$2)^2)</f>
        <v>207.71085820256428</v>
      </c>
      <c r="E151" s="27">
        <f>Ft!B$3*EXP(Ft!B$38*($A151-Ft!B$2)^2)</f>
        <v>130.25739182185677</v>
      </c>
      <c r="F151" s="27">
        <f>Ft!C$3*EXP(Ft!C$38*($A151-Ft!C$2)^2)</f>
        <v>30.070768221756389</v>
      </c>
      <c r="G151" s="27">
        <f>Ft!D$3*EXP(Ft!D$38*($A151-Ft!D$2)^2)</f>
        <v>6.7407041615259109E-25</v>
      </c>
      <c r="H151" s="27">
        <f>Ft!E$3*EXP(Ft!E$38*($A151-Ft!E$2)^2)</f>
        <v>10.529076875424531</v>
      </c>
      <c r="I151" s="27">
        <f>Ft!F$3*EXP(Ft!F$38*($A151-Ft!F$2)^2)</f>
        <v>8.6380173097202544</v>
      </c>
      <c r="J151" s="27">
        <f>Ft!G$3*EXP(Ft!G$38*($A151-Ft!G$2)^2)</f>
        <v>28.215603973806342</v>
      </c>
    </row>
    <row r="152" spans="1:10">
      <c r="A152" s="20">
        <v>150</v>
      </c>
      <c r="B152" s="29">
        <v>19.124989979269742</v>
      </c>
      <c r="C152" s="28">
        <f ca="1">OFFSET($B152,1*(ROWS(C$2:C152)-1),0)</f>
        <v>48.226219882416245</v>
      </c>
      <c r="D152" s="27">
        <f>Ft!B$3*EXP(Ft!B$38*($A152-Ft!B$2)^2) +Ft!C$3*EXP(Ft!C$38*($A152-Ft!C$2)^2) + Ft!D$3*EXP(Ft!D$38*($A152-Ft!D$2)^2)+Ft!E$3*EXP(Ft!E$38*($A152-Ft!E$2)^2) +Ft!F$3*EXP(Ft!F$38*($A152-Ft!F$2)^2) + Ft!G$3*EXP(Ft!G$38*($A152-Ft!G$2)^2)</f>
        <v>207.80666043781673</v>
      </c>
      <c r="E152" s="27">
        <f>Ft!B$3*EXP(Ft!B$38*($A152-Ft!B$2)^2)</f>
        <v>130.02682528507913</v>
      </c>
      <c r="F152" s="27">
        <f>Ft!C$3*EXP(Ft!C$38*($A152-Ft!C$2)^2)</f>
        <v>30.120804886788171</v>
      </c>
      <c r="G152" s="27">
        <f>Ft!D$3*EXP(Ft!D$38*($A152-Ft!D$2)^2)</f>
        <v>9.98829022546552E-25</v>
      </c>
      <c r="H152" s="27">
        <f>Ft!E$3*EXP(Ft!E$38*($A152-Ft!E$2)^2)</f>
        <v>10.616486789074857</v>
      </c>
      <c r="I152" s="27">
        <f>Ft!F$3*EXP(Ft!F$38*($A152-Ft!F$2)^2)</f>
        <v>8.6755988896844656</v>
      </c>
      <c r="J152" s="27">
        <f>Ft!G$3*EXP(Ft!G$38*($A152-Ft!G$2)^2)</f>
        <v>28.366944587190126</v>
      </c>
    </row>
    <row r="153" spans="1:10">
      <c r="A153" s="20">
        <v>151</v>
      </c>
      <c r="B153" s="29">
        <v>19.301110173817591</v>
      </c>
      <c r="C153" s="28">
        <f ca="1">OFFSET($B153,1*(ROWS(C$2:C153)-1),0)</f>
        <v>48.338221628167645</v>
      </c>
      <c r="D153" s="27">
        <f>Ft!B$3*EXP(Ft!B$38*($A153-Ft!B$2)^2) +Ft!C$3*EXP(Ft!C$38*($A153-Ft!C$2)^2) + Ft!D$3*EXP(Ft!D$38*($A153-Ft!D$2)^2)+Ft!E$3*EXP(Ft!E$38*($A153-Ft!E$2)^2) +Ft!F$3*EXP(Ft!F$38*($A153-Ft!F$2)^2) + Ft!G$3*EXP(Ft!G$38*($A153-Ft!G$2)^2)</f>
        <v>207.90304506617707</v>
      </c>
      <c r="E153" s="27">
        <f>Ft!B$3*EXP(Ft!B$38*($A153-Ft!B$2)^2)</f>
        <v>129.79604752298178</v>
      </c>
      <c r="F153" s="27">
        <f>Ft!C$3*EXP(Ft!C$38*($A153-Ft!C$2)^2)</f>
        <v>30.170858165221112</v>
      </c>
      <c r="G153" s="27">
        <f>Ft!D$3*EXP(Ft!D$38*($A153-Ft!D$2)^2)</f>
        <v>1.4780123420732896E-24</v>
      </c>
      <c r="H153" s="27">
        <f>Ft!E$3*EXP(Ft!E$38*($A153-Ft!E$2)^2)</f>
        <v>10.704467193095446</v>
      </c>
      <c r="I153" s="27">
        <f>Ft!F$3*EXP(Ft!F$38*($A153-Ft!F$2)^2)</f>
        <v>8.7133152869438728</v>
      </c>
      <c r="J153" s="27">
        <f>Ft!G$3*EXP(Ft!G$38*($A153-Ft!G$2)^2)</f>
        <v>28.518356897934851</v>
      </c>
    </row>
    <row r="154" spans="1:10">
      <c r="A154" s="20">
        <v>152</v>
      </c>
      <c r="B154" s="29">
        <v>19.510738182804175</v>
      </c>
      <c r="C154" s="28">
        <f ca="1">OFFSET($B154,1*(ROWS(C$2:C154)-1),0)</f>
        <v>48.305268424173534</v>
      </c>
      <c r="D154" s="27">
        <f>Ft!B$3*EXP(Ft!B$38*($A154-Ft!B$2)^2) +Ft!C$3*EXP(Ft!C$38*($A154-Ft!C$2)^2) + Ft!D$3*EXP(Ft!D$38*($A154-Ft!D$2)^2)+Ft!E$3*EXP(Ft!E$38*($A154-Ft!E$2)^2) +Ft!F$3*EXP(Ft!F$38*($A154-Ft!F$2)^2) + Ft!G$3*EXP(Ft!G$38*($A154-Ft!G$2)^2)</f>
        <v>208.00000947666854</v>
      </c>
      <c r="E154" s="27">
        <f>Ft!B$3*EXP(Ft!B$38*($A154-Ft!B$2)^2)</f>
        <v>129.56506111089581</v>
      </c>
      <c r="F154" s="27">
        <f>Ft!C$3*EXP(Ft!C$38*($A154-Ft!C$2)^2)</f>
        <v>30.220927863349345</v>
      </c>
      <c r="G154" s="27">
        <f>Ft!D$3*EXP(Ft!D$38*($A154-Ft!D$2)^2)</f>
        <v>2.1840671664299092E-24</v>
      </c>
      <c r="H154" s="27">
        <f>Ft!E$3*EXP(Ft!E$38*($A154-Ft!E$2)^2)</f>
        <v>10.793020254061181</v>
      </c>
      <c r="I154" s="27">
        <f>Ft!F$3*EXP(Ft!F$38*($A154-Ft!F$2)^2)</f>
        <v>8.7511668386946777</v>
      </c>
      <c r="J154" s="27">
        <f>Ft!G$3*EXP(Ft!G$38*($A154-Ft!G$2)^2)</f>
        <v>28.669833409667532</v>
      </c>
    </row>
    <row r="155" spans="1:10">
      <c r="A155" s="20">
        <v>153</v>
      </c>
      <c r="B155" s="29">
        <v>19.714770750985053</v>
      </c>
      <c r="C155" s="28">
        <f ca="1">OFFSET($B155,1*(ROWS(C$2:C155)-1),0)</f>
        <v>48.288242600902038</v>
      </c>
      <c r="D155" s="27">
        <f>Ft!B$3*EXP(Ft!B$38*($A155-Ft!B$2)^2) +Ft!C$3*EXP(Ft!C$38*($A155-Ft!C$2)^2) + Ft!D$3*EXP(Ft!D$38*($A155-Ft!D$2)^2)+Ft!E$3*EXP(Ft!E$38*($A155-Ft!E$2)^2) +Ft!F$3*EXP(Ft!F$38*($A155-Ft!F$2)^2) + Ft!G$3*EXP(Ft!G$38*($A155-Ft!G$2)^2)</f>
        <v>208.09755100442607</v>
      </c>
      <c r="E155" s="27">
        <f>Ft!B$3*EXP(Ft!B$38*($A155-Ft!B$2)^2)</f>
        <v>129.33386862255949</v>
      </c>
      <c r="F155" s="27">
        <f>Ft!C$3*EXP(Ft!C$38*($A155-Ft!C$2)^2)</f>
        <v>30.271013787036434</v>
      </c>
      <c r="G155" s="27">
        <f>Ft!D$3*EXP(Ft!D$38*($A155-Ft!D$2)^2)</f>
        <v>3.2229601908755922E-24</v>
      </c>
      <c r="H155" s="27">
        <f>Ft!E$3*EXP(Ft!E$38*($A155-Ft!E$2)^2)</f>
        <v>10.882148131480477</v>
      </c>
      <c r="I155" s="27">
        <f>Ft!F$3*EXP(Ft!F$38*($A155-Ft!F$2)^2)</f>
        <v>8.7891538822605195</v>
      </c>
      <c r="J155" s="27">
        <f>Ft!G$3*EXP(Ft!G$38*($A155-Ft!G$2)^2)</f>
        <v>28.821366581089151</v>
      </c>
    </row>
    <row r="156" spans="1:10">
      <c r="A156" s="20">
        <v>154</v>
      </c>
      <c r="B156" s="29">
        <v>19.896422495919637</v>
      </c>
      <c r="C156" s="28">
        <f ca="1">OFFSET($B156,1*(ROWS(C$2:C156)-1),0)</f>
        <v>48.277677120078778</v>
      </c>
      <c r="D156" s="27">
        <f>Ft!B$3*EXP(Ft!B$38*($A156-Ft!B$2)^2) +Ft!C$3*EXP(Ft!C$38*($A156-Ft!C$2)^2) + Ft!D$3*EXP(Ft!D$38*($A156-Ft!D$2)^2)+Ft!E$3*EXP(Ft!E$38*($A156-Ft!E$2)^2) +Ft!F$3*EXP(Ft!F$38*($A156-Ft!F$2)^2) + Ft!G$3*EXP(Ft!G$38*($A156-Ft!G$2)^2)</f>
        <v>208.19566693100901</v>
      </c>
      <c r="E156" s="27">
        <f>Ft!B$3*EXP(Ft!B$38*($A156-Ft!B$2)^2)</f>
        <v>129.10247263007216</v>
      </c>
      <c r="F156" s="27">
        <f>Ft!C$3*EXP(Ft!C$38*($A156-Ft!C$2)^2)</f>
        <v>30.321115741716362</v>
      </c>
      <c r="G156" s="27">
        <f>Ft!D$3*EXP(Ft!D$38*($A156-Ft!D$2)^2)</f>
        <v>4.7494674347143719E-24</v>
      </c>
      <c r="H156" s="27">
        <f>Ft!E$3*EXP(Ft!E$38*($A156-Ft!E$2)^2)</f>
        <v>10.971852977611048</v>
      </c>
      <c r="I156" s="27">
        <f>Ft!F$3*EXP(Ft!F$38*($A156-Ft!F$2)^2)</f>
        <v>8.8272767550885938</v>
      </c>
      <c r="J156" s="27">
        <f>Ft!G$3*EXP(Ft!G$38*($A156-Ft!G$2)^2)</f>
        <v>28.972948826520842</v>
      </c>
    </row>
    <row r="157" spans="1:10">
      <c r="A157" s="20">
        <v>155</v>
      </c>
      <c r="B157" s="29">
        <v>20.083078953001973</v>
      </c>
      <c r="C157" s="28">
        <f ca="1">OFFSET($B157,1*(ROWS(C$2:C157)-1),0)</f>
        <v>48.289875596066395</v>
      </c>
      <c r="D157" s="27">
        <f>Ft!B$3*EXP(Ft!B$38*($A157-Ft!B$2)^2) +Ft!C$3*EXP(Ft!C$38*($A157-Ft!C$2)^2) + Ft!D$3*EXP(Ft!D$38*($A157-Ft!D$2)^2)+Ft!E$3*EXP(Ft!E$38*($A157-Ft!E$2)^2) +Ft!F$3*EXP(Ft!F$38*($A157-Ft!F$2)^2) + Ft!G$3*EXP(Ft!G$38*($A157-Ft!G$2)^2)</f>
        <v>208.29435448472171</v>
      </c>
      <c r="E157" s="27">
        <f>Ft!B$3*EXP(Ft!B$38*($A157-Ft!B$2)^2)</f>
        <v>128.8708757038479</v>
      </c>
      <c r="F157" s="27">
        <f>Ft!C$3*EXP(Ft!C$38*($A157-Ft!C$2)^2)</f>
        <v>30.371233532394552</v>
      </c>
      <c r="G157" s="27">
        <f>Ft!D$3*EXP(Ft!D$38*($A157-Ft!D$2)^2)</f>
        <v>6.9893358399086225E-24</v>
      </c>
      <c r="H157" s="27">
        <f>Ft!E$3*EXP(Ft!E$38*($A157-Ft!E$2)^2)</f>
        <v>11.062136937274746</v>
      </c>
      <c r="I157" s="27">
        <f>Ft!F$3*EXP(Ft!F$38*($A157-Ft!F$2)^2)</f>
        <v>8.8655357947457212</v>
      </c>
      <c r="J157" s="27">
        <f>Ft!G$3*EXP(Ft!G$38*($A157-Ft!G$2)^2)</f>
        <v>29.124572516458823</v>
      </c>
    </row>
    <row r="158" spans="1:10">
      <c r="A158" s="20">
        <v>156</v>
      </c>
      <c r="B158" s="29">
        <v>20.285245962246563</v>
      </c>
      <c r="C158" s="28">
        <f ca="1">OFFSET($B158,1*(ROWS(C$2:C158)-1),0)</f>
        <v>48.272978543089778</v>
      </c>
      <c r="D158" s="27">
        <f>Ft!B$3*EXP(Ft!B$38*($A158-Ft!B$2)^2) +Ft!C$3*EXP(Ft!C$38*($A158-Ft!C$2)^2) + Ft!D$3*EXP(Ft!D$38*($A158-Ft!D$2)^2)+Ft!E$3*EXP(Ft!E$38*($A158-Ft!E$2)^2) +Ft!F$3*EXP(Ft!F$38*($A158-Ft!F$2)^2) + Ft!G$3*EXP(Ft!G$38*($A158-Ft!G$2)^2)</f>
        <v>208.39361084094224</v>
      </c>
      <c r="E158" s="27">
        <f>Ft!B$3*EXP(Ft!B$38*($A158-Ft!B$2)^2)</f>
        <v>128.63908041256974</v>
      </c>
      <c r="F158" s="27">
        <f>Ft!C$3*EXP(Ft!C$38*($A158-Ft!C$2)^2)</f>
        <v>30.421366963648854</v>
      </c>
      <c r="G158" s="27">
        <f>Ft!D$3*EXP(Ft!D$38*($A158-Ft!D$2)^2)</f>
        <v>1.0271359395602848E-23</v>
      </c>
      <c r="H158" s="27">
        <f>Ft!E$3*EXP(Ft!E$38*($A158-Ft!E$2)^2)</f>
        <v>11.153002147671398</v>
      </c>
      <c r="I158" s="27">
        <f>Ft!F$3*EXP(Ft!F$38*($A158-Ft!F$2)^2)</f>
        <v>8.9039313389143935</v>
      </c>
      <c r="J158" s="27">
        <f>Ft!G$3*EXP(Ft!G$38*($A158-Ft!G$2)^2)</f>
        <v>29.276229978137859</v>
      </c>
    </row>
    <row r="159" spans="1:10">
      <c r="A159" s="20">
        <v>157</v>
      </c>
      <c r="B159" s="29">
        <v>20.488708486909786</v>
      </c>
      <c r="C159" s="28">
        <f ca="1">OFFSET($B159,1*(ROWS(C$2:C159)-1),0)</f>
        <v>48.293325054205866</v>
      </c>
      <c r="D159" s="27">
        <f>Ft!B$3*EXP(Ft!B$38*($A159-Ft!B$2)^2) +Ft!C$3*EXP(Ft!C$38*($A159-Ft!C$2)^2) + Ft!D$3*EXP(Ft!D$38*($A159-Ft!D$2)^2)+Ft!E$3*EXP(Ft!E$38*($A159-Ft!E$2)^2) +Ft!F$3*EXP(Ft!F$38*($A159-Ft!F$2)^2) + Ft!G$3*EXP(Ft!G$38*($A159-Ft!G$2)^2)</f>
        <v>208.49343312245813</v>
      </c>
      <c r="E159" s="27">
        <f>Ft!B$3*EXP(Ft!B$38*($A159-Ft!B$2)^2)</f>
        <v>128.40708932314362</v>
      </c>
      <c r="F159" s="27">
        <f>Ft!C$3*EXP(Ft!C$38*($A159-Ft!C$2)^2)</f>
        <v>30.471515839630616</v>
      </c>
      <c r="G159" s="27">
        <f>Ft!D$3*EXP(Ft!D$38*($A159-Ft!D$2)^2)</f>
        <v>1.5073738046154915E-23</v>
      </c>
      <c r="H159" s="27">
        <f>Ft!E$3*EXP(Ft!E$38*($A159-Ft!E$2)^2)</f>
        <v>11.244450738191643</v>
      </c>
      <c r="I159" s="27">
        <f>Ft!F$3*EXP(Ft!F$38*($A159-Ft!F$2)^2)</f>
        <v>8.942463725388869</v>
      </c>
      <c r="J159" s="27">
        <f>Ft!G$3*EXP(Ft!G$38*($A159-Ft!G$2)^2)</f>
        <v>29.427913496103383</v>
      </c>
    </row>
    <row r="160" spans="1:10">
      <c r="A160" s="20">
        <v>158</v>
      </c>
      <c r="B160" s="29">
        <v>20.67976577465339</v>
      </c>
      <c r="C160" s="28">
        <f ca="1">OFFSET($B160,1*(ROWS(C$2:C160)-1),0)</f>
        <v>48.264178407994535</v>
      </c>
      <c r="D160" s="27">
        <f>Ft!B$3*EXP(Ft!B$38*($A160-Ft!B$2)^2) +Ft!C$3*EXP(Ft!C$38*($A160-Ft!C$2)^2) + Ft!D$3*EXP(Ft!D$38*($A160-Ft!D$2)^2)+Ft!E$3*EXP(Ft!E$38*($A160-Ft!E$2)^2) +Ft!F$3*EXP(Ft!F$38*($A160-Ft!F$2)^2) + Ft!G$3*EXP(Ft!G$38*($A160-Ft!G$2)^2)</f>
        <v>208.59381839981052</v>
      </c>
      <c r="E160" s="27">
        <f>Ft!B$3*EXP(Ft!B$38*($A160-Ft!B$2)^2)</f>
        <v>128.17490500065276</v>
      </c>
      <c r="F160" s="27">
        <f>Ft!C$3*EXP(Ft!C$38*($A160-Ft!C$2)^2)</f>
        <v>30.521679964065669</v>
      </c>
      <c r="G160" s="27">
        <f>Ft!D$3*EXP(Ft!D$38*($A160-Ft!D$2)^2)</f>
        <v>2.2090982103044887E-23</v>
      </c>
      <c r="H160" s="27">
        <f>Ft!E$3*EXP(Ft!E$38*($A160-Ft!E$2)^2)</f>
        <v>11.33648483022885</v>
      </c>
      <c r="I160" s="27">
        <f>Ft!F$3*EXP(Ft!F$38*($A160-Ft!F$2)^2)</f>
        <v>8.9811332920711404</v>
      </c>
      <c r="J160" s="27">
        <f>Ft!G$3*EXP(Ft!G$38*($A160-Ft!G$2)^2)</f>
        <v>29.579615312792104</v>
      </c>
    </row>
    <row r="161" spans="1:10">
      <c r="A161" s="20">
        <v>159</v>
      </c>
      <c r="B161" s="29">
        <v>20.872649090115061</v>
      </c>
      <c r="C161" s="28">
        <f ca="1">OFFSET($B161,1*(ROWS(C$2:C161)-1),0)</f>
        <v>48.280126515757331</v>
      </c>
      <c r="D161" s="27">
        <f>Ft!B$3*EXP(Ft!B$38*($A161-Ft!B$2)^2) +Ft!C$3*EXP(Ft!C$38*($A161-Ft!C$2)^2) + Ft!D$3*EXP(Ft!D$38*($A161-Ft!D$2)^2)+Ft!E$3*EXP(Ft!E$38*($A161-Ft!E$2)^2) +Ft!F$3*EXP(Ft!F$38*($A161-Ft!F$2)^2) + Ft!G$3*EXP(Ft!G$38*($A161-Ft!G$2)^2)</f>
        <v>208.69476369164548</v>
      </c>
      <c r="E161" s="27">
        <f>Ft!B$3*EXP(Ft!B$38*($A161-Ft!B$2)^2)</f>
        <v>127.94253000831193</v>
      </c>
      <c r="F161" s="27">
        <f>Ft!C$3*EXP(Ft!C$38*($A161-Ft!C$2)^2)</f>
        <v>30.571859140255381</v>
      </c>
      <c r="G161" s="27">
        <f>Ft!D$3*EXP(Ft!D$38*($A161-Ft!D$2)^2)</f>
        <v>3.2330327625299736E-23</v>
      </c>
      <c r="H161" s="27">
        <f>Ft!E$3*EXP(Ft!E$38*($A161-Ft!E$2)^2)</f>
        <v>11.429106536990007</v>
      </c>
      <c r="I161" s="27">
        <f>Ft!F$3*EXP(Ft!F$38*($A161-Ft!F$2)^2)</f>
        <v>9.0199403769669768</v>
      </c>
      <c r="J161" s="27">
        <f>Ft!G$3*EXP(Ft!G$38*($A161-Ft!G$2)^2)</f>
        <v>29.73132762912115</v>
      </c>
    </row>
    <row r="162" spans="1:10">
      <c r="A162" s="20">
        <v>160</v>
      </c>
      <c r="B162" s="29">
        <v>21.070432870060131</v>
      </c>
      <c r="C162" s="28">
        <f ca="1">OFFSET($B162,1*(ROWS(C$2:C162)-1),0)</f>
        <v>48.289552414484945</v>
      </c>
      <c r="D162" s="27">
        <f>Ft!B$3*EXP(Ft!B$38*($A162-Ft!B$2)^2) +Ft!C$3*EXP(Ft!C$38*($A162-Ft!C$2)^2) + Ft!D$3*EXP(Ft!D$38*($A162-Ft!D$2)^2)+Ft!E$3*EXP(Ft!E$38*($A162-Ft!E$2)^2) +Ft!F$3*EXP(Ft!F$38*($A162-Ft!F$2)^2) + Ft!G$3*EXP(Ft!G$38*($A162-Ft!G$2)^2)</f>
        <v>208.79626596507302</v>
      </c>
      <c r="E162" s="27">
        <f>Ft!B$3*EXP(Ft!B$38*($A162-Ft!B$2)^2)</f>
        <v>127.70996690742206</v>
      </c>
      <c r="F162" s="27">
        <f>Ft!C$3*EXP(Ft!C$38*($A162-Ft!C$2)^2)</f>
        <v>30.622053171077695</v>
      </c>
      <c r="G162" s="27">
        <f>Ft!D$3*EXP(Ft!D$38*($A162-Ft!D$2)^2)</f>
        <v>4.7250478316487341E-23</v>
      </c>
      <c r="H162" s="27">
        <f>Ft!E$3*EXP(Ft!E$38*($A162-Ft!E$2)^2)</f>
        <v>11.522317963305708</v>
      </c>
      <c r="I162" s="27">
        <f>Ft!F$3*EXP(Ft!F$38*($A162-Ft!F$2)^2)</f>
        <v>9.0588853181819111</v>
      </c>
      <c r="J162" s="27">
        <f>Ft!G$3*EXP(Ft!G$38*($A162-Ft!G$2)^2)</f>
        <v>29.883042605085638</v>
      </c>
    </row>
    <row r="163" spans="1:10">
      <c r="A163" s="20">
        <v>161</v>
      </c>
      <c r="B163" s="29">
        <v>21.274646962691065</v>
      </c>
      <c r="C163" s="28">
        <f ca="1">OFFSET($B163,1*(ROWS(C$2:C163)-1),0)</f>
        <v>48.305956844259612</v>
      </c>
      <c r="D163" s="27">
        <f>Ft!B$3*EXP(Ft!B$38*($A163-Ft!B$2)^2) +Ft!C$3*EXP(Ft!C$38*($A163-Ft!C$2)^2) + Ft!D$3*EXP(Ft!D$38*($A163-Ft!D$2)^2)+Ft!E$3*EXP(Ft!E$38*($A163-Ft!E$2)^2) +Ft!F$3*EXP(Ft!F$38*($A163-Ft!F$2)^2) + Ft!G$3*EXP(Ft!G$38*($A163-Ft!G$2)^2)</f>
        <v>208.89832213603387</v>
      </c>
      <c r="E163" s="27">
        <f>Ft!B$3*EXP(Ft!B$38*($A163-Ft!B$2)^2)</f>
        <v>127.47721825732468</v>
      </c>
      <c r="F163" s="27">
        <f>Ft!C$3*EXP(Ft!C$38*($A163-Ft!C$2)^2)</f>
        <v>30.672261858988168</v>
      </c>
      <c r="G163" s="27">
        <f>Ft!D$3*EXP(Ft!D$38*($A163-Ft!D$2)^2)</f>
        <v>6.8960965709350917E-23</v>
      </c>
      <c r="H163" s="27">
        <f>Ft!E$3*EXP(Ft!E$38*($A163-Ft!E$2)^2)</f>
        <v>11.6161212054392</v>
      </c>
      <c r="I163" s="27">
        <f>Ft!F$3*EXP(Ft!F$38*($A163-Ft!F$2)^2)</f>
        <v>9.0979684539171828</v>
      </c>
      <c r="J163" s="27">
        <f>Ft!G$3*EXP(Ft!G$38*($A163-Ft!G$2)^2)</f>
        <v>30.034752360364624</v>
      </c>
    </row>
    <row r="164" spans="1:10">
      <c r="A164" s="20">
        <v>162</v>
      </c>
      <c r="B164" s="29">
        <v>21.47195862469394</v>
      </c>
      <c r="C164" s="28">
        <f ca="1">OFFSET($B164,1*(ROWS(C$2:C164)-1),0)</f>
        <v>48.341075081633392</v>
      </c>
      <c r="D164" s="27">
        <f>Ft!B$3*EXP(Ft!B$38*($A164-Ft!B$2)^2) +Ft!C$3*EXP(Ft!C$38*($A164-Ft!C$2)^2) + Ft!D$3*EXP(Ft!D$38*($A164-Ft!D$2)^2)+Ft!E$3*EXP(Ft!E$38*($A164-Ft!E$2)^2) +Ft!F$3*EXP(Ft!F$38*($A164-Ft!F$2)^2) + Ft!G$3*EXP(Ft!G$38*($A164-Ft!G$2)^2)</f>
        <v>209.00092906967345</v>
      </c>
      <c r="E164" s="27">
        <f>Ft!B$3*EXP(Ft!B$38*($A164-Ft!B$2)^2)</f>
        <v>127.24428661535688</v>
      </c>
      <c r="F164" s="27">
        <f>Ft!C$3*EXP(Ft!C$38*($A164-Ft!C$2)^2)</f>
        <v>30.722485006021021</v>
      </c>
      <c r="G164" s="27">
        <f>Ft!D$3*EXP(Ft!D$38*($A164-Ft!D$2)^2)</f>
        <v>1.0050819686263725E-22</v>
      </c>
      <c r="H164" s="27">
        <f>Ft!E$3*EXP(Ft!E$38*($A164-Ft!E$2)^2)</f>
        <v>11.710518350894413</v>
      </c>
      <c r="I164" s="27">
        <f>Ft!F$3*EXP(Ft!F$38*($A164-Ft!F$2)^2)</f>
        <v>9.1371901224657073</v>
      </c>
      <c r="J164" s="27">
        <f>Ft!G$3*EXP(Ft!G$38*($A164-Ft!G$2)^2)</f>
        <v>30.186448974935427</v>
      </c>
    </row>
    <row r="165" spans="1:10">
      <c r="A165" s="20">
        <v>163</v>
      </c>
      <c r="B165" s="29">
        <v>21.668753884764527</v>
      </c>
      <c r="C165" s="28">
        <f ca="1">OFFSET($B165,1*(ROWS(C$2:C165)-1),0)</f>
        <v>48.359415642141528</v>
      </c>
      <c r="D165" s="27">
        <f>Ft!B$3*EXP(Ft!B$38*($A165-Ft!B$2)^2) +Ft!C$3*EXP(Ft!C$38*($A165-Ft!C$2)^2) + Ft!D$3*EXP(Ft!D$38*($A165-Ft!D$2)^2)+Ft!E$3*EXP(Ft!E$38*($A165-Ft!E$2)^2) +Ft!F$3*EXP(Ft!F$38*($A165-Ft!F$2)^2) + Ft!G$3*EXP(Ft!G$38*($A165-Ft!G$2)^2)</f>
        <v>209.10408358072382</v>
      </c>
      <c r="E165" s="27">
        <f>Ft!B$3*EXP(Ft!B$38*($A165-Ft!B$2)^2)</f>
        <v>127.01117453680617</v>
      </c>
      <c r="F165" s="27">
        <f>Ft!C$3*EXP(Ft!C$38*($A165-Ft!C$2)^2)</f>
        <v>30.772722413790234</v>
      </c>
      <c r="G165" s="27">
        <f>Ft!D$3*EXP(Ft!D$38*($A165-Ft!D$2)^2)</f>
        <v>1.4628528785488594E-22</v>
      </c>
      <c r="H165" s="27">
        <f>Ft!E$3*EXP(Ft!E$38*($A165-Ft!E$2)^2)</f>
        <v>11.805511478223183</v>
      </c>
      <c r="I165" s="27">
        <f>Ft!F$3*EXP(Ft!F$38*($A165-Ft!F$2)^2)</f>
        <v>9.1765506622080135</v>
      </c>
      <c r="J165" s="27">
        <f>Ft!G$3*EXP(Ft!G$38*($A165-Ft!G$2)^2)</f>
        <v>30.338124489696234</v>
      </c>
    </row>
    <row r="166" spans="1:10">
      <c r="A166" s="20">
        <v>164</v>
      </c>
      <c r="B166" s="29">
        <v>21.870875198535799</v>
      </c>
      <c r="C166" s="28">
        <f ca="1">OFFSET($B166,1*(ROWS(C$2:C166)-1),0)</f>
        <v>48.374165882144581</v>
      </c>
      <c r="D166" s="27">
        <f>Ft!B$3*EXP(Ft!B$38*($A166-Ft!B$2)^2) +Ft!C$3*EXP(Ft!C$38*($A166-Ft!C$2)^2) + Ft!D$3*EXP(Ft!D$38*($A166-Ft!D$2)^2)+Ft!E$3*EXP(Ft!E$38*($A166-Ft!E$2)^2) +Ft!F$3*EXP(Ft!F$38*($A166-Ft!F$2)^2) + Ft!G$3*EXP(Ft!G$38*($A166-Ft!G$2)^2)</f>
        <v>209.20778243389242</v>
      </c>
      <c r="E166" s="27">
        <f>Ft!B$3*EXP(Ft!B$38*($A166-Ft!B$2)^2)</f>
        <v>126.77788457486531</v>
      </c>
      <c r="F166" s="27">
        <f>Ft!C$3*EXP(Ft!C$38*($A166-Ft!C$2)^2)</f>
        <v>30.822973883490569</v>
      </c>
      <c r="G166" s="27">
        <f>Ft!D$3*EXP(Ft!D$38*($A166-Ft!D$2)^2)</f>
        <v>2.1261839786597211E-22</v>
      </c>
      <c r="H166" s="27">
        <f>Ft!E$3*EXP(Ft!E$38*($A166-Ft!E$2)^2)</f>
        <v>11.901102656831473</v>
      </c>
      <c r="I166" s="27">
        <f>Ft!F$3*EXP(Ft!F$38*($A166-Ft!F$2)^2)</f>
        <v>9.2160504116081299</v>
      </c>
      <c r="J166" s="27">
        <f>Ft!G$3*EXP(Ft!G$38*($A166-Ft!G$2)^2)</f>
        <v>30.489770907096911</v>
      </c>
    </row>
    <row r="167" spans="1:10">
      <c r="A167" s="20">
        <v>165</v>
      </c>
      <c r="B167" s="29">
        <v>22.046010970139406</v>
      </c>
      <c r="C167" s="28">
        <f ca="1">OFFSET($B167,1*(ROWS(C$2:C167)-1),0)</f>
        <v>48.359759389472401</v>
      </c>
      <c r="D167" s="27">
        <f>Ft!B$3*EXP(Ft!B$38*($A167-Ft!B$2)^2) +Ft!C$3*EXP(Ft!C$38*($A167-Ft!C$2)^2) + Ft!D$3*EXP(Ft!D$38*($A167-Ft!D$2)^2)+Ft!E$3*EXP(Ft!E$38*($A167-Ft!E$2)^2) +Ft!F$3*EXP(Ft!F$38*($A167-Ft!F$2)^2) + Ft!G$3*EXP(Ft!G$38*($A167-Ft!G$2)^2)</f>
        <v>209.31202234425862</v>
      </c>
      <c r="E167" s="27">
        <f>Ft!B$3*EXP(Ft!B$38*($A167-Ft!B$2)^2)</f>
        <v>126.5444192805877</v>
      </c>
      <c r="F167" s="27">
        <f>Ft!C$3*EXP(Ft!C$38*($A167-Ft!C$2)^2)</f>
        <v>30.873239215898664</v>
      </c>
      <c r="G167" s="27">
        <f>Ft!D$3*EXP(Ft!D$38*($A167-Ft!D$2)^2)</f>
        <v>3.0860435731130571E-22</v>
      </c>
      <c r="H167" s="27">
        <f>Ft!E$3*EXP(Ft!E$38*($A167-Ft!E$2)^2)</f>
        <v>11.997293946784717</v>
      </c>
      <c r="I167" s="27">
        <f>Ft!F$3*EXP(Ft!F$38*($A167-Ft!F$2)^2)</f>
        <v>9.2556897092095038</v>
      </c>
      <c r="J167" s="27">
        <f>Ft!G$3*EXP(Ft!G$38*($A167-Ft!G$2)^2)</f>
        <v>30.641380191778072</v>
      </c>
    </row>
    <row r="168" spans="1:10">
      <c r="A168" s="20">
        <v>166</v>
      </c>
      <c r="B168" s="29">
        <v>22.244750409105109</v>
      </c>
      <c r="C168" s="28">
        <f ca="1">OFFSET($B168,1*(ROWS(C$2:C168)-1),0)</f>
        <v>48.372280859713925</v>
      </c>
      <c r="D168" s="27">
        <f>Ft!B$3*EXP(Ft!B$38*($A168-Ft!B$2)^2) +Ft!C$3*EXP(Ft!C$38*($A168-Ft!C$2)^2) + Ft!D$3*EXP(Ft!D$38*($A168-Ft!D$2)^2)+Ft!E$3*EXP(Ft!E$38*($A168-Ft!E$2)^2) +Ft!F$3*EXP(Ft!F$38*($A168-Ft!F$2)^2) + Ft!G$3*EXP(Ft!G$38*($A168-Ft!G$2)^2)</f>
        <v>209.41679997767787</v>
      </c>
      <c r="E168" s="27">
        <f>Ft!B$3*EXP(Ft!B$38*($A168-Ft!B$2)^2)</f>
        <v>126.31078120284253</v>
      </c>
      <c r="F168" s="27">
        <f>Ft!C$3*EXP(Ft!C$38*($A168-Ft!C$2)^2)</f>
        <v>30.923518211374098</v>
      </c>
      <c r="G168" s="27">
        <f>Ft!D$3*EXP(Ft!D$38*($A168-Ft!D$2)^2)</f>
        <v>4.4730555123430539E-22</v>
      </c>
      <c r="H168" s="27">
        <f>Ft!E$3*EXP(Ft!E$38*($A168-Ft!E$2)^2)</f>
        <v>12.094087398612254</v>
      </c>
      <c r="I168" s="27">
        <f>Ft!F$3*EXP(Ft!F$38*($A168-Ft!F$2)^2)</f>
        <v>9.2954688936308543</v>
      </c>
      <c r="J168" s="27">
        <f>Ft!G$3*EXP(Ft!G$38*($A168-Ft!G$2)^2)</f>
        <v>30.79294427121814</v>
      </c>
    </row>
    <row r="169" spans="1:10">
      <c r="A169" s="20">
        <v>167</v>
      </c>
      <c r="B169" s="29">
        <v>22.444256069080467</v>
      </c>
      <c r="C169" s="28">
        <f ca="1">OFFSET($B169,1*(ROWS(C$2:C169)-1),0)</f>
        <v>48.391775708381658</v>
      </c>
      <c r="D169" s="27">
        <f>Ft!B$3*EXP(Ft!B$38*($A169-Ft!B$2)^2) +Ft!C$3*EXP(Ft!C$38*($A169-Ft!C$2)^2) + Ft!D$3*EXP(Ft!D$38*($A169-Ft!D$2)^2)+Ft!E$3*EXP(Ft!E$38*($A169-Ft!E$2)^2) +Ft!F$3*EXP(Ft!F$38*($A169-Ft!F$2)^2) + Ft!G$3*EXP(Ft!G$38*($A169-Ft!G$2)^2)</f>
        <v>209.52211195119224</v>
      </c>
      <c r="E169" s="27">
        <f>Ft!B$3*EXP(Ft!B$38*($A169-Ft!B$2)^2)</f>
        <v>126.07697288827019</v>
      </c>
      <c r="F169" s="27">
        <f>Ft!C$3*EXP(Ft!C$38*($A169-Ft!C$2)^2)</f>
        <v>30.973810669860498</v>
      </c>
      <c r="G169" s="27">
        <f>Ft!D$3*EXP(Ft!D$38*($A169-Ft!D$2)^2)</f>
        <v>6.4745195109810803E-22</v>
      </c>
      <c r="H169" s="27">
        <f>Ft!E$3*EXP(Ft!E$38*($A169-Ft!E$2)^2)</f>
        <v>12.191485053110902</v>
      </c>
      <c r="I169" s="27">
        <f>Ft!F$3*EXP(Ft!F$38*($A169-Ft!F$2)^2)</f>
        <v>9.3353883035620324</v>
      </c>
      <c r="J169" s="27">
        <f>Ft!G$3*EXP(Ft!G$38*($A169-Ft!G$2)^2)</f>
        <v>30.944455036388614</v>
      </c>
    </row>
    <row r="170" spans="1:10">
      <c r="A170" s="20">
        <v>168</v>
      </c>
      <c r="B170" s="29">
        <v>22.645533232781503</v>
      </c>
      <c r="C170" s="28">
        <f ca="1">OFFSET($B170,1*(ROWS(C$2:C170)-1),0)</f>
        <v>48.394815286262883</v>
      </c>
      <c r="D170" s="27">
        <f>Ft!B$3*EXP(Ft!B$38*($A170-Ft!B$2)^2) +Ft!C$3*EXP(Ft!C$38*($A170-Ft!C$2)^2) + Ft!D$3*EXP(Ft!D$38*($A170-Ft!D$2)^2)+Ft!E$3*EXP(Ft!E$38*($A170-Ft!E$2)^2) +Ft!F$3*EXP(Ft!F$38*($A170-Ft!F$2)^2) + Ft!G$3*EXP(Ft!G$38*($A170-Ft!G$2)^2)</f>
        <v>209.62795483344917</v>
      </c>
      <c r="E170" s="27">
        <f>Ft!B$3*EXP(Ft!B$38*($A170-Ft!B$2)^2)</f>
        <v>125.84299688123785</v>
      </c>
      <c r="F170" s="27">
        <f>Ft!C$3*EXP(Ft!C$38*($A170-Ft!C$2)^2)</f>
        <v>31.024116390886618</v>
      </c>
      <c r="G170" s="27">
        <f>Ft!D$3*EXP(Ft!D$38*($A170-Ft!D$2)^2)</f>
        <v>9.3586201786551358E-22</v>
      </c>
      <c r="H170" s="27">
        <f>Ft!E$3*EXP(Ft!E$38*($A170-Ft!E$2)^2)</f>
        <v>12.289488941147603</v>
      </c>
      <c r="I170" s="27">
        <f>Ft!F$3*EXP(Ft!F$38*($A170-Ft!F$2)^2)</f>
        <v>9.3754482777598795</v>
      </c>
      <c r="J170" s="27">
        <f>Ft!G$3*EXP(Ft!G$38*($A170-Ft!G$2)^2)</f>
        <v>31.095904342417224</v>
      </c>
    </row>
    <row r="171" spans="1:10">
      <c r="A171" s="20">
        <v>169</v>
      </c>
      <c r="B171" s="29">
        <v>22.852752629772567</v>
      </c>
      <c r="C171" s="28">
        <f ca="1">OFFSET($B171,1*(ROWS(C$2:C171)-1),0)</f>
        <v>48.400337738302653</v>
      </c>
      <c r="D171" s="27">
        <f>Ft!B$3*EXP(Ft!B$38*($A171-Ft!B$2)^2) +Ft!C$3*EXP(Ft!C$38*($A171-Ft!C$2)^2) + Ft!D$3*EXP(Ft!D$38*($A171-Ft!D$2)^2)+Ft!E$3*EXP(Ft!E$38*($A171-Ft!E$2)^2) +Ft!F$3*EXP(Ft!F$38*($A171-Ft!F$2)^2) + Ft!G$3*EXP(Ft!G$38*($A171-Ft!G$2)^2)</f>
        <v>209.73432514512703</v>
      </c>
      <c r="E171" s="27">
        <f>Ft!B$3*EXP(Ft!B$38*($A171-Ft!B$2)^2)</f>
        <v>125.60885572379526</v>
      </c>
      <c r="F171" s="27">
        <f>Ft!C$3*EXP(Ft!C$38*($A171-Ft!C$2)^2)</f>
        <v>31.07443517356743</v>
      </c>
      <c r="G171" s="27">
        <f>Ft!D$3*EXP(Ft!D$38*($A171-Ft!D$2)^2)</f>
        <v>1.3508810865337385E-21</v>
      </c>
      <c r="H171" s="27">
        <f>Ft!E$3*EXP(Ft!E$38*($A171-Ft!E$2)^2)</f>
        <v>12.388101083461256</v>
      </c>
      <c r="I171" s="27">
        <f>Ft!F$3*EXP(Ft!F$38*($A171-Ft!F$2)^2)</f>
        <v>9.4156491550439938</v>
      </c>
      <c r="J171" s="27">
        <f>Ft!G$3*EXP(Ft!G$38*($A171-Ft!G$2)^2)</f>
        <v>31.247284009259069</v>
      </c>
    </row>
    <row r="172" spans="1:10">
      <c r="A172" s="20">
        <v>170</v>
      </c>
      <c r="B172" s="29">
        <v>23.02990260638478</v>
      </c>
      <c r="C172" s="28">
        <f ca="1">OFFSET($B172,1*(ROWS(C$2:C172)-1),0)</f>
        <v>48.401883319571766</v>
      </c>
      <c r="D172" s="27">
        <f>Ft!B$3*EXP(Ft!B$38*($A172-Ft!B$2)^2) +Ft!C$3*EXP(Ft!C$38*($A172-Ft!C$2)^2) + Ft!D$3*EXP(Ft!D$38*($A172-Ft!D$2)^2)+Ft!E$3*EXP(Ft!E$38*($A172-Ft!E$2)^2) +Ft!F$3*EXP(Ft!F$38*($A172-Ft!F$2)^2) + Ft!G$3*EXP(Ft!G$38*($A172-Ft!G$2)^2)</f>
        <v>209.84121935936741</v>
      </c>
      <c r="E172" s="27">
        <f>Ft!B$3*EXP(Ft!B$38*($A172-Ft!B$2)^2)</f>
        <v>125.3745519556303</v>
      </c>
      <c r="F172" s="27">
        <f>Ft!C$3*EXP(Ft!C$38*($A172-Ft!C$2)^2)</f>
        <v>31.124766816605241</v>
      </c>
      <c r="G172" s="27">
        <f>Ft!D$3*EXP(Ft!D$38*($A172-Ft!D$2)^2)</f>
        <v>1.9472577569443878E-21</v>
      </c>
      <c r="H172" s="27">
        <f>Ft!E$3*EXP(Ft!E$38*($A172-Ft!E$2)^2)</f>
        <v>12.487323490463659</v>
      </c>
      <c r="I172" s="27">
        <f>Ft!F$3*EXP(Ft!F$38*($A172-Ft!F$2)^2)</f>
        <v>9.4559912742925736</v>
      </c>
      <c r="J172" s="27">
        <f>Ft!G$3*EXP(Ft!G$38*($A172-Ft!G$2)^2)</f>
        <v>31.398585822375612</v>
      </c>
    </row>
    <row r="173" spans="1:10">
      <c r="A173" s="20">
        <v>171</v>
      </c>
      <c r="B173" s="29">
        <v>23.211968217850483</v>
      </c>
      <c r="C173" s="28">
        <f ca="1">OFFSET($B173,1*(ROWS(C$2:C173)-1),0)</f>
        <v>48.422298806964363</v>
      </c>
      <c r="D173" s="27">
        <f>Ft!B$3*EXP(Ft!B$38*($A173-Ft!B$2)^2) +Ft!C$3*EXP(Ft!C$38*($A173-Ft!C$2)^2) + Ft!D$3*EXP(Ft!D$38*($A173-Ft!D$2)^2)+Ft!E$3*EXP(Ft!E$38*($A173-Ft!E$2)^2) +Ft!F$3*EXP(Ft!F$38*($A173-Ft!F$2)^2) + Ft!G$3*EXP(Ft!G$38*($A173-Ft!G$2)^2)</f>
        <v>209.94863390221539</v>
      </c>
      <c r="E173" s="27">
        <f>Ft!B$3*EXP(Ft!B$38*($A173-Ft!B$2)^2)</f>
        <v>125.14008811402532</v>
      </c>
      <c r="F173" s="27">
        <f>Ft!C$3*EXP(Ft!C$38*($A173-Ft!C$2)^2)</f>
        <v>31.175111118290811</v>
      </c>
      <c r="G173" s="27">
        <f>Ft!D$3*EXP(Ft!D$38*($A173-Ft!D$2)^2)</f>
        <v>2.8030496189119835E-21</v>
      </c>
      <c r="H173" s="27">
        <f>Ft!E$3*EXP(Ft!E$38*($A173-Ft!E$2)^2)</f>
        <v>12.587158162039602</v>
      </c>
      <c r="I173" s="27">
        <f>Ft!F$3*EXP(Ft!F$38*($A173-Ft!F$2)^2)</f>
        <v>9.4964749744381809</v>
      </c>
      <c r="J173" s="27">
        <f>Ft!G$3*EXP(Ft!G$38*($A173-Ft!G$2)^2)</f>
        <v>31.549801533421476</v>
      </c>
    </row>
    <row r="174" spans="1:10">
      <c r="A174" s="20">
        <v>172</v>
      </c>
      <c r="B174" s="29">
        <v>23.408598188949128</v>
      </c>
      <c r="C174" s="28">
        <f ca="1">OFFSET($B174,1*(ROWS(C$2:C174)-1),0)</f>
        <v>48.426950072791385</v>
      </c>
      <c r="D174" s="27">
        <f>Ft!B$3*EXP(Ft!B$38*($A174-Ft!B$2)^2) +Ft!C$3*EXP(Ft!C$38*($A174-Ft!C$2)^2) + Ft!D$3*EXP(Ft!D$38*($A174-Ft!D$2)^2)+Ft!E$3*EXP(Ft!E$38*($A174-Ft!E$2)^2) +Ft!F$3*EXP(Ft!F$38*($A174-Ft!F$2)^2) + Ft!G$3*EXP(Ft!G$38*($A174-Ft!G$2)^2)</f>
        <v>210.05656515306595</v>
      </c>
      <c r="E174" s="27">
        <f>Ft!B$3*EXP(Ft!B$38*($A174-Ft!B$2)^2)</f>
        <v>124.90546673381286</v>
      </c>
      <c r="F174" s="27">
        <f>Ft!C$3*EXP(Ft!C$38*($A174-Ft!C$2)^2)</f>
        <v>31.225467876504428</v>
      </c>
      <c r="G174" s="27">
        <f>Ft!D$3*EXP(Ft!D$38*($A174-Ft!D$2)^2)</f>
        <v>4.0293885726737804E-21</v>
      </c>
      <c r="H174" s="27">
        <f>Ft!E$3*EXP(Ft!E$38*($A174-Ft!E$2)^2)</f>
        <v>12.687607087346141</v>
      </c>
      <c r="I174" s="27">
        <f>Ft!F$3*EXP(Ft!F$38*($A174-Ft!F$2)^2)</f>
        <v>9.5371005944634994</v>
      </c>
      <c r="J174" s="27">
        <f>Ft!G$3*EXP(Ft!G$38*($A174-Ft!G$2)^2)</f>
        <v>31.700922860938974</v>
      </c>
    </row>
    <row r="175" spans="1:10">
      <c r="A175" s="20">
        <v>173</v>
      </c>
      <c r="B175" s="29">
        <v>23.604040543179281</v>
      </c>
      <c r="C175" s="28">
        <f ca="1">OFFSET($B175,1*(ROWS(C$2:C175)-1),0)</f>
        <v>48.435566412793861</v>
      </c>
      <c r="D175" s="27">
        <f>Ft!B$3*EXP(Ft!B$38*($A175-Ft!B$2)^2) +Ft!C$3*EXP(Ft!C$38*($A175-Ft!C$2)^2) + Ft!D$3*EXP(Ft!D$38*($A175-Ft!D$2)^2)+Ft!E$3*EXP(Ft!E$38*($A175-Ft!E$2)^2) +Ft!F$3*EXP(Ft!F$38*($A175-Ft!F$2)^2) + Ft!G$3*EXP(Ft!G$38*($A175-Ft!G$2)^2)</f>
        <v>210.16500944511759</v>
      </c>
      <c r="E175" s="27">
        <f>Ft!B$3*EXP(Ft!B$38*($A175-Ft!B$2)^2)</f>
        <v>124.67069034733215</v>
      </c>
      <c r="F175" s="27">
        <f>Ft!C$3*EXP(Ft!C$38*($A175-Ft!C$2)^2)</f>
        <v>31.27583688871708</v>
      </c>
      <c r="G175" s="27">
        <f>Ft!D$3*EXP(Ft!D$38*($A175-Ft!D$2)^2)</f>
        <v>5.7842697357199213E-21</v>
      </c>
      <c r="H175" s="27">
        <f>Ft!E$3*EXP(Ft!E$38*($A175-Ft!E$2)^2)</f>
        <v>12.788672244611046</v>
      </c>
      <c r="I175" s="27">
        <f>Ft!F$3*EXP(Ft!F$38*($A175-Ft!F$2)^2)</f>
        <v>9.5778684733970572</v>
      </c>
      <c r="J175" s="27">
        <f>Ft!G$3*EXP(Ft!G$38*($A175-Ft!G$2)^2)</f>
        <v>31.85194149106028</v>
      </c>
    </row>
    <row r="176" spans="1:10">
      <c r="A176" s="20">
        <v>174</v>
      </c>
      <c r="B176" s="29">
        <v>23.812698239267917</v>
      </c>
      <c r="C176" s="28">
        <f ca="1">OFFSET($B176,1*(ROWS(C$2:C176)-1),0)</f>
        <v>48.452640616931717</v>
      </c>
      <c r="D176" s="27">
        <f>Ft!B$3*EXP(Ft!B$38*($A176-Ft!B$2)^2) +Ft!C$3*EXP(Ft!C$38*($A176-Ft!C$2)^2) + Ft!D$3*EXP(Ft!D$38*($A176-Ft!D$2)^2)+Ft!E$3*EXP(Ft!E$38*($A176-Ft!E$2)^2) +Ft!F$3*EXP(Ft!F$38*($A176-Ft!F$2)^2) + Ft!G$3*EXP(Ft!G$38*($A176-Ft!G$2)^2)</f>
        <v>210.27396306583373</v>
      </c>
      <c r="E176" s="27">
        <f>Ft!B$3*EXP(Ft!B$38*($A176-Ft!B$2)^2)</f>
        <v>124.43576148438548</v>
      </c>
      <c r="F176" s="27">
        <f>Ft!C$3*EXP(Ft!C$38*($A176-Ft!C$2)^2)</f>
        <v>31.32621795199157</v>
      </c>
      <c r="G176" s="27">
        <f>Ft!D$3*EXP(Ft!D$38*($A176-Ft!D$2)^2)</f>
        <v>8.2919933558423051E-21</v>
      </c>
      <c r="H176" s="27">
        <f>Ft!E$3*EXP(Ft!E$38*($A176-Ft!E$2)^2)</f>
        <v>12.890355600930409</v>
      </c>
      <c r="I176" s="27">
        <f>Ft!F$3*EXP(Ft!F$38*($A176-Ft!F$2)^2)</f>
        <v>9.6187789503090002</v>
      </c>
      <c r="J176" s="27">
        <f>Ft!G$3*EXP(Ft!G$38*($A176-Ft!G$2)^2)</f>
        <v>32.002849078217245</v>
      </c>
    </row>
    <row r="177" spans="1:10">
      <c r="A177" s="20">
        <v>175</v>
      </c>
      <c r="B177" s="29">
        <v>24.016438978127496</v>
      </c>
      <c r="C177" s="28">
        <f ca="1">OFFSET($B177,1*(ROWS(C$2:C177)-1),0)</f>
        <v>48.476703941441542</v>
      </c>
      <c r="D177" s="27">
        <f>Ft!B$3*EXP(Ft!B$38*($A177-Ft!B$2)^2) +Ft!C$3*EXP(Ft!C$38*($A177-Ft!C$2)^2) + Ft!D$3*EXP(Ft!D$38*($A177-Ft!D$2)^2)+Ft!E$3*EXP(Ft!E$38*($A177-Ft!E$2)^2) +Ft!F$3*EXP(Ft!F$38*($A177-Ft!F$2)^2) + Ft!G$3*EXP(Ft!G$38*($A177-Ft!G$2)^2)</f>
        <v>210.38342225740908</v>
      </c>
      <c r="E177" s="27">
        <f>Ft!B$3*EXP(Ft!B$38*($A177-Ft!B$2)^2)</f>
        <v>124.20068267219459</v>
      </c>
      <c r="F177" s="27">
        <f>Ft!C$3*EXP(Ft!C$38*($A177-Ft!C$2)^2)</f>
        <v>31.37661086298365</v>
      </c>
      <c r="G177" s="27">
        <f>Ft!D$3*EXP(Ft!D$38*($A177-Ft!D$2)^2)</f>
        <v>1.1870537260947975E-20</v>
      </c>
      <c r="H177" s="27">
        <f>Ft!E$3*EXP(Ft!E$38*($A177-Ft!E$2)^2)</f>
        <v>12.992659112065468</v>
      </c>
      <c r="I177" s="27">
        <f>Ft!F$3*EXP(Ft!F$38*($A177-Ft!F$2)^2)</f>
        <v>9.6598323643067285</v>
      </c>
      <c r="J177" s="27">
        <f>Ft!G$3*EXP(Ft!G$38*($A177-Ft!G$2)^2)</f>
        <v>32.153637245858654</v>
      </c>
    </row>
    <row r="178" spans="1:10">
      <c r="A178" s="20">
        <v>176</v>
      </c>
      <c r="B178" s="29">
        <v>24.24048730529779</v>
      </c>
      <c r="C178" s="28">
        <f ca="1">OFFSET($B178,1*(ROWS(C$2:C178)-1),0)</f>
        <v>48.469473069139269</v>
      </c>
      <c r="D178" s="27">
        <f>Ft!B$3*EXP(Ft!B$38*($A178-Ft!B$2)^2) +Ft!C$3*EXP(Ft!C$38*($A178-Ft!C$2)^2) + Ft!D$3*EXP(Ft!D$38*($A178-Ft!D$2)^2)+Ft!E$3*EXP(Ft!E$38*($A178-Ft!E$2)^2) +Ft!F$3*EXP(Ft!F$38*($A178-Ft!F$2)^2) + Ft!G$3*EXP(Ft!G$38*($A178-Ft!G$2)^2)</f>
        <v>210.49338321724485</v>
      </c>
      <c r="E178" s="27">
        <f>Ft!B$3*EXP(Ft!B$38*($A178-Ft!B$2)^2)</f>
        <v>123.96545643535747</v>
      </c>
      <c r="F178" s="27">
        <f>Ft!C$3*EXP(Ft!C$38*($A178-Ft!C$2)^2)</f>
        <v>31.427015417943149</v>
      </c>
      <c r="G178" s="27">
        <f>Ft!D$3*EXP(Ft!D$38*($A178-Ft!D$2)^2)</f>
        <v>1.6970038496081166E-20</v>
      </c>
      <c r="H178" s="27">
        <f>Ft!E$3*EXP(Ft!E$38*($A178-Ft!E$2)^2)</f>
        <v>13.095584722238668</v>
      </c>
      <c r="I178" s="27">
        <f>Ft!F$3*EXP(Ft!F$38*($A178-Ft!F$2)^2)</f>
        <v>9.7010290545306344</v>
      </c>
      <c r="J178" s="27">
        <f>Ft!G$3*EXP(Ft!G$38*($A178-Ft!G$2)^2)</f>
        <v>32.304297587174929</v>
      </c>
    </row>
    <row r="179" spans="1:10">
      <c r="A179" s="20">
        <v>177</v>
      </c>
      <c r="B179" s="29">
        <v>24.464185792617684</v>
      </c>
      <c r="C179" s="28">
        <f ca="1">OFFSET($B179,1*(ROWS(C$2:C179)-1),0)</f>
        <v>48.4449965426343</v>
      </c>
      <c r="D179" s="27">
        <f>Ft!B$3*EXP(Ft!B$38*($A179-Ft!B$2)^2) +Ft!C$3*EXP(Ft!C$38*($A179-Ft!C$2)^2) + Ft!D$3*EXP(Ft!D$38*($A179-Ft!D$2)^2)+Ft!E$3*EXP(Ft!E$38*($A179-Ft!E$2)^2) +Ft!F$3*EXP(Ft!F$38*($A179-Ft!F$2)^2) + Ft!G$3*EXP(Ft!G$38*($A179-Ft!G$2)^2)</f>
        <v>210.60384209842906</v>
      </c>
      <c r="E179" s="27">
        <f>Ft!B$3*EXP(Ft!B$38*($A179-Ft!B$2)^2)</f>
        <v>123.73008529580507</v>
      </c>
      <c r="F179" s="27">
        <f>Ft!C$3*EXP(Ft!C$38*($A179-Ft!C$2)^2)</f>
        <v>31.477431412715134</v>
      </c>
      <c r="G179" s="27">
        <f>Ft!D$3*EXP(Ft!D$38*($A179-Ft!D$2)^2)</f>
        <v>2.4226813784997209E-20</v>
      </c>
      <c r="H179" s="27">
        <f>Ft!E$3*EXP(Ft!E$38*($A179-Ft!E$2)^2)</f>
        <v>13.199134363928863</v>
      </c>
      <c r="I179" s="27">
        <f>Ft!F$3*EXP(Ft!F$38*($A179-Ft!F$2)^2)</f>
        <v>9.7423693601497252</v>
      </c>
      <c r="J179" s="27">
        <f>Ft!G$3*EXP(Ft!G$38*($A179-Ft!G$2)^2)</f>
        <v>32.454821665830288</v>
      </c>
    </row>
    <row r="180" spans="1:10">
      <c r="A180" s="20">
        <v>178</v>
      </c>
      <c r="B180" s="29">
        <v>24.67964745736748</v>
      </c>
      <c r="C180" s="28">
        <f ca="1">OFFSET($B180,1*(ROWS(C$2:C180)-1),0)</f>
        <v>48.407827599763266</v>
      </c>
      <c r="D180" s="27">
        <f>Ft!B$3*EXP(Ft!B$38*($A180-Ft!B$2)^2) +Ft!C$3*EXP(Ft!C$38*($A180-Ft!C$2)^2) + Ft!D$3*EXP(Ft!D$38*($A180-Ft!D$2)^2)+Ft!E$3*EXP(Ft!E$38*($A180-Ft!E$2)^2) +Ft!F$3*EXP(Ft!F$38*($A180-Ft!F$2)^2) + Ft!G$3*EXP(Ft!G$38*($A180-Ft!G$2)^2)</f>
        <v>210.71479501022461</v>
      </c>
      <c r="E180" s="27">
        <f>Ft!B$3*EXP(Ft!B$38*($A180-Ft!B$2)^2)</f>
        <v>123.49457177275838</v>
      </c>
      <c r="F180" s="27">
        <f>Ft!C$3*EXP(Ft!C$38*($A180-Ft!C$2)^2)</f>
        <v>31.52785864274108</v>
      </c>
      <c r="G180" s="27">
        <f>Ft!D$3*EXP(Ft!D$38*($A180-Ft!D$2)^2)</f>
        <v>3.4539082493578073E-20</v>
      </c>
      <c r="H180" s="27">
        <f>Ft!E$3*EXP(Ft!E$38*($A180-Ft!E$2)^2)</f>
        <v>13.303309957665832</v>
      </c>
      <c r="I180" s="27">
        <f>Ft!F$3*EXP(Ft!F$38*($A180-Ft!F$2)^2)</f>
        <v>9.7838536203572986</v>
      </c>
      <c r="J180" s="27">
        <f>Ft!G$3*EXP(Ft!G$38*($A180-Ft!G$2)^2)</f>
        <v>32.605201016702033</v>
      </c>
    </row>
    <row r="181" spans="1:10">
      <c r="A181" s="20">
        <v>179</v>
      </c>
      <c r="B181" s="29">
        <v>24.884306241262578</v>
      </c>
      <c r="C181" s="28">
        <f ca="1">OFFSET($B181,1*(ROWS(C$2:C181)-1),0)</f>
        <v>48.401364996853658</v>
      </c>
      <c r="D181" s="27">
        <f>Ft!B$3*EXP(Ft!B$38*($A181-Ft!B$2)^2) +Ft!C$3*EXP(Ft!C$38*($A181-Ft!C$2)^2) + Ft!D$3*EXP(Ft!D$38*($A181-Ft!D$2)^2)+Ft!E$3*EXP(Ft!E$38*($A181-Ft!E$2)^2) +Ft!F$3*EXP(Ft!F$38*($A181-Ft!F$2)^2) + Ft!G$3*EXP(Ft!G$38*($A181-Ft!G$2)^2)</f>
        <v>210.82623801856317</v>
      </c>
      <c r="E181" s="27">
        <f>Ft!B$3*EXP(Ft!B$38*($A181-Ft!B$2)^2)</f>
        <v>123.25891838268547</v>
      </c>
      <c r="F181" s="27">
        <f>Ft!C$3*EXP(Ft!C$38*($A181-Ft!C$2)^2)</f>
        <v>31.57829690306</v>
      </c>
      <c r="G181" s="27">
        <f>Ft!D$3*EXP(Ft!D$38*($A181-Ft!D$2)^2)</f>
        <v>4.9172955715441589E-20</v>
      </c>
      <c r="H181" s="27">
        <f>Ft!E$3*EXP(Ft!E$38*($A181-Ft!E$2)^2)</f>
        <v>13.408113411823978</v>
      </c>
      <c r="I181" s="27">
        <f>Ft!F$3*EXP(Ft!F$38*($A181-Ft!F$2)^2)</f>
        <v>9.8254821743665683</v>
      </c>
      <c r="J181" s="27">
        <f>Ft!G$3*EXP(Ft!G$38*($A181-Ft!G$2)^2)</f>
        <v>32.75542714662717</v>
      </c>
    </row>
    <row r="182" spans="1:10">
      <c r="A182" s="20">
        <v>180</v>
      </c>
      <c r="B182" s="29">
        <v>25.087396458903925</v>
      </c>
      <c r="C182" s="28">
        <f ca="1">OFFSET($B182,1*(ROWS(C$2:C182)-1),0)</f>
        <v>48.36602451640249</v>
      </c>
      <c r="D182" s="27">
        <f>Ft!B$3*EXP(Ft!B$38*($A182-Ft!B$2)^2) +Ft!C$3*EXP(Ft!C$38*($A182-Ft!C$2)^2) + Ft!D$3*EXP(Ft!D$38*($A182-Ft!D$2)^2)+Ft!E$3*EXP(Ft!E$38*($A182-Ft!E$2)^2) +Ft!F$3*EXP(Ft!F$38*($A182-Ft!F$2)^2) + Ft!G$3*EXP(Ft!G$38*($A182-Ft!G$2)^2)</f>
        <v>210.93816714654602</v>
      </c>
      <c r="E182" s="27">
        <f>Ft!B$3*EXP(Ft!B$38*($A182-Ft!B$2)^2)</f>
        <v>123.02312763925875</v>
      </c>
      <c r="F182" s="27">
        <f>Ft!C$3*EXP(Ft!C$38*($A182-Ft!C$2)^2)</f>
        <v>31.628745988309646</v>
      </c>
      <c r="G182" s="27">
        <f>Ft!D$3*EXP(Ft!D$38*($A182-Ft!D$2)^2)</f>
        <v>6.9910571581941564E-20</v>
      </c>
      <c r="H182" s="27">
        <f>Ft!E$3*EXP(Ft!E$38*($A182-Ft!E$2)^2)</f>
        <v>13.513546622415324</v>
      </c>
      <c r="I182" s="27">
        <f>Ft!F$3*EXP(Ft!F$38*($A182-Ft!F$2)^2)</f>
        <v>9.8672553614062437</v>
      </c>
      <c r="J182" s="27">
        <f>Ft!G$3*EXP(Ft!G$38*($A182-Ft!G$2)^2)</f>
        <v>32.905491535156045</v>
      </c>
    </row>
    <row r="183" spans="1:10">
      <c r="A183" s="20">
        <v>181</v>
      </c>
      <c r="B183" s="29">
        <v>25.29156542677552</v>
      </c>
      <c r="C183" s="28">
        <f ca="1">OFFSET($B183,1*(ROWS(C$2:C183)-1),0)</f>
        <v>48.346763123046742</v>
      </c>
      <c r="D183" s="27">
        <f>Ft!B$3*EXP(Ft!B$38*($A183-Ft!B$2)^2) +Ft!C$3*EXP(Ft!C$38*($A183-Ft!C$2)^2) + Ft!D$3*EXP(Ft!D$38*($A183-Ft!D$2)^2)+Ft!E$3*EXP(Ft!E$38*($A183-Ft!E$2)^2) +Ft!F$3*EXP(Ft!F$38*($A183-Ft!F$2)^2) + Ft!G$3*EXP(Ft!G$38*($A183-Ft!G$2)^2)</f>
        <v>211.05057837495102</v>
      </c>
      <c r="E183" s="27">
        <f>Ft!B$3*EXP(Ft!B$38*($A183-Ft!B$2)^2)</f>
        <v>122.78720205331234</v>
      </c>
      <c r="F183" s="27">
        <f>Ft!C$3*EXP(Ft!C$38*($A183-Ft!C$2)^2)</f>
        <v>31.679205692727653</v>
      </c>
      <c r="G183" s="27">
        <f>Ft!D$3*EXP(Ft!D$38*($A183-Ft!D$2)^2)</f>
        <v>9.9256832924765928E-20</v>
      </c>
      <c r="H183" s="27">
        <f>Ft!E$3*EXP(Ft!E$38*($A183-Ft!E$2)^2)</f>
        <v>13.619611472881751</v>
      </c>
      <c r="I183" s="27">
        <f>Ft!F$3*EXP(Ft!F$38*($A183-Ft!F$2)^2)</f>
        <v>9.9091735207161538</v>
      </c>
      <c r="J183" s="27">
        <f>Ft!G$3*EXP(Ft!G$38*($A183-Ft!G$2)^2)</f>
        <v>33.055385635313087</v>
      </c>
    </row>
    <row r="184" spans="1:10">
      <c r="A184" s="20">
        <v>182</v>
      </c>
      <c r="B184" s="29">
        <v>25.513182195821116</v>
      </c>
      <c r="C184" s="28">
        <f ca="1">OFFSET($B184,1*(ROWS(C$2:C184)-1),0)</f>
        <v>48.335573358999739</v>
      </c>
      <c r="D184" s="27">
        <f>Ft!B$3*EXP(Ft!B$38*($A184-Ft!B$2)^2) +Ft!C$3*EXP(Ft!C$38*($A184-Ft!C$2)^2) + Ft!D$3*EXP(Ft!D$38*($A184-Ft!D$2)^2)+Ft!E$3*EXP(Ft!E$38*($A184-Ft!E$2)^2) +Ft!F$3*EXP(Ft!F$38*($A184-Ft!F$2)^2) + Ft!G$3*EXP(Ft!G$38*($A184-Ft!G$2)^2)</f>
        <v>211.16346764274618</v>
      </c>
      <c r="E184" s="27">
        <f>Ft!B$3*EXP(Ft!B$38*($A184-Ft!B$2)^2)</f>
        <v>122.55114413279969</v>
      </c>
      <c r="F184" s="27">
        <f>Ft!C$3*EXP(Ft!C$38*($A184-Ft!C$2)^2)</f>
        <v>31.729675810152745</v>
      </c>
      <c r="G184" s="27">
        <f>Ft!D$3*EXP(Ft!D$38*($A184-Ft!D$2)^2)</f>
        <v>1.4072750766066237E-19</v>
      </c>
      <c r="H184" s="27">
        <f>Ft!E$3*EXP(Ft!E$38*($A184-Ft!E$2)^2)</f>
        <v>13.726309833886516</v>
      </c>
      <c r="I184" s="27">
        <f>Ft!F$3*EXP(Ft!F$38*($A184-Ft!F$2)^2)</f>
        <v>9.9512369915427872</v>
      </c>
      <c r="J184" s="27">
        <f>Ft!G$3*EXP(Ft!G$38*($A184-Ft!G$2)^2)</f>
        <v>33.205100874364433</v>
      </c>
    </row>
    <row r="185" spans="1:10">
      <c r="A185" s="20">
        <v>183</v>
      </c>
      <c r="B185" s="29">
        <v>25.724492713317119</v>
      </c>
      <c r="C185" s="28">
        <f ca="1">OFFSET($B185,1*(ROWS(C$2:C185)-1),0)</f>
        <v>48.342509756216572</v>
      </c>
      <c r="D185" s="27">
        <f>Ft!B$3*EXP(Ft!B$38*($A185-Ft!B$2)^2) +Ft!C$3*EXP(Ft!C$38*($A185-Ft!C$2)^2) + Ft!D$3*EXP(Ft!D$38*($A185-Ft!D$2)^2)+Ft!E$3*EXP(Ft!E$38*($A185-Ft!E$2)^2) +Ft!F$3*EXP(Ft!F$38*($A185-Ft!F$2)^2) + Ft!G$3*EXP(Ft!G$38*($A185-Ft!G$2)^2)</f>
        <v>211.2768308476096</v>
      </c>
      <c r="E185" s="27">
        <f>Ft!B$3*EXP(Ft!B$38*($A185-Ft!B$2)^2)</f>
        <v>122.31495638275129</v>
      </c>
      <c r="F185" s="27">
        <f>Ft!C$3*EXP(Ft!C$38*($A185-Ft!C$2)^2)</f>
        <v>31.780156134025898</v>
      </c>
      <c r="G185" s="27">
        <f>Ft!D$3*EXP(Ft!D$38*($A185-Ft!D$2)^2)</f>
        <v>1.9925012408231261E-19</v>
      </c>
      <c r="H185" s="27">
        <f>Ft!E$3*EXP(Ft!E$38*($A185-Ft!E$2)^2)</f>
        <v>13.833643563105069</v>
      </c>
      <c r="I185" s="27">
        <f>Ft!F$3*EXP(Ft!F$38*($A185-Ft!F$2)^2)</f>
        <v>9.9934461131348638</v>
      </c>
      <c r="J185" s="27">
        <f>Ft!G$3*EXP(Ft!G$38*($A185-Ft!G$2)^2)</f>
        <v>33.354628654592481</v>
      </c>
    </row>
    <row r="186" spans="1:10">
      <c r="A186" s="20">
        <v>184</v>
      </c>
      <c r="B186" s="29">
        <v>25.946852757409033</v>
      </c>
      <c r="C186" s="28">
        <f ca="1">OFFSET($B186,1*(ROWS(C$2:C186)-1),0)</f>
        <v>48.32330910097113</v>
      </c>
      <c r="D186" s="27">
        <f>Ft!B$3*EXP(Ft!B$38*($A186-Ft!B$2)^2) +Ft!C$3*EXP(Ft!C$38*($A186-Ft!C$2)^2) + Ft!D$3*EXP(Ft!D$38*($A186-Ft!D$2)^2)+Ft!E$3*EXP(Ft!E$38*($A186-Ft!E$2)^2) +Ft!F$3*EXP(Ft!F$38*($A186-Ft!F$2)^2) + Ft!G$3*EXP(Ft!G$38*($A186-Ft!G$2)^2)</f>
        <v>211.39066384645511</v>
      </c>
      <c r="E186" s="27">
        <f>Ft!B$3*EXP(Ft!B$38*($A186-Ft!B$2)^2)</f>
        <v>122.07864130523238</v>
      </c>
      <c r="F186" s="27">
        <f>Ft!C$3*EXP(Ft!C$38*($A186-Ft!C$2)^2)</f>
        <v>31.830646457391552</v>
      </c>
      <c r="G186" s="27">
        <f>Ft!D$3*EXP(Ft!D$38*($A186-Ft!D$2)^2)</f>
        <v>2.8172100344370489E-19</v>
      </c>
      <c r="H186" s="27">
        <f>Ft!E$3*EXP(Ft!E$38*($A186-Ft!E$2)^2)</f>
        <v>13.941614505015201</v>
      </c>
      <c r="I186" s="27">
        <f>Ft!F$3*EXP(Ft!F$38*($A186-Ft!F$2)^2)</f>
        <v>10.035801224738858</v>
      </c>
      <c r="J186" s="27">
        <f>Ft!G$3*EXP(Ft!G$38*($A186-Ft!G$2)^2)</f>
        <v>33.503960354077115</v>
      </c>
    </row>
    <row r="187" spans="1:10">
      <c r="A187" s="20">
        <v>185</v>
      </c>
      <c r="B187" s="29">
        <v>26.17278656989231</v>
      </c>
      <c r="C187" s="28">
        <f ca="1">OFFSET($B187,1*(ROWS(C$2:C187)-1),0)</f>
        <v>48.320407294650408</v>
      </c>
      <c r="D187" s="27">
        <f>Ft!B$3*EXP(Ft!B$38*($A187-Ft!B$2)^2) +Ft!C$3*EXP(Ft!C$38*($A187-Ft!C$2)^2) + Ft!D$3*EXP(Ft!D$38*($A187-Ft!D$2)^2)+Ft!E$3*EXP(Ft!E$38*($A187-Ft!E$2)^2) +Ft!F$3*EXP(Ft!F$38*($A187-Ft!F$2)^2) + Ft!G$3*EXP(Ft!G$38*($A187-Ft!G$2)^2)</f>
        <v>211.50496245596457</v>
      </c>
      <c r="E187" s="27">
        <f>Ft!B$3*EXP(Ft!B$38*($A187-Ft!B$2)^2)</f>
        <v>121.84220139930113</v>
      </c>
      <c r="F187" s="27">
        <f>Ft!C$3*EXP(Ft!C$38*($A187-Ft!C$2)^2)</f>
        <v>31.881146572898803</v>
      </c>
      <c r="G187" s="27">
        <f>Ft!D$3*EXP(Ft!D$38*($A187-Ft!D$2)^2)</f>
        <v>3.9777810499750928E-19</v>
      </c>
      <c r="H187" s="27">
        <f>Ft!E$3*EXP(Ft!E$38*($A187-Ft!E$2)^2)</f>
        <v>14.050224490686443</v>
      </c>
      <c r="I187" s="27">
        <f>Ft!F$3*EXP(Ft!F$38*($A187-Ft!F$2)^2)</f>
        <v>10.078302665594512</v>
      </c>
      <c r="J187" s="27">
        <f>Ft!G$3*EXP(Ft!G$38*($A187-Ft!G$2)^2)</f>
        <v>33.653087327483675</v>
      </c>
    </row>
    <row r="188" spans="1:10">
      <c r="A188" s="20">
        <v>186</v>
      </c>
      <c r="B188" s="29">
        <v>26.388888023433736</v>
      </c>
      <c r="C188" s="28">
        <f ca="1">OFFSET($B188,1*(ROWS(C$2:C188)-1),0)</f>
        <v>48.28720799505669</v>
      </c>
      <c r="D188" s="27">
        <f>Ft!B$3*EXP(Ft!B$38*($A188-Ft!B$2)^2) +Ft!C$3*EXP(Ft!C$38*($A188-Ft!C$2)^2) + Ft!D$3*EXP(Ft!D$38*($A188-Ft!D$2)^2)+Ft!E$3*EXP(Ft!E$38*($A188-Ft!E$2)^2) +Ft!F$3*EXP(Ft!F$38*($A188-Ft!F$2)^2) + Ft!G$3*EXP(Ft!G$38*($A188-Ft!G$2)^2)</f>
        <v>211.61972245312609</v>
      </c>
      <c r="E188" s="27">
        <f>Ft!B$3*EXP(Ft!B$38*($A188-Ft!B$2)^2)</f>
        <v>121.60563916096673</v>
      </c>
      <c r="F188" s="27">
        <f>Ft!C$3*EXP(Ft!C$38*($A188-Ft!C$2)^2)</f>
        <v>31.931656272802606</v>
      </c>
      <c r="G188" s="27">
        <f>Ft!D$3*EXP(Ft!D$38*($A188-Ft!D$2)^2)</f>
        <v>5.6087172169427525E-19</v>
      </c>
      <c r="H188" s="27">
        <f>Ft!E$3*EXP(Ft!E$38*($A188-Ft!E$2)^2)</f>
        <v>14.159475337568855</v>
      </c>
      <c r="I188" s="27">
        <f>Ft!F$3*EXP(Ft!F$38*($A188-Ft!F$2)^2)</f>
        <v>10.120950774930332</v>
      </c>
      <c r="J188" s="27">
        <f>Ft!G$3*EXP(Ft!G$38*($A188-Ft!G$2)^2)</f>
        <v>33.80200090685755</v>
      </c>
    </row>
    <row r="189" spans="1:10">
      <c r="A189" s="20">
        <v>187</v>
      </c>
      <c r="B189" s="29">
        <v>26.596628887817019</v>
      </c>
      <c r="C189" s="28">
        <f ca="1">OFFSET($B189,1*(ROWS(C$2:C189)-1),0)</f>
        <v>48.25630755941387</v>
      </c>
      <c r="D189" s="27">
        <f>Ft!B$3*EXP(Ft!B$38*($A189-Ft!B$2)^2) +Ft!C$3*EXP(Ft!C$38*($A189-Ft!C$2)^2) + Ft!D$3*EXP(Ft!D$38*($A189-Ft!D$2)^2)+Ft!E$3*EXP(Ft!E$38*($A189-Ft!E$2)^2) +Ft!F$3*EXP(Ft!F$38*($A189-Ft!F$2)^2) + Ft!G$3*EXP(Ft!G$38*($A189-Ft!G$2)^2)</f>
        <v>211.73493957577796</v>
      </c>
      <c r="E189" s="27">
        <f>Ft!B$3*EXP(Ft!B$38*($A189-Ft!B$2)^2)</f>
        <v>121.36895708314768</v>
      </c>
      <c r="F189" s="27">
        <f>Ft!C$3*EXP(Ft!C$38*($A189-Ft!C$2)^2)</f>
        <v>31.982175348964983</v>
      </c>
      <c r="G189" s="27">
        <f>Ft!D$3*EXP(Ft!D$38*($A189-Ft!D$2)^2)</f>
        <v>7.8974563734368454E-19</v>
      </c>
      <c r="H189" s="27">
        <f>Ft!E$3*EXP(Ft!E$38*($A189-Ft!E$2)^2)</f>
        <v>14.269368849281145</v>
      </c>
      <c r="I189" s="27">
        <f>Ft!F$3*EXP(Ft!F$38*($A189-Ft!F$2)^2)</f>
        <v>10.163745891959067</v>
      </c>
      <c r="J189" s="27">
        <f>Ft!G$3*EXP(Ft!G$38*($A189-Ft!G$2)^2)</f>
        <v>33.950692402425098</v>
      </c>
    </row>
    <row r="190" spans="1:10">
      <c r="A190" s="20">
        <v>188</v>
      </c>
      <c r="B190" s="29">
        <v>26.780087100169624</v>
      </c>
      <c r="C190" s="28">
        <f ca="1">OFFSET($B190,1*(ROWS(C$2:C190)-1),0)</f>
        <v>48.221646833844176</v>
      </c>
      <c r="D190" s="27">
        <f>Ft!B$3*EXP(Ft!B$38*($A190-Ft!B$2)^2) +Ft!C$3*EXP(Ft!C$38*($A190-Ft!C$2)^2) + Ft!D$3*EXP(Ft!D$38*($A190-Ft!D$2)^2)+Ft!E$3*EXP(Ft!E$38*($A190-Ft!E$2)^2) +Ft!F$3*EXP(Ft!F$38*($A190-Ft!F$2)^2) + Ft!G$3*EXP(Ft!G$38*($A190-Ft!G$2)^2)</f>
        <v>211.85060952315888</v>
      </c>
      <c r="E190" s="27">
        <f>Ft!B$3*EXP(Ft!B$38*($A190-Ft!B$2)^2)</f>
        <v>121.13215765563019</v>
      </c>
      <c r="F190" s="27">
        <f>Ft!C$3*EXP(Ft!C$38*($A190-Ft!C$2)^2)</f>
        <v>32.032703592856258</v>
      </c>
      <c r="G190" s="27">
        <f>Ft!D$3*EXP(Ft!D$38*($A190-Ft!D$2)^2)</f>
        <v>1.1104830873990273E-18</v>
      </c>
      <c r="H190" s="27">
        <f>Ft!E$3*EXP(Ft!E$38*($A190-Ft!E$2)^2)</f>
        <v>14.379906815398115</v>
      </c>
      <c r="I190" s="27">
        <f>Ft!F$3*EXP(Ft!F$38*($A190-Ft!F$2)^2)</f>
        <v>10.206688355873146</v>
      </c>
      <c r="J190" s="27">
        <f>Ft!G$3*EXP(Ft!G$38*($A190-Ft!G$2)^2)</f>
        <v>34.099153103401143</v>
      </c>
    </row>
    <row r="191" spans="1:10">
      <c r="A191" s="20">
        <v>189</v>
      </c>
      <c r="B191" s="29">
        <v>26.987400062018907</v>
      </c>
      <c r="C191" s="28">
        <f ca="1">OFFSET($B191,1*(ROWS(C$2:C191)-1),0)</f>
        <v>48.156115602810814</v>
      </c>
      <c r="D191" s="27">
        <f>Ft!B$3*EXP(Ft!B$38*($A191-Ft!B$2)^2) +Ft!C$3*EXP(Ft!C$38*($A191-Ft!C$2)^2) + Ft!D$3*EXP(Ft!D$38*($A191-Ft!D$2)^2)+Ft!E$3*EXP(Ft!E$38*($A191-Ft!E$2)^2) +Ft!F$3*EXP(Ft!F$38*($A191-Ft!F$2)^2) + Ft!G$3*EXP(Ft!G$38*($A191-Ft!G$2)^2)</f>
        <v>211.96672795646367</v>
      </c>
      <c r="E191" s="27">
        <f>Ft!B$3*EXP(Ft!B$38*($A191-Ft!B$2)^2)</f>
        <v>120.89524336502706</v>
      </c>
      <c r="F191" s="27">
        <f>Ft!C$3*EXP(Ft!C$38*($A191-Ft!C$2)^2)</f>
        <v>32.083240795556257</v>
      </c>
      <c r="G191" s="27">
        <f>Ft!D$3*EXP(Ft!D$38*($A191-Ft!D$2)^2)</f>
        <v>1.5593287405034177E-18</v>
      </c>
      <c r="H191" s="27">
        <f>Ft!E$3*EXP(Ft!E$38*($A191-Ft!E$2)^2)</f>
        <v>14.491091011237543</v>
      </c>
      <c r="I191" s="27">
        <f>Ft!F$3*EXP(Ft!F$38*($A191-Ft!F$2)^2)</f>
        <v>10.249778505840142</v>
      </c>
      <c r="J191" s="27">
        <f>Ft!G$3*EXP(Ft!G$38*($A191-Ft!G$2)^2)</f>
        <v>34.247374278802674</v>
      </c>
    </row>
    <row r="192" spans="1:10">
      <c r="A192" s="20">
        <v>190</v>
      </c>
      <c r="B192" s="29">
        <v>27.198130802772084</v>
      </c>
      <c r="C192" s="28">
        <f ca="1">OFFSET($B192,1*(ROWS(C$2:C192)-1),0)</f>
        <v>48.11100132036205</v>
      </c>
      <c r="D192" s="27">
        <f>Ft!B$3*EXP(Ft!B$38*($A192-Ft!B$2)^2) +Ft!C$3*EXP(Ft!C$38*($A192-Ft!C$2)^2) + Ft!D$3*EXP(Ft!D$38*($A192-Ft!D$2)^2)+Ft!E$3*EXP(Ft!E$38*($A192-Ft!E$2)^2) +Ft!F$3*EXP(Ft!F$38*($A192-Ft!F$2)^2) + Ft!G$3*EXP(Ft!G$38*($A192-Ft!G$2)^2)</f>
        <v>212.08329049940488</v>
      </c>
      <c r="E192" s="27">
        <f>Ft!B$3*EXP(Ft!B$38*($A192-Ft!B$2)^2)</f>
        <v>120.6582166947361</v>
      </c>
      <c r="F192" s="27">
        <f>Ft!C$3*EXP(Ft!C$38*($A192-Ft!C$2)^2)</f>
        <v>32.133786747755565</v>
      </c>
      <c r="G192" s="27">
        <f>Ft!D$3*EXP(Ft!D$38*($A192-Ft!D$2)^2)</f>
        <v>2.1865753119788786E-18</v>
      </c>
      <c r="H192" s="27">
        <f>Ft!E$3*EXP(Ft!E$38*($A192-Ft!E$2)^2)</f>
        <v>14.602923197646355</v>
      </c>
      <c r="I192" s="27">
        <f>Ft!F$3*EXP(Ft!F$38*($A192-Ft!F$2)^2)</f>
        <v>10.293016680998178</v>
      </c>
      <c r="J192" s="27">
        <f>Ft!G$3*EXP(Ft!G$38*($A192-Ft!G$2)^2)</f>
        <v>34.3953471782687</v>
      </c>
    </row>
    <row r="193" spans="1:10">
      <c r="A193" s="20">
        <v>191</v>
      </c>
      <c r="B193" s="29">
        <v>27.41029673779974</v>
      </c>
      <c r="C193" s="28">
        <f ca="1">OFFSET($B193,1*(ROWS(C$2:C193)-1),0)</f>
        <v>48.069702528254226</v>
      </c>
      <c r="D193" s="27">
        <f>Ft!B$3*EXP(Ft!B$38*($A193-Ft!B$2)^2) +Ft!C$3*EXP(Ft!C$38*($A193-Ft!C$2)^2) + Ft!D$3*EXP(Ft!D$38*($A193-Ft!D$2)^2)+Ft!E$3*EXP(Ft!E$38*($A193-Ft!E$2)^2) +Ft!F$3*EXP(Ft!F$38*($A193-Ft!F$2)^2) + Ft!G$3*EXP(Ft!G$38*($A193-Ft!G$2)^2)</f>
        <v>212.20029273878004</v>
      </c>
      <c r="E193" s="27">
        <f>Ft!B$3*EXP(Ft!B$38*($A193-Ft!B$2)^2)</f>
        <v>120.42108012489933</v>
      </c>
      <c r="F193" s="27">
        <f>Ft!C$3*EXP(Ft!C$38*($A193-Ft!C$2)^2)</f>
        <v>32.184341239756755</v>
      </c>
      <c r="G193" s="27">
        <f>Ft!D$3*EXP(Ft!D$38*($A193-Ft!D$2)^2)</f>
        <v>3.0619085731882714E-18</v>
      </c>
      <c r="H193" s="27">
        <f>Ft!E$3*EXP(Ft!E$38*($A193-Ft!E$2)^2)</f>
        <v>14.715405120786292</v>
      </c>
      <c r="I193" s="27">
        <f>Ft!F$3*EXP(Ft!F$38*($A193-Ft!F$2)^2)</f>
        <v>10.336403220451324</v>
      </c>
      <c r="J193" s="27">
        <f>Ft!G$3*EXP(Ft!G$38*($A193-Ft!G$2)^2)</f>
        <v>34.54306303288633</v>
      </c>
    </row>
    <row r="194" spans="1:10">
      <c r="A194" s="20">
        <v>192</v>
      </c>
      <c r="B194" s="29">
        <v>27.641328953002471</v>
      </c>
      <c r="C194" s="28">
        <f ca="1">OFFSET($B194,1*(ROWS(C$2:C194)-1),0)</f>
        <v>47.96400863924427</v>
      </c>
      <c r="D194" s="27">
        <f>Ft!B$3*EXP(Ft!B$38*($A194-Ft!B$2)^2) +Ft!C$3*EXP(Ft!C$38*($A194-Ft!C$2)^2) + Ft!D$3*EXP(Ft!D$38*($A194-Ft!D$2)^2)+Ft!E$3*EXP(Ft!E$38*($A194-Ft!E$2)^2) +Ft!F$3*EXP(Ft!F$38*($A194-Ft!F$2)^2) + Ft!G$3*EXP(Ft!G$38*($A194-Ft!G$2)^2)</f>
        <v>212.31773022504419</v>
      </c>
      <c r="E194" s="27">
        <f>Ft!B$3*EXP(Ft!B$38*($A194-Ft!B$2)^2)</f>
        <v>120.18383613236199</v>
      </c>
      <c r="F194" s="27">
        <f>Ft!C$3*EXP(Ft!C$38*($A194-Ft!C$2)^2)</f>
        <v>32.234904061475596</v>
      </c>
      <c r="G194" s="27">
        <f>Ft!D$3*EXP(Ft!D$38*($A194-Ft!D$2)^2)</f>
        <v>4.2817471667444033E-18</v>
      </c>
      <c r="H194" s="27">
        <f>Ft!E$3*EXP(Ft!E$38*($A194-Ft!E$2)^2)</f>
        <v>14.828538511918957</v>
      </c>
      <c r="I194" s="27">
        <f>Ft!F$3*EXP(Ft!F$38*($A194-Ft!F$2)^2)</f>
        <v>10.37993846326497</v>
      </c>
      <c r="J194" s="27">
        <f>Ft!G$3*EXP(Ft!G$38*($A194-Ft!G$2)^2)</f>
        <v>34.690513056022674</v>
      </c>
    </row>
    <row r="195" spans="1:10">
      <c r="A195" s="20">
        <v>193</v>
      </c>
      <c r="B195" s="29">
        <v>27.853985892147989</v>
      </c>
      <c r="C195" s="28">
        <f ca="1">OFFSET($B195,1*(ROWS(C$2:C195)-1),0)</f>
        <v>47.857055126556617</v>
      </c>
      <c r="D195" s="27">
        <f>Ft!B$3*EXP(Ft!B$38*($A195-Ft!B$2)^2) +Ft!C$3*EXP(Ft!C$38*($A195-Ft!C$2)^2) + Ft!D$3*EXP(Ft!D$38*($A195-Ft!D$2)^2)+Ft!E$3*EXP(Ft!E$38*($A195-Ft!E$2)^2) +Ft!F$3*EXP(Ft!F$38*($A195-Ft!F$2)^2) + Ft!G$3*EXP(Ft!G$38*($A195-Ft!G$2)^2)</f>
        <v>212.4355984728883</v>
      </c>
      <c r="E195" s="27">
        <f>Ft!B$3*EXP(Ft!B$38*($A195-Ft!B$2)^2)</f>
        <v>119.94648719063171</v>
      </c>
      <c r="F195" s="27">
        <f>Ft!C$3*EXP(Ft!C$38*($A195-Ft!C$2)^2)</f>
        <v>32.285475002442354</v>
      </c>
      <c r="G195" s="27">
        <f>Ft!D$3*EXP(Ft!D$38*($A195-Ft!D$2)^2)</f>
        <v>5.9793068450534254E-18</v>
      </c>
      <c r="H195" s="27">
        <f>Ft!E$3*EXP(Ft!E$38*($A195-Ft!E$2)^2)</f>
        <v>14.9423250871902</v>
      </c>
      <c r="I195" s="27">
        <f>Ft!F$3*EXP(Ft!F$38*($A195-Ft!F$2)^2)</f>
        <v>10.423622748461224</v>
      </c>
      <c r="J195" s="27">
        <f>Ft!G$3*EXP(Ft!G$38*($A195-Ft!G$2)^2)</f>
        <v>34.837688444162815</v>
      </c>
    </row>
    <row r="196" spans="1:10">
      <c r="A196" s="20">
        <v>194</v>
      </c>
      <c r="B196" s="29">
        <v>28.066420625154336</v>
      </c>
      <c r="C196" s="28">
        <f ca="1">OFFSET($B196,1*(ROWS(C$2:C196)-1),0)</f>
        <v>47.677563043943167</v>
      </c>
      <c r="D196" s="27">
        <f>Ft!B$3*EXP(Ft!B$38*($A196-Ft!B$2)^2) +Ft!C$3*EXP(Ft!C$38*($A196-Ft!C$2)^2) + Ft!D$3*EXP(Ft!D$38*($A196-Ft!D$2)^2)+Ft!E$3*EXP(Ft!E$38*($A196-Ft!E$2)^2) +Ft!F$3*EXP(Ft!F$38*($A196-Ft!F$2)^2) + Ft!G$3*EXP(Ft!G$38*($A196-Ft!G$2)^2)</f>
        <v>212.55389296182287</v>
      </c>
      <c r="E196" s="27">
        <f>Ft!B$3*EXP(Ft!B$38*($A196-Ft!B$2)^2)</f>
        <v>119.70903576983814</v>
      </c>
      <c r="F196" s="27">
        <f>Ft!C$3*EXP(Ft!C$38*($A196-Ft!C$2)^2)</f>
        <v>32.336053851803022</v>
      </c>
      <c r="G196" s="27">
        <f>Ft!D$3*EXP(Ft!D$38*($A196-Ft!D$2)^2)</f>
        <v>8.3383800335684836E-18</v>
      </c>
      <c r="H196" s="27">
        <f>Ft!E$3*EXP(Ft!E$38*($A196-Ft!E$2)^2)</f>
        <v>15.056766547414123</v>
      </c>
      <c r="I196" s="27">
        <f>Ft!F$3*EXP(Ft!F$38*($A196-Ft!F$2)^2)</f>
        <v>10.467456415014201</v>
      </c>
      <c r="J196" s="27">
        <f>Ft!G$3*EXP(Ft!G$38*($A196-Ft!G$2)^2)</f>
        <v>34.984580377753389</v>
      </c>
    </row>
    <row r="197" spans="1:10">
      <c r="A197" s="20">
        <v>195</v>
      </c>
      <c r="B197" s="29">
        <v>28.283016946908901</v>
      </c>
      <c r="C197" s="28">
        <f ca="1">OFFSET($B197,1*(ROWS(C$2:C197)-1),0)</f>
        <v>47.488682887182762</v>
      </c>
      <c r="D197" s="27">
        <f>Ft!B$3*EXP(Ft!B$38*($A197-Ft!B$2)^2) +Ft!C$3*EXP(Ft!C$38*($A197-Ft!C$2)^2) + Ft!D$3*EXP(Ft!D$38*($A197-Ft!D$2)^2)+Ft!E$3*EXP(Ft!E$38*($A197-Ft!E$2)^2) +Ft!F$3*EXP(Ft!F$38*($A197-Ft!F$2)^2) + Ft!G$3*EXP(Ft!G$38*($A197-Ft!G$2)^2)</f>
        <v>212.67260913676654</v>
      </c>
      <c r="E197" s="27">
        <f>Ft!B$3*EXP(Ft!B$38*($A197-Ft!B$2)^2)</f>
        <v>119.47148433669221</v>
      </c>
      <c r="F197" s="27">
        <f>Ft!C$3*EXP(Ft!C$38*($A197-Ft!C$2)^2)</f>
        <v>32.386640398320587</v>
      </c>
      <c r="G197" s="27">
        <f>Ft!D$3*EXP(Ft!D$38*($A197-Ft!D$2)^2)</f>
        <v>1.1612174417009221E-17</v>
      </c>
      <c r="H197" s="27">
        <f>Ft!E$3*EXP(Ft!E$38*($A197-Ft!E$2)^2)</f>
        <v>15.171864577856363</v>
      </c>
      <c r="I197" s="27">
        <f>Ft!F$3*EXP(Ft!F$38*($A197-Ft!F$2)^2)</f>
        <v>10.511439801845407</v>
      </c>
      <c r="J197" s="27">
        <f>Ft!G$3*EXP(Ft!G$38*($A197-Ft!G$2)^2)</f>
        <v>35.131180022051993</v>
      </c>
    </row>
    <row r="198" spans="1:10">
      <c r="A198" s="20">
        <v>196</v>
      </c>
      <c r="B198" s="29">
        <v>28.511654506547842</v>
      </c>
      <c r="C198" s="28">
        <f ca="1">OFFSET($B198,1*(ROWS(C$2:C198)-1),0)</f>
        <v>47.31430612842837</v>
      </c>
      <c r="D198" s="27">
        <f>Ft!B$3*EXP(Ft!B$38*($A198-Ft!B$2)^2) +Ft!C$3*EXP(Ft!C$38*($A198-Ft!C$2)^2) + Ft!D$3*EXP(Ft!D$38*($A198-Ft!D$2)^2)+Ft!E$3*EXP(Ft!E$38*($A198-Ft!E$2)^2) +Ft!F$3*EXP(Ft!F$38*($A198-Ft!F$2)^2) + Ft!G$3*EXP(Ft!G$38*($A198-Ft!G$2)^2)</f>
        <v>212.79174240864043</v>
      </c>
      <c r="E198" s="27">
        <f>Ft!B$3*EXP(Ft!B$38*($A198-Ft!B$2)^2)</f>
        <v>119.23383535444614</v>
      </c>
      <c r="F198" s="27">
        <f>Ft!C$3*EXP(Ft!C$38*($A198-Ft!C$2)^2)</f>
        <v>32.437234430376286</v>
      </c>
      <c r="G198" s="27">
        <f>Ft!D$3*EXP(Ft!D$38*($A198-Ft!D$2)^2)</f>
        <v>1.614902986610381E-17</v>
      </c>
      <c r="H198" s="27">
        <f>Ft!E$3*EXP(Ft!E$38*($A198-Ft!E$2)^2)</f>
        <v>15.287620848016971</v>
      </c>
      <c r="I198" s="27">
        <f>Ft!F$3*EXP(Ft!F$38*($A198-Ft!F$2)^2)</f>
        <v>10.555573247818984</v>
      </c>
      <c r="J198" s="27">
        <f>Ft!G$3*EXP(Ft!G$38*($A198-Ft!G$2)^2)</f>
        <v>35.277478527982026</v>
      </c>
    </row>
    <row r="199" spans="1:10">
      <c r="A199" s="20">
        <v>197</v>
      </c>
      <c r="B199" s="29">
        <v>28.756223867808188</v>
      </c>
      <c r="C199" s="28">
        <f ca="1">OFFSET($B199,1*(ROWS(C$2:C199)-1),0)</f>
        <v>47.148857546451381</v>
      </c>
      <c r="D199" s="27">
        <f>Ft!B$3*EXP(Ft!B$38*($A199-Ft!B$2)^2) +Ft!C$3*EXP(Ft!C$38*($A199-Ft!C$2)^2) + Ft!D$3*EXP(Ft!D$38*($A199-Ft!D$2)^2)+Ft!E$3*EXP(Ft!E$38*($A199-Ft!E$2)^2) +Ft!F$3*EXP(Ft!F$38*($A199-Ft!F$2)^2) + Ft!G$3*EXP(Ft!G$38*($A199-Ft!G$2)^2)</f>
        <v>212.91128815496691</v>
      </c>
      <c r="E199" s="27">
        <f>Ft!B$3*EXP(Ft!B$38*($A199-Ft!B$2)^2)</f>
        <v>118.9960912828532</v>
      </c>
      <c r="F199" s="27">
        <f>Ft!C$3*EXP(Ft!C$38*($A199-Ft!C$2)^2)</f>
        <v>32.487835735970897</v>
      </c>
      <c r="G199" s="27">
        <f>Ft!D$3*EXP(Ft!D$38*($A199-Ft!D$2)^2)</f>
        <v>2.2427473222798227E-17</v>
      </c>
      <c r="H199" s="27">
        <f>Ft!E$3*EXP(Ft!E$38*($A199-Ft!E$2)^2)</f>
        <v>15.404037011412688</v>
      </c>
      <c r="I199" s="27">
        <f>Ft!F$3*EXP(Ft!F$38*($A199-Ft!F$2)^2)</f>
        <v>10.599857091737034</v>
      </c>
      <c r="J199" s="27">
        <f>Ft!G$3*EXP(Ft!G$38*($A199-Ft!G$2)^2)</f>
        <v>35.423467032993095</v>
      </c>
    </row>
    <row r="200" spans="1:10">
      <c r="A200" s="20">
        <v>198</v>
      </c>
      <c r="B200" s="29">
        <v>28.999358702288845</v>
      </c>
      <c r="C200" s="28">
        <f ca="1">OFFSET($B200,1*(ROWS(C$2:C200)-1),0)</f>
        <v>46.93345971747928</v>
      </c>
      <c r="D200" s="27">
        <f>Ft!B$3*EXP(Ft!B$38*($A200-Ft!B$2)^2) +Ft!C$3*EXP(Ft!C$38*($A200-Ft!C$2)^2) + Ft!D$3*EXP(Ft!D$38*($A200-Ft!D$2)^2)+Ft!E$3*EXP(Ft!E$38*($A200-Ft!E$2)^2) +Ft!F$3*EXP(Ft!F$38*($A200-Ft!F$2)^2) + Ft!G$3*EXP(Ft!G$38*($A200-Ft!G$2)^2)</f>
        <v>213.03124172047421</v>
      </c>
      <c r="E200" s="27">
        <f>Ft!B$3*EXP(Ft!B$38*($A200-Ft!B$2)^2)</f>
        <v>118.75825457812778</v>
      </c>
      <c r="F200" s="27">
        <f>Ft!C$3*EXP(Ft!C$38*($A200-Ft!C$2)^2)</f>
        <v>32.538444102726018</v>
      </c>
      <c r="G200" s="27">
        <f>Ft!D$3*EXP(Ft!D$38*($A200-Ft!D$2)^2)</f>
        <v>3.1103930847696109E-17</v>
      </c>
      <c r="H200" s="27">
        <f>Ft!E$3*EXP(Ft!E$38*($A200-Ft!E$2)^2)</f>
        <v>15.52111470535881</v>
      </c>
      <c r="I200" s="27">
        <f>Ft!F$3*EXP(Ft!F$38*($A200-Ft!F$2)^2)</f>
        <v>10.644291672334903</v>
      </c>
      <c r="J200" s="27">
        <f>Ft!G$3*EXP(Ft!G$38*($A200-Ft!G$2)^2)</f>
        <v>35.56913666192672</v>
      </c>
    </row>
    <row r="201" spans="1:10">
      <c r="A201" s="20">
        <v>199</v>
      </c>
      <c r="B201" s="29">
        <v>29.233908493545499</v>
      </c>
      <c r="C201" s="28">
        <f ca="1">OFFSET($B201,1*(ROWS(C$2:C201)-1),0)</f>
        <v>46.677944563617729</v>
      </c>
      <c r="D201" s="27">
        <f>Ft!B$3*EXP(Ft!B$38*($A201-Ft!B$2)^2) +Ft!C$3*EXP(Ft!C$38*($A201-Ft!C$2)^2) + Ft!D$3*EXP(Ft!D$38*($A201-Ft!D$2)^2)+Ft!E$3*EXP(Ft!E$38*($A201-Ft!E$2)^2) +Ft!F$3*EXP(Ft!F$38*($A201-Ft!F$2)^2) + Ft!G$3*EXP(Ft!G$38*($A201-Ft!G$2)^2)</f>
        <v>213.15159841770503</v>
      </c>
      <c r="E201" s="27">
        <f>Ft!B$3*EXP(Ft!B$38*($A201-Ft!B$2)^2)</f>
        <v>118.52032769290561</v>
      </c>
      <c r="F201" s="27">
        <f>Ft!C$3*EXP(Ft!C$38*($A201-Ft!C$2)^2)</f>
        <v>32.589059317885329</v>
      </c>
      <c r="G201" s="27">
        <f>Ft!D$3*EXP(Ft!D$38*($A201-Ft!D$2)^2)</f>
        <v>4.3077573324279288E-17</v>
      </c>
      <c r="H201" s="27">
        <f>Ft!E$3*EXP(Ft!E$38*($A201-Ft!E$2)^2)</f>
        <v>15.638855550750455</v>
      </c>
      <c r="I201" s="27">
        <f>Ft!F$3*EXP(Ft!F$38*($A201-Ft!F$2)^2)</f>
        <v>10.688877328276369</v>
      </c>
      <c r="J201" s="27">
        <f>Ft!G$3*EXP(Ft!G$38*($A201-Ft!G$2)^2)</f>
        <v>35.714478527887245</v>
      </c>
    </row>
    <row r="202" spans="1:10">
      <c r="A202" s="20">
        <v>200</v>
      </c>
      <c r="B202" s="29">
        <v>29.466522888956916</v>
      </c>
      <c r="C202" s="28">
        <f ca="1">OFFSET($B202,1*(ROWS(C$2:C202)-1),0)</f>
        <v>46.435639732551465</v>
      </c>
      <c r="D202" s="27">
        <f>Ft!B$3*EXP(Ft!B$38*($A202-Ft!B$2)^2) +Ft!C$3*EXP(Ft!C$38*($A202-Ft!C$2)^2) + Ft!D$3*EXP(Ft!D$38*($A202-Ft!D$2)^2)+Ft!E$3*EXP(Ft!E$38*($A202-Ft!E$2)^2) +Ft!F$3*EXP(Ft!F$38*($A202-Ft!F$2)^2) + Ft!G$3*EXP(Ft!G$38*($A202-Ft!G$2)^2)</f>
        <v>213.27235352763051</v>
      </c>
      <c r="E202" s="27">
        <f>Ft!B$3*EXP(Ft!B$38*($A202-Ft!B$2)^2)</f>
        <v>118.28231307620423</v>
      </c>
      <c r="F202" s="27">
        <f>Ft!C$3*EXP(Ft!C$38*($A202-Ft!C$2)^2)</f>
        <v>32.639681168315917</v>
      </c>
      <c r="G202" s="27">
        <f>Ft!D$3*EXP(Ft!D$38*($A202-Ft!D$2)^2)</f>
        <v>5.9578313416613903E-17</v>
      </c>
      <c r="H202" s="27">
        <f>Ft!E$3*EXP(Ft!E$38*($A202-Ft!E$2)^2)</f>
        <v>15.757261151843494</v>
      </c>
      <c r="I202" s="27">
        <f>Ft!F$3*EXP(Ft!F$38*($A202-Ft!F$2)^2)</f>
        <v>10.733614398148941</v>
      </c>
      <c r="J202" s="27">
        <f>Ft!G$3*EXP(Ft!G$38*($A202-Ft!G$2)^2)</f>
        <v>35.859483733117941</v>
      </c>
    </row>
    <row r="203" spans="1:10">
      <c r="A203" s="20">
        <v>201</v>
      </c>
      <c r="B203" s="29">
        <v>29.683936743779981</v>
      </c>
      <c r="C203" s="28">
        <f ca="1">OFFSET($B203,1*(ROWS(C$2:C203)-1),0)</f>
        <v>46.156090619620954</v>
      </c>
      <c r="D203" s="27">
        <f>Ft!B$3*EXP(Ft!B$38*($A203-Ft!B$2)^2) +Ft!C$3*EXP(Ft!C$38*($A203-Ft!C$2)^2) + Ft!D$3*EXP(Ft!D$38*($A203-Ft!D$2)^2)+Ft!E$3*EXP(Ft!E$38*($A203-Ft!E$2)^2) +Ft!F$3*EXP(Ft!F$38*($A203-Ft!F$2)^2) + Ft!G$3*EXP(Ft!G$38*($A203-Ft!G$2)^2)</f>
        <v>213.39350230026895</v>
      </c>
      <c r="E203" s="27">
        <f>Ft!B$3*EXP(Ft!B$38*($A203-Ft!B$2)^2)</f>
        <v>118.0442131733834</v>
      </c>
      <c r="F203" s="27">
        <f>Ft!C$3*EXP(Ft!C$38*($A203-Ft!C$2)^2)</f>
        <v>32.690309440509566</v>
      </c>
      <c r="G203" s="27">
        <f>Ft!D$3*EXP(Ft!D$38*($A203-Ft!D$2)^2)</f>
        <v>8.2286047284157326E-17</v>
      </c>
      <c r="H203" s="27">
        <f>Ft!E$3*EXP(Ft!E$38*($A203-Ft!E$2)^2)</f>
        <v>15.876333096034914</v>
      </c>
      <c r="I203" s="27">
        <f>Ft!F$3*EXP(Ft!F$38*($A203-Ft!F$2)^2)</f>
        <v>10.778503220459031</v>
      </c>
      <c r="J203" s="27">
        <f>Ft!G$3*EXP(Ft!G$38*($A203-Ft!G$2)^2)</f>
        <v>36.004143369882001</v>
      </c>
    </row>
    <row r="204" spans="1:10">
      <c r="A204" s="20">
        <v>202</v>
      </c>
      <c r="B204" s="29">
        <v>29.900043858489028</v>
      </c>
      <c r="C204" s="28">
        <f ca="1">OFFSET($B204,1*(ROWS(C$2:C204)-1),0)</f>
        <v>45.838370172396765</v>
      </c>
      <c r="D204" s="27">
        <f>Ft!B$3*EXP(Ft!B$38*($A204-Ft!B$2)^2) +Ft!C$3*EXP(Ft!C$38*($A204-Ft!C$2)^2) + Ft!D$3*EXP(Ft!D$38*($A204-Ft!D$2)^2)+Ft!E$3*EXP(Ft!E$38*($A204-Ft!E$2)^2) +Ft!F$3*EXP(Ft!F$38*($A204-Ft!F$2)^2) + Ft!G$3*EXP(Ft!G$38*($A204-Ft!G$2)^2)</f>
        <v>213.51503995530851</v>
      </c>
      <c r="E204" s="27">
        <f>Ft!B$3*EXP(Ft!B$38*($A204-Ft!B$2)^2)</f>
        <v>117.80603042610595</v>
      </c>
      <c r="F204" s="27">
        <f>Ft!C$3*EXP(Ft!C$38*($A204-Ft!C$2)^2)</f>
        <v>32.740943920584037</v>
      </c>
      <c r="G204" s="27">
        <f>Ft!D$3*EXP(Ft!D$38*($A204-Ft!D$2)^2)</f>
        <v>1.1349199202975457E-16</v>
      </c>
      <c r="H204" s="27">
        <f>Ft!E$3*EXP(Ft!E$38*($A204-Ft!E$2)^2)</f>
        <v>15.996072953642795</v>
      </c>
      <c r="I204" s="27">
        <f>Ft!F$3*EXP(Ft!F$38*($A204-Ft!F$2)^2)</f>
        <v>10.823544133627138</v>
      </c>
      <c r="J204" s="27">
        <f>Ft!G$3*EXP(Ft!G$38*($A204-Ft!G$2)^2)</f>
        <v>36.148448521348591</v>
      </c>
    </row>
    <row r="205" spans="1:10">
      <c r="A205" s="20">
        <v>203</v>
      </c>
      <c r="B205" s="29">
        <v>30.111746603634799</v>
      </c>
      <c r="C205" s="28">
        <f ca="1">OFFSET($B205,1*(ROWS(C$2:C205)-1),0)</f>
        <v>45.479591484384599</v>
      </c>
      <c r="D205" s="27">
        <f>Ft!B$3*EXP(Ft!B$38*($A205-Ft!B$2)^2) +Ft!C$3*EXP(Ft!C$38*($A205-Ft!C$2)^2) + Ft!D$3*EXP(Ft!D$38*($A205-Ft!D$2)^2)+Ft!E$3*EXP(Ft!E$38*($A205-Ft!E$2)^2) +Ft!F$3*EXP(Ft!F$38*($A205-Ft!F$2)^2) + Ft!G$3*EXP(Ft!G$38*($A205-Ft!G$2)^2)</f>
        <v>213.63696168273535</v>
      </c>
      <c r="E205" s="27">
        <f>Ft!B$3*EXP(Ft!B$38*($A205-Ft!B$2)^2)</f>
        <v>117.56776727229852</v>
      </c>
      <c r="F205" s="27">
        <f>Ft!C$3*EXP(Ft!C$38*($A205-Ft!C$2)^2)</f>
        <v>32.791584394284413</v>
      </c>
      <c r="G205" s="27">
        <f>Ft!D$3*EXP(Ft!D$38*($A205-Ft!D$2)^2)</f>
        <v>1.5631665699680018E-16</v>
      </c>
      <c r="H205" s="27">
        <f>Ft!E$3*EXP(Ft!E$38*($A205-Ft!E$2)^2)</f>
        <v>16.116482277685883</v>
      </c>
      <c r="I205" s="27">
        <f>Ft!F$3*EXP(Ft!F$38*($A205-Ft!F$2)^2)</f>
        <v>10.868737475983064</v>
      </c>
      <c r="J205" s="27">
        <f>Ft!G$3*EXP(Ft!G$38*($A205-Ft!G$2)^2)</f>
        <v>36.292390262483458</v>
      </c>
    </row>
    <row r="206" spans="1:10">
      <c r="A206" s="20">
        <v>204</v>
      </c>
      <c r="B206" s="29">
        <v>30.344535046934908</v>
      </c>
      <c r="C206" s="28">
        <f ca="1">OFFSET($B206,1*(ROWS(C$2:C206)-1),0)</f>
        <v>45.075007713297225</v>
      </c>
      <c r="D206" s="27">
        <f>Ft!B$3*EXP(Ft!B$38*($A206-Ft!B$2)^2) +Ft!C$3*EXP(Ft!C$38*($A206-Ft!C$2)^2) + Ft!D$3*EXP(Ft!D$38*($A206-Ft!D$2)^2)+Ft!E$3*EXP(Ft!E$38*($A206-Ft!E$2)^2) +Ft!F$3*EXP(Ft!F$38*($A206-Ft!F$2)^2) + Ft!G$3*EXP(Ft!G$38*($A206-Ft!G$2)^2)</f>
        <v>213.75926264346538</v>
      </c>
      <c r="E206" s="27">
        <f>Ft!B$3*EXP(Ft!B$38*($A206-Ft!B$2)^2)</f>
        <v>117.32942614611285</v>
      </c>
      <c r="F206" s="27">
        <f>Ft!C$3*EXP(Ft!C$38*($A206-Ft!C$2)^2)</f>
        <v>32.842230646984412</v>
      </c>
      <c r="G206" s="27">
        <f>Ft!D$3*EXP(Ft!D$38*($A206-Ft!D$2)^2)</f>
        <v>2.150038912672733E-16</v>
      </c>
      <c r="H206" s="27">
        <f>Ft!E$3*EXP(Ft!E$38*($A206-Ft!E$2)^2)</f>
        <v>16.237562603662706</v>
      </c>
      <c r="I206" s="27">
        <f>Ft!F$3*EXP(Ft!F$38*($A206-Ft!F$2)^2)</f>
        <v>10.914083585761041</v>
      </c>
      <c r="J206" s="27">
        <f>Ft!G$3*EXP(Ft!G$38*($A206-Ft!G$2)^2)</f>
        <v>36.435959660944384</v>
      </c>
    </row>
    <row r="207" spans="1:10">
      <c r="A207" s="20">
        <v>205</v>
      </c>
      <c r="B207" s="29">
        <v>30.605404495897062</v>
      </c>
      <c r="C207" s="28">
        <f ca="1">OFFSET($B207,1*(ROWS(C$2:C207)-1),0)</f>
        <v>44.680738646947077</v>
      </c>
      <c r="D207" s="27">
        <f>Ft!B$3*EXP(Ft!B$38*($A207-Ft!B$2)^2) +Ft!C$3*EXP(Ft!C$38*($A207-Ft!C$2)^2) + Ft!D$3*EXP(Ft!D$38*($A207-Ft!D$2)^2)+Ft!E$3*EXP(Ft!E$38*($A207-Ft!E$2)^2) +Ft!F$3*EXP(Ft!F$38*($A207-Ft!F$2)^2) + Ft!G$3*EXP(Ft!G$38*($A207-Ft!G$2)^2)</f>
        <v>213.88193796998061</v>
      </c>
      <c r="E207" s="27">
        <f>Ft!B$3*EXP(Ft!B$38*($A207-Ft!B$2)^2)</f>
        <v>117.09100947788673</v>
      </c>
      <c r="F207" s="27">
        <f>Ft!C$3*EXP(Ft!C$38*($A207-Ft!C$2)^2)</f>
        <v>32.89288246368767</v>
      </c>
      <c r="G207" s="27">
        <f>Ft!D$3*EXP(Ft!D$38*($A207-Ft!D$2)^2)</f>
        <v>2.9531696967899814E-16</v>
      </c>
      <c r="H207" s="27">
        <f>Ft!E$3*EXP(Ft!E$38*($A207-Ft!E$2)^2)</f>
        <v>16.359315449330357</v>
      </c>
      <c r="I207" s="27">
        <f>Ft!F$3*EXP(Ft!F$38*($A207-Ft!F$2)^2)</f>
        <v>10.959582801094859</v>
      </c>
      <c r="J207" s="27">
        <f>Ft!G$3*EXP(Ft!G$38*($A207-Ft!G$2)^2)</f>
        <v>36.579147777981007</v>
      </c>
    </row>
    <row r="208" spans="1:10">
      <c r="A208" s="20">
        <v>206</v>
      </c>
      <c r="B208" s="29">
        <v>30.843894465265123</v>
      </c>
      <c r="C208" s="28">
        <f ca="1">OFFSET($B208,1*(ROWS(C$2:C208)-1),0)</f>
        <v>44.27695556373726</v>
      </c>
      <c r="D208" s="27">
        <f>Ft!B$3*EXP(Ft!B$38*($A208-Ft!B$2)^2) +Ft!C$3*EXP(Ft!C$38*($A208-Ft!C$2)^2) + Ft!D$3*EXP(Ft!D$38*($A208-Ft!D$2)^2)+Ft!E$3*EXP(Ft!E$38*($A208-Ft!E$2)^2) +Ft!F$3*EXP(Ft!F$38*($A208-Ft!F$2)^2) + Ft!G$3*EXP(Ft!G$38*($A208-Ft!G$2)^2)</f>
        <v>214.0049827669697</v>
      </c>
      <c r="E208" s="27">
        <f>Ft!B$3*EXP(Ft!B$38*($A208-Ft!B$2)^2)</f>
        <v>116.85251969410557</v>
      </c>
      <c r="F208" s="27">
        <f>Ft!C$3*EXP(Ft!C$38*($A208-Ft!C$2)^2)</f>
        <v>32.943539629029125</v>
      </c>
      <c r="G208" s="27">
        <f>Ft!D$3*EXP(Ft!D$38*($A208-Ft!D$2)^2)</f>
        <v>4.0507133231286839E-16</v>
      </c>
      <c r="H208" s="27">
        <f>Ft!E$3*EXP(Ft!E$38*($A208-Ft!E$2)^2)</f>
        <v>16.481742314482833</v>
      </c>
      <c r="I208" s="27">
        <f>Ft!F$3*EXP(Ft!F$38*($A208-Ft!F$2)^2)</f>
        <v>11.005235460013017</v>
      </c>
      <c r="J208" s="27">
        <f>Ft!G$3*EXP(Ft!G$38*($A208-Ft!G$2)^2)</f>
        <v>36.721945669339171</v>
      </c>
    </row>
    <row r="209" spans="1:10">
      <c r="A209" s="20">
        <v>207</v>
      </c>
      <c r="B209" s="29">
        <v>31.065992115417941</v>
      </c>
      <c r="C209" s="28">
        <f ca="1">OFFSET($B209,1*(ROWS(C$2:C209)-1),0)</f>
        <v>43.86200492500052</v>
      </c>
      <c r="D209" s="27">
        <f>Ft!B$3*EXP(Ft!B$38*($A209-Ft!B$2)^2) +Ft!C$3*EXP(Ft!C$38*($A209-Ft!C$2)^2) + Ft!D$3*EXP(Ft!D$38*($A209-Ft!D$2)^2)+Ft!E$3*EXP(Ft!E$38*($A209-Ft!E$2)^2) +Ft!F$3*EXP(Ft!F$38*($A209-Ft!F$2)^2) + Ft!G$3*EXP(Ft!G$38*($A209-Ft!G$2)^2)</f>
        <v>214.1283921119726</v>
      </c>
      <c r="E209" s="27">
        <f>Ft!B$3*EXP(Ft!B$38*($A209-Ft!B$2)^2)</f>
        <v>116.61395921736386</v>
      </c>
      <c r="F209" s="27">
        <f>Ft!C$3*EXP(Ft!C$38*($A209-Ft!C$2)^2)</f>
        <v>32.994201927276343</v>
      </c>
      <c r="G209" s="27">
        <f>Ft!D$3*EXP(Ft!D$38*($A209-Ft!D$2)^2)</f>
        <v>5.5485005728663198E-16</v>
      </c>
      <c r="H209" s="27">
        <f>Ft!E$3*EXP(Ft!E$38*($A209-Ft!E$2)^2)</f>
        <v>16.604844680729112</v>
      </c>
      <c r="I209" s="27">
        <f>Ft!F$3*EXP(Ft!F$38*($A209-Ft!F$2)^2)</f>
        <v>11.051041900433789</v>
      </c>
      <c r="J209" s="27">
        <f>Ft!G$3*EXP(Ft!G$38*($A209-Ft!G$2)^2)</f>
        <v>36.864344386169478</v>
      </c>
    </row>
    <row r="210" spans="1:10">
      <c r="A210" s="20">
        <v>208</v>
      </c>
      <c r="B210" s="29">
        <v>31.294135625455283</v>
      </c>
      <c r="C210" s="28">
        <f ca="1">OFFSET($B210,1*(ROWS(C$2:C210)-1),0)</f>
        <v>43.44321437089738</v>
      </c>
      <c r="D210" s="27">
        <f>Ft!B$3*EXP(Ft!B$38*($A210-Ft!B$2)^2) +Ft!C$3*EXP(Ft!C$38*($A210-Ft!C$2)^2) + Ft!D$3*EXP(Ft!D$38*($A210-Ft!D$2)^2)+Ft!E$3*EXP(Ft!E$38*($A210-Ft!E$2)^2) +Ft!F$3*EXP(Ft!F$38*($A210-Ft!F$2)^2) + Ft!G$3*EXP(Ft!G$38*($A210-Ft!G$2)^2)</f>
        <v>214.25216105602897</v>
      </c>
      <c r="E210" s="27">
        <f>Ft!B$3*EXP(Ft!B$38*($A210-Ft!B$2)^2)</f>
        <v>116.37533046632701</v>
      </c>
      <c r="F210" s="27">
        <f>Ft!C$3*EXP(Ft!C$38*($A210-Ft!C$2)^2)</f>
        <v>33.044869142330803</v>
      </c>
      <c r="G210" s="27">
        <f>Ft!D$3*EXP(Ft!D$38*($A210-Ft!D$2)^2)</f>
        <v>7.5896331377468859E-16</v>
      </c>
      <c r="H210" s="27">
        <f>Ft!E$3*EXP(Ft!E$38*($A210-Ft!E$2)^2)</f>
        <v>16.728624011270814</v>
      </c>
      <c r="I210" s="27">
        <f>Ft!F$3*EXP(Ft!F$38*($A210-Ft!F$2)^2)</f>
        <v>11.097002460160322</v>
      </c>
      <c r="J210" s="27">
        <f>Ft!G$3*EXP(Ft!G$38*($A210-Ft!G$2)^2)</f>
        <v>37.006334975940007</v>
      </c>
    </row>
    <row r="211" spans="1:10">
      <c r="A211" s="20">
        <v>209</v>
      </c>
      <c r="B211" s="29">
        <v>31.52916244299908</v>
      </c>
      <c r="C211" s="28">
        <f ca="1">OFFSET($B211,1*(ROWS(C$2:C211)-1),0)</f>
        <v>42.97750070280938</v>
      </c>
      <c r="D211" s="27">
        <f>Ft!B$3*EXP(Ft!B$38*($A211-Ft!B$2)^2) +Ft!C$3*EXP(Ft!C$38*($A211-Ft!C$2)^2) + Ft!D$3*EXP(Ft!D$38*($A211-Ft!D$2)^2)+Ft!E$3*EXP(Ft!E$38*($A211-Ft!E$2)^2) +Ft!F$3*EXP(Ft!F$38*($A211-Ft!F$2)^2) + Ft!G$3*EXP(Ft!G$38*($A211-Ft!G$2)^2)</f>
        <v>214.37628462433088</v>
      </c>
      <c r="E211" s="27">
        <f>Ft!B$3*EXP(Ft!B$38*($A211-Ft!B$2)^2)</f>
        <v>116.13663585569316</v>
      </c>
      <c r="F211" s="27">
        <f>Ft!C$3*EXP(Ft!C$38*($A211-Ft!C$2)^2)</f>
        <v>33.095541057729321</v>
      </c>
      <c r="G211" s="27">
        <f>Ft!D$3*EXP(Ft!D$38*($A211-Ft!D$2)^2)</f>
        <v>1.0367330750876914E-15</v>
      </c>
      <c r="H211" s="27">
        <f>Ft!E$3*EXP(Ft!E$38*($A211-Ft!E$2)^2)</f>
        <v>16.853081750679532</v>
      </c>
      <c r="I211" s="27">
        <f>Ft!F$3*EXP(Ft!F$38*($A211-Ft!F$2)^2)</f>
        <v>11.143117476875711</v>
      </c>
      <c r="J211" s="27">
        <f>Ft!G$3*EXP(Ft!G$38*($A211-Ft!G$2)^2)</f>
        <v>37.147908483353135</v>
      </c>
    </row>
    <row r="212" spans="1:10">
      <c r="A212" s="20">
        <v>210</v>
      </c>
      <c r="B212" s="29">
        <v>31.781898328716949</v>
      </c>
      <c r="C212" s="28">
        <f ca="1">OFFSET($B212,1*(ROWS(C$2:C212)-1),0)</f>
        <v>42.53850859007494</v>
      </c>
      <c r="D212" s="27">
        <f>Ft!B$3*EXP(Ft!B$38*($A212-Ft!B$2)^2) +Ft!C$3*EXP(Ft!C$38*($A212-Ft!C$2)^2) + Ft!D$3*EXP(Ft!D$38*($A212-Ft!D$2)^2)+Ft!E$3*EXP(Ft!E$38*($A212-Ft!E$2)^2) +Ft!F$3*EXP(Ft!F$38*($A212-Ft!F$2)^2) + Ft!G$3*EXP(Ft!G$38*($A212-Ft!G$2)^2)</f>
        <v>214.50075781687877</v>
      </c>
      <c r="E212" s="27">
        <f>Ft!B$3*EXP(Ft!B$38*($A212-Ft!B$2)^2)</f>
        <v>115.8978777961553</v>
      </c>
      <c r="F212" s="27">
        <f>Ft!C$3*EXP(Ft!C$38*($A212-Ft!C$2)^2)</f>
        <v>33.14621745664536</v>
      </c>
      <c r="G212" s="27">
        <f>Ft!D$3*EXP(Ft!D$38*($A212-Ft!D$2)^2)</f>
        <v>1.4142107893334717E-15</v>
      </c>
      <c r="H212" s="27">
        <f>Ft!E$3*EXP(Ft!E$38*($A212-Ft!E$2)^2)</f>
        <v>16.978219324673955</v>
      </c>
      <c r="I212" s="27">
        <f>Ft!F$3*EXP(Ft!F$38*($A212-Ft!F$2)^2)</f>
        <v>11.189387288138017</v>
      </c>
      <c r="J212" s="27">
        <f>Ft!G$3*EXP(Ft!G$38*($A212-Ft!G$2)^2)</f>
        <v>37.289055951266128</v>
      </c>
    </row>
    <row r="213" spans="1:10">
      <c r="A213" s="20">
        <v>211</v>
      </c>
      <c r="B213" s="29">
        <v>32.020493814731623</v>
      </c>
      <c r="C213" s="28">
        <f ca="1">OFFSET($B213,1*(ROWS(C$2:C213)-1),0)</f>
        <v>42.08118861262011</v>
      </c>
      <c r="D213" s="27">
        <f>Ft!B$3*EXP(Ft!B$38*($A213-Ft!B$2)^2) +Ft!C$3*EXP(Ft!C$38*($A213-Ft!C$2)^2) + Ft!D$3*EXP(Ft!D$38*($A213-Ft!D$2)^2)+Ft!E$3*EXP(Ft!E$38*($A213-Ft!E$2)^2) +Ft!F$3*EXP(Ft!F$38*($A213-Ft!F$2)^2) + Ft!G$3*EXP(Ft!G$38*($A213-Ft!G$2)^2)</f>
        <v>214.62557560914141</v>
      </c>
      <c r="E213" s="27">
        <f>Ft!B$3*EXP(Ft!B$38*($A213-Ft!B$2)^2)</f>
        <v>115.65905869436355</v>
      </c>
      <c r="F213" s="27">
        <f>Ft!C$3*EXP(Ft!C$38*($A213-Ft!C$2)^2)</f>
        <v>33.196898121890406</v>
      </c>
      <c r="G213" s="27">
        <f>Ft!D$3*EXP(Ft!D$38*($A213-Ft!D$2)^2)</f>
        <v>1.9264704870514468E-15</v>
      </c>
      <c r="H213" s="27">
        <f>Ft!E$3*EXP(Ft!E$38*($A213-Ft!E$2)^2)</f>
        <v>17.104038139896556</v>
      </c>
      <c r="I213" s="27">
        <f>Ft!F$3*EXP(Ft!F$38*($A213-Ft!F$2)^2)</f>
        <v>11.23581223137529</v>
      </c>
      <c r="J213" s="27">
        <f>Ft!G$3*EXP(Ft!G$38*($A213-Ft!G$2)^2)</f>
        <v>37.429768421615627</v>
      </c>
    </row>
    <row r="214" spans="1:10">
      <c r="A214" s="20">
        <v>212</v>
      </c>
      <c r="B214" s="29">
        <v>32.256779118562747</v>
      </c>
      <c r="C214" s="28">
        <f ca="1">OFFSET($B214,1*(ROWS(C$2:C214)-1),0)</f>
        <v>41.595778396664144</v>
      </c>
      <c r="D214" s="27">
        <f>Ft!B$3*EXP(Ft!B$38*($A214-Ft!B$2)^2) +Ft!C$3*EXP(Ft!C$38*($A214-Ft!C$2)^2) + Ft!D$3*EXP(Ft!D$38*($A214-Ft!D$2)^2)+Ft!E$3*EXP(Ft!E$38*($A214-Ft!E$2)^2) +Ft!F$3*EXP(Ft!F$38*($A214-Ft!F$2)^2) + Ft!G$3*EXP(Ft!G$38*($A214-Ft!G$2)^2)</f>
        <v>214.75073295271929</v>
      </c>
      <c r="E214" s="27">
        <f>Ft!B$3*EXP(Ft!B$38*($A214-Ft!B$2)^2)</f>
        <v>115.42018095288745</v>
      </c>
      <c r="F214" s="27">
        <f>Ft!C$3*EXP(Ft!C$38*($A214-Ft!C$2)^2)</f>
        <v>33.247582835915324</v>
      </c>
      <c r="G214" s="27">
        <f>Ft!D$3*EXP(Ft!D$38*($A214-Ft!D$2)^2)</f>
        <v>2.6206655263820047E-15</v>
      </c>
      <c r="H214" s="27">
        <f>Ft!E$3*EXP(Ft!E$38*($A214-Ft!E$2)^2)</f>
        <v>17.230539583690163</v>
      </c>
      <c r="I214" s="27">
        <f>Ft!F$3*EXP(Ft!F$38*($A214-Ft!F$2)^2)</f>
        <v>11.282392643880623</v>
      </c>
      <c r="J214" s="27">
        <f>Ft!G$3*EXP(Ft!G$38*($A214-Ft!G$2)^2)</f>
        <v>37.570036936345737</v>
      </c>
    </row>
    <row r="215" spans="1:10">
      <c r="A215" s="20">
        <v>213</v>
      </c>
      <c r="B215" s="29">
        <v>32.50201741983517</v>
      </c>
      <c r="C215" s="28">
        <f ca="1">OFFSET($B215,1*(ROWS(C$2:C215)-1),0)</f>
        <v>41.085308271360418</v>
      </c>
      <c r="D215" s="27">
        <f>Ft!B$3*EXP(Ft!B$38*($A215-Ft!B$2)^2) +Ft!C$3*EXP(Ft!C$38*($A215-Ft!C$2)^2) + Ft!D$3*EXP(Ft!D$38*($A215-Ft!D$2)^2)+Ft!E$3*EXP(Ft!E$38*($A215-Ft!E$2)^2) +Ft!F$3*EXP(Ft!F$38*($A215-Ft!F$2)^2) + Ft!G$3*EXP(Ft!G$38*($A215-Ft!G$2)^2)</f>
        <v>214.87622477601127</v>
      </c>
      <c r="E215" s="27">
        <f>Ft!B$3*EXP(Ft!B$38*($A215-Ft!B$2)^2)</f>
        <v>115.18124697017875</v>
      </c>
      <c r="F215" s="27">
        <f>Ft!C$3*EXP(Ft!C$38*($A215-Ft!C$2)^2)</f>
        <v>33.298271380811734</v>
      </c>
      <c r="G215" s="27">
        <f>Ft!D$3*EXP(Ft!D$38*($A215-Ft!D$2)^2)</f>
        <v>3.560097181244059E-15</v>
      </c>
      <c r="H215" s="27">
        <f>Ft!E$3*EXP(Ft!E$38*($A215-Ft!E$2)^2)</f>
        <v>17.357725023874149</v>
      </c>
      <c r="I215" s="27">
        <f>Ft!F$3*EXP(Ft!F$38*($A215-Ft!F$2)^2)</f>
        <v>11.329128862807078</v>
      </c>
      <c r="J215" s="27">
        <f>Ft!G$3*EXP(Ft!G$38*($A215-Ft!G$2)^2)</f>
        <v>37.70985253833959</v>
      </c>
    </row>
    <row r="216" spans="1:10">
      <c r="A216" s="20">
        <v>214</v>
      </c>
      <c r="B216" s="29">
        <v>32.740730746427261</v>
      </c>
      <c r="C216" s="28">
        <f ca="1">OFFSET($B216,1*(ROWS(C$2:C216)-1),0)</f>
        <v>40.572886352871137</v>
      </c>
      <c r="D216" s="27">
        <f>Ft!B$3*EXP(Ft!B$38*($A216-Ft!B$2)^2) +Ft!C$3*EXP(Ft!C$38*($A216-Ft!C$2)^2) + Ft!D$3*EXP(Ft!D$38*($A216-Ft!D$2)^2)+Ft!E$3*EXP(Ft!E$38*($A216-Ft!E$2)^2) +Ft!F$3*EXP(Ft!F$38*($A216-Ft!F$2)^2) + Ft!G$3*EXP(Ft!G$38*($A216-Ft!G$2)^2)</f>
        <v>215.00204598488494</v>
      </c>
      <c r="E216" s="27">
        <f>Ft!B$3*EXP(Ft!B$38*($A216-Ft!B$2)^2)</f>
        <v>114.94225914053403</v>
      </c>
      <c r="F216" s="27">
        <f>Ft!C$3*EXP(Ft!C$38*($A216-Ft!C$2)^2)</f>
        <v>33.348963538313399</v>
      </c>
      <c r="G216" s="27">
        <f>Ft!D$3*EXP(Ft!D$38*($A216-Ft!D$2)^2)</f>
        <v>4.8296219028933298E-15</v>
      </c>
      <c r="H216" s="27">
        <f>Ft!E$3*EXP(Ft!E$38*($A216-Ft!E$2)^2)</f>
        <v>17.485595808520465</v>
      </c>
      <c r="I216" s="27">
        <f>Ft!F$3*EXP(Ft!F$38*($A216-Ft!F$2)^2)</f>
        <v>11.376021225162699</v>
      </c>
      <c r="J216" s="27">
        <f>Ft!G$3*EXP(Ft!G$38*($A216-Ft!G$2)^2)</f>
        <v>37.849206272354358</v>
      </c>
    </row>
    <row r="217" spans="1:10">
      <c r="A217" s="20">
        <v>215</v>
      </c>
      <c r="B217" s="29">
        <v>32.984602537828778</v>
      </c>
      <c r="C217" s="28">
        <f ca="1">OFFSET($B217,1*(ROWS(C$2:C217)-1),0)</f>
        <v>40.07334535779637</v>
      </c>
      <c r="D217" s="27">
        <f>Ft!B$3*EXP(Ft!B$38*($A217-Ft!B$2)^2) +Ft!C$3*EXP(Ft!C$38*($A217-Ft!C$2)^2) + Ft!D$3*EXP(Ft!D$38*($A217-Ft!D$2)^2)+Ft!E$3*EXP(Ft!E$38*($A217-Ft!E$2)^2) +Ft!F$3*EXP(Ft!F$38*($A217-Ft!F$2)^2) + Ft!G$3*EXP(Ft!G$38*($A217-Ft!G$2)^2)</f>
        <v>215.12819146334968</v>
      </c>
      <c r="E217" s="27">
        <f>Ft!B$3*EXP(Ft!B$38*($A217-Ft!B$2)^2)</f>
        <v>114.70321985405776</v>
      </c>
      <c r="F217" s="27">
        <f>Ft!C$3*EXP(Ft!C$38*($A217-Ft!C$2)^2)</f>
        <v>33.399659089797595</v>
      </c>
      <c r="G217" s="27">
        <f>Ft!D$3*EXP(Ft!D$38*($A217-Ft!D$2)^2)</f>
        <v>6.5428269427408195E-15</v>
      </c>
      <c r="H217" s="27">
        <f>Ft!E$3*EXP(Ft!E$38*($A217-Ft!E$2)^2)</f>
        <v>17.614153265729403</v>
      </c>
      <c r="I217" s="27">
        <f>Ft!F$3*EXP(Ft!F$38*($A217-Ft!F$2)^2)</f>
        <v>11.423070067805446</v>
      </c>
      <c r="J217" s="27">
        <f>Ft!G$3*EXP(Ft!G$38*($A217-Ft!G$2)^2)</f>
        <v>37.98808918595946</v>
      </c>
    </row>
    <row r="218" spans="1:10">
      <c r="A218" s="20">
        <v>216</v>
      </c>
      <c r="B218" s="29">
        <v>33.230181546578848</v>
      </c>
      <c r="C218" s="28">
        <f ca="1">OFFSET($B218,1*(ROWS(C$2:C218)-1),0)</f>
        <v>39.567849215907785</v>
      </c>
      <c r="D218" s="27">
        <f>Ft!B$3*EXP(Ft!B$38*($A218-Ft!B$2)^2) +Ft!C$3*EXP(Ft!C$38*($A218-Ft!C$2)^2) + Ft!D$3*EXP(Ft!D$38*($A218-Ft!D$2)^2)+Ft!E$3*EXP(Ft!E$38*($A218-Ft!E$2)^2) +Ft!F$3*EXP(Ft!F$38*($A218-Ft!F$2)^2) + Ft!G$3*EXP(Ft!G$38*($A218-Ft!G$2)^2)</f>
        <v>215.25465607423308</v>
      </c>
      <c r="E218" s="27">
        <f>Ft!B$3*EXP(Ft!B$38*($A218-Ft!B$2)^2)</f>
        <v>114.46413149662533</v>
      </c>
      <c r="F218" s="27">
        <f>Ft!C$3*EXP(Ft!C$38*($A218-Ft!C$2)^2)</f>
        <v>33.450357816286513</v>
      </c>
      <c r="G218" s="27">
        <f>Ft!D$3*EXP(Ft!D$38*($A218-Ft!D$2)^2)</f>
        <v>8.8515383667359324E-15</v>
      </c>
      <c r="H218" s="27">
        <f>Ft!E$3*EXP(Ft!E$38*($A218-Ft!E$2)^2)</f>
        <v>17.743398703405198</v>
      </c>
      <c r="I218" s="27">
        <f>Ft!F$3*EXP(Ft!F$38*($A218-Ft!F$2)^2)</f>
        <v>11.470275727438137</v>
      </c>
      <c r="J218" s="27">
        <f>Ft!G$3*EXP(Ft!G$38*($A218-Ft!G$2)^2)</f>
        <v>38.126492330477902</v>
      </c>
    </row>
    <row r="219" spans="1:10">
      <c r="A219" s="20">
        <v>217</v>
      </c>
      <c r="B219" s="29">
        <v>33.463410101556804</v>
      </c>
      <c r="C219" s="28">
        <f ca="1">OFFSET($B219,1*(ROWS(C$2:C219)-1),0)</f>
        <v>39.089556002880272</v>
      </c>
      <c r="D219" s="27">
        <f>Ft!B$3*EXP(Ft!B$38*($A219-Ft!B$2)^2) +Ft!C$3*EXP(Ft!C$38*($A219-Ft!C$2)^2) + Ft!D$3*EXP(Ft!D$38*($A219-Ft!D$2)^2)+Ft!E$3*EXP(Ft!E$38*($A219-Ft!E$2)^2) +Ft!F$3*EXP(Ft!F$38*($A219-Ft!F$2)^2) + Ft!G$3*EXP(Ft!G$38*($A219-Ft!G$2)^2)</f>
        <v>215.38143465986042</v>
      </c>
      <c r="E219" s="27">
        <f>Ft!B$3*EXP(Ft!B$38*($A219-Ft!B$2)^2)</f>
        <v>114.22499644984637</v>
      </c>
      <c r="F219" s="27">
        <f>Ft!C$3*EXP(Ft!C$38*($A219-Ft!C$2)^2)</f>
        <v>33.50105949844864</v>
      </c>
      <c r="G219" s="27">
        <f>Ft!D$3*EXP(Ft!D$38*($A219-Ft!D$2)^2)</f>
        <v>1.1958400673974003E-14</v>
      </c>
      <c r="H219" s="27">
        <f>Ft!E$3*EXP(Ft!E$38*($A219-Ft!E$2)^2)</f>
        <v>17.873333409031439</v>
      </c>
      <c r="I219" s="27">
        <f>Ft!F$3*EXP(Ft!F$38*($A219-Ft!F$2)^2)</f>
        <v>11.517638540603357</v>
      </c>
      <c r="J219" s="27">
        <f>Ft!G$3*EXP(Ft!G$38*($A219-Ft!G$2)^2)</f>
        <v>38.264406761930616</v>
      </c>
    </row>
    <row r="220" spans="1:10">
      <c r="A220" s="20">
        <v>218</v>
      </c>
      <c r="B220" s="29">
        <v>33.722828164831469</v>
      </c>
      <c r="C220" s="28">
        <f ca="1">OFFSET($B220,1*(ROWS(C$2:C220)-1),0)</f>
        <v>38.691684827276561</v>
      </c>
      <c r="D220" s="27">
        <f>Ft!B$3*EXP(Ft!B$38*($A220-Ft!B$2)^2) +Ft!C$3*EXP(Ft!C$38*($A220-Ft!C$2)^2) + Ft!D$3*EXP(Ft!D$38*($A220-Ft!D$2)^2)+Ft!E$3*EXP(Ft!E$38*($A220-Ft!E$2)^2) +Ft!F$3*EXP(Ft!F$38*($A220-Ft!F$2)^2) + Ft!G$3*EXP(Ft!G$38*($A220-Ft!G$2)^2)</f>
        <v>215.50852204273681</v>
      </c>
      <c r="E220" s="27">
        <f>Ft!B$3*EXP(Ft!B$38*($A220-Ft!B$2)^2)</f>
        <v>113.98581709102835</v>
      </c>
      <c r="F220" s="27">
        <f>Ft!C$3*EXP(Ft!C$38*($A220-Ft!C$2)^2)</f>
        <v>33.55176391660018</v>
      </c>
      <c r="G220" s="27">
        <f>Ft!D$3*EXP(Ft!D$38*($A220-Ft!D$2)^2)</f>
        <v>1.6133495301156528E-14</v>
      </c>
      <c r="H220" s="27">
        <f>Ft!E$3*EXP(Ft!E$38*($A220-Ft!E$2)^2)</f>
        <v>18.0039586494463</v>
      </c>
      <c r="I220" s="27">
        <f>Ft!F$3*EXP(Ft!F$38*($A220-Ft!F$2)^2)</f>
        <v>11.565158843678351</v>
      </c>
      <c r="J220" s="27">
        <f>Ft!G$3*EXP(Ft!G$38*($A220-Ft!G$2)^2)</f>
        <v>38.401823541983582</v>
      </c>
    </row>
    <row r="221" spans="1:10">
      <c r="A221" s="20">
        <v>219</v>
      </c>
      <c r="B221" s="29">
        <v>33.959485107395551</v>
      </c>
      <c r="C221" s="28">
        <f ca="1">OFFSET($B221,1*(ROWS(C$2:C221)-1),0)</f>
        <v>38.298910082573002</v>
      </c>
      <c r="D221" s="27">
        <f>Ft!B$3*EXP(Ft!B$38*($A221-Ft!B$2)^2) +Ft!C$3*EXP(Ft!C$38*($A221-Ft!C$2)^2) + Ft!D$3*EXP(Ft!D$38*($A221-Ft!D$2)^2)+Ft!E$3*EXP(Ft!E$38*($A221-Ft!E$2)^2) +Ft!F$3*EXP(Ft!F$38*($A221-Ft!F$2)^2) + Ft!G$3*EXP(Ft!G$38*($A221-Ft!G$2)^2)</f>
        <v>215.6359130262318</v>
      </c>
      <c r="E221" s="27">
        <f>Ft!B$3*EXP(Ft!B$38*($A221-Ft!B$2)^2)</f>
        <v>113.74659579314006</v>
      </c>
      <c r="F221" s="27">
        <f>Ft!C$3*EXP(Ft!C$38*($A221-Ft!C$2)^2)</f>
        <v>33.602470850706453</v>
      </c>
      <c r="G221" s="27">
        <f>Ft!D$3*EXP(Ft!D$38*($A221-Ft!D$2)^2)</f>
        <v>2.1736261736243083E-14</v>
      </c>
      <c r="H221" s="27">
        <f>Ft!E$3*EXP(Ft!E$38*($A221-Ft!E$2)^2)</f>
        <v>18.135275670617606</v>
      </c>
      <c r="I221" s="27">
        <f>Ft!F$3*EXP(Ft!F$38*($A221-Ft!F$2)^2)</f>
        <v>11.612836972869893</v>
      </c>
      <c r="J221" s="27">
        <f>Ft!G$3*EXP(Ft!G$38*($A221-Ft!G$2)^2)</f>
        <v>38.538733738897747</v>
      </c>
    </row>
    <row r="222" spans="1:10">
      <c r="A222" s="20">
        <v>220</v>
      </c>
      <c r="B222" s="29">
        <v>34.225237407233976</v>
      </c>
      <c r="C222" s="28">
        <f ca="1">OFFSET($B222,1*(ROWS(C$2:C222)-1),0)</f>
        <v>37.875318610909375</v>
      </c>
      <c r="D222" s="27">
        <f>Ft!B$3*EXP(Ft!B$38*($A222-Ft!B$2)^2) +Ft!C$3*EXP(Ft!C$38*($A222-Ft!C$2)^2) + Ft!D$3*EXP(Ft!D$38*($A222-Ft!D$2)^2)+Ft!E$3*EXP(Ft!E$38*($A222-Ft!E$2)^2) +Ft!F$3*EXP(Ft!F$38*($A222-Ft!F$2)^2) + Ft!G$3*EXP(Ft!G$38*($A222-Ft!G$2)^2)</f>
        <v>215.76360239526741</v>
      </c>
      <c r="E222" s="27">
        <f>Ft!B$3*EXP(Ft!B$38*($A222-Ft!B$2)^2)</f>
        <v>113.50733492477562</v>
      </c>
      <c r="F222" s="27">
        <f>Ft!C$3*EXP(Ft!C$38*($A222-Ft!C$2)^2)</f>
        <v>33.653180080383322</v>
      </c>
      <c r="G222" s="27">
        <f>Ft!D$3*EXP(Ft!D$38*($A222-Ft!D$2)^2)</f>
        <v>2.9244369652347761E-14</v>
      </c>
      <c r="H222" s="27">
        <f>Ft!E$3*EXP(Ft!E$38*($A222-Ft!E$2)^2)</f>
        <v>18.267285697417854</v>
      </c>
      <c r="I222" s="27">
        <f>Ft!F$3*EXP(Ft!F$38*($A222-Ft!F$2)^2)</f>
        <v>11.660673264209191</v>
      </c>
      <c r="J222" s="27">
        <f>Ft!G$3*EXP(Ft!G$38*($A222-Ft!G$2)^2)</f>
        <v>38.675128428481408</v>
      </c>
    </row>
    <row r="223" spans="1:10">
      <c r="A223" s="20">
        <v>221</v>
      </c>
      <c r="B223" s="29">
        <v>34.514597642993493</v>
      </c>
      <c r="C223" s="28">
        <f ca="1">OFFSET($B223,1*(ROWS(C$2:C223)-1),0)</f>
        <v>37.433789607017843</v>
      </c>
      <c r="D223" s="27">
        <f>Ft!B$3*EXP(Ft!B$38*($A223-Ft!B$2)^2) +Ft!C$3*EXP(Ft!C$38*($A223-Ft!C$2)^2) + Ft!D$3*EXP(Ft!D$38*($A223-Ft!D$2)^2)+Ft!E$3*EXP(Ft!E$38*($A223-Ft!E$2)^2) +Ft!F$3*EXP(Ft!F$38*($A223-Ft!F$2)^2) + Ft!G$3*EXP(Ft!G$38*($A223-Ft!G$2)^2)</f>
        <v>215.89158491700778</v>
      </c>
      <c r="E223" s="27">
        <f>Ft!B$3*EXP(Ft!B$38*($A223-Ft!B$2)^2)</f>
        <v>113.26803685011836</v>
      </c>
      <c r="F223" s="27">
        <f>Ft!C$3*EXP(Ft!C$38*($A223-Ft!C$2)^2)</f>
        <v>33.703891384898569</v>
      </c>
      <c r="G223" s="27">
        <f>Ft!D$3*EXP(Ft!D$38*($A223-Ft!D$2)^2)</f>
        <v>3.9291688865749166E-14</v>
      </c>
      <c r="H223" s="27">
        <f>Ft!E$3*EXP(Ft!E$38*($A223-Ft!E$2)^2)</f>
        <v>18.399989933399031</v>
      </c>
      <c r="I223" s="27">
        <f>Ft!F$3*EXP(Ft!F$38*($A223-Ft!F$2)^2)</f>
        <v>11.708668053546665</v>
      </c>
      <c r="J223" s="27">
        <f>Ft!G$3*EXP(Ft!G$38*($A223-Ft!G$2)^2)</f>
        <v>38.810998695045093</v>
      </c>
    </row>
    <row r="224" spans="1:10">
      <c r="A224" s="20">
        <v>222</v>
      </c>
      <c r="B224" s="29">
        <v>34.815680286828268</v>
      </c>
      <c r="C224" s="28">
        <f ca="1">OFFSET($B224,1*(ROWS(C$2:C224)-1),0)</f>
        <v>36.952033647619999</v>
      </c>
      <c r="D224" s="27">
        <f>Ft!B$3*EXP(Ft!B$38*($A224-Ft!B$2)^2) +Ft!C$3*EXP(Ft!C$38*($A224-Ft!C$2)^2) + Ft!D$3*EXP(Ft!D$38*($A224-Ft!D$2)^2)+Ft!E$3*EXP(Ft!E$38*($A224-Ft!E$2)^2) +Ft!F$3*EXP(Ft!F$38*($A224-Ft!F$2)^2) + Ft!G$3*EXP(Ft!G$38*($A224-Ft!G$2)^2)</f>
        <v>216.01985534155148</v>
      </c>
      <c r="E224" s="27">
        <f>Ft!B$3*EXP(Ft!B$38*($A224-Ft!B$2)^2)</f>
        <v>113.02870392890509</v>
      </c>
      <c r="F224" s="27">
        <f>Ft!C$3*EXP(Ft!C$38*($A224-Ft!C$2)^2)</f>
        <v>33.754604543173393</v>
      </c>
      <c r="G224" s="27">
        <f>Ft!D$3*EXP(Ft!D$38*($A224-Ft!D$2)^2)</f>
        <v>5.2718148578171954E-14</v>
      </c>
      <c r="H224" s="27">
        <f>Ft!E$3*EXP(Ft!E$38*($A224-Ft!E$2)^2)</f>
        <v>18.5333895605674</v>
      </c>
      <c r="I224" s="27">
        <f>Ft!F$3*EXP(Ft!F$38*($A224-Ft!F$2)^2)</f>
        <v>11.756821676546815</v>
      </c>
      <c r="J224" s="27">
        <f>Ft!G$3*EXP(Ft!G$38*($A224-Ft!G$2)^2)</f>
        <v>38.946335632358711</v>
      </c>
    </row>
    <row r="225" spans="1:10">
      <c r="A225" s="20">
        <v>223</v>
      </c>
      <c r="B225" s="29">
        <v>35.094321346902177</v>
      </c>
      <c r="C225" s="28">
        <f ca="1">OFFSET($B225,1*(ROWS(C$2:C225)-1),0)</f>
        <v>36.457009445204164</v>
      </c>
      <c r="D225" s="27">
        <f>Ft!B$3*EXP(Ft!B$38*($A225-Ft!B$2)^2) +Ft!C$3*EXP(Ft!C$38*($A225-Ft!C$2)^2) + Ft!D$3*EXP(Ft!D$38*($A225-Ft!D$2)^2)+Ft!E$3*EXP(Ft!E$38*($A225-Ft!E$2)^2) +Ft!F$3*EXP(Ft!F$38*($A225-Ft!F$2)^2) + Ft!G$3*EXP(Ft!G$38*($A225-Ft!G$2)^2)</f>
        <v>216.14840840262639</v>
      </c>
      <c r="E225" s="27">
        <f>Ft!B$3*EXP(Ft!B$38*($A225-Ft!B$2)^2)</f>
        <v>112.7893385163905</v>
      </c>
      <c r="F225" s="27">
        <f>Ft!C$3*EXP(Ft!C$38*($A225-Ft!C$2)^2)</f>
        <v>33.805319333783793</v>
      </c>
      <c r="G225" s="27">
        <f>Ft!D$3*EXP(Ft!D$38*($A225-Ft!D$2)^2)</f>
        <v>7.0635109848037268E-14</v>
      </c>
      <c r="H225" s="27">
        <f>Ft!E$3*EXP(Ft!E$38*($A225-Ft!E$2)^2)</f>
        <v>18.667485739158181</v>
      </c>
      <c r="I225" s="27">
        <f>Ft!F$3*EXP(Ft!F$38*($A225-Ft!F$2)^2)</f>
        <v>11.805134468683013</v>
      </c>
      <c r="J225" s="27">
        <f>Ft!G$3*EXP(Ft!G$38*($A225-Ft!G$2)^2)</f>
        <v>39.081130344610841</v>
      </c>
    </row>
    <row r="226" spans="1:10">
      <c r="A226" s="20">
        <v>224</v>
      </c>
      <c r="B226" s="29">
        <v>35.381788283027902</v>
      </c>
      <c r="C226" s="28">
        <f ca="1">OFFSET($B226,1*(ROWS(C$2:C226)-1),0)</f>
        <v>35.958586007026895</v>
      </c>
      <c r="D226" s="27">
        <f>Ft!B$3*EXP(Ft!B$38*($A226-Ft!B$2)^2) +Ft!C$3*EXP(Ft!C$38*($A226-Ft!C$2)^2) + Ft!D$3*EXP(Ft!D$38*($A226-Ft!D$2)^2)+Ft!E$3*EXP(Ft!E$38*($A226-Ft!E$2)^2) +Ft!F$3*EXP(Ft!F$38*($A226-Ft!F$2)^2) + Ft!G$3*EXP(Ft!G$38*($A226-Ft!G$2)^2)</f>
        <v>216.27723881828626</v>
      </c>
      <c r="E226" s="27">
        <f>Ft!B$3*EXP(Ft!B$38*($A226-Ft!B$2)^2)</f>
        <v>112.54994296331166</v>
      </c>
      <c r="F226" s="27">
        <f>Ft!C$3*EXP(Ft!C$38*($A226-Ft!C$2)^2)</f>
        <v>33.856035534962004</v>
      </c>
      <c r="G226" s="27">
        <f>Ft!D$3*EXP(Ft!D$38*($A226-Ft!D$2)^2)</f>
        <v>9.4510948517980168E-14</v>
      </c>
      <c r="H226" s="27">
        <f>Ft!E$3*EXP(Ft!E$38*($A226-Ft!E$2)^2)</f>
        <v>18.80227960741021</v>
      </c>
      <c r="I226" s="27">
        <f>Ft!F$3*EXP(Ft!F$38*($A226-Ft!F$2)^2)</f>
        <v>11.853606765232282</v>
      </c>
      <c r="J226" s="27">
        <f>Ft!G$3*EXP(Ft!G$38*($A226-Ft!G$2)^2)</f>
        <v>39.215373947370004</v>
      </c>
    </row>
    <row r="227" spans="1:10">
      <c r="A227" s="20">
        <v>225</v>
      </c>
      <c r="B227" s="29">
        <v>35.654763421029799</v>
      </c>
      <c r="C227" s="28">
        <f ca="1">OFFSET($B227,1*(ROWS(C$2:C227)-1),0)</f>
        <v>35.429958249440546</v>
      </c>
      <c r="D227" s="27">
        <f>Ft!B$3*EXP(Ft!B$38*($A227-Ft!B$2)^2) +Ft!C$3*EXP(Ft!C$38*($A227-Ft!C$2)^2) + Ft!D$3*EXP(Ft!D$38*($A227-Ft!D$2)^2)+Ft!E$3*EXP(Ft!E$38*($A227-Ft!E$2)^2) +Ft!F$3*EXP(Ft!F$38*($A227-Ft!F$2)^2) + Ft!G$3*EXP(Ft!G$38*($A227-Ft!G$2)^2)</f>
        <v>216.40634129160946</v>
      </c>
      <c r="E227" s="27">
        <f>Ft!B$3*EXP(Ft!B$38*($A227-Ft!B$2)^2)</f>
        <v>112.31051961585288</v>
      </c>
      <c r="F227" s="27">
        <f>Ft!C$3*EXP(Ft!C$38*($A227-Ft!C$2)^2)</f>
        <v>33.906752924597974</v>
      </c>
      <c r="G227" s="27">
        <f>Ft!D$3*EXP(Ft!D$38*($A227-Ft!D$2)^2)</f>
        <v>1.2628292729259836E-13</v>
      </c>
      <c r="H227" s="27">
        <f>Ft!E$3*EXP(Ft!E$38*($A227-Ft!E$2)^2)</f>
        <v>18.937772281340571</v>
      </c>
      <c r="I227" s="27">
        <f>Ft!F$3*EXP(Ft!F$38*($A227-Ft!F$2)^2)</f>
        <v>11.902238901270072</v>
      </c>
      <c r="J227" s="27">
        <f>Ft!G$3*EXP(Ft!G$38*($A227-Ft!G$2)^2)</f>
        <v>39.349057568547856</v>
      </c>
    </row>
    <row r="228" spans="1:10">
      <c r="A228" s="20">
        <v>226</v>
      </c>
      <c r="B228" s="29">
        <v>35.9312302595755</v>
      </c>
      <c r="C228" s="28">
        <f ca="1">OFFSET($B228,1*(ROWS(C$2:C228)-1),0)</f>
        <v>34.94002472427627</v>
      </c>
      <c r="D228" s="27">
        <f>Ft!B$3*EXP(Ft!B$38*($A228-Ft!B$2)^2) +Ft!C$3*EXP(Ft!C$38*($A228-Ft!C$2)^2) + Ft!D$3*EXP(Ft!D$38*($A228-Ft!D$2)^2)+Ft!E$3*EXP(Ft!E$38*($A228-Ft!E$2)^2) +Ft!F$3*EXP(Ft!F$38*($A228-Ft!F$2)^2) + Ft!G$3*EXP(Ft!G$38*($A228-Ft!G$2)^2)</f>
        <v>216.5357105113996</v>
      </c>
      <c r="E228" s="27">
        <f>Ft!B$3*EXP(Ft!B$38*($A228-Ft!B$2)^2)</f>
        <v>112.07107081561045</v>
      </c>
      <c r="F228" s="27">
        <f>Ft!C$3*EXP(Ft!C$38*($A228-Ft!C$2)^2)</f>
        <v>33.957471280240782</v>
      </c>
      <c r="G228" s="27">
        <f>Ft!D$3*EXP(Ft!D$38*($A228-Ft!D$2)^2)</f>
        <v>1.6850321088587828E-13</v>
      </c>
      <c r="H228" s="27">
        <f>Ft!E$3*EXP(Ft!E$38*($A228-Ft!E$2)^2)</f>
        <v>19.073964854519151</v>
      </c>
      <c r="I228" s="27">
        <f>Ft!F$3*EXP(Ft!F$38*($A228-Ft!F$2)^2)</f>
        <v>11.951031211665011</v>
      </c>
      <c r="J228" s="27">
        <f>Ft!G$3*EXP(Ft!G$38*($A228-Ft!G$2)^2)</f>
        <v>39.482172349364035</v>
      </c>
    </row>
    <row r="229" spans="1:10">
      <c r="A229" s="20">
        <v>227</v>
      </c>
      <c r="B229" s="29">
        <v>36.20870614768836</v>
      </c>
      <c r="C229" s="28">
        <f ca="1">OFFSET($B229,1*(ROWS(C$2:C229)-1),0)</f>
        <v>34.47027656864438</v>
      </c>
      <c r="D229" s="27">
        <f>Ft!B$3*EXP(Ft!B$38*($A229-Ft!B$2)^2) +Ft!C$3*EXP(Ft!C$38*($A229-Ft!C$2)^2) + Ft!D$3*EXP(Ft!D$38*($A229-Ft!D$2)^2)+Ft!E$3*EXP(Ft!E$38*($A229-Ft!E$2)^2) +Ft!F$3*EXP(Ft!F$38*($A229-Ft!F$2)^2) + Ft!G$3*EXP(Ft!G$38*($A229-Ft!G$2)^2)</f>
        <v>216.66534115288783</v>
      </c>
      <c r="E229" s="27">
        <f>Ft!B$3*EXP(Ft!B$38*($A229-Ft!B$2)^2)</f>
        <v>111.83159889955796</v>
      </c>
      <c r="F229" s="27">
        <f>Ft!C$3*EXP(Ft!C$38*($A229-Ft!C$2)^2)</f>
        <v>34.008190379100114</v>
      </c>
      <c r="G229" s="27">
        <f>Ft!D$3*EXP(Ft!D$38*($A229-Ft!D$2)^2)</f>
        <v>2.245291556232005E-13</v>
      </c>
      <c r="H229" s="27">
        <f>Ft!E$3*EXP(Ft!E$38*($A229-Ft!E$2)^2)</f>
        <v>19.210858397843285</v>
      </c>
      <c r="I229" s="27">
        <f>Ft!F$3*EXP(Ft!F$38*($A229-Ft!F$2)^2)</f>
        <v>11.999984031073632</v>
      </c>
      <c r="J229" s="27">
        <f>Ft!G$3*EXP(Ft!G$38*($A229-Ft!G$2)^2)</f>
        <v>39.614709445312599</v>
      </c>
    </row>
    <row r="230" spans="1:10">
      <c r="A230" s="20">
        <v>228</v>
      </c>
      <c r="B230" s="29">
        <v>36.494787646648575</v>
      </c>
      <c r="C230" s="28">
        <f ca="1">OFFSET($B230,1*(ROWS(C$2:C230)-1),0)</f>
        <v>34.034167147488688</v>
      </c>
      <c r="D230" s="27">
        <f>Ft!B$3*EXP(Ft!B$38*($A230-Ft!B$2)^2) +Ft!C$3*EXP(Ft!C$38*($A230-Ft!C$2)^2) + Ft!D$3*EXP(Ft!D$38*($A230-Ft!D$2)^2)+Ft!E$3*EXP(Ft!E$38*($A230-Ft!E$2)^2) +Ft!F$3*EXP(Ft!F$38*($A230-Ft!F$2)^2) + Ft!G$3*EXP(Ft!G$38*($A230-Ft!G$2)^2)</f>
        <v>216.79522787843692</v>
      </c>
      <c r="E230" s="27">
        <f>Ft!B$3*EXP(Ft!B$38*($A230-Ft!B$2)^2)</f>
        <v>111.59210620001149</v>
      </c>
      <c r="F230" s="27">
        <f>Ft!C$3*EXP(Ft!C$38*($A230-Ft!C$2)^2)</f>
        <v>34.058909998047731</v>
      </c>
      <c r="G230" s="27">
        <f>Ft!D$3*EXP(Ft!D$38*($A230-Ft!D$2)^2)</f>
        <v>2.9877092186343873E-13</v>
      </c>
      <c r="H230" s="27">
        <f>Ft!E$3*EXP(Ft!E$38*($A230-Ft!E$2)^2)</f>
        <v>19.348453959312369</v>
      </c>
      <c r="I230" s="27">
        <f>Ft!F$3*EXP(Ft!F$38*($A230-Ft!F$2)^2)</f>
        <v>12.049097693935092</v>
      </c>
      <c r="J230" s="27">
        <f>Ft!G$3*EXP(Ft!G$38*($A230-Ft!G$2)^2)</f>
        <v>39.746660027129927</v>
      </c>
    </row>
    <row r="231" spans="1:10">
      <c r="A231" s="20">
        <v>229</v>
      </c>
      <c r="B231" s="29">
        <v>36.787111215541046</v>
      </c>
      <c r="C231" s="28">
        <f ca="1">OFFSET($B231,1*(ROWS(C$2:C231)-1),0)</f>
        <v>33.58880136099242</v>
      </c>
      <c r="D231" s="27">
        <f>Ft!B$3*EXP(Ft!B$38*($A231-Ft!B$2)^2) +Ft!C$3*EXP(Ft!C$38*($A231-Ft!C$2)^2) + Ft!D$3*EXP(Ft!D$38*($A231-Ft!D$2)^2)+Ft!E$3*EXP(Ft!E$38*($A231-Ft!E$2)^2) +Ft!F$3*EXP(Ft!F$38*($A231-Ft!F$2)^2) + Ft!G$3*EXP(Ft!G$38*($A231-Ft!G$2)^2)</f>
        <v>216.92536533824665</v>
      </c>
      <c r="E231" s="27">
        <f>Ft!B$3*EXP(Ft!B$38*($A231-Ft!B$2)^2)</f>
        <v>111.35259504459506</v>
      </c>
      <c r="F231" s="27">
        <f>Ft!C$3*EXP(Ft!C$38*($A231-Ft!C$2)^2)</f>
        <v>34.10962991361891</v>
      </c>
      <c r="G231" s="27">
        <f>Ft!D$3*EXP(Ft!D$38*($A231-Ft!D$2)^2)</f>
        <v>3.9701318750546555E-13</v>
      </c>
      <c r="H231" s="27">
        <f>Ft!E$3*EXP(Ft!E$38*($A231-Ft!E$2)^2)</f>
        <v>19.486752563802586</v>
      </c>
      <c r="I231" s="27">
        <f>Ft!F$3*EXP(Ft!F$38*($A231-Ft!F$2)^2)</f>
        <v>12.098372534465868</v>
      </c>
      <c r="J231" s="27">
        <f>Ft!G$3*EXP(Ft!G$38*($A231-Ft!G$2)^2)</f>
        <v>39.878015281763837</v>
      </c>
    </row>
    <row r="232" spans="1:10">
      <c r="A232" s="20">
        <v>230</v>
      </c>
      <c r="B232" s="29">
        <v>37.062424050000743</v>
      </c>
      <c r="C232" s="28">
        <f ca="1">OFFSET($B232,1*(ROWS(C$2:C232)-1),0)</f>
        <v>33.120123772505281</v>
      </c>
      <c r="D232" s="27">
        <f>Ft!B$3*EXP(Ft!B$38*($A232-Ft!B$2)^2) +Ft!C$3*EXP(Ft!C$38*($A232-Ft!C$2)^2) + Ft!D$3*EXP(Ft!D$38*($A232-Ft!D$2)^2)+Ft!E$3*EXP(Ft!E$38*($A232-Ft!E$2)^2) +Ft!F$3*EXP(Ft!F$38*($A232-Ft!F$2)^2) + Ft!G$3*EXP(Ft!G$38*($A232-Ft!G$2)^2)</f>
        <v>217.0557481710608</v>
      </c>
      <c r="E232" s="27">
        <f>Ft!B$3*EXP(Ft!B$38*($A232-Ft!B$2)^2)</f>
        <v>111.11306775620641</v>
      </c>
      <c r="F232" s="27">
        <f>Ft!C$3*EXP(Ft!C$38*($A232-Ft!C$2)^2)</f>
        <v>34.160349902013934</v>
      </c>
      <c r="G232" s="27">
        <f>Ft!D$3*EXP(Ft!D$38*($A232-Ft!D$2)^2)</f>
        <v>5.2683250230772376E-13</v>
      </c>
      <c r="H232" s="27">
        <f>Ft!E$3*EXP(Ft!E$38*($A232-Ft!E$2)^2)</f>
        <v>19.625755212841586</v>
      </c>
      <c r="I232" s="27">
        <f>Ft!F$3*EXP(Ft!F$38*($A232-Ft!F$2)^2)</f>
        <v>12.147808886654419</v>
      </c>
      <c r="J232" s="27">
        <f>Ft!G$3*EXP(Ft!G$38*($A232-Ft!G$2)^2)</f>
        <v>40.008766413343899</v>
      </c>
    </row>
    <row r="233" spans="1:10">
      <c r="A233" s="20">
        <v>231</v>
      </c>
      <c r="B233" s="29">
        <v>37.328147688365732</v>
      </c>
      <c r="C233" s="28">
        <f ca="1">OFFSET($B233,1*(ROWS(C$2:C233)-1),0)</f>
        <v>32.658346541734232</v>
      </c>
      <c r="D233" s="27">
        <f>Ft!B$3*EXP(Ft!B$38*($A233-Ft!B$2)^2) +Ft!C$3*EXP(Ft!C$38*($A233-Ft!C$2)^2) + Ft!D$3*EXP(Ft!D$38*($A233-Ft!D$2)^2)+Ft!E$3*EXP(Ft!E$38*($A233-Ft!E$2)^2) +Ft!F$3*EXP(Ft!F$38*($A233-Ft!F$2)^2) + Ft!G$3*EXP(Ft!G$38*($A233-Ft!G$2)^2)</f>
        <v>217.18637100487496</v>
      </c>
      <c r="E233" s="27">
        <f>Ft!B$3*EXP(Ft!B$38*($A233-Ft!B$2)^2)</f>
        <v>110.87352665298278</v>
      </c>
      <c r="F233" s="27">
        <f>Ft!C$3*EXP(Ft!C$38*($A233-Ft!C$2)^2)</f>
        <v>34.211069739099585</v>
      </c>
      <c r="G233" s="27">
        <f>Ft!D$3*EXP(Ft!D$38*($A233-Ft!D$2)^2)</f>
        <v>6.9813789098204353E-13</v>
      </c>
      <c r="H233" s="27">
        <f>Ft!E$3*EXP(Ft!E$38*($A233-Ft!E$2)^2)</f>
        <v>19.765462884383361</v>
      </c>
      <c r="I233" s="27">
        <f>Ft!F$3*EXP(Ft!F$38*($A233-Ft!F$2)^2)</f>
        <v>12.197407084255875</v>
      </c>
      <c r="J233" s="27">
        <f>Ft!G$3*EXP(Ft!G$38*($A233-Ft!G$2)^2)</f>
        <v>40.138904644152667</v>
      </c>
    </row>
    <row r="234" spans="1:10">
      <c r="A234" s="20">
        <v>232</v>
      </c>
      <c r="B234" s="29">
        <v>37.600718472417498</v>
      </c>
      <c r="C234" s="28">
        <f ca="1">OFFSET($B234,1*(ROWS(C$2:C234)-1),0)</f>
        <v>32.156624336797051</v>
      </c>
      <c r="D234" s="27">
        <f>Ft!B$3*EXP(Ft!B$38*($A234-Ft!B$2)^2) +Ft!C$3*EXP(Ft!C$38*($A234-Ft!C$2)^2) + Ft!D$3*EXP(Ft!D$38*($A234-Ft!D$2)^2)+Ft!E$3*EXP(Ft!E$38*($A234-Ft!E$2)^2) +Ft!F$3*EXP(Ft!F$38*($A234-Ft!F$2)^2) + Ft!G$3*EXP(Ft!G$38*($A234-Ft!G$2)^2)</f>
        <v>217.31722845764619</v>
      </c>
      <c r="E234" s="27">
        <f>Ft!B$3*EXP(Ft!B$38*($A234-Ft!B$2)^2)</f>
        <v>110.63397404826694</v>
      </c>
      <c r="F234" s="27">
        <f>Ft!C$3*EXP(Ft!C$38*($A234-Ft!C$2)^2)</f>
        <v>34.261789200410611</v>
      </c>
      <c r="G234" s="27">
        <f>Ft!D$3*EXP(Ft!D$38*($A234-Ft!D$2)^2)</f>
        <v>9.2387003378570116E-13</v>
      </c>
      <c r="H234" s="27">
        <f>Ft!E$3*EXP(Ft!E$38*($A234-Ft!E$2)^2)</f>
        <v>19.905876532583182</v>
      </c>
      <c r="I234" s="27">
        <f>Ft!F$3*EXP(Ft!F$38*($A234-Ft!F$2)^2)</f>
        <v>12.247167460786661</v>
      </c>
      <c r="J234" s="27">
        <f>Ft!G$3*EXP(Ft!G$38*($A234-Ft!G$2)^2)</f>
        <v>40.268421215597854</v>
      </c>
    </row>
    <row r="235" spans="1:10">
      <c r="A235" s="20">
        <v>233</v>
      </c>
      <c r="B235" s="29">
        <v>37.885111905793536</v>
      </c>
      <c r="C235" s="28">
        <f ca="1">OFFSET($B235,1*(ROWS(C$2:C235)-1),0)</f>
        <v>31.690635397729523</v>
      </c>
      <c r="D235" s="27">
        <f>Ft!B$3*EXP(Ft!B$38*($A235-Ft!B$2)^2) +Ft!C$3*EXP(Ft!C$38*($A235-Ft!C$2)^2) + Ft!D$3*EXP(Ft!D$38*($A235-Ft!D$2)^2)+Ft!E$3*EXP(Ft!E$38*($A235-Ft!E$2)^2) +Ft!F$3*EXP(Ft!F$38*($A235-Ft!F$2)^2) + Ft!G$3*EXP(Ft!G$38*($A235-Ft!G$2)^2)</f>
        <v>217.44831513800278</v>
      </c>
      <c r="E235" s="27">
        <f>Ft!B$3*EXP(Ft!B$38*($A235-Ft!B$2)^2)</f>
        <v>110.39441225057347</v>
      </c>
      <c r="F235" s="27">
        <f>Ft!C$3*EXP(Ft!C$38*($A235-Ft!C$2)^2)</f>
        <v>34.31250806115122</v>
      </c>
      <c r="G235" s="27">
        <f>Ft!D$3*EXP(Ft!D$38*($A235-Ft!D$2)^2)</f>
        <v>1.220904160255907E-12</v>
      </c>
      <c r="H235" s="27">
        <f>Ft!E$3*EXP(Ft!E$38*($A235-Ft!E$2)^2)</f>
        <v>20.046997087572681</v>
      </c>
      <c r="I235" s="27">
        <f>Ft!F$3*EXP(Ft!F$38*($A235-Ft!F$2)^2)</f>
        <v>12.297090349519113</v>
      </c>
      <c r="J235" s="27">
        <f>Ft!G$3*EXP(Ft!G$38*($A235-Ft!G$2)^2)</f>
        <v>40.397307389185073</v>
      </c>
    </row>
    <row r="236" spans="1:10">
      <c r="A236" s="20">
        <v>234</v>
      </c>
      <c r="B236" s="29">
        <v>38.162255768047714</v>
      </c>
      <c r="C236" s="28">
        <f ca="1">OFFSET($B236,1*(ROWS(C$2:C236)-1),0)</f>
        <v>31.209981851266406</v>
      </c>
      <c r="D236" s="27">
        <f>Ft!B$3*EXP(Ft!B$38*($A236-Ft!B$2)^2) +Ft!C$3*EXP(Ft!C$38*($A236-Ft!C$2)^2) + Ft!D$3*EXP(Ft!D$38*($A236-Ft!D$2)^2)+Ft!E$3*EXP(Ft!E$38*($A236-Ft!E$2)^2) +Ft!F$3*EXP(Ft!F$38*($A236-Ft!F$2)^2) + Ft!G$3*EXP(Ft!G$38*($A236-Ft!G$2)^2)</f>
        <v>217.57962564595567</v>
      </c>
      <c r="E236" s="27">
        <f>Ft!B$3*EXP(Ft!B$38*($A236-Ft!B$2)^2)</f>
        <v>110.15484356355516</v>
      </c>
      <c r="F236" s="27">
        <f>Ft!C$3*EXP(Ft!C$38*($A236-Ft!C$2)^2)</f>
        <v>34.363226096196591</v>
      </c>
      <c r="G236" s="27">
        <f>Ft!D$3*EXP(Ft!D$38*($A236-Ft!D$2)^2)</f>
        <v>1.6112142276402518E-12</v>
      </c>
      <c r="H236" s="27">
        <f>Ft!E$3*EXP(Ft!E$38*($A236-Ft!E$2)^2)</f>
        <v>20.188825455235023</v>
      </c>
      <c r="I236" s="27">
        <f>Ft!F$3*EXP(Ft!F$38*($A236-Ft!F$2)^2)</f>
        <v>12.347176083476104</v>
      </c>
      <c r="J236" s="27">
        <f>Ft!G$3*EXP(Ft!G$38*($A236-Ft!G$2)^2)</f>
        <v>40.525554447491167</v>
      </c>
    </row>
    <row r="237" spans="1:10">
      <c r="A237" s="20">
        <v>235</v>
      </c>
      <c r="B237" s="29">
        <v>38.435688106450186</v>
      </c>
      <c r="C237" s="28">
        <f ca="1">OFFSET($B237,1*(ROWS(C$2:C237)-1),0)</f>
        <v>30.705751763205797</v>
      </c>
      <c r="D237" s="27">
        <f>Ft!B$3*EXP(Ft!B$38*($A237-Ft!B$2)^2) +Ft!C$3*EXP(Ft!C$38*($A237-Ft!C$2)^2) + Ft!D$3*EXP(Ft!D$38*($A237-Ft!D$2)^2)+Ft!E$3*EXP(Ft!E$38*($A237-Ft!E$2)^2) +Ft!F$3*EXP(Ft!F$38*($A237-Ft!F$2)^2) + Ft!G$3*EXP(Ft!G$38*($A237-Ft!G$2)^2)</f>
        <v>217.71115457361</v>
      </c>
      <c r="E237" s="27">
        <f>Ft!B$3*EXP(Ft!B$38*($A237-Ft!B$2)^2)</f>
        <v>109.91527028596957</v>
      </c>
      <c r="F237" s="27">
        <f>Ft!C$3*EXP(Ft!C$38*($A237-Ft!C$2)^2)</f>
        <v>34.413943080094356</v>
      </c>
      <c r="G237" s="27">
        <f>Ft!D$3*EXP(Ft!D$38*($A237-Ft!D$2)^2)</f>
        <v>2.1233716987736299E-12</v>
      </c>
      <c r="H237" s="27">
        <f>Ft!E$3*EXP(Ft!E$38*($A237-Ft!E$2)^2)</f>
        <v>20.331362516980327</v>
      </c>
      <c r="I237" s="27">
        <f>Ft!F$3*EXP(Ft!F$38*($A237-Ft!F$2)^2)</f>
        <v>12.397424995425618</v>
      </c>
      <c r="J237" s="27">
        <f>Ft!G$3*EXP(Ft!G$38*($A237-Ft!G$2)^2)</f>
        <v>40.653153695138009</v>
      </c>
    </row>
    <row r="238" spans="1:10">
      <c r="A238" s="20">
        <v>236</v>
      </c>
      <c r="B238" s="29">
        <v>38.724273346300777</v>
      </c>
      <c r="C238" s="28">
        <f ca="1">OFFSET($B238,1*(ROWS(C$2:C238)-1),0)</f>
        <v>30.214520604384973</v>
      </c>
      <c r="D238" s="27">
        <f>Ft!B$3*EXP(Ft!B$38*($A238-Ft!B$2)^2) +Ft!C$3*EXP(Ft!C$38*($A238-Ft!C$2)^2) + Ft!D$3*EXP(Ft!D$38*($A238-Ft!D$2)^2)+Ft!E$3*EXP(Ft!E$38*($A238-Ft!E$2)^2) +Ft!F$3*EXP(Ft!F$38*($A238-Ft!F$2)^2) + Ft!G$3*EXP(Ft!G$38*($A238-Ft!G$2)^2)</f>
        <v>217.84289650587783</v>
      </c>
      <c r="E238" s="27">
        <f>Ft!B$3*EXP(Ft!B$38*($A238-Ft!B$2)^2)</f>
        <v>109.67569471164593</v>
      </c>
      <c r="F238" s="27">
        <f>Ft!C$3*EXP(Ft!C$38*($A238-Ft!C$2)^2)</f>
        <v>34.464658787066135</v>
      </c>
      <c r="G238" s="27">
        <f>Ft!D$3*EXP(Ft!D$38*($A238-Ft!D$2)^2)</f>
        <v>2.7944721306543889E-12</v>
      </c>
      <c r="H238" s="27">
        <f>Ft!E$3*EXP(Ft!E$38*($A238-Ft!E$2)^2)</f>
        <v>20.47460912952123</v>
      </c>
      <c r="I238" s="27">
        <f>Ft!F$3*EXP(Ft!F$38*($A238-Ft!F$2)^2)</f>
        <v>12.447837417875318</v>
      </c>
      <c r="J238" s="27">
        <f>Ft!G$3*EXP(Ft!G$38*($A238-Ft!G$2)^2)</f>
        <v>40.780096459766405</v>
      </c>
    </row>
    <row r="239" spans="1:10">
      <c r="A239" s="20">
        <v>237</v>
      </c>
      <c r="B239" s="29">
        <v>39.008443976413616</v>
      </c>
      <c r="C239" s="28">
        <f ca="1">OFFSET($B239,1*(ROWS(C$2:C239)-1),0)</f>
        <v>29.760220705111607</v>
      </c>
      <c r="D239" s="27">
        <f>Ft!B$3*EXP(Ft!B$38*($A239-Ft!B$2)^2) +Ft!C$3*EXP(Ft!C$38*($A239-Ft!C$2)^2) + Ft!D$3*EXP(Ft!D$38*($A239-Ft!D$2)^2)+Ft!E$3*EXP(Ft!E$38*($A239-Ft!E$2)^2) +Ft!F$3*EXP(Ft!F$38*($A239-Ft!F$2)^2) + Ft!G$3*EXP(Ft!G$38*($A239-Ft!G$2)^2)</f>
        <v>217.97484602119067</v>
      </c>
      <c r="E239" s="27">
        <f>Ft!B$3*EXP(Ft!B$38*($A239-Ft!B$2)^2)</f>
        <v>109.43611912945201</v>
      </c>
      <c r="F239" s="27">
        <f>Ft!C$3*EXP(Ft!C$38*($A239-Ft!C$2)^2)</f>
        <v>34.515372991009023</v>
      </c>
      <c r="G239" s="27">
        <f>Ft!D$3*EXP(Ft!D$38*($A239-Ft!D$2)^2)</f>
        <v>3.6726078880436714E-12</v>
      </c>
      <c r="H239" s="27">
        <f>Ft!E$3*EXP(Ft!E$38*($A239-Ft!E$2)^2)</f>
        <v>20.61856612464868</v>
      </c>
      <c r="I239" s="27">
        <f>Ft!F$3*EXP(Ft!F$38*($A239-Ft!F$2)^2)</f>
        <v>12.498413683067128</v>
      </c>
      <c r="J239" s="27">
        <f>Ft!G$3*EXP(Ft!G$38*($A239-Ft!G$2)^2)</f>
        <v>40.906374093010157</v>
      </c>
    </row>
    <row r="240" spans="1:10">
      <c r="A240" s="20">
        <v>238</v>
      </c>
      <c r="B240" s="29">
        <v>39.291900589379082</v>
      </c>
      <c r="C240" s="28">
        <f ca="1">OFFSET($B240,1*(ROWS(C$2:C240)-1),0)</f>
        <v>29.313176042282464</v>
      </c>
      <c r="D240" s="27">
        <f>Ft!B$3*EXP(Ft!B$38*($A240-Ft!B$2)^2) +Ft!C$3*EXP(Ft!C$38*($A240-Ft!C$2)^2) + Ft!D$3*EXP(Ft!D$38*($A240-Ft!D$2)^2)+Ft!E$3*EXP(Ft!E$38*($A240-Ft!E$2)^2) +Ft!F$3*EXP(Ft!F$38*($A240-Ft!F$2)^2) + Ft!G$3*EXP(Ft!G$38*($A240-Ft!G$2)^2)</f>
        <v>218.1069976922131</v>
      </c>
      <c r="E240" s="27">
        <f>Ft!B$3*EXP(Ft!B$38*($A240-Ft!B$2)^2)</f>
        <v>109.19654582326137</v>
      </c>
      <c r="F240" s="27">
        <f>Ft!C$3*EXP(Ft!C$38*($A240-Ft!C$2)^2)</f>
        <v>34.566085465497139</v>
      </c>
      <c r="G240" s="27">
        <f>Ft!D$3*EXP(Ft!D$38*($A240-Ft!D$2)^2)</f>
        <v>4.8200369149025679E-12</v>
      </c>
      <c r="H240" s="27">
        <f>Ft!E$3*EXP(Ft!E$38*($A240-Ft!E$2)^2)</f>
        <v>20.763234309007931</v>
      </c>
      <c r="I240" s="27">
        <f>Ft!F$3*EXP(Ft!F$38*($A240-Ft!F$2)^2)</f>
        <v>12.549154122971704</v>
      </c>
      <c r="J240" s="27">
        <f>Ft!G$3*EXP(Ft!G$38*($A240-Ft!G$2)^2)</f>
        <v>41.031977971470084</v>
      </c>
    </row>
    <row r="241" spans="1:10">
      <c r="A241" s="20">
        <v>239</v>
      </c>
      <c r="B241" s="29">
        <v>39.544485799248832</v>
      </c>
      <c r="C241" s="28">
        <f ca="1">OFFSET($B241,1*(ROWS(C$2:C241)-1),0)</f>
        <v>28.836474228874977</v>
      </c>
      <c r="D241" s="27">
        <f>Ft!B$3*EXP(Ft!B$38*($A241-Ft!B$2)^2) +Ft!C$3*EXP(Ft!C$38*($A241-Ft!C$2)^2) + Ft!D$3*EXP(Ft!D$38*($A241-Ft!D$2)^2)+Ft!E$3*EXP(Ft!E$38*($A241-Ft!E$2)^2) +Ft!F$3*EXP(Ft!F$38*($A241-Ft!F$2)^2) + Ft!G$3*EXP(Ft!G$38*($A241-Ft!G$2)^2)</f>
        <v>218.23934608655571</v>
      </c>
      <c r="E241" s="27">
        <f>Ft!B$3*EXP(Ft!B$38*($A241-Ft!B$2)^2)</f>
        <v>108.95697707192065</v>
      </c>
      <c r="F241" s="27">
        <f>Ft!C$3*EXP(Ft!C$38*($A241-Ft!C$2)^2)</f>
        <v>34.616795983783135</v>
      </c>
      <c r="G241" s="27">
        <f>Ft!D$3*EXP(Ft!D$38*($A241-Ft!D$2)^2)</f>
        <v>6.3172372538228946E-12</v>
      </c>
      <c r="H241" s="27">
        <f>Ft!E$3*EXP(Ft!E$38*($A241-Ft!E$2)^2)</f>
        <v>20.908614463874812</v>
      </c>
      <c r="I241" s="27">
        <f>Ft!F$3*EXP(Ft!F$38*($A241-Ft!F$2)^2)</f>
        <v>12.600059069283033</v>
      </c>
      <c r="J241" s="27">
        <f>Ft!G$3*EXP(Ft!G$38*($A241-Ft!G$2)^2)</f>
        <v>41.156899497687782</v>
      </c>
    </row>
    <row r="242" spans="1:10">
      <c r="A242" s="20">
        <v>240</v>
      </c>
      <c r="B242" s="29">
        <v>39.770823437660511</v>
      </c>
      <c r="C242" s="28">
        <f ca="1">OFFSET($B242,1*(ROWS(C$2:C242)-1),0)</f>
        <v>28.39318765417832</v>
      </c>
      <c r="D242" s="27">
        <f>Ft!B$3*EXP(Ft!B$38*($A242-Ft!B$2)^2) +Ft!C$3*EXP(Ft!C$38*($A242-Ft!C$2)^2) + Ft!D$3*EXP(Ft!D$38*($A242-Ft!D$2)^2)+Ft!E$3*EXP(Ft!E$38*($A242-Ft!E$2)^2) +Ft!F$3*EXP(Ft!F$38*($A242-Ft!F$2)^2) + Ft!G$3*EXP(Ft!G$38*($A242-Ft!G$2)^2)</f>
        <v>218.37188576748949</v>
      </c>
      <c r="E242" s="27">
        <f>Ft!B$3*EXP(Ft!B$38*($A242-Ft!B$2)^2)</f>
        <v>108.71741514921727</v>
      </c>
      <c r="F242" s="27">
        <f>Ft!C$3*EXP(Ft!C$38*($A242-Ft!C$2)^2)</f>
        <v>34.667504318799729</v>
      </c>
      <c r="G242" s="27">
        <f>Ft!D$3*EXP(Ft!D$38*($A242-Ft!D$2)^2)</f>
        <v>8.2680869096551995E-12</v>
      </c>
      <c r="H242" s="27">
        <f>Ft!E$3*EXP(Ft!E$38*($A242-Ft!E$2)^2)</f>
        <v>21.054707344932311</v>
      </c>
      <c r="I242" s="27">
        <f>Ft!F$3*EXP(Ft!F$38*($A242-Ft!F$2)^2)</f>
        <v>12.651128853412871</v>
      </c>
      <c r="J242" s="27">
        <f>Ft!G$3*EXP(Ft!G$38*($A242-Ft!G$2)^2)</f>
        <v>41.281130101119011</v>
      </c>
    </row>
    <row r="243" spans="1:10">
      <c r="A243" s="20">
        <v>241</v>
      </c>
      <c r="B243" s="29">
        <v>39.977000574541137</v>
      </c>
      <c r="C243" s="28">
        <f ca="1">OFFSET($B243,1*(ROWS(C$2:C243)-1),0)</f>
        <v>27.909408362453973</v>
      </c>
      <c r="D243" s="27">
        <f>Ft!B$3*EXP(Ft!B$38*($A243-Ft!B$2)^2) +Ft!C$3*EXP(Ft!C$38*($A243-Ft!C$2)^2) + Ft!D$3*EXP(Ft!D$38*($A243-Ft!D$2)^2)+Ft!E$3*EXP(Ft!E$38*($A243-Ft!E$2)^2) +Ft!F$3*EXP(Ft!F$38*($A243-Ft!F$2)^2) + Ft!G$3*EXP(Ft!G$38*($A243-Ft!G$2)^2)</f>
        <v>218.50461129465828</v>
      </c>
      <c r="E243" s="27">
        <f>Ft!B$3*EXP(Ft!B$38*($A243-Ft!B$2)^2)</f>
        <v>108.47786232384701</v>
      </c>
      <c r="F243" s="27">
        <f>Ft!C$3*EXP(Ft!C$38*($A243-Ft!C$2)^2)</f>
        <v>34.718210243161266</v>
      </c>
      <c r="G243" s="27">
        <f>Ft!D$3*EXP(Ft!D$38*($A243-Ft!D$2)^2)</f>
        <v>1.0806471191873816E-11</v>
      </c>
      <c r="H243" s="27">
        <f>Ft!E$3*EXP(Ft!E$38*($A243-Ft!E$2)^2)</f>
        <v>21.201513682047349</v>
      </c>
      <c r="I243" s="27">
        <f>Ft!F$3*EXP(Ft!F$38*($A243-Ft!F$2)^2)</f>
        <v>12.702363806485231</v>
      </c>
      <c r="J243" s="27">
        <f>Ft!G$3*EXP(Ft!G$38*($A243-Ft!G$2)^2)</f>
        <v>41.404661239106609</v>
      </c>
    </row>
    <row r="244" spans="1:10">
      <c r="A244" s="20">
        <v>242</v>
      </c>
      <c r="B244" s="29">
        <v>40.168874241063747</v>
      </c>
      <c r="C244" s="28">
        <f ca="1">OFFSET($B244,1*(ROWS(C$2:C244)-1),0)</f>
        <v>27.441482310751269</v>
      </c>
      <c r="D244" s="27">
        <f>Ft!B$3*EXP(Ft!B$38*($A244-Ft!B$2)^2) +Ft!C$3*EXP(Ft!C$38*($A244-Ft!C$2)^2) + Ft!D$3*EXP(Ft!D$38*($A244-Ft!D$2)^2)+Ft!E$3*EXP(Ft!E$38*($A244-Ft!E$2)^2) +Ft!F$3*EXP(Ft!F$38*($A244-Ft!F$2)^2) + Ft!G$3*EXP(Ft!G$38*($A244-Ft!G$2)^2)</f>
        <v>218.63751722479287</v>
      </c>
      <c r="E244" s="27">
        <f>Ft!B$3*EXP(Ft!B$38*($A244-Ft!B$2)^2)</f>
        <v>108.23832085938201</v>
      </c>
      <c r="F244" s="27">
        <f>Ft!C$3*EXP(Ft!C$38*($A244-Ft!C$2)^2)</f>
        <v>34.768913529165204</v>
      </c>
      <c r="G244" s="27">
        <f>Ft!D$3*EXP(Ft!D$38*($A244-Ft!D$2)^2)</f>
        <v>1.4104697904000578E-11</v>
      </c>
      <c r="H244" s="27">
        <f>Ft!E$3*EXP(Ft!E$38*($A244-Ft!E$2)^2)</f>
        <v>21.349034179047962</v>
      </c>
      <c r="I244" s="27">
        <f>Ft!F$3*EXP(Ft!F$38*($A244-Ft!F$2)^2)</f>
        <v>12.753764259330898</v>
      </c>
      <c r="J244" s="27">
        <f>Ft!G$3*EXP(Ft!G$38*($A244-Ft!G$2)^2)</f>
        <v>41.52748439785271</v>
      </c>
    </row>
    <row r="245" spans="1:10">
      <c r="A245" s="20">
        <v>243</v>
      </c>
      <c r="B245" s="29">
        <v>40.318019688919719</v>
      </c>
      <c r="C245" s="28">
        <f ca="1">OFFSET($B245,1*(ROWS(C$2:C245)-1),0)</f>
        <v>27.011308933925108</v>
      </c>
      <c r="D245" s="27">
        <f>Ft!B$3*EXP(Ft!B$38*($A245-Ft!B$2)^2) +Ft!C$3*EXP(Ft!C$38*($A245-Ft!C$2)^2) + Ft!D$3*EXP(Ft!D$38*($A245-Ft!D$2)^2)+Ft!E$3*EXP(Ft!E$38*($A245-Ft!E$2)^2) +Ft!F$3*EXP(Ft!F$38*($A245-Ft!F$2)^2) + Ft!G$3*EXP(Ft!G$38*($A245-Ft!G$2)^2)</f>
        <v>218.77059811242378</v>
      </c>
      <c r="E245" s="27">
        <f>Ft!B$3*EXP(Ft!B$38*($A245-Ft!B$2)^2)</f>
        <v>107.998793014239</v>
      </c>
      <c r="F245" s="27">
        <f>Ft!C$3*EXP(Ft!C$38*($A245-Ft!C$2)^2)</f>
        <v>34.819613948793744</v>
      </c>
      <c r="G245" s="27">
        <f>Ft!D$3*EXP(Ft!D$38*($A245-Ft!D$2)^2)</f>
        <v>1.8384198448451971E-11</v>
      </c>
      <c r="H245" s="27">
        <f>Ft!E$3*EXP(Ft!E$38*($A245-Ft!E$2)^2)</f>
        <v>21.497269513500793</v>
      </c>
      <c r="I245" s="27">
        <f>Ft!F$3*EXP(Ft!F$38*($A245-Ft!F$2)^2)</f>
        <v>12.805330542481794</v>
      </c>
      <c r="J245" s="27">
        <f>Ft!G$3*EXP(Ft!G$38*($A245-Ft!G$2)^2)</f>
        <v>41.649591093390086</v>
      </c>
    </row>
    <row r="246" spans="1:10">
      <c r="A246" s="20">
        <v>244</v>
      </c>
      <c r="B246" s="29">
        <v>40.446895427419491</v>
      </c>
      <c r="C246" s="28">
        <f ca="1">OFFSET($B246,1*(ROWS(C$2:C246)-1),0)</f>
        <v>26.559207367792681</v>
      </c>
      <c r="D246" s="27">
        <f>Ft!B$3*EXP(Ft!B$38*($A246-Ft!B$2)^2) +Ft!C$3*EXP(Ft!C$38*($A246-Ft!C$2)^2) + Ft!D$3*EXP(Ft!D$38*($A246-Ft!D$2)^2)+Ft!E$3*EXP(Ft!E$38*($A246-Ft!E$2)^2) +Ft!F$3*EXP(Ft!F$38*($A246-Ft!F$2)^2) + Ft!G$3*EXP(Ft!G$38*($A246-Ft!G$2)^2)</f>
        <v>218.90384851059383</v>
      </c>
      <c r="E246" s="27">
        <f>Ft!B$3*EXP(Ft!B$38*($A246-Ft!B$2)^2)</f>
        <v>107.7592810416475</v>
      </c>
      <c r="F246" s="27">
        <f>Ft!C$3*EXP(Ft!C$38*($A246-Ft!C$2)^2)</f>
        <v>34.870311273715345</v>
      </c>
      <c r="G246" s="27">
        <f>Ft!D$3*EXP(Ft!D$38*($A246-Ft!D$2)^2)</f>
        <v>2.3929114714528401E-11</v>
      </c>
      <c r="H246" s="27">
        <f>Ft!E$3*EXP(Ft!E$38*($A246-Ft!E$2)^2)</f>
        <v>21.64622033648897</v>
      </c>
      <c r="I246" s="27">
        <f>Ft!F$3*EXP(Ft!F$38*($A246-Ft!F$2)^2)</f>
        <v>12.857062986165481</v>
      </c>
      <c r="J246" s="27">
        <f>Ft!G$3*EXP(Ft!G$38*($A246-Ft!G$2)^2)</f>
        <v>41.770972872552591</v>
      </c>
    </row>
    <row r="247" spans="1:10">
      <c r="A247" s="20">
        <v>245</v>
      </c>
      <c r="B247" s="29">
        <v>40.573178001857372</v>
      </c>
      <c r="C247" s="28">
        <f ca="1">OFFSET($B247,1*(ROWS(C$2:C247)-1),0)</f>
        <v>26.137393392759435</v>
      </c>
      <c r="D247" s="27">
        <f>Ft!B$3*EXP(Ft!B$38*($A247-Ft!B$2)^2) +Ft!C$3*EXP(Ft!C$38*($A247-Ft!C$2)^2) + Ft!D$3*EXP(Ft!D$38*($A247-Ft!D$2)^2)+Ft!E$3*EXP(Ft!E$38*($A247-Ft!E$2)^2) +Ft!F$3*EXP(Ft!F$38*($A247-Ft!F$2)^2) + Ft!G$3*EXP(Ft!G$38*($A247-Ft!G$2)^2)</f>
        <v>219.03726297156996</v>
      </c>
      <c r="E247" s="27">
        <f>Ft!B$3*EXP(Ft!B$38*($A247-Ft!B$2)^2)</f>
        <v>107.51978718961837</v>
      </c>
      <c r="F247" s="27">
        <f>Ft!C$3*EXP(Ft!C$38*($A247-Ft!C$2)^2)</f>
        <v>34.921005275286248</v>
      </c>
      <c r="G247" s="27">
        <f>Ft!D$3*EXP(Ft!D$38*($A247-Ft!D$2)^2)</f>
        <v>3.1103523197455126E-11</v>
      </c>
      <c r="H247" s="27">
        <f>Ft!E$3*EXP(Ft!E$38*($A247-Ft!E$2)^2)</f>
        <v>21.795887272390264</v>
      </c>
      <c r="I247" s="27">
        <f>Ft!F$3*EXP(Ft!F$38*($A247-Ft!F$2)^2)</f>
        <v>12.908961920299534</v>
      </c>
      <c r="J247" s="27">
        <f>Ft!G$3*EXP(Ft!G$38*($A247-Ft!G$2)^2)</f>
        <v>41.891621313944427</v>
      </c>
    </row>
    <row r="248" spans="1:10">
      <c r="A248" s="20">
        <v>246</v>
      </c>
      <c r="B248" s="29">
        <v>40.674191523788522</v>
      </c>
      <c r="C248" s="28">
        <f ca="1">OFFSET($B248,1*(ROWS(C$2:C248)-1),0)</f>
        <v>25.718337759072369</v>
      </c>
      <c r="D248" s="27">
        <f>Ft!B$3*EXP(Ft!B$38*($A248-Ft!B$2)^2) +Ft!C$3*EXP(Ft!C$38*($A248-Ft!C$2)^2) + Ft!D$3*EXP(Ft!D$38*($A248-Ft!D$2)^2)+Ft!E$3*EXP(Ft!E$38*($A248-Ft!E$2)^2) +Ft!F$3*EXP(Ft!F$38*($A248-Ft!F$2)^2) + Ft!G$3*EXP(Ft!G$38*($A248-Ft!G$2)^2)</f>
        <v>219.1708360475549</v>
      </c>
      <c r="E248" s="27">
        <f>Ft!B$3*EXP(Ft!B$38*($A248-Ft!B$2)^2)</f>
        <v>107.28031370091259</v>
      </c>
      <c r="F248" s="27">
        <f>Ft!C$3*EXP(Ft!C$38*($A248-Ft!C$2)^2)</f>
        <v>34.97169572455212</v>
      </c>
      <c r="G248" s="27">
        <f>Ft!D$3*EXP(Ft!D$38*($A248-Ft!D$2)^2)</f>
        <v>4.0373236111155644E-11</v>
      </c>
      <c r="H248" s="27">
        <f>Ft!E$3*EXP(Ft!E$38*($A248-Ft!E$2)^2)</f>
        <v>21.946270918655813</v>
      </c>
      <c r="I248" s="27">
        <f>Ft!F$3*EXP(Ft!F$38*($A248-Ft!F$2)^2)</f>
        <v>12.961027674485926</v>
      </c>
      <c r="J248" s="27">
        <f>Ft!G$3*EXP(Ft!G$38*($A248-Ft!G$2)^2)</f>
        <v>42.011528028908067</v>
      </c>
    </row>
    <row r="249" spans="1:10">
      <c r="A249" s="20">
        <v>247</v>
      </c>
      <c r="B249" s="29">
        <v>40.749499380212313</v>
      </c>
      <c r="C249" s="28">
        <f ca="1">OFFSET($B249,1*(ROWS(C$2:C249)-1),0)</f>
        <v>25.256592003740337</v>
      </c>
      <c r="D249" s="27">
        <f>Ft!B$3*EXP(Ft!B$38*($A249-Ft!B$2)^2) +Ft!C$3*EXP(Ft!C$38*($A249-Ft!C$2)^2) + Ft!D$3*EXP(Ft!D$38*($A249-Ft!D$2)^2)+Ft!E$3*EXP(Ft!E$38*($A249-Ft!E$2)^2) +Ft!F$3*EXP(Ft!F$38*($A249-Ft!F$2)^2) + Ft!G$3*EXP(Ft!G$38*($A249-Ft!G$2)^2)</f>
        <v>219.30456229139736</v>
      </c>
      <c r="E249" s="27">
        <f>Ft!B$3*EXP(Ft!B$38*($A249-Ft!B$2)^2)</f>
        <v>107.04086281301002</v>
      </c>
      <c r="F249" s="27">
        <f>Ft!C$3*EXP(Ft!C$38*($A249-Ft!C$2)^2)</f>
        <v>35.022382392249568</v>
      </c>
      <c r="G249" s="27">
        <f>Ft!D$3*EXP(Ft!D$38*($A249-Ft!D$2)^2)</f>
        <v>5.2333352801078784E-11</v>
      </c>
      <c r="H249" s="27">
        <f>Ft!E$3*EXP(Ft!E$38*($A249-Ft!E$2)^2)</f>
        <v>22.097371845589119</v>
      </c>
      <c r="I249" s="27">
        <f>Ft!F$3*EXP(Ft!F$38*($A249-Ft!F$2)^2)</f>
        <v>13.013260578005447</v>
      </c>
      <c r="J249" s="27">
        <f>Ft!G$3*EXP(Ft!G$38*($A249-Ft!G$2)^2)</f>
        <v>42.13068466249085</v>
      </c>
    </row>
    <row r="250" spans="1:10">
      <c r="A250" s="20">
        <v>248</v>
      </c>
      <c r="B250" s="29">
        <v>40.823291326657966</v>
      </c>
      <c r="C250" s="28">
        <f ca="1">OFFSET($B250,1*(ROWS(C$2:C250)-1),0)</f>
        <v>24.847955631176518</v>
      </c>
      <c r="D250" s="27">
        <f>Ft!B$3*EXP(Ft!B$38*($A250-Ft!B$2)^2) +Ft!C$3*EXP(Ft!C$38*($A250-Ft!C$2)^2) + Ft!D$3*EXP(Ft!D$38*($A250-Ft!D$2)^2)+Ft!E$3*EXP(Ft!E$38*($A250-Ft!E$2)^2) +Ft!F$3*EXP(Ft!F$38*($A250-Ft!F$2)^2) + Ft!G$3*EXP(Ft!G$38*($A250-Ft!G$2)^2)</f>
        <v>219.43843625730167</v>
      </c>
      <c r="E250" s="27">
        <f>Ft!B$3*EXP(Ft!B$38*($A250-Ft!B$2)^2)</f>
        <v>106.80143675807871</v>
      </c>
      <c r="F250" s="27">
        <f>Ft!C$3*EXP(Ft!C$38*($A250-Ft!C$2)^2)</f>
        <v>35.073065048807749</v>
      </c>
      <c r="G250" s="27">
        <f>Ft!D$3*EXP(Ft!D$38*($A250-Ft!D$2)^2)</f>
        <v>6.7743023891640572E-11</v>
      </c>
      <c r="H250" s="27">
        <f>Ft!E$3*EXP(Ft!E$38*($A250-Ft!E$2)^2)</f>
        <v>22.249190596125604</v>
      </c>
      <c r="I250" s="27">
        <f>Ft!F$3*EXP(Ft!F$38*($A250-Ft!F$2)^2)</f>
        <v>13.065660959812018</v>
      </c>
      <c r="J250" s="27">
        <f>Ft!G$3*EXP(Ft!G$38*($A250-Ft!G$2)^2)</f>
        <v>42.249082894409874</v>
      </c>
    </row>
    <row r="251" spans="1:10">
      <c r="A251" s="20">
        <v>249</v>
      </c>
      <c r="B251" s="29">
        <v>40.894697580466612</v>
      </c>
      <c r="C251" s="28">
        <f ca="1">OFFSET($B251,1*(ROWS(C$2:C251)-1),0)</f>
        <v>24.44826161878197</v>
      </c>
      <c r="D251" s="27">
        <f>Ft!B$3*EXP(Ft!B$38*($A251-Ft!B$2)^2) +Ft!C$3*EXP(Ft!C$38*($A251-Ft!C$2)^2) + Ft!D$3*EXP(Ft!D$38*($A251-Ft!D$2)^2)+Ft!E$3*EXP(Ft!E$38*($A251-Ft!E$2)^2) +Ft!F$3*EXP(Ft!F$38*($A251-Ft!F$2)^2) + Ft!G$3*EXP(Ft!G$38*($A251-Ft!G$2)^2)</f>
        <v>219.57245250153636</v>
      </c>
      <c r="E251" s="27">
        <f>Ft!B$3*EXP(Ft!B$38*($A251-Ft!B$2)^2)</f>
        <v>106.56203776294403</v>
      </c>
      <c r="F251" s="27">
        <f>Ft!C$3*EXP(Ft!C$38*($A251-Ft!C$2)^2)</f>
        <v>35.123743464349943</v>
      </c>
      <c r="G251" s="27">
        <f>Ft!D$3*EXP(Ft!D$38*($A251-Ft!D$2)^2)</f>
        <v>8.7569247915865062E-11</v>
      </c>
      <c r="H251" s="27">
        <f>Ft!E$3*EXP(Ft!E$38*($A251-Ft!E$2)^2)</f>
        <v>22.40172768561257</v>
      </c>
      <c r="I251" s="27">
        <f>Ft!F$3*EXP(Ft!F$38*($A251-Ft!F$2)^2)</f>
        <v>13.11822914852705</v>
      </c>
      <c r="J251" s="27">
        <f>Ft!G$3*EXP(Ft!G$38*($A251-Ft!G$2)^2)</f>
        <v>42.36671444001518</v>
      </c>
    </row>
    <row r="252" spans="1:10">
      <c r="A252" s="20">
        <v>250</v>
      </c>
      <c r="B252" s="29">
        <v>40.951537460333725</v>
      </c>
      <c r="C252" s="28">
        <f ca="1">OFFSET($B252,1*(ROWS(C$2:C252)-1),0)</f>
        <v>24.055348679655111</v>
      </c>
      <c r="D252" s="27">
        <f>Ft!B$3*EXP(Ft!B$38*($A252-Ft!B$2)^2) +Ft!C$3*EXP(Ft!C$38*($A252-Ft!C$2)^2) + Ft!D$3*EXP(Ft!D$38*($A252-Ft!D$2)^2)+Ft!E$3*EXP(Ft!E$38*($A252-Ft!E$2)^2) +Ft!F$3*EXP(Ft!F$38*($A252-Ft!F$2)^2) + Ft!G$3*EXP(Ft!G$38*($A252-Ft!G$2)^2)</f>
        <v>219.70660558314086</v>
      </c>
      <c r="E252" s="27">
        <f>Ft!B$3*EXP(Ft!B$38*($A252-Ft!B$2)^2)</f>
        <v>106.32266804905825</v>
      </c>
      <c r="F252" s="27">
        <f>Ft!C$3*EXP(Ft!C$38*($A252-Ft!C$2)^2)</f>
        <v>35.174417408695113</v>
      </c>
      <c r="G252" s="27">
        <f>Ft!D$3*EXP(Ft!D$38*($A252-Ft!D$2)^2)</f>
        <v>1.1304196097317295E-10</v>
      </c>
      <c r="H252" s="27">
        <f>Ft!E$3*EXP(Ft!E$38*($A252-Ft!E$2)^2)</f>
        <v>22.554983601589676</v>
      </c>
      <c r="I252" s="27">
        <f>Ft!F$3*EXP(Ft!F$38*($A252-Ft!F$2)^2)</f>
        <v>13.170965472433787</v>
      </c>
      <c r="J252" s="27">
        <f>Ft!G$3*EXP(Ft!G$38*($A252-Ft!G$2)^2)</f>
        <v>42.483571051251005</v>
      </c>
    </row>
    <row r="253" spans="1:10">
      <c r="A253" s="20">
        <v>251</v>
      </c>
      <c r="B253" s="29">
        <v>41.004068250215226</v>
      </c>
      <c r="C253" s="28">
        <f ca="1">OFFSET($B253,1*(ROWS(C$2:C253)-1),0)</f>
        <v>23.67706939693764</v>
      </c>
      <c r="D253" s="27">
        <f>Ft!B$3*EXP(Ft!B$38*($A253-Ft!B$2)^2) +Ft!C$3*EXP(Ft!C$38*($A253-Ft!C$2)^2) + Ft!D$3*EXP(Ft!D$38*($A253-Ft!D$2)^2)+Ft!E$3*EXP(Ft!E$38*($A253-Ft!E$2)^2) +Ft!F$3*EXP(Ft!F$38*($A253-Ft!F$2)^2) + Ft!G$3*EXP(Ft!G$38*($A253-Ft!G$2)^2)</f>
        <v>219.84089006463199</v>
      </c>
      <c r="E253" s="27">
        <f>Ft!B$3*EXP(Ft!B$38*($A253-Ft!B$2)^2)</f>
        <v>106.0833298324702</v>
      </c>
      <c r="F253" s="27">
        <f>Ft!C$3*EXP(Ft!C$38*($A253-Ft!C$2)^2)</f>
        <v>35.225086651359582</v>
      </c>
      <c r="G253" s="27">
        <f>Ft!D$3*EXP(Ft!D$38*($A253-Ft!D$2)^2)</f>
        <v>1.4572322278739684E-10</v>
      </c>
      <c r="H253" s="27">
        <f>Ft!E$3*EXP(Ft!E$38*($A253-Ft!E$2)^2)</f>
        <v>22.708958803569935</v>
      </c>
      <c r="I253" s="27">
        <f>Ft!F$3*EXP(Ft!F$38*($A253-Ft!F$2)^2)</f>
        <v>13.22387025947158</v>
      </c>
      <c r="J253" s="27">
        <f>Ft!G$3*EXP(Ft!G$38*($A253-Ft!G$2)^2)</f>
        <v>42.59964451761499</v>
      </c>
    </row>
    <row r="254" spans="1:10">
      <c r="A254" s="20">
        <v>252</v>
      </c>
      <c r="B254" s="29">
        <v>41.067580417233387</v>
      </c>
      <c r="C254" s="28">
        <f ca="1">OFFSET($B254,1*(ROWS(C$2:C254)-1),0)</f>
        <v>23.314125247529432</v>
      </c>
      <c r="D254" s="27">
        <f>Ft!B$3*EXP(Ft!B$38*($A254-Ft!B$2)^2) +Ft!C$3*EXP(Ft!C$38*($A254-Ft!C$2)^2) + Ft!D$3*EXP(Ft!D$38*($A254-Ft!D$2)^2)+Ft!E$3*EXP(Ft!E$38*($A254-Ft!E$2)^2) +Ft!F$3*EXP(Ft!F$38*($A254-Ft!F$2)^2) + Ft!G$3*EXP(Ft!G$38*($A254-Ft!G$2)^2)</f>
        <v>219.97530051270786</v>
      </c>
      <c r="E254" s="27">
        <f>Ft!B$3*EXP(Ft!B$38*($A254-Ft!B$2)^2)</f>
        <v>105.84402532379515</v>
      </c>
      <c r="F254" s="27">
        <f>Ft!C$3*EXP(Ft!C$38*($A254-Ft!C$2)^2)</f>
        <v>35.275750961558543</v>
      </c>
      <c r="G254" s="27">
        <f>Ft!D$3*EXP(Ft!D$38*($A254-Ft!D$2)^2)</f>
        <v>1.8759396981675124E-10</v>
      </c>
      <c r="H254" s="27">
        <f>Ft!E$3*EXP(Ft!E$38*($A254-Ft!E$2)^2)</f>
        <v>22.863653722821244</v>
      </c>
      <c r="I254" s="27">
        <f>Ft!F$3*EXP(Ft!F$38*($A254-Ft!F$2)^2)</f>
        <v>13.276943837230188</v>
      </c>
      <c r="J254" s="27">
        <f>Ft!G$3*EXP(Ft!G$38*($A254-Ft!G$2)^2)</f>
        <v>42.714926667115158</v>
      </c>
    </row>
    <row r="255" spans="1:10">
      <c r="A255" s="20">
        <v>253</v>
      </c>
      <c r="B255" s="29">
        <v>41.133574986018857</v>
      </c>
      <c r="C255" s="28">
        <f ca="1">OFFSET($B255,1*(ROWS(C$2:C255)-1),0)</f>
        <v>22.938932097123057</v>
      </c>
      <c r="D255" s="27">
        <f>Ft!B$3*EXP(Ft!B$38*($A255-Ft!B$2)^2) +Ft!C$3*EXP(Ft!C$38*($A255-Ft!C$2)^2) + Ft!D$3*EXP(Ft!D$38*($A255-Ft!D$2)^2)+Ft!E$3*EXP(Ft!E$38*($A255-Ft!E$2)^2) +Ft!F$3*EXP(Ft!F$38*($A255-Ft!F$2)^2) + Ft!G$3*EXP(Ft!G$38*($A255-Ft!G$2)^2)</f>
        <v>220.10983149895088</v>
      </c>
      <c r="E255" s="27">
        <f>Ft!B$3*EXP(Ft!B$38*($A255-Ft!B$2)^2)</f>
        <v>105.60475672818492</v>
      </c>
      <c r="F255" s="27">
        <f>Ft!C$3*EXP(Ft!C$38*($A255-Ft!C$2)^2)</f>
        <v>35.326410108207725</v>
      </c>
      <c r="G255" s="27">
        <f>Ft!D$3*EXP(Ft!D$38*($A255-Ft!D$2)^2)</f>
        <v>2.4116262486789593E-10</v>
      </c>
      <c r="H255" s="27">
        <f>Ft!E$3*EXP(Ft!E$38*($A255-Ft!E$2)^2)</f>
        <v>23.019068762148471</v>
      </c>
      <c r="I255" s="27">
        <f>Ft!F$3*EXP(Ft!F$38*($A255-Ft!F$2)^2)</f>
        <v>13.330186532944088</v>
      </c>
      <c r="J255" s="27">
        <f>Ft!G$3*EXP(Ft!G$38*($A255-Ft!G$2)^2)</f>
        <v>42.829409367224514</v>
      </c>
    </row>
    <row r="256" spans="1:10">
      <c r="A256" s="20">
        <v>254</v>
      </c>
      <c r="B256" s="29">
        <v>41.200496818677607</v>
      </c>
      <c r="C256" s="28">
        <f ca="1">OFFSET($B256,1*(ROWS(C$2:C256)-1),0)</f>
        <v>22.534910423374157</v>
      </c>
      <c r="D256" s="27">
        <f>Ft!B$3*EXP(Ft!B$38*($A256-Ft!B$2)^2) +Ft!C$3*EXP(Ft!C$38*($A256-Ft!C$2)^2) + Ft!D$3*EXP(Ft!D$38*($A256-Ft!D$2)^2)+Ft!E$3*EXP(Ft!E$38*($A256-Ft!E$2)^2) +Ft!F$3*EXP(Ft!F$38*($A256-Ft!F$2)^2) + Ft!G$3*EXP(Ft!G$38*($A256-Ft!G$2)^2)</f>
        <v>220.24447760052868</v>
      </c>
      <c r="E256" s="27">
        <f>Ft!B$3*EXP(Ft!B$38*($A256-Ft!B$2)^2)</f>
        <v>105.36552624529818</v>
      </c>
      <c r="F256" s="27">
        <f>Ft!C$3*EXP(Ft!C$38*($A256-Ft!C$2)^2)</f>
        <v>35.377063859924981</v>
      </c>
      <c r="G256" s="27">
        <f>Ft!D$3*EXP(Ft!D$38*($A256-Ft!D$2)^2)</f>
        <v>3.0960085558955833E-10</v>
      </c>
      <c r="H256" s="27">
        <f>Ft!E$3*EXP(Ft!E$38*($A256-Ft!E$2)^2)</f>
        <v>23.175204295676128</v>
      </c>
      <c r="I256" s="27">
        <f>Ft!F$3*EXP(Ft!F$38*($A256-Ft!F$2)^2)</f>
        <v>13.383598673486649</v>
      </c>
      <c r="J256" s="27">
        <f>Ft!G$3*EXP(Ft!G$38*($A256-Ft!G$2)^2)</f>
        <v>42.943084525833108</v>
      </c>
    </row>
    <row r="257" spans="1:10">
      <c r="A257" s="20">
        <v>255</v>
      </c>
      <c r="B257" s="29">
        <v>41.269574845021225</v>
      </c>
      <c r="C257" s="28">
        <f ca="1">OFFSET($B257,1*(ROWS(C$2:C257)-1),0)</f>
        <v>22.153934795339836</v>
      </c>
      <c r="D257" s="27">
        <f>Ft!B$3*EXP(Ft!B$38*($A257-Ft!B$2)^2) +Ft!C$3*EXP(Ft!C$38*($A257-Ft!C$2)^2) + Ft!D$3*EXP(Ft!D$38*($A257-Ft!D$2)^2)+Ft!E$3*EXP(Ft!E$38*($A257-Ft!E$2)^2) +Ft!F$3*EXP(Ft!F$38*($A257-Ft!F$2)^2) + Ft!G$3*EXP(Ft!G$38*($A257-Ft!G$2)^2)</f>
        <v>220.37923340089321</v>
      </c>
      <c r="E257" s="27">
        <f>Ft!B$3*EXP(Ft!B$38*($A257-Ft!B$2)^2)</f>
        <v>105.12633606927086</v>
      </c>
      <c r="F257" s="27">
        <f>Ft!C$3*EXP(Ft!C$38*($A257-Ft!C$2)^2)</f>
        <v>35.427711985031898</v>
      </c>
      <c r="G257" s="27">
        <f>Ft!D$3*EXP(Ft!D$38*($A257-Ft!D$2)^2)</f>
        <v>3.9691300045515644E-10</v>
      </c>
      <c r="H257" s="27">
        <f>Ft!E$3*EXP(Ft!E$38*($A257-Ft!E$2)^2)</f>
        <v>23.332060668631655</v>
      </c>
      <c r="I257" s="27">
        <f>Ft!F$3*EXP(Ft!F$38*($A257-Ft!F$2)^2)</f>
        <v>13.437180585364448</v>
      </c>
      <c r="J257" s="27">
        <f>Ft!G$3*EXP(Ft!G$38*($A257-Ft!G$2)^2)</f>
        <v>43.055944092197414</v>
      </c>
    </row>
    <row r="258" spans="1:10">
      <c r="A258" s="20">
        <v>256</v>
      </c>
      <c r="B258" s="29">
        <v>41.34079029367183</v>
      </c>
      <c r="C258" s="28">
        <f ca="1">OFFSET($B258,1*(ROWS(C$2:C258)-1),0)</f>
        <v>21.781066004622971</v>
      </c>
      <c r="D258" s="27">
        <f>Ft!B$3*EXP(Ft!B$38*($A258-Ft!B$2)^2) +Ft!C$3*EXP(Ft!C$38*($A258-Ft!C$2)^2) + Ft!D$3*EXP(Ft!D$38*($A258-Ft!D$2)^2)+Ft!E$3*EXP(Ft!E$38*($A258-Ft!E$2)^2) +Ft!F$3*EXP(Ft!F$38*($A258-Ft!F$2)^2) + Ft!G$3*EXP(Ft!G$38*($A258-Ft!G$2)^2)</f>
        <v>220.51409349047822</v>
      </c>
      <c r="E258" s="27">
        <f>Ft!B$3*EXP(Ft!B$38*($A258-Ft!B$2)^2)</f>
        <v>104.88718838868691</v>
      </c>
      <c r="F258" s="27">
        <f>Ft!C$3*EXP(Ft!C$38*($A258-Ft!C$2)^2)</f>
        <v>35.478354251555466</v>
      </c>
      <c r="G258" s="27">
        <f>Ft!D$3*EXP(Ft!D$38*($A258-Ft!D$2)^2)</f>
        <v>5.081471773937855E-10</v>
      </c>
      <c r="H258" s="27">
        <f>Ft!E$3*EXP(Ft!E$38*($A258-Ft!E$2)^2)</f>
        <v>23.489638197129338</v>
      </c>
      <c r="I258" s="27">
        <f>Ft!F$3*EXP(Ft!F$38*($A258-Ft!F$2)^2)</f>
        <v>13.490932594711472</v>
      </c>
      <c r="J258" s="27">
        <f>Ft!G$3*EXP(Ft!G$38*($A258-Ft!G$2)^2)</f>
        <v>43.167980057886886</v>
      </c>
    </row>
    <row r="259" spans="1:10">
      <c r="A259" s="20">
        <v>257</v>
      </c>
      <c r="B259" s="29">
        <v>41.425150136803694</v>
      </c>
      <c r="C259" s="28">
        <f ca="1">OFFSET($B259,1*(ROWS(C$2:C259)-1),0)</f>
        <v>21.404072852153035</v>
      </c>
      <c r="D259" s="27">
        <f>Ft!B$3*EXP(Ft!B$38*($A259-Ft!B$2)^2) +Ft!C$3*EXP(Ft!C$38*($A259-Ft!C$2)^2) + Ft!D$3*EXP(Ft!D$38*($A259-Ft!D$2)^2)+Ft!E$3*EXP(Ft!E$38*($A259-Ft!E$2)^2) +Ft!F$3*EXP(Ft!F$38*($A259-Ft!F$2)^2) + Ft!G$3*EXP(Ft!G$38*($A259-Ft!G$2)^2)</f>
        <v>220.64905246739406</v>
      </c>
      <c r="E259" s="27">
        <f>Ft!B$3*EXP(Ft!B$38*($A259-Ft!B$2)^2)</f>
        <v>104.64808538654911</v>
      </c>
      <c r="F259" s="27">
        <f>Ft!C$3*EXP(Ft!C$38*($A259-Ft!C$2)^2)</f>
        <v>35.528990427229644</v>
      </c>
      <c r="G259" s="27">
        <f>Ft!D$3*EXP(Ft!D$38*($A259-Ft!D$2)^2)</f>
        <v>6.4965791335781542E-10</v>
      </c>
      <c r="H259" s="27">
        <f>Ft!E$3*EXP(Ft!E$38*($A259-Ft!E$2)^2)</f>
        <v>23.647937167954854</v>
      </c>
      <c r="I259" s="27">
        <f>Ft!F$3*EXP(Ft!F$38*($A259-Ft!F$2)^2)</f>
        <v>13.544855027283283</v>
      </c>
      <c r="J259" s="27">
        <f>Ft!G$3*EXP(Ft!G$38*($A259-Ft!G$2)^2)</f>
        <v>43.279184457727489</v>
      </c>
    </row>
    <row r="260" spans="1:10">
      <c r="A260" s="20">
        <v>258</v>
      </c>
      <c r="B260" s="29">
        <v>41.525005033410423</v>
      </c>
      <c r="C260" s="28">
        <f ca="1">OFFSET($B260,1*(ROWS(C$2:C260)-1),0)</f>
        <v>21.013562463341771</v>
      </c>
      <c r="D260" s="27">
        <f>Ft!B$3*EXP(Ft!B$38*($A260-Ft!B$2)^2) +Ft!C$3*EXP(Ft!C$38*($A260-Ft!C$2)^2) + Ft!D$3*EXP(Ft!D$38*($A260-Ft!D$2)^2)+Ft!E$3*EXP(Ft!E$38*($A260-Ft!E$2)^2) +Ft!F$3*EXP(Ft!F$38*($A260-Ft!F$2)^2) + Ft!G$3*EXP(Ft!G$38*($A260-Ft!G$2)^2)</f>
        <v>220.78410493812058</v>
      </c>
      <c r="E260" s="27">
        <f>Ft!B$3*EXP(Ft!B$38*($A260-Ft!B$2)^2)</f>
        <v>104.40902924025022</v>
      </c>
      <c r="F260" s="27">
        <f>Ft!C$3*EXP(Ft!C$38*($A260-Ft!C$2)^2)</f>
        <v>35.579620279497043</v>
      </c>
      <c r="G260" s="27">
        <f>Ft!D$3*EXP(Ft!D$38*($A260-Ft!D$2)^2)</f>
        <v>8.2943235002487428E-10</v>
      </c>
      <c r="H260" s="27">
        <f>Ft!E$3*EXP(Ft!E$38*($A260-Ft!E$2)^2)</f>
        <v>23.806957838350538</v>
      </c>
      <c r="I260" s="27">
        <f>Ft!F$3*EXP(Ft!F$38*($A260-Ft!F$2)^2)</f>
        <v>13.598948208451255</v>
      </c>
      <c r="J260" s="27">
        <f>Ft!G$3*EXP(Ft!G$38*($A260-Ft!G$2)^2)</f>
        <v>43.389549370742088</v>
      </c>
    </row>
    <row r="261" spans="1:10">
      <c r="A261" s="20">
        <v>259</v>
      </c>
      <c r="B261" s="29">
        <v>41.691572781039099</v>
      </c>
      <c r="C261" s="28">
        <f ca="1">OFFSET($B261,1*(ROWS(C$2:C261)-1),0)</f>
        <v>20.641151346705755</v>
      </c>
      <c r="D261" s="27">
        <f>Ft!B$3*EXP(Ft!B$38*($A261-Ft!B$2)^2) +Ft!C$3*EXP(Ft!C$38*($A261-Ft!C$2)^2) + Ft!D$3*EXP(Ft!D$38*($A261-Ft!D$2)^2)+Ft!E$3*EXP(Ft!E$38*($A261-Ft!E$2)^2) +Ft!F$3*EXP(Ft!F$38*($A261-Ft!F$2)^2) + Ft!G$3*EXP(Ft!G$38*($A261-Ft!G$2)^2)</f>
        <v>220.91924551819776</v>
      </c>
      <c r="E261" s="27">
        <f>Ft!B$3*EXP(Ft!B$38*($A261-Ft!B$2)^2)</f>
        <v>104.17002212154419</v>
      </c>
      <c r="F261" s="27">
        <f>Ft!C$3*EXP(Ft!C$38*($A261-Ft!C$2)^2)</f>
        <v>35.630243575510548</v>
      </c>
      <c r="G261" s="27">
        <f>Ft!D$3*EXP(Ft!D$38*($A261-Ft!D$2)^2)</f>
        <v>1.0574947716155948E-9</v>
      </c>
      <c r="H261" s="27">
        <f>Ft!E$3*EXP(Ft!E$38*($A261-Ft!E$2)^2)</f>
        <v>23.96670043580129</v>
      </c>
      <c r="I261" s="27">
        <f>Ft!F$3*EXP(Ft!F$38*($A261-Ft!F$2)^2)</f>
        <v>13.653212463196725</v>
      </c>
      <c r="J261" s="27">
        <f>Ft!G$3*EXP(Ft!G$38*($A261-Ft!G$2)^2)</f>
        <v>43.499066921087518</v>
      </c>
    </row>
    <row r="262" spans="1:10">
      <c r="A262" s="20">
        <v>260</v>
      </c>
      <c r="B262" s="29">
        <v>41.886978421684432</v>
      </c>
      <c r="C262" s="28">
        <f ca="1">OFFSET($B262,1*(ROWS(C$2:C262)-1),0)</f>
        <v>20.279577940908041</v>
      </c>
      <c r="D262" s="27">
        <f>Ft!B$3*EXP(Ft!B$38*($A262-Ft!B$2)^2) +Ft!C$3*EXP(Ft!C$38*($A262-Ft!C$2)^2) + Ft!D$3*EXP(Ft!D$38*($A262-Ft!D$2)^2)+Ft!E$3*EXP(Ft!E$38*($A262-Ft!E$2)^2) +Ft!F$3*EXP(Ft!F$38*($A262-Ft!F$2)^2) + Ft!G$3*EXP(Ft!G$38*($A262-Ft!G$2)^2)</f>
        <v>221.0544688329137</v>
      </c>
      <c r="E262" s="27">
        <f>Ft!B$3*EXP(Ft!B$38*($A262-Ft!B$2)^2)</f>
        <v>103.93106619651765</v>
      </c>
      <c r="F262" s="27">
        <f>Ft!C$3*EXP(Ft!C$38*($A262-Ft!C$2)^2)</f>
        <v>35.680860082134956</v>
      </c>
      <c r="G262" s="27">
        <f>Ft!D$3*EXP(Ft!D$38*($A262-Ft!D$2)^2)</f>
        <v>1.3464074607180351E-9</v>
      </c>
      <c r="H262" s="27">
        <f>Ft!E$3*EXP(Ft!E$38*($A262-Ft!E$2)^2)</f>
        <v>24.127165157821288</v>
      </c>
      <c r="I262" s="27">
        <f>Ft!F$3*EXP(Ft!F$38*($A262-Ft!F$2)^2)</f>
        <v>13.707648116105132</v>
      </c>
      <c r="J262" s="27">
        <f>Ft!G$3*EXP(Ft!G$38*($A262-Ft!G$2)^2)</f>
        <v>43.607729278988259</v>
      </c>
    </row>
    <row r="263" spans="1:10">
      <c r="A263" s="20">
        <v>261</v>
      </c>
      <c r="B263" s="29">
        <v>42.090254402968412</v>
      </c>
      <c r="C263" s="28">
        <f ca="1">OFFSET($B263,1*(ROWS(C$2:C263)-1),0)</f>
        <v>19.875594201563047</v>
      </c>
      <c r="D263" s="27">
        <f>Ft!B$3*EXP(Ft!B$38*($A263-Ft!B$2)^2) +Ft!C$3*EXP(Ft!C$38*($A263-Ft!C$2)^2) + Ft!D$3*EXP(Ft!D$38*($A263-Ft!D$2)^2)+Ft!E$3*EXP(Ft!E$38*($A263-Ft!E$2)^2) +Ft!F$3*EXP(Ft!F$38*($A263-Ft!F$2)^2) + Ft!G$3*EXP(Ft!G$38*($A263-Ft!G$2)^2)</f>
        <v>221.1897695179901</v>
      </c>
      <c r="E263" s="27">
        <f>Ft!B$3*EXP(Ft!B$38*($A263-Ft!B$2)^2)</f>
        <v>103.69216362556165</v>
      </c>
      <c r="F263" s="27">
        <f>Ft!C$3*EXP(Ft!C$38*($A263-Ft!C$2)^2)</f>
        <v>35.731469565948657</v>
      </c>
      <c r="G263" s="27">
        <f>Ft!D$3*EXP(Ft!D$38*($A263-Ft!D$2)^2)</f>
        <v>1.7118898300754011E-9</v>
      </c>
      <c r="H263" s="27">
        <f>Ft!E$3*EXP(Ft!E$38*($A263-Ft!E$2)^2)</f>
        <v>24.288352171741344</v>
      </c>
      <c r="I263" s="27">
        <f>Ft!F$3*EXP(Ft!F$38*($A263-Ft!F$2)^2)</f>
        <v>13.762255491360186</v>
      </c>
      <c r="J263" s="27">
        <f>Ft!G$3*EXP(Ft!G$38*($A263-Ft!G$2)^2)</f>
        <v>43.715528661666369</v>
      </c>
    </row>
    <row r="264" spans="1:10">
      <c r="A264" s="20">
        <v>262</v>
      </c>
      <c r="B264" s="29">
        <v>42.303395582887475</v>
      </c>
      <c r="C264" s="28">
        <f ca="1">OFFSET($B264,1*(ROWS(C$2:C264)-1),0)</f>
        <v>19.444158818929907</v>
      </c>
      <c r="D264" s="27">
        <f>Ft!B$3*EXP(Ft!B$38*($A264-Ft!B$2)^2) +Ft!C$3*EXP(Ft!C$38*($A264-Ft!C$2)^2) + Ft!D$3*EXP(Ft!D$38*($A264-Ft!D$2)^2)+Ft!E$3*EXP(Ft!E$38*($A264-Ft!E$2)^2) +Ft!F$3*EXP(Ft!F$38*($A264-Ft!F$2)^2) + Ft!G$3*EXP(Ft!G$38*($A264-Ft!G$2)^2)</f>
        <v>221.32514222026506</v>
      </c>
      <c r="E264" s="27">
        <f>Ft!B$3*EXP(Ft!B$38*($A264-Ft!B$2)^2)</f>
        <v>103.45331656334344</v>
      </c>
      <c r="F264" s="27">
        <f>Ft!C$3*EXP(Ft!C$38*($A264-Ft!C$2)^2)</f>
        <v>35.782071793245237</v>
      </c>
      <c r="G264" s="27">
        <f>Ft!D$3*EXP(Ft!D$38*($A264-Ft!D$2)^2)</f>
        <v>2.1735825363439973E-9</v>
      </c>
      <c r="H264" s="27">
        <f>Ft!E$3*EXP(Ft!E$38*($A264-Ft!E$2)^2)</f>
        <v>24.450261614497105</v>
      </c>
      <c r="I264" s="27">
        <f>Ft!F$3*EXP(Ft!F$38*($A264-Ft!F$2)^2)</f>
        <v>13.817034912737958</v>
      </c>
      <c r="J264" s="27">
        <f>Ft!G$3*EXP(Ft!G$38*($A264-Ft!G$2)^2)</f>
        <v>43.822457334267774</v>
      </c>
    </row>
    <row r="265" spans="1:10">
      <c r="A265" s="20">
        <v>263</v>
      </c>
      <c r="B265" s="29">
        <v>42.515526577290501</v>
      </c>
      <c r="C265" s="28">
        <f ca="1">OFFSET($B265,1*(ROWS(C$2:C265)-1),0)</f>
        <v>19.0746168260753</v>
      </c>
      <c r="D265" s="27">
        <f>Ft!B$3*EXP(Ft!B$38*($A265-Ft!B$2)^2) +Ft!C$3*EXP(Ft!C$38*($A265-Ft!C$2)^2) + Ft!D$3*EXP(Ft!D$38*($A265-Ft!D$2)^2)+Ft!E$3*EXP(Ft!E$38*($A265-Ft!E$2)^2) +Ft!F$3*EXP(Ft!F$38*($A265-Ft!F$2)^2) + Ft!G$3*EXP(Ft!G$38*($A265-Ft!G$2)^2)</f>
        <v>221.46058159837338</v>
      </c>
      <c r="E265" s="27">
        <f>Ft!B$3*EXP(Ft!B$38*($A265-Ft!B$2)^2)</f>
        <v>103.21452715877859</v>
      </c>
      <c r="F265" s="27">
        <f>Ft!C$3*EXP(Ft!C$38*($A265-Ft!C$2)^2)</f>
        <v>35.832666530035219</v>
      </c>
      <c r="G265" s="27">
        <f>Ft!D$3*EXP(Ft!D$38*($A265-Ft!D$2)^2)</f>
        <v>2.7559890139633925E-9</v>
      </c>
      <c r="H265" s="27">
        <f>Ft!E$3*EXP(Ft!E$38*($A265-Ft!E$2)^2)</f>
        <v>24.612893592418022</v>
      </c>
      <c r="I265" s="27">
        <f>Ft!F$3*EXP(Ft!F$38*($A265-Ft!F$2)^2)</f>
        <v>13.871986703600992</v>
      </c>
      <c r="J265" s="27">
        <f>Ft!G$3*EXP(Ft!G$38*($A265-Ft!G$2)^2)</f>
        <v>43.928507610784557</v>
      </c>
    </row>
    <row r="266" spans="1:10">
      <c r="A266" s="20">
        <v>264</v>
      </c>
      <c r="B266" s="29">
        <v>42.741564736196779</v>
      </c>
      <c r="C266" s="28">
        <f ca="1">OFFSET($B266,1*(ROWS(C$2:C266)-1),0)</f>
        <v>18.707452047603397</v>
      </c>
      <c r="D266" s="27">
        <f>Ft!B$3*EXP(Ft!B$38*($A266-Ft!B$2)^2) +Ft!C$3*EXP(Ft!C$38*($A266-Ft!C$2)^2) + Ft!D$3*EXP(Ft!D$38*($A266-Ft!D$2)^2)+Ft!E$3*EXP(Ft!E$38*($A266-Ft!E$2)^2) +Ft!F$3*EXP(Ft!F$38*($A266-Ft!F$2)^2) + Ft!G$3*EXP(Ft!G$38*($A266-Ft!G$2)^2)</f>
        <v>221.59608232342345</v>
      </c>
      <c r="E266" s="27">
        <f>Ft!B$3*EXP(Ft!B$38*($A266-Ft!B$2)^2)</f>
        <v>102.97579755500337</v>
      </c>
      <c r="F266" s="27">
        <f>Ft!C$3*EXP(Ft!C$38*($A266-Ft!C$2)^2)</f>
        <v>35.883253542047669</v>
      </c>
      <c r="G266" s="27">
        <f>Ft!D$3*EXP(Ft!D$38*($A266-Ft!D$2)^2)</f>
        <v>3.4896337598449271E-9</v>
      </c>
      <c r="H266" s="27">
        <f>Ft!E$3*EXP(Ft!E$38*($A266-Ft!E$2)^2)</f>
        <v>24.776248181017177</v>
      </c>
      <c r="I266" s="27">
        <f>Ft!F$3*EXP(Ft!F$38*($A266-Ft!F$2)^2)</f>
        <v>13.927111186892416</v>
      </c>
      <c r="J266" s="27">
        <f>Ft!G$3*EXP(Ft!G$38*($A266-Ft!G$2)^2)</f>
        <v>44.033671854973193</v>
      </c>
    </row>
    <row r="267" spans="1:10">
      <c r="A267" s="20">
        <v>265</v>
      </c>
      <c r="B267" s="29">
        <v>42.96386402221674</v>
      </c>
      <c r="C267" s="28">
        <f ca="1">OFFSET($B267,1*(ROWS(C$2:C267)-1),0)</f>
        <v>18.32138400004203</v>
      </c>
      <c r="D267" s="27">
        <f>Ft!B$3*EXP(Ft!B$38*($A267-Ft!B$2)^2) +Ft!C$3*EXP(Ft!C$38*($A267-Ft!C$2)^2) + Ft!D$3*EXP(Ft!D$38*($A267-Ft!D$2)^2)+Ft!E$3*EXP(Ft!E$38*($A267-Ft!E$2)^2) +Ft!F$3*EXP(Ft!F$38*($A267-Ft!F$2)^2) + Ft!G$3*EXP(Ft!G$38*($A267-Ft!G$2)^2)</f>
        <v>221.73163907967174</v>
      </c>
      <c r="E267" s="27">
        <f>Ft!B$3*EXP(Ft!B$38*($A267-Ft!B$2)^2)</f>
        <v>102.737129889347</v>
      </c>
      <c r="F267" s="27">
        <f>Ft!C$3*EXP(Ft!C$38*($A267-Ft!C$2)^2)</f>
        <v>35.933832594731861</v>
      </c>
      <c r="G267" s="27">
        <f>Ft!D$3*EXP(Ft!D$38*($A267-Ft!D$2)^2)</f>
        <v>4.4124849717146565E-9</v>
      </c>
      <c r="H267" s="27">
        <f>Ft!E$3*EXP(Ft!E$38*($A267-Ft!E$2)^2)</f>
        <v>24.940325424781847</v>
      </c>
      <c r="I267" s="27">
        <f>Ft!F$3*EXP(Ft!F$38*($A267-Ft!F$2)^2)</f>
        <v>13.982408685129972</v>
      </c>
      <c r="J267" s="27">
        <f>Ft!G$3*EXP(Ft!G$38*($A267-Ft!G$2)^2)</f>
        <v>44.137942481268567</v>
      </c>
    </row>
    <row r="268" spans="1:10">
      <c r="A268" s="20">
        <v>266</v>
      </c>
      <c r="B268" s="29">
        <v>43.209688971873959</v>
      </c>
      <c r="C268" s="28">
        <f ca="1">OFFSET($B268,1*(ROWS(C$2:C268)-1),0)</f>
        <v>17.937824779081382</v>
      </c>
      <c r="D268" s="27">
        <f>Ft!B$3*EXP(Ft!B$38*($A268-Ft!B$2)^2) +Ft!C$3*EXP(Ft!C$38*($A268-Ft!C$2)^2) + Ft!D$3*EXP(Ft!D$38*($A268-Ft!D$2)^2)+Ft!E$3*EXP(Ft!E$38*($A268-Ft!E$2)^2) +Ft!F$3*EXP(Ft!F$38*($A268-Ft!F$2)^2) + Ft!G$3*EXP(Ft!G$38*($A268-Ft!G$2)^2)</f>
        <v>221.86724656519402</v>
      </c>
      <c r="E268" s="27">
        <f>Ft!B$3*EXP(Ft!B$38*($A268-Ft!B$2)^2)</f>
        <v>102.49852629330459</v>
      </c>
      <c r="F268" s="27">
        <f>Ft!C$3*EXP(Ft!C$38*($A268-Ft!C$2)^2)</f>
        <v>35.984403453259013</v>
      </c>
      <c r="G268" s="27">
        <f>Ft!D$3*EXP(Ft!D$38*($A268-Ft!D$2)^2)</f>
        <v>5.5716990517295993E-9</v>
      </c>
      <c r="H268" s="27">
        <f>Ft!E$3*EXP(Ft!E$38*($A268-Ft!E$2)^2)</f>
        <v>25.105125336965063</v>
      </c>
      <c r="I268" s="27">
        <f>Ft!F$3*EXP(Ft!F$38*($A268-Ft!F$2)^2)</f>
        <v>14.037879520400084</v>
      </c>
      <c r="J268" s="27">
        <f>Ft!G$3*EXP(Ft!G$38*($A268-Ft!G$2)^2)</f>
        <v>44.241311955693554</v>
      </c>
    </row>
    <row r="269" spans="1:10">
      <c r="A269" s="20">
        <v>267</v>
      </c>
      <c r="B269" s="29">
        <v>43.423010279734143</v>
      </c>
      <c r="C269" s="28">
        <f ca="1">OFFSET($B269,1*(ROWS(C$2:C269)-1),0)</f>
        <v>17.564103574889884</v>
      </c>
      <c r="D269" s="27">
        <f>Ft!B$3*EXP(Ft!B$38*($A269-Ft!B$2)^2) +Ft!C$3*EXP(Ft!C$38*($A269-Ft!C$2)^2) + Ft!D$3*EXP(Ft!D$38*($A269-Ft!D$2)^2)+Ft!E$3*EXP(Ft!E$38*($A269-Ft!E$2)^2) +Ft!F$3*EXP(Ft!F$38*($A269-Ft!F$2)^2) + Ft!G$3*EXP(Ft!G$38*($A269-Ft!G$2)^2)</f>
        <v>222.00289949255364</v>
      </c>
      <c r="E269" s="27">
        <f>Ft!B$3*EXP(Ft!B$38*($A269-Ft!B$2)^2)</f>
        <v>102.25998889250987</v>
      </c>
      <c r="F269" s="27">
        <f>Ft!C$3*EXP(Ft!C$38*($A269-Ft!C$2)^2)</f>
        <v>36.034965882523942</v>
      </c>
      <c r="G269" s="27">
        <f>Ft!D$3*EXP(Ft!D$38*($A269-Ft!D$2)^2)</f>
        <v>7.0257563333320514E-9</v>
      </c>
      <c r="H269" s="27">
        <f>Ft!E$3*EXP(Ft!E$38*($A269-Ft!E$2)^2)</f>
        <v>25.270647899377952</v>
      </c>
      <c r="I269" s="27">
        <f>Ft!F$3*EXP(Ft!F$38*($A269-Ft!F$2)^2)</f>
        <v>14.093524014351935</v>
      </c>
      <c r="J269" s="27">
        <f>Ft!G$3*EXP(Ft!G$38*($A269-Ft!G$2)^2)</f>
        <v>44.343772796764164</v>
      </c>
    </row>
    <row r="270" spans="1:10">
      <c r="A270" s="20">
        <v>268</v>
      </c>
      <c r="B270" s="29">
        <v>43.648573448791581</v>
      </c>
      <c r="C270" s="28">
        <f ca="1">OFFSET($B270,1*(ROWS(C$2:C270)-1),0)</f>
        <v>17.184596176401811</v>
      </c>
      <c r="D270" s="27">
        <f>Ft!B$3*EXP(Ft!B$38*($A270-Ft!B$2)^2) +Ft!C$3*EXP(Ft!C$38*($A270-Ft!C$2)^2) + Ft!D$3*EXP(Ft!D$38*($A270-Ft!D$2)^2)+Ft!E$3*EXP(Ft!E$38*($A270-Ft!E$2)^2) +Ft!F$3*EXP(Ft!F$38*($A270-Ft!F$2)^2) + Ft!G$3*EXP(Ft!G$38*($A270-Ft!G$2)^2)</f>
        <v>222.13859258946644</v>
      </c>
      <c r="E270" s="27">
        <f>Ft!B$3*EXP(Ft!B$38*($A270-Ft!B$2)^2)</f>
        <v>102.02151980670827</v>
      </c>
      <c r="F270" s="27">
        <f>Ft!C$3*EXP(Ft!C$38*($A270-Ft!C$2)^2)</f>
        <v>36.085519647146732</v>
      </c>
      <c r="G270" s="27">
        <f>Ft!D$3*EXP(Ft!D$38*($A270-Ft!D$2)^2)</f>
        <v>8.8470715245578883E-9</v>
      </c>
      <c r="H270" s="27">
        <f>Ft!E$3*EXP(Ft!E$38*($A270-Ft!E$2)^2)</f>
        <v>25.43689306218306</v>
      </c>
      <c r="I270" s="27">
        <f>Ft!F$3*EXP(Ft!F$38*($A270-Ft!F$2)^2)</f>
        <v>14.149342488191403</v>
      </c>
      <c r="J270" s="27">
        <f>Ft!G$3*EXP(Ft!G$38*($A270-Ft!G$2)^2)</f>
        <v>44.445317576389911</v>
      </c>
    </row>
    <row r="271" spans="1:10">
      <c r="A271" s="20">
        <v>269</v>
      </c>
      <c r="B271" s="29">
        <v>43.865755115550968</v>
      </c>
      <c r="C271" s="28">
        <f ca="1">OFFSET($B271,1*(ROWS(C$2:C271)-1),0)</f>
        <v>16.801105309908081</v>
      </c>
      <c r="D271" s="27">
        <f>Ft!B$3*EXP(Ft!B$38*($A271-Ft!B$2)^2) +Ft!C$3*EXP(Ft!C$38*($A271-Ft!C$2)^2) + Ft!D$3*EXP(Ft!D$38*($A271-Ft!D$2)^2)+Ft!E$3*EXP(Ft!E$38*($A271-Ft!E$2)^2) +Ft!F$3*EXP(Ft!F$38*($A271-Ft!F$2)^2) + Ft!G$3*EXP(Ft!G$38*($A271-Ft!G$2)^2)</f>
        <v>222.27432059946304</v>
      </c>
      <c r="E271" s="27">
        <f>Ft!B$3*EXP(Ft!B$38*($A271-Ft!B$2)^2)</f>
        <v>101.78312114973033</v>
      </c>
      <c r="F271" s="27">
        <f>Ft!C$3*EXP(Ft!C$38*($A271-Ft!C$2)^2)</f>
        <v>36.136064511474466</v>
      </c>
      <c r="G271" s="27">
        <f>Ft!D$3*EXP(Ft!D$38*($A271-Ft!D$2)^2)</f>
        <v>1.1125179194412476E-8</v>
      </c>
      <c r="H271" s="27">
        <f>Ft!E$3*EXP(Ft!E$38*($A271-Ft!E$2)^2)</f>
        <v>25.603860743688571</v>
      </c>
      <c r="I271" s="27">
        <f>Ft!F$3*EXP(Ft!F$38*($A271-Ft!F$2)^2)</f>
        <v>14.205335262675163</v>
      </c>
      <c r="J271" s="27">
        <f>Ft!G$3*EXP(Ft!G$38*($A271-Ft!G$2)^2)</f>
        <v>44.545938920769338</v>
      </c>
    </row>
    <row r="272" spans="1:10">
      <c r="A272" s="20">
        <v>270</v>
      </c>
      <c r="B272" s="29">
        <v>44.083119291530693</v>
      </c>
      <c r="C272" s="28">
        <f ca="1">OFFSET($B272,1*(ROWS(C$2:C272)-1),0)</f>
        <v>16.36265177355375</v>
      </c>
      <c r="D272" s="27">
        <f>Ft!B$3*EXP(Ft!B$38*($A272-Ft!B$2)^2) +Ft!C$3*EXP(Ft!C$38*($A272-Ft!C$2)^2) + Ft!D$3*EXP(Ft!D$38*($A272-Ft!D$2)^2)+Ft!E$3*EXP(Ft!E$38*($A272-Ft!E$2)^2) +Ft!F$3*EXP(Ft!F$38*($A272-Ft!F$2)^2) + Ft!G$3*EXP(Ft!G$38*($A272-Ft!G$2)^2)</f>
        <v>222.41007828254743</v>
      </c>
      <c r="E272" s="27">
        <f>Ft!B$3*EXP(Ft!B$38*($A272-Ft!B$2)^2)</f>
        <v>101.54479502946512</v>
      </c>
      <c r="F272" s="27">
        <f>Ft!C$3*EXP(Ft!C$38*($A272-Ft!C$2)^2)</f>
        <v>36.186600239582894</v>
      </c>
      <c r="G272" s="27">
        <f>Ft!D$3*EXP(Ft!D$38*($A272-Ft!D$2)^2)</f>
        <v>1.3970614635960909E-8</v>
      </c>
      <c r="H272" s="27">
        <f>Ft!E$3*EXP(Ft!E$38*($A272-Ft!E$2)^2)</f>
        <v>25.771550830143529</v>
      </c>
      <c r="I272" s="27">
        <f>Ft!F$3*EXP(Ft!F$38*($A272-Ft!F$2)^2)</f>
        <v>14.26150265810459</v>
      </c>
      <c r="J272" s="27">
        <f>Ft!G$3*EXP(Ft!G$38*($A272-Ft!G$2)^2)</f>
        <v>44.64562951128066</v>
      </c>
    </row>
    <row r="273" spans="1:10">
      <c r="A273" s="20">
        <v>271</v>
      </c>
      <c r="B273" s="29">
        <v>44.301098849589408</v>
      </c>
      <c r="C273" s="28">
        <f ca="1">OFFSET($B273,1*(ROWS(C$2:C273)-1),0)</f>
        <v>15.94761556496104</v>
      </c>
      <c r="D273" s="27">
        <f>Ft!B$3*EXP(Ft!B$38*($A273-Ft!B$2)^2) +Ft!C$3*EXP(Ft!C$38*($A273-Ft!C$2)^2) + Ft!D$3*EXP(Ft!D$38*($A273-Ft!D$2)^2)+Ft!E$3*EXP(Ft!E$38*($A273-Ft!E$2)^2) +Ft!F$3*EXP(Ft!F$38*($A273-Ft!F$2)^2) + Ft!G$3*EXP(Ft!G$38*($A273-Ft!G$2)^2)</f>
        <v>222.54586041585259</v>
      </c>
      <c r="E273" s="27">
        <f>Ft!B$3*EXP(Ft!B$38*($A273-Ft!B$2)^2)</f>
        <v>101.30654354783388</v>
      </c>
      <c r="F273" s="27">
        <f>Ft!C$3*EXP(Ft!C$38*($A273-Ft!C$2)^2)</f>
        <v>36.237126595278184</v>
      </c>
      <c r="G273" s="27">
        <f>Ft!D$3*EXP(Ft!D$38*($A273-Ft!D$2)^2)</f>
        <v>1.7519634171523814E-8</v>
      </c>
      <c r="H273" s="27">
        <f>Ft!E$3*EXP(Ft!E$38*($A273-Ft!E$2)^2)</f>
        <v>25.939963175533979</v>
      </c>
      <c r="I273" s="27">
        <f>Ft!F$3*EXP(Ft!F$38*($A273-Ft!F$2)^2)</f>
        <v>14.317844994319781</v>
      </c>
      <c r="J273" s="27">
        <f>Ft!G$3*EXP(Ft!G$38*($A273-Ft!G$2)^2)</f>
        <v>44.744382085367107</v>
      </c>
    </row>
    <row r="274" spans="1:10">
      <c r="A274" s="20">
        <v>272</v>
      </c>
      <c r="B274" s="29">
        <v>44.505324269654693</v>
      </c>
      <c r="C274" s="28">
        <f ca="1">OFFSET($B274,1*(ROWS(C$2:C274)-1),0)</f>
        <v>15.507058607605018</v>
      </c>
      <c r="D274" s="27">
        <f>Ft!B$3*EXP(Ft!B$38*($A274-Ft!B$2)^2) +Ft!C$3*EXP(Ft!C$38*($A274-Ft!C$2)^2) + Ft!D$3*EXP(Ft!D$38*($A274-Ft!D$2)^2)+Ft!E$3*EXP(Ft!E$38*($A274-Ft!E$2)^2) +Ft!F$3*EXP(Ft!F$38*($A274-Ft!F$2)^2) + Ft!G$3*EXP(Ft!G$38*($A274-Ft!G$2)^2)</f>
        <v>222.6816617942934</v>
      </c>
      <c r="E274" s="27">
        <f>Ft!B$3*EXP(Ft!B$38*($A274-Ft!B$2)^2)</f>
        <v>101.06836880076405</v>
      </c>
      <c r="F274" s="27">
        <f>Ft!C$3*EXP(Ft!C$38*($A274-Ft!C$2)^2)</f>
        <v>36.287643342098576</v>
      </c>
      <c r="G274" s="27">
        <f>Ft!D$3*EXP(Ft!D$38*($A274-Ft!D$2)^2)</f>
        <v>2.1939947058863419E-8</v>
      </c>
      <c r="H274" s="27">
        <f>Ft!E$3*EXP(Ft!E$38*($A274-Ft!E$2)^2)</f>
        <v>26.10909760138021</v>
      </c>
      <c r="I274" s="27">
        <f>Ft!F$3*EXP(Ft!F$38*($A274-Ft!F$2)^2)</f>
        <v>14.374362590693503</v>
      </c>
      <c r="J274" s="27">
        <f>Ft!G$3*EXP(Ft!G$38*($A274-Ft!G$2)^2)</f>
        <v>44.842189437417154</v>
      </c>
    </row>
    <row r="275" spans="1:10">
      <c r="A275" s="20">
        <v>273</v>
      </c>
      <c r="B275" s="29">
        <v>44.705679309245738</v>
      </c>
      <c r="C275" s="28">
        <f ca="1">OFFSET($B275,1*(ROWS(C$2:C275)-1),0)</f>
        <v>15.097407080060833</v>
      </c>
      <c r="D275" s="27">
        <f>Ft!B$3*EXP(Ft!B$38*($A275-Ft!B$2)^2) +Ft!C$3*EXP(Ft!C$38*($A275-Ft!C$2)^2) + Ft!D$3*EXP(Ft!D$38*($A275-Ft!D$2)^2)+Ft!E$3*EXP(Ft!E$38*($A275-Ft!E$2)^2) +Ft!F$3*EXP(Ft!F$38*($A275-Ft!F$2)^2) + Ft!G$3*EXP(Ft!G$38*($A275-Ft!G$2)^2)</f>
        <v>222.81747723121629</v>
      </c>
      <c r="E275" s="27">
        <f>Ft!B$3*EXP(Ft!B$38*($A275-Ft!B$2)^2)</f>
        <v>100.83027287816323</v>
      </c>
      <c r="F275" s="27">
        <f>Ft!C$3*EXP(Ft!C$38*($A275-Ft!C$2)^2)</f>
        <v>36.338150243316143</v>
      </c>
      <c r="G275" s="27">
        <f>Ft!D$3*EXP(Ft!D$38*($A275-Ft!D$2)^2)</f>
        <v>2.7437664346968524E-8</v>
      </c>
      <c r="H275" s="27">
        <f>Ft!E$3*EXP(Ft!E$38*($A275-Ft!E$2)^2)</f>
        <v>26.278953896534933</v>
      </c>
      <c r="I275" s="27">
        <f>Ft!F$3*EXP(Ft!F$38*($A275-Ft!F$2)^2)</f>
        <v>14.431055766125121</v>
      </c>
      <c r="J275" s="27">
        <f>Ft!G$3*EXP(Ft!G$38*($A275-Ft!G$2)^2)</f>
        <v>44.93904441963916</v>
      </c>
    </row>
    <row r="276" spans="1:10">
      <c r="A276" s="20">
        <v>274</v>
      </c>
      <c r="B276" s="29">
        <v>44.919079122290896</v>
      </c>
      <c r="C276" s="28">
        <f ca="1">OFFSET($B276,1*(ROWS(C$2:C276)-1),0)</f>
        <v>14.692284460500616</v>
      </c>
      <c r="D276" s="27">
        <f>Ft!B$3*EXP(Ft!B$38*($A276-Ft!B$2)^2) +Ft!C$3*EXP(Ft!C$38*($A276-Ft!C$2)^2) + Ft!D$3*EXP(Ft!D$38*($A276-Ft!D$2)^2)+Ft!E$3*EXP(Ft!E$38*($A276-Ft!E$2)^2) +Ft!F$3*EXP(Ft!F$38*($A276-Ft!F$2)^2) + Ft!G$3*EXP(Ft!G$38*($A276-Ft!G$2)^2)</f>
        <v>222.95330155904546</v>
      </c>
      <c r="E276" s="27">
        <f>Ft!B$3*EXP(Ft!B$38*($A276-Ft!B$2)^2)</f>
        <v>100.59225786389369</v>
      </c>
      <c r="F276" s="27">
        <f>Ft!C$3*EXP(Ft!C$38*($A276-Ft!C$2)^2)</f>
        <v>36.388647061938478</v>
      </c>
      <c r="G276" s="27">
        <f>Ft!D$3*EXP(Ft!D$38*($A276-Ft!D$2)^2)</f>
        <v>3.4265709160585992E-8</v>
      </c>
      <c r="H276" s="27">
        <f>Ft!E$3*EXP(Ft!E$38*($A276-Ft!E$2)^2)</f>
        <v>26.449531816982592</v>
      </c>
      <c r="I276" s="27">
        <f>Ft!F$3*EXP(Ft!F$38*($A276-Ft!F$2)^2)</f>
        <v>14.48792483903452</v>
      </c>
      <c r="J276" s="27">
        <f>Ft!G$3*EXP(Ft!G$38*($A276-Ft!G$2)^2)</f>
        <v>45.034939942930492</v>
      </c>
    </row>
    <row r="277" spans="1:10">
      <c r="A277" s="20">
        <v>275</v>
      </c>
      <c r="B277" s="29">
        <v>45.116650043154948</v>
      </c>
      <c r="C277" s="28">
        <f ca="1">OFFSET($B277,1*(ROWS(C$2:C277)-1),0)</f>
        <v>14.273863731271319</v>
      </c>
      <c r="D277" s="27">
        <f>Ft!B$3*EXP(Ft!B$38*($A277-Ft!B$2)^2) +Ft!C$3*EXP(Ft!C$38*($A277-Ft!C$2)^2) + Ft!D$3*EXP(Ft!D$38*($A277-Ft!D$2)^2)+Ft!E$3*EXP(Ft!E$38*($A277-Ft!E$2)^2) +Ft!F$3*EXP(Ft!F$38*($A277-Ft!F$2)^2) + Ft!G$3*EXP(Ft!G$38*($A277-Ft!G$2)^2)</f>
        <v>223.08912962992775</v>
      </c>
      <c r="E277" s="27">
        <f>Ft!B$3*EXP(Ft!B$38*($A277-Ft!B$2)^2)</f>
        <v>100.35432583574664</v>
      </c>
      <c r="F277" s="27">
        <f>Ft!C$3*EXP(Ft!C$38*($A277-Ft!C$2)^2)</f>
        <v>36.439133560710474</v>
      </c>
      <c r="G277" s="27">
        <f>Ft!D$3*EXP(Ft!D$38*($A277-Ft!D$2)^2)</f>
        <v>4.2733978932523265E-8</v>
      </c>
      <c r="H277" s="27">
        <f>Ft!E$3*EXP(Ft!E$38*($A277-Ft!E$2)^2)</f>
        <v>26.620831085639722</v>
      </c>
      <c r="I277" s="27">
        <f>Ft!F$3*EXP(Ft!F$38*($A277-Ft!F$2)^2)</f>
        <v>14.544970127356027</v>
      </c>
      <c r="J277" s="27">
        <f>Ft!G$3*EXP(Ft!G$38*($A277-Ft!G$2)^2)</f>
        <v>45.129868977740941</v>
      </c>
    </row>
    <row r="278" spans="1:10">
      <c r="A278" s="20">
        <v>276</v>
      </c>
      <c r="B278" s="29">
        <v>45.316940648405136</v>
      </c>
      <c r="C278" s="28">
        <f ca="1">OFFSET($B278,1*(ROWS(C$2:C278)-1),0)</f>
        <v>13.865480582505</v>
      </c>
      <c r="D278" s="27">
        <f>Ft!B$3*EXP(Ft!B$38*($A278-Ft!B$2)^2) +Ft!C$3*EXP(Ft!C$38*($A278-Ft!C$2)^2) + Ft!D$3*EXP(Ft!D$38*($A278-Ft!D$2)^2)+Ft!E$3*EXP(Ft!E$38*($A278-Ft!E$2)^2) +Ft!F$3*EXP(Ft!F$38*($A278-Ft!F$2)^2) + Ft!G$3*EXP(Ft!G$38*($A278-Ft!G$2)^2)</f>
        <v>223.22495631637369</v>
      </c>
      <c r="E278" s="27">
        <f>Ft!B$3*EXP(Ft!B$38*($A278-Ft!B$2)^2)</f>
        <v>100.11647886541716</v>
      </c>
      <c r="F278" s="27">
        <f>Ft!C$3*EXP(Ft!C$38*($A278-Ft!C$2)^2)</f>
        <v>36.489609502115997</v>
      </c>
      <c r="G278" s="27">
        <f>Ft!D$3*EXP(Ft!D$38*($A278-Ft!D$2)^2)</f>
        <v>5.3221604159565964E-8</v>
      </c>
      <c r="H278" s="27">
        <f>Ft!E$3*EXP(Ft!E$38*($A278-Ft!E$2)^2)</f>
        <v>26.792851392156415</v>
      </c>
      <c r="I278" s="27">
        <f>Ft!F$3*EXP(Ft!F$38*($A278-Ft!F$2)^2)</f>
        <v>14.602191948532287</v>
      </c>
      <c r="J278" s="27">
        <f>Ft!G$3*EXP(Ft!G$38*($A278-Ft!G$2)^2)</f>
        <v>45.223824554930189</v>
      </c>
    </row>
    <row r="279" spans="1:10">
      <c r="A279" s="20">
        <v>277</v>
      </c>
      <c r="B279" s="29">
        <v>45.519996145658808</v>
      </c>
      <c r="C279" s="28">
        <f ca="1">OFFSET($B279,1*(ROWS(C$2:C279)-1),0)</f>
        <v>13.471934130958971</v>
      </c>
      <c r="D279" s="27">
        <f>Ft!B$3*EXP(Ft!B$38*($A279-Ft!B$2)^2) +Ft!C$3*EXP(Ft!C$38*($A279-Ft!C$2)^2) + Ft!D$3*EXP(Ft!D$38*($A279-Ft!D$2)^2)+Ft!E$3*EXP(Ft!E$38*($A279-Ft!E$2)^2) +Ft!F$3*EXP(Ft!F$38*($A279-Ft!F$2)^2) + Ft!G$3*EXP(Ft!G$38*($A279-Ft!G$2)^2)</f>
        <v>223.36077651189672</v>
      </c>
      <c r="E279" s="27">
        <f>Ft!B$3*EXP(Ft!B$38*($A279-Ft!B$2)^2)</f>
        <v>99.878719018478989</v>
      </c>
      <c r="F279" s="27">
        <f>Ft!C$3*EXP(Ft!C$38*($A279-Ft!C$2)^2)</f>
        <v>36.540074648379658</v>
      </c>
      <c r="G279" s="27">
        <f>Ft!D$3*EXP(Ft!D$38*($A279-Ft!D$2)^2)</f>
        <v>6.6191711594598996E-8</v>
      </c>
      <c r="H279" s="27">
        <f>Ft!E$3*EXP(Ft!E$38*($A279-Ft!E$2)^2)</f>
        <v>26.96559239271895</v>
      </c>
      <c r="I279" s="27">
        <f>Ft!F$3*EXP(Ft!F$38*($A279-Ft!F$2)^2)</f>
        <v>14.659590619508133</v>
      </c>
      <c r="J279" s="27">
        <f>Ft!G$3*EXP(Ft!G$38*($A279-Ft!G$2)^2)</f>
        <v>45.316799766619283</v>
      </c>
    </row>
    <row r="280" spans="1:10">
      <c r="A280" s="20">
        <v>278</v>
      </c>
      <c r="B280" s="29">
        <v>45.727465960365095</v>
      </c>
      <c r="C280" s="28">
        <f ca="1">OFFSET($B280,1*(ROWS(C$2:C280)-1),0)</f>
        <v>13.053026659486818</v>
      </c>
      <c r="D280" s="27">
        <f>Ft!B$3*EXP(Ft!B$38*($A280-Ft!B$2)^2) +Ft!C$3*EXP(Ft!C$38*($A280-Ft!C$2)^2) + Ft!D$3*EXP(Ft!D$38*($A280-Ft!D$2)^2)+Ft!E$3*EXP(Ft!E$38*($A280-Ft!E$2)^2) +Ft!F$3*EXP(Ft!F$38*($A280-Ft!F$2)^2) + Ft!G$3*EXP(Ft!G$38*($A280-Ft!G$2)^2)</f>
        <v>223.49658513165139</v>
      </c>
      <c r="E280" s="27">
        <f>Ft!B$3*EXP(Ft!B$38*($A280-Ft!B$2)^2)</f>
        <v>99.641048354359754</v>
      </c>
      <c r="F280" s="27">
        <f>Ft!C$3*EXP(Ft!C$38*($A280-Ft!C$2)^2)</f>
        <v>36.590528761468541</v>
      </c>
      <c r="G280" s="27">
        <f>Ft!D$3*EXP(Ft!D$38*($A280-Ft!D$2)^2)</f>
        <v>8.2209173840232382E-8</v>
      </c>
      <c r="H280" s="27">
        <f>Ft!E$3*EXP(Ft!E$38*($A280-Ft!E$2)^2)</f>
        <v>27.139053709853506</v>
      </c>
      <c r="I280" s="27">
        <f>Ft!F$3*EXP(Ft!F$38*($A280-Ft!F$2)^2)</f>
        <v>14.717166456724486</v>
      </c>
      <c r="J280" s="27">
        <f>Ft!G$3*EXP(Ft!G$38*($A280-Ft!G$2)^2)</f>
        <v>45.408787767035939</v>
      </c>
    </row>
    <row r="281" spans="1:10">
      <c r="A281" s="20">
        <v>279</v>
      </c>
      <c r="B281" s="29">
        <v>45.911822018396492</v>
      </c>
      <c r="C281" s="28">
        <f ca="1">OFFSET($B281,1*(ROWS(C$2:C281)-1),0)</f>
        <v>12.626010003957106</v>
      </c>
      <c r="D281" s="27">
        <f>Ft!B$3*EXP(Ft!B$38*($A281-Ft!B$2)^2) +Ft!C$3*EXP(Ft!C$38*($A281-Ft!C$2)^2) + Ft!D$3*EXP(Ft!D$38*($A281-Ft!D$2)^2)+Ft!E$3*EXP(Ft!E$38*($A281-Ft!E$2)^2) +Ft!F$3*EXP(Ft!F$38*($A281-Ft!F$2)^2) + Ft!G$3*EXP(Ft!G$38*($A281-Ft!G$2)^2)</f>
        <v>223.63237711306897</v>
      </c>
      <c r="E281" s="27">
        <f>Ft!B$3*EXP(Ft!B$38*($A281-Ft!B$2)^2)</f>
        <v>99.403468926316179</v>
      </c>
      <c r="F281" s="27">
        <f>Ft!C$3*EXP(Ft!C$38*($A281-Ft!C$2)^2)</f>
        <v>36.64097160309398</v>
      </c>
      <c r="G281" s="27">
        <f>Ft!D$3*EXP(Ft!D$38*($A281-Ft!D$2)^2)</f>
        <v>1.0196191370572035E-7</v>
      </c>
      <c r="H281" s="27">
        <f>Ft!E$3*EXP(Ft!E$38*($A281-Ft!E$2)^2)</f>
        <v>27.313234932231172</v>
      </c>
      <c r="I281" s="27">
        <f>Ft!F$3*EXP(Ft!F$38*($A281-Ft!F$2)^2)</f>
        <v>14.774919776112133</v>
      </c>
      <c r="J281" s="27">
        <f>Ft!G$3*EXP(Ft!G$38*($A281-Ft!G$2)^2)</f>
        <v>45.499781773353554</v>
      </c>
    </row>
    <row r="282" spans="1:10">
      <c r="A282" s="20">
        <v>280</v>
      </c>
      <c r="B282" s="29">
        <v>46.095295073247314</v>
      </c>
      <c r="C282" s="28">
        <f ca="1">OFFSET($B282,1*(ROWS(C$2:C282)-1),0)</f>
        <v>12.205130534359682</v>
      </c>
      <c r="D282" s="27">
        <f>Ft!B$3*EXP(Ft!B$38*($A282-Ft!B$2)^2) +Ft!C$3*EXP(Ft!C$38*($A282-Ft!C$2)^2) + Ft!D$3*EXP(Ft!D$38*($A282-Ft!D$2)^2)+Ft!E$3*EXP(Ft!E$38*($A282-Ft!E$2)^2) +Ft!F$3*EXP(Ft!F$38*($A282-Ft!F$2)^2) + Ft!G$3*EXP(Ft!G$38*($A282-Ft!G$2)^2)</f>
        <v>223.76814741649281</v>
      </c>
      <c r="E282" s="27">
        <f>Ft!B$3*EXP(Ft!B$38*($A282-Ft!B$2)^2)</f>
        <v>99.165982781409795</v>
      </c>
      <c r="F282" s="27">
        <f>Ft!C$3*EXP(Ft!C$38*($A282-Ft!C$2)^2)</f>
        <v>36.691402934713281</v>
      </c>
      <c r="G282" s="27">
        <f>Ft!D$3*EXP(Ft!D$38*($A282-Ft!D$2)^2)</f>
        <v>1.2628643226886361E-7</v>
      </c>
      <c r="H282" s="27">
        <f>Ft!E$3*EXP(Ft!E$38*($A282-Ft!E$2)^2)</f>
        <v>27.488135614474032</v>
      </c>
      <c r="I282" s="27">
        <f>Ft!F$3*EXP(Ft!F$38*($A282-Ft!F$2)^2)</f>
        <v>14.83285089308562</v>
      </c>
      <c r="J282" s="27">
        <f>Ft!G$3*EXP(Ft!G$38*($A282-Ft!G$2)^2)</f>
        <v>45.589775066523664</v>
      </c>
    </row>
    <row r="283" spans="1:10">
      <c r="A283" s="20">
        <v>281</v>
      </c>
      <c r="B283" s="29">
        <v>46.25660378396384</v>
      </c>
      <c r="C283" s="28">
        <f ca="1">OFFSET($B283,1*(ROWS(C$2:C283)-1),0)</f>
        <v>11.760402279798257</v>
      </c>
      <c r="D283" s="27">
        <f>Ft!B$3*EXP(Ft!B$38*($A283-Ft!B$2)^2) +Ft!C$3*EXP(Ft!C$38*($A283-Ft!C$2)^2) + Ft!D$3*EXP(Ft!D$38*($A283-Ft!D$2)^2)+Ft!E$3*EXP(Ft!E$38*($A283-Ft!E$2)^2) +Ft!F$3*EXP(Ft!F$38*($A283-Ft!F$2)^2) + Ft!G$3*EXP(Ft!G$38*($A283-Ft!G$2)^2)</f>
        <v>223.90389102581389</v>
      </c>
      <c r="E283" s="27">
        <f>Ft!B$3*EXP(Ft!B$38*($A283-Ft!B$2)^2)</f>
        <v>98.928591960482535</v>
      </c>
      <c r="F283" s="27">
        <f>Ft!C$3*EXP(Ft!C$38*($A283-Ft!C$2)^2)</f>
        <v>36.741822517531482</v>
      </c>
      <c r="G283" s="27">
        <f>Ft!D$3*EXP(Ft!D$38*($A283-Ft!D$2)^2)</f>
        <v>1.5619834642014429E-7</v>
      </c>
      <c r="H283" s="27">
        <f>Ft!E$3*EXP(Ft!E$38*($A283-Ft!E$2)^2)</f>
        <v>27.663755276962572</v>
      </c>
      <c r="I283" s="27">
        <f>Ft!F$3*EXP(Ft!F$38*($A283-Ft!F$2)^2)</f>
        <v>14.89096012253702</v>
      </c>
      <c r="J283" s="27">
        <f>Ft!G$3*EXP(Ft!G$38*($A283-Ft!G$2)^2)</f>
        <v>45.678760992101921</v>
      </c>
    </row>
    <row r="284" spans="1:10">
      <c r="A284" s="20">
        <v>282</v>
      </c>
      <c r="B284" s="29">
        <v>46.427428060986159</v>
      </c>
      <c r="C284" s="28">
        <f ca="1">OFFSET($B284,1*(ROWS(C$2:C284)-1),0)</f>
        <v>11.296225708633585</v>
      </c>
      <c r="D284" s="27">
        <f>Ft!B$3*EXP(Ft!B$38*($A284-Ft!B$2)^2) +Ft!C$3*EXP(Ft!C$38*($A284-Ft!C$2)^2) + Ft!D$3*EXP(Ft!D$38*($A284-Ft!D$2)^2)+Ft!E$3*EXP(Ft!E$38*($A284-Ft!E$2)^2) +Ft!F$3*EXP(Ft!F$38*($A284-Ft!F$2)^2) + Ft!G$3*EXP(Ft!G$38*($A284-Ft!G$2)^2)</f>
        <v>224.03960294910596</v>
      </c>
      <c r="E284" s="27">
        <f>Ft!B$3*EXP(Ft!B$38*($A284-Ft!B$2)^2)</f>
        <v>98.69129849813271</v>
      </c>
      <c r="F284" s="27">
        <f>Ft!C$3*EXP(Ft!C$38*($A284-Ft!C$2)^2)</f>
        <v>36.792230112503134</v>
      </c>
      <c r="G284" s="27">
        <f>Ft!D$3*EXP(Ft!D$38*($A284-Ft!D$2)^2)</f>
        <v>1.9292885708441218E-7</v>
      </c>
      <c r="H284" s="27">
        <f>Ft!E$3*EXP(Ft!E$38*($A284-Ft!E$2)^2)</f>
        <v>27.840093405644311</v>
      </c>
      <c r="I284" s="27">
        <f>Ft!F$3*EXP(Ft!F$38*($A284-Ft!F$2)^2)</f>
        <v>14.949247778829722</v>
      </c>
      <c r="J284" s="27">
        <f>Ft!G$3*EXP(Ft!G$38*($A284-Ft!G$2)^2)</f>
        <v>45.766732961067213</v>
      </c>
    </row>
    <row r="285" spans="1:10">
      <c r="A285" s="20">
        <v>283</v>
      </c>
      <c r="B285" s="29">
        <v>46.555420674615846</v>
      </c>
      <c r="C285" s="28">
        <f ca="1">OFFSET($B285,1*(ROWS(C$2:C285)-1),0)</f>
        <v>10.897232741333823</v>
      </c>
      <c r="D285" s="27">
        <f>Ft!B$3*EXP(Ft!B$38*($A285-Ft!B$2)^2) +Ft!C$3*EXP(Ft!C$38*($A285-Ft!C$2)^2) + Ft!D$3*EXP(Ft!D$38*($A285-Ft!D$2)^2)+Ft!E$3*EXP(Ft!E$38*($A285-Ft!E$2)^2) +Ft!F$3*EXP(Ft!F$38*($A285-Ft!F$2)^2) + Ft!G$3*EXP(Ft!G$38*($A285-Ft!G$2)^2)</f>
        <v>224.17527821926359</v>
      </c>
      <c r="E285" s="27">
        <f>Ft!B$3*EXP(Ft!B$38*($A285-Ft!B$2)^2)</f>
        <v>98.454104422691316</v>
      </c>
      <c r="F285" s="27">
        <f>Ft!C$3*EXP(Ft!C$38*($A285-Ft!C$2)^2)</f>
        <v>36.842625480334057</v>
      </c>
      <c r="G285" s="27">
        <f>Ft!D$3*EXP(Ft!D$38*($A285-Ft!D$2)^2)</f>
        <v>2.3796822591960162E-7</v>
      </c>
      <c r="H285" s="27">
        <f>Ft!E$3*EXP(Ft!E$38*($A285-Ft!E$2)^2)</f>
        <v>28.017149451843704</v>
      </c>
      <c r="I285" s="27">
        <f>Ft!F$3*EXP(Ft!F$38*($A285-Ft!F$2)^2)</f>
        <v>15.007714175792277</v>
      </c>
      <c r="J285" s="27">
        <f>Ft!G$3*EXP(Ft!G$38*($A285-Ft!G$2)^2)</f>
        <v>45.853684450633992</v>
      </c>
    </row>
    <row r="286" spans="1:10">
      <c r="A286" s="20">
        <v>284</v>
      </c>
      <c r="B286" s="29">
        <v>46.681655639424719</v>
      </c>
      <c r="C286" s="28">
        <f ca="1">OFFSET($B286,1*(ROWS(C$2:C286)-1),0)</f>
        <v>10.506295649836488</v>
      </c>
      <c r="D286" s="27">
        <f>Ft!B$3*EXP(Ft!B$38*($A286-Ft!B$2)^2) +Ft!C$3*EXP(Ft!C$38*($A286-Ft!C$2)^2) + Ft!D$3*EXP(Ft!D$38*($A286-Ft!D$2)^2)+Ft!E$3*EXP(Ft!E$38*($A286-Ft!E$2)^2) +Ft!F$3*EXP(Ft!F$38*($A286-Ft!F$2)^2) + Ft!G$3*EXP(Ft!G$38*($A286-Ft!G$2)^2)</f>
        <v>224.31091189464178</v>
      </c>
      <c r="E286" s="27">
        <f>Ft!B$3*EXP(Ft!B$38*($A286-Ft!B$2)^2)</f>
        <v>98.217011756198175</v>
      </c>
      <c r="F286" s="27">
        <f>Ft!C$3*EXP(Ft!C$38*($A286-Ft!C$2)^2)</f>
        <v>36.893008381483149</v>
      </c>
      <c r="G286" s="27">
        <f>Ft!D$3*EXP(Ft!D$38*($A286-Ft!D$2)^2)</f>
        <v>2.9311751898552666E-7</v>
      </c>
      <c r="H286" s="27">
        <f>Ft!E$3*EXP(Ft!E$38*($A286-Ft!E$2)^2)</f>
        <v>28.194922832073377</v>
      </c>
      <c r="I286" s="27">
        <f>Ft!F$3*EXP(Ft!F$38*($A286-Ft!F$2)^2)</f>
        <v>15.066359626712071</v>
      </c>
      <c r="J286" s="27">
        <f>Ft!G$3*EXP(Ft!G$38*($A286-Ft!G$2)^2)</f>
        <v>45.939609005057505</v>
      </c>
    </row>
    <row r="287" spans="1:10">
      <c r="A287" s="20">
        <v>285</v>
      </c>
      <c r="B287" s="29">
        <v>46.802011425425519</v>
      </c>
      <c r="C287" s="28">
        <f ca="1">OFFSET($B287,1*(ROWS(C$2:C287)-1),0)</f>
        <v>10.141444825596807</v>
      </c>
      <c r="D287" s="27">
        <f>Ft!B$3*EXP(Ft!B$38*($A287-Ft!B$2)^2) +Ft!C$3*EXP(Ft!C$38*($A287-Ft!C$2)^2) + Ft!D$3*EXP(Ft!D$38*($A287-Ft!D$2)^2)+Ft!E$3*EXP(Ft!E$38*($A287-Ft!E$2)^2) +Ft!F$3*EXP(Ft!F$38*($A287-Ft!F$2)^2) + Ft!G$3*EXP(Ft!G$38*($A287-Ft!G$2)^2)</f>
        <v>224.44649905970056</v>
      </c>
      <c r="E287" s="27">
        <f>Ft!B$3*EXP(Ft!B$38*($A287-Ft!B$2)^2)</f>
        <v>97.980022514378689</v>
      </c>
      <c r="F287" s="27">
        <f>Ft!C$3*EXP(Ft!C$38*($A287-Ft!C$2)^2)</f>
        <v>36.943378576164108</v>
      </c>
      <c r="G287" s="27">
        <f>Ft!D$3*EXP(Ft!D$38*($A287-Ft!D$2)^2)</f>
        <v>3.6055008388415757E-7</v>
      </c>
      <c r="H287" s="27">
        <f>Ft!E$3*EXP(Ft!E$38*($A287-Ft!E$2)^2)</f>
        <v>28.373412927846633</v>
      </c>
      <c r="I287" s="27">
        <f>Ft!F$3*EXP(Ft!F$38*($A287-Ft!F$2)^2)</f>
        <v>15.12518444432915</v>
      </c>
      <c r="J287" s="27">
        <f>Ft!G$3*EXP(Ft!G$38*($A287-Ft!G$2)^2)</f>
        <v>46.024500236431884</v>
      </c>
    </row>
    <row r="288" spans="1:10">
      <c r="A288" s="20">
        <v>286</v>
      </c>
      <c r="B288" s="29">
        <v>46.931584327113484</v>
      </c>
      <c r="C288" s="28">
        <f ca="1">OFFSET($B288,1*(ROWS(C$2:C288)-1),0)</f>
        <v>9.7288480790247718</v>
      </c>
      <c r="D288" s="27">
        <f>Ft!B$3*EXP(Ft!B$38*($A288-Ft!B$2)^2) +Ft!C$3*EXP(Ft!C$38*($A288-Ft!C$2)^2) + Ft!D$3*EXP(Ft!D$38*($A288-Ft!D$2)^2)+Ft!E$3*EXP(Ft!E$38*($A288-Ft!E$2)^2) +Ft!F$3*EXP(Ft!F$38*($A288-Ft!F$2)^2) + Ft!G$3*EXP(Ft!G$38*($A288-Ft!G$2)^2)</f>
        <v>224.58203482565449</v>
      </c>
      <c r="E288" s="27">
        <f>Ft!B$3*EXP(Ft!B$38*($A288-Ft!B$2)^2)</f>
        <v>97.743138706620528</v>
      </c>
      <c r="F288" s="27">
        <f>Ft!C$3*EXP(Ft!C$38*($A288-Ft!C$2)^2)</f>
        <v>36.993735824347254</v>
      </c>
      <c r="G288" s="27">
        <f>Ft!D$3*EXP(Ft!D$38*($A288-Ft!D$2)^2)</f>
        <v>4.4288446576571498E-7</v>
      </c>
      <c r="H288" s="27">
        <f>Ft!E$3*EXP(Ft!E$38*($A288-Ft!E$2)^2)</f>
        <v>28.552619085491393</v>
      </c>
      <c r="I288" s="27">
        <f>Ft!F$3*EXP(Ft!F$38*($A288-Ft!F$2)^2)</f>
        <v>15.184188940829918</v>
      </c>
      <c r="J288" s="27">
        <f>Ft!G$3*EXP(Ft!G$38*($A288-Ft!G$2)^2)</f>
        <v>46.108351825480923</v>
      </c>
    </row>
    <row r="289" spans="1:10">
      <c r="A289" s="20">
        <v>287</v>
      </c>
      <c r="B289" s="29">
        <v>47.055527682790569</v>
      </c>
      <c r="C289" s="28">
        <f ca="1">OFFSET($B289,1*(ROWS(C$2:C289)-1),0)</f>
        <v>9.403741790189116</v>
      </c>
      <c r="D289" s="27">
        <f>Ft!B$3*EXP(Ft!B$38*($A289-Ft!B$2)^2) +Ft!C$3*EXP(Ft!C$38*($A289-Ft!C$2)^2) + Ft!D$3*EXP(Ft!D$38*($A289-Ft!D$2)^2)+Ft!E$3*EXP(Ft!E$38*($A289-Ft!E$2)^2) +Ft!F$3*EXP(Ft!F$38*($A289-Ft!F$2)^2) + Ft!G$3*EXP(Ft!G$38*($A289-Ft!G$2)^2)</f>
        <v>224.71751433113047</v>
      </c>
      <c r="E289" s="27">
        <f>Ft!B$3*EXP(Ft!B$38*($A289-Ft!B$2)^2)</f>
        <v>97.506362335950627</v>
      </c>
      <c r="F289" s="27">
        <f>Ft!C$3*EXP(Ft!C$38*($A289-Ft!C$2)^2)</f>
        <v>37.044079885761313</v>
      </c>
      <c r="G289" s="27">
        <f>Ft!D$3*EXP(Ft!D$38*($A289-Ft!D$2)^2)</f>
        <v>5.432707413074358E-7</v>
      </c>
      <c r="H289" s="27">
        <f>Ft!E$3*EXP(Ft!E$38*($A289-Ft!E$2)^2)</f>
        <v>28.732540615965462</v>
      </c>
      <c r="I289" s="27">
        <f>Ft!F$3*EXP(Ft!F$38*($A289-Ft!F$2)^2)</f>
        <v>15.243373427840872</v>
      </c>
      <c r="J289" s="27">
        <f>Ft!G$3*EXP(Ft!G$38*($A289-Ft!G$2)^2)</f>
        <v>46.191157522341449</v>
      </c>
    </row>
    <row r="290" spans="1:10">
      <c r="A290" s="20">
        <v>288</v>
      </c>
      <c r="B290" s="29">
        <v>47.167427282568724</v>
      </c>
      <c r="C290" s="28">
        <f ca="1">OFFSET($B290,1*(ROWS(C$2:C290)-1),0)</f>
        <v>9.1299562006545898</v>
      </c>
      <c r="D290" s="27">
        <f>Ft!B$3*EXP(Ft!B$38*($A290-Ft!B$2)^2) +Ft!C$3*EXP(Ft!C$38*($A290-Ft!C$2)^2) + Ft!D$3*EXP(Ft!D$38*($A290-Ft!D$2)^2)+Ft!E$3*EXP(Ft!E$38*($A290-Ft!E$2)^2) +Ft!F$3*EXP(Ft!F$38*($A290-Ft!F$2)^2) + Ft!G$3*EXP(Ft!G$38*($A290-Ft!G$2)^2)</f>
        <v>224.85293274283472</v>
      </c>
      <c r="E290" s="27">
        <f>Ft!B$3*EXP(Ft!B$38*($A290-Ft!B$2)^2)</f>
        <v>97.269695399012406</v>
      </c>
      <c r="F290" s="27">
        <f>Ft!C$3*EXP(Ft!C$38*($A290-Ft!C$2)^2)</f>
        <v>37.09441051989522</v>
      </c>
      <c r="G290" s="27">
        <f>Ft!D$3*EXP(Ft!D$38*($A290-Ft!D$2)^2)</f>
        <v>6.6549256262349009E-7</v>
      </c>
      <c r="H290" s="27">
        <f>Ft!E$3*EXP(Ft!E$38*($A290-Ft!E$2)^2)</f>
        <v>28.913176794673188</v>
      </c>
      <c r="I290" s="27">
        <f>Ft!F$3*EXP(Ft!F$38*($A290-Ft!F$2)^2)</f>
        <v>15.302738216422274</v>
      </c>
      <c r="J290" s="27">
        <f>Ft!G$3*EXP(Ft!G$38*($A290-Ft!G$2)^2)</f>
        <v>46.27291114733908</v>
      </c>
    </row>
    <row r="291" spans="1:10">
      <c r="A291" s="20">
        <v>289</v>
      </c>
      <c r="B291" s="29">
        <v>47.297613390502192</v>
      </c>
      <c r="C291" s="28">
        <f ca="1">OFFSET($B291,1*(ROWS(C$2:C291)-1),0)</f>
        <v>8.8866553598045641</v>
      </c>
      <c r="D291" s="27">
        <f>Ft!B$3*EXP(Ft!B$38*($A291-Ft!B$2)^2) +Ft!C$3*EXP(Ft!C$38*($A291-Ft!C$2)^2) + Ft!D$3*EXP(Ft!D$38*($A291-Ft!D$2)^2)+Ft!E$3*EXP(Ft!E$38*($A291-Ft!E$2)^2) +Ft!F$3*EXP(Ft!F$38*($A291-Ft!F$2)^2) + Ft!G$3*EXP(Ft!G$38*($A291-Ft!G$2)^2)</f>
        <v>224.98828525623233</v>
      </c>
      <c r="E291" s="27">
        <f>Ft!B$3*EXP(Ft!B$38*($A291-Ft!B$2)^2)</f>
        <v>97.033139886043145</v>
      </c>
      <c r="F291" s="27">
        <f>Ft!C$3*EXP(Ft!C$38*($A291-Ft!C$2)^2)</f>
        <v>37.144727485999887</v>
      </c>
      <c r="G291" s="27">
        <f>Ft!D$3*EXP(Ft!D$38*($A291-Ft!D$2)^2)</f>
        <v>8.1408755977596026E-7</v>
      </c>
      <c r="H291" s="27">
        <f>Ft!E$3*EXP(Ft!E$38*($A291-Ft!E$2)^2)</f>
        <v>29.094526861283594</v>
      </c>
      <c r="I291" s="27">
        <f>Ft!F$3*EXP(Ft!F$38*($A291-Ft!F$2)^2)</f>
        <v>15.362283617061886</v>
      </c>
      <c r="J291" s="27">
        <f>Ft!G$3*EXP(Ft!G$38*($A291-Ft!G$2)^2)</f>
        <v>46.353606591756254</v>
      </c>
    </row>
    <row r="292" spans="1:10">
      <c r="A292" s="20">
        <v>290</v>
      </c>
      <c r="B292" s="29">
        <v>47.417087667751957</v>
      </c>
      <c r="C292" s="28">
        <f ca="1">OFFSET($B292,1*(ROWS(C$2:C292)-1),0)</f>
        <v>8.6865705767644101</v>
      </c>
      <c r="D292" s="27">
        <f>Ft!B$3*EXP(Ft!B$38*($A292-Ft!B$2)^2) +Ft!C$3*EXP(Ft!C$38*($A292-Ft!C$2)^2) + Ft!D$3*EXP(Ft!D$38*($A292-Ft!D$2)^2)+Ft!E$3*EXP(Ft!E$38*($A292-Ft!E$2)^2) +Ft!F$3*EXP(Ft!F$38*($A292-Ft!F$2)^2) + Ft!G$3*EXP(Ft!G$38*($A292-Ft!G$2)^2)</f>
        <v>225.12356709624186</v>
      </c>
      <c r="E292" s="27">
        <f>Ft!B$3*EXP(Ft!B$38*($A292-Ft!B$2)^2)</f>
        <v>96.796697780851616</v>
      </c>
      <c r="F292" s="27">
        <f>Ft!C$3*EXP(Ft!C$38*($A292-Ft!C$2)^2)</f>
        <v>37.195030543090063</v>
      </c>
      <c r="G292" s="27">
        <f>Ft!D$3*EXP(Ft!D$38*($A292-Ft!D$2)^2)</f>
        <v>9.9448915626274328E-7</v>
      </c>
      <c r="H292" s="27">
        <f>Ft!E$3*EXP(Ft!E$38*($A292-Ft!E$2)^2)</f>
        <v>29.276590019549921</v>
      </c>
      <c r="I292" s="27">
        <f>Ft!F$3*EXP(Ft!F$38*($A292-Ft!F$2)^2)</f>
        <v>15.4220099396686</v>
      </c>
      <c r="J292" s="27">
        <f>Ft!G$3*EXP(Ft!G$38*($A292-Ft!G$2)^2)</f>
        <v>46.433237818592474</v>
      </c>
    </row>
    <row r="293" spans="1:10">
      <c r="A293" s="20">
        <v>291</v>
      </c>
      <c r="B293" s="29">
        <v>47.5053881276543</v>
      </c>
      <c r="C293" s="28">
        <f ca="1">OFFSET($B293,1*(ROWS(C$2:C293)-1),0)</f>
        <v>8.4965434086334994</v>
      </c>
      <c r="D293" s="27">
        <f>Ft!B$3*EXP(Ft!B$38*($A293-Ft!B$2)^2) +Ft!C$3*EXP(Ft!C$38*($A293-Ft!C$2)^2) + Ft!D$3*EXP(Ft!D$38*($A293-Ft!D$2)^2)+Ft!E$3*EXP(Ft!E$38*($A293-Ft!E$2)^2) +Ft!F$3*EXP(Ft!F$38*($A293-Ft!F$2)^2) + Ft!G$3*EXP(Ft!G$38*($A293-Ft!G$2)^2)</f>
        <v>225.25877351794861</v>
      </c>
      <c r="E293" s="27">
        <f>Ft!B$3*EXP(Ft!B$38*($A293-Ft!B$2)^2)</f>
        <v>96.560371060795845</v>
      </c>
      <c r="F293" s="27">
        <f>Ft!C$3*EXP(Ft!C$38*($A293-Ft!C$2)^2)</f>
        <v>37.245319449946081</v>
      </c>
      <c r="G293" s="27">
        <f>Ft!D$3*EXP(Ft!D$38*($A293-Ft!D$2)^2)</f>
        <v>1.2131933121165934E-6</v>
      </c>
      <c r="H293" s="27">
        <f>Ft!E$3*EXP(Ft!E$38*($A293-Ft!E$2)^2)</f>
        <v>29.459365437130721</v>
      </c>
      <c r="I293" s="27">
        <f>Ft!F$3*EXP(Ft!F$38*($A293-Ft!F$2)^2)</f>
        <v>15.481917493566135</v>
      </c>
      <c r="J293" s="27">
        <f>Ft!G$3*EXP(Ft!G$38*($A293-Ft!G$2)^2)</f>
        <v>46.511798863316528</v>
      </c>
    </row>
    <row r="294" spans="1:10">
      <c r="A294" s="20">
        <v>292</v>
      </c>
      <c r="B294" s="29">
        <v>47.575802466907845</v>
      </c>
      <c r="C294" s="28">
        <f ca="1">OFFSET($B294,1*(ROWS(C$2:C294)-1),0)</f>
        <v>8.3536964811592611</v>
      </c>
      <c r="D294" s="27">
        <f>Ft!B$3*EXP(Ft!B$38*($A294-Ft!B$2)^2) +Ft!C$3*EXP(Ft!C$38*($A294-Ft!C$2)^2) + Ft!D$3*EXP(Ft!D$38*($A294-Ft!D$2)^2)+Ft!E$3*EXP(Ft!E$38*($A294-Ft!E$2)^2) +Ft!F$3*EXP(Ft!F$38*($A294-Ft!F$2)^2) + Ft!G$3*EXP(Ft!G$38*($A294-Ft!G$2)^2)</f>
        <v>225.39389980734077</v>
      </c>
      <c r="E294" s="27">
        <f>Ft!B$3*EXP(Ft!B$38*($A294-Ft!B$2)^2)</f>
        <v>96.324161696761223</v>
      </c>
      <c r="F294" s="27">
        <f>Ft!C$3*EXP(Ft!C$38*($A294-Ft!C$2)^2)</f>
        <v>37.295593965115728</v>
      </c>
      <c r="G294" s="27">
        <f>Ft!D$3*EXP(Ft!D$38*($A294-Ft!D$2)^2)</f>
        <v>1.4779542300429518E-6</v>
      </c>
      <c r="H294" s="27">
        <f>Ft!E$3*EXP(Ft!E$38*($A294-Ft!E$2)^2)</f>
        <v>29.642852245412321</v>
      </c>
      <c r="I294" s="27">
        <f>Ft!F$3*EXP(Ft!F$38*($A294-Ft!F$2)^2)</f>
        <v>15.542006587486643</v>
      </c>
      <c r="J294" s="27">
        <f>Ft!G$3*EXP(Ft!G$38*($A294-Ft!G$2)^2)</f>
        <v>46.589283834610619</v>
      </c>
    </row>
    <row r="295" spans="1:10">
      <c r="A295" s="20">
        <v>293</v>
      </c>
      <c r="B295" s="29">
        <v>47.659015172282437</v>
      </c>
      <c r="C295" s="28">
        <f ca="1">OFFSET($B295,1*(ROWS(C$2:C295)-1),0)</f>
        <v>8.2190457204678466</v>
      </c>
      <c r="D295" s="27">
        <f>Ft!B$3*EXP(Ft!B$38*($A295-Ft!B$2)^2) +Ft!C$3*EXP(Ft!C$38*($A295-Ft!C$2)^2) + Ft!D$3*EXP(Ft!D$38*($A295-Ft!D$2)^2)+Ft!E$3*EXP(Ft!E$38*($A295-Ft!E$2)^2) +Ft!F$3*EXP(Ft!F$38*($A295-Ft!F$2)^2) + Ft!G$3*EXP(Ft!G$38*($A295-Ft!G$2)^2)</f>
        <v>225.52894128207186</v>
      </c>
      <c r="E295" s="27">
        <f>Ft!B$3*EXP(Ft!B$38*($A295-Ft!B$2)^2)</f>
        <v>96.088071653138655</v>
      </c>
      <c r="F295" s="27">
        <f>Ft!C$3*EXP(Ft!C$38*($A295-Ft!C$2)^2)</f>
        <v>37.345853846916029</v>
      </c>
      <c r="G295" s="27">
        <f>Ft!D$3*EXP(Ft!D$38*($A295-Ft!D$2)^2)</f>
        <v>1.7980136477573942E-6</v>
      </c>
      <c r="H295" s="27">
        <f>Ft!E$3*EXP(Ft!E$38*($A295-Ft!E$2)^2)</f>
        <v>29.827049539332954</v>
      </c>
      <c r="I295" s="27">
        <f>Ft!F$3*EXP(Ft!F$38*($A295-Ft!F$2)^2)</f>
        <v>15.602277529564354</v>
      </c>
      <c r="J295" s="27">
        <f>Ft!G$3*EXP(Ft!G$38*($A295-Ft!G$2)^2)</f>
        <v>46.665686915106228</v>
      </c>
    </row>
    <row r="296" spans="1:10">
      <c r="A296" s="20">
        <v>294</v>
      </c>
      <c r="B296" s="29">
        <v>47.727399033613892</v>
      </c>
      <c r="C296" s="28">
        <f ca="1">OFFSET($B296,1*(ROWS(C$2:C296)-1),0)</f>
        <v>8.1148999630058825</v>
      </c>
      <c r="D296" s="27">
        <f>Ft!B$3*EXP(Ft!B$38*($A296-Ft!B$2)^2) +Ft!C$3*EXP(Ft!C$38*($A296-Ft!C$2)^2) + Ft!D$3*EXP(Ft!D$38*($A296-Ft!D$2)^2)+Ft!E$3*EXP(Ft!E$38*($A296-Ft!E$2)^2) +Ft!F$3*EXP(Ft!F$38*($A296-Ft!F$2)^2) + Ft!G$3*EXP(Ft!G$38*($A296-Ft!G$2)^2)</f>
        <v>225.6638932922564</v>
      </c>
      <c r="E296" s="27">
        <f>Ft!B$3*EXP(Ft!B$38*($A296-Ft!B$2)^2)</f>
        <v>95.852102887803085</v>
      </c>
      <c r="F296" s="27">
        <f>Ft!C$3*EXP(Ft!C$38*($A296-Ft!C$2)^2)</f>
        <v>37.396098853435099</v>
      </c>
      <c r="G296" s="27">
        <f>Ft!D$3*EXP(Ft!D$38*($A296-Ft!D$2)^2)</f>
        <v>2.1843690011677717E-6</v>
      </c>
      <c r="H296" s="27">
        <f>Ft!E$3*EXP(Ft!E$38*($A296-Ft!E$2)^2)</f>
        <v>30.011956377208357</v>
      </c>
      <c r="I296" s="27">
        <f>Ft!F$3*EXP(Ft!F$38*($A296-Ft!F$2)^2)</f>
        <v>15.662730627329209</v>
      </c>
      <c r="J296" s="27">
        <f>Ft!G$3*EXP(Ft!G$38*($A296-Ft!G$2)^2)</f>
        <v>46.741002362111658</v>
      </c>
    </row>
    <row r="297" spans="1:10">
      <c r="A297" s="20">
        <v>295</v>
      </c>
      <c r="B297" s="29">
        <v>47.835509013016917</v>
      </c>
      <c r="C297" s="28">
        <f ca="1">OFFSET($B297,1*(ROWS(C$2:C297)-1),0)</f>
        <v>8.0080245946963373</v>
      </c>
      <c r="D297" s="27">
        <f>Ft!B$3*EXP(Ft!B$38*($A297-Ft!B$2)^2) +Ft!C$3*EXP(Ft!C$38*($A297-Ft!C$2)^2) + Ft!D$3*EXP(Ft!D$38*($A297-Ft!D$2)^2)+Ft!E$3*EXP(Ft!E$38*($A297-Ft!E$2)^2) +Ft!F$3*EXP(Ft!F$38*($A297-Ft!F$2)^2) + Ft!G$3*EXP(Ft!G$38*($A297-Ft!G$2)^2)</f>
        <v>225.79875122130287</v>
      </c>
      <c r="E297" s="27">
        <f>Ft!B$3*EXP(Ft!B$38*($A297-Ft!B$2)^2)</f>
        <v>95.616257352091978</v>
      </c>
      <c r="F297" s="27">
        <f>Ft!C$3*EXP(Ft!C$38*($A297-Ft!C$2)^2)</f>
        <v>37.446328742533943</v>
      </c>
      <c r="G297" s="27">
        <f>Ft!D$3*EXP(Ft!D$38*($A297-Ft!D$2)^2)</f>
        <v>2.6500864854785531E-6</v>
      </c>
      <c r="H297" s="27">
        <f>Ft!E$3*EXP(Ft!E$38*($A297-Ft!E$2)^2)</f>
        <v>30.197571780558988</v>
      </c>
      <c r="I297" s="27">
        <f>Ft!F$3*EXP(Ft!F$38*($A297-Ft!F$2)^2)</f>
        <v>15.723366187700423</v>
      </c>
      <c r="J297" s="27">
        <f>Ft!G$3*EXP(Ft!G$38*($A297-Ft!G$2)^2)</f>
        <v>46.815224508331049</v>
      </c>
    </row>
    <row r="298" spans="1:10">
      <c r="A298" s="20">
        <v>296</v>
      </c>
      <c r="B298" s="29">
        <v>47.947038208703447</v>
      </c>
      <c r="C298" s="28">
        <f ca="1">OFFSET($B298,1*(ROWS(C$2:C298)-1),0)</f>
        <v>7.8875015152045478</v>
      </c>
      <c r="D298" s="27">
        <f>Ft!B$3*EXP(Ft!B$38*($A298-Ft!B$2)^2) +Ft!C$3*EXP(Ft!C$38*($A298-Ft!C$2)^2) + Ft!D$3*EXP(Ft!D$38*($A298-Ft!D$2)^2)+Ft!E$3*EXP(Ft!E$38*($A298-Ft!E$2)^2) +Ft!F$3*EXP(Ft!F$38*($A298-Ft!F$2)^2) + Ft!G$3*EXP(Ft!G$38*($A298-Ft!G$2)^2)</f>
        <v>225.93351048679233</v>
      </c>
      <c r="E298" s="27">
        <f>Ft!B$3*EXP(Ft!B$38*($A298-Ft!B$2)^2)</f>
        <v>95.380536990784435</v>
      </c>
      <c r="F298" s="27">
        <f>Ft!C$3*EXP(Ft!C$38*($A298-Ft!C$2)^2)</f>
        <v>37.496543271848317</v>
      </c>
      <c r="G298" s="27">
        <f>Ft!D$3*EXP(Ft!D$38*($A298-Ft!D$2)^2)</f>
        <v>3.2106658722195369E-6</v>
      </c>
      <c r="H298" s="27">
        <f>Ft!E$3*EXP(Ft!E$38*($A298-Ft!E$2)^2)</f>
        <v>30.383894733938831</v>
      </c>
      <c r="I298" s="27">
        <f>Ft!F$3*EXP(Ft!F$38*($A298-Ft!F$2)^2)</f>
        <v>15.784184516980082</v>
      </c>
      <c r="J298" s="27">
        <f>Ft!G$3*EXP(Ft!G$38*($A298-Ft!G$2)^2)</f>
        <v>46.888347762574789</v>
      </c>
    </row>
    <row r="299" spans="1:10">
      <c r="A299" s="20">
        <v>297</v>
      </c>
      <c r="B299" s="29">
        <v>48.02881043605629</v>
      </c>
      <c r="C299" s="28">
        <f ca="1">OFFSET($B299,1*(ROWS(C$2:C299)-1),0)</f>
        <v>7.7665382062700701</v>
      </c>
      <c r="D299" s="27">
        <f>Ft!B$3*EXP(Ft!B$38*($A299-Ft!B$2)^2) +Ft!C$3*EXP(Ft!C$38*($A299-Ft!C$2)^2) + Ft!D$3*EXP(Ft!D$38*($A299-Ft!D$2)^2)+Ft!E$3*EXP(Ft!E$38*($A299-Ft!E$2)^2) +Ft!F$3*EXP(Ft!F$38*($A299-Ft!F$2)^2) + Ft!G$3*EXP(Ft!G$38*($A299-Ft!G$2)^2)</f>
        <v>226.06816654140911</v>
      </c>
      <c r="E299" s="27">
        <f>Ft!B$3*EXP(Ft!B$38*($A299-Ft!B$2)^2)</f>
        <v>95.144943742079988</v>
      </c>
      <c r="F299" s="27">
        <f>Ft!C$3*EXP(Ft!C$38*($A299-Ft!C$2)^2)</f>
        <v>37.546742198790575</v>
      </c>
      <c r="G299" s="27">
        <f>Ft!D$3*EXP(Ft!D$38*($A299-Ft!D$2)^2)</f>
        <v>3.8844648674625668E-6</v>
      </c>
      <c r="H299" s="27">
        <f>Ft!E$3*EXP(Ft!E$38*($A299-Ft!E$2)^2)</f>
        <v>30.570924184765801</v>
      </c>
      <c r="I299" s="27">
        <f>Ft!F$3*EXP(Ft!F$38*($A299-Ft!F$2)^2)</f>
        <v>15.845185920846719</v>
      </c>
      <c r="J299" s="27">
        <f>Ft!G$3*EXP(Ft!G$38*($A299-Ft!G$2)^2)</f>
        <v>46.960366610461158</v>
      </c>
    </row>
    <row r="300" spans="1:10">
      <c r="A300" s="20">
        <v>298</v>
      </c>
      <c r="B300" s="29">
        <v>48.10180977345297</v>
      </c>
      <c r="C300" s="28">
        <f ca="1">OFFSET($B300,1*(ROWS(C$2:C300)-1),0)</f>
        <v>7.5748915398404222</v>
      </c>
      <c r="D300" s="27">
        <f>Ft!B$3*EXP(Ft!B$38*($A300-Ft!B$2)^2) +Ft!C$3*EXP(Ft!C$38*($A300-Ft!C$2)^2) + Ft!D$3*EXP(Ft!D$38*($A300-Ft!D$2)^2)+Ft!E$3*EXP(Ft!E$38*($A300-Ft!E$2)^2) +Ft!F$3*EXP(Ft!F$38*($A300-Ft!F$2)^2) + Ft!G$3*EXP(Ft!G$38*($A300-Ft!G$2)^2)</f>
        <v>226.20271487393319</v>
      </c>
      <c r="E300" s="27">
        <f>Ft!B$3*EXP(Ft!B$38*($A300-Ft!B$2)^2)</f>
        <v>94.909479537578065</v>
      </c>
      <c r="F300" s="27">
        <f>Ft!C$3*EXP(Ft!C$38*($A300-Ft!C$2)^2)</f>
        <v>37.59692528055146</v>
      </c>
      <c r="G300" s="27">
        <f>Ft!D$3*EXP(Ft!D$38*($A300-Ft!D$2)^2)</f>
        <v>4.693191828162603E-6</v>
      </c>
      <c r="H300" s="27">
        <f>Ft!E$3*EXP(Ft!E$38*($A300-Ft!E$2)^2)</f>
        <v>30.758659043153855</v>
      </c>
      <c r="I300" s="27">
        <f>Ft!F$3*EXP(Ft!F$38*($A300-Ft!F$2)^2)</f>
        <v>15.906370704348877</v>
      </c>
      <c r="J300" s="27">
        <f>Ft!G$3*EXP(Ft!G$38*($A300-Ft!G$2)^2)</f>
        <v>47.031275615109124</v>
      </c>
    </row>
    <row r="301" spans="1:10">
      <c r="A301" s="20">
        <v>299</v>
      </c>
      <c r="B301" s="29">
        <v>48.157371816330283</v>
      </c>
      <c r="C301" s="28">
        <f ca="1">OFFSET($B301,1*(ROWS(C$2:C301)-1),0)</f>
        <v>7.3814340263830331</v>
      </c>
      <c r="D301" s="27">
        <f>Ft!B$3*EXP(Ft!B$38*($A301-Ft!B$2)^2) +Ft!C$3*EXP(Ft!C$38*($A301-Ft!C$2)^2) + Ft!D$3*EXP(Ft!D$38*($A301-Ft!D$2)^2)+Ft!E$3*EXP(Ft!E$38*($A301-Ft!E$2)^2) +Ft!F$3*EXP(Ft!F$38*($A301-Ft!F$2)^2) + Ft!G$3*EXP(Ft!G$38*($A301-Ft!G$2)^2)</f>
        <v>226.33715101030376</v>
      </c>
      <c r="E301" s="27">
        <f>Ft!B$3*EXP(Ft!B$38*($A301-Ft!B$2)^2)</f>
        <v>94.67414630225737</v>
      </c>
      <c r="F301" s="27">
        <f>Ft!C$3*EXP(Ft!C$38*($A301-Ft!C$2)^2)</f>
        <v>37.647092274102036</v>
      </c>
      <c r="G301" s="27">
        <f>Ft!D$3*EXP(Ft!D$38*($A301-Ft!D$2)^2)</f>
        <v>5.6624767978683443E-6</v>
      </c>
      <c r="H301" s="27">
        <f>Ft!E$3*EXP(Ft!E$38*($A301-Ft!E$2)^2)</f>
        <v>30.947098181746767</v>
      </c>
      <c r="I301" s="27">
        <f>Ft!F$3*EXP(Ft!F$38*($A301-Ft!F$2)^2)</f>
        <v>15.9677391718986</v>
      </c>
      <c r="J301" s="27">
        <f>Ft!G$3*EXP(Ft!G$38*($A301-Ft!G$2)^2)</f>
        <v>47.101069417822167</v>
      </c>
    </row>
    <row r="302" spans="1:10">
      <c r="A302" s="20">
        <v>300</v>
      </c>
      <c r="B302" s="29">
        <v>48.226219882416245</v>
      </c>
      <c r="C302" s="28">
        <f ca="1">OFFSET($B302,1*(ROWS(C$2:C302)-1),0)</f>
        <v>7.1614522016893147</v>
      </c>
      <c r="D302" s="27">
        <f>Ft!B$3*EXP(Ft!B$38*($A302-Ft!B$2)^2) +Ft!C$3*EXP(Ft!C$38*($A302-Ft!C$2)^2) + Ft!D$3*EXP(Ft!D$38*($A302-Ft!D$2)^2)+Ft!E$3*EXP(Ft!E$38*($A302-Ft!E$2)^2) +Ft!F$3*EXP(Ft!F$38*($A302-Ft!F$2)^2) + Ft!G$3*EXP(Ft!G$38*($A302-Ft!G$2)^2)</f>
        <v>226.47147051476472</v>
      </c>
      <c r="E302" s="27">
        <f>Ft!B$3*EXP(Ft!B$38*($A302-Ft!B$2)^2)</f>
        <v>94.438945954455605</v>
      </c>
      <c r="F302" s="27">
        <f>Ft!C$3*EXP(Ft!C$38*($A302-Ft!C$2)^2)</f>
        <v>37.69724293619548</v>
      </c>
      <c r="G302" s="27">
        <f>Ft!D$3*EXP(Ft!D$38*($A302-Ft!D$2)^2)</f>
        <v>6.8225320882554582E-6</v>
      </c>
      <c r="H302" s="27">
        <f>Ft!E$3*EXP(Ft!E$38*($A302-Ft!E$2)^2)</f>
        <v>31.13624043555355</v>
      </c>
      <c r="I302" s="27">
        <f>Ft!F$3*EXP(Ft!F$38*($A302-Ft!F$2)^2)</f>
        <v>16.029291627265046</v>
      </c>
      <c r="J302" s="27">
        <f>Ft!G$3*EXP(Ft!G$38*($A302-Ft!G$2)^2)</f>
        <v>47.169742738762928</v>
      </c>
    </row>
    <row r="303" spans="1:10">
      <c r="A303" s="20">
        <v>301</v>
      </c>
      <c r="B303" s="29">
        <v>48.292257834274039</v>
      </c>
      <c r="C303" s="28">
        <f ca="1">OFFSET($B303,1*(ROWS(C$2:C303)-1),0)</f>
        <v>6.8944704357864453</v>
      </c>
      <c r="D303" s="27">
        <f>Ft!B$3*EXP(Ft!B$38*($A303-Ft!B$2)^2) +Ft!C$3*EXP(Ft!C$38*($A303-Ft!C$2)^2) + Ft!D$3*EXP(Ft!D$38*($A303-Ft!D$2)^2)+Ft!E$3*EXP(Ft!E$38*($A303-Ft!E$2)^2) +Ft!F$3*EXP(Ft!F$38*($A303-Ft!F$2)^2) + Ft!G$3*EXP(Ft!G$38*($A303-Ft!G$2)^2)</f>
        <v>226.60566899110563</v>
      </c>
      <c r="E303" s="27">
        <f>Ft!B$3*EXP(Ft!B$38*($A303-Ft!B$2)^2)</f>
        <v>94.203880405849375</v>
      </c>
      <c r="F303" s="27">
        <f>Ft!C$3*EXP(Ft!C$38*($A303-Ft!C$2)^2)</f>
        <v>37.747377023368962</v>
      </c>
      <c r="G303" s="27">
        <f>Ft!D$3*EXP(Ft!D$38*($A303-Ft!D$2)^2)</f>
        <v>8.2089150272215498E-6</v>
      </c>
      <c r="H303" s="27">
        <f>Ft!E$3*EXP(Ft!E$38*($A303-Ft!E$2)^2)</f>
        <v>31.326084601785674</v>
      </c>
      <c r="I303" s="27">
        <f>Ft!F$3*EXP(Ft!F$38*($A303-Ft!F$2)^2)</f>
        <v>16.091028373567898</v>
      </c>
      <c r="J303" s="27">
        <f>Ft!G$3*EXP(Ft!G$38*($A303-Ft!G$2)^2)</f>
        <v>47.237290377618692</v>
      </c>
    </row>
    <row r="304" spans="1:10">
      <c r="A304" s="20">
        <v>302</v>
      </c>
      <c r="B304" s="29">
        <v>48.338221628167645</v>
      </c>
      <c r="C304" s="28">
        <f ca="1">OFFSET($B304,1*(ROWS(C$2:C304)-1),0)</f>
        <v>6.6404165064416816</v>
      </c>
      <c r="D304" s="27">
        <f>Ft!B$3*EXP(Ft!B$38*($A304-Ft!B$2)^2) +Ft!C$3*EXP(Ft!C$38*($A304-Ft!C$2)^2) + Ft!D$3*EXP(Ft!D$38*($A304-Ft!D$2)^2)+Ft!E$3*EXP(Ft!E$38*($A304-Ft!E$2)^2) +Ft!F$3*EXP(Ft!F$38*($A304-Ft!F$2)^2) + Ft!G$3*EXP(Ft!G$38*($A304-Ft!G$2)^2)</f>
        <v>226.73974208401125</v>
      </c>
      <c r="E304" s="27">
        <f>Ft!B$3*EXP(Ft!B$38*($A304-Ft!B$2)^2)</f>
        <v>93.968951561434267</v>
      </c>
      <c r="F304" s="27">
        <f>Ft!C$3*EXP(Ft!C$38*($A304-Ft!C$2)^2)</f>
        <v>37.797494291945519</v>
      </c>
      <c r="G304" s="27">
        <f>Ft!D$3*EXP(Ft!D$38*($A304-Ft!D$2)^2)</f>
        <v>9.8634070255799209E-6</v>
      </c>
      <c r="H304" s="27">
        <f>Ft!E$3*EXP(Ft!E$38*($A304-Ft!E$2)^2)</f>
        <v>31.51662943969599</v>
      </c>
      <c r="I304" s="27">
        <f>Ft!F$3*EXP(Ft!F$38*($A304-Ft!F$2)^2)</f>
        <v>16.152949713270935</v>
      </c>
      <c r="J304" s="27">
        <f>Ft!G$3*EXP(Ft!G$38*($A304-Ft!G$2)^2)</f>
        <v>47.303707214257514</v>
      </c>
    </row>
    <row r="305" spans="1:10">
      <c r="A305" s="20">
        <v>303</v>
      </c>
      <c r="B305" s="29">
        <v>48.323014388127916</v>
      </c>
      <c r="C305" s="28">
        <f ca="1">OFFSET($B305,1*(ROWS(C$2:C305)-1),0)</f>
        <v>6.3676882512875181</v>
      </c>
      <c r="D305" s="27">
        <f>Ft!B$3*EXP(Ft!B$38*($A305-Ft!B$2)^2) +Ft!C$3*EXP(Ft!C$38*($A305-Ft!C$2)^2) + Ft!D$3*EXP(Ft!D$38*($A305-Ft!D$2)^2)+Ft!E$3*EXP(Ft!E$38*($A305-Ft!E$2)^2) +Ft!F$3*EXP(Ft!F$38*($A305-Ft!F$2)^2) + Ft!G$3*EXP(Ft!G$38*($A305-Ft!G$2)^2)</f>
        <v>226.87368548053576</v>
      </c>
      <c r="E305" s="27">
        <f>Ft!B$3*EXP(Ft!B$38*($A305-Ft!B$2)^2)</f>
        <v>93.734161319505191</v>
      </c>
      <c r="F305" s="27">
        <f>Ft!C$3*EXP(Ft!C$38*($A305-Ft!C$2)^2)</f>
        <v>37.84759449803591</v>
      </c>
      <c r="G305" s="27">
        <f>Ft!D$3*EXP(Ft!D$38*($A305-Ft!D$2)^2)</f>
        <v>1.1835024790209278E-5</v>
      </c>
      <c r="H305" s="27">
        <f>Ft!E$3*EXP(Ft!E$38*($A305-Ft!E$2)^2)</f>
        <v>31.707873670419492</v>
      </c>
      <c r="I305" s="27">
        <f>Ft!F$3*EXP(Ft!F$38*($A305-Ft!F$2)^2)</f>
        <v>16.215055948175479</v>
      </c>
      <c r="J305" s="27">
        <f>Ft!G$3*EXP(Ft!G$38*($A305-Ft!G$2)^2)</f>
        <v>47.368988209374848</v>
      </c>
    </row>
    <row r="306" spans="1:10">
      <c r="A306" s="20">
        <v>304</v>
      </c>
      <c r="B306" s="29">
        <v>48.305268424173534</v>
      </c>
      <c r="C306" s="28">
        <f ca="1">OFFSET($B306,1*(ROWS(C$2:C306)-1),0)</f>
        <v>6.0931337613878611</v>
      </c>
      <c r="D306" s="27">
        <f>Ft!B$3*EXP(Ft!B$38*($A306-Ft!B$2)^2) +Ft!C$3*EXP(Ft!C$38*($A306-Ft!C$2)^2) + Ft!D$3*EXP(Ft!D$38*($A306-Ft!D$2)^2)+Ft!E$3*EXP(Ft!E$38*($A306-Ft!E$2)^2) +Ft!F$3*EXP(Ft!F$38*($A306-Ft!F$2)^2) + Ft!G$3*EXP(Ft!G$38*($A306-Ft!G$2)^2)</f>
        <v>227.00749491171896</v>
      </c>
      <c r="E306" s="27">
        <f>Ft!B$3*EXP(Ft!B$38*($A306-Ft!B$2)^2)</f>
        <v>93.499511571636873</v>
      </c>
      <c r="F306" s="27">
        <f>Ft!C$3*EXP(Ft!C$38*($A306-Ft!C$2)^2)</f>
        <v>37.897677397540491</v>
      </c>
      <c r="G306" s="27">
        <f>Ft!D$3*EXP(Ft!D$38*($A306-Ft!D$2)^2)</f>
        <v>1.4181181338732926E-5</v>
      </c>
      <c r="H306" s="27">
        <f>Ft!E$3*EXP(Ft!E$38*($A306-Ft!E$2)^2)</f>
        <v>31.899815976815781</v>
      </c>
      <c r="I306" s="27">
        <f>Ft!F$3*EXP(Ft!F$38*($A306-Ft!F$2)^2)</f>
        <v>16.277347379413879</v>
      </c>
      <c r="J306" s="27">
        <f>Ft!G$3*EXP(Ft!G$38*($A306-Ft!G$2)^2)</f>
        <v>47.433128405130624</v>
      </c>
    </row>
    <row r="307" spans="1:10">
      <c r="A307" s="20">
        <v>305</v>
      </c>
      <c r="B307" s="29">
        <v>48.284450351471776</v>
      </c>
      <c r="C307" s="28">
        <f ca="1">OFFSET($B307,1*(ROWS(C$2:C307)-1),0)</f>
        <v>5.7872068303655908</v>
      </c>
      <c r="D307" s="27">
        <f>Ft!B$3*EXP(Ft!B$38*($A307-Ft!B$2)^2) +Ft!C$3*EXP(Ft!C$38*($A307-Ft!C$2)^2) + Ft!D$3*EXP(Ft!D$38*($A307-Ft!D$2)^2)+Ft!E$3*EXP(Ft!E$38*($A307-Ft!E$2)^2) +Ft!F$3*EXP(Ft!F$38*($A307-Ft!F$2)^2) + Ft!G$3*EXP(Ft!G$38*($A307-Ft!G$2)^2)</f>
        <v>227.14116615436524</v>
      </c>
      <c r="E307" s="27">
        <f>Ft!B$3*EXP(Ft!B$38*($A307-Ft!B$2)^2)</f>
        <v>93.265004202664642</v>
      </c>
      <c r="F307" s="27">
        <f>Ft!C$3*EXP(Ft!C$38*($A307-Ft!C$2)^2)</f>
        <v>37.947742746151114</v>
      </c>
      <c r="G307" s="27">
        <f>Ft!D$3*EXP(Ft!D$38*($A307-Ft!D$2)^2)</f>
        <v>1.6969016455397666E-5</v>
      </c>
      <c r="H307" s="27">
        <f>Ft!E$3*EXP(Ft!E$38*($A307-Ft!E$2)^2)</f>
        <v>32.092455003313425</v>
      </c>
      <c r="I307" s="27">
        <f>Ft!F$3*EXP(Ft!F$38*($A307-Ft!F$2)^2)</f>
        <v>16.339824307442946</v>
      </c>
      <c r="J307" s="27">
        <f>Ft!G$3*EXP(Ft!G$38*($A307-Ft!G$2)^2)</f>
        <v>47.496122925776668</v>
      </c>
    </row>
    <row r="308" spans="1:10">
      <c r="A308" s="20">
        <v>306</v>
      </c>
      <c r="B308" s="29">
        <v>48.288242600902038</v>
      </c>
      <c r="C308" s="28">
        <f ca="1">OFFSET($B308,1*(ROWS(C$2:C308)-1),0)</f>
        <v>5.4743202600646157</v>
      </c>
      <c r="D308" s="27">
        <f>Ft!B$3*EXP(Ft!B$38*($A308-Ft!B$2)^2) +Ft!C$3*EXP(Ft!C$38*($A308-Ft!C$2)^2) + Ft!D$3*EXP(Ft!D$38*($A308-Ft!D$2)^2)+Ft!E$3*EXP(Ft!E$38*($A308-Ft!E$2)^2) +Ft!F$3*EXP(Ft!F$38*($A308-Ft!F$2)^2) + Ft!G$3*EXP(Ft!G$38*($A308-Ft!G$2)^2)</f>
        <v>227.27469503300455</v>
      </c>
      <c r="E308" s="27">
        <f>Ft!B$3*EXP(Ft!B$38*($A308-Ft!B$2)^2)</f>
        <v>93.030641090665313</v>
      </c>
      <c r="F308" s="27">
        <f>Ft!C$3*EXP(Ft!C$38*($A308-Ft!C$2)^2)</f>
        <v>37.997790299352992</v>
      </c>
      <c r="G308" s="27">
        <f>Ft!D$3*EXP(Ft!D$38*($A308-Ft!D$2)^2)</f>
        <v>2.0276918374632476E-5</v>
      </c>
      <c r="H308" s="27">
        <f>Ft!E$3*EXP(Ft!E$38*($A308-Ft!E$2)^2)</f>
        <v>32.285789355756179</v>
      </c>
      <c r="I308" s="27">
        <f>Ft!F$3*EXP(Ft!F$38*($A308-Ft!F$2)^2)</f>
        <v>16.402487032037431</v>
      </c>
      <c r="J308" s="27">
        <f>Ft!G$3*EXP(Ft!G$38*($A308-Ft!G$2)^2)</f>
        <v>47.557966978274223</v>
      </c>
    </row>
    <row r="309" spans="1:10">
      <c r="A309" s="20">
        <v>307</v>
      </c>
      <c r="B309" s="29">
        <v>48.279102920564469</v>
      </c>
      <c r="C309" s="28">
        <f ca="1">OFFSET($B309,1*(ROWS(C$2:C309)-1),0)</f>
        <v>5.0960320213044952</v>
      </c>
      <c r="D309" s="27">
        <f>Ft!B$3*EXP(Ft!B$38*($A309-Ft!B$2)^2) +Ft!C$3*EXP(Ft!C$38*($A309-Ft!C$2)^2) + Ft!D$3*EXP(Ft!D$38*($A309-Ft!D$2)^2)+Ft!E$3*EXP(Ft!E$38*($A309-Ft!E$2)^2) +Ft!F$3*EXP(Ft!F$38*($A309-Ft!F$2)^2) + Ft!G$3*EXP(Ft!G$38*($A309-Ft!G$2)^2)</f>
        <v>227.40807742206189</v>
      </c>
      <c r="E309" s="27">
        <f>Ft!B$3*EXP(Ft!B$38*($A309-Ft!B$2)^2)</f>
        <v>92.796424106938346</v>
      </c>
      <c r="F309" s="27">
        <f>Ft!C$3*EXP(Ft!C$38*($A309-Ft!C$2)^2)</f>
        <v>38.047819812426582</v>
      </c>
      <c r="G309" s="27">
        <f>Ft!D$3*EXP(Ft!D$38*($A309-Ft!D$2)^2)</f>
        <v>2.4196260791128483E-5</v>
      </c>
      <c r="H309" s="27">
        <f>Ft!E$3*EXP(Ft!E$38*($A309-Ft!E$2)^2)</f>
        <v>32.47981760125105</v>
      </c>
      <c r="I309" s="27">
        <f>Ft!F$3*EXP(Ft!F$38*($A309-Ft!F$2)^2)</f>
        <v>16.465335852283395</v>
      </c>
      <c r="J309" s="27">
        <f>Ft!G$3*EXP(Ft!G$38*($A309-Ft!G$2)^2)</f>
        <v>47.618655852901696</v>
      </c>
    </row>
    <row r="310" spans="1:10">
      <c r="A310" s="20">
        <v>308</v>
      </c>
      <c r="B310" s="29">
        <v>48.277677120078778</v>
      </c>
      <c r="C310" s="28">
        <f ca="1">OFFSET($B310,1*(ROWS(C$2:C310)-1),0)</f>
        <v>4.755012261594743</v>
      </c>
      <c r="D310" s="27">
        <f>Ft!B$3*EXP(Ft!B$38*($A310-Ft!B$2)^2) +Ft!C$3*EXP(Ft!C$38*($A310-Ft!C$2)^2) + Ft!D$3*EXP(Ft!D$38*($A310-Ft!D$2)^2)+Ft!E$3*EXP(Ft!E$38*($A310-Ft!E$2)^2) +Ft!F$3*EXP(Ft!F$38*($A310-Ft!F$2)^2) + Ft!G$3*EXP(Ft!G$38*($A310-Ft!G$2)^2)</f>
        <v>227.54130924826066</v>
      </c>
      <c r="E310" s="27">
        <f>Ft!B$3*EXP(Ft!B$38*($A310-Ft!B$2)^2)</f>
        <v>92.562355115987245</v>
      </c>
      <c r="F310" s="27">
        <f>Ft!C$3*EXP(Ft!C$38*($A310-Ft!C$2)^2)</f>
        <v>38.097831040449506</v>
      </c>
      <c r="G310" s="27">
        <f>Ft!D$3*EXP(Ft!D$38*($A310-Ft!D$2)^2)</f>
        <v>2.8833381774723336E-5</v>
      </c>
      <c r="H310" s="27">
        <f>Ft!E$3*EXP(Ft!E$38*($A310-Ft!E$2)^2)</f>
        <v>32.674538268018196</v>
      </c>
      <c r="I310" s="27">
        <f>Ft!F$3*EXP(Ft!F$38*($A310-Ft!F$2)^2)</f>
        <v>16.528371066571676</v>
      </c>
      <c r="J310" s="27">
        <f>Ft!G$3*EXP(Ft!G$38*($A310-Ft!G$2)^2)</f>
        <v>47.67818492385225</v>
      </c>
    </row>
    <row r="311" spans="1:10">
      <c r="A311" s="20">
        <v>309</v>
      </c>
      <c r="B311" s="29">
        <v>48.272871020068692</v>
      </c>
      <c r="C311" s="28">
        <f ca="1">OFFSET($B311,1*(ROWS(C$2:C311)-1),0)</f>
        <v>4.4290079885812474</v>
      </c>
      <c r="D311" s="27">
        <f>Ft!B$3*EXP(Ft!B$38*($A311-Ft!B$2)^2) +Ft!C$3*EXP(Ft!C$38*($A311-Ft!C$2)^2) + Ft!D$3*EXP(Ft!D$38*($A311-Ft!D$2)^2)+Ft!E$3*EXP(Ft!E$38*($A311-Ft!E$2)^2) +Ft!F$3*EXP(Ft!F$38*($A311-Ft!F$2)^2) + Ft!G$3*EXP(Ft!G$38*($A311-Ft!G$2)^2)</f>
        <v>227.67438649328892</v>
      </c>
      <c r="E311" s="27">
        <f>Ft!B$3*EXP(Ft!B$38*($A311-Ft!B$2)^2)</f>
        <v>92.328435975501122</v>
      </c>
      <c r="F311" s="27">
        <f>Ft!C$3*EXP(Ft!C$38*($A311-Ft!C$2)^2)</f>
        <v>38.147823738298428</v>
      </c>
      <c r="G311" s="27">
        <f>Ft!D$3*EXP(Ft!D$38*($A311-Ft!D$2)^2)</f>
        <v>3.431183381418073E-5</v>
      </c>
      <c r="H311" s="27">
        <f>Ft!E$3*EXP(Ft!E$38*($A311-Ft!E$2)^2)</f>
        <v>32.869949845242964</v>
      </c>
      <c r="I311" s="27">
        <f>Ft!F$3*EXP(Ft!F$38*($A311-Ft!F$2)^2)</f>
        <v>16.591592972591243</v>
      </c>
      <c r="J311" s="27">
        <f>Ft!G$3*EXP(Ft!G$38*($A311-Ft!G$2)^2)</f>
        <v>47.736549649821377</v>
      </c>
    </row>
    <row r="312" spans="1:10">
      <c r="A312" s="20">
        <v>310</v>
      </c>
      <c r="B312" s="29">
        <v>48.289875596066395</v>
      </c>
      <c r="C312" s="28">
        <f ca="1">OFFSET($B312,1*(ROWS(C$2:C312)-1),0)</f>
        <v>4.143488832414107</v>
      </c>
      <c r="D312" s="27">
        <f>Ft!B$3*EXP(Ft!B$38*($A312-Ft!B$2)^2) +Ft!C$3*EXP(Ft!C$38*($A312-Ft!C$2)^2) + Ft!D$3*EXP(Ft!D$38*($A312-Ft!D$2)^2)+Ft!E$3*EXP(Ft!E$38*($A312-Ft!E$2)^2) +Ft!F$3*EXP(Ft!F$38*($A312-Ft!F$2)^2) + Ft!G$3*EXP(Ft!G$38*($A312-Ft!G$2)^2)</f>
        <v>227.80730519676072</v>
      </c>
      <c r="E312" s="27">
        <f>Ft!B$3*EXP(Ft!B$38*($A312-Ft!B$2)^2)</f>
        <v>92.094668536336343</v>
      </c>
      <c r="F312" s="27">
        <f>Ft!C$3*EXP(Ft!C$38*($A312-Ft!C$2)^2)</f>
        <v>38.197797660650942</v>
      </c>
      <c r="G312" s="27">
        <f>Ft!D$3*EXP(Ft!D$38*($A312-Ft!D$2)^2)</f>
        <v>4.0774937022796533E-5</v>
      </c>
      <c r="H312" s="27">
        <f>Ft!E$3*EXP(Ft!E$38*($A312-Ft!E$2)^2)</f>
        <v>33.06605078292958</v>
      </c>
      <c r="I312" s="27">
        <f>Ft!F$3*EXP(Ft!F$38*($A312-Ft!F$2)^2)</f>
        <v>16.655001867322643</v>
      </c>
      <c r="J312" s="27">
        <f>Ft!G$3*EXP(Ft!G$38*($A312-Ft!G$2)^2)</f>
        <v>47.7937455745842</v>
      </c>
    </row>
    <row r="313" spans="1:10">
      <c r="A313" s="20">
        <v>311</v>
      </c>
      <c r="B313" s="29">
        <v>48.27411620300731</v>
      </c>
      <c r="C313" s="28">
        <f ca="1">OFFSET($B313,1*(ROWS(C$2:C313)-1),0)</f>
        <v>3.7753173940984937</v>
      </c>
      <c r="D313" s="27">
        <f>Ft!B$3*EXP(Ft!B$38*($A313-Ft!B$2)^2) +Ft!C$3*EXP(Ft!C$38*($A313-Ft!C$2)^2) + Ft!D$3*EXP(Ft!D$38*($A313-Ft!D$2)^2)+Ft!E$3*EXP(Ft!E$38*($A313-Ft!E$2)^2) +Ft!F$3*EXP(Ft!F$38*($A313-Ft!F$2)^2) + Ft!G$3*EXP(Ft!G$38*($A313-Ft!G$2)^2)</f>
        <v>227.94006145950758</v>
      </c>
      <c r="E313" s="27">
        <f>Ft!B$3*EXP(Ft!B$38*($A313-Ft!B$2)^2)</f>
        <v>91.861054642498758</v>
      </c>
      <c r="F313" s="27">
        <f>Ft!C$3*EXP(Ft!C$38*($A313-Ft!C$2)^2)</f>
        <v>38.247752561987546</v>
      </c>
      <c r="G313" s="27">
        <f>Ft!D$3*EXP(Ft!D$38*($A313-Ft!D$2)^2)</f>
        <v>4.8388670504172175E-5</v>
      </c>
      <c r="H313" s="27">
        <f>Ft!E$3*EXP(Ft!E$38*($A313-Ft!E$2)^2)</f>
        <v>33.262839491757077</v>
      </c>
      <c r="I313" s="27">
        <f>Ft!F$3*EXP(Ft!F$38*($A313-Ft!F$2)^2)</f>
        <v>16.718598047031271</v>
      </c>
      <c r="J313" s="27">
        <f>Ft!G$3*EXP(Ft!G$38*($A313-Ft!G$2)^2)</f>
        <v>47.849768327562423</v>
      </c>
    </row>
    <row r="314" spans="1:10">
      <c r="A314" s="20">
        <v>312</v>
      </c>
      <c r="B314" s="29">
        <v>48.272978543089778</v>
      </c>
      <c r="C314" s="28">
        <f ca="1">OFFSET($B314,1*(ROWS(C$2:C314)-1),0)</f>
        <v>3.4020476343703194</v>
      </c>
      <c r="D314" s="27">
        <f>Ft!B$3*EXP(Ft!B$38*($A314-Ft!B$2)^2) +Ft!C$3*EXP(Ft!C$38*($A314-Ft!C$2)^2) + Ft!D$3*EXP(Ft!D$38*($A314-Ft!D$2)^2)+Ft!E$3*EXP(Ft!E$38*($A314-Ft!E$2)^2) +Ft!F$3*EXP(Ft!F$38*($A314-Ft!F$2)^2) + Ft!G$3*EXP(Ft!G$38*($A314-Ft!G$2)^2)</f>
        <v>228.07265144723789</v>
      </c>
      <c r="E314" s="27">
        <f>Ft!B$3*EXP(Ft!B$38*($A314-Ft!B$2)^2)</f>
        <v>91.627596131125671</v>
      </c>
      <c r="F314" s="27">
        <f>Ft!C$3*EXP(Ft!C$38*($A314-Ft!C$2)^2)</f>
        <v>38.297688196593469</v>
      </c>
      <c r="G314" s="27">
        <f>Ft!D$3*EXP(Ft!D$38*($A314-Ft!D$2)^2)</f>
        <v>5.7344939988428307E-5</v>
      </c>
      <c r="H314" s="27">
        <f>Ft!E$3*EXP(Ft!E$38*($A314-Ft!E$2)^2)</f>
        <v>33.460314342937025</v>
      </c>
      <c r="I314" s="27">
        <f>Ft!F$3*EXP(Ft!F$38*($A314-Ft!F$2)^2)</f>
        <v>16.782381807260837</v>
      </c>
      <c r="J314" s="27">
        <f>Ft!G$3*EXP(Ft!G$38*($A314-Ft!G$2)^2)</f>
        <v>47.904613624380879</v>
      </c>
    </row>
    <row r="315" spans="1:10">
      <c r="A315" s="20">
        <v>313</v>
      </c>
      <c r="B315" s="29">
        <v>48.285653082453535</v>
      </c>
      <c r="C315" s="28">
        <f ca="1">OFFSET($B315,1*(ROWS(C$2:C315)-1),0)</f>
        <v>3.101959773675361</v>
      </c>
      <c r="D315" s="27">
        <f>Ft!B$3*EXP(Ft!B$38*($A315-Ft!B$2)^2) +Ft!C$3*EXP(Ft!C$38*($A315-Ft!C$2)^2) + Ft!D$3*EXP(Ft!D$38*($A315-Ft!D$2)^2)+Ft!E$3*EXP(Ft!E$38*($A315-Ft!E$2)^2) +Ft!F$3*EXP(Ft!F$38*($A315-Ft!F$2)^2) + Ft!G$3*EXP(Ft!G$38*($A315-Ft!G$2)^2)</f>
        <v>228.20507139460568</v>
      </c>
      <c r="E315" s="27">
        <f>Ft!B$3*EXP(Ft!B$38*($A315-Ft!B$2)^2)</f>
        <v>91.394294832468319</v>
      </c>
      <c r="F315" s="27">
        <f>Ft!C$3*EXP(Ft!C$38*($A315-Ft!C$2)^2)</f>
        <v>38.347604318560634</v>
      </c>
      <c r="G315" s="27">
        <f>Ft!D$3*EXP(Ft!D$38*($A315-Ft!D$2)^2)</f>
        <v>6.7865263093397547E-5</v>
      </c>
      <c r="H315" s="27">
        <f>Ft!E$3*EXP(Ft!E$38*($A315-Ft!E$2)^2)</f>
        <v>33.65847366807342</v>
      </c>
      <c r="I315" s="27">
        <f>Ft!F$3*EXP(Ft!F$38*($A315-Ft!F$2)^2)</f>
        <v>16.846353442826643</v>
      </c>
      <c r="J315" s="27">
        <f>Ft!G$3*EXP(Ft!G$38*($A315-Ft!G$2)^2)</f>
        <v>47.958277267413564</v>
      </c>
    </row>
    <row r="316" spans="1:10">
      <c r="A316" s="20">
        <v>314</v>
      </c>
      <c r="B316" s="29">
        <v>48.293325054205866</v>
      </c>
      <c r="C316" s="28">
        <f ca="1">OFFSET($B316,1*(ROWS(C$2:C316)-1),0)</f>
        <v>2.8482086619251277</v>
      </c>
      <c r="D316" s="27">
        <f>Ft!B$3*EXP(Ft!B$38*($A316-Ft!B$2)^2) +Ft!C$3*EXP(Ft!C$38*($A316-Ft!C$2)^2) + Ft!D$3*EXP(Ft!D$38*($A316-Ft!D$2)^2)+Ft!E$3*EXP(Ft!E$38*($A316-Ft!E$2)^2) +Ft!F$3*EXP(Ft!F$38*($A316-Ft!F$2)^2) + Ft!G$3*EXP(Ft!G$38*($A316-Ft!G$2)^2)</f>
        <v>228.33731760973353</v>
      </c>
      <c r="E316" s="27">
        <f>Ft!B$3*EXP(Ft!B$38*($A316-Ft!B$2)^2)</f>
        <v>91.161152569874574</v>
      </c>
      <c r="F316" s="27">
        <f>Ft!C$3*EXP(Ft!C$38*($A316-Ft!C$2)^2)</f>
        <v>38.397500681789587</v>
      </c>
      <c r="G316" s="27">
        <f>Ft!D$3*EXP(Ft!D$38*($A316-Ft!D$2)^2)</f>
        <v>8.0204916923081577E-5</v>
      </c>
      <c r="H316" s="27">
        <f>Ft!E$3*EXP(Ft!E$38*($A316-Ft!E$2)^2)</f>
        <v>33.857315759024559</v>
      </c>
      <c r="I316" s="27">
        <f>Ft!F$3*EXP(Ft!F$38*($A316-Ft!F$2)^2)</f>
        <v>16.910513247808936</v>
      </c>
      <c r="J316" s="27">
        <f>Ft!G$3*EXP(Ft!G$38*($A316-Ft!G$2)^2)</f>
        <v>48.010755146318971</v>
      </c>
    </row>
    <row r="317" spans="1:10">
      <c r="A317" s="20">
        <v>315</v>
      </c>
      <c r="B317" s="29">
        <v>48.272801797548652</v>
      </c>
      <c r="C317" s="28">
        <f ca="1">OFFSET($B317,1*(ROWS(C$2:C317)-1),0)</f>
        <v>2.5800705780271471</v>
      </c>
      <c r="D317" s="27">
        <f>Ft!B$3*EXP(Ft!B$38*($A317-Ft!B$2)^2) +Ft!C$3*EXP(Ft!C$38*($A317-Ft!C$2)^2) + Ft!D$3*EXP(Ft!D$38*($A317-Ft!D$2)^2)+Ft!E$3*EXP(Ft!E$38*($A317-Ft!E$2)^2) +Ft!F$3*EXP(Ft!F$38*($A317-Ft!F$2)^2) + Ft!G$3*EXP(Ft!G$38*($A317-Ft!G$2)^2)</f>
        <v>228.4693864792371</v>
      </c>
      <c r="E317" s="27">
        <f>Ft!B$3*EXP(Ft!B$38*($A317-Ft!B$2)^2)</f>
        <v>90.928171159771594</v>
      </c>
      <c r="F317" s="27">
        <f>Ft!C$3*EXP(Ft!C$38*($A317-Ft!C$2)^2)</f>
        <v>38.447377039991402</v>
      </c>
      <c r="G317" s="27">
        <f>Ft!D$3*EXP(Ft!D$38*($A317-Ft!D$2)^2)</f>
        <v>9.4657596162757871E-5</v>
      </c>
      <c r="H317" s="27">
        <f>Ft!E$3*EXP(Ft!E$38*($A317-Ft!E$2)^2)</f>
        <v>34.056838867766963</v>
      </c>
      <c r="I317" s="27">
        <f>Ft!F$3*EXP(Ft!F$38*($A317-Ft!F$2)^2)</f>
        <v>16.974861515546198</v>
      </c>
      <c r="J317" s="27">
        <f>Ft!G$3*EXP(Ft!G$38*($A317-Ft!G$2)^2)</f>
        <v>48.062043238564797</v>
      </c>
    </row>
    <row r="318" spans="1:10">
      <c r="A318" s="20">
        <v>316</v>
      </c>
      <c r="B318" s="29">
        <v>48.264178407994535</v>
      </c>
      <c r="C318" s="28">
        <f ca="1">OFFSET($B318,1*(ROWS(C$2:C318)-1),0)</f>
        <v>2.3264812278350746</v>
      </c>
      <c r="D318" s="27">
        <f>Ft!B$3*EXP(Ft!B$38*($A318-Ft!B$2)^2) +Ft!C$3*EXP(Ft!C$38*($A318-Ft!C$2)^2) + Ft!D$3*EXP(Ft!D$38*($A318-Ft!D$2)^2)+Ft!E$3*EXP(Ft!E$38*($A318-Ft!E$2)^2) +Ft!F$3*EXP(Ft!F$38*($A318-Ft!F$2)^2) + Ft!G$3*EXP(Ft!G$38*($A318-Ft!G$2)^2)</f>
        <v>228.6012744738037</v>
      </c>
      <c r="E318" s="27">
        <f>Ft!B$3*EXP(Ft!B$38*($A318-Ft!B$2)^2)</f>
        <v>90.695352411648997</v>
      </c>
      <c r="F318" s="27">
        <f>Ft!C$3*EXP(Ft!C$38*($A318-Ft!C$2)^2)</f>
        <v>38.497233146689631</v>
      </c>
      <c r="G318" s="27">
        <f>Ft!D$3*EXP(Ft!D$38*($A318-Ft!D$2)^2)</f>
        <v>1.1156063333663584E-4</v>
      </c>
      <c r="H318" s="27">
        <f>Ft!E$3*EXP(Ft!E$38*($A318-Ft!E$2)^2)</f>
        <v>34.257041206261448</v>
      </c>
      <c r="I318" s="27">
        <f>Ft!F$3*EXP(Ft!F$38*($A318-Ft!F$2)^2)</f>
        <v>17.039398538628532</v>
      </c>
      <c r="J318" s="27">
        <f>Ft!G$3*EXP(Ft!G$38*($A318-Ft!G$2)^2)</f>
        <v>48.11213760994174</v>
      </c>
    </row>
    <row r="319" spans="1:10">
      <c r="A319" s="20">
        <v>317</v>
      </c>
      <c r="B319" s="29">
        <v>48.279542851968529</v>
      </c>
      <c r="C319" s="28">
        <f ca="1">OFFSET($B319,1*(ROWS(C$2:C319)-1),0)</f>
        <v>2.0727790975968219</v>
      </c>
      <c r="D319" s="27">
        <f>Ft!B$3*EXP(Ft!B$38*($A319-Ft!B$2)^2) +Ft!C$3*EXP(Ft!C$38*($A319-Ft!C$2)^2) + Ft!D$3*EXP(Ft!D$38*($A319-Ft!D$2)^2)+Ft!E$3*EXP(Ft!E$38*($A319-Ft!E$2)^2) +Ft!F$3*EXP(Ft!F$38*($A319-Ft!F$2)^2) + Ft!G$3*EXP(Ft!G$38*($A319-Ft!G$2)^2)</f>
        <v>228.73297815437917</v>
      </c>
      <c r="E319" s="27">
        <f>Ft!B$3*EXP(Ft!B$38*($A319-Ft!B$2)^2)</f>
        <v>90.462698128042007</v>
      </c>
      <c r="F319" s="27">
        <f>Ft!C$3*EXP(Ft!C$38*($A319-Ft!C$2)^2)</f>
        <v>38.547068755222199</v>
      </c>
      <c r="G319" s="27">
        <f>Ft!D$3*EXP(Ft!D$38*($A319-Ft!D$2)^2)</f>
        <v>1.3130083642350326E-4</v>
      </c>
      <c r="H319" s="27">
        <f>Ft!E$3*EXP(Ft!E$38*($A319-Ft!E$2)^2)</f>
        <v>34.457920946321266</v>
      </c>
      <c r="I319" s="27">
        <f>Ft!F$3*EXP(Ft!F$38*($A319-Ft!F$2)^2)</f>
        <v>17.104124608890839</v>
      </c>
      <c r="J319" s="27">
        <f>Ft!G$3*EXP(Ft!G$38*($A319-Ft!G$2)^2)</f>
        <v>48.161034415066439</v>
      </c>
    </row>
    <row r="320" spans="1:10">
      <c r="A320" s="20">
        <v>318</v>
      </c>
      <c r="B320" s="29">
        <v>48.280126515757331</v>
      </c>
      <c r="C320" s="28">
        <f ca="1">OFFSET($B320,1*(ROWS(C$2:C320)-1),0)</f>
        <v>1.8788834231988858</v>
      </c>
      <c r="D320" s="27">
        <f>Ft!B$3*EXP(Ft!B$38*($A320-Ft!B$2)^2) +Ft!C$3*EXP(Ft!C$38*($A320-Ft!C$2)^2) + Ft!D$3*EXP(Ft!D$38*($A320-Ft!D$2)^2)+Ft!E$3*EXP(Ft!E$38*($A320-Ft!E$2)^2) +Ft!F$3*EXP(Ft!F$38*($A320-Ft!F$2)^2) + Ft!G$3*EXP(Ft!G$38*($A320-Ft!G$2)^2)</f>
        <v>228.86449417902293</v>
      </c>
      <c r="E320" s="27">
        <f>Ft!B$3*EXP(Ft!B$38*($A320-Ft!B$2)^2)</f>
        <v>90.230210104514967</v>
      </c>
      <c r="F320" s="27">
        <f>Ft!C$3*EXP(Ft!C$38*($A320-Ft!C$2)^2)</f>
        <v>38.596883618743405</v>
      </c>
      <c r="G320" s="27">
        <f>Ft!D$3*EXP(Ft!D$38*($A320-Ft!D$2)^2)</f>
        <v>1.543210025349771E-4</v>
      </c>
      <c r="H320" s="27">
        <f>Ft!E$3*EXP(Ft!E$38*($A320-Ft!E$2)^2)</f>
        <v>34.65947621948245</v>
      </c>
      <c r="I320" s="27">
        <f>Ft!F$3*EXP(Ft!F$38*($A320-Ft!F$2)^2)</f>
        <v>17.169040017406161</v>
      </c>
      <c r="J320" s="27">
        <f>Ft!G$3*EXP(Ft!G$38*($A320-Ft!G$2)^2)</f>
        <v>48.208729897873411</v>
      </c>
    </row>
    <row r="321" spans="1:10">
      <c r="A321" s="20">
        <v>319</v>
      </c>
      <c r="B321" s="29">
        <v>48.278774277689308</v>
      </c>
      <c r="C321" s="28">
        <f ca="1">OFFSET($B321,1*(ROWS(C$2:C321)-1),0)</f>
        <v>1.6822352364906692</v>
      </c>
      <c r="D321" s="27">
        <f>Ft!B$3*EXP(Ft!B$38*($A321-Ft!B$2)^2) +Ft!C$3*EXP(Ft!C$38*($A321-Ft!C$2)^2) + Ft!D$3*EXP(Ft!D$38*($A321-Ft!D$2)^2)+Ft!E$3*EXP(Ft!E$38*($A321-Ft!E$2)^2) +Ft!F$3*EXP(Ft!F$38*($A321-Ft!F$2)^2) + Ft!G$3*EXP(Ft!G$38*($A321-Ft!G$2)^2)</f>
        <v>228.99581931049161</v>
      </c>
      <c r="E321" s="27">
        <f>Ft!B$3*EXP(Ft!B$38*($A321-Ft!B$2)^2)</f>
        <v>89.997890129644915</v>
      </c>
      <c r="F321" s="27">
        <f>Ft!C$3*EXP(Ft!C$38*($A321-Ft!C$2)^2)</f>
        <v>38.646677490225834</v>
      </c>
      <c r="G321" s="27">
        <f>Ft!D$3*EXP(Ft!D$38*($A321-Ft!D$2)^2)</f>
        <v>1.8112716979882512E-4</v>
      </c>
      <c r="H321" s="27">
        <f>Ft!E$3*EXP(Ft!E$38*($A321-Ft!E$2)^2)</f>
        <v>34.861705116876223</v>
      </c>
      <c r="I321" s="27">
        <f>Ft!F$3*EXP(Ft!F$38*($A321-Ft!F$2)^2)</f>
        <v>17.234145054478972</v>
      </c>
      <c r="J321" s="27">
        <f>Ft!G$3*EXP(Ft!G$38*($A321-Ft!G$2)^2)</f>
        <v>48.255220392095879</v>
      </c>
    </row>
    <row r="322" spans="1:10">
      <c r="A322" s="20">
        <v>320</v>
      </c>
      <c r="B322" s="29">
        <v>48.289552414484945</v>
      </c>
      <c r="C322" s="28">
        <f ca="1">OFFSET($B322,1*(ROWS(C$2:C322)-1),0)</f>
        <v>1.507841347211837</v>
      </c>
      <c r="D322" s="27">
        <f>Ft!B$3*EXP(Ft!B$38*($A322-Ft!B$2)^2) +Ft!C$3*EXP(Ft!C$38*($A322-Ft!C$2)^2) + Ft!D$3*EXP(Ft!D$38*($A322-Ft!D$2)^2)+Ft!E$3*EXP(Ft!E$38*($A322-Ft!E$2)^2) +Ft!F$3*EXP(Ft!F$38*($A322-Ft!F$2)^2) + Ft!G$3*EXP(Ft!G$38*($A322-Ft!G$2)^2)</f>
        <v>229.12695042461817</v>
      </c>
      <c r="E322" s="27">
        <f>Ft!B$3*EXP(Ft!B$38*($A322-Ft!B$2)^2)</f>
        <v>89.76573998500551</v>
      </c>
      <c r="F322" s="27">
        <f>Ft!C$3*EXP(Ft!C$38*($A322-Ft!C$2)^2)</f>
        <v>38.696450122462281</v>
      </c>
      <c r="G322" s="27">
        <f>Ft!D$3*EXP(Ft!D$38*($A322-Ft!D$2)^2)</f>
        <v>2.122966728972691E-4</v>
      </c>
      <c r="H322" s="27">
        <f>Ft!E$3*EXP(Ft!E$38*($A322-Ft!E$2)^2)</f>
        <v>35.064605689103736</v>
      </c>
      <c r="I322" s="27">
        <f>Ft!F$3*EXP(Ft!F$38*($A322-Ft!F$2)^2)</f>
        <v>17.299440009638349</v>
      </c>
      <c r="J322" s="27">
        <f>Ft!G$3*EXP(Ft!G$38*($A322-Ft!G$2)^2)</f>
        <v>48.300502321735429</v>
      </c>
    </row>
    <row r="323" spans="1:10">
      <c r="A323" s="20">
        <v>321</v>
      </c>
      <c r="B323" s="29">
        <v>48.297014071910382</v>
      </c>
      <c r="C323" s="28">
        <f ca="1">OFFSET($B323,1*(ROWS(C$2:C323)-1),0)</f>
        <v>1.3393127867776968</v>
      </c>
      <c r="D323" s="27">
        <f>Ft!B$3*EXP(Ft!B$38*($A323-Ft!B$2)^2) +Ft!C$3*EXP(Ft!C$38*($A323-Ft!C$2)^2) + Ft!D$3*EXP(Ft!D$38*($A323-Ft!D$2)^2)+Ft!E$3*EXP(Ft!E$38*($A323-Ft!E$2)^2) +Ft!F$3*EXP(Ft!F$38*($A323-Ft!F$2)^2) + Ft!G$3*EXP(Ft!G$38*($A323-Ft!G$2)^2)</f>
        <v>229.25788451955432</v>
      </c>
      <c r="E323" s="27">
        <f>Ft!B$3*EXP(Ft!B$38*($A323-Ft!B$2)^2)</f>
        <v>89.533761445151143</v>
      </c>
      <c r="F323" s="27">
        <f>Ft!C$3*EXP(Ft!C$38*($A323-Ft!C$2)^2)</f>
        <v>38.746201268067765</v>
      </c>
      <c r="G323" s="27">
        <f>Ft!D$3*EXP(Ft!D$38*($A323-Ft!D$2)^2)</f>
        <v>2.4848707081957236E-4</v>
      </c>
      <c r="H323" s="27">
        <f>Ft!E$3*EXP(Ft!E$38*($A323-Ft!E$2)^2)</f>
        <v>35.268175946112855</v>
      </c>
      <c r="I323" s="27">
        <f>Ft!F$3*EXP(Ft!F$38*($A323-Ft!F$2)^2)</f>
        <v>17.364925171631299</v>
      </c>
      <c r="J323" s="27">
        <f>Ft!G$3*EXP(Ft!G$38*($A323-Ft!G$2)^2)</f>
        <v>48.344572201520442</v>
      </c>
    </row>
    <row r="324" spans="1:10">
      <c r="A324" s="20">
        <v>322</v>
      </c>
      <c r="B324" s="29">
        <v>48.305956844259612</v>
      </c>
      <c r="C324" s="28">
        <f ca="1">OFFSET($B324,1*(ROWS(C$2:C324)-1),0)</f>
        <v>1.1909848262066873</v>
      </c>
      <c r="D324" s="27">
        <f>Ft!B$3*EXP(Ft!B$38*($A324-Ft!B$2)^2) +Ft!C$3*EXP(Ft!C$38*($A324-Ft!C$2)^2) + Ft!D$3*EXP(Ft!D$38*($A324-Ft!D$2)^2)+Ft!E$3*EXP(Ft!E$38*($A324-Ft!E$2)^2) +Ft!F$3*EXP(Ft!F$38*($A324-Ft!F$2)^2) + Ft!G$3*EXP(Ft!G$38*($A324-Ft!G$2)^2)</f>
        <v>229.3886187259472</v>
      </c>
      <c r="E324" s="27">
        <f>Ft!B$3*EXP(Ft!B$38*($A324-Ft!B$2)^2)</f>
        <v>89.301956277601093</v>
      </c>
      <c r="F324" s="27">
        <f>Ft!C$3*EXP(Ft!C$38*($A324-Ft!C$2)^2)</f>
        <v>38.79593067948143</v>
      </c>
      <c r="G324" s="27">
        <f>Ft!D$3*EXP(Ft!D$38*($A324-Ft!D$2)^2)</f>
        <v>2.9044601822289116E-4</v>
      </c>
      <c r="H324" s="27">
        <f>Ft!E$3*EXP(Ft!E$38*($A324-Ft!E$2)^2)</f>
        <v>35.472413857077392</v>
      </c>
      <c r="I324" s="27">
        <f>Ft!F$3*EXP(Ft!F$38*($A324-Ft!F$2)^2)</f>
        <v>17.430600828415923</v>
      </c>
      <c r="J324" s="27">
        <f>Ft!G$3*EXP(Ft!G$38*($A324-Ft!G$2)^2)</f>
        <v>48.387426637353137</v>
      </c>
    </row>
    <row r="325" spans="1:10">
      <c r="A325" s="20">
        <v>323</v>
      </c>
      <c r="B325" s="29">
        <v>48.327434500597178</v>
      </c>
      <c r="C325" s="28">
        <f ca="1">OFFSET($B325,1*(ROWS(C$2:C325)-1),0)</f>
        <v>1.0262170257561252</v>
      </c>
      <c r="D325" s="27">
        <f>Ft!B$3*EXP(Ft!B$38*($A325-Ft!B$2)^2) +Ft!C$3*EXP(Ft!C$38*($A325-Ft!C$2)^2) + Ft!D$3*EXP(Ft!D$38*($A325-Ft!D$2)^2)+Ft!E$3*EXP(Ft!E$38*($A325-Ft!E$2)^2) +Ft!F$3*EXP(Ft!F$38*($A325-Ft!F$2)^2) + Ft!G$3*EXP(Ft!G$38*($A325-Ft!G$2)^2)</f>
        <v>229.51915031812507</v>
      </c>
      <c r="E325" s="27">
        <f>Ft!B$3*EXP(Ft!B$38*($A325-Ft!B$2)^2)</f>
        <v>89.070326242824081</v>
      </c>
      <c r="F325" s="27">
        <f>Ft!C$3*EXP(Ft!C$38*($A325-Ft!C$2)^2)</f>
        <v>38.845638108968537</v>
      </c>
      <c r="G325" s="27">
        <f>Ft!D$3*EXP(Ft!D$38*($A325-Ft!D$2)^2)</f>
        <v>3.3902215426936716E-4</v>
      </c>
      <c r="H325" s="27">
        <f>Ft!E$3*EXP(Ft!E$38*($A325-Ft!E$2)^2)</f>
        <v>35.677317350278329</v>
      </c>
      <c r="I325" s="27">
        <f>Ft!F$3*EXP(Ft!F$38*($A325-Ft!F$2)^2)</f>
        <v>17.49646726715465</v>
      </c>
      <c r="J325" s="27">
        <f>Ft!G$3*EXP(Ft!G$38*($A325-Ft!G$2)^2)</f>
        <v>48.42906232674521</v>
      </c>
    </row>
    <row r="326" spans="1:10">
      <c r="A326" s="20">
        <v>324</v>
      </c>
      <c r="B326" s="29">
        <v>48.341075081633392</v>
      </c>
      <c r="C326" s="28">
        <f ca="1">OFFSET($B326,1*(ROWS(C$2:C326)-1),0)</f>
        <v>0.92084087289555328</v>
      </c>
      <c r="D326" s="27">
        <f>Ft!B$3*EXP(Ft!B$38*($A326-Ft!B$2)^2) +Ft!C$3*EXP(Ft!C$38*($A326-Ft!C$2)^2) + Ft!D$3*EXP(Ft!D$38*($A326-Ft!D$2)^2)+Ft!E$3*EXP(Ft!E$38*($A326-Ft!E$2)^2) +Ft!F$3*EXP(Ft!F$38*($A326-Ft!F$2)^2) + Ft!G$3*EXP(Ft!G$38*($A326-Ft!G$2)^2)</f>
        <v>229.64947672636734</v>
      </c>
      <c r="E326" s="27">
        <f>Ft!B$3*EXP(Ft!B$38*($A326-Ft!B$2)^2)</f>
        <v>88.838873094223018</v>
      </c>
      <c r="F326" s="27">
        <f>Ft!C$3*EXP(Ft!C$38*($A326-Ft!C$2)^2)</f>
        <v>38.895323308622437</v>
      </c>
      <c r="G326" s="27">
        <f>Ft!D$3*EXP(Ft!D$38*($A326-Ft!D$2)^2)</f>
        <v>3.9517708482522348E-4</v>
      </c>
      <c r="H326" s="27">
        <f>Ft!E$3*EXP(Ft!E$38*($A326-Ft!E$2)^2)</f>
        <v>35.88288431298762</v>
      </c>
      <c r="I326" s="27">
        <f>Ft!F$3*EXP(Ft!F$38*($A326-Ft!F$2)^2)</f>
        <v>17.562524774207454</v>
      </c>
      <c r="J326" s="27">
        <f>Ft!G$3*EXP(Ft!G$38*($A326-Ft!G$2)^2)</f>
        <v>48.469476059241998</v>
      </c>
    </row>
    <row r="327" spans="1:10">
      <c r="A327" s="20">
        <v>325</v>
      </c>
      <c r="B327" s="29">
        <v>48.361065034668258</v>
      </c>
      <c r="C327" s="28">
        <f ca="1">OFFSET($B327,1*(ROWS(C$2:C327)-1),0)</f>
        <v>0.81692990215560712</v>
      </c>
      <c r="D327" s="27">
        <f>Ft!B$3*EXP(Ft!B$38*($A327-Ft!B$2)^2) +Ft!C$3*EXP(Ft!C$38*($A327-Ft!C$2)^2) + Ft!D$3*EXP(Ft!D$38*($A327-Ft!D$2)^2)+Ft!E$3*EXP(Ft!E$38*($A327-Ft!E$2)^2) +Ft!F$3*EXP(Ft!F$38*($A327-Ft!F$2)^2) + Ft!G$3*EXP(Ft!G$38*($A327-Ft!G$2)^2)</f>
        <v>229.77959555033584</v>
      </c>
      <c r="E327" s="27">
        <f>Ft!B$3*EXP(Ft!B$38*($A327-Ft!B$2)^2)</f>
        <v>88.60759857811982</v>
      </c>
      <c r="F327" s="27">
        <f>Ft!C$3*EXP(Ft!C$38*($A327-Ft!C$2)^2)</f>
        <v>38.944986030366522</v>
      </c>
      <c r="G327" s="27">
        <f>Ft!D$3*EXP(Ft!D$38*($A327-Ft!D$2)^2)</f>
        <v>4.5999853536412237E-4</v>
      </c>
      <c r="H327" s="27">
        <f>Ft!E$3*EXP(Ft!E$38*($A327-Ft!E$2)^2)</f>
        <v>36.089112591354059</v>
      </c>
      <c r="I327" s="27">
        <f>Ft!F$3*EXP(Ft!F$38*($A327-Ft!F$2)^2)</f>
        <v>17.628773635125011</v>
      </c>
      <c r="J327" s="27">
        <f>Ft!G$3*EXP(Ft!G$38*($A327-Ft!G$2)^2)</f>
        <v>48.508664716835042</v>
      </c>
    </row>
    <row r="328" spans="1:10">
      <c r="A328" s="20">
        <v>326</v>
      </c>
      <c r="B328" s="29">
        <v>48.359415642141528</v>
      </c>
      <c r="C328" s="28">
        <f ca="1">OFFSET($B328,1*(ROWS(C$2:C328)-1),0)</f>
        <v>0.71387491394747826</v>
      </c>
      <c r="D328" s="27">
        <f>Ft!B$3*EXP(Ft!B$38*($A328-Ft!B$2)^2) +Ft!C$3*EXP(Ft!C$38*($A328-Ft!C$2)^2) + Ft!D$3*EXP(Ft!D$38*($A328-Ft!D$2)^2)+Ft!E$3*EXP(Ft!E$38*($A328-Ft!E$2)^2) +Ft!F$3*EXP(Ft!F$38*($A328-Ft!F$2)^2) + Ft!G$3*EXP(Ft!G$38*($A328-Ft!G$2)^2)</f>
        <v>229.90950457374606</v>
      </c>
      <c r="E328" s="27">
        <f>Ft!B$3*EXP(Ft!B$38*($A328-Ft!B$2)^2)</f>
        <v>88.376504433740536</v>
      </c>
      <c r="F328" s="27">
        <f>Ft!C$3*EXP(Ft!C$38*($A328-Ft!C$2)^2)</f>
        <v>38.994626025956215</v>
      </c>
      <c r="G328" s="27">
        <f>Ft!D$3*EXP(Ft!D$38*($A328-Ft!D$2)^2)</f>
        <v>5.3471475269753184E-4</v>
      </c>
      <c r="H328" s="27">
        <f>Ft!E$3*EXP(Ft!E$38*($A328-Ft!E$2)^2)</f>
        <v>36.295999990291655</v>
      </c>
      <c r="I328" s="27">
        <f>Ft!F$3*EXP(Ft!F$38*($A328-Ft!F$2)^2)</f>
        <v>17.695214134641919</v>
      </c>
      <c r="J328" s="27">
        <f>Ft!G$3*EXP(Ft!G$38*($A328-Ft!G$2)^2)</f>
        <v>48.546625274363009</v>
      </c>
    </row>
    <row r="329" spans="1:10">
      <c r="A329" s="20">
        <v>327</v>
      </c>
      <c r="B329" s="29">
        <v>48.353530610988201</v>
      </c>
      <c r="C329" s="28">
        <f ca="1">OFFSET($B329,1*(ROWS(C$2:C329)-1),0)</f>
        <v>0.65368201983238805</v>
      </c>
      <c r="D329" s="27">
        <f>Ft!B$3*EXP(Ft!B$38*($A329-Ft!B$2)^2) +Ft!C$3*EXP(Ft!C$38*($A329-Ft!C$2)^2) + Ft!D$3*EXP(Ft!D$38*($A329-Ft!D$2)^2)+Ft!E$3*EXP(Ft!E$38*($A329-Ft!E$2)^2) +Ft!F$3*EXP(Ft!F$38*($A329-Ft!F$2)^2) + Ft!G$3*EXP(Ft!G$38*($A329-Ft!G$2)^2)</f>
        <v>230.03920178035617</v>
      </c>
      <c r="E329" s="27">
        <f>Ft!B$3*EXP(Ft!B$38*($A329-Ft!B$2)^2)</f>
        <v>88.145592393200729</v>
      </c>
      <c r="F329" s="27">
        <f>Ft!C$3*EXP(Ft!C$38*($A329-Ft!C$2)^2)</f>
        <v>39.044243046980938</v>
      </c>
      <c r="G329" s="27">
        <f>Ft!D$3*EXP(Ft!D$38*($A329-Ft!D$2)^2)</f>
        <v>6.2071023363544965E-4</v>
      </c>
      <c r="H329" s="27">
        <f>Ft!E$3*EXP(Ft!E$38*($A329-Ft!E$2)^2)</f>
        <v>36.503544273370196</v>
      </c>
      <c r="I329" s="27">
        <f>Ft!F$3*EXP(Ft!F$38*($A329-Ft!F$2)^2)</f>
        <v>17.761846556669823</v>
      </c>
      <c r="J329" s="27">
        <f>Ft!G$3*EXP(Ft!G$38*($A329-Ft!G$2)^2)</f>
        <v>48.58335479990086</v>
      </c>
    </row>
    <row r="330" spans="1:10">
      <c r="A330" s="20">
        <v>328</v>
      </c>
      <c r="B330" s="29">
        <v>48.374165882144581</v>
      </c>
      <c r="C330" s="28">
        <f ca="1">OFFSET($B330,1*(ROWS(C$2:C330)-1),0)</f>
        <v>0.57161239652640461</v>
      </c>
      <c r="D330" s="27">
        <f>Ft!B$3*EXP(Ft!B$38*($A330-Ft!B$2)^2) +Ft!C$3*EXP(Ft!C$38*($A330-Ft!C$2)^2) + Ft!D$3*EXP(Ft!D$38*($A330-Ft!D$2)^2)+Ft!E$3*EXP(Ft!E$38*($A330-Ft!E$2)^2) +Ft!F$3*EXP(Ft!F$38*($A330-Ft!F$2)^2) + Ft!G$3*EXP(Ft!G$38*($A330-Ft!G$2)^2)</f>
        <v>230.16868537135105</v>
      </c>
      <c r="E330" s="27">
        <f>Ft!B$3*EXP(Ft!B$38*($A330-Ft!B$2)^2)</f>
        <v>87.914864181490998</v>
      </c>
      <c r="F330" s="27">
        <f>Ft!C$3*EXP(Ft!C$38*($A330-Ft!C$2)^2)</f>
        <v>39.093836844866111</v>
      </c>
      <c r="G330" s="27">
        <f>Ft!D$3*EXP(Ft!D$38*($A330-Ft!D$2)^2)</f>
        <v>7.1954285772880778E-4</v>
      </c>
      <c r="H330" s="27">
        <f>Ft!E$3*EXP(Ft!E$38*($A330-Ft!E$2)^2)</f>
        <v>36.711743162708352</v>
      </c>
      <c r="I330" s="27">
        <f>Ft!F$3*EXP(Ft!F$38*($A330-Ft!F$2)^2)</f>
        <v>17.828671184290567</v>
      </c>
      <c r="J330" s="27">
        <f>Ft!G$3*EXP(Ft!G$38*($A330-Ft!G$2)^2)</f>
        <v>48.618850455137292</v>
      </c>
    </row>
    <row r="331" spans="1:10">
      <c r="A331" s="20">
        <v>329</v>
      </c>
      <c r="B331" s="29">
        <v>48.363922962596178</v>
      </c>
      <c r="C331" s="28">
        <f ca="1">OFFSET($B331,1*(ROWS(C$2:C331)-1),0)</f>
        <v>0.47012508433968492</v>
      </c>
      <c r="D331" s="27">
        <f>Ft!B$3*EXP(Ft!B$38*($A331-Ft!B$2)^2) +Ft!C$3*EXP(Ft!C$38*($A331-Ft!C$2)^2) + Ft!D$3*EXP(Ft!D$38*($A331-Ft!D$2)^2)+Ft!E$3*EXP(Ft!E$38*($A331-Ft!E$2)^2) +Ft!F$3*EXP(Ft!F$38*($A331-Ft!F$2)^2) + Ft!G$3*EXP(Ft!G$38*($A331-Ft!G$2)^2)</f>
        <v>230.29795378419564</v>
      </c>
      <c r="E331" s="27">
        <f>Ft!B$3*EXP(Ft!B$38*($A331-Ft!B$2)^2)</f>
        <v>87.684321516462589</v>
      </c>
      <c r="F331" s="27">
        <f>Ft!C$3*EXP(Ft!C$38*($A331-Ft!C$2)^2)</f>
        <v>39.143407170875129</v>
      </c>
      <c r="G331" s="27">
        <f>Ft!D$3*EXP(Ft!D$38*($A331-Ft!D$2)^2)</f>
        <v>8.3296249921935978E-4</v>
      </c>
      <c r="H331" s="27">
        <f>Ft!E$3*EXP(Ft!E$38*($A331-Ft!E$2)^2)</f>
        <v>36.920594338869059</v>
      </c>
      <c r="I331" s="27">
        <f>Ft!F$3*EXP(Ft!F$38*($A331-Ft!F$2)^2)</f>
        <v>17.895688299749374</v>
      </c>
      <c r="J331" s="27">
        <f>Ft!G$3*EXP(Ft!G$38*($A331-Ft!G$2)^2)</f>
        <v>48.653109495740267</v>
      </c>
    </row>
    <row r="332" spans="1:10">
      <c r="A332" s="20">
        <v>330</v>
      </c>
      <c r="B332" s="29">
        <v>48.359759389472401</v>
      </c>
      <c r="C332" s="28">
        <f ca="1">OFFSET($B332,1*(ROWS(C$2:C332)-1),0)</f>
        <v>0.3984439894373395</v>
      </c>
      <c r="D332" s="27">
        <f>Ft!B$3*EXP(Ft!B$38*($A332-Ft!B$2)^2) +Ft!C$3*EXP(Ft!C$38*($A332-Ft!C$2)^2) + Ft!D$3*EXP(Ft!D$38*($A332-Ft!D$2)^2)+Ft!E$3*EXP(Ft!E$38*($A332-Ft!E$2)^2) +Ft!F$3*EXP(Ft!F$38*($A332-Ft!F$2)^2) + Ft!G$3*EXP(Ft!G$38*($A332-Ft!G$2)^2)</f>
        <v>230.42700571303095</v>
      </c>
      <c r="E332" s="27">
        <f>Ft!B$3*EXP(Ft!B$38*($A332-Ft!B$2)^2)</f>
        <v>87.453966108813503</v>
      </c>
      <c r="F332" s="27">
        <f>Ft!C$3*EXP(Ft!C$38*($A332-Ft!C$2)^2)</f>
        <v>39.192953776111374</v>
      </c>
      <c r="G332" s="27">
        <f>Ft!D$3*EXP(Ft!D$38*($A332-Ft!D$2)^2)</f>
        <v>9.6293119007599887E-4</v>
      </c>
      <c r="H332" s="27">
        <f>Ft!E$3*EXP(Ft!E$38*($A332-Ft!E$2)^2)</f>
        <v>37.130095440757437</v>
      </c>
      <c r="I332" s="27">
        <f>Ft!F$3*EXP(Ft!F$38*($A332-Ft!F$2)^2)</f>
        <v>17.962898184447948</v>
      </c>
      <c r="J332" s="27">
        <f>Ft!G$3*EXP(Ft!G$38*($A332-Ft!G$2)^2)</f>
        <v>48.686129271710641</v>
      </c>
    </row>
    <row r="333" spans="1:10">
      <c r="A333" s="20">
        <v>331</v>
      </c>
      <c r="B333" s="29">
        <v>48.361458504501542</v>
      </c>
      <c r="C333" s="28">
        <f ca="1">OFFSET($B333,1*(ROWS(C$2:C333)-1),0)</f>
        <v>0.32828284781126627</v>
      </c>
      <c r="D333" s="27">
        <f>Ft!B$3*EXP(Ft!B$38*($A333-Ft!B$2)^2) +Ft!C$3*EXP(Ft!C$38*($A333-Ft!C$2)^2) + Ft!D$3*EXP(Ft!D$38*($A333-Ft!D$2)^2)+Ft!E$3*EXP(Ft!E$38*($A333-Ft!E$2)^2) +Ft!F$3*EXP(Ft!F$38*($A333-Ft!F$2)^2) + Ft!G$3*EXP(Ft!G$38*($A333-Ft!G$2)^2)</f>
        <v>230.5558401306784</v>
      </c>
      <c r="E333" s="27">
        <f>Ft!B$3*EXP(Ft!B$38*($A333-Ft!B$2)^2)</f>
        <v>87.223799662074526</v>
      </c>
      <c r="F333" s="27">
        <f>Ft!C$3*EXP(Ft!C$38*($A333-Ft!C$2)^2)</f>
        <v>39.242476411520173</v>
      </c>
      <c r="G333" s="27">
        <f>Ft!D$3*EXP(Ft!D$38*($A333-Ft!D$2)^2)</f>
        <v>1.1116449013743174E-3</v>
      </c>
      <c r="H333" s="27">
        <f>Ft!E$3*EXP(Ft!E$38*($A333-Ft!E$2)^2)</f>
        <v>37.340244065520992</v>
      </c>
      <c r="I333" s="27">
        <f>Ft!F$3*EXP(Ft!F$38*($A333-Ft!F$2)^2)</f>
        <v>18.030301118937565</v>
      </c>
      <c r="J333" s="27">
        <f>Ft!G$3*EXP(Ft!G$38*($A333-Ft!G$2)^2)</f>
        <v>48.717907227723757</v>
      </c>
    </row>
    <row r="334" spans="1:10">
      <c r="A334" s="20">
        <v>332</v>
      </c>
      <c r="B334" s="29">
        <v>48.372280859713925</v>
      </c>
      <c r="C334" s="28">
        <f ca="1">OFFSET($B334,1*(ROWS(C$2:C334)-1),0)</f>
        <v>0.28441712144260123</v>
      </c>
      <c r="D334" s="27">
        <f>Ft!B$3*EXP(Ft!B$38*($A334-Ft!B$2)^2) +Ft!C$3*EXP(Ft!C$38*($A334-Ft!C$2)^2) + Ft!D$3*EXP(Ft!D$38*($A334-Ft!D$2)^2)+Ft!E$3*EXP(Ft!E$38*($A334-Ft!E$2)^2) +Ft!F$3*EXP(Ft!F$38*($A334-Ft!F$2)^2) + Ft!G$3*EXP(Ft!G$38*($A334-Ft!G$2)^2)</f>
        <v>230.68445631231438</v>
      </c>
      <c r="E334" s="27">
        <f>Ft!B$3*EXP(Ft!B$38*($A334-Ft!B$2)^2)</f>
        <v>86.993823872595655</v>
      </c>
      <c r="F334" s="27">
        <f>Ft!C$3*EXP(Ft!C$38*($A334-Ft!C$2)^2)</f>
        <v>39.291974827890868</v>
      </c>
      <c r="G334" s="27">
        <f>Ft!D$3*EXP(Ft!D$38*($A334-Ft!D$2)^2)</f>
        <v>1.2815570041208144E-3</v>
      </c>
      <c r="H334" s="27">
        <f>Ft!E$3*EXP(Ft!E$38*($A334-Ft!E$2)^2)</f>
        <v>37.551037768452453</v>
      </c>
      <c r="I334" s="27">
        <f>Ft!F$3*EXP(Ft!F$38*($A334-Ft!F$2)^2)</f>
        <v>18.09789738291223</v>
      </c>
      <c r="J334" s="27">
        <f>Ft!G$3*EXP(Ft!G$38*($A334-Ft!G$2)^2)</f>
        <v>48.748440903459063</v>
      </c>
    </row>
    <row r="335" spans="1:10">
      <c r="A335" s="20">
        <v>333</v>
      </c>
      <c r="B335" s="29">
        <v>48.384795199355153</v>
      </c>
      <c r="C335" s="28">
        <f ca="1">OFFSET($B335,1*(ROWS(C$2:C335)-1),0)</f>
        <v>0.26003628025463854</v>
      </c>
      <c r="D335" s="27">
        <f>Ft!B$3*EXP(Ft!B$38*($A335-Ft!B$2)^2) +Ft!C$3*EXP(Ft!C$38*($A335-Ft!C$2)^2) + Ft!D$3*EXP(Ft!D$38*($A335-Ft!D$2)^2)+Ft!E$3*EXP(Ft!E$38*($A335-Ft!E$2)^2) +Ft!F$3*EXP(Ft!F$38*($A335-Ft!F$2)^2) + Ft!G$3*EXP(Ft!G$38*($A335-Ft!G$2)^2)</f>
        <v>230.81285386086844</v>
      </c>
      <c r="E335" s="27">
        <f>Ft!B$3*EXP(Ft!B$38*($A335-Ft!B$2)^2)</f>
        <v>86.764040429532628</v>
      </c>
      <c r="F335" s="27">
        <f>Ft!C$3*EXP(Ft!C$38*($A335-Ft!C$2)^2)</f>
        <v>39.341448775858737</v>
      </c>
      <c r="G335" s="27">
        <f>Ft!D$3*EXP(Ft!D$38*($A335-Ft!D$2)^2)</f>
        <v>1.4754034627739001E-3</v>
      </c>
      <c r="H335" s="27">
        <f>Ft!E$3*EXP(Ft!E$38*($A335-Ft!E$2)^2)</f>
        <v>37.762474062895009</v>
      </c>
      <c r="I335" s="27">
        <f>Ft!F$3*EXP(Ft!F$38*($A335-Ft!F$2)^2)</f>
        <v>18.165687255201739</v>
      </c>
      <c r="J335" s="27">
        <f>Ft!G$3*EXP(Ft!G$38*($A335-Ft!G$2)^2)</f>
        <v>48.777727933917568</v>
      </c>
    </row>
    <row r="336" spans="1:10">
      <c r="A336" s="20">
        <v>334</v>
      </c>
      <c r="B336" s="29">
        <v>48.391775708381658</v>
      </c>
      <c r="C336" s="28">
        <f ca="1">OFFSET($B336,1*(ROWS(C$2:C336)-1),0)</f>
        <v>0.24947691697451546</v>
      </c>
      <c r="D336" s="27">
        <f>Ft!B$3*EXP(Ft!B$38*($A336-Ft!B$2)^2) +Ft!C$3*EXP(Ft!C$38*($A336-Ft!C$2)^2) + Ft!D$3*EXP(Ft!D$38*($A336-Ft!D$2)^2)+Ft!E$3*EXP(Ft!E$38*($A336-Ft!E$2)^2) +Ft!F$3*EXP(Ft!F$38*($A336-Ft!F$2)^2) + Ft!G$3*EXP(Ft!G$38*($A336-Ft!G$2)^2)</f>
        <v>230.94103273418779</v>
      </c>
      <c r="E336" s="27">
        <f>Ft!B$3*EXP(Ft!B$38*($A336-Ft!B$2)^2)</f>
        <v>86.534451014833692</v>
      </c>
      <c r="F336" s="27">
        <f>Ft!C$3*EXP(Ft!C$38*($A336-Ft!C$2)^2)</f>
        <v>39.390898005907069</v>
      </c>
      <c r="G336" s="27">
        <f>Ft!D$3*EXP(Ft!D$38*($A336-Ft!D$2)^2)</f>
        <v>1.6962298050100049E-3</v>
      </c>
      <c r="H336" s="27">
        <f>Ft!E$3*EXP(Ft!E$38*($A336-Ft!E$2)^2)</f>
        <v>37.974550420150109</v>
      </c>
      <c r="I336" s="27">
        <f>Ft!F$3*EXP(Ft!F$38*($A336-Ft!F$2)^2)</f>
        <v>18.233671013764752</v>
      </c>
      <c r="J336" s="27">
        <f>Ft!G$3*EXP(Ft!G$38*($A336-Ft!G$2)^2)</f>
        <v>48.805766049727126</v>
      </c>
    </row>
    <row r="337" spans="1:10">
      <c r="A337" s="20">
        <v>335</v>
      </c>
      <c r="B337" s="29">
        <v>48.381282435059489</v>
      </c>
      <c r="C337" s="28">
        <f ca="1">OFFSET($B337,1*(ROWS(C$2:C337)-1),0)</f>
        <v>0.25037827357076026</v>
      </c>
      <c r="D337" s="27">
        <f>Ft!B$3*EXP(Ft!B$38*($A337-Ft!B$2)^2) +Ft!C$3*EXP(Ft!C$38*($A337-Ft!C$2)^2) + Ft!D$3*EXP(Ft!D$38*($A337-Ft!D$2)^2)+Ft!E$3*EXP(Ft!E$38*($A337-Ft!E$2)^2) +Ft!F$3*EXP(Ft!F$38*($A337-Ft!F$2)^2) + Ft!G$3*EXP(Ft!G$38*($A337-Ft!G$2)^2)</f>
        <v>231.06899327400046</v>
      </c>
      <c r="E337" s="27">
        <f>Ft!B$3*EXP(Ft!B$38*($A337-Ft!B$2)^2)</f>
        <v>86.305057303226619</v>
      </c>
      <c r="F337" s="27">
        <f>Ft!C$3*EXP(Ft!C$38*($A337-Ft!C$2)^2)</f>
        <v>39.440322268369165</v>
      </c>
      <c r="G337" s="27">
        <f>Ft!D$3*EXP(Ft!D$38*($A337-Ft!D$2)^2)</f>
        <v>1.9474198995664866E-3</v>
      </c>
      <c r="H337" s="27">
        <f>Ft!E$3*EXP(Ft!E$38*($A337-Ft!E$2)^2)</f>
        <v>38.187264269387711</v>
      </c>
      <c r="I337" s="27">
        <f>Ft!F$3*EXP(Ft!F$38*($A337-Ft!F$2)^2)</f>
        <v>18.301848935681882</v>
      </c>
      <c r="J337" s="27">
        <f>Ft!G$3*EXP(Ft!G$38*($A337-Ft!G$2)^2)</f>
        <v>48.832553077435527</v>
      </c>
    </row>
    <row r="338" spans="1:10">
      <c r="A338" s="20">
        <v>336</v>
      </c>
      <c r="B338" s="29">
        <v>48.394815286262883</v>
      </c>
      <c r="C338" s="28">
        <f ca="1">OFFSET($B338,1*(ROWS(C$2:C338)-1),0)</f>
        <v>0.22501574242667743</v>
      </c>
      <c r="D338" s="27">
        <f>Ft!B$3*EXP(Ft!B$38*($A338-Ft!B$2)^2) +Ft!C$3*EXP(Ft!C$38*($A338-Ft!C$2)^2) + Ft!D$3*EXP(Ft!D$38*($A338-Ft!D$2)^2)+Ft!E$3*EXP(Ft!E$38*($A338-Ft!E$2)^2) +Ft!F$3*EXP(Ft!F$38*($A338-Ft!F$2)^2) + Ft!G$3*EXP(Ft!G$38*($A338-Ft!G$2)^2)</f>
        <v>231.19673623669547</v>
      </c>
      <c r="E338" s="27">
        <f>Ft!B$3*EXP(Ft!B$38*($A338-Ft!B$2)^2)</f>
        <v>86.075860962205837</v>
      </c>
      <c r="F338" s="27">
        <f>Ft!C$3*EXP(Ft!C$38*($A338-Ft!C$2)^2)</f>
        <v>39.489721313430337</v>
      </c>
      <c r="G338" s="27">
        <f>Ft!D$3*EXP(Ft!D$38*($A338-Ft!D$2)^2)</f>
        <v>2.2327265601106219E-3</v>
      </c>
      <c r="H338" s="27">
        <f>Ft!E$3*EXP(Ft!E$38*($A338-Ft!E$2)^2)</f>
        <v>38.400612997559186</v>
      </c>
      <c r="I338" s="27">
        <f>Ft!F$3*EXP(Ft!F$38*($A338-Ft!F$2)^2)</f>
        <v>18.370221297148738</v>
      </c>
      <c r="J338" s="27">
        <f>Ft!G$3*EXP(Ft!G$38*($A338-Ft!G$2)^2)</f>
        <v>48.858086939791278</v>
      </c>
    </row>
    <row r="339" spans="1:10">
      <c r="A339" s="20">
        <v>337</v>
      </c>
      <c r="B339" s="29">
        <v>48.405775431905823</v>
      </c>
      <c r="C339" s="28">
        <f ca="1">OFFSET($B339,1*(ROWS(C$2:C339)-1),0)</f>
        <v>0.21234658109906945</v>
      </c>
      <c r="D339" s="27">
        <f>Ft!B$3*EXP(Ft!B$38*($A339-Ft!B$2)^2) +Ft!C$3*EXP(Ft!C$38*($A339-Ft!C$2)^2) + Ft!D$3*EXP(Ft!D$38*($A339-Ft!D$2)^2)+Ft!E$3*EXP(Ft!E$38*($A339-Ft!E$2)^2) +Ft!F$3*EXP(Ft!F$38*($A339-Ft!F$2)^2) + Ft!G$3*EXP(Ft!G$38*($A339-Ft!G$2)^2)</f>
        <v>231.32426282592056</v>
      </c>
      <c r="E339" s="27">
        <f>Ft!B$3*EXP(Ft!B$38*($A339-Ft!B$2)^2)</f>
        <v>85.846863652019863</v>
      </c>
      <c r="F339" s="27">
        <f>Ft!C$3*EXP(Ft!C$38*($A339-Ft!C$2)^2)</f>
        <v>39.539094891129956</v>
      </c>
      <c r="G339" s="27">
        <f>Ft!D$3*EXP(Ft!D$38*($A339-Ft!D$2)^2)</f>
        <v>2.5563039768915405E-3</v>
      </c>
      <c r="H339" s="27">
        <f>Ft!E$3*EXP(Ft!E$38*($A339-Ft!E$2)^2)</f>
        <v>38.614593949312784</v>
      </c>
      <c r="I339" s="27">
        <f>Ft!F$3*EXP(Ft!F$38*($A339-Ft!F$2)^2)</f>
        <v>18.438788373468981</v>
      </c>
      <c r="J339" s="27">
        <f>Ft!G$3*EXP(Ft!G$38*($A339-Ft!G$2)^2)</f>
        <v>48.882365656012077</v>
      </c>
    </row>
    <row r="340" spans="1:10">
      <c r="A340" s="20">
        <v>338</v>
      </c>
      <c r="B340" s="29">
        <v>48.400337738302653</v>
      </c>
      <c r="C340" s="28">
        <f ca="1">OFFSET($B340,1*(ROWS(C$2:C340)-1),0)</f>
        <v>0</v>
      </c>
      <c r="D340" s="27">
        <f>Ft!B$3*EXP(Ft!B$38*($A340-Ft!B$2)^2) +Ft!C$3*EXP(Ft!C$38*($A340-Ft!C$2)^2) + Ft!D$3*EXP(Ft!D$38*($A340-Ft!D$2)^2)+Ft!E$3*EXP(Ft!E$38*($A340-Ft!E$2)^2) +Ft!F$3*EXP(Ft!F$38*($A340-Ft!F$2)^2) + Ft!G$3*EXP(Ft!G$38*($A340-Ft!G$2)^2)</f>
        <v>231.45157472698153</v>
      </c>
      <c r="E340" s="27">
        <f>Ft!B$3*EXP(Ft!B$38*($A340-Ft!B$2)^2)</f>
        <v>85.618067025658888</v>
      </c>
      <c r="F340" s="27">
        <f>Ft!C$3*EXP(Ft!C$38*($A340-Ft!C$2)^2)</f>
        <v>39.588442751363445</v>
      </c>
      <c r="G340" s="27">
        <f>Ft!D$3*EXP(Ft!D$38*($A340-Ft!D$2)^2)</f>
        <v>2.9227419592976851E-3</v>
      </c>
      <c r="H340" s="27">
        <f>Ft!E$3*EXP(Ft!E$38*($A340-Ft!E$2)^2)</f>
        <v>38.829204426911616</v>
      </c>
      <c r="I340" s="27">
        <f>Ft!F$3*EXP(Ft!F$38*($A340-Ft!F$2)^2)</f>
        <v>18.507550439047371</v>
      </c>
      <c r="J340" s="27">
        <f>Ft!G$3*EXP(Ft!G$38*($A340-Ft!G$2)^2)</f>
        <v>48.905387342040918</v>
      </c>
    </row>
    <row r="341" spans="1:10">
      <c r="A341" s="20">
        <v>339</v>
      </c>
      <c r="B341" s="29">
        <v>48.385986351267064</v>
      </c>
      <c r="C341" s="28">
        <f ca="1">OFFSET($B341,1*(ROWS(C$2:C341)-1),0)</f>
        <v>0</v>
      </c>
      <c r="D341" s="27">
        <f>Ft!B$3*EXP(Ft!B$38*($A341-Ft!B$2)^2) +Ft!C$3*EXP(Ft!C$38*($A341-Ft!C$2)^2) + Ft!D$3*EXP(Ft!D$38*($A341-Ft!D$2)^2)+Ft!E$3*EXP(Ft!E$38*($A341-Ft!E$2)^2) +Ft!F$3*EXP(Ft!F$38*($A341-Ft!F$2)^2) + Ft!G$3*EXP(Ft!G$38*($A341-Ft!G$2)^2)</f>
        <v>231.57867414300509</v>
      </c>
      <c r="E341" s="27">
        <f>Ft!B$3*EXP(Ft!B$38*($A341-Ft!B$2)^2)</f>
        <v>85.389472728842549</v>
      </c>
      <c r="F341" s="27">
        <f>Ft!C$3*EXP(Ft!C$38*($A341-Ft!C$2)^2)</f>
        <v>39.637764643884353</v>
      </c>
      <c r="G341" s="27">
        <f>Ft!D$3*EXP(Ft!D$38*($A341-Ft!D$2)^2)</f>
        <v>3.3371019512504706E-3</v>
      </c>
      <c r="H341" s="27">
        <f>Ft!E$3*EXP(Ft!E$38*($A341-Ft!E$2)^2)</f>
        <v>39.0444416901544</v>
      </c>
      <c r="I341" s="27">
        <f>Ft!F$3*EXP(Ft!F$38*($A341-Ft!F$2)^2)</f>
        <v>18.576507767382765</v>
      </c>
      <c r="J341" s="27">
        <f>Ft!G$3*EXP(Ft!G$38*($A341-Ft!G$2)^2)</f>
        <v>48.927150210789755</v>
      </c>
    </row>
    <row r="342" spans="1:10">
      <c r="A342" s="20">
        <v>340</v>
      </c>
      <c r="B342" s="29">
        <v>48.401883319571766</v>
      </c>
      <c r="C342" s="28">
        <f ca="1">OFFSET($B342,1*(ROWS(C$2:C342)-1),0)</f>
        <v>0</v>
      </c>
      <c r="D342" s="27">
        <f>Ft!B$3*EXP(Ft!B$38*($A342-Ft!B$2)^2) +Ft!C$3*EXP(Ft!C$38*($A342-Ft!C$2)^2) + Ft!D$3*EXP(Ft!D$38*($A342-Ft!D$2)^2)+Ft!E$3*EXP(Ft!E$38*($A342-Ft!E$2)^2) +Ft!F$3*EXP(Ft!F$38*($A342-Ft!F$2)^2) + Ft!G$3*EXP(Ft!G$38*($A342-Ft!G$2)^2)</f>
        <v>231.70556383280237</v>
      </c>
      <c r="E342" s="27">
        <f>Ft!B$3*EXP(Ft!B$38*($A342-Ft!B$2)^2)</f>
        <v>85.161082400007956</v>
      </c>
      <c r="F342" s="27">
        <f>Ft!C$3*EXP(Ft!C$38*($A342-Ft!C$2)^2)</f>
        <v>39.687060318306358</v>
      </c>
      <c r="G342" s="27">
        <f>Ft!D$3*EXP(Ft!D$38*($A342-Ft!D$2)^2)</f>
        <v>3.8049547575206349E-3</v>
      </c>
      <c r="H342" s="27">
        <f>Ft!E$3*EXP(Ft!E$38*($A342-Ft!E$2)^2)</f>
        <v>39.260302956298695</v>
      </c>
      <c r="I342" s="27">
        <f>Ft!F$3*EXP(Ft!F$38*($A342-Ft!F$2)^2)</f>
        <v>18.645660631061123</v>
      </c>
      <c r="J342" s="27">
        <f>Ft!G$3*EXP(Ft!G$38*($A342-Ft!G$2)^2)</f>
        <v>48.947652572370714</v>
      </c>
    </row>
    <row r="343" spans="1:10">
      <c r="A343" s="20">
        <v>341</v>
      </c>
      <c r="B343" s="29">
        <v>48.410934404255556</v>
      </c>
      <c r="C343" s="28">
        <f ca="1">OFFSET($B343,1*(ROWS(C$2:C343)-1),0)</f>
        <v>0</v>
      </c>
      <c r="D343" s="27">
        <f>Ft!B$3*EXP(Ft!B$38*($A343-Ft!B$2)^2) +Ft!C$3*EXP(Ft!C$38*($A343-Ft!C$2)^2) + Ft!D$3*EXP(Ft!D$38*($A343-Ft!D$2)^2)+Ft!E$3*EXP(Ft!E$38*($A343-Ft!E$2)^2) +Ft!F$3*EXP(Ft!F$38*($A343-Ft!F$2)^2) + Ft!G$3*EXP(Ft!G$38*($A343-Ft!G$2)^2)</f>
        <v>231.83224715034612</v>
      </c>
      <c r="E343" s="27">
        <f>Ft!B$3*EXP(Ft!B$38*($A343-Ft!B$2)^2)</f>
        <v>84.932897670297962</v>
      </c>
      <c r="F343" s="27">
        <f>Ft!C$3*EXP(Ft!C$38*($A343-Ft!C$2)^2)</f>
        <v>39.736329524105329</v>
      </c>
      <c r="G343" s="27">
        <f>Ft!D$3*EXP(Ft!D$38*($A343-Ft!D$2)^2)</f>
        <v>4.3324198924871568E-3</v>
      </c>
      <c r="H343" s="27">
        <f>Ft!E$3*EXP(Ft!E$38*($A343-Ft!E$2)^2)</f>
        <v>39.476785399986966</v>
      </c>
      <c r="I343" s="27">
        <f>Ft!F$3*EXP(Ft!F$38*($A343-Ft!F$2)^2)</f>
        <v>18.715009301748577</v>
      </c>
      <c r="J343" s="27">
        <f>Ft!G$3*EXP(Ft!G$38*($A343-Ft!G$2)^2)</f>
        <v>48.966892834314784</v>
      </c>
    </row>
    <row r="344" spans="1:10">
      <c r="A344" s="20">
        <v>342</v>
      </c>
      <c r="B344" s="29">
        <v>48.422298806964363</v>
      </c>
      <c r="C344" s="28">
        <f ca="1">OFFSET($B344,1*(ROWS(C$2:C344)-1),0)</f>
        <v>0</v>
      </c>
      <c r="D344" s="27">
        <f>Ft!B$3*EXP(Ft!B$38*($A344-Ft!B$2)^2) +Ft!C$3*EXP(Ft!C$38*($A344-Ft!C$2)^2) + Ft!D$3*EXP(Ft!D$38*($A344-Ft!D$2)^2)+Ft!E$3*EXP(Ft!E$38*($A344-Ft!E$2)^2) +Ft!F$3*EXP(Ft!F$38*($A344-Ft!F$2)^2) + Ft!G$3*EXP(Ft!G$38*($A344-Ft!G$2)^2)</f>
        <v>231.9587280857418</v>
      </c>
      <c r="E344" s="27">
        <f>Ft!B$3*EXP(Ft!B$38*($A344-Ft!B$2)^2)</f>
        <v>84.70492016354946</v>
      </c>
      <c r="F344" s="27">
        <f>Ft!C$3*EXP(Ft!C$38*($A344-Ft!C$2)^2)</f>
        <v>39.785572010621351</v>
      </c>
      <c r="G344" s="27">
        <f>Ft!D$3*EXP(Ft!D$38*($A344-Ft!D$2)^2)</f>
        <v>4.9262064335303772E-3</v>
      </c>
      <c r="H344" s="27">
        <f>Ft!E$3*EXP(Ft!E$38*($A344-Ft!E$2)^2)</f>
        <v>39.693886153175185</v>
      </c>
      <c r="I344" s="27">
        <f>Ft!F$3*EXP(Ft!F$38*($A344-Ft!F$2)^2)</f>
        <v>18.784554050184315</v>
      </c>
      <c r="J344" s="27">
        <f>Ft!G$3*EXP(Ft!G$38*($A344-Ft!G$2)^2)</f>
        <v>48.984869501777951</v>
      </c>
    </row>
    <row r="345" spans="1:10">
      <c r="A345" s="20">
        <v>343</v>
      </c>
      <c r="B345" s="29">
        <v>48.422806331468422</v>
      </c>
      <c r="C345" s="28">
        <f ca="1">OFFSET($B345,1*(ROWS(C$2:C345)-1),0)</f>
        <v>0</v>
      </c>
      <c r="D345" s="27">
        <f>Ft!B$3*EXP(Ft!B$38*($A345-Ft!B$2)^2) +Ft!C$3*EXP(Ft!C$38*($A345-Ft!C$2)^2) + Ft!D$3*EXP(Ft!D$38*($A345-Ft!D$2)^2)+Ft!E$3*EXP(Ft!E$38*($A345-Ft!E$2)^2) +Ft!F$3*EXP(Ft!F$38*($A345-Ft!F$2)^2) + Ft!G$3*EXP(Ft!G$38*($A345-Ft!G$2)^2)</f>
        <v>232.08501130754476</v>
      </c>
      <c r="E345" s="27">
        <f>Ft!B$3*EXP(Ft!B$38*($A345-Ft!B$2)^2)</f>
        <v>84.477151496282119</v>
      </c>
      <c r="F345" s="27">
        <f>Ft!C$3*EXP(Ft!C$38*($A345-Ft!C$2)^2)</f>
        <v>39.834787527060783</v>
      </c>
      <c r="G345" s="27">
        <f>Ft!D$3*EXP(Ft!D$38*($A345-Ft!D$2)^2)</f>
        <v>5.5936552291557078E-3</v>
      </c>
      <c r="H345" s="27">
        <f>Ft!E$3*EXP(Ft!E$38*($A345-Ft!E$2)^2)</f>
        <v>39.911602305064228</v>
      </c>
      <c r="I345" s="27">
        <f>Ft!F$3*EXP(Ft!F$38*($A345-Ft!F$2)^2)</f>
        <v>18.854295146173659</v>
      </c>
      <c r="J345" s="27">
        <f>Ft!G$3*EXP(Ft!G$38*($A345-Ft!G$2)^2)</f>
        <v>49.001581177734799</v>
      </c>
    </row>
    <row r="346" spans="1:10">
      <c r="A346" s="20">
        <v>344</v>
      </c>
      <c r="B346" s="29">
        <v>48.426950072791385</v>
      </c>
      <c r="C346" s="28">
        <f ca="1">OFFSET($B346,1*(ROWS(C$2:C346)-1),0)</f>
        <v>0</v>
      </c>
      <c r="D346" s="27">
        <f>Ft!B$3*EXP(Ft!B$38*($A346-Ft!B$2)^2) +Ft!C$3*EXP(Ft!C$38*($A346-Ft!C$2)^2) + Ft!D$3*EXP(Ft!D$38*($A346-Ft!D$2)^2)+Ft!E$3*EXP(Ft!E$38*($A346-Ft!E$2)^2) +Ft!F$3*EXP(Ft!F$38*($A346-Ft!F$2)^2) + Ft!G$3*EXP(Ft!G$38*($A346-Ft!G$2)^2)</f>
        <v>232.21110220623697</v>
      </c>
      <c r="E346" s="27">
        <f>Ft!B$3*EXP(Ft!B$38*($A346-Ft!B$2)^2)</f>
        <v>84.249593277687183</v>
      </c>
      <c r="F346" s="27">
        <f>Ft!C$3*EXP(Ft!C$38*($A346-Ft!C$2)^2)</f>
        <v>39.883975822498293</v>
      </c>
      <c r="G346" s="27">
        <f>Ft!D$3*EXP(Ft!D$38*($A346-Ft!D$2)^2)</f>
        <v>6.3427822771179839E-3</v>
      </c>
      <c r="H346" s="27">
        <f>Ft!E$3*EXP(Ft!E$38*($A346-Ft!E$2)^2)</f>
        <v>40.129930902033976</v>
      </c>
      <c r="I346" s="27">
        <f>Ft!F$3*EXP(Ft!F$38*($A346-Ft!F$2)^2)</f>
        <v>18.924232858580993</v>
      </c>
      <c r="J346" s="27">
        <f>Ft!G$3*EXP(Ft!G$38*($A346-Ft!G$2)^2)</f>
        <v>49.017026563159419</v>
      </c>
    </row>
    <row r="347" spans="1:10">
      <c r="A347" s="20">
        <v>345</v>
      </c>
      <c r="B347" s="29">
        <v>48.410894037725512</v>
      </c>
      <c r="C347" s="28">
        <f ca="1">OFFSET($B347,1*(ROWS(C$2:C347)-1),0)</f>
        <v>0</v>
      </c>
      <c r="D347" s="27">
        <f>Ft!B$3*EXP(Ft!B$38*($A347-Ft!B$2)^2) +Ft!C$3*EXP(Ft!C$38*($A347-Ft!C$2)^2) + Ft!D$3*EXP(Ft!D$38*($A347-Ft!D$2)^2)+Ft!E$3*EXP(Ft!E$38*($A347-Ft!E$2)^2) +Ft!F$3*EXP(Ft!F$38*($A347-Ft!F$2)^2) + Ft!G$3*EXP(Ft!G$38*($A347-Ft!G$2)^2)</f>
        <v>232.33700693864239</v>
      </c>
      <c r="E347" s="27">
        <f>Ft!B$3*EXP(Ft!B$38*($A347-Ft!B$2)^2)</f>
        <v>84.022247109616416</v>
      </c>
      <c r="F347" s="27">
        <f>Ft!C$3*EXP(Ft!C$38*($A347-Ft!C$2)^2)</f>
        <v>39.933136645878953</v>
      </c>
      <c r="G347" s="27">
        <f>Ft!D$3*EXP(Ft!D$38*($A347-Ft!D$2)^2)</f>
        <v>7.1823230503388069E-3</v>
      </c>
      <c r="H347" s="27">
        <f>Ft!E$3*EXP(Ft!E$38*($A347-Ft!E$2)^2)</f>
        <v>40.348868947580222</v>
      </c>
      <c r="I347" s="27">
        <f>Ft!F$3*EXP(Ft!F$38*($A347-Ft!F$2)^2)</f>
        <v>18.994367455322703</v>
      </c>
      <c r="J347" s="27">
        <f>Ft!G$3*EXP(Ft!G$38*($A347-Ft!G$2)^2)</f>
        <v>49.031204457193738</v>
      </c>
    </row>
    <row r="348" spans="1:10">
      <c r="A348" s="20">
        <v>346</v>
      </c>
      <c r="B348" s="29">
        <v>48.435566412793861</v>
      </c>
      <c r="C348" s="28">
        <f ca="1">OFFSET($B348,1*(ROWS(C$2:C348)-1),0)</f>
        <v>0</v>
      </c>
      <c r="D348" s="27">
        <f>Ft!B$3*EXP(Ft!B$38*($A348-Ft!B$2)^2) +Ft!C$3*EXP(Ft!C$38*($A348-Ft!C$2)^2) + Ft!D$3*EXP(Ft!D$38*($A348-Ft!D$2)^2)+Ft!E$3*EXP(Ft!E$38*($A348-Ft!E$2)^2) +Ft!F$3*EXP(Ft!F$38*($A348-Ft!F$2)^2) + Ft!G$3*EXP(Ft!G$38*($A348-Ft!G$2)^2)</f>
        <v>232.46273247301761</v>
      </c>
      <c r="E348" s="27">
        <f>Ft!B$3*EXP(Ft!B$38*($A348-Ft!B$2)^2)</f>
        <v>83.795114586571501</v>
      </c>
      <c r="F348" s="27">
        <f>Ft!C$3*EXP(Ft!C$38*($A348-Ft!C$2)^2)</f>
        <v>39.982269746020258</v>
      </c>
      <c r="G348" s="27">
        <f>Ft!D$3*EXP(Ft!D$38*($A348-Ft!D$2)^2)</f>
        <v>8.121777508411282E-3</v>
      </c>
      <c r="H348" s="27">
        <f>Ft!E$3*EXP(Ft!E$38*($A348-Ft!E$2)^2)</f>
        <v>40.568413402254208</v>
      </c>
      <c r="I348" s="27">
        <f>Ft!F$3*EXP(Ft!F$38*($A348-Ft!F$2)^2)</f>
        <v>19.064699203360174</v>
      </c>
      <c r="J348" s="27">
        <f>Ft!G$3*EXP(Ft!G$38*($A348-Ft!G$2)^2)</f>
        <v>49.044113757303073</v>
      </c>
    </row>
    <row r="349" spans="1:10">
      <c r="A349" s="20">
        <v>347</v>
      </c>
      <c r="B349" s="29">
        <v>48.450051106279886</v>
      </c>
      <c r="C349" s="28">
        <f ca="1">OFFSET($B349,1*(ROWS(C$2:C349)-1),0)</f>
        <v>0</v>
      </c>
      <c r="D349" s="27">
        <f>Ft!B$3*EXP(Ft!B$38*($A349-Ft!B$2)^2) +Ft!C$3*EXP(Ft!C$38*($A349-Ft!C$2)^2) + Ft!D$3*EXP(Ft!D$38*($A349-Ft!D$2)^2)+Ft!E$3*EXP(Ft!E$38*($A349-Ft!E$2)^2) +Ft!F$3*EXP(Ft!F$38*($A349-Ft!F$2)^2) + Ft!G$3*EXP(Ft!G$38*($A349-Ft!G$2)^2)</f>
        <v>232.58828663451456</v>
      </c>
      <c r="E349" s="27">
        <f>Ft!B$3*EXP(Ft!B$38*($A349-Ft!B$2)^2)</f>
        <v>83.568197295693352</v>
      </c>
      <c r="F349" s="27">
        <f>Ft!C$3*EXP(Ft!C$38*($A349-Ft!C$2)^2)</f>
        <v>40.031374871614197</v>
      </c>
      <c r="G349" s="27">
        <f>Ft!D$3*EXP(Ft!D$38*($A349-Ft!D$2)^2)</f>
        <v>9.1714554901528942E-3</v>
      </c>
      <c r="H349" s="27">
        <f>Ft!E$3*EXP(Ft!E$38*($A349-Ft!E$2)^2)</f>
        <v>40.788561183605111</v>
      </c>
      <c r="I349" s="27">
        <f>Ft!F$3*EXP(Ft!F$38*($A349-Ft!F$2)^2)</f>
        <v>19.13522836869268</v>
      </c>
      <c r="J349" s="27">
        <f>Ft!G$3*EXP(Ft!G$38*($A349-Ft!G$2)^2)</f>
        <v>49.055753459419073</v>
      </c>
    </row>
    <row r="350" spans="1:10">
      <c r="A350" s="20">
        <v>348</v>
      </c>
      <c r="B350" s="29">
        <v>48.452640616931717</v>
      </c>
      <c r="C350" s="28">
        <f ca="1">OFFSET($B350,1*(ROWS(C$2:C350)-1),0)</f>
        <v>0</v>
      </c>
      <c r="D350" s="27">
        <f>Ft!B$3*EXP(Ft!B$38*($A350-Ft!B$2)^2) +Ft!C$3*EXP(Ft!C$38*($A350-Ft!C$2)^2) + Ft!D$3*EXP(Ft!D$38*($A350-Ft!D$2)^2)+Ft!E$3*EXP(Ft!E$38*($A350-Ft!E$2)^2) +Ft!F$3*EXP(Ft!F$38*($A350-Ft!F$2)^2) + Ft!G$3*EXP(Ft!G$38*($A350-Ft!G$2)^2)</f>
        <v>232.71367815066483</v>
      </c>
      <c r="E350" s="27">
        <f>Ft!B$3*EXP(Ft!B$38*($A350-Ft!B$2)^2)</f>
        <v>83.341496816751828</v>
      </c>
      <c r="F350" s="27">
        <f>Ft!C$3*EXP(Ft!C$38*($A350-Ft!C$2)^2)</f>
        <v>40.080451771229342</v>
      </c>
      <c r="G350" s="27">
        <f>Ft!D$3*EXP(Ft!D$38*($A350-Ft!D$2)^2)</f>
        <v>1.0342522138243264E-2</v>
      </c>
      <c r="H350" s="27">
        <f>Ft!E$3*EXP(Ft!E$38*($A350-Ft!E$2)^2)</f>
        <v>41.009309166125227</v>
      </c>
      <c r="I350" s="27">
        <f>Ft!F$3*EXP(Ft!F$38*($A350-Ft!F$2)^2)</f>
        <v>19.205955216350329</v>
      </c>
      <c r="J350" s="27">
        <f>Ft!G$3*EXP(Ft!G$38*($A350-Ft!G$2)^2)</f>
        <v>49.066122658069851</v>
      </c>
    </row>
    <row r="351" spans="1:10">
      <c r="A351" s="20">
        <v>349</v>
      </c>
      <c r="B351" s="29">
        <v>48.462693638557425</v>
      </c>
      <c r="C351" s="28">
        <f ca="1">OFFSET($B351,1*(ROWS(C$2:C351)-1),0)</f>
        <v>0</v>
      </c>
      <c r="D351" s="27">
        <f>Ft!B$3*EXP(Ft!B$38*($A351-Ft!B$2)^2) +Ft!C$3*EXP(Ft!C$38*($A351-Ft!C$2)^2) + Ft!D$3*EXP(Ft!D$38*($A351-Ft!D$2)^2)+Ft!E$3*EXP(Ft!E$38*($A351-Ft!E$2)^2) +Ft!F$3*EXP(Ft!F$38*($A351-Ft!F$2)^2) + Ft!G$3*EXP(Ft!G$38*($A351-Ft!G$2)^2)</f>
        <v>232.83891669649168</v>
      </c>
      <c r="E351" s="27">
        <f>Ft!B$3*EXP(Ft!B$38*($A351-Ft!B$2)^2)</f>
        <v>83.115014722135498</v>
      </c>
      <c r="F351" s="27">
        <f>Ft!C$3*EXP(Ft!C$38*($A351-Ft!C$2)^2)</f>
        <v>40.129500193312907</v>
      </c>
      <c r="G351" s="27">
        <f>Ft!D$3*EXP(Ft!D$38*($A351-Ft!D$2)^2)</f>
        <v>1.1647042960776642E-2</v>
      </c>
      <c r="H351" s="27">
        <f>Ft!E$3*EXP(Ft!E$38*($A351-Ft!E$2)^2)</f>
        <v>41.230654181198069</v>
      </c>
      <c r="I351" s="27">
        <f>Ft!F$3*EXP(Ft!F$38*($A351-Ft!F$2)^2)</f>
        <v>19.276880010387021</v>
      </c>
      <c r="J351" s="27">
        <f>Ft!G$3*EXP(Ft!G$38*($A351-Ft!G$2)^2)</f>
        <v>49.075220546497398</v>
      </c>
    </row>
    <row r="352" spans="1:10">
      <c r="A352" s="20">
        <v>350</v>
      </c>
      <c r="B352" s="29">
        <v>48.476703941441542</v>
      </c>
      <c r="C352" s="28">
        <f ca="1">OFFSET($B352,1*(ROWS(C$2:C352)-1),0)</f>
        <v>0</v>
      </c>
      <c r="D352" s="27">
        <f>Ft!B$3*EXP(Ft!B$38*($A352-Ft!B$2)^2) +Ft!C$3*EXP(Ft!C$38*($A352-Ft!C$2)^2) + Ft!D$3*EXP(Ft!D$38*($A352-Ft!D$2)^2)+Ft!E$3*EXP(Ft!E$38*($A352-Ft!E$2)^2) +Ft!F$3*EXP(Ft!F$38*($A352-Ft!F$2)^2) + Ft!G$3*EXP(Ft!G$38*($A352-Ft!G$2)^2)</f>
        <v>232.96401293880629</v>
      </c>
      <c r="E352" s="27">
        <f>Ft!B$3*EXP(Ft!B$38*($A352-Ft!B$2)^2)</f>
        <v>82.88875257684181</v>
      </c>
      <c r="F352" s="27">
        <f>Ft!C$3*EXP(Ft!C$38*($A352-Ft!C$2)^2)</f>
        <v>40.178519886192795</v>
      </c>
      <c r="G352" s="27">
        <f>Ft!D$3*EXP(Ft!D$38*($A352-Ft!D$2)^2)</f>
        <v>1.3098028086944345E-2</v>
      </c>
      <c r="H352" s="27">
        <f>Ft!E$3*EXP(Ft!E$38*($A352-Ft!E$2)^2)</f>
        <v>41.452593017049274</v>
      </c>
      <c r="I352" s="27">
        <f>Ft!F$3*EXP(Ft!F$38*($A352-Ft!F$2)^2)</f>
        <v>19.348003013873281</v>
      </c>
      <c r="J352" s="27">
        <f>Ft!G$3*EXP(Ft!G$38*($A352-Ft!G$2)^2)</f>
        <v>49.08304641676218</v>
      </c>
    </row>
    <row r="353" spans="1:10">
      <c r="A353" s="20">
        <v>351</v>
      </c>
      <c r="B353" s="29">
        <v>48.46853756695694</v>
      </c>
      <c r="C353" s="28">
        <f ca="1">OFFSET($B353,1*(ROWS(C$2:C353)-1),0)</f>
        <v>0</v>
      </c>
      <c r="D353" s="27">
        <f>Ft!B$3*EXP(Ft!B$38*($A353-Ft!B$2)^2) +Ft!C$3*EXP(Ft!C$38*($A353-Ft!C$2)^2) + Ft!D$3*EXP(Ft!D$38*($A353-Ft!D$2)^2)+Ft!E$3*EXP(Ft!E$38*($A353-Ft!E$2)^2) +Ft!F$3*EXP(Ft!F$38*($A353-Ft!F$2)^2) + Ft!G$3*EXP(Ft!G$38*($A353-Ft!G$2)^2)</f>
        <v>233.08897857919706</v>
      </c>
      <c r="E353" s="27">
        <f>Ft!B$3*EXP(Ft!B$38*($A353-Ft!B$2)^2)</f>
        <v>82.662711938467282</v>
      </c>
      <c r="F353" s="27">
        <f>Ft!C$3*EXP(Ft!C$38*($A353-Ft!C$2)^2)</f>
        <v>40.227510598079753</v>
      </c>
      <c r="G353" s="27">
        <f>Ft!D$3*EXP(Ft!D$38*($A353-Ft!D$2)^2)</f>
        <v>1.4709475225484159E-2</v>
      </c>
      <c r="H353" s="27">
        <f>Ft!E$3*EXP(Ft!E$38*($A353-Ft!E$2)^2)</f>
        <v>41.675122418700354</v>
      </c>
      <c r="I353" s="27">
        <f>Ft!F$3*EXP(Ft!F$38*($A353-Ft!F$2)^2)</f>
        <v>19.419324488889192</v>
      </c>
      <c r="J353" s="27">
        <f>Ft!G$3*EXP(Ft!G$38*($A353-Ft!G$2)^2)</f>
        <v>49.089599659834953</v>
      </c>
    </row>
    <row r="354" spans="1:10">
      <c r="A354" s="20">
        <v>352</v>
      </c>
      <c r="B354" s="29">
        <v>48.469473069139269</v>
      </c>
      <c r="C354" s="28">
        <f ca="1">OFFSET($B354,1*(ROWS(C$2:C354)-1),0)</f>
        <v>0</v>
      </c>
      <c r="D354" s="27">
        <f>Ft!B$3*EXP(Ft!B$38*($A354-Ft!B$2)^2) +Ft!C$3*EXP(Ft!C$38*($A354-Ft!C$2)^2) + Ft!D$3*EXP(Ft!D$38*($A354-Ft!D$2)^2)+Ft!E$3*EXP(Ft!E$38*($A354-Ft!E$2)^2) +Ft!F$3*EXP(Ft!F$38*($A354-Ft!F$2)^2) + Ft!G$3*EXP(Ft!G$38*($A354-Ft!G$2)^2)</f>
        <v>233.21382639517128</v>
      </c>
      <c r="E354" s="27">
        <f>Ft!B$3*EXP(Ft!B$38*($A354-Ft!B$2)^2)</f>
        <v>82.436894357197929</v>
      </c>
      <c r="F354" s="27">
        <f>Ft!C$3*EXP(Ft!C$38*($A354-Ft!C$2)^2)</f>
        <v>40.276472077069343</v>
      </c>
      <c r="G354" s="27">
        <f>Ft!D$3*EXP(Ft!D$38*($A354-Ft!D$2)^2)</f>
        <v>1.6496410785508234E-2</v>
      </c>
      <c r="H354" s="27">
        <f>Ft!E$3*EXP(Ft!E$38*($A354-Ft!E$2)^2)</f>
        <v>41.898239087925376</v>
      </c>
      <c r="I354" s="27">
        <f>Ft!F$3*EXP(Ft!F$38*($A354-Ft!F$2)^2)</f>
        <v>19.490844696517335</v>
      </c>
      <c r="J354" s="27">
        <f>Ft!G$3*EXP(Ft!G$38*($A354-Ft!G$2)^2)</f>
        <v>49.09487976567577</v>
      </c>
    </row>
    <row r="355" spans="1:10">
      <c r="A355" s="20">
        <v>353</v>
      </c>
      <c r="B355" s="29">
        <v>48.464350837322087</v>
      </c>
      <c r="C355" s="28">
        <f ca="1">OFFSET($B355,1*(ROWS(C$2:C355)-1),0)</f>
        <v>0</v>
      </c>
      <c r="D355" s="27">
        <f>Ft!B$3*EXP(Ft!B$38*($A355-Ft!B$2)^2) +Ft!C$3*EXP(Ft!C$38*($A355-Ft!C$2)^2) + Ft!D$3*EXP(Ft!D$38*($A355-Ft!D$2)^2)+Ft!E$3*EXP(Ft!E$38*($A355-Ft!E$2)^2) +Ft!F$3*EXP(Ft!F$38*($A355-Ft!F$2)^2) + Ft!G$3*EXP(Ft!G$38*($A355-Ft!G$2)^2)</f>
        <v>233.33857027886086</v>
      </c>
      <c r="E355" s="27">
        <f>Ft!B$3*EXP(Ft!B$38*($A355-Ft!B$2)^2)</f>
        <v>82.211301375800005</v>
      </c>
      <c r="F355" s="27">
        <f>Ft!C$3*EXP(Ft!C$38*($A355-Ft!C$2)^2)</f>
        <v>40.325404071144156</v>
      </c>
      <c r="G355" s="27">
        <f>Ft!D$3*EXP(Ft!D$38*($A355-Ft!D$2)^2)</f>
        <v>1.8474928570435572E-2</v>
      </c>
      <c r="H355" s="27">
        <f>Ft!E$3*EXP(Ft!E$38*($A355-Ft!E$2)^2)</f>
        <v>42.121939683210606</v>
      </c>
      <c r="I355" s="27">
        <f>Ft!F$3*EXP(Ft!F$38*($A355-Ft!F$2)^2)</f>
        <v>19.562563896835549</v>
      </c>
      <c r="J355" s="27">
        <f>Ft!G$3*EXP(Ft!G$38*($A355-Ft!G$2)^2)</f>
        <v>49.098886323300107</v>
      </c>
    </row>
    <row r="356" spans="1:10">
      <c r="A356" s="20">
        <v>354</v>
      </c>
      <c r="B356" s="29">
        <v>48.4449965426343</v>
      </c>
      <c r="C356" s="28">
        <f ca="1">OFFSET($B356,1*(ROWS(C$2:C356)-1),0)</f>
        <v>0</v>
      </c>
      <c r="D356" s="27">
        <f>Ft!B$3*EXP(Ft!B$38*($A356-Ft!B$2)^2) +Ft!C$3*EXP(Ft!C$38*($A356-Ft!C$2)^2) + Ft!D$3*EXP(Ft!D$38*($A356-Ft!D$2)^2)+Ft!E$3*EXP(Ft!E$38*($A356-Ft!E$2)^2) +Ft!F$3*EXP(Ft!F$38*($A356-Ft!F$2)^2) + Ft!G$3*EXP(Ft!G$38*($A356-Ft!G$2)^2)</f>
        <v>233.46322527265335</v>
      </c>
      <c r="E356" s="27">
        <f>Ft!B$3*EXP(Ft!B$38*($A356-Ft!B$2)^2)</f>
        <v>81.985934529610788</v>
      </c>
      <c r="F356" s="27">
        <f>Ft!C$3*EXP(Ft!C$38*($A356-Ft!C$2)^2)</f>
        <v>40.374306328175784</v>
      </c>
      <c r="G356" s="27">
        <f>Ft!D$3*EXP(Ft!D$38*($A356-Ft!D$2)^2)</f>
        <v>2.0662225407671559E-2</v>
      </c>
      <c r="H356" s="27">
        <f>Ft!E$3*EXP(Ft!E$38*($A356-Ft!E$2)^2)</f>
        <v>42.346220819716933</v>
      </c>
      <c r="I356" s="27">
        <f>Ft!F$3*EXP(Ft!F$38*($A356-Ft!F$2)^2)</f>
        <v>19.634482348909927</v>
      </c>
      <c r="J356" s="27">
        <f>Ft!G$3*EXP(Ft!G$38*($A356-Ft!G$2)^2)</f>
        <v>49.101619020832231</v>
      </c>
    </row>
    <row r="357" spans="1:10">
      <c r="A357" s="20">
        <v>355</v>
      </c>
      <c r="B357" s="29">
        <v>48.429167722512091</v>
      </c>
      <c r="C357" s="28">
        <f ca="1">OFFSET($B357,1*(ROWS(C$2:C357)-1),0)</f>
        <v>0</v>
      </c>
      <c r="D357" s="27">
        <f>Ft!B$3*EXP(Ft!B$38*($A357-Ft!B$2)^2) +Ft!C$3*EXP(Ft!C$38*($A357-Ft!C$2)^2) + Ft!D$3*EXP(Ft!D$38*($A357-Ft!D$2)^2)+Ft!E$3*EXP(Ft!E$38*($A357-Ft!E$2)^2) +Ft!F$3*EXP(Ft!F$38*($A357-Ft!F$2)^2) + Ft!G$3*EXP(Ft!G$38*($A357-Ft!G$2)^2)</f>
        <v>233.58780760106538</v>
      </c>
      <c r="E357" s="27">
        <f>Ft!B$3*EXP(Ft!B$38*($A357-Ft!B$2)^2)</f>
        <v>81.760795346529719</v>
      </c>
      <c r="F357" s="27">
        <f>Ft!C$3*EXP(Ft!C$38*($A357-Ft!C$2)^2)</f>
        <v>40.423178595926991</v>
      </c>
      <c r="G357" s="27">
        <f>Ft!D$3*EXP(Ft!D$38*($A357-Ft!D$2)^2)</f>
        <v>2.3076633030123975E-2</v>
      </c>
      <c r="H357" s="27">
        <f>Ft!E$3*EXP(Ft!E$38*($A357-Ft!E$2)^2)</f>
        <v>42.571079069245371</v>
      </c>
      <c r="I357" s="27">
        <f>Ft!F$3*EXP(Ft!F$38*($A357-Ft!F$2)^2)</f>
        <v>19.706600310787586</v>
      </c>
      <c r="J357" s="27">
        <f>Ft!G$3*EXP(Ft!G$38*($A357-Ft!G$2)^2)</f>
        <v>49.103077645545604</v>
      </c>
    </row>
    <row r="358" spans="1:10">
      <c r="A358" s="20">
        <v>356</v>
      </c>
      <c r="B358" s="29">
        <v>48.407827599763266</v>
      </c>
      <c r="C358" s="28">
        <f ca="1">OFFSET($B358,1*(ROWS(C$2:C358)-1),0)</f>
        <v>0</v>
      </c>
      <c r="D358" s="27">
        <f>Ft!B$3*EXP(Ft!B$38*($A358-Ft!B$2)^2) +Ft!C$3*EXP(Ft!C$38*($A358-Ft!C$2)^2) + Ft!D$3*EXP(Ft!D$38*($A358-Ft!D$2)^2)+Ft!E$3*EXP(Ft!E$38*($A358-Ft!E$2)^2) +Ft!F$3*EXP(Ft!F$38*($A358-Ft!F$2)^2) + Ft!G$3*EXP(Ft!G$38*($A358-Ft!G$2)^2)</f>
        <v>233.71233469813038</v>
      </c>
      <c r="E358" s="27">
        <f>Ft!B$3*EXP(Ft!B$38*($A358-Ft!B$2)^2)</f>
        <v>81.535885347009597</v>
      </c>
      <c r="F358" s="27">
        <f>Ft!C$3*EXP(Ft!C$38*($A358-Ft!C$2)^2)</f>
        <v>40.472020622053805</v>
      </c>
      <c r="G358" s="27">
        <f>Ft!D$3*EXP(Ft!D$38*($A358-Ft!D$2)^2)</f>
        <v>2.5737645481422298E-2</v>
      </c>
      <c r="H358" s="27">
        <f>Ft!E$3*EXP(Ft!E$38*($A358-Ft!E$2)^2)</f>
        <v>42.796510960205502</v>
      </c>
      <c r="I358" s="27">
        <f>Ft!F$3*EXP(Ft!F$38*($A358-Ft!F$2)^2)</f>
        <v>19.778918039489525</v>
      </c>
      <c r="J358" s="27">
        <f>Ft!G$3*EXP(Ft!G$38*($A358-Ft!G$2)^2)</f>
        <v>49.10326208389052</v>
      </c>
    </row>
    <row r="359" spans="1:10">
      <c r="A359" s="20">
        <v>357</v>
      </c>
      <c r="B359" s="29">
        <v>48.400304749261238</v>
      </c>
      <c r="C359" s="28">
        <f ca="1">OFFSET($B359,1*(ROWS(C$2:C359)-1),0)</f>
        <v>0</v>
      </c>
      <c r="D359" s="27">
        <f>Ft!B$3*EXP(Ft!B$38*($A359-Ft!B$2)^2) +Ft!C$3*EXP(Ft!C$38*($A359-Ft!C$2)^2) + Ft!D$3*EXP(Ft!D$38*($A359-Ft!D$2)^2)+Ft!E$3*EXP(Ft!E$38*($A359-Ft!E$2)^2) +Ft!F$3*EXP(Ft!F$38*($A359-Ft!F$2)^2) + Ft!G$3*EXP(Ft!G$38*($A359-Ft!G$2)^2)</f>
        <v>233.83682522953058</v>
      </c>
      <c r="E359" s="27">
        <f>Ft!B$3*EXP(Ft!B$38*($A359-Ft!B$2)^2)</f>
        <v>81.31120604404812</v>
      </c>
      <c r="F359" s="27">
        <f>Ft!C$3*EXP(Ft!C$38*($A359-Ft!C$2)^2)</f>
        <v>40.520832154107566</v>
      </c>
      <c r="G359" s="27">
        <f>Ft!D$3*EXP(Ft!D$38*($A359-Ft!D$2)^2)</f>
        <v>2.8665941275675202E-2</v>
      </c>
      <c r="H359" s="27">
        <f>Ft!E$3*EXP(Ft!E$38*($A359-Ft!E$2)^2)</f>
        <v>43.022512977586857</v>
      </c>
      <c r="I359" s="27">
        <f>Ft!F$3*EXP(Ft!F$38*($A359-Ft!F$2)^2)</f>
        <v>19.851435791003535</v>
      </c>
      <c r="J359" s="27">
        <f>Ft!G$3*EXP(Ft!G$38*($A359-Ft!G$2)^2)</f>
        <v>49.102172321508846</v>
      </c>
    </row>
    <row r="360" spans="1:10">
      <c r="A360" s="20">
        <v>358</v>
      </c>
      <c r="B360" s="29">
        <v>48.401364996853658</v>
      </c>
      <c r="C360" s="28">
        <f ca="1">OFFSET($B360,1*(ROWS(C$2:C360)-1),0)</f>
        <v>0</v>
      </c>
      <c r="D360" s="27">
        <f>Ft!B$3*EXP(Ft!B$38*($A360-Ft!B$2)^2) +Ft!C$3*EXP(Ft!C$38*($A360-Ft!C$2)^2) + Ft!D$3*EXP(Ft!D$38*($A360-Ft!D$2)^2)+Ft!E$3*EXP(Ft!E$38*($A360-Ft!E$2)^2) +Ft!F$3*EXP(Ft!F$38*($A360-Ft!F$2)^2) + Ft!G$3*EXP(Ft!G$38*($A360-Ft!G$2)^2)</f>
        <v>233.96129910866836</v>
      </c>
      <c r="E360" s="27">
        <f>Ft!B$3*EXP(Ft!B$38*($A360-Ft!B$2)^2)</f>
        <v>81.086758943179433</v>
      </c>
      <c r="F360" s="27">
        <f>Ft!C$3*EXP(Ft!C$38*($A360-Ft!C$2)^2)</f>
        <v>40.569612939537095</v>
      </c>
      <c r="G360" s="27">
        <f>Ft!D$3*EXP(Ft!D$38*($A360-Ft!D$2)^2)</f>
        <v>3.1883399505677396E-2</v>
      </c>
      <c r="H360" s="27">
        <f>Ft!E$3*EXP(Ft!E$38*($A360-Ft!E$2)^2)</f>
        <v>43.249081562933362</v>
      </c>
      <c r="I360" s="27">
        <f>Ft!F$3*EXP(Ft!F$38*($A360-Ft!F$2)^2)</f>
        <v>19.924153820276945</v>
      </c>
      <c r="J360" s="27">
        <f>Ft!G$3*EXP(Ft!G$38*($A360-Ft!G$2)^2)</f>
        <v>49.09980844323583</v>
      </c>
    </row>
    <row r="361" spans="1:10">
      <c r="A361" s="20">
        <v>359</v>
      </c>
      <c r="B361" s="29">
        <v>48.379848653955577</v>
      </c>
      <c r="C361" s="28">
        <f ca="1">OFFSET($B361,1*(ROWS(C$2:C361)-1),0)</f>
        <v>0</v>
      </c>
      <c r="D361" s="27">
        <f>Ft!B$3*EXP(Ft!B$38*($A361-Ft!B$2)^2) +Ft!C$3*EXP(Ft!C$38*($A361-Ft!C$2)^2) + Ft!D$3*EXP(Ft!D$38*($A361-Ft!D$2)^2)+Ft!E$3*EXP(Ft!E$38*($A361-Ft!E$2)^2) +Ft!F$3*EXP(Ft!F$38*($A361-Ft!F$2)^2) + Ft!G$3*EXP(Ft!G$38*($A361-Ft!G$2)^2)</f>
        <v>234.08577750583794</v>
      </c>
      <c r="E361" s="27">
        <f>Ft!B$3*EXP(Ft!B$38*($A361-Ft!B$2)^2)</f>
        <v>80.862545542466194</v>
      </c>
      <c r="F361" s="27">
        <f>Ft!C$3*EXP(Ft!C$38*($A361-Ft!C$2)^2)</f>
        <v>40.618362725690773</v>
      </c>
      <c r="G361" s="27">
        <f>Ft!D$3*EXP(Ft!D$38*($A361-Ft!D$2)^2)</f>
        <v>3.5413109061628818E-2</v>
      </c>
      <c r="H361" s="27">
        <f>Ft!E$3*EXP(Ft!E$38*($A361-Ft!E$2)^2)</f>
        <v>43.476213114320721</v>
      </c>
      <c r="I361" s="27">
        <f>Ft!F$3*EXP(Ft!F$38*($A361-Ft!F$2)^2)</f>
        <v>19.997072381209474</v>
      </c>
      <c r="J361" s="27">
        <f>Ft!G$3*EXP(Ft!G$38*($A361-Ft!G$2)^2)</f>
        <v>49.096170633089159</v>
      </c>
    </row>
    <row r="362" spans="1:10">
      <c r="A362" s="20">
        <v>360</v>
      </c>
      <c r="B362" s="29">
        <v>48.36602451640249</v>
      </c>
      <c r="C362" s="28">
        <f ca="1">OFFSET($B362,1*(ROWS(C$2:C362)-1),0)</f>
        <v>0</v>
      </c>
      <c r="D362" s="27">
        <f>Ft!B$3*EXP(Ft!B$38*($A362-Ft!B$2)^2) +Ft!C$3*EXP(Ft!C$38*($A362-Ft!C$2)^2) + Ft!D$3*EXP(Ft!D$38*($A362-Ft!D$2)^2)+Ft!E$3*EXP(Ft!E$38*($A362-Ft!E$2)^2) +Ft!F$3*EXP(Ft!F$38*($A362-Ft!F$2)^2) + Ft!G$3*EXP(Ft!G$38*($A362-Ft!G$2)^2)</f>
        <v>234.21028284963484</v>
      </c>
      <c r="E362" s="27">
        <f>Ft!B$3*EXP(Ft!B$38*($A362-Ft!B$2)^2)</f>
        <v>80.638567332491434</v>
      </c>
      <c r="F362" s="27">
        <f>Ft!C$3*EXP(Ft!C$38*($A362-Ft!C$2)^2)</f>
        <v>40.667081259818652</v>
      </c>
      <c r="G362" s="27">
        <f>Ft!D$3*EXP(Ft!D$38*($A362-Ft!D$2)^2)</f>
        <v>3.9279370096660132E-2</v>
      </c>
      <c r="H362" s="27">
        <f>Ft!E$3*EXP(Ft!E$38*($A362-Ft!E$2)^2)</f>
        <v>43.703903986336982</v>
      </c>
      <c r="I362" s="27">
        <f>Ft!F$3*EXP(Ft!F$38*($A362-Ft!F$2)^2)</f>
        <v>20.070191726646083</v>
      </c>
      <c r="J362" s="27">
        <f>Ft!G$3*EXP(Ft!G$38*($A362-Ft!G$2)^2)</f>
        <v>49.091259174245032</v>
      </c>
    </row>
    <row r="363" spans="1:10">
      <c r="A363" s="20">
        <v>361</v>
      </c>
      <c r="B363" s="29">
        <v>48.354268138202769</v>
      </c>
      <c r="C363" s="28">
        <f ca="1">OFFSET($B363,1*(ROWS(C$2:C363)-1),0)</f>
        <v>0</v>
      </c>
      <c r="D363" s="27">
        <f>Ft!B$3*EXP(Ft!B$38*($A363-Ft!B$2)^2) +Ft!C$3*EXP(Ft!C$38*($A363-Ft!C$2)^2) + Ft!D$3*EXP(Ft!D$38*($A363-Ft!D$2)^2)+Ft!E$3*EXP(Ft!E$38*($A363-Ft!E$2)^2) +Ft!F$3*EXP(Ft!F$38*($A363-Ft!F$2)^2) + Ft!G$3*EXP(Ft!G$38*($A363-Ft!G$2)^2)</f>
        <v>234.33483881971952</v>
      </c>
      <c r="E363" s="27">
        <f>Ft!B$3*EXP(Ft!B$38*($A363-Ft!B$2)^2)</f>
        <v>80.414825796350982</v>
      </c>
      <c r="F363" s="27">
        <f>Ft!C$3*EXP(Ft!C$38*($A363-Ft!C$2)^2)</f>
        <v>40.715768289074582</v>
      </c>
      <c r="G363" s="27">
        <f>Ft!D$3*EXP(Ft!D$38*($A363-Ft!D$2)^2)</f>
        <v>4.3507686856804305E-2</v>
      </c>
      <c r="H363" s="27">
        <f>Ft!E$3*EXP(Ft!E$38*($A363-Ft!E$2)^2)</f>
        <v>43.932150490065986</v>
      </c>
      <c r="I363" s="27">
        <f>Ft!F$3*EXP(Ft!F$38*($A363-Ft!F$2)^2)</f>
        <v>20.143512108369695</v>
      </c>
      <c r="J363" s="27">
        <f>Ft!G$3*EXP(Ft!G$38*($A363-Ft!G$2)^2)</f>
        <v>49.085074449001475</v>
      </c>
    </row>
    <row r="364" spans="1:10">
      <c r="A364" s="20">
        <v>362</v>
      </c>
      <c r="B364" s="29">
        <v>48.346763123046742</v>
      </c>
      <c r="C364" s="28">
        <f ca="1">OFFSET($B364,1*(ROWS(C$2:C364)-1),0)</f>
        <v>0</v>
      </c>
      <c r="D364" s="27">
        <f>Ft!B$3*EXP(Ft!B$38*($A364-Ft!B$2)^2) +Ft!C$3*EXP(Ft!C$38*($A364-Ft!C$2)^2) + Ft!D$3*EXP(Ft!D$38*($A364-Ft!D$2)^2)+Ft!E$3*EXP(Ft!E$38*($A364-Ft!E$2)^2) +Ft!F$3*EXP(Ft!F$38*($A364-Ft!F$2)^2) + Ft!G$3*EXP(Ft!G$38*($A364-Ft!G$2)^2)</f>
        <v>234.4594703300435</v>
      </c>
      <c r="E364" s="27">
        <f>Ft!B$3*EXP(Ft!B$38*($A364-Ft!B$2)^2)</f>
        <v>80.191322409645863</v>
      </c>
      <c r="F364" s="27">
        <f>Ft!C$3*EXP(Ft!C$38*($A364-Ft!C$2)^2)</f>
        <v>40.76442356051831</v>
      </c>
      <c r="G364" s="27">
        <f>Ft!D$3*EXP(Ft!D$38*($A364-Ft!D$2)^2)</f>
        <v>4.8124750982558036E-2</v>
      </c>
      <c r="H364" s="27">
        <f>Ft!E$3*EXP(Ft!E$38*($A364-Ft!E$2)^2)</f>
        <v>44.160948893074007</v>
      </c>
      <c r="I364" s="27">
        <f>Ft!F$3*EXP(Ft!F$38*($A364-Ft!F$2)^2)</f>
        <v>20.217033777094088</v>
      </c>
      <c r="J364" s="27">
        <f>Ft!G$3*EXP(Ft!G$38*($A364-Ft!G$2)^2)</f>
        <v>49.077616938728681</v>
      </c>
    </row>
    <row r="365" spans="1:10">
      <c r="A365" s="20">
        <v>363</v>
      </c>
      <c r="B365" s="29">
        <v>48.337620508657835</v>
      </c>
      <c r="C365" s="28">
        <f ca="1">OFFSET($B365,1*(ROWS(C$2:C365)-1),0)</f>
        <v>0</v>
      </c>
      <c r="D365" s="27">
        <f>Ft!B$3*EXP(Ft!B$38*($A365-Ft!B$2)^2) +Ft!C$3*EXP(Ft!C$38*($A365-Ft!C$2)^2) + Ft!D$3*EXP(Ft!D$38*($A365-Ft!D$2)^2)+Ft!E$3*EXP(Ft!E$38*($A365-Ft!E$2)^2) +Ft!F$3*EXP(Ft!F$38*($A365-Ft!F$2)^2) + Ft!G$3*EXP(Ft!G$38*($A365-Ft!G$2)^2)</f>
        <v>234.58420350164315</v>
      </c>
      <c r="E365" s="27">
        <f>Ft!B$3*EXP(Ft!B$38*($A365-Ft!B$2)^2)</f>
        <v>79.968058640474965</v>
      </c>
      <c r="F365" s="27">
        <f>Ft!C$3*EXP(Ft!C$38*($A365-Ft!C$2)^2)</f>
        <v>40.813046821117645</v>
      </c>
      <c r="G365" s="27">
        <f>Ft!D$3*EXP(Ft!D$38*($A365-Ft!D$2)^2)</f>
        <v>5.315841438788723E-2</v>
      </c>
      <c r="H365" s="27">
        <f>Ft!E$3*EXP(Ft!E$38*($A365-Ft!E$2)^2)</f>
        <v>44.390295419399479</v>
      </c>
      <c r="I365" s="27">
        <f>Ft!F$3*EXP(Ft!F$38*($A365-Ft!F$2)^2)</f>
        <v>20.290756982456582</v>
      </c>
      <c r="J365" s="27">
        <f>Ft!G$3*EXP(Ft!G$38*($A365-Ft!G$2)^2)</f>
        <v>49.068887223806634</v>
      </c>
    </row>
    <row r="366" spans="1:10">
      <c r="A366" s="20">
        <v>364</v>
      </c>
      <c r="B366" s="29">
        <v>48.335573358999739</v>
      </c>
      <c r="C366" s="28">
        <f ca="1">OFFSET($B366,1*(ROWS(C$2:C366)-1),0)</f>
        <v>0</v>
      </c>
      <c r="D366" s="27">
        <f>Ft!B$3*EXP(Ft!B$38*($A366-Ft!B$2)^2) +Ft!C$3*EXP(Ft!C$38*($A366-Ft!C$2)^2) + Ft!D$3*EXP(Ft!D$38*($A366-Ft!D$2)^2)+Ft!E$3*EXP(Ft!E$38*($A366-Ft!E$2)^2) +Ft!F$3*EXP(Ft!F$38*($A366-Ft!F$2)^2) + Ft!G$3*EXP(Ft!G$38*($A366-Ft!G$2)^2)</f>
        <v>234.70906562411645</v>
      </c>
      <c r="E366" s="27">
        <f>Ft!B$3*EXP(Ft!B$38*($A366-Ft!B$2)^2)</f>
        <v>79.745035949427972</v>
      </c>
      <c r="F366" s="27">
        <f>Ft!C$3*EXP(Ft!C$38*($A366-Ft!C$2)^2)</f>
        <v>40.861637817750548</v>
      </c>
      <c r="G366" s="27">
        <f>Ft!D$3*EXP(Ft!D$38*($A366-Ft!D$2)^2)</f>
        <v>5.8637650831474881E-2</v>
      </c>
      <c r="H366" s="27">
        <f>Ft!E$3*EXP(Ft!E$38*($A366-Ft!E$2)^2)</f>
        <v>44.620186249545768</v>
      </c>
      <c r="I366" s="27">
        <f>Ft!F$3*EXP(Ft!F$38*($A366-Ft!F$2)^2)</f>
        <v>20.364681973010896</v>
      </c>
      <c r="J366" s="27">
        <f>Ft!G$3*EXP(Ft!G$38*($A366-Ft!G$2)^2)</f>
        <v>49.058885983549771</v>
      </c>
    </row>
    <row r="367" spans="1:10">
      <c r="A367" s="20">
        <v>365</v>
      </c>
      <c r="B367" s="29">
        <v>48.341415236859348</v>
      </c>
      <c r="C367" s="28">
        <f ca="1">OFFSET($B367,1*(ROWS(C$2:C367)-1),0)</f>
        <v>0</v>
      </c>
      <c r="D367" s="27">
        <f>Ft!B$3*EXP(Ft!B$38*($A367-Ft!B$2)^2) +Ft!C$3*EXP(Ft!C$38*($A367-Ft!C$2)^2) + Ft!D$3*EXP(Ft!D$38*($A367-Ft!D$2)^2)+Ft!E$3*EXP(Ft!E$38*($A367-Ft!E$2)^2) +Ft!F$3*EXP(Ft!F$38*($A367-Ft!F$2)^2) + Ft!G$3*EXP(Ft!G$38*($A367-Ft!G$2)^2)</f>
        <v>234.83408510491671</v>
      </c>
      <c r="E367" s="27">
        <f>Ft!B$3*EXP(Ft!B$38*($A367-Ft!B$2)^2)</f>
        <v>79.522255789578324</v>
      </c>
      <c r="F367" s="27">
        <f>Ft!C$3*EXP(Ft!C$38*($A367-Ft!C$2)^2)</f>
        <v>40.910196297207257</v>
      </c>
      <c r="G367" s="27">
        <f>Ft!D$3*EXP(Ft!D$38*($A367-Ft!D$2)^2)</f>
        <v>6.4592505315178114E-2</v>
      </c>
      <c r="H367" s="27">
        <f>Ft!E$3*EXP(Ft!E$38*($A367-Ft!E$2)^2)</f>
        <v>44.850617520477151</v>
      </c>
      <c r="I367" s="27">
        <f>Ft!F$3*EXP(Ft!F$38*($A367-Ft!F$2)^2)</f>
        <v>20.438808996219883</v>
      </c>
      <c r="J367" s="27">
        <f>Ft!G$3*EXP(Ft!G$38*($A367-Ft!G$2)^2)</f>
        <v>49.047613996118926</v>
      </c>
    </row>
    <row r="368" spans="1:10">
      <c r="A368" s="20">
        <v>366</v>
      </c>
      <c r="B368" s="29">
        <v>48.342509756216572</v>
      </c>
      <c r="C368" s="28">
        <f ca="1">OFFSET($B368,1*(ROWS(C$2:C368)-1),0)</f>
        <v>0</v>
      </c>
      <c r="D368" s="27">
        <f>Ft!B$3*EXP(Ft!B$38*($A368-Ft!B$2)^2) +Ft!C$3*EXP(Ft!C$38*($A368-Ft!C$2)^2) + Ft!D$3*EXP(Ft!D$38*($A368-Ft!D$2)^2)+Ft!E$3*EXP(Ft!E$38*($A368-Ft!E$2)^2) +Ft!F$3*EXP(Ft!F$38*($A368-Ft!F$2)^2) + Ft!G$3*EXP(Ft!G$38*($A368-Ft!G$2)^2)</f>
        <v>234.9592914056326</v>
      </c>
      <c r="E368" s="27">
        <f>Ft!B$3*EXP(Ft!B$38*($A368-Ft!B$2)^2)</f>
        <v>79.2997196064766</v>
      </c>
      <c r="F368" s="27">
        <f>Ft!C$3*EXP(Ft!C$38*($A368-Ft!C$2)^2)</f>
        <v>40.958722006192481</v>
      </c>
      <c r="G368" s="27">
        <f>Ft!D$3*EXP(Ft!D$38*($A368-Ft!D$2)^2)</f>
        <v>7.1054030476990632E-2</v>
      </c>
      <c r="H368" s="27">
        <f>Ft!E$3*EXP(Ft!E$38*($A368-Ft!E$2)^2)</f>
        <v>45.081585325617844</v>
      </c>
      <c r="I368" s="27">
        <f>Ft!F$3*EXP(Ft!F$38*($A368-Ft!F$2)^2)</f>
        <v>20.513138298448293</v>
      </c>
      <c r="J368" s="27">
        <f>Ft!G$3*EXP(Ft!G$38*($A368-Ft!G$2)^2)</f>
        <v>49.035072138420389</v>
      </c>
    </row>
    <row r="369" spans="1:10">
      <c r="A369" s="20">
        <v>367</v>
      </c>
      <c r="B369" s="29">
        <v>48.332330066268213</v>
      </c>
      <c r="C369" s="28">
        <f ca="1">OFFSET($B369,1*(ROWS(C$2:C369)-1),0)</f>
        <v>0</v>
      </c>
      <c r="D369" s="27">
        <f>Ft!B$3*EXP(Ft!B$38*($A369-Ft!B$2)^2) +Ft!C$3*EXP(Ft!C$38*($A369-Ft!C$2)^2) + Ft!D$3*EXP(Ft!D$38*($A369-Ft!D$2)^2)+Ft!E$3*EXP(Ft!E$38*($A369-Ft!E$2)^2) +Ft!F$3*EXP(Ft!F$38*($A369-Ft!F$2)^2) + Ft!G$3*EXP(Ft!G$38*($A369-Ft!G$2)^2)</f>
        <v>235.08471496446452</v>
      </c>
      <c r="E369" s="27">
        <f>Ft!B$3*EXP(Ft!B$38*($A369-Ft!B$2)^2)</f>
        <v>79.077428838143916</v>
      </c>
      <c r="F369" s="27">
        <f>Ft!C$3*EXP(Ft!C$38*($A369-Ft!C$2)^2)</f>
        <v>41.007214691327448</v>
      </c>
      <c r="G369" s="27">
        <f>Ft!D$3*EXP(Ft!D$38*($A369-Ft!D$2)^2)</f>
        <v>7.8054209191155077E-2</v>
      </c>
      <c r="H369" s="27">
        <f>Ft!E$3*EXP(Ft!E$38*($A369-Ft!E$2)^2)</f>
        <v>45.313085714854282</v>
      </c>
      <c r="I369" s="27">
        <f>Ft!F$3*EXP(Ft!F$38*($A369-Ft!F$2)^2)</f>
        <v>20.587670124955508</v>
      </c>
      <c r="J369" s="27">
        <f>Ft!G$3*EXP(Ft!G$38*($A369-Ft!G$2)^2)</f>
        <v>49.021261385992226</v>
      </c>
    </row>
    <row r="370" spans="1:10">
      <c r="A370" s="20">
        <v>368</v>
      </c>
      <c r="B370" s="29">
        <v>48.32330910097113</v>
      </c>
      <c r="C370" s="28">
        <f ca="1">OFFSET($B370,1*(ROWS(C$2:C370)-1),0)</f>
        <v>0</v>
      </c>
      <c r="D370" s="27">
        <f>Ft!B$3*EXP(Ft!B$38*($A370-Ft!B$2)^2) +Ft!C$3*EXP(Ft!C$38*($A370-Ft!C$2)^2) + Ft!D$3*EXP(Ft!D$38*($A370-Ft!D$2)^2)+Ft!E$3*EXP(Ft!E$38*($A370-Ft!E$2)^2) +Ft!F$3*EXP(Ft!F$38*($A370-Ft!F$2)^2) + Ft!G$3*EXP(Ft!G$38*($A370-Ft!G$2)^2)</f>
        <v>235.21038710417145</v>
      </c>
      <c r="E370" s="27">
        <f>Ft!B$3*EXP(Ft!B$38*($A370-Ft!B$2)^2)</f>
        <v>78.855384915065528</v>
      </c>
      <c r="F370" s="27">
        <f>Ft!C$3*EXP(Ft!C$38*($A370-Ft!C$2)^2)</f>
        <v>41.055674099152121</v>
      </c>
      <c r="G370" s="27">
        <f>Ft!D$3*EXP(Ft!D$38*($A370-Ft!D$2)^2)</f>
        <v>8.5625862647198389E-2</v>
      </c>
      <c r="H370" s="27">
        <f>Ft!E$3*EXP(Ft!E$38*($A370-Ft!E$2)^2)</f>
        <v>45.545114694540509</v>
      </c>
      <c r="I370" s="27">
        <f>Ft!F$3*EXP(Ft!F$38*($A370-Ft!F$2)^2)</f>
        <v>20.662404719888329</v>
      </c>
      <c r="J370" s="27">
        <f>Ft!G$3*EXP(Ft!G$38*($A370-Ft!G$2)^2)</f>
        <v>49.00618281287781</v>
      </c>
    </row>
    <row r="371" spans="1:10">
      <c r="A371" s="20">
        <v>369</v>
      </c>
      <c r="B371" s="29">
        <v>48.326443150586897</v>
      </c>
      <c r="C371" s="28">
        <f ca="1">OFFSET($B371,1*(ROWS(C$2:C371)-1),0)</f>
        <v>0</v>
      </c>
      <c r="D371" s="27">
        <f>Ft!B$3*EXP(Ft!B$38*($A371-Ft!B$2)^2) +Ft!C$3*EXP(Ft!C$38*($A371-Ft!C$2)^2) + Ft!D$3*EXP(Ft!D$38*($A371-Ft!D$2)^2)+Ft!E$3*EXP(Ft!E$38*($A371-Ft!E$2)^2) +Ft!F$3*EXP(Ft!F$38*($A371-Ft!F$2)^2) + Ft!G$3*EXP(Ft!G$38*($A371-Ft!G$2)^2)</f>
        <v>235.33633992483249</v>
      </c>
      <c r="E371" s="27">
        <f>Ft!B$3*EXP(Ft!B$38*($A371-Ft!B$2)^2)</f>
        <v>78.633589260184891</v>
      </c>
      <c r="F371" s="27">
        <f>Ft!C$3*EXP(Ft!C$38*($A371-Ft!C$2)^2)</f>
        <v>41.104099976127316</v>
      </c>
      <c r="G371" s="27">
        <f>Ft!D$3*EXP(Ft!D$38*($A371-Ft!D$2)^2)</f>
        <v>9.3802543253207679E-2</v>
      </c>
      <c r="H371" s="27">
        <f>Ft!E$3*EXP(Ft!E$38*($A371-Ft!E$2)^2)</f>
        <v>45.777668227506808</v>
      </c>
      <c r="I371" s="27">
        <f>Ft!F$3*EXP(Ft!F$38*($A371-Ft!F$2)^2)</f>
        <v>20.737342326273676</v>
      </c>
      <c r="J371" s="27">
        <f>Ft!G$3*EXP(Ft!G$38*($A371-Ft!G$2)^2)</f>
        <v>48.989837591486605</v>
      </c>
    </row>
    <row r="372" spans="1:10">
      <c r="A372" s="20">
        <v>370</v>
      </c>
      <c r="B372" s="29">
        <v>48.320407294650408</v>
      </c>
      <c r="C372" s="28">
        <f ca="1">OFFSET($B372,1*(ROWS(C$2:C372)-1),0)</f>
        <v>0</v>
      </c>
      <c r="D372" s="27">
        <f>Ft!B$3*EXP(Ft!B$38*($A372-Ft!B$2)^2) +Ft!C$3*EXP(Ft!C$38*($A372-Ft!C$2)^2) + Ft!D$3*EXP(Ft!D$38*($A372-Ft!D$2)^2)+Ft!E$3*EXP(Ft!E$38*($A372-Ft!E$2)^2) +Ft!F$3*EXP(Ft!F$38*($A372-Ft!F$2)^2) + Ft!G$3*EXP(Ft!G$38*($A372-Ft!G$2)^2)</f>
        <v>235.46260618085648</v>
      </c>
      <c r="E372" s="27">
        <f>Ft!B$3*EXP(Ft!B$38*($A372-Ft!B$2)^2)</f>
        <v>78.412043288897479</v>
      </c>
      <c r="F372" s="27">
        <f>Ft!C$3*EXP(Ft!C$38*($A372-Ft!C$2)^2)</f>
        <v>41.152492068636818</v>
      </c>
      <c r="G372" s="27">
        <f>Ft!D$3*EXP(Ft!D$38*($A372-Ft!D$2)^2)</f>
        <v>0.10261841179712686</v>
      </c>
      <c r="H372" s="27">
        <f>Ft!E$3*EXP(Ft!E$38*($A372-Ft!E$2)^2)</f>
        <v>46.010742233071497</v>
      </c>
      <c r="I372" s="27">
        <f>Ft!F$3*EXP(Ft!F$38*($A372-Ft!F$2)^2)</f>
        <v>20.81248318601131</v>
      </c>
      <c r="J372" s="27">
        <f>Ft!G$3*EXP(Ft!G$38*($A372-Ft!G$2)^2)</f>
        <v>48.972226992442245</v>
      </c>
    </row>
    <row r="373" spans="1:10">
      <c r="A373" s="20">
        <v>371</v>
      </c>
      <c r="B373" s="29">
        <v>48.301589266440459</v>
      </c>
      <c r="C373" s="28">
        <f ca="1">OFFSET($B373,1*(ROWS(C$2:C373)-1),0)</f>
        <v>0</v>
      </c>
      <c r="D373" s="27">
        <f>Ft!B$3*EXP(Ft!B$38*($A373-Ft!B$2)^2) +Ft!C$3*EXP(Ft!C$38*($A373-Ft!C$2)^2) + Ft!D$3*EXP(Ft!D$38*($A373-Ft!D$2)^2)+Ft!E$3*EXP(Ft!E$38*($A373-Ft!E$2)^2) +Ft!F$3*EXP(Ft!F$38*($A373-Ft!F$2)^2) + Ft!G$3*EXP(Ft!G$38*($A373-Ft!G$2)^2)</f>
        <v>235.58921914177881</v>
      </c>
      <c r="E373" s="27">
        <f>Ft!B$3*EXP(Ft!B$38*($A373-Ft!B$2)^2)</f>
        <v>78.190748409045199</v>
      </c>
      <c r="F373" s="27">
        <f>Ft!C$3*EXP(Ft!C$38*($A373-Ft!C$2)^2)</f>
        <v>41.200850122989614</v>
      </c>
      <c r="G373" s="27">
        <f>Ft!D$3*EXP(Ft!D$38*($A373-Ft!D$2)^2)</f>
        <v>0.11210809840355558</v>
      </c>
      <c r="H373" s="27">
        <f>Ft!E$3*EXP(Ft!E$38*($A373-Ft!E$2)^2)</f>
        <v>46.244332587055951</v>
      </c>
      <c r="I373" s="27">
        <f>Ft!F$3*EXP(Ft!F$38*($A373-Ft!F$2)^2)</f>
        <v>20.887827539866613</v>
      </c>
      <c r="J373" s="27">
        <f>Ft!G$3*EXP(Ft!G$38*($A373-Ft!G$2)^2)</f>
        <v>48.953352384417904</v>
      </c>
    </row>
    <row r="374" spans="1:10">
      <c r="A374" s="20">
        <v>372</v>
      </c>
      <c r="B374" s="29">
        <v>48.28720799505669</v>
      </c>
      <c r="C374" s="28">
        <f ca="1">OFFSET($B374,1*(ROWS(C$2:C374)-1),0)</f>
        <v>0</v>
      </c>
      <c r="D374" s="27">
        <f>Ft!B$3*EXP(Ft!B$38*($A374-Ft!B$2)^2) +Ft!C$3*EXP(Ft!C$38*($A374-Ft!C$2)^2) + Ft!D$3*EXP(Ft!D$38*($A374-Ft!D$2)^2)+Ft!E$3*EXP(Ft!E$38*($A374-Ft!E$2)^2) +Ft!F$3*EXP(Ft!F$38*($A374-Ft!F$2)^2) + Ft!G$3*EXP(Ft!G$38*($A374-Ft!G$2)^2)</f>
        <v>235.71621243650048</v>
      </c>
      <c r="E374" s="27">
        <f>Ft!B$3*EXP(Ft!B$38*($A374-Ft!B$2)^2)</f>
        <v>77.969706020910763</v>
      </c>
      <c r="F374" s="27">
        <f>Ft!C$3*EXP(Ft!C$38*($A374-Ft!C$2)^2)</f>
        <v>41.249173885421968</v>
      </c>
      <c r="G374" s="27">
        <f>Ft!D$3*EXP(Ft!D$38*($A374-Ft!D$2)^2)</f>
        <v>0.12230654694262515</v>
      </c>
      <c r="H374" s="27">
        <f>Ft!E$3*EXP(Ft!E$38*($A374-Ft!E$2)^2)</f>
        <v>46.478435121802868</v>
      </c>
      <c r="I374" s="27">
        <f>Ft!F$3*EXP(Ft!F$38*($A374-Ft!F$2)^2)</f>
        <v>20.963375627463222</v>
      </c>
      <c r="J374" s="27">
        <f>Ft!G$3*EXP(Ft!G$38*($A374-Ft!G$2)^2)</f>
        <v>48.933215233959018</v>
      </c>
    </row>
    <row r="375" spans="1:10">
      <c r="A375" s="20">
        <v>373</v>
      </c>
      <c r="B375" s="29">
        <v>48.262675832741877</v>
      </c>
      <c r="C375" s="28">
        <f ca="1">OFFSET($B375,1*(ROWS(C$2:C375)-1),0)</f>
        <v>0</v>
      </c>
      <c r="D375" s="27">
        <f>Ft!B$3*EXP(Ft!B$38*($A375-Ft!B$2)^2) +Ft!C$3*EXP(Ft!C$38*($A375-Ft!C$2)^2) + Ft!D$3*EXP(Ft!D$38*($A375-Ft!D$2)^2)+Ft!E$3*EXP(Ft!E$38*($A375-Ft!E$2)^2) +Ft!F$3*EXP(Ft!F$38*($A375-Ft!F$2)^2) + Ft!G$3*EXP(Ft!G$38*($A375-Ft!G$2)^2)</f>
        <v>235.84361988076091</v>
      </c>
      <c r="E375" s="27">
        <f>Ft!B$3*EXP(Ft!B$38*($A375-Ft!B$2)^2)</f>
        <v>77.748917517212334</v>
      </c>
      <c r="F375" s="27">
        <f>Ft!C$3*EXP(Ft!C$38*($A375-Ft!C$2)^2)</f>
        <v>41.297463102099599</v>
      </c>
      <c r="G375" s="27">
        <f>Ft!D$3*EXP(Ft!D$38*($A375-Ft!D$2)^2)</f>
        <v>0.13324884268193538</v>
      </c>
      <c r="H375" s="27">
        <f>Ft!E$3*EXP(Ft!E$38*($A375-Ft!E$2)^2)</f>
        <v>46.713045626197861</v>
      </c>
      <c r="I375" s="27">
        <f>Ft!F$3*EXP(Ft!F$38*($A375-Ft!F$2)^2)</f>
        <v>21.039127687275791</v>
      </c>
      <c r="J375" s="27">
        <f>Ft!G$3*EXP(Ft!G$38*($A375-Ft!G$2)^2)</f>
        <v>48.911817105293373</v>
      </c>
    </row>
    <row r="376" spans="1:10">
      <c r="A376" s="20">
        <v>374</v>
      </c>
      <c r="B376" s="29">
        <v>48.25630755941387</v>
      </c>
      <c r="C376" s="28">
        <f ca="1">OFFSET($B376,1*(ROWS(C$2:C376)-1),0)</f>
        <v>0</v>
      </c>
      <c r="D376" s="27">
        <f>Ft!B$3*EXP(Ft!B$38*($A376-Ft!B$2)^2) +Ft!C$3*EXP(Ft!C$38*($A376-Ft!C$2)^2) + Ft!D$3*EXP(Ft!D$38*($A376-Ft!D$2)^2)+Ft!E$3*EXP(Ft!E$38*($A376-Ft!E$2)^2) +Ft!F$3*EXP(Ft!F$38*($A376-Ft!F$2)^2) + Ft!G$3*EXP(Ft!G$38*($A376-Ft!G$2)^2)</f>
        <v>235.97147528778564</v>
      </c>
      <c r="E376" s="27">
        <f>Ft!B$3*EXP(Ft!B$38*($A376-Ft!B$2)^2)</f>
        <v>77.528384283098447</v>
      </c>
      <c r="F376" s="27">
        <f>Ft!C$3*EXP(Ft!C$38*($A376-Ft!C$2)^2)</f>
        <v>41.345717519119866</v>
      </c>
      <c r="G376" s="27">
        <f>Ft!D$3*EXP(Ft!D$38*($A376-Ft!D$2)^2)</f>
        <v>0.1449700231219779</v>
      </c>
      <c r="H376" s="27">
        <f>Ft!E$3*EXP(Ft!E$38*($A376-Ft!E$2)^2)</f>
        <v>46.948159845694128</v>
      </c>
      <c r="I376" s="27">
        <f>Ft!F$3*EXP(Ft!F$38*($A376-Ft!F$2)^2)</f>
        <v>21.115083956622652</v>
      </c>
      <c r="J376" s="27">
        <f>Ft!G$3*EXP(Ft!G$38*($A376-Ft!G$2)^2)</f>
        <v>48.88915966012857</v>
      </c>
    </row>
    <row r="377" spans="1:10">
      <c r="A377" s="20">
        <v>375</v>
      </c>
      <c r="B377" s="29">
        <v>48.235405729576314</v>
      </c>
      <c r="C377" s="28">
        <f ca="1">OFFSET($B377,1*(ROWS(C$2:C377)-1),0)</f>
        <v>0</v>
      </c>
      <c r="D377" s="27">
        <f>Ft!B$3*EXP(Ft!B$38*($A377-Ft!B$2)^2) +Ft!C$3*EXP(Ft!C$38*($A377-Ft!C$2)^2) + Ft!D$3*EXP(Ft!D$38*($A377-Ft!D$2)^2)+Ft!E$3*EXP(Ft!E$38*($A377-Ft!E$2)^2) +Ft!F$3*EXP(Ft!F$38*($A377-Ft!F$2)^2) + Ft!G$3*EXP(Ft!G$38*($A377-Ft!G$2)^2)</f>
        <v>236.09981226221242</v>
      </c>
      <c r="E377" s="27">
        <f>Ft!B$3*EXP(Ft!B$38*($A377-Ft!B$2)^2)</f>
        <v>77.308107696142926</v>
      </c>
      <c r="F377" s="27">
        <f>Ft!C$3*EXP(Ft!C$38*($A377-Ft!C$2)^2)</f>
        <v>41.39393688251392</v>
      </c>
      <c r="G377" s="27">
        <f>Ft!D$3*EXP(Ft!D$38*($A377-Ft!D$2)^2)</f>
        <v>0.1575048721194022</v>
      </c>
      <c r="H377" s="27">
        <f>Ft!E$3*EXP(Ft!E$38*($A377-Ft!E$2)^2)</f>
        <v>47.183773482340641</v>
      </c>
      <c r="I377" s="27">
        <f>Ft!F$3*EXP(Ft!F$38*($A377-Ft!F$2)^2)</f>
        <v>21.19124467165852</v>
      </c>
      <c r="J377" s="27">
        <f>Ft!G$3*EXP(Ft!G$38*($A377-Ft!G$2)^2)</f>
        <v>48.865244657437003</v>
      </c>
    </row>
    <row r="378" spans="1:10">
      <c r="A378" s="20">
        <v>376</v>
      </c>
      <c r="B378" s="29">
        <v>48.221646833844176</v>
      </c>
      <c r="C378" s="28">
        <f ca="1">OFFSET($B378,1*(ROWS(C$2:C378)-1),0)</f>
        <v>0</v>
      </c>
      <c r="D378" s="27">
        <f>Ft!B$3*EXP(Ft!B$38*($A378-Ft!B$2)^2) +Ft!C$3*EXP(Ft!C$38*($A378-Ft!C$2)^2) + Ft!D$3*EXP(Ft!D$38*($A378-Ft!D$2)^2)+Ft!E$3*EXP(Ft!E$38*($A378-Ft!E$2)^2) +Ft!F$3*EXP(Ft!F$38*($A378-Ft!F$2)^2) + Ft!G$3*EXP(Ft!G$38*($A378-Ft!G$2)^2)</f>
        <v>236.22866397757807</v>
      </c>
      <c r="E378" s="27">
        <f>Ft!B$3*EXP(Ft!B$38*($A378-Ft!B$2)^2)</f>
        <v>77.088089126340194</v>
      </c>
      <c r="F378" s="27">
        <f>Ft!C$3*EXP(Ft!C$38*($A378-Ft!C$2)^2)</f>
        <v>41.442120938248863</v>
      </c>
      <c r="G378" s="27">
        <f>Ft!D$3*EXP(Ft!D$38*($A378-Ft!D$2)^2)</f>
        <v>0.17088769758011108</v>
      </c>
      <c r="H378" s="27">
        <f>Ft!E$3*EXP(Ft!E$38*($A378-Ft!E$2)^2)</f>
        <v>47.419882194813439</v>
      </c>
      <c r="I378" s="27">
        <f>Ft!F$3*EXP(Ft!F$38*($A378-Ft!F$2)^2)</f>
        <v>21.267610067367219</v>
      </c>
      <c r="J378" s="27">
        <f>Ft!G$3*EXP(Ft!G$38*($A378-Ft!G$2)^2)</f>
        <v>48.840073953228234</v>
      </c>
    </row>
    <row r="379" spans="1:10">
      <c r="A379" s="20">
        <v>377</v>
      </c>
      <c r="B379" s="29">
        <v>48.183278628614829</v>
      </c>
      <c r="C379" s="28">
        <f ca="1">OFFSET($B379,1*(ROWS(C$2:C379)-1),0)</f>
        <v>0</v>
      </c>
      <c r="D379" s="27">
        <f>Ft!B$3*EXP(Ft!B$38*($A379-Ft!B$2)^2) +Ft!C$3*EXP(Ft!C$38*($A379-Ft!C$2)^2) + Ft!D$3*EXP(Ft!D$38*($A379-Ft!D$2)^2)+Ft!E$3*EXP(Ft!E$38*($A379-Ft!E$2)^2) +Ft!F$3*EXP(Ft!F$38*($A379-Ft!F$2)^2) + Ft!G$3*EXP(Ft!G$38*($A379-Ft!G$2)^2)</f>
        <v>236.35806293783855</v>
      </c>
      <c r="E379" s="27">
        <f>Ft!B$3*EXP(Ft!B$38*($A379-Ft!B$2)^2)</f>
        <v>76.868329936100693</v>
      </c>
      <c r="F379" s="27">
        <f>Ft!C$3*EXP(Ft!C$38*($A379-Ft!C$2)^2)</f>
        <v>41.49026943222993</v>
      </c>
      <c r="G379" s="27">
        <f>Ft!D$3*EXP(Ft!D$38*($A379-Ft!D$2)^2)</f>
        <v>0.18515209319443773</v>
      </c>
      <c r="H379" s="27">
        <f>Ft!E$3*EXP(Ft!E$38*($A379-Ft!E$2)^2)</f>
        <v>47.656481598450306</v>
      </c>
      <c r="I379" s="27">
        <f>Ft!F$3*EXP(Ft!F$38*($A379-Ft!F$2)^2)</f>
        <v>21.34418037755427</v>
      </c>
      <c r="J379" s="27">
        <f>Ft!G$3*EXP(Ft!G$38*($A379-Ft!G$2)^2)</f>
        <v>48.813649500308927</v>
      </c>
    </row>
    <row r="380" spans="1:10">
      <c r="A380" s="20">
        <v>378</v>
      </c>
      <c r="B380" s="29">
        <v>48.156115602810814</v>
      </c>
      <c r="C380" s="28">
        <f ca="1">OFFSET($B380,1*(ROWS(C$2:C380)-1),0)</f>
        <v>0</v>
      </c>
      <c r="D380" s="27">
        <f>Ft!B$3*EXP(Ft!B$38*($A380-Ft!B$2)^2) +Ft!C$3*EXP(Ft!C$38*($A380-Ft!C$2)^2) + Ft!D$3*EXP(Ft!D$38*($A380-Ft!D$2)^2)+Ft!E$3*EXP(Ft!E$38*($A380-Ft!E$2)^2) +Ft!F$3*EXP(Ft!F$38*($A380-Ft!F$2)^2) + Ft!G$3*EXP(Ft!G$38*($A380-Ft!G$2)^2)</f>
        <v>236.4880407235961</v>
      </c>
      <c r="E380" s="27">
        <f>Ft!B$3*EXP(Ft!B$38*($A380-Ft!B$2)^2)</f>
        <v>76.648831480246415</v>
      </c>
      <c r="F380" s="27">
        <f>Ft!C$3*EXP(Ft!C$38*($A380-Ft!C$2)^2)</f>
        <v>41.538382110302663</v>
      </c>
      <c r="G380" s="27">
        <f>Ft!D$3*EXP(Ft!D$38*($A380-Ft!D$2)^2)</f>
        <v>0.20033068488821237</v>
      </c>
      <c r="H380" s="27">
        <f>Ft!E$3*EXP(Ft!E$38*($A380-Ft!E$2)^2)</f>
        <v>47.893567265288809</v>
      </c>
      <c r="I380" s="27">
        <f>Ft!F$3*EXP(Ft!F$38*($A380-Ft!F$2)^2)</f>
        <v>21.420955834839614</v>
      </c>
      <c r="J380" s="27">
        <f>Ft!G$3*EXP(Ft!G$38*($A380-Ft!G$2)^2)</f>
        <v>48.785973348030367</v>
      </c>
    </row>
    <row r="381" spans="1:10">
      <c r="A381" s="20">
        <v>379</v>
      </c>
      <c r="B381" s="29">
        <v>48.141573038451753</v>
      </c>
      <c r="C381" s="28">
        <f ca="1">OFFSET($B381,1*(ROWS(C$2:C381)-1),0)</f>
        <v>0</v>
      </c>
      <c r="D381" s="27">
        <f>Ft!B$3*EXP(Ft!B$38*($A381-Ft!B$2)^2) +Ft!C$3*EXP(Ft!C$38*($A381-Ft!C$2)^2) + Ft!D$3*EXP(Ft!D$38*($A381-Ft!D$2)^2)+Ft!E$3*EXP(Ft!E$38*($A381-Ft!E$2)^2) +Ft!F$3*EXP(Ft!F$38*($A381-Ft!F$2)^2) + Ft!G$3*EXP(Ft!G$38*($A381-Ft!G$2)^2)</f>
        <v>236.61862772391814</v>
      </c>
      <c r="E381" s="27">
        <f>Ft!B$3*EXP(Ft!B$38*($A381-Ft!B$2)^2)</f>
        <v>76.429595106006857</v>
      </c>
      <c r="F381" s="27">
        <f>Ft!C$3*EXP(Ft!C$38*($A381-Ft!C$2)^2)</f>
        <v>41.586458718255074</v>
      </c>
      <c r="G381" s="27">
        <f>Ft!D$3*EXP(Ft!D$38*($A381-Ft!D$2)^2)</f>
        <v>0.2164548628747657</v>
      </c>
      <c r="H381" s="27">
        <f>Ft!E$3*EXP(Ft!E$38*($A381-Ft!E$2)^2)</f>
        <v>48.131134724107611</v>
      </c>
      <c r="I381" s="27">
        <f>Ft!F$3*EXP(Ft!F$38*($A381-Ft!F$2)^2)</f>
        <v>21.497936670650304</v>
      </c>
      <c r="J381" s="27">
        <f>Ft!G$3*EXP(Ft!G$38*($A381-Ft!G$2)^2)</f>
        <v>48.757047642023544</v>
      </c>
    </row>
    <row r="382" spans="1:10">
      <c r="A382" s="20">
        <v>380</v>
      </c>
      <c r="B382" s="29">
        <v>48.11100132036205</v>
      </c>
      <c r="C382" s="28">
        <f ca="1">OFFSET($B382,1*(ROWS(C$2:C382)-1),0)</f>
        <v>0</v>
      </c>
      <c r="D382" s="27">
        <f>Ft!B$3*EXP(Ft!B$38*($A382-Ft!B$2)^2) +Ft!C$3*EXP(Ft!C$38*($A382-Ft!C$2)^2) + Ft!D$3*EXP(Ft!D$38*($A382-Ft!D$2)^2)+Ft!E$3*EXP(Ft!E$38*($A382-Ft!E$2)^2) +Ft!F$3*EXP(Ft!F$38*($A382-Ft!F$2)^2) + Ft!G$3*EXP(Ft!G$38*($A382-Ft!G$2)^2)</f>
        <v>236.7498528548528</v>
      </c>
      <c r="E382" s="27">
        <f>Ft!B$3*EXP(Ft!B$38*($A382-Ft!B$2)^2)</f>
        <v>76.210622153014896</v>
      </c>
      <c r="F382" s="27">
        <f>Ft!C$3*EXP(Ft!C$38*($A382-Ft!C$2)^2)</f>
        <v>41.634499001819862</v>
      </c>
      <c r="G382" s="27">
        <f>Ft!D$3*EXP(Ft!D$38*($A382-Ft!D$2)^2)</f>
        <v>0.23355450041192358</v>
      </c>
      <c r="H382" s="27">
        <f>Ft!E$3*EXP(Ft!E$38*($A382-Ft!E$2)^2)</f>
        <v>48.369179460471109</v>
      </c>
      <c r="I382" s="27">
        <f>Ft!F$3*EXP(Ft!F$38*($A382-Ft!F$2)^2)</f>
        <v>21.575123115213085</v>
      </c>
      <c r="J382" s="27">
        <f>Ft!G$3*EXP(Ft!G$38*($A382-Ft!G$2)^2)</f>
        <v>48.726874623921923</v>
      </c>
    </row>
    <row r="383" spans="1:10">
      <c r="A383" s="20">
        <v>381</v>
      </c>
      <c r="B383" s="29">
        <v>48.089665797792236</v>
      </c>
      <c r="C383" s="28">
        <f ca="1">OFFSET($B383,1*(ROWS(C$2:C383)-1),0)</f>
        <v>0</v>
      </c>
      <c r="D383" s="27">
        <f>Ft!B$3*EXP(Ft!B$38*($A383-Ft!B$2)^2) +Ft!C$3*EXP(Ft!C$38*($A383-Ft!C$2)^2) + Ft!D$3*EXP(Ft!D$38*($A383-Ft!D$2)^2)+Ft!E$3*EXP(Ft!E$38*($A383-Ft!E$2)^2) +Ft!F$3*EXP(Ft!F$38*($A383-Ft!F$2)^2) + Ft!G$3*EXP(Ft!G$38*($A383-Ft!G$2)^2)</f>
        <v>236.88174326596885</v>
      </c>
      <c r="E383" s="27">
        <f>Ft!B$3*EXP(Ft!B$38*($A383-Ft!B$2)^2)</f>
        <v>75.991913953303055</v>
      </c>
      <c r="F383" s="27">
        <f>Ft!C$3*EXP(Ft!C$38*($A383-Ft!C$2)^2)</f>
        <v>41.68250270667653</v>
      </c>
      <c r="G383" s="27">
        <f>Ft!D$3*EXP(Ft!D$38*($A383-Ft!D$2)^2)</f>
        <v>0.25165766059266487</v>
      </c>
      <c r="H383" s="27">
        <f>Ft!E$3*EXP(Ft!E$38*($A383-Ft!E$2)^2)</f>
        <v>48.607696916777556</v>
      </c>
      <c r="I383" s="27">
        <f>Ft!F$3*EXP(Ft!F$38*($A383-Ft!F$2)^2)</f>
        <v>21.652515397547091</v>
      </c>
      <c r="J383" s="27">
        <f>Ft!G$3*EXP(Ft!G$38*($A383-Ft!G$2)^2)</f>
        <v>48.695456631071963</v>
      </c>
    </row>
    <row r="384" spans="1:10">
      <c r="A384" s="20">
        <v>382</v>
      </c>
      <c r="B384" s="29">
        <v>48.069702528254226</v>
      </c>
      <c r="C384" s="28">
        <f ca="1">OFFSET($B384,1*(ROWS(C$2:C384)-1),0)</f>
        <v>0</v>
      </c>
      <c r="D384" s="27">
        <f>Ft!B$3*EXP(Ft!B$38*($A384-Ft!B$2)^2) +Ft!C$3*EXP(Ft!C$38*($A384-Ft!C$2)^2) + Ft!D$3*EXP(Ft!D$38*($A384-Ft!D$2)^2)+Ft!E$3*EXP(Ft!E$38*($A384-Ft!E$2)^2) +Ft!F$3*EXP(Ft!F$38*($A384-Ft!F$2)^2) + Ft!G$3*EXP(Ft!G$38*($A384-Ft!G$2)^2)</f>
        <v>237.0143240364776</v>
      </c>
      <c r="E384" s="27">
        <f>Ft!B$3*EXP(Ft!B$38*($A384-Ft!B$2)^2)</f>
        <v>75.773471831299858</v>
      </c>
      <c r="F384" s="27">
        <f>Ft!C$3*EXP(Ft!C$38*($A384-Ft!C$2)^2)</f>
        <v>41.730469578453665</v>
      </c>
      <c r="G384" s="27">
        <f>Ft!D$3*EXP(Ft!D$38*($A384-Ft!D$2)^2)</f>
        <v>0.27079029272590593</v>
      </c>
      <c r="H384" s="27">
        <f>Ft!E$3*EXP(Ft!E$38*($A384-Ft!E$2)^2)</f>
        <v>48.846682492310428</v>
      </c>
      <c r="I384" s="27">
        <f>Ft!F$3*EXP(Ft!F$38*($A384-Ft!F$2)^2)</f>
        <v>21.730113745456492</v>
      </c>
      <c r="J384" s="27">
        <f>Ft!G$3*EXP(Ft!G$38*($A384-Ft!G$2)^2)</f>
        <v>48.662796096231254</v>
      </c>
    </row>
    <row r="385" spans="1:10">
      <c r="A385" s="20">
        <v>383</v>
      </c>
      <c r="B385" s="29">
        <v>48.029981557008512</v>
      </c>
      <c r="C385" s="28">
        <f ca="1">OFFSET($B385,1*(ROWS(C$2:C385)-1),0)</f>
        <v>0</v>
      </c>
      <c r="D385" s="27">
        <f>Ft!B$3*EXP(Ft!B$38*($A385-Ft!B$2)^2) +Ft!C$3*EXP(Ft!C$38*($A385-Ft!C$2)^2) + Ft!D$3*EXP(Ft!D$38*($A385-Ft!D$2)^2)+Ft!E$3*EXP(Ft!E$38*($A385-Ft!E$2)^2) +Ft!F$3*EXP(Ft!F$38*($A385-Ft!F$2)^2) + Ft!G$3*EXP(Ft!G$38*($A385-Ft!G$2)^2)</f>
        <v>237.14761786272067</v>
      </c>
      <c r="E385" s="27">
        <f>Ft!B$3*EXP(Ft!B$38*($A385-Ft!B$2)^2)</f>
        <v>75.555297103826419</v>
      </c>
      <c r="F385" s="27">
        <f>Ft!C$3*EXP(Ft!C$38*($A385-Ft!C$2)^2)</f>
        <v>41.778399362731037</v>
      </c>
      <c r="G385" s="27">
        <f>Ft!D$3*EXP(Ft!D$38*($A385-Ft!D$2)^2)</f>
        <v>0.29097592009216078</v>
      </c>
      <c r="H385" s="27">
        <f>Ft!E$3*EXP(Ft!E$38*($A385-Ft!E$2)^2)</f>
        <v>49.086131543293249</v>
      </c>
      <c r="I385" s="27">
        <f>Ft!F$3*EXP(Ft!F$38*($A385-Ft!F$2)^2)</f>
        <v>21.807918385523109</v>
      </c>
      <c r="J385" s="27">
        <f>Ft!G$3*EXP(Ft!G$38*($A385-Ft!G$2)^2)</f>
        <v>48.628895547254686</v>
      </c>
    </row>
    <row r="386" spans="1:10">
      <c r="A386" s="20">
        <v>384</v>
      </c>
      <c r="B386" s="29">
        <v>47.96400863924427</v>
      </c>
      <c r="C386" s="28">
        <f ca="1">OFFSET($B386,1*(ROWS(C$2:C386)-1),0)</f>
        <v>0</v>
      </c>
      <c r="D386" s="27">
        <f>Ft!B$3*EXP(Ft!B$38*($A386-Ft!B$2)^2) +Ft!C$3*EXP(Ft!C$38*($A386-Ft!C$2)^2) + Ft!D$3*EXP(Ft!D$38*($A386-Ft!D$2)^2)+Ft!E$3*EXP(Ft!E$38*($A386-Ft!E$2)^2) +Ft!F$3*EXP(Ft!F$38*($A386-Ft!F$2)^2) + Ft!G$3*EXP(Ft!G$38*($A386-Ft!G$2)^2)</f>
        <v>237.2816447390349</v>
      </c>
      <c r="E386" s="27">
        <f>Ft!B$3*EXP(Ft!B$38*($A386-Ft!B$2)^2)</f>
        <v>75.337391080093241</v>
      </c>
      <c r="F386" s="27">
        <f>Ft!C$3*EXP(Ft!C$38*($A386-Ft!C$2)^2)</f>
        <v>41.826291805041855</v>
      </c>
      <c r="G386" s="27">
        <f>Ft!D$3*EXP(Ft!D$38*($A386-Ft!D$2)^2)</f>
        <v>0.31223532108471219</v>
      </c>
      <c r="H386" s="27">
        <f>Ft!E$3*EXP(Ft!E$38*($A386-Ft!E$2)^2)</f>
        <v>49.326039382947755</v>
      </c>
      <c r="I386" s="27">
        <f>Ft!F$3*EXP(Ft!F$38*($A386-Ft!F$2)^2)</f>
        <v>21.885929543099056</v>
      </c>
      <c r="J386" s="27">
        <f>Ft!G$3*EXP(Ft!G$38*($A386-Ft!G$2)^2)</f>
        <v>48.593757606768278</v>
      </c>
    </row>
    <row r="387" spans="1:10">
      <c r="A387" s="20">
        <v>385</v>
      </c>
      <c r="B387" s="29">
        <v>47.906205968730461</v>
      </c>
      <c r="C387" s="28">
        <f ca="1">OFFSET($B387,1*(ROWS(C$2:C387)-1),0)</f>
        <v>0</v>
      </c>
      <c r="D387" s="27">
        <f>Ft!B$3*EXP(Ft!B$38*($A387-Ft!B$2)^2) +Ft!C$3*EXP(Ft!C$38*($A387-Ft!C$2)^2) + Ft!D$3*EXP(Ft!D$38*($A387-Ft!D$2)^2)+Ft!E$3*EXP(Ft!E$38*($A387-Ft!E$2)^2) +Ft!F$3*EXP(Ft!F$38*($A387-Ft!F$2)^2) + Ft!G$3*EXP(Ft!G$38*($A387-Ft!G$2)^2)</f>
        <v>237.41642163422534</v>
      </c>
      <c r="E387" s="27">
        <f>Ft!B$3*EXP(Ft!B$38*($A387-Ft!B$2)^2)</f>
        <v>75.11975506169712</v>
      </c>
      <c r="F387" s="27">
        <f>Ft!C$3*EXP(Ft!C$38*($A387-Ft!C$2)^2)</f>
        <v>41.874146650874927</v>
      </c>
      <c r="G387" s="27">
        <f>Ft!D$3*EXP(Ft!D$38*($A387-Ft!D$2)^2)</f>
        <v>0.33458620596731509</v>
      </c>
      <c r="H387" s="27">
        <f>Ft!E$3*EXP(Ft!E$38*($A387-Ft!E$2)^2)</f>
        <v>49.566401281555571</v>
      </c>
      <c r="I387" s="27">
        <f>Ft!F$3*EXP(Ft!F$38*($A387-Ft!F$2)^2)</f>
        <v>21.96414744229935</v>
      </c>
      <c r="J387" s="27">
        <f>Ft!G$3*EXP(Ft!G$38*($A387-Ft!G$2)^2)</f>
        <v>48.557384991831078</v>
      </c>
    </row>
    <row r="388" spans="1:10">
      <c r="A388" s="20">
        <v>386</v>
      </c>
      <c r="B388" s="29">
        <v>47.857055126556617</v>
      </c>
      <c r="C388" s="28">
        <f ca="1">OFFSET($B388,1*(ROWS(C$2:C388)-1),0)</f>
        <v>0</v>
      </c>
      <c r="D388" s="27">
        <f>Ft!B$3*EXP(Ft!B$38*($A388-Ft!B$2)^2) +Ft!C$3*EXP(Ft!C$38*($A388-Ft!C$2)^2) + Ft!D$3*EXP(Ft!D$38*($A388-Ft!D$2)^2)+Ft!E$3*EXP(Ft!E$38*($A388-Ft!E$2)^2) +Ft!F$3*EXP(Ft!F$38*($A388-Ft!F$2)^2) + Ft!G$3*EXP(Ft!G$38*($A388-Ft!G$2)^2)</f>
        <v>237.55196216608906</v>
      </c>
      <c r="E388" s="27">
        <f>Ft!B$3*EXP(Ft!B$38*($A388-Ft!B$2)^2)</f>
        <v>74.902390342618347</v>
      </c>
      <c r="F388" s="27">
        <f>Ft!C$3*EXP(Ft!C$38*($A388-Ft!C$2)^2)</f>
        <v>41.921963645676882</v>
      </c>
      <c r="G388" s="27">
        <f>Ft!D$3*EXP(Ft!D$38*($A388-Ft!D$2)^2)</f>
        <v>0.35804289169109588</v>
      </c>
      <c r="H388" s="27">
        <f>Ft!E$3*EXP(Ft!E$38*($A388-Ft!E$2)^2)</f>
        <v>49.807212466523197</v>
      </c>
      <c r="I388" s="27">
        <f>Ft!F$3*EXP(Ft!F$38*($A388-Ft!F$2)^2)</f>
        <v>22.042572305994536</v>
      </c>
      <c r="J388" s="27">
        <f>Ft!G$3*EXP(Ft!G$38*($A388-Ft!G$2)^2)</f>
        <v>48.519780513585012</v>
      </c>
    </row>
    <row r="389" spans="1:10">
      <c r="A389" s="20">
        <v>387</v>
      </c>
      <c r="B389" s="29">
        <v>47.785835090555395</v>
      </c>
      <c r="C389" s="28">
        <f ca="1">OFFSET($B389,1*(ROWS(C$2:C389)-1),0)</f>
        <v>0</v>
      </c>
      <c r="D389" s="27">
        <f>Ft!B$3*EXP(Ft!B$38*($A389-Ft!B$2)^2) +Ft!C$3*EXP(Ft!C$38*($A389-Ft!C$2)^2) + Ft!D$3*EXP(Ft!D$38*($A389-Ft!D$2)^2)+Ft!E$3*EXP(Ft!E$38*($A389-Ft!E$2)^2) +Ft!F$3*EXP(Ft!F$38*($A389-Ft!F$2)^2) + Ft!G$3*EXP(Ft!G$38*($A389-Ft!G$2)^2)</f>
        <v>237.68827627663174</v>
      </c>
      <c r="E389" s="27">
        <f>Ft!B$3*EXP(Ft!B$38*($A389-Ft!B$2)^2)</f>
        <v>74.685298209218004</v>
      </c>
      <c r="F389" s="27">
        <f>Ft!C$3*EXP(Ft!C$38*($A389-Ft!C$2)^2)</f>
        <v>41.969742534854362</v>
      </c>
      <c r="G389" s="27">
        <f>Ft!D$3*EXP(Ft!D$38*($A389-Ft!D$2)^2)</f>
        <v>0.38261597741281755</v>
      </c>
      <c r="H389" s="27">
        <f>Ft!E$3*EXP(Ft!E$38*($A389-Ft!E$2)^2)</f>
        <v>50.048468122450473</v>
      </c>
      <c r="I389" s="27">
        <f>Ft!F$3*EXP(Ft!F$38*($A389-Ft!F$2)^2)</f>
        <v>22.121204355803332</v>
      </c>
      <c r="J389" s="27">
        <f>Ft!G$3*EXP(Ft!G$38*($A389-Ft!G$2)^2)</f>
        <v>48.480947076892754</v>
      </c>
    </row>
    <row r="390" spans="1:10">
      <c r="A390" s="20">
        <v>388</v>
      </c>
      <c r="B390" s="29">
        <v>47.677563043943167</v>
      </c>
      <c r="C390" s="28">
        <f ca="1">OFFSET($B390,1*(ROWS(C$2:C390)-1),0)</f>
        <v>0</v>
      </c>
      <c r="D390" s="27">
        <f>Ft!B$3*EXP(Ft!B$38*($A390-Ft!B$2)^2) +Ft!C$3*EXP(Ft!C$38*($A390-Ft!C$2)^2) + Ft!D$3*EXP(Ft!D$38*($A390-Ft!D$2)^2)+Ft!E$3*EXP(Ft!E$38*($A390-Ft!E$2)^2) +Ft!F$3*EXP(Ft!F$38*($A390-Ft!F$2)^2) + Ft!G$3*EXP(Ft!G$38*($A390-Ft!G$2)^2)</f>
        <v>237.82536991080383</v>
      </c>
      <c r="E390" s="27">
        <f>Ft!B$3*EXP(Ft!B$38*($A390-Ft!B$2)^2)</f>
        <v>74.468479940235511</v>
      </c>
      <c r="F390" s="27">
        <f>Ft!C$3*EXP(Ft!C$38*($A390-Ft!C$2)^2)</f>
        <v>42.017483063776226</v>
      </c>
      <c r="G390" s="27">
        <f>Ft!D$3*EXP(Ft!D$38*($A390-Ft!D$2)^2)</f>
        <v>0.40831202354061563</v>
      </c>
      <c r="H390" s="27">
        <f>Ft!E$3*EXP(Ft!E$38*($A390-Ft!E$2)^2)</f>
        <v>50.290163391202533</v>
      </c>
      <c r="I390" s="27">
        <f>Ft!F$3*EXP(Ft!F$38*($A390-Ft!F$2)^2)</f>
        <v>22.20004381208517</v>
      </c>
      <c r="J390" s="27">
        <f>Ft!G$3*EXP(Ft!G$38*($A390-Ft!G$2)^2)</f>
        <v>48.44088767996378</v>
      </c>
    </row>
    <row r="391" spans="1:10">
      <c r="A391" s="20">
        <v>389</v>
      </c>
      <c r="B391" s="29">
        <v>47.585430478980726</v>
      </c>
      <c r="C391" s="28">
        <f ca="1">OFFSET($B391,1*(ROWS(C$2:C391)-1),0)</f>
        <v>0</v>
      </c>
      <c r="D391" s="27">
        <f>Ft!B$3*EXP(Ft!B$38*($A391-Ft!B$2)^2) +Ft!C$3*EXP(Ft!C$38*($A391-Ft!C$2)^2) + Ft!D$3*EXP(Ft!D$38*($A391-Ft!D$2)^2)+Ft!E$3*EXP(Ft!E$38*($A391-Ft!E$2)^2) +Ft!F$3*EXP(Ft!F$38*($A391-Ft!F$2)^2) + Ft!G$3*EXP(Ft!G$38*($A391-Ft!G$2)^2)</f>
        <v>237.96324470174687</v>
      </c>
      <c r="E391" s="27">
        <f>Ft!B$3*EXP(Ft!B$38*($A391-Ft!B$2)^2)</f>
        <v>74.251936806786432</v>
      </c>
      <c r="F391" s="27">
        <f>Ft!C$3*EXP(Ft!C$38*($A391-Ft!C$2)^2)</f>
        <v>42.065184977775758</v>
      </c>
      <c r="G391" s="27">
        <f>Ft!D$3*EXP(Ft!D$38*($A391-Ft!D$2)^2)</f>
        <v>0.43513323729816439</v>
      </c>
      <c r="H391" s="27">
        <f>Ft!E$3*EXP(Ft!E$38*($A391-Ft!E$2)^2)</f>
        <v>50.532293371985126</v>
      </c>
      <c r="I391" s="27">
        <f>Ft!F$3*EXP(Ft!F$38*($A391-Ft!F$2)^2)</f>
        <v>22.279090893932825</v>
      </c>
      <c r="J391" s="27">
        <f>Ft!G$3*EXP(Ft!G$38*($A391-Ft!G$2)^2)</f>
        <v>48.399605413968558</v>
      </c>
    </row>
    <row r="392" spans="1:10">
      <c r="A392" s="20">
        <v>390</v>
      </c>
      <c r="B392" s="29">
        <v>47.488682887182762</v>
      </c>
      <c r="C392" s="28">
        <f ca="1">OFFSET($B392,1*(ROWS(C$2:C392)-1),0)</f>
        <v>0</v>
      </c>
      <c r="D392" s="27">
        <f>Ft!B$3*EXP(Ft!B$38*($A392-Ft!B$2)^2) +Ft!C$3*EXP(Ft!C$38*($A392-Ft!C$2)^2) + Ft!D$3*EXP(Ft!D$38*($A392-Ft!D$2)^2)+Ft!E$3*EXP(Ft!E$38*($A392-Ft!E$2)^2) +Ft!F$3*EXP(Ft!F$38*($A392-Ft!F$2)^2) + Ft!G$3*EXP(Ft!G$38*($A392-Ft!G$2)^2)</f>
        <v>238.10189766568314</v>
      </c>
      <c r="E392" s="27">
        <f>Ft!B$3*EXP(Ft!B$38*($A392-Ft!B$2)^2)</f>
        <v>74.03567007236019</v>
      </c>
      <c r="F392" s="27">
        <f>Ft!C$3*EXP(Ft!C$38*($A392-Ft!C$2)^2)</f>
        <v>42.112848022152882</v>
      </c>
      <c r="G392" s="27">
        <f>Ft!D$3*EXP(Ft!D$38*($A392-Ft!D$2)^2)</f>
        <v>0.4630771679405693</v>
      </c>
      <c r="H392" s="27">
        <f>Ft!E$3*EXP(Ft!E$38*($A392-Ft!E$2)^2)</f>
        <v>50.774853121423433</v>
      </c>
      <c r="I392" s="27">
        <f>Ft!F$3*EXP(Ft!F$38*($A392-Ft!F$2)^2)</f>
        <v>22.358345819165063</v>
      </c>
      <c r="J392" s="27">
        <f>Ft!G$3*EXP(Ft!G$38*($A392-Ft!G$2)^2)</f>
        <v>48.357103462641028</v>
      </c>
    </row>
    <row r="393" spans="1:10">
      <c r="A393" s="20">
        <v>391</v>
      </c>
      <c r="B393" s="29">
        <v>47.377772451248944</v>
      </c>
      <c r="C393" s="28">
        <f ca="1">OFFSET($B393,1*(ROWS(C$2:C393)-1),0)</f>
        <v>0</v>
      </c>
      <c r="D393" s="27">
        <f>Ft!B$3*EXP(Ft!B$38*($A393-Ft!B$2)^2) +Ft!C$3*EXP(Ft!C$38*($A393-Ft!C$2)^2) + Ft!D$3*EXP(Ft!D$38*($A393-Ft!D$2)^2)+Ft!E$3*EXP(Ft!E$38*($A393-Ft!E$2)^2) +Ft!F$3*EXP(Ft!F$38*($A393-Ft!F$2)^2) + Ft!G$3*EXP(Ft!G$38*($A393-Ft!G$2)^2)</f>
        <v>238.24132090969934</v>
      </c>
      <c r="E393" s="27">
        <f>Ft!B$3*EXP(Ft!B$38*($A393-Ft!B$2)^2)</f>
        <v>73.819680992818334</v>
      </c>
      <c r="F393" s="27">
        <f>Ft!C$3*EXP(Ft!C$38*($A393-Ft!C$2)^2)</f>
        <v>42.160471942176372</v>
      </c>
      <c r="G393" s="27">
        <f>Ft!D$3*EXP(Ft!D$38*($A393-Ft!D$2)^2)</f>
        <v>0.4921364148716964</v>
      </c>
      <c r="H393" s="27">
        <f>Ft!E$3*EXP(Ft!E$38*($A393-Ft!E$2)^2)</f>
        <v>51.01783765364442</v>
      </c>
      <c r="I393" s="27">
        <f>Ft!F$3*EXP(Ft!F$38*($A393-Ft!F$2)^2)</f>
        <v>22.437808804319136</v>
      </c>
      <c r="J393" s="27">
        <f>Ft!G$3*EXP(Ft!G$38*($A393-Ft!G$2)^2)</f>
        <v>48.313385101869386</v>
      </c>
    </row>
    <row r="394" spans="1:10">
      <c r="A394" s="20">
        <v>392</v>
      </c>
      <c r="B394" s="29">
        <v>47.31430612842837</v>
      </c>
      <c r="C394" s="28">
        <f ca="1">OFFSET($B394,1*(ROWS(C$2:C394)-1),0)</f>
        <v>0</v>
      </c>
      <c r="D394" s="27">
        <f>Ft!B$3*EXP(Ft!B$38*($A394-Ft!B$2)^2) +Ft!C$3*EXP(Ft!C$38*($A394-Ft!C$2)^2) + Ft!D$3*EXP(Ft!D$38*($A394-Ft!D$2)^2)+Ft!E$3*EXP(Ft!E$38*($A394-Ft!E$2)^2) +Ft!F$3*EXP(Ft!F$38*($A394-Ft!F$2)^2) + Ft!G$3*EXP(Ft!G$38*($A394-Ft!G$2)^2)</f>
        <v>238.38150135576001</v>
      </c>
      <c r="E394" s="27">
        <f>Ft!B$3*EXP(Ft!B$38*($A394-Ft!B$2)^2)</f>
        <v>73.603970816392746</v>
      </c>
      <c r="F394" s="27">
        <f>Ft!C$3*EXP(Ft!C$38*($A394-Ft!C$2)^2)</f>
        <v>42.208056483086082</v>
      </c>
      <c r="G394" s="27">
        <f>Ft!D$3*EXP(Ft!D$38*($A394-Ft!D$2)^2)</f>
        <v>0.5222983519999026</v>
      </c>
      <c r="H394" s="27">
        <f>Ft!E$3*EXP(Ft!E$38*($A394-Ft!E$2)^2)</f>
        <v>51.261241940362574</v>
      </c>
      <c r="I394" s="27">
        <f>Ft!F$3*EXP(Ft!F$38*($A394-Ft!F$2)^2)</f>
        <v>22.517480064643419</v>
      </c>
      <c r="J394" s="27">
        <f>Ft!G$3*EXP(Ft!G$38*($A394-Ft!G$2)^2)</f>
        <v>48.268453699275284</v>
      </c>
    </row>
    <row r="395" spans="1:10">
      <c r="A395" s="20">
        <v>393</v>
      </c>
      <c r="B395" s="29">
        <v>47.231074745728478</v>
      </c>
      <c r="C395" s="28">
        <f ca="1">OFFSET($B395,1*(ROWS(C$2:C395)-1),0)</f>
        <v>0</v>
      </c>
      <c r="D395" s="27">
        <f>Ft!B$3*EXP(Ft!B$38*($A395-Ft!B$2)^2) +Ft!C$3*EXP(Ft!C$38*($A395-Ft!C$2)^2) + Ft!D$3*EXP(Ft!D$38*($A395-Ft!D$2)^2)+Ft!E$3*EXP(Ft!E$38*($A395-Ft!E$2)^2) +Ft!F$3*EXP(Ft!F$38*($A395-Ft!F$2)^2) + Ft!G$3*EXP(Ft!G$38*($A395-Ft!G$2)^2)</f>
        <v>238.5224204843442</v>
      </c>
      <c r="E395" s="27">
        <f>Ft!B$3*EXP(Ft!B$38*($A395-Ft!B$2)^2)</f>
        <v>73.388540783684135</v>
      </c>
      <c r="F395" s="27">
        <f>Ft!C$3*EXP(Ft!C$38*($A395-Ft!C$2)^2)</f>
        <v>42.255601390095151</v>
      </c>
      <c r="G395" s="27">
        <f>Ft!D$3*EXP(Ft!D$38*($A395-Ft!D$2)^2)</f>
        <v>0.55354487172417222</v>
      </c>
      <c r="H395" s="27">
        <f>Ft!E$3*EXP(Ft!E$38*($A395-Ft!E$2)^2)</f>
        <v>51.505060910969206</v>
      </c>
      <c r="I395" s="27">
        <f>Ft!F$3*EXP(Ft!F$38*($A395-Ft!F$2)^2)</f>
        <v>22.597359814090026</v>
      </c>
      <c r="J395" s="27">
        <f>Ft!G$3*EXP(Ft!G$38*($A395-Ft!G$2)^2)</f>
        <v>48.222312713781534</v>
      </c>
    </row>
    <row r="396" spans="1:10">
      <c r="A396" s="20">
        <v>394</v>
      </c>
      <c r="B396" s="29">
        <v>47.148857546451381</v>
      </c>
      <c r="C396" s="28">
        <f ca="1">OFFSET($B396,1*(ROWS(C$2:C396)-1),0)</f>
        <v>0</v>
      </c>
      <c r="D396" s="27">
        <f>Ft!B$3*EXP(Ft!B$38*($A396-Ft!B$2)^2) +Ft!C$3*EXP(Ft!C$38*($A396-Ft!C$2)^2) + Ft!D$3*EXP(Ft!D$38*($A396-Ft!D$2)^2)+Ft!E$3*EXP(Ft!E$38*($A396-Ft!E$2)^2) +Ft!F$3*EXP(Ft!F$38*($A396-Ft!F$2)^2) + Ft!G$3*EXP(Ft!G$38*($A396-Ft!G$2)^2)</f>
        <v>238.66405410111639</v>
      </c>
      <c r="E396" s="27">
        <f>Ft!B$3*EXP(Ft!B$38*($A396-Ft!B$2)^2)</f>
        <v>73.173392127660676</v>
      </c>
      <c r="F396" s="27">
        <f>Ft!C$3*EXP(Ft!C$38*($A396-Ft!C$2)^2)</f>
        <v>42.30310640839221</v>
      </c>
      <c r="G396" s="27">
        <f>Ft!D$3*EXP(Ft!D$38*($A396-Ft!D$2)^2)</f>
        <v>0.58585215196269513</v>
      </c>
      <c r="H396" s="27">
        <f>Ft!E$3*EXP(Ft!E$38*($A396-Ft!E$2)^2)</f>
        <v>51.749289452625206</v>
      </c>
      <c r="I396" s="27">
        <f>Ft!F$3*EXP(Ft!F$38*($A396-Ft!F$2)^2)</f>
        <v>22.677448265307287</v>
      </c>
      <c r="J396" s="27">
        <f>Ft!G$3*EXP(Ft!G$38*($A396-Ft!G$2)^2)</f>
        <v>48.174965695168304</v>
      </c>
    </row>
    <row r="397" spans="1:10">
      <c r="A397" s="20">
        <v>395</v>
      </c>
      <c r="B397" s="29">
        <v>47.038645042506715</v>
      </c>
      <c r="C397" s="28">
        <f ca="1">OFFSET($B397,1*(ROWS(C$2:C397)-1),0)</f>
        <v>0</v>
      </c>
      <c r="D397" s="27">
        <f>Ft!B$3*EXP(Ft!B$38*($A397-Ft!B$2)^2) +Ft!C$3*EXP(Ft!C$38*($A397-Ft!C$2)^2) + Ft!D$3*EXP(Ft!D$38*($A397-Ft!D$2)^2)+Ft!E$3*EXP(Ft!E$38*($A397-Ft!E$2)^2) +Ft!F$3*EXP(Ft!F$38*($A397-Ft!F$2)^2) + Ft!G$3*EXP(Ft!G$38*($A397-Ft!G$2)^2)</f>
        <v>238.80637213002672</v>
      </c>
      <c r="E397" s="27">
        <f>Ft!B$3*EXP(Ft!B$38*($A397-Ft!B$2)^2)</f>
        <v>72.958526073656813</v>
      </c>
      <c r="F397" s="27">
        <f>Ft!C$3*EXP(Ft!C$38*($A397-Ft!C$2)^2)</f>
        <v>42.350571283143637</v>
      </c>
      <c r="G397" s="27">
        <f>Ft!D$3*EXP(Ft!D$38*($A397-Ft!D$2)^2)</f>
        <v>0.6191904496184768</v>
      </c>
      <c r="H397" s="27">
        <f>Ft!E$3*EXP(Ft!E$38*($A397-Ft!E$2)^2)</f>
        <v>51.993922410357364</v>
      </c>
      <c r="I397" s="27">
        <f>Ft!F$3*EXP(Ft!F$38*($A397-Ft!F$2)^2)</f>
        <v>22.757745629632428</v>
      </c>
      <c r="J397" s="27">
        <f>Ft!G$3*EXP(Ft!G$38*($A397-Ft!G$2)^2)</f>
        <v>48.126416283617992</v>
      </c>
    </row>
    <row r="398" spans="1:10">
      <c r="A398" s="20">
        <v>396</v>
      </c>
      <c r="B398" s="29">
        <v>46.93345971747928</v>
      </c>
      <c r="C398" s="28">
        <f ca="1">OFFSET($B398,1*(ROWS(C$2:C398)-1),0)</f>
        <v>0</v>
      </c>
      <c r="D398" s="27">
        <f>Ft!B$3*EXP(Ft!B$38*($A398-Ft!B$2)^2) +Ft!C$3*EXP(Ft!C$38*($A398-Ft!C$2)^2) + Ft!D$3*EXP(Ft!D$38*($A398-Ft!D$2)^2)+Ft!E$3*EXP(Ft!E$38*($A398-Ft!E$2)^2) +Ft!F$3*EXP(Ft!F$38*($A398-Ft!F$2)^2) + Ft!G$3*EXP(Ft!G$38*($A398-Ft!G$2)^2)</f>
        <v>238.94933843617872</v>
      </c>
      <c r="E398" s="27">
        <f>Ft!B$3*EXP(Ft!B$38*($A398-Ft!B$2)^2)</f>
        <v>72.743943839372392</v>
      </c>
      <c r="F398" s="27">
        <f>Ft!C$3*EXP(Ft!C$38*($A398-Ft!C$2)^2)</f>
        <v>42.397995759495792</v>
      </c>
      <c r="G398" s="27">
        <f>Ft!D$3*EXP(Ft!D$38*($A398-Ft!D$2)^2)</f>
        <v>0.65352392381952851</v>
      </c>
      <c r="H398" s="27">
        <f>Ft!E$3*EXP(Ft!E$38*($A398-Ft!E$2)^2)</f>
        <v>52.238954587158105</v>
      </c>
      <c r="I398" s="27">
        <f>Ft!F$3*EXP(Ft!F$38*($A398-Ft!F$2)^2)</f>
        <v>22.838252117084025</v>
      </c>
      <c r="J398" s="27">
        <f>Ft!G$3*EXP(Ft!G$38*($A398-Ft!G$2)^2)</f>
        <v>48.076668209248837</v>
      </c>
    </row>
    <row r="399" spans="1:10">
      <c r="A399" s="20">
        <v>397</v>
      </c>
      <c r="B399" s="29">
        <v>46.804791210408155</v>
      </c>
      <c r="C399" s="28">
        <f ca="1">OFFSET($B399,1*(ROWS(C$2:C399)-1),0)</f>
        <v>0</v>
      </c>
      <c r="D399" s="27">
        <f>Ft!B$3*EXP(Ft!B$38*($A399-Ft!B$2)^2) +Ft!C$3*EXP(Ft!C$38*($A399-Ft!C$2)^2) + Ft!D$3*EXP(Ft!D$38*($A399-Ft!D$2)^2)+Ft!E$3*EXP(Ft!E$38*($A399-Ft!E$2)^2) +Ft!F$3*EXP(Ft!F$38*($A399-Ft!F$2)^2) + Ft!G$3*EXP(Ft!G$38*($A399-Ft!G$2)^2)</f>
        <v>239.09291068170279</v>
      </c>
      <c r="E399" s="27">
        <f>Ft!B$3*EXP(Ft!B$38*($A399-Ft!B$2)^2)</f>
        <v>72.529646634871781</v>
      </c>
      <c r="F399" s="27">
        <f>Ft!C$3*EXP(Ft!C$38*($A399-Ft!C$2)^2)</f>
        <v>42.44537958257721</v>
      </c>
      <c r="G399" s="27">
        <f>Ft!D$3*EXP(Ft!D$38*($A399-Ft!D$2)^2)</f>
        <v>0.68881049217290946</v>
      </c>
      <c r="H399" s="27">
        <f>Ft!E$3*EXP(Ft!E$38*($A399-Ft!E$2)^2)</f>
        <v>52.484380744088924</v>
      </c>
      <c r="I399" s="27">
        <f>Ft!F$3*EXP(Ft!F$38*($A399-Ft!F$2)^2)</f>
        <v>22.918967936354647</v>
      </c>
      <c r="J399" s="27">
        <f>Ft!G$3*EXP(Ft!G$38*($A399-Ft!G$2)^2)</f>
        <v>48.025725291637308</v>
      </c>
    </row>
    <row r="400" spans="1:10">
      <c r="A400" s="20">
        <v>398</v>
      </c>
      <c r="B400" s="29">
        <v>46.677944563617729</v>
      </c>
      <c r="C400" s="28">
        <f ca="1">OFFSET($B400,1*(ROWS(C$2:C400)-1),0)</f>
        <v>0</v>
      </c>
      <c r="D400" s="27">
        <f>Ft!B$3*EXP(Ft!B$38*($A400-Ft!B$2)^2) +Ft!C$3*EXP(Ft!C$38*($A400-Ft!C$2)^2) + Ft!D$3*EXP(Ft!D$38*($A400-Ft!D$2)^2)+Ft!E$3*EXP(Ft!E$38*($A400-Ft!E$2)^2) +Ft!F$3*EXP(Ft!F$38*($A400-Ft!F$2)^2) + Ft!G$3*EXP(Ft!G$38*($A400-Ft!G$2)^2)</f>
        <v>239.23704021773514</v>
      </c>
      <c r="E400" s="27">
        <f>Ft!B$3*EXP(Ft!B$38*($A400-Ft!B$2)^2)</f>
        <v>72.315635662583233</v>
      </c>
      <c r="F400" s="27">
        <f>Ft!C$3*EXP(Ft!C$38*($A400-Ft!C$2)^2)</f>
        <v>42.492722497500843</v>
      </c>
      <c r="G400" s="27">
        <f>Ft!D$3*EXP(Ft!D$38*($A400-Ft!D$2)^2)</f>
        <v>0.72500172313117228</v>
      </c>
      <c r="H400" s="27">
        <f>Ft!E$3*EXP(Ft!E$38*($A400-Ft!E$2)^2)</f>
        <v>52.730195600387162</v>
      </c>
      <c r="I400" s="27">
        <f>Ft!F$3*EXP(Ft!F$38*($A400-Ft!F$2)^2)</f>
        <v>22.9998932948034</v>
      </c>
      <c r="J400" s="27">
        <f>Ft!G$3*EXP(Ft!G$38*($A400-Ft!G$2)^2)</f>
        <v>47.973591439329311</v>
      </c>
    </row>
    <row r="401" spans="1:10">
      <c r="A401" s="20">
        <v>399</v>
      </c>
      <c r="B401" s="29">
        <v>46.553084159282491</v>
      </c>
      <c r="C401" s="28">
        <f ca="1">OFFSET($B401,1*(ROWS(C$2:C401)-1),0)</f>
        <v>0</v>
      </c>
      <c r="D401" s="27">
        <f>Ft!B$3*EXP(Ft!B$38*($A401-Ft!B$2)^2) +Ft!C$3*EXP(Ft!C$38*($A401-Ft!C$2)^2) + Ft!D$3*EXP(Ft!D$38*($A401-Ft!D$2)^2)+Ft!E$3*EXP(Ft!E$38*($A401-Ft!E$2)^2) +Ft!F$3*EXP(Ft!F$38*($A401-Ft!F$2)^2) + Ft!G$3*EXP(Ft!G$38*($A401-Ft!G$2)^2)</f>
        <v>239.3816720154164</v>
      </c>
      <c r="E401" s="27">
        <f>Ft!B$3*EXP(Ft!B$38*($A401-Ft!B$2)^2)</f>
        <v>72.101912117298639</v>
      </c>
      <c r="F401" s="27">
        <f>Ft!C$3*EXP(Ft!C$38*($A401-Ft!C$2)^2)</f>
        <v>42.540024249366347</v>
      </c>
      <c r="G401" s="27">
        <f>Ft!D$3*EXP(Ft!D$38*($A401-Ft!D$2)^2)</f>
        <v>0.76204276738596799</v>
      </c>
      <c r="H401" s="27">
        <f>Ft!E$3*EXP(Ft!E$38*($A401-Ft!E$2)^2)</f>
        <v>52.976393833576466</v>
      </c>
      <c r="I401" s="27">
        <f>Ft!F$3*EXP(Ft!F$38*($A401-Ft!F$2)^2)</f>
        <v>23.081028398448439</v>
      </c>
      <c r="J401" s="27">
        <f>Ft!G$3*EXP(Ft!G$38*($A401-Ft!G$2)^2)</f>
        <v>47.920270649340551</v>
      </c>
    </row>
    <row r="402" spans="1:10">
      <c r="A402" s="20">
        <v>400</v>
      </c>
      <c r="B402" s="29">
        <v>46.435639732551465</v>
      </c>
      <c r="C402" s="28">
        <f ca="1">OFFSET($B402,1*(ROWS(C$2:C402)-1),0)</f>
        <v>0</v>
      </c>
      <c r="D402" s="27">
        <f>Ft!B$3*EXP(Ft!B$38*($A402-Ft!B$2)^2) +Ft!C$3*EXP(Ft!C$38*($A402-Ft!C$2)^2) + Ft!D$3*EXP(Ft!D$38*($A402-Ft!D$2)^2)+Ft!E$3*EXP(Ft!E$38*($A402-Ft!E$2)^2) +Ft!F$3*EXP(Ft!F$38*($A402-Ft!F$2)^2) + Ft!G$3*EXP(Ft!G$38*($A402-Ft!G$2)^2)</f>
        <v>239.52674463859788</v>
      </c>
      <c r="E402" s="27">
        <f>Ft!B$3*EXP(Ft!B$38*($A402-Ft!B$2)^2)</f>
        <v>71.888477186173077</v>
      </c>
      <c r="F402" s="27">
        <f>Ft!C$3*EXP(Ft!C$38*($A402-Ft!C$2)^2)</f>
        <v>42.587284583262232</v>
      </c>
      <c r="G402" s="27">
        <f>Ft!D$3*EXP(Ft!D$38*($A402-Ft!D$2)^2)</f>
        <v>0.7998723309766046</v>
      </c>
      <c r="H402" s="27">
        <f>Ft!E$3*EXP(Ft!E$38*($A402-Ft!E$2)^2)</f>
        <v>53.222970079580698</v>
      </c>
      <c r="I402" s="27">
        <f>Ft!F$3*EXP(Ft!F$38*($A402-Ft!F$2)^2)</f>
        <v>23.162373451959535</v>
      </c>
      <c r="J402" s="27">
        <f>Ft!G$3*EXP(Ft!G$38*($A402-Ft!G$2)^2)</f>
        <v>47.865767006645733</v>
      </c>
    </row>
    <row r="403" spans="1:10">
      <c r="A403" s="20">
        <v>401</v>
      </c>
      <c r="B403" s="29">
        <v>46.30065837376074</v>
      </c>
      <c r="C403" s="28">
        <f ca="1">OFFSET($B403,1*(ROWS(C$2:C403)-1),0)</f>
        <v>0</v>
      </c>
      <c r="D403" s="27">
        <f>Ft!B$3*EXP(Ft!B$38*($A403-Ft!B$2)^2) +Ft!C$3*EXP(Ft!C$38*($A403-Ft!C$2)^2) + Ft!D$3*EXP(Ft!D$38*($A403-Ft!D$2)^2)+Ft!E$3*EXP(Ft!E$38*($A403-Ft!E$2)^2) +Ft!F$3*EXP(Ft!F$38*($A403-Ft!F$2)^2) + Ft!G$3*EXP(Ft!G$38*($A403-Ft!G$2)^2)</f>
        <v>239.67219026067406</v>
      </c>
      <c r="E403" s="27">
        <f>Ft!B$3*EXP(Ft!B$38*($A403-Ft!B$2)^2)</f>
        <v>71.675332048724869</v>
      </c>
      <c r="F403" s="27">
        <f>Ft!C$3*EXP(Ft!C$38*($A403-Ft!C$2)^2)</f>
        <v>42.634503244268188</v>
      </c>
      <c r="G403" s="27">
        <f>Ft!D$3*EXP(Ft!D$38*($A403-Ft!D$2)^2)</f>
        <v>0.83842269253176738</v>
      </c>
      <c r="H403" s="27">
        <f>Ft!E$3*EXP(Ft!E$38*($A403-Ft!E$2)^2)</f>
        <v>53.469918932841502</v>
      </c>
      <c r="I403" s="27">
        <f>Ft!F$3*EXP(Ft!F$38*($A403-Ft!F$2)^2)</f>
        <v>23.243928658650649</v>
      </c>
      <c r="J403" s="27">
        <f>Ft!G$3*EXP(Ft!G$38*($A403-Ft!G$2)^2)</f>
        <v>47.810084683657095</v>
      </c>
    </row>
    <row r="404" spans="1:10">
      <c r="A404" s="20">
        <v>402</v>
      </c>
      <c r="B404" s="29">
        <v>46.156090619620954</v>
      </c>
      <c r="C404" s="28">
        <f ca="1">OFFSET($B404,1*(ROWS(C$2:C404)-1),0)</f>
        <v>0</v>
      </c>
      <c r="D404" s="27">
        <f>Ft!B$3*EXP(Ft!B$38*($A404-Ft!B$2)^2) +Ft!C$3*EXP(Ft!C$38*($A404-Ft!C$2)^2) + Ft!D$3*EXP(Ft!D$38*($A404-Ft!D$2)^2)+Ft!E$3*EXP(Ft!E$38*($A404-Ft!E$2)^2) +Ft!F$3*EXP(Ft!F$38*($A404-Ft!F$2)^2) + Ft!G$3*EXP(Ft!G$38*($A404-Ft!G$2)^2)</f>
        <v>239.81793472764844</v>
      </c>
      <c r="E404" s="27">
        <f>Ft!B$3*EXP(Ft!B$38*($A404-Ft!B$2)^2)</f>
        <v>71.462477876835734</v>
      </c>
      <c r="F404" s="27">
        <f>Ft!C$3*EXP(Ft!C$38*($A404-Ft!C$2)^2)</f>
        <v>42.681679977457271</v>
      </c>
      <c r="G404" s="27">
        <f>Ft!D$3*EXP(Ft!D$38*($A404-Ft!D$2)^2)</f>
        <v>0.87761976675153819</v>
      </c>
      <c r="H404" s="27">
        <f>Ft!E$3*EXP(Ft!E$38*($A404-Ft!E$2)^2)</f>
        <v>53.717234946439319</v>
      </c>
      <c r="I404" s="27">
        <f>Ft!F$3*EXP(Ft!F$38*($A404-Ft!F$2)^2)</f>
        <v>23.325694220472432</v>
      </c>
      <c r="J404" s="27">
        <f>Ft!G$3*EXP(Ft!G$38*($A404-Ft!G$2)^2)</f>
        <v>47.75322793969211</v>
      </c>
    </row>
    <row r="405" spans="1:10">
      <c r="A405" s="20">
        <v>403</v>
      </c>
      <c r="B405" s="29">
        <v>46.003354120414258</v>
      </c>
      <c r="C405" s="28">
        <f ca="1">OFFSET($B405,1*(ROWS(C$2:C405)-1),0)</f>
        <v>0</v>
      </c>
      <c r="D405" s="27">
        <f>Ft!B$3*EXP(Ft!B$38*($A405-Ft!B$2)^2) +Ft!C$3*EXP(Ft!C$38*($A405-Ft!C$2)^2) + Ft!D$3*EXP(Ft!D$38*($A405-Ft!D$2)^2)+Ft!E$3*EXP(Ft!E$38*($A405-Ft!E$2)^2) +Ft!F$3*EXP(Ft!F$38*($A405-Ft!F$2)^2) + Ft!G$3*EXP(Ft!G$38*($A405-Ft!G$2)^2)</f>
        <v>239.96389766918858</v>
      </c>
      <c r="E405" s="27">
        <f>Ft!B$3*EXP(Ft!B$38*($A405-Ft!B$2)^2)</f>
        <v>71.249915834750979</v>
      </c>
      <c r="F405" s="27">
        <f>Ft!C$3*EXP(Ft!C$38*($A405-Ft!C$2)^2)</f>
        <v>42.728814527898173</v>
      </c>
      <c r="G405" s="27">
        <f>Ft!D$3*EXP(Ft!D$38*($A405-Ft!D$2)^2)</f>
        <v>0.91738321588612382</v>
      </c>
      <c r="H405" s="27">
        <f>Ft!E$3*EXP(Ft!E$38*($A405-Ft!E$2)^2)</f>
        <v>53.964912632218052</v>
      </c>
      <c r="I405" s="27">
        <f>Ft!F$3*EXP(Ft!F$38*($A405-Ft!F$2)^2)</f>
        <v>23.407670338004742</v>
      </c>
      <c r="J405" s="27">
        <f>Ft!G$3*EXP(Ft!G$38*($A405-Ft!G$2)^2)</f>
        <v>47.695201120430518</v>
      </c>
    </row>
    <row r="406" spans="1:10">
      <c r="A406" s="20">
        <v>404</v>
      </c>
      <c r="B406" s="29">
        <v>45.838370172396765</v>
      </c>
      <c r="C406" s="28">
        <f ca="1">OFFSET($B406,1*(ROWS(C$2:C406)-1),0)</f>
        <v>0</v>
      </c>
      <c r="D406" s="27">
        <f>Ft!B$3*EXP(Ft!B$38*($A406-Ft!B$2)^2) +Ft!C$3*EXP(Ft!C$38*($A406-Ft!C$2)^2) + Ft!D$3*EXP(Ft!D$38*($A406-Ft!D$2)^2)+Ft!E$3*EXP(Ft!E$38*($A406-Ft!E$2)^2) +Ft!F$3*EXP(Ft!F$38*($A406-Ft!F$2)^2) + Ft!G$3*EXP(Ft!G$38*($A406-Ft!G$2)^2)</f>
        <v>240.10999265904081</v>
      </c>
      <c r="E406" s="27">
        <f>Ft!B$3*EXP(Ft!B$38*($A406-Ft!B$2)^2)</f>
        <v>71.037647079080131</v>
      </c>
      <c r="F406" s="27">
        <f>Ft!C$3*EXP(Ft!C$38*($A406-Ft!C$2)^2)</f>
        <v>42.775906640657489</v>
      </c>
      <c r="G406" s="27">
        <f>Ft!D$3*EXP(Ft!D$38*($A406-Ft!D$2)^2)</f>
        <v>0.95762661057975251</v>
      </c>
      <c r="H406" s="27">
        <f>Ft!E$3*EXP(Ft!E$38*($A406-Ft!E$2)^2)</f>
        <v>54.212946460913301</v>
      </c>
      <c r="I406" s="27">
        <f>Ft!F$3*EXP(Ft!F$38*($A406-Ft!F$2)^2)</f>
        <v>23.489857210449266</v>
      </c>
      <c r="J406" s="27">
        <f>Ft!G$3*EXP(Ft!G$38*($A406-Ft!G$2)^2)</f>
        <v>47.636008657360883</v>
      </c>
    </row>
    <row r="407" spans="1:10">
      <c r="A407" s="20">
        <v>405</v>
      </c>
      <c r="B407" s="29">
        <v>45.658676830323657</v>
      </c>
      <c r="C407" s="28">
        <f ca="1">OFFSET($B407,1*(ROWS(C$2:C407)-1),0)</f>
        <v>0</v>
      </c>
      <c r="D407" s="27">
        <f>Ft!B$3*EXP(Ft!B$38*($A407-Ft!B$2)^2) +Ft!C$3*EXP(Ft!C$38*($A407-Ft!C$2)^2) + Ft!D$3*EXP(Ft!D$38*($A407-Ft!D$2)^2)+Ft!E$3*EXP(Ft!E$38*($A407-Ft!E$2)^2) +Ft!F$3*EXP(Ft!F$38*($A407-Ft!F$2)^2) + Ft!G$3*EXP(Ft!G$38*($A407-Ft!G$2)^2)</f>
        <v>240.25612742574813</v>
      </c>
      <c r="E407" s="27">
        <f>Ft!B$3*EXP(Ft!B$38*($A407-Ft!B$2)^2)</f>
        <v>70.825672758797481</v>
      </c>
      <c r="F407" s="27">
        <f>Ft!C$3*EXP(Ft!C$38*($A407-Ft!C$2)^2)</f>
        <v>42.822956060801921</v>
      </c>
      <c r="G407" s="27">
        <f>Ft!D$3*EXP(Ft!D$38*($A407-Ft!D$2)^2)</f>
        <v>0.99825764102614534</v>
      </c>
      <c r="H407" s="27">
        <f>Ft!E$3*EXP(Ft!E$38*($A407-Ft!E$2)^2)</f>
        <v>54.461330862284093</v>
      </c>
      <c r="I407" s="27">
        <f>Ft!F$3*EXP(Ft!F$38*($A407-Ft!F$2)^2)</f>
        <v>23.572255035621929</v>
      </c>
      <c r="J407" s="27">
        <f>Ft!G$3*EXP(Ft!G$38*($A407-Ft!G$2)^2)</f>
        <v>47.575655067216552</v>
      </c>
    </row>
    <row r="408" spans="1:10">
      <c r="A408" s="20">
        <v>406</v>
      </c>
      <c r="B408" s="29">
        <v>45.479591484384599</v>
      </c>
      <c r="C408" s="28">
        <f ca="1">OFFSET($B408,1*(ROWS(C$2:C408)-1),0)</f>
        <v>0</v>
      </c>
      <c r="D408" s="27">
        <f>Ft!B$3*EXP(Ft!B$38*($A408-Ft!B$2)^2) +Ft!C$3*EXP(Ft!C$38*($A408-Ft!C$2)^2) + Ft!D$3*EXP(Ft!D$38*($A408-Ft!D$2)^2)+Ft!E$3*EXP(Ft!E$38*($A408-Ft!E$2)^2) +Ft!F$3*EXP(Ft!F$38*($A408-Ft!F$2)^2) + Ft!G$3*EXP(Ft!G$38*($A408-Ft!G$2)^2)</f>
        <v>240.4022041141684</v>
      </c>
      <c r="E408" s="27">
        <f>Ft!B$3*EXP(Ft!B$38*($A408-Ft!B$2)^2)</f>
        <v>70.613994015243051</v>
      </c>
      <c r="F408" s="27">
        <f>Ft!C$3*EXP(Ft!C$38*($A408-Ft!C$2)^2)</f>
        <v>42.869962533400582</v>
      </c>
      <c r="G408" s="27">
        <f>Ft!D$3*EXP(Ft!D$38*($A408-Ft!D$2)^2)</f>
        <v>1.039178378929537</v>
      </c>
      <c r="H408" s="27">
        <f>Ft!E$3*EXP(Ft!E$38*($A408-Ft!E$2)^2)</f>
        <v>54.710060225248313</v>
      </c>
      <c r="I408" s="27">
        <f>Ft!F$3*EXP(Ft!F$38*($A408-Ft!F$2)^2)</f>
        <v>23.654864009945531</v>
      </c>
      <c r="J408" s="27">
        <f>Ft!G$3*EXP(Ft!G$38*($A408-Ft!G$2)^2)</f>
        <v>47.514144951401391</v>
      </c>
    </row>
    <row r="409" spans="1:10">
      <c r="A409" s="20">
        <v>407</v>
      </c>
      <c r="B409" s="29">
        <v>45.278029500784385</v>
      </c>
      <c r="C409" s="28">
        <f ca="1">OFFSET($B409,1*(ROWS(C$2:C409)-1),0)</f>
        <v>0</v>
      </c>
      <c r="D409" s="27">
        <f>Ft!B$3*EXP(Ft!B$38*($A409-Ft!B$2)^2) +Ft!C$3*EXP(Ft!C$38*($A409-Ft!C$2)^2) + Ft!D$3*EXP(Ft!D$38*($A409-Ft!D$2)^2)+Ft!E$3*EXP(Ft!E$38*($A409-Ft!E$2)^2) +Ft!F$3*EXP(Ft!F$38*($A409-Ft!F$2)^2) + Ft!G$3*EXP(Ft!G$38*($A409-Ft!G$2)^2)</f>
        <v>240.54811959780642</v>
      </c>
      <c r="E409" s="27">
        <f>Ft!B$3*EXP(Ft!B$38*($A409-Ft!B$2)^2)</f>
        <v>70.402611982123503</v>
      </c>
      <c r="F409" s="27">
        <f>Ft!C$3*EXP(Ft!C$38*($A409-Ft!C$2)^2)</f>
        <v>42.916925803527207</v>
      </c>
      <c r="G409" s="27">
        <f>Ft!D$3*EXP(Ft!D$38*($A409-Ft!D$2)^2)</f>
        <v>1.0802855902867483</v>
      </c>
      <c r="H409" s="27">
        <f>Ft!E$3*EXP(Ft!E$38*($A409-Ft!E$2)^2)</f>
        <v>54.959128898021618</v>
      </c>
      <c r="I409" s="27">
        <f>Ft!F$3*EXP(Ft!F$38*($A409-Ft!F$2)^2)</f>
        <v>23.737684328442175</v>
      </c>
      <c r="J409" s="27">
        <f>Ft!G$3*EXP(Ft!G$38*($A409-Ft!G$2)^2)</f>
        <v>47.451482995405179</v>
      </c>
    </row>
    <row r="410" spans="1:10">
      <c r="A410" s="20">
        <v>408</v>
      </c>
      <c r="B410" s="29">
        <v>45.075007713297225</v>
      </c>
      <c r="C410" s="28">
        <f ca="1">OFFSET($B410,1*(ROWS(C$2:C410)-1),0)</f>
        <v>0</v>
      </c>
      <c r="D410" s="27">
        <f>Ft!B$3*EXP(Ft!B$38*($A410-Ft!B$2)^2) +Ft!C$3*EXP(Ft!C$38*($A410-Ft!C$2)^2) + Ft!D$3*EXP(Ft!D$38*($A410-Ft!D$2)^2)+Ft!E$3*EXP(Ft!E$38*($A410-Ft!E$2)^2) +Ft!F$3*EXP(Ft!F$38*($A410-Ft!F$2)^2) + Ft!G$3*EXP(Ft!G$38*($A410-Ft!G$2)^2)</f>
        <v>240.69376584147682</v>
      </c>
      <c r="E410" s="27">
        <f>Ft!B$3*EXP(Ft!B$38*($A410-Ft!B$2)^2)</f>
        <v>70.191527785513429</v>
      </c>
      <c r="F410" s="27">
        <f>Ft!C$3*EXP(Ft!C$38*($A410-Ft!C$2)^2)</f>
        <v>42.963845616262454</v>
      </c>
      <c r="G410" s="27">
        <f>Ft!D$3*EXP(Ft!D$38*($A410-Ft!D$2)^2)</f>
        <v>1.1214710985061915</v>
      </c>
      <c r="H410" s="27">
        <f>Ft!E$3*EXP(Ft!E$38*($A410-Ft!E$2)^2)</f>
        <v>55.208531188260032</v>
      </c>
      <c r="I410" s="27">
        <f>Ft!F$3*EXP(Ft!F$38*($A410-Ft!F$2)^2)</f>
        <v>23.820716184725836</v>
      </c>
      <c r="J410" s="27">
        <f>Ft!G$3*EXP(Ft!G$38*($A410-Ft!G$2)^2)</f>
        <v>47.387673968208894</v>
      </c>
    </row>
    <row r="411" spans="1:10">
      <c r="A411" s="20">
        <v>409</v>
      </c>
      <c r="B411" s="29">
        <v>44.875342131723016</v>
      </c>
      <c r="C411" s="28">
        <f ca="1">OFFSET($B411,1*(ROWS(C$2:C411)-1),0)</f>
        <v>0</v>
      </c>
      <c r="D411" s="27">
        <f>Ft!B$3*EXP(Ft!B$38*($A411-Ft!B$2)^2) +Ft!C$3*EXP(Ft!C$38*($A411-Ft!C$2)^2) + Ft!D$3*EXP(Ft!D$38*($A411-Ft!D$2)^2)+Ft!E$3*EXP(Ft!E$38*($A411-Ft!E$2)^2) +Ft!F$3*EXP(Ft!F$38*($A411-Ft!F$2)^2) + Ft!G$3*EXP(Ft!G$38*($A411-Ft!G$2)^2)</f>
        <v>240.839030313298</v>
      </c>
      <c r="E411" s="27">
        <f>Ft!B$3*EXP(Ft!B$38*($A411-Ft!B$2)^2)</f>
        <v>69.980742543856721</v>
      </c>
      <c r="F411" s="27">
        <f>Ft!C$3*EXP(Ft!C$38*($A411-Ft!C$2)^2)</f>
        <v>43.010721716696132</v>
      </c>
      <c r="G411" s="27">
        <f>Ft!D$3*EXP(Ft!D$38*($A411-Ft!D$2)^2)</f>
        <v>1.1626221968643473</v>
      </c>
      <c r="H411" s="27">
        <f>Ft!E$3*EXP(Ft!E$38*($A411-Ft!E$2)^2)</f>
        <v>55.45826136320607</v>
      </c>
      <c r="I411" s="27">
        <f>Ft!F$3*EXP(Ft!F$38*($A411-Ft!F$2)^2)</f>
        <v>23.903959770994884</v>
      </c>
      <c r="J411" s="27">
        <f>Ft!G$3*EXP(Ft!G$38*($A411-Ft!G$2)^2)</f>
        <v>47.322722721679881</v>
      </c>
    </row>
    <row r="412" spans="1:10">
      <c r="A412" s="20">
        <v>410</v>
      </c>
      <c r="B412" s="29">
        <v>44.680738646947077</v>
      </c>
      <c r="C412" s="28">
        <f ca="1">OFFSET($B412,1*(ROWS(C$2:C412)-1),0)</f>
        <v>0</v>
      </c>
      <c r="D412" s="27">
        <f>Ft!B$3*EXP(Ft!B$38*($A412-Ft!B$2)^2) +Ft!C$3*EXP(Ft!C$38*($A412-Ft!C$2)^2) + Ft!D$3*EXP(Ft!D$38*($A412-Ft!D$2)^2)+Ft!E$3*EXP(Ft!E$38*($A412-Ft!E$2)^2) +Ft!F$3*EXP(Ft!F$38*($A412-Ft!F$2)^2) + Ft!G$3*EXP(Ft!G$38*($A412-Ft!G$2)^2)</f>
        <v>240.98379644449281</v>
      </c>
      <c r="E412" s="27">
        <f>Ft!B$3*EXP(Ft!B$38*($A412-Ft!B$2)^2)</f>
        <v>69.770257367968085</v>
      </c>
      <c r="F412" s="27">
        <f>Ft!C$3*EXP(Ft!C$38*($A412-Ft!C$2)^2)</f>
        <v>43.057553849929484</v>
      </c>
      <c r="G412" s="27">
        <f>Ft!D$3*EXP(Ft!D$38*($A412-Ft!D$2)^2)</f>
        <v>1.2036221087750103</v>
      </c>
      <c r="H412" s="27">
        <f>Ft!E$3*EXP(Ft!E$38*($A412-Ft!E$2)^2)</f>
        <v>55.708313649838487</v>
      </c>
      <c r="I412" s="27">
        <f>Ft!F$3*EXP(Ft!F$38*($A412-Ft!F$2)^2)</f>
        <v>23.987415278024564</v>
      </c>
      <c r="J412" s="27">
        <f>Ft!G$3*EXP(Ft!G$38*($A412-Ft!G$2)^2)</f>
        <v>47.256634189957175</v>
      </c>
    </row>
    <row r="413" spans="1:10">
      <c r="A413" s="20">
        <v>411</v>
      </c>
      <c r="B413" s="29">
        <v>44.466848984453975</v>
      </c>
      <c r="C413" s="28">
        <f ca="1">OFFSET($B413,1*(ROWS(C$2:C413)-1),0)</f>
        <v>0</v>
      </c>
      <c r="D413" s="27">
        <f>Ft!B$3*EXP(Ft!B$38*($A413-Ft!B$2)^2) +Ft!C$3*EXP(Ft!C$38*($A413-Ft!C$2)^2) + Ft!D$3*EXP(Ft!D$38*($A413-Ft!D$2)^2)+Ft!E$3*EXP(Ft!E$38*($A413-Ft!E$2)^2) +Ft!F$3*EXP(Ft!F$38*($A413-Ft!F$2)^2) + Ft!G$3*EXP(Ft!G$38*($A413-Ft!G$2)^2)</f>
        <v>241.12794413494217</v>
      </c>
      <c r="E413" s="27">
        <f>Ft!B$3*EXP(Ft!B$38*($A413-Ft!B$2)^2)</f>
        <v>69.560073361034895</v>
      </c>
      <c r="F413" s="27">
        <f>Ft!C$3*EXP(Ft!C$38*($A413-Ft!C$2)^2)</f>
        <v>43.10434176107745</v>
      </c>
      <c r="G413" s="27">
        <f>Ft!D$3*EXP(Ft!D$38*($A413-Ft!D$2)^2)</f>
        <v>1.2443504938177488</v>
      </c>
      <c r="H413" s="27">
        <f>Ft!E$3*EXP(Ft!E$38*($A413-Ft!E$2)^2)</f>
        <v>55.958682235025648</v>
      </c>
      <c r="I413" s="27">
        <f>Ft!F$3*EXP(Ft!F$38*($A413-Ft!F$2)^2)</f>
        <v>24.071082895159506</v>
      </c>
      <c r="J413" s="27">
        <f>Ft!G$3*EXP(Ft!G$38*($A413-Ft!G$2)^2)</f>
        <v>47.189413388826914</v>
      </c>
    </row>
    <row r="414" spans="1:10">
      <c r="A414" s="20">
        <v>412</v>
      </c>
      <c r="B414" s="29">
        <v>44.27695556373726</v>
      </c>
      <c r="C414" s="28">
        <f ca="1">OFFSET($B414,1*(ROWS(C$2:C414)-1),0)</f>
        <v>0</v>
      </c>
      <c r="D414" s="27">
        <f>Ft!B$3*EXP(Ft!B$38*($A414-Ft!B$2)^2) +Ft!C$3*EXP(Ft!C$38*($A414-Ft!C$2)^2) + Ft!D$3*EXP(Ft!D$38*($A414-Ft!D$2)^2)+Ft!E$3*EXP(Ft!E$38*($A414-Ft!E$2)^2) +Ft!F$3*EXP(Ft!F$38*($A414-Ft!F$2)^2) + Ft!G$3*EXP(Ft!G$38*($A414-Ft!G$2)^2)</f>
        <v>241.27135030191269</v>
      </c>
      <c r="E414" s="27">
        <f>Ft!B$3*EXP(Ft!B$38*($A414-Ft!B$2)^2)</f>
        <v>69.35019161861895</v>
      </c>
      <c r="F414" s="27">
        <f>Ft!C$3*EXP(Ft!C$38*($A414-Ft!C$2)^2)</f>
        <v>43.151085195270916</v>
      </c>
      <c r="G414" s="27">
        <f>Ft!D$3*EXP(Ft!D$38*($A414-Ft!D$2)^2)</f>
        <v>1.2846839969460468</v>
      </c>
      <c r="H414" s="27">
        <f>Ft!E$3*EXP(Ft!E$38*($A414-Ft!E$2)^2)</f>
        <v>56.20936126568246</v>
      </c>
      <c r="I414" s="27">
        <f>Ft!F$3*EXP(Ft!F$38*($A414-Ft!F$2)^2)</f>
        <v>24.154962810306287</v>
      </c>
      <c r="J414" s="27">
        <f>Ft!G$3*EXP(Ft!G$38*($A414-Ft!G$2)^2)</f>
        <v>47.121065415088054</v>
      </c>
    </row>
    <row r="415" spans="1:10">
      <c r="A415" s="20">
        <v>413</v>
      </c>
      <c r="B415" s="29">
        <v>44.070798178816602</v>
      </c>
      <c r="C415" s="28">
        <f ca="1">OFFSET($B415,1*(ROWS(C$2:C415)-1),0)</f>
        <v>0</v>
      </c>
      <c r="D415" s="27">
        <f>Ft!B$3*EXP(Ft!B$38*($A415-Ft!B$2)^2) +Ft!C$3*EXP(Ft!C$38*($A415-Ft!C$2)^2) + Ft!D$3*EXP(Ft!D$38*($A415-Ft!D$2)^2)+Ft!E$3*EXP(Ft!E$38*($A415-Ft!E$2)^2) +Ft!F$3*EXP(Ft!F$38*($A415-Ft!F$2)^2) + Ft!G$3*EXP(Ft!G$38*($A415-Ft!G$2)^2)</f>
        <v>241.41388946886238</v>
      </c>
      <c r="E415" s="27">
        <f>Ft!B$3*EXP(Ft!B$38*($A415-Ft!B$2)^2)</f>
        <v>69.140613228658708</v>
      </c>
      <c r="F415" s="27">
        <f>Ft!C$3*EXP(Ft!C$38*($A415-Ft!C$2)^2)</f>
        <v>43.197783897659029</v>
      </c>
      <c r="G415" s="27">
        <f>Ft!D$3*EXP(Ft!D$38*($A415-Ft!D$2)^2)</f>
        <v>1.3244968377792785</v>
      </c>
      <c r="H415" s="27">
        <f>Ft!E$3*EXP(Ft!E$38*($A415-Ft!E$2)^2)</f>
        <v>56.460344848930973</v>
      </c>
      <c r="I415" s="27">
        <f>Ft!F$3*EXP(Ft!F$38*($A415-Ft!F$2)^2)</f>
        <v>24.239055209925869</v>
      </c>
      <c r="J415" s="27">
        <f>Ft!G$3*EXP(Ft!G$38*($A415-Ft!G$2)^2)</f>
        <v>47.051595445908511</v>
      </c>
    </row>
    <row r="416" spans="1:10">
      <c r="A416" s="20">
        <v>414</v>
      </c>
      <c r="B416" s="29">
        <v>43.86200492500052</v>
      </c>
      <c r="C416" s="28">
        <f ca="1">OFFSET($B416,1*(ROWS(C$2:C416)-1),0)</f>
        <v>0</v>
      </c>
      <c r="D416" s="27">
        <f>Ft!B$3*EXP(Ft!B$38*($A416-Ft!B$2)^2) +Ft!C$3*EXP(Ft!C$38*($A416-Ft!C$2)^2) + Ft!D$3*EXP(Ft!D$38*($A416-Ft!D$2)^2)+Ft!E$3*EXP(Ft!E$38*($A416-Ft!E$2)^2) +Ft!F$3*EXP(Ft!F$38*($A416-Ft!F$2)^2) + Ft!G$3*EXP(Ft!G$38*($A416-Ft!G$2)^2)</f>
        <v>241.5554343907281</v>
      </c>
      <c r="E416" s="27">
        <f>Ft!B$3*EXP(Ft!B$38*($A416-Ft!B$2)^2)</f>
        <v>68.931339271471515</v>
      </c>
      <c r="F416" s="27">
        <f>Ft!C$3*EXP(Ft!C$38*($A416-Ft!C$2)^2)</f>
        <v>43.244437613411414</v>
      </c>
      <c r="G416" s="27">
        <f>Ft!D$3*EXP(Ft!D$38*($A416-Ft!D$2)^2)</f>
        <v>1.3636614363828334</v>
      </c>
      <c r="H416" s="27">
        <f>Ft!E$3*EXP(Ft!E$38*($A416-Ft!E$2)^2)</f>
        <v>56.711627052264504</v>
      </c>
      <c r="I416" s="27">
        <f>Ft!F$3*EXP(Ft!F$38*($A416-Ft!F$2)^2)</f>
        <v>24.323360279026115</v>
      </c>
      <c r="J416" s="27">
        <f>Ft!G$3*EXP(Ft!G$38*($A416-Ft!G$2)^2)</f>
        <v>46.981008738171731</v>
      </c>
    </row>
    <row r="417" spans="1:10">
      <c r="A417" s="20">
        <v>415</v>
      </c>
      <c r="B417" s="29">
        <v>43.660674992872345</v>
      </c>
      <c r="C417" s="28">
        <f ca="1">OFFSET($B417,1*(ROWS(C$2:C417)-1),0)</f>
        <v>0</v>
      </c>
      <c r="D417" s="27">
        <f>Ft!B$3*EXP(Ft!B$38*($A417-Ft!B$2)^2) +Ft!C$3*EXP(Ft!C$38*($A417-Ft!C$2)^2) + Ft!D$3*EXP(Ft!D$38*($A417-Ft!D$2)^2)+Ft!E$3*EXP(Ft!E$38*($A417-Ft!E$2)^2) +Ft!F$3*EXP(Ft!F$38*($A417-Ft!F$2)^2) + Ft!G$3*EXP(Ft!G$38*($A417-Ft!G$2)^2)</f>
        <v>241.69585671162451</v>
      </c>
      <c r="E417" s="27">
        <f>Ft!B$3*EXP(Ft!B$38*($A417-Ft!B$2)^2)</f>
        <v>68.722370819755952</v>
      </c>
      <c r="F417" s="27">
        <f>Ft!C$3*EXP(Ft!C$38*($A417-Ft!C$2)^2)</f>
        <v>43.291046087720495</v>
      </c>
      <c r="G417" s="27">
        <f>Ft!D$3*EXP(Ft!D$38*($A417-Ft!D$2)^2)</f>
        <v>1.4020490714642428</v>
      </c>
      <c r="H417" s="27">
        <f>Ft!E$3*EXP(Ft!E$38*($A417-Ft!E$2)^2)</f>
        <v>56.963201903715522</v>
      </c>
      <c r="I417" s="27">
        <f>Ft!F$3*EXP(Ft!F$38*($A417-Ft!F$2)^2)</f>
        <v>24.40787820115435</v>
      </c>
      <c r="J417" s="27">
        <f>Ft!G$3*EXP(Ft!G$38*($A417-Ft!G$2)^2)</f>
        <v>46.909310627813952</v>
      </c>
    </row>
    <row r="418" spans="1:10">
      <c r="A418" s="20">
        <v>416</v>
      </c>
      <c r="B418" s="29">
        <v>43.44321437089738</v>
      </c>
      <c r="C418" s="28">
        <f ca="1">OFFSET($B418,1*(ROWS(C$2:C418)-1),0)</f>
        <v>0</v>
      </c>
      <c r="D418" s="27">
        <f>Ft!B$3*EXP(Ft!B$38*($A418-Ft!B$2)^2) +Ft!C$3*EXP(Ft!C$38*($A418-Ft!C$2)^2) + Ft!D$3*EXP(Ft!D$38*($A418-Ft!D$2)^2)+Ft!E$3*EXP(Ft!E$38*($A418-Ft!E$2)^2) +Ft!F$3*EXP(Ft!F$38*($A418-Ft!F$2)^2) + Ft!G$3*EXP(Ft!G$38*($A418-Ft!G$2)^2)</f>
        <v>241.83502765043411</v>
      </c>
      <c r="E418" s="27">
        <f>Ft!B$3*EXP(Ft!B$38*($A418-Ft!B$2)^2)</f>
        <v>68.513708938594618</v>
      </c>
      <c r="F418" s="27">
        <f>Ft!C$3*EXP(Ft!C$38*($A418-Ft!C$2)^2)</f>
        <v>43.33760906580374</v>
      </c>
      <c r="G418" s="27">
        <f>Ft!D$3*EXP(Ft!D$38*($A418-Ft!D$2)^2)</f>
        <v>1.4395305664668443</v>
      </c>
      <c r="H418" s="27">
        <f>Ft!E$3*EXP(Ft!E$38*($A418-Ft!E$2)^2)</f>
        <v>57.21506339202697</v>
      </c>
      <c r="I418" s="27">
        <f>Ft!F$3*EXP(Ft!F$38*($A418-Ft!F$2)^2)</f>
        <v>24.492609158389754</v>
      </c>
      <c r="J418" s="27">
        <f>Ft!G$3*EXP(Ft!G$38*($A418-Ft!G$2)^2)</f>
        <v>46.83650652915216</v>
      </c>
    </row>
    <row r="419" spans="1:10">
      <c r="A419" s="20">
        <v>417</v>
      </c>
      <c r="B419" s="29">
        <v>43.196116780807188</v>
      </c>
      <c r="C419" s="28">
        <f ca="1">OFFSET($B419,1*(ROWS(C$2:C419)-1),0)</f>
        <v>0</v>
      </c>
      <c r="D419" s="27">
        <f>Ft!B$3*EXP(Ft!B$38*($A419-Ft!B$2)^2) +Ft!C$3*EXP(Ft!C$38*($A419-Ft!C$2)^2) + Ft!D$3*EXP(Ft!D$38*($A419-Ft!D$2)^2)+Ft!E$3*EXP(Ft!E$38*($A419-Ft!E$2)^2) +Ft!F$3*EXP(Ft!F$38*($A419-Ft!F$2)^2) + Ft!G$3*EXP(Ft!G$38*($A419-Ft!G$2)^2)</f>
        <v>241.97281870936177</v>
      </c>
      <c r="E419" s="27">
        <f>Ft!B$3*EXP(Ft!B$38*($A419-Ft!B$2)^2)</f>
        <v>68.305354685456805</v>
      </c>
      <c r="F419" s="27">
        <f>Ft!C$3*EXP(Ft!C$38*($A419-Ft!C$2)^2)</f>
        <v>43.384126292905954</v>
      </c>
      <c r="G419" s="27">
        <f>Ft!D$3*EXP(Ft!D$38*($A419-Ft!D$2)^2)</f>
        <v>1.4759769986328781</v>
      </c>
      <c r="H419" s="27">
        <f>Ft!E$3*EXP(Ft!E$38*($A419-Ft!E$2)^2)</f>
        <v>57.467205466827266</v>
      </c>
      <c r="I419" s="27">
        <f>Ft!F$3*EXP(Ft!F$38*($A419-Ft!F$2)^2)</f>
        <v>24.57755333133597</v>
      </c>
      <c r="J419" s="27">
        <f>Ft!G$3*EXP(Ft!G$38*($A419-Ft!G$2)^2)</f>
        <v>46.762601934202927</v>
      </c>
    </row>
    <row r="420" spans="1:10">
      <c r="A420" s="20">
        <v>418</v>
      </c>
      <c r="B420" s="29">
        <v>42.97750070280938</v>
      </c>
      <c r="C420" s="28">
        <f ca="1">OFFSET($B420,1*(ROWS(C$2:C420)-1),0)</f>
        <v>0</v>
      </c>
      <c r="D420" s="27">
        <f>Ft!B$3*EXP(Ft!B$38*($A420-Ft!B$2)^2) +Ft!C$3*EXP(Ft!C$38*($A420-Ft!C$2)^2) + Ft!D$3*EXP(Ft!D$38*($A420-Ft!D$2)^2)+Ft!E$3*EXP(Ft!E$38*($A420-Ft!E$2)^2) +Ft!F$3*EXP(Ft!F$38*($A420-Ft!F$2)^2) + Ft!G$3*EXP(Ft!G$38*($A420-Ft!G$2)^2)</f>
        <v>242.10910240015909</v>
      </c>
      <c r="E420" s="27">
        <f>Ft!B$3*EXP(Ft!B$38*($A420-Ft!B$2)^2)</f>
        <v>68.097309110201465</v>
      </c>
      <c r="F420" s="27">
        <f>Ft!C$3*EXP(Ft!C$38*($A420-Ft!C$2)^2)</f>
        <v>43.430597514301596</v>
      </c>
      <c r="G420" s="27">
        <f>Ft!D$3*EXP(Ft!D$38*($A420-Ft!D$2)^2)</f>
        <v>1.5112604257412683</v>
      </c>
      <c r="H420" s="27">
        <f>Ft!E$3*EXP(Ft!E$38*($A420-Ft!E$2)^2)</f>
        <v>57.719622038809064</v>
      </c>
      <c r="I420" s="27">
        <f>Ft!F$3*EXP(Ft!F$38*($A420-Ft!F$2)^2)</f>
        <v>24.66271089911351</v>
      </c>
      <c r="J420" s="27">
        <f>Ft!G$3*EXP(Ft!G$38*($A420-Ft!G$2)^2)</f>
        <v>46.687602411992195</v>
      </c>
    </row>
    <row r="421" spans="1:10">
      <c r="A421" s="20">
        <v>419</v>
      </c>
      <c r="B421" s="29">
        <v>42.762796550388629</v>
      </c>
      <c r="C421" s="28">
        <f ca="1">OFFSET($B421,1*(ROWS(C$2:C421)-1),0)</f>
        <v>0</v>
      </c>
      <c r="D421" s="27">
        <f>Ft!B$3*EXP(Ft!B$38*($A421-Ft!B$2)^2) +Ft!C$3*EXP(Ft!C$38*($A421-Ft!C$2)^2) + Ft!D$3*EXP(Ft!D$38*($A421-Ft!D$2)^2)+Ft!E$3*EXP(Ft!E$38*($A421-Ft!E$2)^2) +Ft!F$3*EXP(Ft!F$38*($A421-Ft!F$2)^2) + Ft!G$3*EXP(Ft!G$38*($A421-Ft!G$2)^2)</f>
        <v>242.24375298240469</v>
      </c>
      <c r="E421" s="27">
        <f>Ft!B$3*EXP(Ft!B$38*($A421-Ft!B$2)^2)</f>
        <v>67.889573255080393</v>
      </c>
      <c r="F421" s="27">
        <f>Ft!C$3*EXP(Ft!C$38*($A421-Ft!C$2)^2)</f>
        <v>43.477022475296963</v>
      </c>
      <c r="G421" s="27">
        <f>Ft!D$3*EXP(Ft!D$38*($A421-Ft!D$2)^2)</f>
        <v>1.5452546249074839</v>
      </c>
      <c r="H421" s="27">
        <f>Ft!E$3*EXP(Ft!E$38*($A421-Ft!E$2)^2)</f>
        <v>57.972306979911373</v>
      </c>
      <c r="I421" s="27">
        <f>Ft!F$3*EXP(Ft!F$38*($A421-Ft!F$2)^2)</f>
        <v>24.748082039352294</v>
      </c>
      <c r="J421" s="27">
        <f>Ft!G$3*EXP(Ft!G$38*($A421-Ft!G$2)^2)</f>
        <v>46.611513607856175</v>
      </c>
    </row>
    <row r="422" spans="1:10">
      <c r="A422" s="20">
        <v>420</v>
      </c>
      <c r="B422" s="29">
        <v>42.53850859007494</v>
      </c>
      <c r="C422" s="28">
        <f ca="1">OFFSET($B422,1*(ROWS(C$2:C422)-1),0)</f>
        <v>0</v>
      </c>
      <c r="D422" s="27">
        <f>Ft!B$3*EXP(Ft!B$38*($A422-Ft!B$2)^2) +Ft!C$3*EXP(Ft!C$38*($A422-Ft!C$2)^2) + Ft!D$3*EXP(Ft!D$38*($A422-Ft!D$2)^2)+Ft!E$3*EXP(Ft!E$38*($A422-Ft!E$2)^2) +Ft!F$3*EXP(Ft!F$38*($A422-Ft!F$2)^2) + Ft!G$3*EXP(Ft!G$38*($A422-Ft!G$2)^2)</f>
        <v>242.37664720796641</v>
      </c>
      <c r="E422" s="27">
        <f>Ft!B$3*EXP(Ft!B$38*($A422-Ft!B$2)^2)</f>
        <v>67.682148154741512</v>
      </c>
      <c r="F422" s="27">
        <f>Ft!C$3*EXP(Ft!C$38*($A422-Ft!C$2)^2)</f>
        <v>43.523400921232593</v>
      </c>
      <c r="G422" s="27">
        <f>Ft!D$3*EXP(Ft!D$38*($A422-Ft!D$2)^2)</f>
        <v>1.5778358375691692</v>
      </c>
      <c r="H422" s="27">
        <f>Ft!E$3*EXP(Ft!E$38*($A422-Ft!E$2)^2)</f>
        <v>58.225254123505515</v>
      </c>
      <c r="I422" s="27">
        <f>Ft!F$3*EXP(Ft!F$38*($A422-Ft!F$2)^2)</f>
        <v>24.833666928184144</v>
      </c>
      <c r="J422" s="27">
        <f>Ft!G$3*EXP(Ft!G$38*($A422-Ft!G$2)^2)</f>
        <v>46.534341242733483</v>
      </c>
    </row>
    <row r="423" spans="1:10">
      <c r="A423" s="20">
        <v>421</v>
      </c>
      <c r="B423" s="29">
        <v>42.303654382793951</v>
      </c>
      <c r="C423" s="28">
        <f ca="1">OFFSET($B423,1*(ROWS(C$2:C423)-1),0)</f>
        <v>0</v>
      </c>
      <c r="D423" s="27">
        <f>Ft!B$3*EXP(Ft!B$38*($A423-Ft!B$2)^2) +Ft!C$3*EXP(Ft!C$38*($A423-Ft!C$2)^2) + Ft!D$3*EXP(Ft!D$38*($A423-Ft!D$2)^2)+Ft!E$3*EXP(Ft!E$38*($A423-Ft!E$2)^2) +Ft!F$3*EXP(Ft!F$38*($A423-Ft!F$2)^2) + Ft!G$3*EXP(Ft!G$38*($A423-Ft!G$2)^2)</f>
        <v>242.50766506556258</v>
      </c>
      <c r="E423" s="27">
        <f>Ft!B$3*EXP(Ft!B$38*($A423-Ft!B$2)^2)</f>
        <v>67.475034836232368</v>
      </c>
      <c r="F423" s="27">
        <f>Ft!C$3*EXP(Ft!C$38*($A423-Ft!C$2)^2)</f>
        <v>43.569732597485491</v>
      </c>
      <c r="G423" s="27">
        <f>Ft!D$3*EXP(Ft!D$38*($A423-Ft!D$2)^2)</f>
        <v>1.6088835145763833</v>
      </c>
      <c r="H423" s="27">
        <f>Ft!E$3*EXP(Ft!E$38*($A423-Ft!E$2)^2)</f>
        <v>58.47845726458457</v>
      </c>
      <c r="I423" s="27">
        <f>Ft!F$3*EXP(Ft!F$38*($A423-Ft!F$2)^2)</f>
        <v>24.919465740235246</v>
      </c>
      <c r="J423" s="27">
        <f>Ft!G$3*EXP(Ft!G$38*($A423-Ft!G$2)^2)</f>
        <v>46.456091112448554</v>
      </c>
    </row>
    <row r="424" spans="1:10">
      <c r="A424" s="20">
        <v>422</v>
      </c>
      <c r="B424" s="29">
        <v>42.08118861262011</v>
      </c>
      <c r="C424" s="28">
        <f ca="1">OFFSET($B424,1*(ROWS(C$2:C424)-1),0)</f>
        <v>0</v>
      </c>
      <c r="D424" s="27">
        <f>Ft!B$3*EXP(Ft!B$38*($A424-Ft!B$2)^2) +Ft!C$3*EXP(Ft!C$38*($A424-Ft!C$2)^2) + Ft!D$3*EXP(Ft!D$38*($A424-Ft!D$2)^2)+Ft!E$3*EXP(Ft!E$38*($A424-Ft!E$2)^2) +Ft!F$3*EXP(Ft!F$38*($A424-Ft!F$2)^2) + Ft!G$3*EXP(Ft!G$38*($A424-Ft!G$2)^2)</f>
        <v>242.63669051920016</v>
      </c>
      <c r="E424" s="27">
        <f>Ft!B$3*EXP(Ft!B$38*($A424-Ft!B$2)^2)</f>
        <v>67.268234319003724</v>
      </c>
      <c r="F424" s="27">
        <f>Ft!C$3*EXP(Ft!C$38*($A424-Ft!C$2)^2)</f>
        <v>43.616017249471398</v>
      </c>
      <c r="G424" s="27">
        <f>Ft!D$3*EXP(Ft!D$38*($A424-Ft!D$2)^2)</f>
        <v>1.6382810551632929</v>
      </c>
      <c r="H424" s="27">
        <f>Ft!E$3*EXP(Ft!E$38*($A424-Ft!E$2)^2)</f>
        <v>58.731910159956485</v>
      </c>
      <c r="I424" s="27">
        <f>Ft!F$3*EXP(Ft!F$38*($A424-Ft!F$2)^2)</f>
        <v>25.005478648618656</v>
      </c>
      <c r="J424" s="27">
        <f>Ft!G$3*EXP(Ft!G$38*($A424-Ft!G$2)^2)</f>
        <v>46.376769086986613</v>
      </c>
    </row>
    <row r="425" spans="1:10">
      <c r="A425" s="20">
        <v>423</v>
      </c>
      <c r="B425" s="29">
        <v>41.834642713088328</v>
      </c>
      <c r="C425" s="28">
        <f ca="1">OFFSET($B425,1*(ROWS(C$2:C425)-1),0)</f>
        <v>0</v>
      </c>
      <c r="D425" s="27">
        <f>Ft!B$3*EXP(Ft!B$38*($A425-Ft!B$2)^2) +Ft!C$3*EXP(Ft!C$38*($A425-Ft!C$2)^2) + Ft!D$3*EXP(Ft!D$38*($A425-Ft!D$2)^2)+Ft!E$3*EXP(Ft!E$38*($A425-Ft!E$2)^2) +Ft!F$3*EXP(Ft!F$38*($A425-Ft!F$2)^2) + Ft!G$3*EXP(Ft!G$38*($A425-Ft!G$2)^2)</f>
        <v>242.7636122341907</v>
      </c>
      <c r="E425" s="27">
        <f>Ft!B$3*EXP(Ft!B$38*($A425-Ft!B$2)^2)</f>
        <v>67.061747614913457</v>
      </c>
      <c r="F425" s="27">
        <f>Ft!C$3*EXP(Ft!C$38*($A425-Ft!C$2)^2)</f>
        <v>43.662254622647154</v>
      </c>
      <c r="G425" s="27">
        <f>Ft!D$3*EXP(Ft!D$38*($A425-Ft!D$2)^2)</f>
        <v>1.6659165335023007</v>
      </c>
      <c r="H425" s="27">
        <f>Ft!E$3*EXP(Ft!E$38*($A425-Ft!E$2)^2)</f>
        <v>58.985606528440798</v>
      </c>
      <c r="I425" s="27">
        <f>Ft!F$3*EXP(Ft!F$38*($A425-Ft!F$2)^2)</f>
        <v>25.091705824926805</v>
      </c>
      <c r="J425" s="27">
        <f>Ft!G$3*EXP(Ft!G$38*($A425-Ft!G$2)^2)</f>
        <v>46.296381109760198</v>
      </c>
    </row>
    <row r="426" spans="1:10">
      <c r="A426" s="20">
        <v>424</v>
      </c>
      <c r="B426" s="29">
        <v>41.595778396664144</v>
      </c>
      <c r="C426" s="28">
        <f ca="1">OFFSET($B426,1*(ROWS(C$2:C426)-1),0)</f>
        <v>0</v>
      </c>
      <c r="D426" s="27">
        <f>Ft!B$3*EXP(Ft!B$38*($A426-Ft!B$2)^2) +Ft!C$3*EXP(Ft!C$38*($A426-Ft!C$2)^2) + Ft!D$3*EXP(Ft!D$38*($A426-Ft!D$2)^2)+Ft!E$3*EXP(Ft!E$38*($A426-Ft!E$2)^2) +Ft!F$3*EXP(Ft!F$38*($A426-Ft!F$2)^2) + Ft!G$3*EXP(Ft!G$38*($A426-Ft!G$2)^2)</f>
        <v>242.88832428443786</v>
      </c>
      <c r="E426" s="27">
        <f>Ft!B$3*EXP(Ft!B$38*($A426-Ft!B$2)^2)</f>
        <v>66.855575728230448</v>
      </c>
      <c r="F426" s="27">
        <f>Ft!C$3*EXP(Ft!C$38*($A426-Ft!C$2)^2)</f>
        <v>43.708444462512922</v>
      </c>
      <c r="G426" s="27">
        <f>Ft!D$3*EXP(Ft!D$38*($A426-Ft!D$2)^2)</f>
        <v>1.6916834065341968</v>
      </c>
      <c r="H426" s="27">
        <f>Ft!E$3*EXP(Ft!E$38*($A426-Ft!E$2)^2)</f>
        <v>59.239540051069</v>
      </c>
      <c r="I426" s="27">
        <f>Ft!F$3*EXP(Ft!F$38*($A426-Ft!F$2)^2)</f>
        <v>25.178147439223945</v>
      </c>
      <c r="J426" s="27">
        <f>Ft!G$3*EXP(Ft!G$38*($A426-Ft!G$2)^2)</f>
        <v>46.214933196867349</v>
      </c>
    </row>
    <row r="427" spans="1:10">
      <c r="A427" s="20">
        <v>425</v>
      </c>
      <c r="B427" s="29">
        <v>41.33812012309636</v>
      </c>
      <c r="C427" s="28">
        <f ca="1">OFFSET($B427,1*(ROWS(C$2:C427)-1),0)</f>
        <v>0</v>
      </c>
      <c r="D427" s="27">
        <f>Ft!B$3*EXP(Ft!B$38*($A427-Ft!B$2)^2) +Ft!C$3*EXP(Ft!C$38*($A427-Ft!C$2)^2) + Ft!D$3*EXP(Ft!D$38*($A427-Ft!D$2)^2)+Ft!E$3*EXP(Ft!E$38*($A427-Ft!E$2)^2) +Ft!F$3*EXP(Ft!F$38*($A427-Ft!F$2)^2) + Ft!G$3*EXP(Ft!G$38*($A427-Ft!G$2)^2)</f>
        <v>243.0107268347528</v>
      </c>
      <c r="E427" s="27">
        <f>Ft!B$3*EXP(Ft!B$38*($A427-Ft!B$2)^2)</f>
        <v>66.649719655638876</v>
      </c>
      <c r="F427" s="27">
        <f>Ft!C$3*EXP(Ft!C$38*($A427-Ft!C$2)^2)</f>
        <v>43.754586514614523</v>
      </c>
      <c r="G427" s="27">
        <f>Ft!D$3*EXP(Ft!D$38*($A427-Ft!D$2)^2)</f>
        <v>1.7154811968305215</v>
      </c>
      <c r="H427" s="27">
        <f>Ft!E$3*EXP(Ft!E$38*($A427-Ft!E$2)^2)</f>
        <v>59.493704371288388</v>
      </c>
      <c r="I427" s="27">
        <f>Ft!F$3*EXP(Ft!F$38*($A427-Ft!F$2)^2)</f>
        <v>25.264803660038687</v>
      </c>
      <c r="J427" s="27">
        <f>Ft!G$3*EXP(Ft!G$38*($A427-Ft!G$2)^2)</f>
        <v>46.132431436341797</v>
      </c>
    </row>
    <row r="428" spans="1:10">
      <c r="A428" s="20">
        <v>426</v>
      </c>
      <c r="B428" s="29">
        <v>41.085308271360418</v>
      </c>
      <c r="C428" s="28">
        <f ca="1">OFFSET($B428,1*(ROWS(C$2:C428)-1),0)</f>
        <v>0</v>
      </c>
      <c r="D428" s="27">
        <f>Ft!B$3*EXP(Ft!B$38*($A428-Ft!B$2)^2) +Ft!C$3*EXP(Ft!C$38*($A428-Ft!C$2)^2) + Ft!D$3*EXP(Ft!D$38*($A428-Ft!D$2)^2)+Ft!E$3*EXP(Ft!E$38*($A428-Ft!E$2)^2) +Ft!F$3*EXP(Ft!F$38*($A428-Ft!F$2)^2) + Ft!G$3*EXP(Ft!G$38*($A428-Ft!G$2)^2)</f>
        <v>243.1307267920867</v>
      </c>
      <c r="E428" s="27">
        <f>Ft!B$3*EXP(Ft!B$38*($A428-Ft!B$2)^2)</f>
        <v>66.444180386242408</v>
      </c>
      <c r="F428" s="27">
        <f>Ft!C$3*EXP(Ft!C$38*($A428-Ft!C$2)^2)</f>
        <v>43.800680524545733</v>
      </c>
      <c r="G428" s="27">
        <f>Ft!D$3*EXP(Ft!D$38*($A428-Ft!D$2)^2)</f>
        <v>1.737216144377461</v>
      </c>
      <c r="H428" s="27">
        <f>Ft!E$3*EXP(Ft!E$38*($A428-Ft!E$2)^2)</f>
        <v>59.748093095169715</v>
      </c>
      <c r="I428" s="27">
        <f>Ft!F$3*EXP(Ft!F$38*($A428-Ft!F$2)^2)</f>
        <v>25.351674654356444</v>
      </c>
      <c r="J428" s="27">
        <f>Ft!G$3*EXP(Ft!G$38*($A428-Ft!G$2)^2)</f>
        <v>46.048881987394957</v>
      </c>
    </row>
    <row r="429" spans="1:10">
      <c r="A429" s="20">
        <v>427</v>
      </c>
      <c r="B429" s="29">
        <v>40.836381466522994</v>
      </c>
      <c r="C429" s="28">
        <f ca="1">OFFSET($B429,1*(ROWS(C$2:C429)-1),0)</f>
        <v>0</v>
      </c>
      <c r="D429" s="27">
        <f>Ft!B$3*EXP(Ft!B$38*($A429-Ft!B$2)^2) +Ft!C$3*EXP(Ft!C$38*($A429-Ft!C$2)^2) + Ft!D$3*EXP(Ft!D$38*($A429-Ft!D$2)^2)+Ft!E$3*EXP(Ft!E$38*($A429-Ft!E$2)^2) +Ft!F$3*EXP(Ft!F$38*($A429-Ft!F$2)^2) + Ft!G$3*EXP(Ft!G$38*($A429-Ft!G$2)^2)</f>
        <v>243.24823841977351</v>
      </c>
      <c r="E429" s="27">
        <f>Ft!B$3*EXP(Ft!B$38*($A429-Ft!B$2)^2)</f>
        <v>66.238958901568751</v>
      </c>
      <c r="F429" s="27">
        <f>Ft!C$3*EXP(Ft!C$38*($A429-Ft!C$2)^2)</f>
        <v>43.846726237950541</v>
      </c>
      <c r="G429" s="27">
        <f>Ft!D$3*EXP(Ft!D$38*($A429-Ft!D$2)^2)</f>
        <v>1.7568018213738099</v>
      </c>
      <c r="H429" s="27">
        <f>Ft!E$3*EXP(Ft!E$38*($A429-Ft!E$2)^2)</f>
        <v>60.002699791618298</v>
      </c>
      <c r="I429" s="27">
        <f>Ft!F$3*EXP(Ft!F$38*($A429-Ft!F$2)^2)</f>
        <v>25.438760587611917</v>
      </c>
      <c r="J429" s="27">
        <f>Ft!G$3*EXP(Ft!G$38*($A429-Ft!G$2)^2)</f>
        <v>45.964291079650231</v>
      </c>
    </row>
    <row r="430" spans="1:10">
      <c r="A430" s="20">
        <v>428</v>
      </c>
      <c r="B430" s="29">
        <v>40.572886352871137</v>
      </c>
      <c r="C430" s="28">
        <f ca="1">OFFSET($B430,1*(ROWS(C$2:C430)-1),0)</f>
        <v>0</v>
      </c>
      <c r="D430" s="27">
        <f>Ft!B$3*EXP(Ft!B$38*($A430-Ft!B$2)^2) +Ft!C$3*EXP(Ft!C$38*($A430-Ft!C$2)^2) + Ft!D$3*EXP(Ft!D$38*($A430-Ft!D$2)^2)+Ft!E$3*EXP(Ft!E$38*($A430-Ft!E$2)^2) +Ft!F$3*EXP(Ft!F$38*($A430-Ft!F$2)^2) + Ft!G$3*EXP(Ft!G$38*($A430-Ft!G$2)^2)</f>
        <v>243.36318390914701</v>
      </c>
      <c r="E430" s="27">
        <f>Ft!B$3*EXP(Ft!B$38*($A430-Ft!B$2)^2)</f>
        <v>66.034056175574278</v>
      </c>
      <c r="F430" s="27">
        <f>Ft!C$3*EXP(Ft!C$38*($A430-Ft!C$2)^2)</f>
        <v>43.892723400525519</v>
      </c>
      <c r="G430" s="27">
        <f>Ft!D$3*EXP(Ft!D$38*($A430-Ft!D$2)^2)</f>
        <v>1.7741597044074653</v>
      </c>
      <c r="H430" s="27">
        <f>Ft!E$3*EXP(Ft!E$38*($A430-Ft!E$2)^2)</f>
        <v>60.257517992588774</v>
      </c>
      <c r="I430" s="27">
        <f>Ft!F$3*EXP(Ft!F$38*($A430-Ft!F$2)^2)</f>
        <v>25.526061623681635</v>
      </c>
      <c r="J430" s="27">
        <f>Ft!G$3*EXP(Ft!G$38*($A430-Ft!G$2)^2)</f>
        <v>45.878665012369346</v>
      </c>
    </row>
    <row r="431" spans="1:10">
      <c r="A431" s="20">
        <v>429</v>
      </c>
      <c r="B431" s="29">
        <v>40.316399101854586</v>
      </c>
      <c r="C431" s="28">
        <f ca="1">OFFSET($B431,1*(ROWS(C$2:C431)-1),0)</f>
        <v>0</v>
      </c>
      <c r="D431" s="27">
        <f>Ft!B$3*EXP(Ft!B$38*($A431-Ft!B$2)^2) +Ft!C$3*EXP(Ft!C$38*($A431-Ft!C$2)^2) + Ft!D$3*EXP(Ft!D$38*($A431-Ft!D$2)^2)+Ft!E$3*EXP(Ft!E$38*($A431-Ft!E$2)^2) +Ft!F$3*EXP(Ft!F$38*($A431-Ft!F$2)^2) + Ft!G$3*EXP(Ft!G$38*($A431-Ft!G$2)^2)</f>
        <v>243.4754939032353</v>
      </c>
      <c r="E431" s="27">
        <f>Ft!B$3*EXP(Ft!B$38*($A431-Ft!B$2)^2)</f>
        <v>65.829473174648953</v>
      </c>
      <c r="F431" s="27">
        <f>Ft!C$3*EXP(Ft!C$38*($A431-Ft!C$2)^2)</f>
        <v>43.938671758022075</v>
      </c>
      <c r="G431" s="27">
        <f>Ft!D$3*EXP(Ft!D$38*($A431-Ft!D$2)^2)</f>
        <v>1.7892196987131459</v>
      </c>
      <c r="H431" s="27">
        <f>Ft!E$3*EXP(Ft!E$38*($A431-Ft!E$2)^2)</f>
        <v>60.512541193303491</v>
      </c>
      <c r="I431" s="27">
        <f>Ft!F$3*EXP(Ft!F$38*($A431-Ft!F$2)^2)</f>
        <v>25.613577924876378</v>
      </c>
      <c r="J431" s="27">
        <f>Ft!G$3*EXP(Ft!G$38*($A431-Ft!G$2)^2)</f>
        <v>45.792010153671285</v>
      </c>
    </row>
    <row r="432" spans="1:10">
      <c r="A432" s="20">
        <v>430</v>
      </c>
      <c r="B432" s="29">
        <v>40.07334535779637</v>
      </c>
      <c r="C432" s="28">
        <f ca="1">OFFSET($B432,1*(ROWS(C$2:C432)-1),0)</f>
        <v>0</v>
      </c>
      <c r="D432" s="27">
        <f>Ft!B$3*EXP(Ft!B$38*($A432-Ft!B$2)^2) +Ft!C$3*EXP(Ft!C$38*($A432-Ft!C$2)^2) + Ft!D$3*EXP(Ft!D$38*($A432-Ft!D$2)^2)+Ft!E$3*EXP(Ft!E$38*($A432-Ft!E$2)^2) +Ft!F$3*EXP(Ft!F$38*($A432-Ft!F$2)^2) + Ft!G$3*EXP(Ft!G$38*($A432-Ft!G$2)^2)</f>
        <v>243.58510796763693</v>
      </c>
      <c r="E432" s="27">
        <f>Ft!B$3*EXP(Ft!B$38*($A432-Ft!B$2)^2)</f>
        <v>65.625210857621184</v>
      </c>
      <c r="F432" s="27">
        <f>Ft!C$3*EXP(Ft!C$38*($A432-Ft!C$2)^2)</f>
        <v>43.984571056248768</v>
      </c>
      <c r="G432" s="27">
        <f>Ft!D$3*EXP(Ft!D$38*($A432-Ft!D$2)^2)</f>
        <v>1.8019206096152511</v>
      </c>
      <c r="H432" s="27">
        <f>Ft!E$3*EXP(Ft!E$38*($A432-Ft!E$2)^2)</f>
        <v>60.767762852474434</v>
      </c>
      <c r="I432" s="27">
        <f>Ft!F$3*EXP(Ft!F$38*($A432-Ft!F$2)^2)</f>
        <v>25.701309651933673</v>
      </c>
      <c r="J432" s="27">
        <f>Ft!G$3*EXP(Ft!G$38*($A432-Ft!G$2)^2)</f>
        <v>45.704332939743601</v>
      </c>
    </row>
    <row r="433" spans="1:10">
      <c r="A433" s="20">
        <v>431</v>
      </c>
      <c r="B433" s="29">
        <v>39.82757339990502</v>
      </c>
      <c r="C433" s="28">
        <f ca="1">OFFSET($B433,1*(ROWS(C$2:C433)-1),0)</f>
        <v>0</v>
      </c>
      <c r="D433" s="27">
        <f>Ft!B$3*EXP(Ft!B$38*($A433-Ft!B$2)^2) +Ft!C$3*EXP(Ft!C$38*($A433-Ft!C$2)^2) + Ft!D$3*EXP(Ft!D$38*($A433-Ft!D$2)^2)+Ft!E$3*EXP(Ft!E$38*($A433-Ft!E$2)^2) +Ft!F$3*EXP(Ft!F$38*($A433-Ft!F$2)^2) + Ft!G$3*EXP(Ft!G$38*($A433-Ft!G$2)^2)</f>
        <v>243.69197500414199</v>
      </c>
      <c r="E433" s="27">
        <f>Ft!B$3*EXP(Ft!B$38*($A433-Ft!B$2)^2)</f>
        <v>65.42127017576307</v>
      </c>
      <c r="F433" s="27">
        <f>Ft!C$3*EXP(Ft!C$38*($A433-Ft!C$2)^2)</f>
        <v>44.030421041073616</v>
      </c>
      <c r="G433" s="27">
        <f>Ft!D$3*EXP(Ft!D$38*($A433-Ft!D$2)^2)</f>
        <v>1.8122105567197386</v>
      </c>
      <c r="H433" s="27">
        <f>Ft!E$3*EXP(Ft!E$38*($A433-Ft!E$2)^2)</f>
        <v>61.023176392528818</v>
      </c>
      <c r="I433" s="27">
        <f>Ft!F$3*EXP(Ft!F$38*($A433-Ft!F$2)^2)</f>
        <v>25.789256964010338</v>
      </c>
      <c r="J433" s="27">
        <f>Ft!G$3*EXP(Ft!G$38*($A433-Ft!G$2)^2)</f>
        <v>45.615639874046423</v>
      </c>
    </row>
    <row r="434" spans="1:10">
      <c r="A434" s="20">
        <v>432</v>
      </c>
      <c r="B434" s="29">
        <v>39.567849215907785</v>
      </c>
      <c r="C434" s="28">
        <f ca="1">OFFSET($B434,1*(ROWS(C$2:C434)-1),0)</f>
        <v>0</v>
      </c>
      <c r="D434" s="27">
        <f>Ft!B$3*EXP(Ft!B$38*($A434-Ft!B$2)^2) +Ft!C$3*EXP(Ft!C$38*($A434-Ft!C$2)^2) + Ft!D$3*EXP(Ft!D$38*($A434-Ft!D$2)^2)+Ft!E$3*EXP(Ft!E$38*($A434-Ft!E$2)^2) +Ft!F$3*EXP(Ft!F$38*($A434-Ft!F$2)^2) + Ft!G$3*EXP(Ft!G$38*($A434-Ft!G$2)^2)</f>
        <v>243.79605360317692</v>
      </c>
      <c r="E434" s="27">
        <f>Ft!B$3*EXP(Ft!B$38*($A434-Ft!B$2)^2)</f>
        <v>65.217652072795673</v>
      </c>
      <c r="F434" s="27">
        <f>Ft!C$3*EXP(Ft!C$38*($A434-Ft!C$2)^2)</f>
        <v>44.076221458426417</v>
      </c>
      <c r="G434" s="27">
        <f>Ft!D$3*EXP(Ft!D$38*($A434-Ft!D$2)^2)</f>
        <v>1.8200473269324782</v>
      </c>
      <c r="H434" s="27">
        <f>Ft!E$3*EXP(Ft!E$38*($A434-Ft!E$2)^2)</f>
        <v>61.278775199838194</v>
      </c>
      <c r="I434" s="27">
        <f>Ft!F$3*EXP(Ft!F$38*($A434-Ft!F$2)^2)</f>
        <v>25.877420018674876</v>
      </c>
      <c r="J434" s="27">
        <f>Ft!G$3*EXP(Ft!G$38*($A434-Ft!G$2)^2)</f>
        <v>45.525937526509267</v>
      </c>
    </row>
    <row r="435" spans="1:10">
      <c r="A435" s="20">
        <v>433</v>
      </c>
      <c r="B435" s="29">
        <v>39.303557491944673</v>
      </c>
      <c r="C435" s="28">
        <f ca="1">OFFSET($B435,1*(ROWS(C$2:C435)-1),0)</f>
        <v>0</v>
      </c>
      <c r="D435" s="27">
        <f>Ft!B$3*EXP(Ft!B$38*($A435-Ft!B$2)^2) +Ft!C$3*EXP(Ft!C$38*($A435-Ft!C$2)^2) + Ft!D$3*EXP(Ft!D$38*($A435-Ft!D$2)^2)+Ft!E$3*EXP(Ft!E$38*($A435-Ft!E$2)^2) +Ft!F$3*EXP(Ft!F$38*($A435-Ft!F$2)^2) + Ft!G$3*EXP(Ft!G$38*($A435-Ft!G$2)^2)</f>
        <v>243.89731233171037</v>
      </c>
      <c r="E435" s="27">
        <f>Ft!B$3*EXP(Ft!B$38*($A435-Ft!B$2)^2)</f>
        <v>65.014357484894461</v>
      </c>
      <c r="F435" s="27">
        <f>Ft!C$3*EXP(Ft!C$38*($A435-Ft!C$2)^2)</f>
        <v>44.121972054301047</v>
      </c>
      <c r="G435" s="27">
        <f>Ft!D$3*EXP(Ft!D$38*($A435-Ft!D$2)^2)</f>
        <v>1.8253986629428749</v>
      </c>
      <c r="H435" s="27">
        <f>Ft!E$3*EXP(Ft!E$38*($A435-Ft!E$2)^2)</f>
        <v>61.534552624951175</v>
      </c>
      <c r="I435" s="27">
        <f>Ft!F$3*EXP(Ft!F$38*($A435-Ft!F$2)^2)</f>
        <v>25.965798971900018</v>
      </c>
      <c r="J435" s="27">
        <f>Ft!G$3*EXP(Ft!G$38*($A435-Ft!G$2)^2)</f>
        <v>45.435232532720782</v>
      </c>
    </row>
    <row r="436" spans="1:10">
      <c r="A436" s="20">
        <v>434</v>
      </c>
      <c r="B436" s="29">
        <v>39.089556002880272</v>
      </c>
      <c r="C436" s="28">
        <f ca="1">OFFSET($B436,1*(ROWS(C$2:C436)-1),0)</f>
        <v>0</v>
      </c>
      <c r="D436" s="27">
        <f>Ft!B$3*EXP(Ft!B$38*($A436-Ft!B$2)^2) +Ft!C$3*EXP(Ft!C$38*($A436-Ft!C$2)^2) + Ft!D$3*EXP(Ft!D$38*($A436-Ft!D$2)^2)+Ft!E$3*EXP(Ft!E$38*($A436-Ft!E$2)^2) +Ft!F$3*EXP(Ft!F$38*($A436-Ft!F$2)^2) + Ft!G$3*EXP(Ft!G$38*($A436-Ft!G$2)^2)</f>
        <v>243.99572995386342</v>
      </c>
      <c r="E436" s="27">
        <f>Ft!B$3*EXP(Ft!B$38*($A436-Ft!B$2)^2)</f>
        <v>64.811387340695106</v>
      </c>
      <c r="F436" s="27">
        <f>Ft!C$3*EXP(Ft!C$38*($A436-Ft!C$2)^2)</f>
        <v>44.167672574757788</v>
      </c>
      <c r="G436" s="27">
        <f>Ft!D$3*EXP(Ft!D$38*($A436-Ft!D$2)^2)</f>
        <v>1.8282424844139942</v>
      </c>
      <c r="H436" s="27">
        <f>Ft!E$3*EXP(Ft!E$38*($A436-Ft!E$2)^2)</f>
        <v>61.79050198282976</v>
      </c>
      <c r="I436" s="27">
        <f>Ft!F$3*EXP(Ft!F$38*($A436-Ft!F$2)^2)</f>
        <v>26.054393978055231</v>
      </c>
      <c r="J436" s="27">
        <f>Ft!G$3*EXP(Ft!G$38*($A436-Ft!G$2)^2)</f>
        <v>45.34353159311155</v>
      </c>
    </row>
    <row r="437" spans="1:10">
      <c r="A437" s="20">
        <v>435</v>
      </c>
      <c r="B437" s="29">
        <v>38.899292042612444</v>
      </c>
      <c r="C437" s="28">
        <f ca="1">OFFSET($B437,1*(ROWS(C$2:C437)-1),0)</f>
        <v>0</v>
      </c>
      <c r="D437" s="27">
        <f>Ft!B$3*EXP(Ft!B$38*($A437-Ft!B$2)^2) +Ft!C$3*EXP(Ft!C$38*($A437-Ft!C$2)^2) + Ft!D$3*EXP(Ft!D$38*($A437-Ft!D$2)^2)+Ft!E$3*EXP(Ft!E$38*($A437-Ft!E$2)^2) +Ft!F$3*EXP(Ft!F$38*($A437-Ft!F$2)^2) + Ft!G$3*EXP(Ft!G$38*($A437-Ft!G$2)^2)</f>
        <v>244.09129558209992</v>
      </c>
      <c r="E437" s="27">
        <f>Ft!B$3*EXP(Ft!B$38*($A437-Ft!B$2)^2)</f>
        <v>64.608742561299096</v>
      </c>
      <c r="F437" s="27">
        <f>Ft!C$3*EXP(Ft!C$38*($A437-Ft!C$2)^2)</f>
        <v>44.213322765925604</v>
      </c>
      <c r="G437" s="27">
        <f>Ft!D$3*EXP(Ft!D$38*($A437-Ft!D$2)^2)</f>
        <v>1.8285670397567844</v>
      </c>
      <c r="H437" s="27">
        <f>Ft!E$3*EXP(Ft!E$38*($A437-Ft!E$2)^2)</f>
        <v>62.046616553089187</v>
      </c>
      <c r="I437" s="27">
        <f>Ft!F$3*EXP(Ft!F$38*($A437-Ft!F$2)^2)</f>
        <v>26.143205189899131</v>
      </c>
      <c r="J437" s="27">
        <f>Ft!G$3*EXP(Ft!G$38*($A437-Ft!G$2)^2)</f>
        <v>45.250841472130112</v>
      </c>
    </row>
    <row r="438" spans="1:10">
      <c r="A438" s="20">
        <v>436</v>
      </c>
      <c r="B438" s="29">
        <v>38.691684827276561</v>
      </c>
      <c r="C438" s="28">
        <f ca="1">OFFSET($B438,1*(ROWS(C$2:C438)-1),0)</f>
        <v>0</v>
      </c>
      <c r="D438" s="27">
        <f>Ft!B$3*EXP(Ft!B$38*($A438-Ft!B$2)^2) +Ft!C$3*EXP(Ft!C$38*($A438-Ft!C$2)^2) + Ft!D$3*EXP(Ft!D$38*($A438-Ft!D$2)^2)+Ft!E$3*EXP(Ft!E$38*($A438-Ft!E$2)^2) +Ft!F$3*EXP(Ft!F$38*($A438-Ft!F$2)^2) + Ft!G$3*EXP(Ft!G$38*($A438-Ft!G$2)^2)</f>
        <v>244.18400875753866</v>
      </c>
      <c r="E438" s="27">
        <f>Ft!B$3*EXP(Ft!B$38*($A438-Ft!B$2)^2)</f>
        <v>64.406424060279903</v>
      </c>
      <c r="F438" s="27">
        <f>Ft!C$3*EXP(Ft!C$38*($A438-Ft!C$2)^2)</f>
        <v>44.258922374004506</v>
      </c>
      <c r="G438" s="27">
        <f>Ft!D$3*EXP(Ft!D$38*($A438-Ft!D$2)^2)</f>
        <v>1.8263709870285081</v>
      </c>
      <c r="H438" s="27">
        <f>Ft!E$3*EXP(Ft!E$38*($A438-Ft!E$2)^2)</f>
        <v>62.30288958024137</v>
      </c>
      <c r="I438" s="27">
        <f>Ft!F$3*EXP(Ft!F$38*($A438-Ft!F$2)^2)</f>
        <v>26.232232758572049</v>
      </c>
      <c r="J438" s="27">
        <f>Ft!G$3*EXP(Ft!G$38*($A438-Ft!G$2)^2)</f>
        <v>45.157168997412334</v>
      </c>
    </row>
    <row r="439" spans="1:10">
      <c r="A439" s="20">
        <v>437</v>
      </c>
      <c r="B439" s="29">
        <v>38.484925513796242</v>
      </c>
      <c r="C439" s="28">
        <f ca="1">OFFSET($B439,1*(ROWS(C$2:C439)-1),0)</f>
        <v>0</v>
      </c>
      <c r="D439" s="27">
        <f>Ft!B$3*EXP(Ft!B$38*($A439-Ft!B$2)^2) +Ft!C$3*EXP(Ft!C$38*($A439-Ft!C$2)^2) + Ft!D$3*EXP(Ft!D$38*($A439-Ft!D$2)^2)+Ft!E$3*EXP(Ft!E$38*($A439-Ft!E$2)^2) +Ft!F$3*EXP(Ft!F$38*($A439-Ft!F$2)^2) + Ft!G$3*EXP(Ft!G$38*($A439-Ft!G$2)^2)</f>
        <v>244.2738794586075</v>
      </c>
      <c r="E439" s="27">
        <f>Ft!B$3*EXP(Ft!B$38*($A439-Ft!B$2)^2)</f>
        <v>64.204432743688884</v>
      </c>
      <c r="F439" s="27">
        <f>Ft!C$3*EXP(Ft!C$38*($A439-Ft!C$2)^2)</f>
        <v>44.304471145267819</v>
      </c>
      <c r="G439" s="27">
        <f>Ft!D$3*EXP(Ft!D$38*($A439-Ft!D$2)^2)</f>
        <v>1.8216634031760697</v>
      </c>
      <c r="H439" s="27">
        <f>Ft!E$3*EXP(Ft!E$38*($A439-Ft!E$2)^2)</f>
        <v>62.559314273941951</v>
      </c>
      <c r="I439" s="27">
        <f>Ft!F$3*EXP(Ft!F$38*($A439-Ft!F$2)^2)</f>
        <v>26.321476833588477</v>
      </c>
      <c r="J439" s="27">
        <f>Ft!G$3*EXP(Ft!G$38*($A439-Ft!G$2)^2)</f>
        <v>45.062521058944291</v>
      </c>
    </row>
    <row r="440" spans="1:10">
      <c r="A440" s="20">
        <v>438</v>
      </c>
      <c r="B440" s="29">
        <v>38.298910082573002</v>
      </c>
      <c r="C440" s="28">
        <f ca="1">OFFSET($B440,1*(ROWS(C$2:C440)-1),0)</f>
        <v>0</v>
      </c>
      <c r="D440" s="27">
        <f>Ft!B$3*EXP(Ft!B$38*($A440-Ft!B$2)^2) +Ft!C$3*EXP(Ft!C$38*($A440-Ft!C$2)^2) + Ft!D$3*EXP(Ft!D$38*($A440-Ft!D$2)^2)+Ft!E$3*EXP(Ft!E$38*($A440-Ft!E$2)^2) +Ft!F$3*EXP(Ft!F$38*($A440-Ft!F$2)^2) + Ft!G$3*EXP(Ft!G$38*($A440-Ft!G$2)^2)</f>
        <v>244.36092803795054</v>
      </c>
      <c r="E440" s="27">
        <f>Ft!B$3*EXP(Ft!B$38*($A440-Ft!B$2)^2)</f>
        <v>64.002769510061754</v>
      </c>
      <c r="F440" s="27">
        <f>Ft!C$3*EXP(Ft!C$38*($A440-Ft!C$2)^2)</f>
        <v>44.349968826064561</v>
      </c>
      <c r="G440" s="27">
        <f>Ft!D$3*EXP(Ft!D$38*($A440-Ft!D$2)^2)</f>
        <v>1.8144637215351485</v>
      </c>
      <c r="H440" s="27">
        <f>Ft!E$3*EXP(Ft!E$38*($A440-Ft!E$2)^2)</f>
        <v>62.815883809240752</v>
      </c>
      <c r="I440" s="27">
        <f>Ft!F$3*EXP(Ft!F$38*($A440-Ft!F$2)^2)</f>
        <v>26.410937562829545</v>
      </c>
      <c r="J440" s="27">
        <f>Ft!G$3*EXP(Ft!G$38*($A440-Ft!G$2)^2)</f>
        <v>44.966904608218798</v>
      </c>
    </row>
    <row r="441" spans="1:10">
      <c r="A441" s="20">
        <v>439</v>
      </c>
      <c r="B441" s="29">
        <v>38.085836049303254</v>
      </c>
      <c r="C441" s="28">
        <f ca="1">OFFSET($B441,1*(ROWS(C$2:C441)-1),0)</f>
        <v>0</v>
      </c>
      <c r="D441" s="27">
        <f>Ft!B$3*EXP(Ft!B$38*($A441-Ft!B$2)^2) +Ft!C$3*EXP(Ft!C$38*($A441-Ft!C$2)^2) + Ft!D$3*EXP(Ft!D$38*($A441-Ft!D$2)^2)+Ft!E$3*EXP(Ft!E$38*($A441-Ft!E$2)^2) +Ft!F$3*EXP(Ft!F$38*($A441-Ft!F$2)^2) + Ft!G$3*EXP(Ft!G$38*($A441-Ft!G$2)^2)</f>
        <v>244.44518508819127</v>
      </c>
      <c r="E441" s="27">
        <f>Ft!B$3*EXP(Ft!B$38*($A441-Ft!B$2)^2)</f>
        <v>63.801435250424959</v>
      </c>
      <c r="F441" s="27">
        <f>Ft!C$3*EXP(Ft!C$38*($A441-Ft!C$2)^2)</f>
        <v>44.395415162821685</v>
      </c>
      <c r="G441" s="27">
        <f>Ft!D$3*EXP(Ft!D$38*($A441-Ft!D$2)^2)</f>
        <v>1.8048015981873566</v>
      </c>
      <c r="H441" s="27">
        <f>Ft!E$3*EXP(Ft!E$38*($A441-Ft!E$2)^2)</f>
        <v>63.072591326836012</v>
      </c>
      <c r="I441" s="27">
        <f>Ft!F$3*EXP(Ft!F$38*($A441-Ft!F$2)^2)</f>
        <v>26.500615092535579</v>
      </c>
      <c r="J441" s="27">
        <f>Ft!G$3*EXP(Ft!G$38*($A441-Ft!G$2)^2)</f>
        <v>44.870326657385682</v>
      </c>
    </row>
    <row r="442" spans="1:10">
      <c r="A442" s="20">
        <v>440</v>
      </c>
      <c r="B442" s="29">
        <v>37.875318610909375</v>
      </c>
      <c r="C442" s="28">
        <f ca="1">OFFSET($B442,1*(ROWS(C$2:C442)-1),0)</f>
        <v>0</v>
      </c>
      <c r="D442" s="27">
        <f>Ft!B$3*EXP(Ft!B$38*($A442-Ft!B$2)^2) +Ft!C$3*EXP(Ft!C$38*($A442-Ft!C$2)^2) + Ft!D$3*EXP(Ft!D$38*($A442-Ft!D$2)^2)+Ft!E$3*EXP(Ft!E$38*($A442-Ft!E$2)^2) +Ft!F$3*EXP(Ft!F$38*($A442-Ft!F$2)^2) + Ft!G$3*EXP(Ft!G$38*($A442-Ft!G$2)^2)</f>
        <v>244.52669123783676</v>
      </c>
      <c r="E442" s="27">
        <f>Ft!B$3*EXP(Ft!B$38*($A442-Ft!B$2)^2)</f>
        <v>63.600430848302302</v>
      </c>
      <c r="F442" s="27">
        <f>Ft!C$3*EXP(Ft!C$38*($A442-Ft!C$2)^2)</f>
        <v>44.440809902046489</v>
      </c>
      <c r="G442" s="27">
        <f>Ft!D$3*EXP(Ft!D$38*($A442-Ft!D$2)^2)</f>
        <v>1.7927167084615265</v>
      </c>
      <c r="H442" s="27">
        <f>Ft!E$3*EXP(Ft!E$38*($A442-Ft!E$2)^2)</f>
        <v>63.329429933331873</v>
      </c>
      <c r="I442" s="27">
        <f>Ft!F$3*EXP(Ft!F$38*($A442-Ft!F$2)^2)</f>
        <v>26.590509567298525</v>
      </c>
      <c r="J442" s="27">
        <f>Ft!G$3*EXP(Ft!G$38*($A442-Ft!G$2)^2)</f>
        <v>44.772794278396013</v>
      </c>
    </row>
    <row r="443" spans="1:10">
      <c r="A443" s="20">
        <v>441</v>
      </c>
      <c r="B443" s="29">
        <v>37.654357924567137</v>
      </c>
      <c r="C443" s="28">
        <f ca="1">OFFSET($B443,1*(ROWS(C$2:C443)-1),0)</f>
        <v>0</v>
      </c>
      <c r="D443" s="27">
        <f>Ft!B$3*EXP(Ft!B$38*($A443-Ft!B$2)^2) +Ft!C$3*EXP(Ft!C$38*($A443-Ft!C$2)^2) + Ft!D$3*EXP(Ft!D$38*($A443-Ft!D$2)^2)+Ft!E$3*EXP(Ft!E$38*($A443-Ft!E$2)^2) +Ft!F$3*EXP(Ft!F$38*($A443-Ft!F$2)^2) + Ft!G$3*EXP(Ft!G$38*($A443-Ft!G$2)^2)</f>
        <v>244.60549687927835</v>
      </c>
      <c r="E443" s="27">
        <f>Ft!B$3*EXP(Ft!B$38*($A443-Ft!B$2)^2)</f>
        <v>63.399757179721689</v>
      </c>
      <c r="F443" s="27">
        <f>Ft!C$3*EXP(Ft!C$38*($A443-Ft!C$2)^2)</f>
        <v>44.486152790328866</v>
      </c>
      <c r="G443" s="27">
        <f>Ft!D$3*EXP(Ft!D$38*($A443-Ft!D$2)^2)</f>
        <v>1.7782584755331687</v>
      </c>
      <c r="H443" s="27">
        <f>Ft!E$3*EXP(Ft!E$38*($A443-Ft!E$2)^2)</f>
        <v>63.586392701499705</v>
      </c>
      <c r="I443" s="27">
        <f>Ft!F$3*EXP(Ft!F$38*($A443-Ft!F$2)^2)</f>
        <v>26.680621130054465</v>
      </c>
      <c r="J443" s="27">
        <f>Ft!G$3*EXP(Ft!G$38*($A443-Ft!G$2)^2)</f>
        <v>44.674314602140427</v>
      </c>
    </row>
    <row r="444" spans="1:10">
      <c r="A444" s="20">
        <v>442</v>
      </c>
      <c r="B444" s="29">
        <v>37.433789607017843</v>
      </c>
      <c r="C444" s="28">
        <f ca="1">OFFSET($B444,1*(ROWS(C$2:C444)-1),0)</f>
        <v>0</v>
      </c>
      <c r="D444" s="27">
        <f>Ft!B$3*EXP(Ft!B$38*($A444-Ft!B$2)^2) +Ft!C$3*EXP(Ft!C$38*($A444-Ft!C$2)^2) + Ft!D$3*EXP(Ft!D$38*($A444-Ft!D$2)^2)+Ft!E$3*EXP(Ft!E$38*($A444-Ft!E$2)^2) +Ft!F$3*EXP(Ft!F$38*($A444-Ft!F$2)^2) + Ft!G$3*EXP(Ft!G$38*($A444-Ft!G$2)^2)</f>
        <v>244.68166183148622</v>
      </c>
      <c r="E444" s="27">
        <f>Ft!B$3*EXP(Ft!B$38*($A444-Ft!B$2)^2)</f>
        <v>63.199415113222045</v>
      </c>
      <c r="F444" s="27">
        <f>Ft!C$3*EXP(Ft!C$38*($A444-Ft!C$2)^2)</f>
        <v>44.531443574343669</v>
      </c>
      <c r="G444" s="27">
        <f>Ft!D$3*EXP(Ft!D$38*($A444-Ft!D$2)^2)</f>
        <v>1.7614857337200112</v>
      </c>
      <c r="H444" s="27">
        <f>Ft!E$3*EXP(Ft!E$38*($A444-Ft!E$2)^2)</f>
        <v>63.843472670542667</v>
      </c>
      <c r="I444" s="27">
        <f>Ft!F$3*EXP(Ft!F$38*($A444-Ft!F$2)^2)</f>
        <v>26.770949922076159</v>
      </c>
      <c r="J444" s="27">
        <f>Ft!G$3*EXP(Ft!G$38*($A444-Ft!G$2)^2)</f>
        <v>44.574894817581665</v>
      </c>
    </row>
    <row r="445" spans="1:10">
      <c r="A445" s="20">
        <v>443</v>
      </c>
      <c r="B445" s="29">
        <v>37.208061937231861</v>
      </c>
      <c r="C445" s="28">
        <f ca="1">OFFSET($B445,1*(ROWS(C$2:C445)-1),0)</f>
        <v>0</v>
      </c>
      <c r="D445" s="27">
        <f>Ft!B$3*EXP(Ft!B$38*($A445-Ft!B$2)^2) +Ft!C$3*EXP(Ft!C$38*($A445-Ft!C$2)^2) + Ft!D$3*EXP(Ft!D$38*($A445-Ft!D$2)^2)+Ft!E$3*EXP(Ft!E$38*($A445-Ft!E$2)^2) +Ft!F$3*EXP(Ft!F$38*($A445-Ft!F$2)^2) + Ft!G$3*EXP(Ft!G$38*($A445-Ft!G$2)^2)</f>
        <v>244.75525494060776</v>
      </c>
      <c r="E445" s="27">
        <f>Ft!B$3*EXP(Ft!B$38*($A445-Ft!B$2)^2)</f>
        <v>62.999405509860402</v>
      </c>
      <c r="F445" s="27">
        <f>Ft!C$3*EXP(Ft!C$38*($A445-Ft!C$2)^2)</f>
        <v>44.576682000853019</v>
      </c>
      <c r="G445" s="27">
        <f>Ft!D$3*EXP(Ft!D$38*($A445-Ft!D$2)^2)</f>
        <v>1.7424663296833991</v>
      </c>
      <c r="H445" s="27">
        <f>Ft!E$3*EXP(Ft!E$38*($A445-Ft!E$2)^2)</f>
        <v>64.100662846364017</v>
      </c>
      <c r="I445" s="27">
        <f>Ft!F$3*EXP(Ft!F$38*($A445-Ft!F$2)^2)</f>
        <v>26.861496082965481</v>
      </c>
      <c r="J445" s="27">
        <f>Ft!G$3*EXP(Ft!G$38*($A445-Ft!G$2)^2)</f>
        <v>44.474542170881442</v>
      </c>
    </row>
    <row r="446" spans="1:10">
      <c r="A446" s="20">
        <v>444</v>
      </c>
      <c r="B446" s="29">
        <v>36.952033647619999</v>
      </c>
      <c r="C446" s="28">
        <f ca="1">OFFSET($B446,1*(ROWS(C$2:C446)-1),0)</f>
        <v>0</v>
      </c>
      <c r="D446" s="27">
        <f>Ft!B$3*EXP(Ft!B$38*($A446-Ft!B$2)^2) +Ft!C$3*EXP(Ft!C$38*($A446-Ft!C$2)^2) + Ft!D$3*EXP(Ft!D$38*($A446-Ft!D$2)^2)+Ft!E$3*EXP(Ft!E$38*($A446-Ft!E$2)^2) +Ft!F$3*EXP(Ft!F$38*($A446-Ft!F$2)^2) + Ft!G$3*EXP(Ft!G$38*($A446-Ft!G$2)^2)</f>
        <v>244.82635362225227</v>
      </c>
      <c r="E446" s="27">
        <f>Ft!B$3*EXP(Ft!B$38*($A446-Ft!B$2)^2)</f>
        <v>62.799729223219167</v>
      </c>
      <c r="F446" s="27">
        <f>Ft!C$3*EXP(Ft!C$38*($A446-Ft!C$2)^2)</f>
        <v>44.621867816708651</v>
      </c>
      <c r="G446" s="27">
        <f>Ft!D$3*EXP(Ft!D$38*($A446-Ft!D$2)^2)</f>
        <v>1.721276665317919</v>
      </c>
      <c r="H446" s="27">
        <f>Ft!E$3*EXP(Ft!E$38*($A446-Ft!E$2)^2)</f>
        <v>64.357956201838732</v>
      </c>
      <c r="I446" s="27">
        <f>Ft!F$3*EXP(Ft!F$38*($A446-Ft!F$2)^2)</f>
        <v>26.952259750645922</v>
      </c>
      <c r="J446" s="27">
        <f>Ft!G$3*EXP(Ft!G$38*($A446-Ft!G$2)^2)</f>
        <v>44.373263964521868</v>
      </c>
    </row>
    <row r="447" spans="1:10">
      <c r="A447" s="20">
        <v>445</v>
      </c>
      <c r="B447" s="29">
        <v>36.70489862613266</v>
      </c>
      <c r="C447" s="28">
        <f ca="1">OFFSET($B447,1*(ROWS(C$2:C447)-1),0)</f>
        <v>0</v>
      </c>
      <c r="D447" s="27">
        <f>Ft!B$3*EXP(Ft!B$38*($A447-Ft!B$2)^2) +Ft!C$3*EXP(Ft!C$38*($A447-Ft!C$2)^2) + Ft!D$3*EXP(Ft!D$38*($A447-Ft!D$2)^2)+Ft!E$3*EXP(Ft!E$38*($A447-Ft!E$2)^2) +Ft!F$3*EXP(Ft!F$38*($A447-Ft!F$2)^2) + Ft!G$3*EXP(Ft!G$38*($A447-Ft!G$2)^2)</f>
        <v>244.8950433497713</v>
      </c>
      <c r="E447" s="27">
        <f>Ft!B$3*EXP(Ft!B$38*($A447-Ft!B$2)^2)</f>
        <v>62.600387099413467</v>
      </c>
      <c r="F447" s="27">
        <f>Ft!C$3*EXP(Ft!C$38*($A447-Ft!C$2)^2)</f>
        <v>44.667000768854216</v>
      </c>
      <c r="G447" s="27">
        <f>Ft!D$3*EXP(Ft!D$38*($A447-Ft!D$2)^2)</f>
        <v>1.6980011866380715</v>
      </c>
      <c r="H447" s="27">
        <f>Ft!E$3*EXP(Ft!E$38*($A447-Ft!E$2)^2)</f>
        <v>64.615345677088797</v>
      </c>
      <c r="I447" s="27">
        <f>Ft!F$3*EXP(Ft!F$38*($A447-Ft!F$2)^2)</f>
        <v>27.043241061355182</v>
      </c>
      <c r="J447" s="27">
        <f>Ft!G$3*EXP(Ft!G$38*($A447-Ft!G$2)^2)</f>
        <v>44.271067556421563</v>
      </c>
    </row>
    <row r="448" spans="1:10">
      <c r="A448" s="20">
        <v>446</v>
      </c>
      <c r="B448" s="29">
        <v>36.457009445204164</v>
      </c>
      <c r="C448" s="28">
        <f ca="1">OFFSET($B448,1*(ROWS(C$2:C448)-1),0)</f>
        <v>0</v>
      </c>
      <c r="D448" s="27">
        <f>Ft!B$3*EXP(Ft!B$38*($A448-Ft!B$2)^2) +Ft!C$3*EXP(Ft!C$38*($A448-Ft!C$2)^2) + Ft!D$3*EXP(Ft!D$38*($A448-Ft!D$2)^2)+Ft!E$3*EXP(Ft!E$38*($A448-Ft!E$2)^2) +Ft!F$3*EXP(Ft!F$38*($A448-Ft!F$2)^2) + Ft!G$3*EXP(Ft!G$38*($A448-Ft!G$2)^2)</f>
        <v>244.96141709331738</v>
      </c>
      <c r="E448" s="27">
        <f>Ft!B$3*EXP(Ft!B$38*($A448-Ft!B$2)^2)</f>
        <v>62.401379977098692</v>
      </c>
      <c r="F448" s="27">
        <f>Ft!C$3*EXP(Ft!C$38*($A448-Ft!C$2)^2)</f>
        <v>44.712080604327625</v>
      </c>
      <c r="G448" s="27">
        <f>Ft!D$3*EXP(Ft!D$38*($A448-Ft!D$2)^2)</f>
        <v>1.6727318234451041</v>
      </c>
      <c r="H448" s="27">
        <f>Ft!E$3*EXP(Ft!E$38*($A448-Ft!E$2)^2)</f>
        <v>64.872824179761849</v>
      </c>
      <c r="I448" s="27">
        <f>Ft!F$3*EXP(Ft!F$38*($A448-Ft!F$2)^2)</f>
        <v>27.134440149637559</v>
      </c>
      <c r="J448" s="27">
        <f>Ft!G$3*EXP(Ft!G$38*($A448-Ft!G$2)^2)</f>
        <v>44.167960359046546</v>
      </c>
    </row>
    <row r="449" spans="1:10">
      <c r="A449" s="20">
        <v>447</v>
      </c>
      <c r="B449" s="29">
        <v>36.209644163614371</v>
      </c>
      <c r="C449" s="28">
        <f ca="1">OFFSET($B449,1*(ROWS(C$2:C449)-1),0)</f>
        <v>0</v>
      </c>
      <c r="D449" s="27">
        <f>Ft!B$3*EXP(Ft!B$38*($A449-Ft!B$2)^2) +Ft!C$3*EXP(Ft!C$38*($A449-Ft!C$2)^2) + Ft!D$3*EXP(Ft!D$38*($A449-Ft!D$2)^2)+Ft!E$3*EXP(Ft!E$38*($A449-Ft!E$2)^2) +Ft!F$3*EXP(Ft!F$38*($A449-Ft!F$2)^2) + Ft!G$3*EXP(Ft!G$38*($A449-Ft!G$2)^2)</f>
        <v>245.02557471488146</v>
      </c>
      <c r="E449" s="27">
        <f>Ft!B$3*EXP(Ft!B$38*($A449-Ft!B$2)^2)</f>
        <v>62.202708687478207</v>
      </c>
      <c r="F449" s="27">
        <f>Ft!C$3*EXP(Ft!C$38*($A449-Ft!C$2)^2)</f>
        <v>44.757107070263409</v>
      </c>
      <c r="G449" s="27">
        <f>Ft!D$3*EXP(Ft!D$38*($A449-Ft!D$2)^2)</f>
        <v>1.6455673849738979</v>
      </c>
      <c r="H449" s="27">
        <f>Ft!E$3*EXP(Ft!E$38*($A449-Ft!E$2)^2)</f>
        <v>65.130384585313323</v>
      </c>
      <c r="I449" s="27">
        <f>Ft!F$3*EXP(Ft!F$38*($A449-Ft!F$2)^2)</f>
        <v>27.225857148336527</v>
      </c>
      <c r="J449" s="27">
        <f>Ft!G$3*EXP(Ft!G$38*($A449-Ft!G$2)^2)</f>
        <v>44.063949838516095</v>
      </c>
    </row>
    <row r="450" spans="1:10">
      <c r="A450" s="20">
        <v>448</v>
      </c>
      <c r="B450" s="29">
        <v>35.958586007026895</v>
      </c>
      <c r="C450" s="28">
        <f ca="1">OFFSET($B450,1*(ROWS(C$2:C450)-1),0)</f>
        <v>0</v>
      </c>
      <c r="D450" s="27">
        <f>Ft!B$3*EXP(Ft!B$38*($A450-Ft!B$2)^2) +Ft!C$3*EXP(Ft!C$38*($A450-Ft!C$2)^2) + Ft!D$3*EXP(Ft!D$38*($A450-Ft!D$2)^2)+Ft!E$3*EXP(Ft!E$38*($A450-Ft!E$2)^2) +Ft!F$3*EXP(Ft!F$38*($A450-Ft!F$2)^2) + Ft!G$3*EXP(Ft!G$38*($A450-Ft!G$2)^2)</f>
        <v>245.08762232486396</v>
      </c>
      <c r="E450" s="27">
        <f>Ft!B$3*EXP(Ft!B$38*($A450-Ft!B$2)^2)</f>
        <v>62.004374054311221</v>
      </c>
      <c r="F450" s="27">
        <f>Ft!C$3*EXP(Ft!C$38*($A450-Ft!C$2)^2)</f>
        <v>44.802079913894993</v>
      </c>
      <c r="G450" s="27">
        <f>Ft!D$3*EXP(Ft!D$38*($A450-Ft!D$2)^2)</f>
        <v>1.6166129170746064</v>
      </c>
      <c r="H450" s="27">
        <f>Ft!E$3*EXP(Ft!E$38*($A450-Ft!E$2)^2)</f>
        <v>65.388019737292154</v>
      </c>
      <c r="I450" s="27">
        <f>Ft!F$3*EXP(Ft!F$38*($A450-Ft!F$2)^2)</f>
        <v>27.317492188587241</v>
      </c>
      <c r="J450" s="27">
        <f>Ft!G$3*EXP(Ft!G$38*($A450-Ft!G$2)^2)</f>
        <v>43.959043513703733</v>
      </c>
    </row>
    <row r="451" spans="1:10">
      <c r="A451" s="20">
        <v>449</v>
      </c>
      <c r="B451" s="29">
        <v>35.688521595447867</v>
      </c>
      <c r="C451" s="28">
        <f ca="1">OFFSET($B451,1*(ROWS(C$2:C451)-1),0)</f>
        <v>0</v>
      </c>
      <c r="D451" s="27">
        <f>Ft!B$3*EXP(Ft!B$38*($A451-Ft!B$2)^2) +Ft!C$3*EXP(Ft!C$38*($A451-Ft!C$2)^2) + Ft!D$3*EXP(Ft!D$38*($A451-Ft!D$2)^2)+Ft!E$3*EXP(Ft!E$38*($A451-Ft!E$2)^2) +Ft!F$3*EXP(Ft!F$38*($A451-Ft!F$2)^2) + Ft!G$3*EXP(Ft!G$38*($A451-Ft!G$2)^2)</f>
        <v>245.14767160602321</v>
      </c>
      <c r="E451" s="27">
        <f>Ft!B$3*EXP(Ft!B$38*($A451-Ft!B$2)^2)</f>
        <v>61.80637689392077</v>
      </c>
      <c r="F451" s="27">
        <f>Ft!C$3*EXP(Ft!C$38*($A451-Ft!C$2)^2)</f>
        <v>44.846998882557081</v>
      </c>
      <c r="G451" s="27">
        <f>Ft!D$3*EXP(Ft!D$38*($A451-Ft!D$2)^2)</f>
        <v>1.5859790267729932</v>
      </c>
      <c r="H451" s="27">
        <f>Ft!E$3*EXP(Ft!E$38*($A451-Ft!E$2)^2)</f>
        <v>65.645722447629808</v>
      </c>
      <c r="I451" s="27">
        <f>Ft!F$3*EXP(Ft!F$38*($A451-Ft!F$2)^2)</f>
        <v>27.409345399809048</v>
      </c>
      <c r="J451" s="27">
        <f>Ft!G$3*EXP(Ft!G$38*($A451-Ft!G$2)^2)</f>
        <v>43.853248955333513</v>
      </c>
    </row>
    <row r="452" spans="1:10">
      <c r="A452" s="20">
        <v>450</v>
      </c>
      <c r="B452" s="29">
        <v>35.429958249440546</v>
      </c>
      <c r="C452" s="28">
        <f ca="1">OFFSET($B452,1*(ROWS(C$2:C452)-1),0)</f>
        <v>0</v>
      </c>
      <c r="D452" s="27">
        <f>Ft!B$3*EXP(Ft!B$38*($A452-Ft!B$2)^2) +Ft!C$3*EXP(Ft!C$38*($A452-Ft!C$2)^2) + Ft!D$3*EXP(Ft!D$38*($A452-Ft!D$2)^2)+Ft!E$3*EXP(Ft!E$38*($A452-Ft!E$2)^2) +Ft!F$3*EXP(Ft!F$38*($A452-Ft!F$2)^2) + Ft!G$3*EXP(Ft!G$38*($A452-Ft!G$2)^2)</f>
        <v>245.20583911086675</v>
      </c>
      <c r="E452" s="27">
        <f>Ft!B$3*EXP(Ft!B$38*($A452-Ft!B$2)^2)</f>
        <v>61.608718015201845</v>
      </c>
      <c r="F452" s="27">
        <f>Ft!C$3*EXP(Ft!C$38*($A452-Ft!C$2)^2)</f>
        <v>44.891863723687962</v>
      </c>
      <c r="G452" s="27">
        <f>Ft!D$3*EXP(Ft!D$38*($A452-Ft!D$2)^2)</f>
        <v>1.5537811802745107</v>
      </c>
      <c r="H452" s="27">
        <f>Ft!E$3*EXP(Ft!E$38*($A452-Ft!E$2)^2)</f>
        <v>65.903485496932802</v>
      </c>
      <c r="I452" s="27">
        <f>Ft!F$3*EXP(Ft!F$38*($A452-Ft!F$2)^2)</f>
        <v>27.501416909697962</v>
      </c>
      <c r="J452" s="27">
        <f>Ft!G$3*EXP(Ft!G$38*($A452-Ft!G$2)^2)</f>
        <v>43.746573785071647</v>
      </c>
    </row>
    <row r="453" spans="1:10">
      <c r="A453" s="20">
        <v>451</v>
      </c>
      <c r="B453" s="29">
        <v>35.182773487685211</v>
      </c>
      <c r="C453" s="28">
        <f ca="1">OFFSET($B453,1*(ROWS(C$2:C453)-1),0)</f>
        <v>0</v>
      </c>
      <c r="D453" s="27">
        <f>Ft!B$3*EXP(Ft!B$38*($A453-Ft!B$2)^2) +Ft!C$3*EXP(Ft!C$38*($A453-Ft!C$2)^2) + Ft!D$3*EXP(Ft!D$38*($A453-Ft!D$2)^2)+Ft!E$3*EXP(Ft!E$38*($A453-Ft!E$2)^2) +Ft!F$3*EXP(Ft!F$38*($A453-Ft!F$2)^2) + Ft!G$3*EXP(Ft!G$38*($A453-Ft!G$2)^2)</f>
        <v>245.26224553870173</v>
      </c>
      <c r="E453" s="27">
        <f>Ft!B$3*EXP(Ft!B$38*($A453-Ft!B$2)^2)</f>
        <v>61.411398219629717</v>
      </c>
      <c r="F453" s="27">
        <f>Ft!C$3*EXP(Ft!C$38*($A453-Ft!C$2)^2)</f>
        <v>44.936674184831858</v>
      </c>
      <c r="G453" s="27">
        <f>Ft!D$3*EXP(Ft!D$38*($A453-Ft!D$2)^2)</f>
        <v>1.520138980628396</v>
      </c>
      <c r="H453" s="27">
        <f>Ft!E$3*EXP(Ft!E$38*($A453-Ft!E$2)^2)</f>
        <v>66.161301634778695</v>
      </c>
      <c r="I453" s="27">
        <f>Ft!F$3*EXP(Ft!F$38*($A453-Ft!F$2)^2)</f>
        <v>27.59370684421927</v>
      </c>
      <c r="J453" s="27">
        <f>Ft!G$3*EXP(Ft!G$38*($A453-Ft!G$2)^2)</f>
        <v>43.639025674613798</v>
      </c>
    </row>
    <row r="454" spans="1:10">
      <c r="A454" s="20">
        <v>452</v>
      </c>
      <c r="B454" s="29">
        <v>34.94002472427627</v>
      </c>
      <c r="C454" s="28">
        <f ca="1">OFFSET($B454,1*(ROWS(C$2:C454)-1),0)</f>
        <v>0</v>
      </c>
      <c r="D454" s="27">
        <f>Ft!B$3*EXP(Ft!B$38*($A454-Ft!B$2)^2) +Ft!C$3*EXP(Ft!C$38*($A454-Ft!C$2)^2) + Ft!D$3*EXP(Ft!D$38*($A454-Ft!D$2)^2)+Ft!E$3*EXP(Ft!E$38*($A454-Ft!E$2)^2) +Ft!F$3*EXP(Ft!F$38*($A454-Ft!F$2)^2) + Ft!G$3*EXP(Ft!G$38*($A454-Ft!G$2)^2)</f>
        <v>245.31701499864198</v>
      </c>
      <c r="E454" s="27">
        <f>Ft!B$3*EXP(Ft!B$38*($A454-Ft!B$2)^2)</f>
        <v>61.214418301268459</v>
      </c>
      <c r="F454" s="27">
        <f>Ft!C$3*EXP(Ft!C$38*($A454-Ft!C$2)^2)</f>
        <v>44.981430013641265</v>
      </c>
      <c r="G454" s="27">
        <f>Ft!D$3*EXP(Ft!D$38*($A454-Ft!D$2)^2)</f>
        <v>1.4851754313488097</v>
      </c>
      <c r="H454" s="27">
        <f>Ft!E$3*EXP(Ft!E$38*($A454-Ft!E$2)^2)</f>
        <v>66.419163580015436</v>
      </c>
      <c r="I454" s="27">
        <f>Ft!F$3*EXP(Ft!F$38*($A454-Ft!F$2)^2)</f>
        <v>27.686215327599978</v>
      </c>
      <c r="J454" s="27">
        <f>Ft!G$3*EXP(Ft!G$38*($A454-Ft!G$2)^2)</f>
        <v>43.530612344768052</v>
      </c>
    </row>
    <row r="455" spans="1:10">
      <c r="A455" s="20">
        <v>453</v>
      </c>
      <c r="B455" s="29">
        <v>34.690500171997058</v>
      </c>
      <c r="C455" s="28">
        <f ca="1">OFFSET($B455,1*(ROWS(C$2:C455)-1),0)</f>
        <v>0</v>
      </c>
      <c r="D455" s="27">
        <f>Ft!B$3*EXP(Ft!B$38*($A455-Ft!B$2)^2) +Ft!C$3*EXP(Ft!C$38*($A455-Ft!C$2)^2) + Ft!D$3*EXP(Ft!D$38*($A455-Ft!D$2)^2)+Ft!E$3*EXP(Ft!E$38*($A455-Ft!E$2)^2) +Ft!F$3*EXP(Ft!F$38*($A455-Ft!F$2)^2) + Ft!G$3*EXP(Ft!G$38*($A455-Ft!G$2)^2)</f>
        <v>245.37027426487856</v>
      </c>
      <c r="E455" s="27">
        <f>Ft!B$3*EXP(Ft!B$38*($A455-Ft!B$2)^2)</f>
        <v>61.017779046779438</v>
      </c>
      <c r="F455" s="27">
        <f>Ft!C$3*EXP(Ft!C$38*($A455-Ft!C$2)^2)</f>
        <v>45.026130957879289</v>
      </c>
      <c r="G455" s="27">
        <f>Ft!D$3*EXP(Ft!D$38*($A455-Ft!D$2)^2)</f>
        <v>1.4490161923005629</v>
      </c>
      <c r="H455" s="27">
        <f>Ft!E$3*EXP(Ft!E$38*($A455-Ft!E$2)^2)</f>
        <v>66.677064021064155</v>
      </c>
      <c r="I455" s="27">
        <f>Ft!F$3*EXP(Ft!F$38*($A455-Ft!F$2)^2)</f>
        <v>27.77894248232138</v>
      </c>
      <c r="J455" s="27">
        <f>Ft!G$3*EXP(Ft!G$38*($A455-Ft!G$2)^2)</f>
        <v>43.421341564533734</v>
      </c>
    </row>
    <row r="456" spans="1:10">
      <c r="A456" s="20">
        <v>454</v>
      </c>
      <c r="B456" s="29">
        <v>34.47027656864438</v>
      </c>
      <c r="C456" s="28">
        <f ca="1">OFFSET($B456,1*(ROWS(C$2:C456)-1),0)</f>
        <v>0</v>
      </c>
      <c r="D456" s="27">
        <f>Ft!B$3*EXP(Ft!B$38*($A456-Ft!B$2)^2) +Ft!C$3*EXP(Ft!C$38*($A456-Ft!C$2)^2) + Ft!D$3*EXP(Ft!D$38*($A456-Ft!D$2)^2)+Ft!E$3*EXP(Ft!E$38*($A456-Ft!E$2)^2) +Ft!F$3*EXP(Ft!F$38*($A456-Ft!F$2)^2) + Ft!G$3*EXP(Ft!G$38*($A456-Ft!G$2)^2)</f>
        <v>245.42215203046388</v>
      </c>
      <c r="E456" s="27">
        <f>Ft!B$3*EXP(Ft!B$38*($A456-Ft!B$2)^2)</f>
        <v>60.82148123543012</v>
      </c>
      <c r="F456" s="27">
        <f>Ft!C$3*EXP(Ft!C$38*($A456-Ft!C$2)^2)</f>
        <v>45.070776765421982</v>
      </c>
      <c r="G456" s="27">
        <f>Ft!D$3*EXP(Ft!D$38*($A456-Ft!D$2)^2)</f>
        <v>1.4117888340985454</v>
      </c>
      <c r="H456" s="27">
        <f>Ft!E$3*EXP(Ft!E$38*($A456-Ft!E$2)^2)</f>
        <v>66.934995616225308</v>
      </c>
      <c r="I456" s="27">
        <f>Ft!F$3*EXP(Ft!F$38*($A456-Ft!F$2)^2)</f>
        <v>27.871888429111582</v>
      </c>
      <c r="J456" s="27">
        <f>Ft!G$3*EXP(Ft!G$38*($A456-Ft!G$2)^2)</f>
        <v>43.31122115017633</v>
      </c>
    </row>
    <row r="457" spans="1:10">
      <c r="A457" s="20">
        <v>455</v>
      </c>
      <c r="B457" s="29">
        <v>34.25250340844039</v>
      </c>
      <c r="C457" s="28">
        <f ca="1">OFFSET($B457,1*(ROWS(C$2:C457)-1),0)</f>
        <v>0</v>
      </c>
      <c r="D457" s="27">
        <f>Ft!B$3*EXP(Ft!B$38*($A457-Ft!B$2)^2) +Ft!C$3*EXP(Ft!C$38*($A457-Ft!C$2)^2) + Ft!D$3*EXP(Ft!D$38*($A457-Ft!D$2)^2)+Ft!E$3*EXP(Ft!E$38*($A457-Ft!E$2)^2) +Ft!F$3*EXP(Ft!F$38*($A457-Ft!F$2)^2) + Ft!G$3*EXP(Ft!G$38*($A457-Ft!G$2)^2)</f>
        <v>245.47277816573319</v>
      </c>
      <c r="E457" s="27">
        <f>Ft!B$3*EXP(Ft!B$38*($A457-Ft!B$2)^2)</f>
        <v>60.625525639102996</v>
      </c>
      <c r="F457" s="27">
        <f>Ft!C$3*EXP(Ft!C$38*($A457-Ft!C$2)^2)</f>
        <v>45.115367184260677</v>
      </c>
      <c r="G457" s="27">
        <f>Ft!D$3*EXP(Ft!D$38*($A457-Ft!D$2)^2)</f>
        <v>1.3736220971447128</v>
      </c>
      <c r="H457" s="27">
        <f>Ft!E$3*EXP(Ft!E$38*($A457-Ft!E$2)^2)</f>
        <v>67.192950993988248</v>
      </c>
      <c r="I457" s="27">
        <f>Ft!F$3*EXP(Ft!F$38*($A457-Ft!F$2)^2)</f>
        <v>27.965053286938016</v>
      </c>
      <c r="J457" s="27">
        <f>Ft!G$3*EXP(Ft!G$38*($A457-Ft!G$2)^2)</f>
        <v>43.200258964298548</v>
      </c>
    </row>
    <row r="458" spans="1:10">
      <c r="A458" s="20">
        <v>456</v>
      </c>
      <c r="B458" s="29">
        <v>34.034167147488688</v>
      </c>
      <c r="C458" s="28">
        <f ca="1">OFFSET($B458,1*(ROWS(C$2:C458)-1),0)</f>
        <v>0</v>
      </c>
      <c r="D458" s="27">
        <f>Ft!B$3*EXP(Ft!B$38*($A458-Ft!B$2)^2) +Ft!C$3*EXP(Ft!C$38*($A458-Ft!C$2)^2) + Ft!D$3*EXP(Ft!D$38*($A458-Ft!D$2)^2)+Ft!E$3*EXP(Ft!E$38*($A458-Ft!E$2)^2) +Ft!F$3*EXP(Ft!F$38*($A458-Ft!F$2)^2) + Ft!G$3*EXP(Ft!G$38*($A458-Ft!G$2)^2)</f>
        <v>245.52228298729838</v>
      </c>
      <c r="E458" s="27">
        <f>Ft!B$3*EXP(Ft!B$38*($A458-Ft!B$2)^2)</f>
        <v>60.429913022304632</v>
      </c>
      <c r="F458" s="27">
        <f>Ft!C$3*EXP(Ft!C$38*($A458-Ft!C$2)^2)</f>
        <v>45.15990196250435</v>
      </c>
      <c r="G458" s="27">
        <f>Ft!D$3*EXP(Ft!D$38*($A458-Ft!D$2)^2)</f>
        <v>1.3346451612374812</v>
      </c>
      <c r="H458" s="27">
        <f>Ft!E$3*EXP(Ft!E$38*($A458-Ft!E$2)^2)</f>
        <v>67.450922753344145</v>
      </c>
      <c r="I458" s="27">
        <f>Ft!F$3*EXP(Ft!F$38*($A458-Ft!F$2)^2)</f>
        <v>28.058437173000037</v>
      </c>
      <c r="J458" s="27">
        <f>Ft!G$3*EXP(Ft!G$38*($A458-Ft!G$2)^2)</f>
        <v>43.088462914907716</v>
      </c>
    </row>
    <row r="459" spans="1:10">
      <c r="A459" s="20">
        <v>457</v>
      </c>
      <c r="B459" s="29">
        <v>33.811817205031531</v>
      </c>
      <c r="C459" s="28">
        <f ca="1">OFFSET($B459,1*(ROWS(C$2:C459)-1),0)</f>
        <v>0</v>
      </c>
      <c r="D459" s="27">
        <f>Ft!B$3*EXP(Ft!B$38*($A459-Ft!B$2)^2) +Ft!C$3*EXP(Ft!C$38*($A459-Ft!C$2)^2) + Ft!D$3*EXP(Ft!D$38*($A459-Ft!D$2)^2)+Ft!E$3*EXP(Ft!E$38*($A459-Ft!E$2)^2) +Ft!F$3*EXP(Ft!F$38*($A459-Ft!F$2)^2) + Ft!G$3*EXP(Ft!G$38*($A459-Ft!G$2)^2)</f>
        <v>245.57079654329939</v>
      </c>
      <c r="E459" s="27">
        <f>Ft!B$3*EXP(Ft!B$38*($A459-Ft!B$2)^2)</f>
        <v>60.234644142174758</v>
      </c>
      <c r="F459" s="27">
        <f>Ft!C$3*EXP(Ft!C$38*($A459-Ft!C$2)^2)</f>
        <v>45.204380848381945</v>
      </c>
      <c r="G459" s="27">
        <f>Ft!D$3*EXP(Ft!D$38*($A459-Ft!D$2)^2)</f>
        <v>1.2949869314393769</v>
      </c>
      <c r="H459" s="27">
        <f>Ft!E$3*EXP(Ft!E$38*($A459-Ft!E$2)^2)</f>
        <v>67.708903464102235</v>
      </c>
      <c r="I459" s="27">
        <f>Ft!F$3*EXP(Ft!F$38*($A459-Ft!F$2)^2)</f>
        <v>28.152040202721384</v>
      </c>
      <c r="J459" s="27">
        <f>Ft!G$3*EXP(Ft!G$38*($A459-Ft!G$2)^2)</f>
        <v>42.975840954479679</v>
      </c>
    </row>
    <row r="460" spans="1:10">
      <c r="A460" s="20">
        <v>458</v>
      </c>
      <c r="B460" s="29">
        <v>33.58880136099242</v>
      </c>
      <c r="C460" s="28">
        <f ca="1">OFFSET($B460,1*(ROWS(C$2:C460)-1),0)</f>
        <v>0</v>
      </c>
      <c r="D460" s="27">
        <f>Ft!B$3*EXP(Ft!B$38*($A460-Ft!B$2)^2) +Ft!C$3*EXP(Ft!C$38*($A460-Ft!C$2)^2) + Ft!D$3*EXP(Ft!D$38*($A460-Ft!D$2)^2)+Ft!E$3*EXP(Ft!E$38*($A460-Ft!E$2)^2) +Ft!F$3*EXP(Ft!F$38*($A460-Ft!F$2)^2) + Ft!G$3*EXP(Ft!G$38*($A460-Ft!G$2)^2)</f>
        <v>245.61844792029649</v>
      </c>
      <c r="E460" s="27">
        <f>Ft!B$3*EXP(Ft!B$38*($A460-Ft!B$2)^2)</f>
        <v>60.03971974849577</v>
      </c>
      <c r="F460" s="27">
        <f>Ft!C$3*EXP(Ft!C$38*($A460-Ft!C$2)^2)</f>
        <v>45.248803590244741</v>
      </c>
      <c r="G460" s="27">
        <f>Ft!D$3*EXP(Ft!D$38*($A460-Ft!D$2)^2)</f>
        <v>1.2547753455844068</v>
      </c>
      <c r="H460" s="27">
        <f>Ft!E$3*EXP(Ft!E$38*($A460-Ft!E$2)^2)</f>
        <v>67.966885667209382</v>
      </c>
      <c r="I460" s="27">
        <f>Ft!F$3*EXP(Ft!F$38*($A460-Ft!F$2)^2)</f>
        <v>28.245862489742795</v>
      </c>
      <c r="J460" s="27">
        <f>Ft!G$3*EXP(Ft!G$38*($A460-Ft!G$2)^2)</f>
        <v>42.862401079019392</v>
      </c>
    </row>
    <row r="461" spans="1:10">
      <c r="A461" s="20">
        <v>459</v>
      </c>
      <c r="B461" s="29">
        <v>33.350483856996789</v>
      </c>
      <c r="C461" s="28">
        <f ca="1">OFFSET($B461,1*(ROWS(C$2:C461)-1),0)</f>
        <v>0</v>
      </c>
      <c r="D461" s="27">
        <f>Ft!B$3*EXP(Ft!B$38*($A461-Ft!B$2)^2) +Ft!C$3*EXP(Ft!C$38*($A461-Ft!C$2)^2) + Ft!D$3*EXP(Ft!D$38*($A461-Ft!D$2)^2)+Ft!E$3*EXP(Ft!E$38*($A461-Ft!E$2)^2) +Ft!F$3*EXP(Ft!F$38*($A461-Ft!F$2)^2) + Ft!G$3*EXP(Ft!G$38*($A461-Ft!G$2)^2)</f>
        <v>245.66536457682858</v>
      </c>
      <c r="E461" s="27">
        <f>Ft!B$3*EXP(Ft!B$38*($A461-Ft!B$2)^2)</f>
        <v>59.845140583702118</v>
      </c>
      <c r="F461" s="27">
        <f>Ft!C$3*EXP(Ft!C$38*($A461-Ft!C$2)^2)</f>
        <v>45.293169936568646</v>
      </c>
      <c r="G461" s="27">
        <f>Ft!D$3*EXP(Ft!D$38*($A461-Ft!D$2)^2)</f>
        <v>1.2141367084519694</v>
      </c>
      <c r="H461" s="27">
        <f>Ft!E$3*EXP(Ft!E$38*($A461-Ft!E$2)^2)</f>
        <v>68.224861875073088</v>
      </c>
      <c r="I461" s="27">
        <f>Ft!F$3*EXP(Ft!F$38*($A461-Ft!F$2)^2)</f>
        <v>28.339904145914538</v>
      </c>
      <c r="J461" s="27">
        <f>Ft!G$3*EXP(Ft!G$38*($A461-Ft!G$2)^2)</f>
        <v>42.748151327118229</v>
      </c>
    </row>
    <row r="462" spans="1:10">
      <c r="A462" s="20">
        <v>460</v>
      </c>
      <c r="B462" s="29">
        <v>33.120123772505281</v>
      </c>
      <c r="C462" s="28">
        <f ca="1">OFFSET($B462,1*(ROWS(C$2:C462)-1),0)</f>
        <v>0</v>
      </c>
      <c r="D462" s="27">
        <f>Ft!B$3*EXP(Ft!B$38*($A462-Ft!B$2)^2) +Ft!C$3*EXP(Ft!C$38*($A462-Ft!C$2)^2) + Ft!D$3*EXP(Ft!D$38*($A462-Ft!D$2)^2)+Ft!E$3*EXP(Ft!E$38*($A462-Ft!E$2)^2) +Ft!F$3*EXP(Ft!F$38*($A462-Ft!F$2)^2) + Ft!G$3*EXP(Ft!G$38*($A462-Ft!G$2)^2)</f>
        <v>245.71167170826635</v>
      </c>
      <c r="E462" s="27">
        <f>Ft!B$3*EXP(Ft!B$38*($A462-Ft!B$2)^2)</f>
        <v>59.650907382889926</v>
      </c>
      <c r="F462" s="27">
        <f>Ft!C$3*EXP(Ft!C$38*($A462-Ft!C$2)^2)</f>
        <v>45.337479635956619</v>
      </c>
      <c r="G462" s="27">
        <f>Ft!D$3*EXP(Ft!D$38*($A462-Ft!D$2)^2)</f>
        <v>1.1731950572349883</v>
      </c>
      <c r="H462" s="27">
        <f>Ft!E$3*EXP(Ft!E$38*($A462-Ft!E$2)^2)</f>
        <v>68.482824571887576</v>
      </c>
      <c r="I462" s="27">
        <f>Ft!F$3*EXP(Ft!F$38*($A462-Ft!F$2)^2)</f>
        <v>28.434165281288966</v>
      </c>
      <c r="J462" s="27">
        <f>Ft!G$3*EXP(Ft!G$38*($A462-Ft!G$2)^2)</f>
        <v>42.633099779008305</v>
      </c>
    </row>
    <row r="463" spans="1:10">
      <c r="A463" s="20">
        <v>461</v>
      </c>
      <c r="B463" s="29">
        <v>32.89215925409377</v>
      </c>
      <c r="C463" s="28">
        <f ca="1">OFFSET($B463,1*(ROWS(C$2:C463)-1),0)</f>
        <v>0</v>
      </c>
      <c r="D463" s="27">
        <f>Ft!B$3*EXP(Ft!B$38*($A463-Ft!B$2)^2) +Ft!C$3*EXP(Ft!C$38*($A463-Ft!C$2)^2) + Ft!D$3*EXP(Ft!D$38*($A463-Ft!D$2)^2)+Ft!E$3*EXP(Ft!E$38*($A463-Ft!E$2)^2) +Ft!F$3*EXP(Ft!F$38*($A463-Ft!F$2)^2) + Ft!G$3*EXP(Ft!G$38*($A463-Ft!G$2)^2)</f>
        <v>245.75749164715074</v>
      </c>
      <c r="E463" s="27">
        <f>Ft!B$3*EXP(Ft!B$38*($A463-Ft!B$2)^2)</f>
        <v>59.457020873826856</v>
      </c>
      <c r="F463" s="27">
        <f>Ft!C$3*EXP(Ft!C$38*($A463-Ft!C$2)^2)</f>
        <v>45.38173243714094</v>
      </c>
      <c r="G463" s="27">
        <f>Ft!D$3*EXP(Ft!D$38*($A463-Ft!D$2)^2)</f>
        <v>1.1320715624924436</v>
      </c>
      <c r="H463" s="27">
        <f>Ft!E$3*EXP(Ft!E$38*($A463-Ft!E$2)^2)</f>
        <v>68.740766213963511</v>
      </c>
      <c r="I463" s="27">
        <f>Ft!F$3*EXP(Ft!F$38*($A463-Ft!F$2)^2)</f>
        <v>28.528646004113064</v>
      </c>
      <c r="J463" s="27">
        <f>Ft!G$3*EXP(Ft!G$38*($A463-Ft!G$2)^2)</f>
        <v>42.517254555613917</v>
      </c>
    </row>
    <row r="464" spans="1:10">
      <c r="A464" s="20">
        <v>462</v>
      </c>
      <c r="B464" s="29">
        <v>32.658346541734232</v>
      </c>
      <c r="C464" s="28">
        <f ca="1">OFFSET($B464,1*(ROWS(C$2:C464)-1),0)</f>
        <v>0</v>
      </c>
      <c r="D464" s="27">
        <f>Ft!B$3*EXP(Ft!B$38*($A464-Ft!B$2)^2) +Ft!C$3*EXP(Ft!C$38*($A464-Ft!C$2)^2) + Ft!D$3*EXP(Ft!D$38*($A464-Ft!D$2)^2)+Ft!E$3*EXP(Ft!E$38*($A464-Ft!E$2)^2) +Ft!F$3*EXP(Ft!F$38*($A464-Ft!F$2)^2) + Ft!G$3*EXP(Ft!G$38*($A464-Ft!G$2)^2)</f>
        <v>245.80294330273645</v>
      </c>
      <c r="E464" s="27">
        <f>Ft!B$3*EXP(Ft!B$38*($A464-Ft!B$2)^2)</f>
        <v>59.263481776961918</v>
      </c>
      <c r="F464" s="27">
        <f>Ft!C$3*EXP(Ft!C$38*($A464-Ft!C$2)^2)</f>
        <v>45.425928088985607</v>
      </c>
      <c r="G464" s="27">
        <f>Ft!D$3*EXP(Ft!D$38*($A464-Ft!D$2)^2)</f>
        <v>1.090883968307139</v>
      </c>
      <c r="H464" s="27">
        <f>Ft!E$3*EXP(Ft!E$38*($A464-Ft!E$2)^2)</f>
        <v>68.998679230060517</v>
      </c>
      <c r="I464" s="27">
        <f>Ft!F$3*EXP(Ft!F$38*($A464-Ft!F$2)^2)</f>
        <v>28.623346420821054</v>
      </c>
      <c r="J464" s="27">
        <f>Ft!G$3*EXP(Ft!G$38*($A464-Ft!G$2)^2)</f>
        <v>42.400623817600213</v>
      </c>
    </row>
    <row r="465" spans="1:10">
      <c r="A465" s="20">
        <v>463</v>
      </c>
      <c r="B465" s="29">
        <v>32.396229456150479</v>
      </c>
      <c r="C465" s="28">
        <f ca="1">OFFSET($B465,1*(ROWS(C$2:C465)-1),0)</f>
        <v>0</v>
      </c>
      <c r="D465" s="27">
        <f>Ft!B$3*EXP(Ft!B$38*($A465-Ft!B$2)^2) +Ft!C$3*EXP(Ft!C$38*($A465-Ft!C$2)^2) + Ft!D$3*EXP(Ft!D$38*($A465-Ft!D$2)^2)+Ft!E$3*EXP(Ft!E$38*($A465-Ft!E$2)^2) +Ft!F$3*EXP(Ft!F$38*($A465-Ft!F$2)^2) + Ft!G$3*EXP(Ft!G$38*($A465-Ft!G$2)^2)</f>
        <v>245.84814164296913</v>
      </c>
      <c r="E465" s="27">
        <f>Ft!B$3*EXP(Ft!B$38*($A465-Ft!B$2)^2)</f>
        <v>59.070290805435583</v>
      </c>
      <c r="F465" s="27">
        <f>Ft!C$3*EXP(Ft!C$38*($A465-Ft!C$2)^2)</f>
        <v>45.4700663404887</v>
      </c>
      <c r="G465" s="27">
        <f>Ft!D$3*EXP(Ft!D$38*($A465-Ft!D$2)^2)</f>
        <v>1.049746074875064</v>
      </c>
      <c r="H465" s="27">
        <f>Ft!E$3*EXP(Ft!E$38*($A465-Ft!E$2)^2)</f>
        <v>69.256556021723483</v>
      </c>
      <c r="I465" s="27">
        <f>Ft!F$3*EXP(Ft!F$38*($A465-Ft!F$2)^2)</f>
        <v>28.718266636026936</v>
      </c>
      <c r="J465" s="27">
        <f>Ft!G$3*EXP(Ft!G$38*($A465-Ft!G$2)^2)</f>
        <v>42.28321576441936</v>
      </c>
    </row>
    <row r="466" spans="1:10">
      <c r="A466" s="20">
        <v>464</v>
      </c>
      <c r="B466" s="29">
        <v>32.156624336797051</v>
      </c>
      <c r="C466" s="28">
        <f ca="1">OFFSET($B466,1*(ROWS(C$2:C466)-1),0)</f>
        <v>0</v>
      </c>
      <c r="D466" s="27">
        <f>Ft!B$3*EXP(Ft!B$38*($A466-Ft!B$2)^2) +Ft!C$3*EXP(Ft!C$38*($A466-Ft!C$2)^2) + Ft!D$3*EXP(Ft!D$38*($A466-Ft!D$2)^2)+Ft!E$3*EXP(Ft!E$38*($A466-Ft!E$2)^2) +Ft!F$3*EXP(Ft!F$38*($A466-Ft!F$2)^2) + Ft!G$3*EXP(Ft!G$38*($A466-Ft!G$2)^2)</f>
        <v>245.89319722160761</v>
      </c>
      <c r="E466" s="27">
        <f>Ft!B$3*EXP(Ft!B$38*($A466-Ft!B$2)^2)</f>
        <v>58.877448665090022</v>
      </c>
      <c r="F466" s="27">
        <f>Ft!C$3*EXP(Ft!C$38*($A466-Ft!C$2)^2)</f>
        <v>45.514146940784649</v>
      </c>
      <c r="G466" s="27">
        <f>Ft!D$3*EXP(Ft!D$38*($A466-Ft!D$2)^2)</f>
        <v>1.008767266239984</v>
      </c>
      <c r="H466" s="27">
        <f>Ft!E$3*EXP(Ft!E$38*($A466-Ft!E$2)^2)</f>
        <v>69.514388963621684</v>
      </c>
      <c r="I466" s="27">
        <f>Ft!F$3*EXP(Ft!F$38*($A466-Ft!F$2)^2)</f>
        <v>28.813406752517082</v>
      </c>
      <c r="J466" s="27">
        <f>Ft!G$3*EXP(Ft!G$38*($A466-Ft!G$2)^2)</f>
        <v>42.16503863335415</v>
      </c>
    </row>
    <row r="467" spans="1:10">
      <c r="A467" s="20">
        <v>465</v>
      </c>
      <c r="B467" s="29">
        <v>31.924118133598313</v>
      </c>
      <c r="C467" s="28">
        <f ca="1">OFFSET($B467,1*(ROWS(C$2:C467)-1),0)</f>
        <v>0</v>
      </c>
      <c r="D467" s="27">
        <f>Ft!B$3*EXP(Ft!B$38*($A467-Ft!B$2)^2) +Ft!C$3*EXP(Ft!C$38*($A467-Ft!C$2)^2) + Ft!D$3*EXP(Ft!D$38*($A467-Ft!D$2)^2)+Ft!E$3*EXP(Ft!E$38*($A467-Ft!E$2)^2) +Ft!F$3*EXP(Ft!F$38*($A467-Ft!F$2)^2) + Ft!G$3*EXP(Ft!G$38*($A467-Ft!G$2)^2)</f>
        <v>245.93821575268237</v>
      </c>
      <c r="E467" s="27">
        <f>Ft!B$3*EXP(Ft!B$38*($A467-Ft!B$2)^2)</f>
        <v>58.684956054479343</v>
      </c>
      <c r="F467" s="27">
        <f>Ft!C$3*EXP(Ft!C$38*($A467-Ft!C$2)^2)</f>
        <v>45.558169639146662</v>
      </c>
      <c r="G467" s="27">
        <f>Ft!D$3*EXP(Ft!D$38*($A467-Ft!D$2)^2)</f>
        <v>0.968052085362749</v>
      </c>
      <c r="H467" s="27">
        <f>Ft!E$3*EXP(Ft!E$38*($A467-Ft!E$2)^2)</f>
        <v>69.772170403891309</v>
      </c>
      <c r="I467" s="27">
        <f>Ft!F$3*EXP(Ft!F$38*($A467-Ft!F$2)^2)</f>
        <v>28.908766871242793</v>
      </c>
      <c r="J467" s="27">
        <f>Ft!G$3*EXP(Ft!G$38*($A467-Ft!G$2)^2)</f>
        <v>42.04610069855952</v>
      </c>
    </row>
    <row r="468" spans="1:10">
      <c r="A468" s="20">
        <v>466</v>
      </c>
      <c r="B468" s="29">
        <v>31.690635397729523</v>
      </c>
      <c r="C468" s="28">
        <f ca="1">OFFSET($B468,1*(ROWS(C$2:C468)-1),0)</f>
        <v>0</v>
      </c>
      <c r="D468" s="27">
        <f>Ft!B$3*EXP(Ft!B$38*($A468-Ft!B$2)^2) +Ft!C$3*EXP(Ft!C$38*($A468-Ft!C$2)^2) + Ft!D$3*EXP(Ft!D$38*($A468-Ft!D$2)^2)+Ft!E$3*EXP(Ft!E$38*($A468-Ft!E$2)^2) +Ft!F$3*EXP(Ft!F$38*($A468-Ft!F$2)^2) + Ft!G$3*EXP(Ft!G$38*($A468-Ft!G$2)^2)</f>
        <v>245.98329773395122</v>
      </c>
      <c r="E468" s="27">
        <f>Ft!B$3*EXP(Ft!B$38*($A468-Ft!B$2)^2)</f>
        <v>58.492813664880167</v>
      </c>
      <c r="F468" s="27">
        <f>Ft!C$3*EXP(Ft!C$38*($A468-Ft!C$2)^2)</f>
        <v>45.602134184989076</v>
      </c>
      <c r="G468" s="27">
        <f>Ft!D$3*EXP(Ft!D$38*($A468-Ft!D$2)^2)</f>
        <v>0.92769985818605483</v>
      </c>
      <c r="H468" s="27">
        <f>Ft!E$3*EXP(Ft!E$38*($A468-Ft!E$2)^2)</f>
        <v>70.029892664481167</v>
      </c>
      <c r="I468" s="27">
        <f>Ft!F$3*EXP(Ft!F$38*($A468-Ft!F$2)^2)</f>
        <v>29.004347091312937</v>
      </c>
      <c r="J468" s="27">
        <f>Ft!G$3*EXP(Ft!G$38*($A468-Ft!G$2)^2)</f>
        <v>41.926410270101805</v>
      </c>
    </row>
    <row r="469" spans="1:10">
      <c r="A469" s="20">
        <v>467</v>
      </c>
      <c r="B469" s="29">
        <v>31.438113041835493</v>
      </c>
      <c r="C469" s="28">
        <f ca="1">OFFSET($B469,1*(ROWS(C$2:C469)-1),0)</f>
        <v>0</v>
      </c>
      <c r="D469" s="27">
        <f>Ft!B$3*EXP(Ft!B$38*($A469-Ft!B$2)^2) +Ft!C$3*EXP(Ft!C$38*($A469-Ft!C$2)^2) + Ft!D$3*EXP(Ft!D$38*($A469-Ft!D$2)^2)+Ft!E$3*EXP(Ft!E$38*($A469-Ft!E$2)^2) +Ft!F$3*EXP(Ft!F$38*($A469-Ft!F$2)^2) + Ft!G$3*EXP(Ft!G$38*($A469-Ft!G$2)^2)</f>
        <v>246.02853812048482</v>
      </c>
      <c r="E469" s="27">
        <f>Ft!B$3*EXP(Ft!B$38*($A469-Ft!B$2)^2)</f>
        <v>58.301022180302219</v>
      </c>
      <c r="F469" s="27">
        <f>Ft!C$3*EXP(Ft!C$38*($A469-Ft!C$2)^2)</f>
        <v>45.646040327869635</v>
      </c>
      <c r="G469" s="27">
        <f>Ft!D$3*EXP(Ft!D$38*($A469-Ft!D$2)^2)</f>
        <v>0.88780436782863126</v>
      </c>
      <c r="H469" s="27">
        <f>Ft!E$3*EXP(Ft!E$38*($A469-Ft!E$2)^2)</f>
        <v>70.287548041501694</v>
      </c>
      <c r="I469" s="27">
        <f>Ft!F$3*EXP(Ft!F$38*($A469-Ft!F$2)^2)</f>
        <v>29.100147509986495</v>
      </c>
      <c r="J469" s="27">
        <f>Ft!G$3*EXP(Ft!G$38*($A469-Ft!G$2)^2)</f>
        <v>41.805975692996149</v>
      </c>
    </row>
    <row r="470" spans="1:10">
      <c r="A470" s="20">
        <v>468</v>
      </c>
      <c r="B470" s="29">
        <v>31.209981851266406</v>
      </c>
      <c r="C470" s="28">
        <f ca="1">OFFSET($B470,1*(ROWS(C$2:C470)-1),0)</f>
        <v>0</v>
      </c>
      <c r="D470" s="27">
        <f>Ft!B$3*EXP(Ft!B$38*($A470-Ft!B$2)^2) +Ft!C$3*EXP(Ft!C$38*($A470-Ft!C$2)^2) + Ft!D$3*EXP(Ft!D$38*($A470-Ft!D$2)^2)+Ft!E$3*EXP(Ft!E$38*($A470-Ft!E$2)^2) +Ft!F$3*EXP(Ft!F$38*($A470-Ft!F$2)^2) + Ft!G$3*EXP(Ft!G$38*($A470-Ft!G$2)^2)</f>
        <v>246.07402604899937</v>
      </c>
      <c r="E470" s="27">
        <f>Ft!B$3*EXP(Ft!B$38*($A470-Ft!B$2)^2)</f>
        <v>58.109582277499072</v>
      </c>
      <c r="F470" s="27">
        <f>Ft!C$3*EXP(Ft!C$38*($A470-Ft!C$2)^2)</f>
        <v>45.689887817491922</v>
      </c>
      <c r="G470" s="27">
        <f>Ft!D$3*EXP(Ft!D$38*($A470-Ft!D$2)^2)</f>
        <v>0.84845357952434053</v>
      </c>
      <c r="H470" s="27">
        <f>Ft!E$3*EXP(Ft!E$38*($A470-Ft!E$2)^2)</f>
        <v>70.545128805576795</v>
      </c>
      <c r="I470" s="27">
        <f>Ft!F$3*EXP(Ft!F$38*($A470-Ft!F$2)^2)</f>
        <v>29.196168222665182</v>
      </c>
      <c r="J470" s="27">
        <f>Ft!G$3*EXP(Ft!G$38*($A470-Ft!G$2)^2)</f>
        <v>41.68480534624203</v>
      </c>
    </row>
    <row r="471" spans="1:10">
      <c r="A471" s="20">
        <v>469</v>
      </c>
      <c r="B471" s="29">
        <v>30.969096438613008</v>
      </c>
      <c r="C471" s="28">
        <f ca="1">OFFSET($B471,1*(ROWS(C$2:C471)-1),0)</f>
        <v>0</v>
      </c>
      <c r="D471" s="27">
        <f>Ft!B$3*EXP(Ft!B$38*($A471-Ft!B$2)^2) +Ft!C$3*EXP(Ft!C$38*($A471-Ft!C$2)^2) + Ft!D$3*EXP(Ft!D$38*($A471-Ft!D$2)^2)+Ft!E$3*EXP(Ft!E$38*($A471-Ft!E$2)^2) +Ft!F$3*EXP(Ft!F$38*($A471-Ft!F$2)^2) + Ft!G$3*EXP(Ft!G$38*($A471-Ft!G$2)^2)</f>
        <v>246.11984461304675</v>
      </c>
      <c r="E471" s="27">
        <f>Ft!B$3*EXP(Ft!B$38*($A471-Ft!B$2)^2)</f>
        <v>57.918494625979079</v>
      </c>
      <c r="F471" s="27">
        <f>Ft!C$3*EXP(Ft!C$38*($A471-Ft!C$2)^2)</f>
        <v>45.733676403707683</v>
      </c>
      <c r="G471" s="27">
        <f>Ft!D$3*EXP(Ft!D$38*($A471-Ft!D$2)^2)</f>
        <v>0.8097294164174853</v>
      </c>
      <c r="H471" s="27">
        <f>Ft!E$3*EXP(Ft!E$38*($A471-Ft!E$2)^2)</f>
        <v>70.802627202199261</v>
      </c>
      <c r="I471" s="27">
        <f>Ft!F$3*EXP(Ft!F$38*($A471-Ft!F$2)^2)</f>
        <v>29.292409322886058</v>
      </c>
      <c r="J471" s="27">
        <f>Ft!G$3*EXP(Ft!G$38*($A471-Ft!G$2)^2)</f>
        <v>41.562907641857201</v>
      </c>
    </row>
    <row r="472" spans="1:10">
      <c r="A472" s="20">
        <v>470</v>
      </c>
      <c r="B472" s="29">
        <v>30.705751763205797</v>
      </c>
      <c r="C472" s="28">
        <f ca="1">OFFSET($B472,1*(ROWS(C$2:C472)-1),0)</f>
        <v>0</v>
      </c>
      <c r="D472" s="27">
        <f>Ft!B$3*EXP(Ft!B$38*($A472-Ft!B$2)^2) +Ft!C$3*EXP(Ft!C$38*($A472-Ft!C$2)^2) + Ft!D$3*EXP(Ft!D$38*($A472-Ft!D$2)^2)+Ft!E$3*EXP(Ft!E$38*($A472-Ft!E$2)^2) +Ft!F$3*EXP(Ft!F$38*($A472-Ft!F$2)^2) + Ft!G$3*EXP(Ft!G$38*($A472-Ft!G$2)^2)</f>
        <v>246.16607068868998</v>
      </c>
      <c r="E472" s="27">
        <f>Ft!B$3*EXP(Ft!B$38*($A472-Ft!B$2)^2)</f>
        <v>57.727759888016315</v>
      </c>
      <c r="F472" s="27">
        <f>Ft!C$3*EXP(Ft!C$38*($A472-Ft!C$2)^2)</f>
        <v>45.777405836519165</v>
      </c>
      <c r="G472" s="27">
        <f>Ft!D$3*EXP(Ft!D$38*($A472-Ft!D$2)^2)</f>
        <v>0.7717075858412058</v>
      </c>
      <c r="H472" s="27">
        <f>Ft!E$3*EXP(Ft!E$38*($A472-Ft!E$2)^2)</f>
        <v>71.060035452089039</v>
      </c>
      <c r="I472" s="27">
        <f>Ft!F$3*EXP(Ft!F$38*($A472-Ft!F$2)^2)</f>
        <v>29.388870902314146</v>
      </c>
      <c r="J472" s="27">
        <f>Ft!G$3*EXP(Ft!G$38*($A472-Ft!G$2)^2)</f>
        <v>41.440291023910106</v>
      </c>
    </row>
    <row r="473" spans="1:10">
      <c r="A473" s="20">
        <v>471</v>
      </c>
      <c r="B473" s="29">
        <v>30.455340905564583</v>
      </c>
      <c r="C473" s="28">
        <f ca="1">OFFSET($B473,1*(ROWS(C$2:C473)-1),0)</f>
        <v>0</v>
      </c>
      <c r="D473" s="27">
        <f>Ft!B$3*EXP(Ft!B$38*($A473-Ft!B$2)^2) +Ft!C$3*EXP(Ft!C$38*($A473-Ft!C$2)^2) + Ft!D$3*EXP(Ft!D$38*($A473-Ft!D$2)^2)+Ft!E$3*EXP(Ft!E$38*($A473-Ft!E$2)^2) +Ft!F$3*EXP(Ft!F$38*($A473-Ft!F$2)^2) + Ft!G$3*EXP(Ft!G$38*($A473-Ft!G$2)^2)</f>
        <v>246.21277480983019</v>
      </c>
      <c r="E473" s="27">
        <f>Ft!B$3*EXP(Ft!B$38*($A473-Ft!B$2)^2)</f>
        <v>57.537378718661898</v>
      </c>
      <c r="F473" s="27">
        <f>Ft!C$3*EXP(Ft!C$38*($A473-Ft!C$2)^2)</f>
        <v>45.821075866081472</v>
      </c>
      <c r="G473" s="27">
        <f>Ft!D$3*EXP(Ft!D$38*($A473-Ft!D$2)^2)</f>
        <v>0.7344574552462827</v>
      </c>
      <c r="H473" s="27">
        <f>Ft!E$3*EXP(Ft!E$38*($A473-Ft!E$2)^2)</f>
        <v>71.317345751554555</v>
      </c>
      <c r="I473" s="27">
        <f>Ft!F$3*EXP(Ft!F$38*($A473-Ft!F$2)^2)</f>
        <v>29.485553050735021</v>
      </c>
      <c r="J473" s="27">
        <f>Ft!G$3*EXP(Ft!G$38*($A473-Ft!G$2)^2)</f>
        <v>41.316963967550983</v>
      </c>
    </row>
    <row r="474" spans="1:10">
      <c r="A474" s="20">
        <v>472</v>
      </c>
      <c r="B474" s="29">
        <v>30.214520604384973</v>
      </c>
      <c r="C474" s="28">
        <f ca="1">OFFSET($B474,1*(ROWS(C$2:C474)-1),0)</f>
        <v>0</v>
      </c>
      <c r="D474" s="27">
        <f>Ft!B$3*EXP(Ft!B$38*($A474-Ft!B$2)^2) +Ft!C$3*EXP(Ft!C$38*($A474-Ft!C$2)^2) + Ft!D$3*EXP(Ft!D$38*($A474-Ft!D$2)^2)+Ft!E$3*EXP(Ft!E$38*($A474-Ft!E$2)^2) +Ft!F$3*EXP(Ft!F$38*($A474-Ft!F$2)^2) + Ft!G$3*EXP(Ft!G$38*($A474-Ft!G$2)^2)</f>
        <v>246.26002109192427</v>
      </c>
      <c r="E474" s="27">
        <f>Ft!B$3*EXP(Ft!B$38*($A474-Ft!B$2)^2)</f>
        <v>57.34735176575515</v>
      </c>
      <c r="F474" s="27">
        <f>Ft!C$3*EXP(Ft!C$38*($A474-Ft!C$2)^2)</f>
        <v>45.864686242704963</v>
      </c>
      <c r="G474" s="27">
        <f>Ft!D$3*EXP(Ft!D$38*($A474-Ft!D$2)^2)</f>
        <v>0.69804197651740052</v>
      </c>
      <c r="H474" s="27">
        <f>Ft!E$3*EXP(Ft!E$38*($A474-Ft!E$2)^2)</f>
        <v>71.574550272857493</v>
      </c>
      <c r="I474" s="27">
        <f>Ft!F$3*EXP(Ft!F$38*($A474-Ft!F$2)^2)</f>
        <v>29.582455856047474</v>
      </c>
      <c r="J474" s="27">
        <f>Ft!G$3*EXP(Ft!G$38*($A474-Ft!G$2)^2)</f>
        <v>41.19293497804177</v>
      </c>
    </row>
    <row r="475" spans="1:10">
      <c r="A475" s="20">
        <v>473</v>
      </c>
      <c r="B475" s="29">
        <v>29.979612671787663</v>
      </c>
      <c r="C475" s="28">
        <f ca="1">OFFSET($B475,1*(ROWS(C$2:C475)-1),0)</f>
        <v>0</v>
      </c>
      <c r="D475" s="27">
        <f>Ft!B$3*EXP(Ft!B$38*($A475-Ft!B$2)^2) +Ft!C$3*EXP(Ft!C$38*($A475-Ft!C$2)^2) + Ft!D$3*EXP(Ft!D$38*($A475-Ft!D$2)^2)+Ft!E$3*EXP(Ft!E$38*($A475-Ft!E$2)^2) +Ft!F$3*EXP(Ft!F$38*($A475-Ft!F$2)^2) + Ft!G$3*EXP(Ft!G$38*($A475-Ft!G$2)^2)</f>
        <v>246.30786720243086</v>
      </c>
      <c r="E475" s="27">
        <f>Ft!B$3*EXP(Ft!B$38*($A475-Ft!B$2)^2)</f>
        <v>57.157679669935121</v>
      </c>
      <c r="F475" s="27">
        <f>Ft!C$3*EXP(Ft!C$38*($A475-Ft!C$2)^2)</f>
        <v>45.908236716857552</v>
      </c>
      <c r="G475" s="27">
        <f>Ft!D$3*EXP(Ft!D$38*($A475-Ft!D$2)^2)</f>
        <v>0.66251765701688425</v>
      </c>
      <c r="H475" s="27">
        <f>Ft!E$3*EXP(Ft!E$38*($A475-Ft!E$2)^2)</f>
        <v>71.831641164580205</v>
      </c>
      <c r="I475" s="27">
        <f>Ft!F$3*EXP(Ft!F$38*($A475-Ft!F$2)^2)</f>
        <v>29.679579404256113</v>
      </c>
      <c r="J475" s="27">
        <f>Ft!G$3*EXP(Ft!G$38*($A475-Ft!G$2)^2)</f>
        <v>41.06821258978497</v>
      </c>
    </row>
    <row r="476" spans="1:10">
      <c r="A476" s="20">
        <v>474</v>
      </c>
      <c r="B476" s="29">
        <v>29.760220705111607</v>
      </c>
      <c r="C476" s="28">
        <f ca="1">OFFSET($B476,1*(ROWS(C$2:C476)-1),0)</f>
        <v>0</v>
      </c>
      <c r="D476" s="27">
        <f>Ft!B$3*EXP(Ft!B$38*($A476-Ft!B$2)^2) +Ft!C$3*EXP(Ft!C$38*($A476-Ft!C$2)^2) + Ft!D$3*EXP(Ft!D$38*($A476-Ft!D$2)^2)+Ft!E$3*EXP(Ft!E$38*($A476-Ft!E$2)^2) +Ft!F$3*EXP(Ft!F$38*($A476-Ft!F$2)^2) + Ft!G$3*EXP(Ft!G$38*($A476-Ft!G$2)^2)</f>
        <v>246.35636437596671</v>
      </c>
      <c r="E476" s="27">
        <f>Ft!B$3*EXP(Ft!B$38*($A476-Ft!B$2)^2)</f>
        <v>56.968363064652102</v>
      </c>
      <c r="F476" s="27">
        <f>Ft!C$3*EXP(Ft!C$38*($A476-Ft!C$2)^2)</f>
        <v>45.951727039167103</v>
      </c>
      <c r="G476" s="27">
        <f>Ft!D$3*EXP(Ft!D$38*($A476-Ft!D$2)^2)</f>
        <v>0.62793457533534058</v>
      </c>
      <c r="H476" s="27">
        <f>Ft!E$3*EXP(Ft!E$38*($A476-Ft!E$2)^2)</f>
        <v>72.088610551996396</v>
      </c>
      <c r="I476" s="27">
        <f>Ft!F$3*EXP(Ft!F$38*($A476-Ft!F$2)^2)</f>
        <v>29.776923779464052</v>
      </c>
      <c r="J476" s="27">
        <f>Ft!G$3*EXP(Ft!G$38*($A476-Ft!G$2)^2)</f>
        <v>40.94280536535171</v>
      </c>
    </row>
    <row r="477" spans="1:10">
      <c r="A477" s="20">
        <v>475</v>
      </c>
      <c r="B477" s="29">
        <v>29.5375809242679</v>
      </c>
      <c r="C477" s="28">
        <f ca="1">OFFSET($B477,1*(ROWS(C$2:C477)-1),0)</f>
        <v>0</v>
      </c>
      <c r="D477" s="27">
        <f>Ft!B$3*EXP(Ft!B$38*($A477-Ft!B$2)^2) +Ft!C$3*EXP(Ft!C$38*($A477-Ft!C$2)^2) + Ft!D$3*EXP(Ft!D$38*($A477-Ft!D$2)^2)+Ft!E$3*EXP(Ft!E$38*($A477-Ft!E$2)^2) +Ft!F$3*EXP(Ft!F$38*($A477-Ft!F$2)^2) + Ft!G$3*EXP(Ft!G$38*($A477-Ft!G$2)^2)</f>
        <v>246.4055574718297</v>
      </c>
      <c r="E477" s="27">
        <f>Ft!B$3*EXP(Ft!B$38*($A477-Ft!B$2)^2)</f>
        <v>56.779402576179386</v>
      </c>
      <c r="F477" s="27">
        <f>Ft!C$3*EXP(Ft!C$38*($A477-Ft!C$2)^2)</f>
        <v>45.995156960423756</v>
      </c>
      <c r="G477" s="27">
        <f>Ft!D$3*EXP(Ft!D$38*($A477-Ft!D$2)^2)</f>
        <v>0.59433643940717207</v>
      </c>
      <c r="H477" s="27">
        <f>Ft!E$3*EXP(Ft!E$38*($A477-Ft!E$2)^2)</f>
        <v>72.34545053744489</v>
      </c>
      <c r="I477" s="27">
        <f>Ft!F$3*EXP(Ft!F$38*($A477-Ft!F$2)^2)</f>
        <v>29.8744890638655</v>
      </c>
      <c r="J477" s="27">
        <f>Ft!G$3*EXP(Ft!G$38*($A477-Ft!G$2)^2)</f>
        <v>40.81672189450898</v>
      </c>
    </row>
    <row r="478" spans="1:10">
      <c r="A478" s="20">
        <v>476</v>
      </c>
      <c r="B478" s="29">
        <v>29.313176042282464</v>
      </c>
      <c r="C478" s="28">
        <f ca="1">OFFSET($B478,1*(ROWS(C$2:C478)-1),0)</f>
        <v>0</v>
      </c>
      <c r="D478" s="27">
        <f>Ft!B$3*EXP(Ft!B$38*($A478-Ft!B$2)^2) +Ft!C$3*EXP(Ft!C$38*($A478-Ft!C$2)^2) + Ft!D$3*EXP(Ft!D$38*($A478-Ft!D$2)^2)+Ft!E$3*EXP(Ft!E$38*($A478-Ft!E$2)^2) +Ft!F$3*EXP(Ft!F$38*($A478-Ft!F$2)^2) + Ft!G$3*EXP(Ft!G$38*($A478-Ft!G$2)^2)</f>
        <v>246.45548507126699</v>
      </c>
      <c r="E478" s="27">
        <f>Ft!B$3*EXP(Ft!B$38*($A478-Ft!B$2)^2)</f>
        <v>56.5907988236251</v>
      </c>
      <c r="F478" s="27">
        <f>Ft!C$3*EXP(Ft!C$38*($A478-Ft!C$2)^2)</f>
        <v>46.03852623158231</v>
      </c>
      <c r="G478" s="27">
        <f>Ft!D$3*EXP(Ft!D$38*($A478-Ft!D$2)^2)</f>
        <v>0.56176068436851634</v>
      </c>
      <c r="H478" s="27">
        <f>Ft!E$3*EXP(Ft!E$38*($A478-Ft!E$2)^2)</f>
        <v>72.60215320070624</v>
      </c>
      <c r="I478" s="27">
        <f>Ft!F$3*EXP(Ft!F$38*($A478-Ft!F$2)^2)</f>
        <v>29.972275337738438</v>
      </c>
      <c r="J478" s="27">
        <f>Ft!G$3*EXP(Ft!G$38*($A478-Ft!G$2)^2)</f>
        <v>40.689970793246395</v>
      </c>
    </row>
    <row r="479" spans="1:10">
      <c r="A479" s="20">
        <v>477</v>
      </c>
      <c r="B479" s="29">
        <v>29.077566771031883</v>
      </c>
      <c r="C479" s="28">
        <f ca="1">OFFSET($B479,1*(ROWS(C$2:C479)-1),0)</f>
        <v>0</v>
      </c>
      <c r="D479" s="27">
        <f>Ft!B$3*EXP(Ft!B$38*($A479-Ft!B$2)^2) +Ft!C$3*EXP(Ft!C$38*($A479-Ft!C$2)^2) + Ft!D$3*EXP(Ft!D$38*($A479-Ft!D$2)^2)+Ft!E$3*EXP(Ft!E$38*($A479-Ft!E$2)^2) +Ft!F$3*EXP(Ft!F$38*($A479-Ft!F$2)^2) + Ft!G$3*EXP(Ft!G$38*($A479-Ft!G$2)^2)</f>
        <v>246.50617961162811</v>
      </c>
      <c r="E479" s="27">
        <f>Ft!B$3*EXP(Ft!B$38*($A479-Ft!B$2)^2)</f>
        <v>56.40255241894414</v>
      </c>
      <c r="F479" s="27">
        <f>Ft!C$3*EXP(Ft!C$38*($A479-Ft!C$2)^2)</f>
        <v>46.081834603764563</v>
      </c>
      <c r="G479" s="27">
        <f>Ft!D$3*EXP(Ft!D$38*($A479-Ft!D$2)^2)</f>
        <v>0.53023860729716765</v>
      </c>
      <c r="H479" s="27">
        <f>Ft!E$3*EXP(Ft!E$38*($A479-Ft!E$2)^2)</f>
        <v>72.858710599382434</v>
      </c>
      <c r="I479" s="27">
        <f>Ft!F$3*EXP(Ft!F$38*($A479-Ft!F$2)^2)</f>
        <v>30.070282679437305</v>
      </c>
      <c r="J479" s="27">
        <f>Ft!G$3*EXP(Ft!G$38*($A479-Ft!G$2)^2)</f>
        <v>40.562560702802507</v>
      </c>
    </row>
    <row r="480" spans="1:10">
      <c r="A480" s="20">
        <v>478</v>
      </c>
      <c r="B480" s="29">
        <v>28.836474228874977</v>
      </c>
      <c r="C480" s="28">
        <f ca="1">OFFSET($B480,1*(ROWS(C$2:C480)-1),0)</f>
        <v>0</v>
      </c>
      <c r="D480" s="27">
        <f>Ft!B$3*EXP(Ft!B$38*($A480-Ft!B$2)^2) +Ft!C$3*EXP(Ft!C$38*($A480-Ft!C$2)^2) + Ft!D$3*EXP(Ft!D$38*($A480-Ft!D$2)^2)+Ft!E$3*EXP(Ft!E$38*($A480-Ft!E$2)^2) +Ft!F$3*EXP(Ft!F$38*($A480-Ft!F$2)^2) + Ft!G$3*EXP(Ft!G$38*($A480-Ft!G$2)^2)</f>
        <v>246.55766755434701</v>
      </c>
      <c r="E480" s="27">
        <f>Ft!B$3*EXP(Ft!B$38*($A480-Ft!B$2)^2)</f>
        <v>56.214663966950269</v>
      </c>
      <c r="F480" s="27">
        <f>Ft!C$3*EXP(Ft!C$38*($A480-Ft!C$2)^2)</f>
        <v>46.125081828261671</v>
      </c>
      <c r="G480" s="27">
        <f>Ft!D$3*EXP(Ft!D$38*($A480-Ft!D$2)^2)</f>
        <v>0.49979553577910368</v>
      </c>
      <c r="H480" s="27">
        <f>Ft!E$3*EXP(Ft!E$38*($A480-Ft!E$2)^2)</f>
        <v>73.115114769279472</v>
      </c>
      <c r="I480" s="27">
        <f>Ft!F$3*EXP(Ft!F$38*($A480-Ft!F$2)^2)</f>
        <v>30.168511165385631</v>
      </c>
      <c r="J480" s="27">
        <f>Ft!G$3*EXP(Ft!G$38*($A480-Ft!G$2)^2)</f>
        <v>40.434500288690842</v>
      </c>
    </row>
    <row r="481" spans="1:10">
      <c r="A481" s="20">
        <v>479</v>
      </c>
      <c r="B481" s="29">
        <v>28.613358477937624</v>
      </c>
      <c r="C481" s="28">
        <f ca="1">OFFSET($B481,1*(ROWS(C$2:C481)-1),0)</f>
        <v>0</v>
      </c>
      <c r="D481" s="27">
        <f>Ft!B$3*EXP(Ft!B$38*($A481-Ft!B$2)^2) +Ft!C$3*EXP(Ft!C$38*($A481-Ft!C$2)^2) + Ft!D$3*EXP(Ft!D$38*($A481-Ft!D$2)^2)+Ft!E$3*EXP(Ft!E$38*($A481-Ft!E$2)^2) +Ft!F$3*EXP(Ft!F$38*($A481-Ft!F$2)^2) + Ft!G$3*EXP(Ft!G$38*($A481-Ft!G$2)^2)</f>
        <v>246.60996958354696</v>
      </c>
      <c r="E481" s="27">
        <f>Ft!B$3*EXP(Ft!B$38*($A481-Ft!B$2)^2)</f>
        <v>56.027134065328404</v>
      </c>
      <c r="F481" s="27">
        <f>Ft!C$3*EXP(Ft!C$38*($A481-Ft!C$2)^2)</f>
        <v>46.168267656536528</v>
      </c>
      <c r="G481" s="27">
        <f>Ft!D$3*EXP(Ft!D$38*($A481-Ft!D$2)^2)</f>
        <v>0.47045102709448033</v>
      </c>
      <c r="H481" s="27">
        <f>Ft!E$3*EXP(Ft!E$38*($A481-Ft!E$2)^2)</f>
        <v>73.371357724792944</v>
      </c>
      <c r="I481" s="27">
        <f>Ft!F$3*EXP(Ft!F$38*($A481-Ft!F$2)^2)</f>
        <v>30.26696087006874</v>
      </c>
      <c r="J481" s="27">
        <f>Ft!G$3*EXP(Ft!G$38*($A481-Ft!G$2)^2)</f>
        <v>40.305798239725874</v>
      </c>
    </row>
    <row r="482" spans="1:10">
      <c r="A482" s="20">
        <v>480</v>
      </c>
      <c r="B482" s="29">
        <v>28.39318765417832</v>
      </c>
      <c r="C482" s="28">
        <f ca="1">OFFSET($B482,1*(ROWS(C$2:C482)-1),0)</f>
        <v>0</v>
      </c>
      <c r="D482" s="27">
        <f>Ft!B$3*EXP(Ft!B$38*($A482-Ft!B$2)^2) +Ft!C$3*EXP(Ft!C$38*($A482-Ft!C$2)^2) + Ft!D$3*EXP(Ft!D$38*($A482-Ft!D$2)^2)+Ft!E$3*EXP(Ft!E$38*($A482-Ft!E$2)^2) +Ft!F$3*EXP(Ft!F$38*($A482-Ft!F$2)^2) + Ft!G$3*EXP(Ft!G$38*($A482-Ft!G$2)^2)</f>
        <v>246.66310083195185</v>
      </c>
      <c r="E482" s="27">
        <f>Ft!B$3*EXP(Ft!B$38*($A482-Ft!B$2)^2)</f>
        <v>55.839963304646879</v>
      </c>
      <c r="F482" s="27">
        <f>Ft!C$3*EXP(Ft!C$38*($A482-Ft!C$2)^2)</f>
        <v>46.211391840226085</v>
      </c>
      <c r="G482" s="27">
        <f>Ft!D$3*EXP(Ft!D$38*($A482-Ft!D$2)^2)</f>
        <v>0.44221909470684184</v>
      </c>
      <c r="H482" s="27">
        <f>Ft!E$3*EXP(Ft!E$38*($A482-Ft!E$2)^2)</f>
        <v>73.627431459296616</v>
      </c>
      <c r="I482" s="27">
        <f>Ft!F$3*EXP(Ft!F$38*($A482-Ft!F$2)^2)</f>
        <v>30.365631866026433</v>
      </c>
      <c r="J482" s="27">
        <f>Ft!G$3*EXP(Ft!G$38*($A482-Ft!G$2)^2)</f>
        <v>40.176463267048987</v>
      </c>
    </row>
    <row r="483" spans="1:10">
      <c r="A483" s="20">
        <v>481</v>
      </c>
      <c r="B483" s="29">
        <v>28.143618296872773</v>
      </c>
      <c r="C483" s="28">
        <f ca="1">OFFSET($B483,1*(ROWS(C$2:C483)-1),0)</f>
        <v>0</v>
      </c>
      <c r="D483" s="27">
        <f>Ft!B$3*EXP(Ft!B$38*($A483-Ft!B$2)^2) +Ft!C$3*EXP(Ft!C$38*($A483-Ft!C$2)^2) + Ft!D$3*EXP(Ft!D$38*($A483-Ft!D$2)^2)+Ft!E$3*EXP(Ft!E$38*($A483-Ft!E$2)^2) +Ft!F$3*EXP(Ft!F$38*($A483-Ft!F$2)^2) + Ft!G$3*EXP(Ft!G$38*($A483-Ft!G$2)^2)</f>
        <v>246.71707113071955</v>
      </c>
      <c r="E483" s="27">
        <f>Ft!B$3*EXP(Ft!B$38*($A483-Ft!B$2)^2)</f>
        <v>55.653152268370064</v>
      </c>
      <c r="F483" s="27">
        <f>Ft!C$3*EXP(Ft!C$38*($A483-Ft!C$2)^2)</f>
        <v>46.254454131143738</v>
      </c>
      <c r="G483" s="27">
        <f>Ft!D$3*EXP(Ft!D$38*($A483-Ft!D$2)^2)</f>
        <v>0.41510845867178453</v>
      </c>
      <c r="H483" s="27">
        <f>Ft!E$3*EXP(Ft!E$38*($A483-Ft!E$2)^2)</f>
        <v>73.883327945533594</v>
      </c>
      <c r="I483" s="27">
        <f>Ft!F$3*EXP(Ft!F$38*($A483-Ft!F$2)^2)</f>
        <v>30.464524223845658</v>
      </c>
      <c r="J483" s="27">
        <f>Ft!G$3*EXP(Ft!G$38*($A483-Ft!G$2)^2)</f>
        <v>40.046504103154682</v>
      </c>
    </row>
    <row r="484" spans="1:10">
      <c r="A484" s="20">
        <v>482</v>
      </c>
      <c r="B484" s="29">
        <v>27.909408362453973</v>
      </c>
      <c r="C484" s="28">
        <f ca="1">OFFSET($B484,1*(ROWS(C$2:C484)-1),0)</f>
        <v>0</v>
      </c>
      <c r="D484" s="27">
        <f>Ft!B$3*EXP(Ft!B$38*($A484-Ft!B$2)^2) +Ft!C$3*EXP(Ft!C$38*($A484-Ft!C$2)^2) + Ft!D$3*EXP(Ft!D$38*($A484-Ft!D$2)^2)+Ft!E$3*EXP(Ft!E$38*($A484-Ft!E$2)^2) +Ft!F$3*EXP(Ft!F$38*($A484-Ft!F$2)^2) + Ft!G$3*EXP(Ft!G$38*($A484-Ft!G$2)^2)</f>
        <v>246.77188527978763</v>
      </c>
      <c r="E484" s="27">
        <f>Ft!B$3*EXP(Ft!B$38*($A484-Ft!B$2)^2)</f>
        <v>55.466701532870879</v>
      </c>
      <c r="F484" s="27">
        <f>Ft!C$3*EXP(Ft!C$38*($A484-Ft!C$2)^2)</f>
        <v>46.297454281281695</v>
      </c>
      <c r="G484" s="27">
        <f>Ft!D$3*EXP(Ft!D$38*($A484-Ft!D$2)^2)</f>
        <v>0.38912281655385189</v>
      </c>
      <c r="H484" s="27">
        <f>Ft!E$3*EXP(Ft!E$38*($A484-Ft!E$2)^2)</f>
        <v>74.139039136010794</v>
      </c>
      <c r="I484" s="27">
        <f>Ft!F$3*EXP(Ft!F$38*($A484-Ft!F$2)^2)</f>
        <v>30.56363801215328</v>
      </c>
      <c r="J484" s="27">
        <f>Ft!G$3*EXP(Ft!G$38*($A484-Ft!G$2)^2)</f>
        <v>39.915929500917116</v>
      </c>
    </row>
    <row r="485" spans="1:10">
      <c r="A485" s="20">
        <v>483</v>
      </c>
      <c r="B485" s="29">
        <v>27.667745373429455</v>
      </c>
      <c r="C485" s="28">
        <f ca="1">OFFSET($B485,1*(ROWS(C$2:C485)-1),0)</f>
        <v>0</v>
      </c>
      <c r="D485" s="27">
        <f>Ft!B$3*EXP(Ft!B$38*($A485-Ft!B$2)^2) +Ft!C$3*EXP(Ft!C$38*($A485-Ft!C$2)^2) + Ft!D$3*EXP(Ft!D$38*($A485-Ft!D$2)^2)+Ft!E$3*EXP(Ft!E$38*($A485-Ft!E$2)^2) +Ft!F$3*EXP(Ft!F$38*($A485-Ft!F$2)^2) + Ft!G$3*EXP(Ft!G$38*($A485-Ft!G$2)^2)</f>
        <v>246.82754333532944</v>
      </c>
      <c r="E485" s="27">
        <f>Ft!B$3*EXP(Ft!B$38*($A485-Ft!B$2)^2)</f>
        <v>55.280611667443516</v>
      </c>
      <c r="F485" s="27">
        <f>Ft!C$3*EXP(Ft!C$38*($A485-Ft!C$2)^2)</f>
        <v>46.340392042813292</v>
      </c>
      <c r="G485" s="27">
        <f>Ft!D$3*EXP(Ft!D$38*($A485-Ft!D$2)^2)</f>
        <v>0.3642611314510516</v>
      </c>
      <c r="H485" s="27">
        <f>Ft!E$3*EXP(Ft!E$38*($A485-Ft!E$2)^2)</f>
        <v>74.394556963395772</v>
      </c>
      <c r="I485" s="27">
        <f>Ft!F$3*EXP(Ft!F$38*($A485-Ft!F$2)^2)</f>
        <v>30.662973297608684</v>
      </c>
      <c r="J485" s="27">
        <f>Ft!G$3*EXP(Ft!G$38*($A485-Ft!G$2)^2)</f>
        <v>39.784748232617105</v>
      </c>
    </row>
    <row r="486" spans="1:10">
      <c r="A486" s="20">
        <v>484</v>
      </c>
      <c r="B486" s="29">
        <v>27.441482310751269</v>
      </c>
      <c r="C486" s="28">
        <f ca="1">OFFSET($B486,1*(ROWS(C$2:C486)-1),0)</f>
        <v>0</v>
      </c>
      <c r="D486" s="27">
        <f>Ft!B$3*EXP(Ft!B$38*($A486-Ft!B$2)^2) +Ft!C$3*EXP(Ft!C$38*($A486-Ft!C$2)^2) + Ft!D$3*EXP(Ft!D$38*($A486-Ft!D$2)^2)+Ft!E$3*EXP(Ft!E$38*($A486-Ft!E$2)^2) +Ft!F$3*EXP(Ft!F$38*($A486-Ft!F$2)^2) + Ft!G$3*EXP(Ft!G$38*($A486-Ft!G$2)^2)</f>
        <v>246.88404091096771</v>
      </c>
      <c r="E486" s="27">
        <f>Ft!B$3*EXP(Ft!B$38*($A486-Ft!B$2)^2)</f>
        <v>55.094883234316406</v>
      </c>
      <c r="F486" s="27">
        <f>Ft!C$3*EXP(Ft!C$38*($A486-Ft!C$2)^2)</f>
        <v>46.383267168095379</v>
      </c>
      <c r="G486" s="27">
        <f>Ft!D$3*EXP(Ft!D$38*($A486-Ft!D$2)^2)</f>
        <v>0.34051793377266554</v>
      </c>
      <c r="H486" s="27">
        <f>Ft!E$3*EXP(Ft!E$38*($A486-Ft!E$2)^2)</f>
        <v>74.649873340916855</v>
      </c>
      <c r="I486" s="27">
        <f>Ft!F$3*EXP(Ft!F$38*($A486-Ft!F$2)^2)</f>
        <v>30.76253014489658</v>
      </c>
      <c r="J486" s="27">
        <f>Ft!G$3*EXP(Ft!G$38*($A486-Ft!G$2)^2)</f>
        <v>39.652969088969819</v>
      </c>
    </row>
    <row r="487" spans="1:10">
      <c r="A487" s="20">
        <v>485</v>
      </c>
      <c r="B487" s="29">
        <v>27.22226342683922</v>
      </c>
      <c r="C487" s="28">
        <f ca="1">OFFSET($B487,1*(ROWS(C$2:C487)-1),0)</f>
        <v>0</v>
      </c>
      <c r="D487" s="27">
        <f>Ft!B$3*EXP(Ft!B$38*($A487-Ft!B$2)^2) +Ft!C$3*EXP(Ft!C$38*($A487-Ft!C$2)^2) + Ft!D$3*EXP(Ft!D$38*($A487-Ft!D$2)^2)+Ft!E$3*EXP(Ft!E$38*($A487-Ft!E$2)^2) +Ft!F$3*EXP(Ft!F$38*($A487-Ft!F$2)^2) + Ft!G$3*EXP(Ft!G$38*($A487-Ft!G$2)^2)</f>
        <v>246.94136948946982</v>
      </c>
      <c r="E487" s="27">
        <f>Ft!B$3*EXP(Ft!B$38*($A487-Ft!B$2)^2)</f>
        <v>54.909516788665151</v>
      </c>
      <c r="F487" s="27">
        <f>Ft!C$3*EXP(Ft!C$38*($A487-Ft!C$2)^2)</f>
        <v>46.426079409670706</v>
      </c>
      <c r="G487" s="27">
        <f>Ft!D$3*EXP(Ft!D$38*($A487-Ft!D$2)^2)</f>
        <v>0.31788363349526971</v>
      </c>
      <c r="H487" s="27">
        <f>Ft!E$3*EXP(Ft!E$38*($A487-Ft!E$2)^2)</f>
        <v>74.904980162765682</v>
      </c>
      <c r="I487" s="27">
        <f>Ft!F$3*EXP(Ft!F$38*($A487-Ft!F$2)^2)</f>
        <v>30.862308616719719</v>
      </c>
      <c r="J487" s="27">
        <f>Ft!G$3*EXP(Ft!G$38*($A487-Ft!G$2)^2)</f>
        <v>39.520600878153274</v>
      </c>
    </row>
    <row r="488" spans="1:10">
      <c r="A488" s="20">
        <v>486</v>
      </c>
      <c r="B488" s="29">
        <v>27.011308933925108</v>
      </c>
      <c r="C488" s="28">
        <f ca="1">OFFSET($B488,1*(ROWS(C$2:C488)-1),0)</f>
        <v>0</v>
      </c>
      <c r="D488" s="27">
        <f>Ft!B$3*EXP(Ft!B$38*($A488-Ft!B$2)^2) +Ft!C$3*EXP(Ft!C$38*($A488-Ft!C$2)^2) + Ft!D$3*EXP(Ft!D$38*($A488-Ft!D$2)^2)+Ft!E$3*EXP(Ft!E$38*($A488-Ft!E$2)^2) +Ft!F$3*EXP(Ft!F$38*($A488-Ft!F$2)^2) + Ft!G$3*EXP(Ft!G$38*($A488-Ft!G$2)^2)</f>
        <v>246.99951674175895</v>
      </c>
      <c r="E488" s="27">
        <f>Ft!B$3*EXP(Ft!B$38*($A488-Ft!B$2)^2)</f>
        <v>54.724512878625625</v>
      </c>
      <c r="F488" s="27">
        <f>Ft!C$3*EXP(Ft!C$38*($A488-Ft!C$2)^2)</f>
        <v>46.468828520270243</v>
      </c>
      <c r="G488" s="27">
        <f>Ft!D$3*EXP(Ft!D$38*($A488-Ft!D$2)^2)</f>
        <v>0.29634483973109177</v>
      </c>
      <c r="H488" s="27">
        <f>Ft!E$3*EXP(Ft!E$38*($A488-Ft!E$2)^2)</f>
        <v>75.159869304502692</v>
      </c>
      <c r="I488" s="27">
        <f>Ft!F$3*EXP(Ft!F$38*($A488-Ft!F$2)^2)</f>
        <v>30.962308773791623</v>
      </c>
      <c r="J488" s="27">
        <f>Ft!G$3*EXP(Ft!G$38*($A488-Ft!G$2)^2)</f>
        <v>39.387652424837682</v>
      </c>
    </row>
    <row r="489" spans="1:10">
      <c r="A489" s="20">
        <v>487</v>
      </c>
      <c r="B489" s="29">
        <v>26.783011835798305</v>
      </c>
      <c r="C489" s="28">
        <f ca="1">OFFSET($B489,1*(ROWS(C$2:C489)-1),0)</f>
        <v>0</v>
      </c>
      <c r="D489" s="27">
        <f>Ft!B$3*EXP(Ft!B$38*($A489-Ft!B$2)^2) +Ft!C$3*EXP(Ft!C$38*($A489-Ft!C$2)^2) + Ft!D$3*EXP(Ft!D$38*($A489-Ft!D$2)^2)+Ft!E$3*EXP(Ft!E$38*($A489-Ft!E$2)^2) +Ft!F$3*EXP(Ft!F$38*($A489-Ft!F$2)^2) + Ft!G$3*EXP(Ft!G$38*($A489-Ft!G$2)^2)</f>
        <v>247.05846685021226</v>
      </c>
      <c r="E489" s="27">
        <f>Ft!B$3*EXP(Ft!B$38*($A489-Ft!B$2)^2)</f>
        <v>54.539872045307263</v>
      </c>
      <c r="F489" s="27">
        <f>Ft!C$3*EXP(Ft!C$38*($A489-Ft!C$2)^2)</f>
        <v>46.51151425281553</v>
      </c>
      <c r="G489" s="27">
        <f>Ft!D$3*EXP(Ft!D$38*($A489-Ft!D$2)^2)</f>
        <v>0.27588468457881848</v>
      </c>
      <c r="H489" s="27">
        <f>Ft!E$3*EXP(Ft!E$38*($A489-Ft!E$2)^2)</f>
        <v>75.414532623465334</v>
      </c>
      <c r="I489" s="27">
        <f>Ft!F$3*EXP(Ft!F$38*($A489-Ft!F$2)^2)</f>
        <v>31.062530674829286</v>
      </c>
      <c r="J489" s="27">
        <f>Ft!G$3*EXP(Ft!G$38*($A489-Ft!G$2)^2)</f>
        <v>39.254132569216026</v>
      </c>
    </row>
    <row r="490" spans="1:10">
      <c r="A490" s="20">
        <v>488</v>
      </c>
      <c r="B490" s="29">
        <v>26.559207367792681</v>
      </c>
      <c r="C490" s="28">
        <f ca="1">OFFSET($B490,1*(ROWS(C$2:C490)-1),0)</f>
        <v>0</v>
      </c>
      <c r="D490" s="27">
        <f>Ft!B$3*EXP(Ft!B$38*($A490-Ft!B$2)^2) +Ft!C$3*EXP(Ft!C$38*($A490-Ft!C$2)^2) + Ft!D$3*EXP(Ft!D$38*($A490-Ft!D$2)^2)+Ft!E$3*EXP(Ft!E$38*($A490-Ft!E$2)^2) +Ft!F$3*EXP(Ft!F$38*($A490-Ft!F$2)^2) + Ft!G$3*EXP(Ft!G$38*($A490-Ft!G$2)^2)</f>
        <v>247.1182008333746</v>
      </c>
      <c r="E490" s="27">
        <f>Ft!B$3*EXP(Ft!B$38*($A490-Ft!B$2)^2)</f>
        <v>54.355594822806388</v>
      </c>
      <c r="F490" s="27">
        <f>Ft!C$3*EXP(Ft!C$38*($A490-Ft!C$2)^2)</f>
        <v>46.55413636042109</v>
      </c>
      <c r="G490" s="27">
        <f>Ft!D$3*EXP(Ft!D$38*($A490-Ft!D$2)^2)</f>
        <v>0.25648314838635117</v>
      </c>
      <c r="H490" s="27">
        <f>Ft!E$3*EXP(Ft!E$38*($A490-Ft!E$2)^2)</f>
        <v>75.668961959179015</v>
      </c>
      <c r="I490" s="27">
        <f>Ft!F$3*EXP(Ft!F$38*($A490-Ft!F$2)^2)</f>
        <v>31.162974376546</v>
      </c>
      <c r="J490" s="27">
        <f>Ft!G$3*EXP(Ft!G$38*($A490-Ft!G$2)^2)</f>
        <v>39.120050166035753</v>
      </c>
    </row>
    <row r="491" spans="1:10">
      <c r="A491" s="20">
        <v>489</v>
      </c>
      <c r="B491" s="29">
        <v>26.342338108256939</v>
      </c>
      <c r="C491" s="28">
        <f ca="1">OFFSET($B491,1*(ROWS(C$2:C491)-1),0)</f>
        <v>0</v>
      </c>
      <c r="D491" s="27">
        <f>Ft!B$3*EXP(Ft!B$38*($A491-Ft!B$2)^2) +Ft!C$3*EXP(Ft!C$38*($A491-Ft!C$2)^2) + Ft!D$3*EXP(Ft!D$38*($A491-Ft!D$2)^2)+Ft!E$3*EXP(Ft!E$38*($A491-Ft!E$2)^2) +Ft!F$3*EXP(Ft!F$38*($A491-Ft!F$2)^2) + Ft!G$3*EXP(Ft!G$38*($A491-Ft!G$2)^2)</f>
        <v>247.17869686939747</v>
      </c>
      <c r="E491" s="27">
        <f>Ft!B$3*EXP(Ft!B$38*($A491-Ft!B$2)^2)</f>
        <v>54.171681738219711</v>
      </c>
      <c r="F491" s="27">
        <f>Ft!C$3*EXP(Ft!C$38*($A491-Ft!C$2)^2)</f>
        <v>46.596694596396752</v>
      </c>
      <c r="G491" s="27">
        <f>Ft!D$3*EXP(Ft!D$38*($A491-Ft!D$2)^2)</f>
        <v>0.23811738373436453</v>
      </c>
      <c r="H491" s="27">
        <f>Ft!E$3*EXP(Ft!E$38*($A491-Ft!E$2)^2)</f>
        <v>75.923149133770565</v>
      </c>
      <c r="I491" s="27">
        <f>Ft!F$3*EXP(Ft!F$38*($A491-Ft!F$2)^2)</f>
        <v>31.263639933644114</v>
      </c>
      <c r="J491" s="27">
        <f>Ft!G$3*EXP(Ft!G$38*($A491-Ft!G$2)^2)</f>
        <v>38.985414083631944</v>
      </c>
    </row>
    <row r="492" spans="1:10">
      <c r="A492" s="20">
        <v>490</v>
      </c>
      <c r="B492" s="29">
        <v>26.137393392759435</v>
      </c>
      <c r="C492" s="28">
        <f ca="1">OFFSET($B492,1*(ROWS(C$2:C492)-1),0)</f>
        <v>0</v>
      </c>
      <c r="D492" s="27">
        <f>Ft!B$3*EXP(Ft!B$38*($A492-Ft!B$2)^2) +Ft!C$3*EXP(Ft!C$38*($A492-Ft!C$2)^2) + Ft!D$3*EXP(Ft!D$38*($A492-Ft!D$2)^2)+Ft!E$3*EXP(Ft!E$38*($A492-Ft!E$2)^2) +Ft!F$3*EXP(Ft!F$38*($A492-Ft!F$2)^2) + Ft!G$3*EXP(Ft!G$38*($A492-Ft!G$2)^2)</f>
        <v>247.23993061570764</v>
      </c>
      <c r="E492" s="27">
        <f>Ft!B$3*EXP(Ft!B$38*($A492-Ft!B$2)^2)</f>
        <v>53.988133311657933</v>
      </c>
      <c r="F492" s="27">
        <f>Ft!C$3*EXP(Ft!C$38*($A492-Ft!C$2)^2)</f>
        <v>46.639188714249997</v>
      </c>
      <c r="G492" s="27">
        <f>Ft!D$3*EXP(Ft!D$38*($A492-Ft!D$2)^2)</f>
        <v>0.22076203564535371</v>
      </c>
      <c r="H492" s="27">
        <f>Ft!E$3*EXP(Ft!E$38*($A492-Ft!E$2)^2)</f>
        <v>76.177085952384672</v>
      </c>
      <c r="I492" s="27">
        <f>Ft!F$3*EXP(Ft!F$38*($A492-Ft!F$2)^2)</f>
        <v>31.364527398807759</v>
      </c>
      <c r="J492" s="27">
        <f>Ft!G$3*EXP(Ft!G$38*($A492-Ft!G$2)^2)</f>
        <v>38.850233202961931</v>
      </c>
    </row>
    <row r="493" spans="1:10">
      <c r="A493" s="20">
        <v>491</v>
      </c>
      <c r="B493" s="29">
        <v>25.937864119667552</v>
      </c>
      <c r="C493" s="28">
        <f ca="1">OFFSET($B493,1*(ROWS(C$2:C493)-1),0)</f>
        <v>0</v>
      </c>
      <c r="D493" s="27">
        <f>Ft!B$3*EXP(Ft!B$38*($A493-Ft!B$2)^2) +Ft!C$3*EXP(Ft!C$38*($A493-Ft!C$2)^2) + Ft!D$3*EXP(Ft!D$38*($A493-Ft!D$2)^2)+Ft!E$3*EXP(Ft!E$38*($A493-Ft!E$2)^2) +Ft!F$3*EXP(Ft!F$38*($A493-Ft!F$2)^2) + Ft!G$3*EXP(Ft!G$38*($A493-Ft!G$2)^2)</f>
        <v>247.30187552261955</v>
      </c>
      <c r="E493" s="27">
        <f>Ft!B$3*EXP(Ft!B$38*($A493-Ft!B$2)^2)</f>
        <v>53.804950056259464</v>
      </c>
      <c r="F493" s="27">
        <f>Ft!C$3*EXP(Ft!C$38*($A493-Ft!C$2)^2)</f>
        <v>46.681618467688352</v>
      </c>
      <c r="G493" s="27">
        <f>Ft!D$3*EXP(Ft!D$38*($A493-Ft!D$2)^2)</f>
        <v>0.20438955573170223</v>
      </c>
      <c r="H493" s="27">
        <f>Ft!E$3*EXP(Ft!E$38*($A493-Ft!E$2)^2)</f>
        <v>76.430764203602678</v>
      </c>
      <c r="I493" s="27">
        <f>Ft!F$3*EXP(Ft!F$38*($A493-Ft!F$2)^2)</f>
        <v>31.465636822695668</v>
      </c>
      <c r="J493" s="27">
        <f>Ft!G$3*EXP(Ft!G$38*($A493-Ft!G$2)^2)</f>
        <v>38.714516416641658</v>
      </c>
    </row>
    <row r="494" spans="1:10">
      <c r="A494" s="20">
        <v>492</v>
      </c>
      <c r="B494" s="29">
        <v>25.718337759072369</v>
      </c>
      <c r="C494" s="28">
        <f ca="1">OFFSET($B494,1*(ROWS(C$2:C494)-1),0)</f>
        <v>0</v>
      </c>
      <c r="D494" s="27">
        <f>Ft!B$3*EXP(Ft!B$38*($A494-Ft!B$2)^2) +Ft!C$3*EXP(Ft!C$38*($A494-Ft!C$2)^2) + Ft!D$3*EXP(Ft!D$38*($A494-Ft!D$2)^2)+Ft!E$3*EXP(Ft!E$38*($A494-Ft!E$2)^2) +Ft!F$3*EXP(Ft!F$38*($A494-Ft!F$2)^2) + Ft!G$3*EXP(Ft!G$38*($A494-Ft!G$2)^2)</f>
        <v>247.36450313882261</v>
      </c>
      <c r="E494" s="27">
        <f>Ft!B$3*EXP(Ft!B$38*($A494-Ft!B$2)^2)</f>
        <v>53.622132478204286</v>
      </c>
      <c r="F494" s="27">
        <f>Ft!C$3*EXP(Ft!C$38*($A494-Ft!C$2)^2)</f>
        <v>46.723983610621737</v>
      </c>
      <c r="G494" s="27">
        <f>Ft!D$3*EXP(Ft!D$38*($A494-Ft!D$2)^2)</f>
        <v>0.18897050821475148</v>
      </c>
      <c r="H494" s="27">
        <f>Ft!E$3*EXP(Ft!E$38*($A494-Ft!E$2)^2)</f>
        <v>76.684175659864053</v>
      </c>
      <c r="I494" s="27">
        <f>Ft!F$3*EXP(Ft!F$38*($A494-Ft!F$2)^2)</f>
        <v>31.566968253933961</v>
      </c>
      <c r="J494" s="27">
        <f>Ft!G$3*EXP(Ft!G$38*($A494-Ft!G$2)^2)</f>
        <v>38.578272627983829</v>
      </c>
    </row>
    <row r="495" spans="1:10">
      <c r="A495" s="20">
        <v>493</v>
      </c>
      <c r="B495" s="29">
        <v>25.497497043015329</v>
      </c>
      <c r="C495" s="28">
        <f ca="1">OFFSET($B495,1*(ROWS(C$2:C495)-1),0)</f>
        <v>0</v>
      </c>
      <c r="D495" s="27">
        <f>Ft!B$3*EXP(Ft!B$38*($A495-Ft!B$2)^2) +Ft!C$3*EXP(Ft!C$38*($A495-Ft!C$2)^2) + Ft!D$3*EXP(Ft!D$38*($A495-Ft!D$2)^2)+Ft!E$3*EXP(Ft!E$38*($A495-Ft!E$2)^2) +Ft!F$3*EXP(Ft!F$38*($A495-Ft!F$2)^2) + Ft!G$3*EXP(Ft!G$38*($A495-Ft!G$2)^2)</f>
        <v>247.42778340690191</v>
      </c>
      <c r="E495" s="27">
        <f>Ft!B$3*EXP(Ft!B$38*($A495-Ft!B$2)^2)</f>
        <v>53.439681076727901</v>
      </c>
      <c r="F495" s="27">
        <f>Ft!C$3*EXP(Ft!C$38*($A495-Ft!C$2)^2)</f>
        <v>46.766283897164804</v>
      </c>
      <c r="G495" s="27">
        <f>Ft!D$3*EXP(Ft!D$38*($A495-Ft!D$2)^2)</f>
        <v>0.17447386597162895</v>
      </c>
      <c r="H495" s="27">
        <f>Ft!E$3*EXP(Ft!E$38*($A495-Ft!E$2)^2)</f>
        <v>76.937312077890581</v>
      </c>
      <c r="I495" s="27">
        <f>Ft!F$3*EXP(Ft!F$38*($A495-Ft!F$2)^2)</f>
        <v>31.668521739108986</v>
      </c>
      <c r="J495" s="27">
        <f>Ft!G$3*EXP(Ft!G$38*($A495-Ft!G$2)^2)</f>
        <v>38.441510750037999</v>
      </c>
    </row>
    <row r="496" spans="1:10">
      <c r="A496" s="20">
        <v>494</v>
      </c>
      <c r="B496" s="29">
        <v>25.256592003740337</v>
      </c>
      <c r="C496" s="28">
        <f ca="1">OFFSET($B496,1*(ROWS(C$2:C496)-1),0)</f>
        <v>0</v>
      </c>
      <c r="D496" s="27">
        <f>Ft!B$3*EXP(Ft!B$38*($A496-Ft!B$2)^2) +Ft!C$3*EXP(Ft!C$38*($A496-Ft!C$2)^2) + Ft!D$3*EXP(Ft!D$38*($A496-Ft!D$2)^2)+Ft!E$3*EXP(Ft!E$38*($A496-Ft!E$2)^2) +Ft!F$3*EXP(Ft!F$38*($A496-Ft!F$2)^2) + Ft!G$3*EXP(Ft!G$38*($A496-Ft!G$2)^2)</f>
        <v>247.49168494727513</v>
      </c>
      <c r="E496" s="27">
        <f>Ft!B$3*EXP(Ft!B$38*($A496-Ft!B$2)^2)</f>
        <v>53.257596344135465</v>
      </c>
      <c r="F496" s="27">
        <f>Ft!C$3*EXP(Ft!C$38*($A496-Ft!C$2)^2)</f>
        <v>46.808519081639339</v>
      </c>
      <c r="G496" s="27">
        <f>Ft!D$3*EXP(Ft!D$38*($A496-Ft!D$2)^2)</f>
        <v>0.16086729499454458</v>
      </c>
      <c r="H496" s="27">
        <f>Ft!E$3*EXP(Ft!E$38*($A496-Ft!E$2)^2)</f>
        <v>77.190165199112897</v>
      </c>
      <c r="I496" s="27">
        <f>Ft!F$3*EXP(Ft!F$38*($A496-Ft!F$2)^2)</f>
        <v>31.770297322760062</v>
      </c>
      <c r="J496" s="27">
        <f>Ft!G$3*EXP(Ft!G$38*($A496-Ft!G$2)^2)</f>
        <v>38.304239704632835</v>
      </c>
    </row>
    <row r="497" spans="1:10">
      <c r="A497" s="20">
        <v>495</v>
      </c>
      <c r="B497" s="29">
        <v>25.044495565789305</v>
      </c>
      <c r="C497" s="28">
        <f ca="1">OFFSET($B497,1*(ROWS(C$2:C497)-1),0)</f>
        <v>0</v>
      </c>
      <c r="D497" s="27">
        <f>Ft!B$3*EXP(Ft!B$38*($A497-Ft!B$2)^2) +Ft!C$3*EXP(Ft!C$38*($A497-Ft!C$2)^2) + Ft!D$3*EXP(Ft!D$38*($A497-Ft!D$2)^2)+Ft!E$3*EXP(Ft!E$38*($A497-Ft!E$2)^2) +Ft!F$3*EXP(Ft!F$38*($A497-Ft!F$2)^2) + Ft!G$3*EXP(Ft!G$38*($A497-Ft!G$2)^2)</f>
        <v>247.55617532916051</v>
      </c>
      <c r="E497" s="27">
        <f>Ft!B$3*EXP(Ft!B$38*($A497-Ft!B$2)^2)</f>
        <v>53.075878765815894</v>
      </c>
      <c r="F497" s="27">
        <f>Ft!C$3*EXP(Ft!C$38*($A497-Ft!C$2)^2)</f>
        <v>46.850688918576573</v>
      </c>
      <c r="G497" s="27">
        <f>Ft!D$3*EXP(Ft!D$38*($A497-Ft!D$2)^2)</f>
        <v>0.14811742587544785</v>
      </c>
      <c r="H497" s="27">
        <f>Ft!E$3*EXP(Ft!E$38*($A497-Ft!E$2)^2)</f>
        <v>77.442726750099681</v>
      </c>
      <c r="I497" s="27">
        <f>Ft!F$3*EXP(Ft!F$38*($A497-Ft!F$2)^2)</f>
        <v>31.872295047372397</v>
      </c>
      <c r="J497" s="27">
        <f>Ft!G$3*EXP(Ft!G$38*($A497-Ft!G$2)^2)</f>
        <v>38.166468421420532</v>
      </c>
    </row>
    <row r="498" spans="1:10">
      <c r="A498" s="20">
        <v>496</v>
      </c>
      <c r="B498" s="29">
        <v>24.847955631176518</v>
      </c>
      <c r="C498" s="28">
        <f ca="1">OFFSET($B498,1*(ROWS(C$2:C498)-1),0)</f>
        <v>0</v>
      </c>
      <c r="D498" s="27">
        <f>Ft!B$3*EXP(Ft!B$38*($A498-Ft!B$2)^2) +Ft!C$3*EXP(Ft!C$38*($A498-Ft!C$2)^2) + Ft!D$3*EXP(Ft!D$38*($A498-Ft!D$2)^2)+Ft!E$3*EXP(Ft!E$38*($A498-Ft!E$2)^2) +Ft!F$3*EXP(Ft!F$38*($A498-Ft!F$2)^2) + Ft!G$3*EXP(Ft!G$38*($A498-Ft!G$2)^2)</f>
        <v>247.62122132741325</v>
      </c>
      <c r="E498" s="27">
        <f>Ft!B$3*EXP(Ft!B$38*($A498-Ft!B$2)^2)</f>
        <v>52.894528820256234</v>
      </c>
      <c r="F498" s="27">
        <f>Ft!C$3*EXP(Ft!C$38*($A498-Ft!C$2)^2)</f>
        <v>46.892793162719585</v>
      </c>
      <c r="G498" s="27">
        <f>Ft!D$3*EXP(Ft!D$38*($A498-Ft!D$2)^2)</f>
        <v>0.13619011115461607</v>
      </c>
      <c r="H498" s="27">
        <f>Ft!E$3*EXP(Ft!E$38*($A498-Ft!E$2)^2)</f>
        <v>77.694988442989285</v>
      </c>
      <c r="I498" s="27">
        <f>Ft!F$3*EXP(Ft!F$38*($A498-Ft!F$2)^2)</f>
        <v>31.974514953369845</v>
      </c>
      <c r="J498" s="27">
        <f>Ft!G$3*EXP(Ft!G$38*($A498-Ft!G$2)^2)</f>
        <v>38.028205836923718</v>
      </c>
    </row>
    <row r="499" spans="1:10">
      <c r="A499" s="20">
        <v>497</v>
      </c>
      <c r="B499" s="29">
        <v>24.658854468236001</v>
      </c>
      <c r="C499" s="28">
        <f ca="1">OFFSET($B499,1*(ROWS(C$2:C499)-1),0)</f>
        <v>0</v>
      </c>
      <c r="D499" s="27">
        <f>Ft!B$3*EXP(Ft!B$38*($A499-Ft!B$2)^2) +Ft!C$3*EXP(Ft!C$38*($A499-Ft!C$2)^2) + Ft!D$3*EXP(Ft!D$38*($A499-Ft!D$2)^2)+Ft!E$3*EXP(Ft!E$38*($A499-Ft!E$2)^2) +Ft!F$3*EXP(Ft!F$38*($A499-Ft!F$2)^2) + Ft!G$3*EXP(Ft!G$38*($A499-Ft!G$2)^2)</f>
        <v>247.68678916429064</v>
      </c>
      <c r="E499" s="27">
        <f>Ft!B$3*EXP(Ft!B$38*($A499-Ft!B$2)^2)</f>
        <v>52.713546979056161</v>
      </c>
      <c r="F499" s="27">
        <f>Ft!C$3*EXP(Ft!C$38*($A499-Ft!C$2)^2)</f>
        <v>46.934831569025619</v>
      </c>
      <c r="G499" s="27">
        <f>Ft!D$3*EXP(Ft!D$38*($A499-Ft!D$2)^2)</f>
        <v>0.12505066759241432</v>
      </c>
      <c r="H499" s="27">
        <f>Ft!E$3*EXP(Ft!E$38*($A499-Ft!E$2)^2)</f>
        <v>77.946941975923849</v>
      </c>
      <c r="I499" s="27">
        <f>Ft!F$3*EXP(Ft!F$38*($A499-Ft!F$2)^2)</f>
        <v>32.076957079107821</v>
      </c>
      <c r="J499" s="27">
        <f>Ft!G$3*EXP(Ft!G$38*($A499-Ft!G$2)^2)</f>
        <v>37.889460893584783</v>
      </c>
    </row>
    <row r="500" spans="1:10">
      <c r="A500" s="20">
        <v>498</v>
      </c>
      <c r="B500" s="29">
        <v>24.44826161878197</v>
      </c>
      <c r="C500" s="28">
        <f ca="1">OFFSET($B500,1*(ROWS(C$2:C500)-1),0)</f>
        <v>0</v>
      </c>
      <c r="D500" s="27">
        <f>Ft!B$3*EXP(Ft!B$38*($A500-Ft!B$2)^2) +Ft!C$3*EXP(Ft!C$38*($A500-Ft!C$2)^2) + Ft!D$3*EXP(Ft!D$38*($A500-Ft!D$2)^2)+Ft!E$3*EXP(Ft!E$38*($A500-Ft!E$2)^2) +Ft!F$3*EXP(Ft!F$38*($A500-Ft!F$2)^2) + Ft!G$3*EXP(Ft!G$38*($A500-Ft!G$2)^2)</f>
        <v>247.75284473541763</v>
      </c>
      <c r="E500" s="27">
        <f>Ft!B$3*EXP(Ft!B$38*($A500-Ft!B$2)^2)</f>
        <v>52.532933706942387</v>
      </c>
      <c r="F500" s="27">
        <f>Ft!C$3*EXP(Ft!C$38*($A500-Ft!C$2)^2)</f>
        <v>46.976803892668478</v>
      </c>
      <c r="G500" s="27">
        <f>Ft!D$3*EXP(Ft!D$38*($A500-Ft!D$2)^2)</f>
        <v>0.11466410263689723</v>
      </c>
      <c r="H500" s="27">
        <f>Ft!E$3*EXP(Ft!E$38*($A500-Ft!E$2)^2)</f>
        <v>78.198579033485856</v>
      </c>
      <c r="I500" s="27">
        <f>Ft!F$3*EXP(Ft!F$38*($A500-Ft!F$2)^2)</f>
        <v>32.179621460866095</v>
      </c>
      <c r="J500" s="27">
        <f>Ft!G$3*EXP(Ft!G$38*($A500-Ft!G$2)^2)</f>
        <v>37.750242538817936</v>
      </c>
    </row>
    <row r="501" spans="1:10">
      <c r="A501" s="20">
        <v>499</v>
      </c>
      <c r="B501" s="29">
        <v>24.241459549638705</v>
      </c>
      <c r="C501" s="28">
        <f ca="1">OFFSET($B501,1*(ROWS(C$2:C501)-1),0)</f>
        <v>0</v>
      </c>
      <c r="D501" s="27">
        <f>Ft!B$3*EXP(Ft!B$38*($A501-Ft!B$2)^2) +Ft!C$3*EXP(Ft!C$38*($A501-Ft!C$2)^2) + Ft!D$3*EXP(Ft!D$38*($A501-Ft!D$2)^2)+Ft!E$3*EXP(Ft!E$38*($A501-Ft!E$2)^2) +Ft!F$3*EXP(Ft!F$38*($A501-Ft!F$2)^2) + Ft!G$3*EXP(Ft!G$38*($A501-Ft!G$2)^2)</f>
        <v>247.81935381943123</v>
      </c>
      <c r="E501" s="27">
        <f>Ft!B$3*EXP(Ft!B$38*($A501-Ft!B$2)^2)</f>
        <v>52.352689461783427</v>
      </c>
      <c r="F501" s="27">
        <f>Ft!C$3*EXP(Ft!C$38*($A501-Ft!C$2)^2)</f>
        <v>47.018709889040878</v>
      </c>
      <c r="G501" s="27">
        <f>Ft!D$3*EXP(Ft!D$38*($A501-Ft!D$2)^2)</f>
        <v>0.10499532456413908</v>
      </c>
      <c r="H501" s="27">
        <f>Ft!E$3*EXP(Ft!E$38*($A501-Ft!E$2)^2)</f>
        <v>78.449891287137035</v>
      </c>
      <c r="I501" s="27">
        <f>Ft!F$3*EXP(Ft!F$38*($A501-Ft!F$2)^2)</f>
        <v>32.282508132841713</v>
      </c>
      <c r="J501" s="27">
        <f>Ft!G$3*EXP(Ft!G$38*($A501-Ft!G$2)^2)</f>
        <v>37.610559724064061</v>
      </c>
    </row>
    <row r="502" spans="1:10">
      <c r="A502" s="20">
        <v>500</v>
      </c>
      <c r="B502" s="29">
        <v>24.055348679655111</v>
      </c>
      <c r="C502" s="28">
        <f ca="1">OFFSET($B502,1*(ROWS(C$2:C502)-1),0)</f>
        <v>0</v>
      </c>
      <c r="D502" s="27">
        <f>Ft!B$3*EXP(Ft!B$38*($A502-Ft!B$2)^2) +Ft!C$3*EXP(Ft!C$38*($A502-Ft!C$2)^2) + Ft!D$3*EXP(Ft!D$38*($A502-Ft!D$2)^2)+Ft!E$3*EXP(Ft!E$38*($A502-Ft!E$2)^2) +Ft!F$3*EXP(Ft!F$38*($A502-Ft!F$2)^2) + Ft!G$3*EXP(Ft!G$38*($A502-Ft!G$2)^2)</f>
        <v>247.88628227097269</v>
      </c>
      <c r="E502" s="27">
        <f>Ft!B$3*EXP(Ft!B$38*($A502-Ft!B$2)^2)</f>
        <v>52.172814694604334</v>
      </c>
      <c r="F502" s="27">
        <f>Ft!C$3*EXP(Ft!C$38*($A502-Ft!C$2)^2)</f>
        <v>47.060549313756766</v>
      </c>
      <c r="G502" s="27">
        <f>Ft!D$3*EXP(Ft!D$38*($A502-Ft!D$2)^2)</f>
        <v>9.6009335961487724E-2</v>
      </c>
      <c r="H502" s="27">
        <f>Ft!E$3*EXP(Ft!E$38*($A502-Ft!E$2)^2)</f>
        <v>78.700870395659734</v>
      </c>
      <c r="I502" s="27">
        <f>Ft!F$3*EXP(Ft!F$38*($A502-Ft!F$2)^2)</f>
        <v>32.385617127141884</v>
      </c>
      <c r="J502" s="27">
        <f>Ft!G$3*EXP(Ft!G$38*($A502-Ft!G$2)^2)</f>
        <v>37.470421403848498</v>
      </c>
    </row>
    <row r="503" spans="1:10">
      <c r="A503" s="20">
        <v>501</v>
      </c>
      <c r="B503" s="29">
        <v>23.866724375032248</v>
      </c>
      <c r="C503" s="28">
        <f ca="1">OFFSET($B503,1*(ROWS(C$2:C503)-1),0)</f>
        <v>0</v>
      </c>
      <c r="D503" s="27">
        <f>Ft!B$3*EXP(Ft!B$38*($A503-Ft!B$2)^2) +Ft!C$3*EXP(Ft!C$38*($A503-Ft!C$2)^2) + Ft!D$3*EXP(Ft!D$38*($A503-Ft!D$2)^2)+Ft!E$3*EXP(Ft!E$38*($A503-Ft!E$2)^2) +Ft!F$3*EXP(Ft!F$38*($A503-Ft!F$2)^2) + Ft!G$3*EXP(Ft!G$38*($A503-Ft!G$2)^2)</f>
        <v>247.95359619687952</v>
      </c>
      <c r="E503" s="27">
        <f>Ft!B$3*EXP(Ft!B$38*($A503-Ft!B$2)^2)</f>
        <v>51.993309849601594</v>
      </c>
      <c r="F503" s="27">
        <f>Ft!C$3*EXP(Ft!C$38*($A503-Ft!C$2)^2)</f>
        <v>47.102321922653736</v>
      </c>
      <c r="G503" s="27">
        <f>Ft!D$3*EXP(Ft!D$38*($A503-Ft!D$2)^2)</f>
        <v>8.7671410404935035E-2</v>
      </c>
      <c r="H503" s="27">
        <f>Ft!E$3*EXP(Ft!E$38*($A503-Ft!E$2)^2)</f>
        <v>78.95150800560053</v>
      </c>
      <c r="I503" s="27">
        <f>Ft!F$3*EXP(Ft!F$38*($A503-Ft!F$2)^2)</f>
        <v>32.48894847377683</v>
      </c>
      <c r="J503" s="27">
        <f>Ft!G$3*EXP(Ft!G$38*($A503-Ft!G$2)^2)</f>
        <v>37.329836534841881</v>
      </c>
    </row>
    <row r="504" spans="1:10">
      <c r="A504" s="20">
        <v>502</v>
      </c>
      <c r="B504" s="29">
        <v>23.67706939693764</v>
      </c>
      <c r="C504" s="28">
        <f ca="1">OFFSET($B504,1*(ROWS(C$2:C504)-1),0)</f>
        <v>0</v>
      </c>
      <c r="D504" s="27">
        <f>Ft!B$3*EXP(Ft!B$38*($A504-Ft!B$2)^2) +Ft!C$3*EXP(Ft!C$38*($A504-Ft!C$2)^2) + Ft!D$3*EXP(Ft!D$38*($A504-Ft!D$2)^2)+Ft!E$3*EXP(Ft!E$38*($A504-Ft!E$2)^2) +Ft!F$3*EXP(Ft!F$38*($A504-Ft!F$2)^2) + Ft!G$3*EXP(Ft!G$38*($A504-Ft!G$2)^2)</f>
        <v>248.02126211559599</v>
      </c>
      <c r="E504" s="27">
        <f>Ft!B$3*EXP(Ft!B$38*($A504-Ft!B$2)^2)</f>
        <v>51.814175364158125</v>
      </c>
      <c r="F504" s="27">
        <f>Ft!C$3*EXP(Ft!C$38*($A504-Ft!C$2)^2)</f>
        <v>47.14402747179534</v>
      </c>
      <c r="G504" s="27">
        <f>Ft!D$3*EXP(Ft!D$38*($A504-Ft!D$2)^2)</f>
        <v>7.9947252349338513E-2</v>
      </c>
      <c r="H504" s="27">
        <f>Ft!E$3*EXP(Ft!E$38*($A504-Ft!E$2)^2)</f>
        <v>79.201795751716205</v>
      </c>
      <c r="I504" s="27">
        <f>Ft!F$3*EXP(Ft!F$38*($A504-Ft!F$2)^2)</f>
        <v>32.592502200652731</v>
      </c>
      <c r="J504" s="27">
        <f>Ft!G$3*EXP(Ft!G$38*($A504-Ft!G$2)^2)</f>
        <v>37.188814074924238</v>
      </c>
    </row>
    <row r="505" spans="1:10">
      <c r="A505" s="20">
        <v>503</v>
      </c>
      <c r="B505" s="29">
        <v>23.495709081296127</v>
      </c>
      <c r="C505" s="28">
        <f ca="1">OFFSET($B505,1*(ROWS(C$2:C505)-1),0)</f>
        <v>0</v>
      </c>
      <c r="D505" s="27">
        <f>Ft!B$3*EXP(Ft!B$38*($A505-Ft!B$2)^2) +Ft!C$3*EXP(Ft!C$38*($A505-Ft!C$2)^2) + Ft!D$3*EXP(Ft!D$38*($A505-Ft!D$2)^2)+Ft!E$3*EXP(Ft!E$38*($A505-Ft!E$2)^2) +Ft!F$3*EXP(Ft!F$38*($A505-Ft!F$2)^2) + Ft!G$3*EXP(Ft!G$38*($A505-Ft!G$2)^2)</f>
        <v>248.08924709997433</v>
      </c>
      <c r="E505" s="27">
        <f>Ft!B$3*EXP(Ft!B$38*($A505-Ft!B$2)^2)</f>
        <v>51.635411668858353</v>
      </c>
      <c r="F505" s="27">
        <f>Ft!C$3*EXP(Ft!C$38*($A505-Ft!C$2)^2)</f>
        <v>47.185665717473483</v>
      </c>
      <c r="G505" s="27">
        <f>Ft!D$3*EXP(Ft!D$38*($A505-Ft!D$2)^2)</f>
        <v>7.2803140403462988E-2</v>
      </c>
      <c r="H505" s="27">
        <f>Ft!E$3*EXP(Ft!E$38*($A505-Ft!E$2)^2)</f>
        <v>79.451725257422041</v>
      </c>
      <c r="I505" s="27">
        <f>Ft!F$3*EXP(Ft!F$38*($A505-Ft!F$2)^2)</f>
        <v>32.696278333564621</v>
      </c>
      <c r="J505" s="27">
        <f>Ft!G$3*EXP(Ft!G$38*($A505-Ft!G$2)^2)</f>
        <v>37.047362982252366</v>
      </c>
    </row>
    <row r="506" spans="1:10">
      <c r="A506" s="20">
        <v>504</v>
      </c>
      <c r="B506" s="29">
        <v>23.314125247529432</v>
      </c>
      <c r="C506" s="28">
        <f ca="1">OFFSET($B506,1*(ROWS(C$2:C506)-1),0)</f>
        <v>0</v>
      </c>
      <c r="D506" s="27">
        <f>Ft!B$3*EXP(Ft!B$38*($A506-Ft!B$2)^2) +Ft!C$3*EXP(Ft!C$38*($A506-Ft!C$2)^2) + Ft!D$3*EXP(Ft!D$38*($A506-Ft!D$2)^2)+Ft!E$3*EXP(Ft!E$38*($A506-Ft!E$2)^2) +Ft!F$3*EXP(Ft!F$38*($A506-Ft!F$2)^2) + Ft!G$3*EXP(Ft!G$38*($A506-Ft!G$2)^2)</f>
        <v>248.15751890377672</v>
      </c>
      <c r="E506" s="27">
        <f>Ft!B$3*EXP(Ft!B$38*($A506-Ft!B$2)^2)</f>
        <v>51.457019187503526</v>
      </c>
      <c r="F506" s="27">
        <f>Ft!C$3*EXP(Ft!C$38*($A506-Ft!C$2)^2)</f>
        <v>47.227236416210737</v>
      </c>
      <c r="G506" s="27">
        <f>Ft!D$3*EXP(Ft!D$38*($A506-Ft!D$2)^2)</f>
        <v>6.62060543001258E-2</v>
      </c>
      <c r="H506" s="27">
        <f>Ft!E$3*EXP(Ft!E$38*($A506-Ft!E$2)^2)</f>
        <v>79.701288135242251</v>
      </c>
      <c r="I506" s="27">
        <f>Ft!F$3*EXP(Ft!F$38*($A506-Ft!F$2)^2)</f>
        <v>32.800276896189352</v>
      </c>
      <c r="J506" s="27">
        <f>Ft!G$3*EXP(Ft!G$38*($A506-Ft!G$2)^2)</f>
        <v>36.905492214330742</v>
      </c>
    </row>
    <row r="507" spans="1:10">
      <c r="A507" s="20">
        <v>505</v>
      </c>
      <c r="B507" s="29">
        <v>23.128000829466288</v>
      </c>
      <c r="C507" s="28">
        <f ca="1">OFFSET($B507,1*(ROWS(C$2:C507)-1),0)</f>
        <v>0</v>
      </c>
      <c r="D507" s="27">
        <f>Ft!B$3*EXP(Ft!B$38*($A507-Ft!B$2)^2) +Ft!C$3*EXP(Ft!C$38*($A507-Ft!C$2)^2) + Ft!D$3*EXP(Ft!D$38*($A507-Ft!D$2)^2)+Ft!E$3*EXP(Ft!E$38*($A507-Ft!E$2)^2) +Ft!F$3*EXP(Ft!F$38*($A507-Ft!F$2)^2) + Ft!G$3*EXP(Ft!G$38*($A507-Ft!G$2)^2)</f>
        <v>248.22604607231165</v>
      </c>
      <c r="E507" s="27">
        <f>Ft!B$3*EXP(Ft!B$38*($A507-Ft!B$2)^2)</f>
        <v>51.278998337126943</v>
      </c>
      <c r="F507" s="27">
        <f>Ft!C$3*EXP(Ft!C$38*($A507-Ft!C$2)^2)</f>
        <v>47.268739324762741</v>
      </c>
      <c r="G507" s="27">
        <f>Ft!D$3*EXP(Ft!D$38*($A507-Ft!D$2)^2)</f>
        <v>6.0123785994780403E-2</v>
      </c>
      <c r="H507" s="27">
        <f>Ft!E$3*EXP(Ft!E$38*($A507-Ft!E$2)^2)</f>
        <v>79.95047598726272</v>
      </c>
      <c r="I507" s="27">
        <f>Ft!F$3*EXP(Ft!F$38*($A507-Ft!F$2)^2)</f>
        <v>32.904497910078483</v>
      </c>
      <c r="J507" s="27">
        <f>Ft!G$3*EXP(Ft!G$38*($A507-Ft!G$2)^2)</f>
        <v>36.763210727086005</v>
      </c>
    </row>
    <row r="508" spans="1:10">
      <c r="A508" s="20">
        <v>506</v>
      </c>
      <c r="B508" s="29">
        <v>22.938932097123057</v>
      </c>
      <c r="C508" s="28">
        <f ca="1">OFFSET($B508,1*(ROWS(C$2:C508)-1),0)</f>
        <v>0</v>
      </c>
      <c r="D508" s="27">
        <f>Ft!B$3*EXP(Ft!B$38*($A508-Ft!B$2)^2) +Ft!C$3*EXP(Ft!C$38*($A508-Ft!C$2)^2) + Ft!D$3*EXP(Ft!D$38*($A508-Ft!D$2)^2)+Ft!E$3*EXP(Ft!E$38*($A508-Ft!E$2)^2) +Ft!F$3*EXP(Ft!F$38*($A508-Ft!F$2)^2) + Ft!G$3*EXP(Ft!G$38*($A508-Ft!G$2)^2)</f>
        <v>248.29479803774581</v>
      </c>
      <c r="E508" s="27">
        <f>Ft!B$3*EXP(Ft!B$38*($A508-Ft!B$2)^2)</f>
        <v>51.101349528009379</v>
      </c>
      <c r="F508" s="27">
        <f>Ft!C$3*EXP(Ft!C$38*($A508-Ft!C$2)^2)</f>
        <v>47.310174200120514</v>
      </c>
      <c r="G508" s="27">
        <f>Ft!D$3*EXP(Ft!D$38*($A508-Ft!D$2)^2)</f>
        <v>5.4525035433531516E-2</v>
      </c>
      <c r="H508" s="27">
        <f>Ft!E$3*EXP(Ft!E$38*($A508-Ft!E$2)^2)</f>
        <v>80.19928040558591</v>
      </c>
      <c r="I508" s="27">
        <f>Ft!F$3*EXP(Ft!F$38*($A508-Ft!F$2)^2)</f>
        <v>33.008941394651281</v>
      </c>
      <c r="J508" s="27">
        <f>Ft!G$3*EXP(Ft!G$38*($A508-Ft!G$2)^2)</f>
        <v>36.620527473945188</v>
      </c>
    </row>
    <row r="509" spans="1:10">
      <c r="A509" s="20">
        <v>507</v>
      </c>
      <c r="B509" s="29">
        <v>22.727380727212164</v>
      </c>
      <c r="C509" s="28">
        <f ca="1">OFFSET($B509,1*(ROWS(C$2:C509)-1),0)</f>
        <v>0</v>
      </c>
      <c r="D509" s="27">
        <f>Ft!B$3*EXP(Ft!B$38*($A509-Ft!B$2)^2) +Ft!C$3*EXP(Ft!C$38*($A509-Ft!C$2)^2) + Ft!D$3*EXP(Ft!D$38*($A509-Ft!D$2)^2)+Ft!E$3*EXP(Ft!E$38*($A509-Ft!E$2)^2) +Ft!F$3*EXP(Ft!F$38*($A509-Ft!F$2)^2) + Ft!G$3*EXP(Ft!G$38*($A509-Ft!G$2)^2)</f>
        <v>248.36374519972489</v>
      </c>
      <c r="E509" s="27">
        <f>Ft!B$3*EXP(Ft!B$38*($A509-Ft!B$2)^2)</f>
        <v>50.924073163694736</v>
      </c>
      <c r="F509" s="27">
        <f>Ft!C$3*EXP(Ft!C$38*($A509-Ft!C$2)^2)</f>
        <v>47.351540799512847</v>
      </c>
      <c r="G509" s="27">
        <f>Ft!D$3*EXP(Ft!D$38*($A509-Ft!D$2)^2)</f>
        <v>4.9379491623933985E-2</v>
      </c>
      <c r="H509" s="27">
        <f>Ft!E$3*EXP(Ft!E$38*($A509-Ft!E$2)^2)</f>
        <v>80.44769297278792</v>
      </c>
      <c r="I509" s="27">
        <f>Ft!F$3*EXP(Ft!F$38*($A509-Ft!F$2)^2)</f>
        <v>33.11360736718769</v>
      </c>
      <c r="J509" s="27">
        <f>Ft!G$3*EXP(Ft!G$38*($A509-Ft!G$2)^2)</f>
        <v>36.477451404917794</v>
      </c>
    </row>
    <row r="510" spans="1:10">
      <c r="A510" s="20">
        <v>508</v>
      </c>
      <c r="B510" s="29">
        <v>22.534910423374157</v>
      </c>
      <c r="C510" s="28">
        <f ca="1">OFFSET($B510,1*(ROWS(C$2:C510)-1),0)</f>
        <v>0</v>
      </c>
      <c r="D510" s="27">
        <f>Ft!B$3*EXP(Ft!B$38*($A510-Ft!B$2)^2) +Ft!C$3*EXP(Ft!C$38*($A510-Ft!C$2)^2) + Ft!D$3*EXP(Ft!D$38*($A510-Ft!D$2)^2)+Ft!E$3*EXP(Ft!E$38*($A510-Ft!E$2)^2) +Ft!F$3*EXP(Ft!F$38*($A510-Ft!F$2)^2) + Ft!G$3*EXP(Ft!G$38*($A510-Ft!G$2)^2)</f>
        <v>248.43285899201427</v>
      </c>
      <c r="E510" s="27">
        <f>Ft!B$3*EXP(Ft!B$38*($A510-Ft!B$2)^2)</f>
        <v>50.747169641005613</v>
      </c>
      <c r="F510" s="27">
        <f>Ft!C$3*EXP(Ft!C$38*($A510-Ft!C$2)^2)</f>
        <v>47.392838880408632</v>
      </c>
      <c r="G510" s="27">
        <f>Ft!D$3*EXP(Ft!D$38*($A510-Ft!D$2)^2)</f>
        <v>4.4657899719272885E-2</v>
      </c>
      <c r="H510" s="27">
        <f>Ft!E$3*EXP(Ft!E$38*($A510-Ft!E$2)^2)</f>
        <v>80.695705262377558</v>
      </c>
      <c r="I510" s="27">
        <f>Ft!F$3*EXP(Ft!F$38*($A510-Ft!F$2)^2)</f>
        <v>33.21849584282127</v>
      </c>
      <c r="J510" s="27">
        <f>Ft!G$3*EXP(Ft!G$38*($A510-Ft!G$2)^2)</f>
        <v>36.333991465681919</v>
      </c>
    </row>
    <row r="511" spans="1:10">
      <c r="A511" s="20">
        <v>509</v>
      </c>
      <c r="B511" s="29">
        <v>22.350434129686079</v>
      </c>
      <c r="C511" s="28">
        <f ca="1">OFFSET($B511,1*(ROWS(C$2:C511)-1),0)</f>
        <v>0</v>
      </c>
      <c r="D511" s="27">
        <f>Ft!B$3*EXP(Ft!B$38*($A511-Ft!B$2)^2) +Ft!C$3*EXP(Ft!C$38*($A511-Ft!C$2)^2) + Ft!D$3*EXP(Ft!D$38*($A511-Ft!D$2)^2)+Ft!E$3*EXP(Ft!E$38*($A511-Ft!E$2)^2) +Ft!F$3*EXP(Ft!F$38*($A511-Ft!F$2)^2) + Ft!G$3*EXP(Ft!G$38*($A511-Ft!G$2)^2)</f>
        <v>248.50211193593248</v>
      </c>
      <c r="E511" s="27">
        <f>Ft!B$3*EXP(Ft!B$38*($A511-Ft!B$2)^2)</f>
        <v>50.570639350059068</v>
      </c>
      <c r="F511" s="27">
        <f>Ft!C$3*EXP(Ft!C$38*($A511-Ft!C$2)^2)</f>
        <v>47.434068200519242</v>
      </c>
      <c r="G511" s="27">
        <f>Ft!D$3*EXP(Ft!D$38*($A511-Ft!D$2)^2)</f>
        <v>4.0332114889804642E-2</v>
      </c>
      <c r="H511" s="27">
        <f>Ft!E$3*EXP(Ft!E$38*($A511-Ft!E$2)^2)</f>
        <v>80.94330883925771</v>
      </c>
      <c r="I511" s="27">
        <f>Ft!F$3*EXP(Ft!F$38*($A511-Ft!F$2)^2)</f>
        <v>33.323606834532235</v>
      </c>
      <c r="J511" s="27">
        <f>Ft!G$3*EXP(Ft!G$38*($A511-Ft!G$2)^2)</f>
        <v>36.19015659667442</v>
      </c>
    </row>
    <row r="512" spans="1:10">
      <c r="A512" s="20">
        <v>510</v>
      </c>
      <c r="B512" s="29">
        <v>22.153934795339836</v>
      </c>
      <c r="C512" s="28">
        <f ca="1">OFFSET($B512,1*(ROWS(C$2:C512)-1),0)</f>
        <v>0</v>
      </c>
      <c r="D512" s="27">
        <f>Ft!B$3*EXP(Ft!B$38*($A512-Ft!B$2)^2) +Ft!C$3*EXP(Ft!C$38*($A512-Ft!C$2)^2) + Ft!D$3*EXP(Ft!D$38*($A512-Ft!D$2)^2)+Ft!E$3*EXP(Ft!E$38*($A512-Ft!E$2)^2) +Ft!F$3*EXP(Ft!F$38*($A512-Ft!F$2)^2) + Ft!G$3*EXP(Ft!G$38*($A512-Ft!G$2)^2)</f>
        <v>248.57147768140101</v>
      </c>
      <c r="E512" s="27">
        <f>Ft!B$3*EXP(Ft!B$38*($A512-Ft!B$2)^2)</f>
        <v>50.394482674282486</v>
      </c>
      <c r="F512" s="27">
        <f>Ft!C$3*EXP(Ft!C$38*($A512-Ft!C$2)^2)</f>
        <v>47.475228517800836</v>
      </c>
      <c r="G512" s="27">
        <f>Ft!D$3*EXP(Ft!D$38*($A512-Ft!D$2)^2)</f>
        <v>3.6375143803266875E-2</v>
      </c>
      <c r="H512" s="27">
        <f>Ft!E$3*EXP(Ft!E$38*($A512-Ft!E$2)^2)</f>
        <v>81.190495260188555</v>
      </c>
      <c r="I512" s="27">
        <f>Ft!F$3*EXP(Ft!F$38*($A512-Ft!F$2)^2)</f>
        <v>33.428940353140455</v>
      </c>
      <c r="J512" s="27">
        <f>Ft!G$3*EXP(Ft!G$38*($A512-Ft!G$2)^2)</f>
        <v>36.045955732185398</v>
      </c>
    </row>
    <row r="513" spans="1:10">
      <c r="A513" s="20">
        <v>511</v>
      </c>
      <c r="B513" s="29">
        <v>21.955634800836208</v>
      </c>
      <c r="C513" s="28">
        <f ca="1">OFFSET($B513,1*(ROWS(C$2:C513)-1),0)</f>
        <v>0</v>
      </c>
      <c r="D513" s="27">
        <f>Ft!B$3*EXP(Ft!B$38*($A513-Ft!B$2)^2) +Ft!C$3*EXP(Ft!C$38*($A513-Ft!C$2)^2) + Ft!D$3*EXP(Ft!D$38*($A513-Ft!D$2)^2)+Ft!E$3*EXP(Ft!E$38*($A513-Ft!E$2)^2) +Ft!F$3*EXP(Ft!F$38*($A513-Ft!F$2)^2) + Ft!G$3*EXP(Ft!G$38*($A513-Ft!G$2)^2)</f>
        <v>248.64093103646724</v>
      </c>
      <c r="E513" s="27">
        <f>Ft!B$3*EXP(Ft!B$38*($A513-Ft!B$2)^2)</f>
        <v>50.218699990429585</v>
      </c>
      <c r="F513" s="27">
        <f>Ft!C$3*EXP(Ft!C$38*($A513-Ft!C$2)^2)</f>
        <v>47.516319590456767</v>
      </c>
      <c r="G513" s="27">
        <f>Ft!D$3*EXP(Ft!D$38*($A513-Ft!D$2)^2)</f>
        <v>3.2761174572566346E-2</v>
      </c>
      <c r="H513" s="27">
        <f>Ft!E$3*EXP(Ft!E$38*($A513-Ft!E$2)^2)</f>
        <v>81.437256074252886</v>
      </c>
      <c r="I513" s="27">
        <f>Ft!F$3*EXP(Ft!F$38*($A513-Ft!F$2)^2)</f>
        <v>33.534496407298441</v>
      </c>
      <c r="J513" s="27">
        <f>Ft!G$3*EXP(Ft!G$38*($A513-Ft!G$2)^2)</f>
        <v>35.90139779945698</v>
      </c>
    </row>
    <row r="514" spans="1:10">
      <c r="A514" s="20">
        <v>512</v>
      </c>
      <c r="B514" s="29">
        <v>21.781066004622971</v>
      </c>
      <c r="C514" s="28">
        <f ca="1">OFFSET($B514,1*(ROWS(C$2:C514)-1),0)</f>
        <v>0</v>
      </c>
      <c r="D514" s="27">
        <f>Ft!B$3*EXP(Ft!B$38*($A514-Ft!B$2)^2) +Ft!C$3*EXP(Ft!C$38*($A514-Ft!C$2)^2) + Ft!D$3*EXP(Ft!D$38*($A514-Ft!D$2)^2)+Ft!E$3*EXP(Ft!E$38*($A514-Ft!E$2)^2) +Ft!F$3*EXP(Ft!F$38*($A514-Ft!F$2)^2) + Ft!G$3*EXP(Ft!G$38*($A514-Ft!G$2)^2)</f>
        <v>248.71044798618266</v>
      </c>
      <c r="E514" s="27">
        <f>Ft!B$3*EXP(Ft!B$38*($A514-Ft!B$2)^2)</f>
        <v>50.043291668596389</v>
      </c>
      <c r="F514" s="27">
        <f>Ft!C$3*EXP(Ft!C$38*($A514-Ft!C$2)^2)</f>
        <v>47.557341176939914</v>
      </c>
      <c r="G514" s="27">
        <f>Ft!D$3*EXP(Ft!D$38*($A514-Ft!D$2)^2)</f>
        <v>2.9465596051766796E-2</v>
      </c>
      <c r="H514" s="27">
        <f>Ft!E$3*EXP(Ft!E$38*($A514-Ft!E$2)^2)</f>
        <v>81.683582823323448</v>
      </c>
      <c r="I514" s="27">
        <f>Ft!F$3*EXP(Ft!F$38*($A514-Ft!F$2)^2)</f>
        <v>33.64027500348444</v>
      </c>
      <c r="J514" s="27">
        <f>Ft!G$3*EXP(Ft!G$38*($A514-Ft!G$2)^2)</f>
        <v>35.756491717786687</v>
      </c>
    </row>
    <row r="515" spans="1:10">
      <c r="A515" s="20">
        <v>513</v>
      </c>
      <c r="B515" s="29">
        <v>21.587180426556785</v>
      </c>
      <c r="C515" s="28">
        <f ca="1">OFFSET($B515,1*(ROWS(C$2:C515)-1),0)</f>
        <v>0</v>
      </c>
      <c r="D515" s="27">
        <f>Ft!B$3*EXP(Ft!B$38*($A515-Ft!B$2)^2) +Ft!C$3*EXP(Ft!C$38*($A515-Ft!C$2)^2) + Ft!D$3*EXP(Ft!D$38*($A515-Ft!D$2)^2)+Ft!E$3*EXP(Ft!E$38*($A515-Ft!E$2)^2) +Ft!F$3*EXP(Ft!F$38*($A515-Ft!F$2)^2) + Ft!G$3*EXP(Ft!G$38*($A515-Ft!G$2)^2)</f>
        <v>248.78000570172856</v>
      </c>
      <c r="E515" s="27">
        <f>Ft!B$3*EXP(Ft!B$38*($A515-Ft!B$2)^2)</f>
        <v>49.868258072237509</v>
      </c>
      <c r="F515" s="27">
        <f>Ft!C$3*EXP(Ft!C$38*($A515-Ft!C$2)^2)</f>
        <v>47.598293035955017</v>
      </c>
      <c r="G515" s="27">
        <f>Ft!D$3*EXP(Ft!D$38*($A515-Ft!D$2)^2)</f>
        <v>2.6465007373238505E-2</v>
      </c>
      <c r="H515" s="27">
        <f>Ft!E$3*EXP(Ft!E$38*($A515-Ft!E$2)^2)</f>
        <v>81.92946704253211</v>
      </c>
      <c r="I515" s="27">
        <f>Ft!F$3*EXP(Ft!F$38*($A515-Ft!F$2)^2)</f>
        <v>33.746276145995424</v>
      </c>
      <c r="J515" s="27">
        <f>Ft!G$3*EXP(Ft!G$38*($A515-Ft!G$2)^2)</f>
        <v>35.611246397635291</v>
      </c>
    </row>
    <row r="516" spans="1:10">
      <c r="A516" s="20">
        <v>514</v>
      </c>
      <c r="B516" s="29">
        <v>21.404072852153035</v>
      </c>
      <c r="C516" s="28">
        <f ca="1">OFFSET($B516,1*(ROWS(C$2:C516)-1),0)</f>
        <v>0</v>
      </c>
      <c r="D516" s="27">
        <f>Ft!B$3*EXP(Ft!B$38*($A516-Ft!B$2)^2) +Ft!C$3*EXP(Ft!C$38*($A516-Ft!C$2)^2) + Ft!D$3*EXP(Ft!D$38*($A516-Ft!D$2)^2)+Ft!E$3*EXP(Ft!E$38*($A516-Ft!E$2)^2) +Ft!F$3*EXP(Ft!F$38*($A516-Ft!F$2)^2) + Ft!G$3*EXP(Ft!G$38*($A516-Ft!G$2)^2)</f>
        <v>248.84958254068428</v>
      </c>
      <c r="E516" s="27">
        <f>Ft!B$3*EXP(Ft!B$38*($A516-Ft!B$2)^2)</f>
        <v>49.693599558182328</v>
      </c>
      <c r="F516" s="27">
        <f>Ft!C$3*EXP(Ft!C$38*($A516-Ft!C$2)^2)</f>
        <v>47.639174926461038</v>
      </c>
      <c r="G516" s="27">
        <f>Ft!D$3*EXP(Ft!D$38*($A516-Ft!D$2)^2)</f>
        <v>2.3737218620079381E-2</v>
      </c>
      <c r="H516" s="27">
        <f>Ft!E$3*EXP(Ft!E$38*($A516-Ft!E$2)^2)</f>
        <v>82.174900260741097</v>
      </c>
      <c r="I516" s="27">
        <f>Ft!F$3*EXP(Ft!F$38*($A516-Ft!F$2)^2)</f>
        <v>33.852499836940183</v>
      </c>
      <c r="J516" s="27">
        <f>Ft!G$3*EXP(Ft!G$38*($A516-Ft!G$2)^2)</f>
        <v>35.465670739739551</v>
      </c>
    </row>
    <row r="517" spans="1:10">
      <c r="A517" s="20">
        <v>515</v>
      </c>
      <c r="B517" s="29">
        <v>21.213368624845543</v>
      </c>
      <c r="C517" s="28">
        <f ca="1">OFFSET($B517,1*(ROWS(C$2:C517)-1),0)</f>
        <v>0</v>
      </c>
      <c r="D517" s="27">
        <f>Ft!B$3*EXP(Ft!B$38*($A517-Ft!B$2)^2) +Ft!C$3*EXP(Ft!C$38*($A517-Ft!C$2)^2) + Ft!D$3*EXP(Ft!D$38*($A517-Ft!D$2)^2)+Ft!E$3*EXP(Ft!E$38*($A517-Ft!E$2)^2) +Ft!F$3*EXP(Ft!F$38*($A517-Ft!F$2)^2) + Ft!G$3*EXP(Ft!G$38*($A517-Ft!G$2)^2)</f>
        <v>248.9191580393227</v>
      </c>
      <c r="E517" s="27">
        <f>Ft!B$3*EXP(Ft!B$38*($A517-Ft!B$2)^2)</f>
        <v>49.519316476651497</v>
      </c>
      <c r="F517" s="27">
        <f>Ft!C$3*EXP(Ft!C$38*($A517-Ft!C$2)^2)</f>
        <v>47.679986607673527</v>
      </c>
      <c r="G517" s="27">
        <f>Ft!D$3*EXP(Ft!D$38*($A517-Ft!D$2)^2)</f>
        <v>2.1261243519691508E-2</v>
      </c>
      <c r="H517" s="27">
        <f>Ft!E$3*EXP(Ft!E$38*($A517-Ft!E$2)^2)</f>
        <v>82.419874001015927</v>
      </c>
      <c r="I517" s="27">
        <f>Ft!F$3*EXP(Ft!F$38*($A517-Ft!F$2)^2)</f>
        <v>33.958946076232415</v>
      </c>
      <c r="J517" s="27">
        <f>Ft!G$3*EXP(Ft!G$38*($A517-Ft!G$2)^2)</f>
        <v>35.319773634229641</v>
      </c>
    </row>
    <row r="518" spans="1:10">
      <c r="A518" s="20">
        <v>516</v>
      </c>
      <c r="B518" s="29">
        <v>21.013562463341771</v>
      </c>
      <c r="C518" s="28">
        <f ca="1">OFFSET($B518,1*(ROWS(C$2:C518)-1),0)</f>
        <v>0</v>
      </c>
      <c r="D518" s="27">
        <f>Ft!B$3*EXP(Ft!B$38*($A518-Ft!B$2)^2) +Ft!C$3*EXP(Ft!C$38*($A518-Ft!C$2)^2) + Ft!D$3*EXP(Ft!D$38*($A518-Ft!D$2)^2)+Ft!E$3*EXP(Ft!E$38*($A518-Ft!E$2)^2) +Ft!F$3*EXP(Ft!F$38*($A518-Ft!F$2)^2) + Ft!G$3*EXP(Ft!G$38*($A518-Ft!G$2)^2)</f>
        <v>248.98871289780371</v>
      </c>
      <c r="E518" s="27">
        <f>Ft!B$3*EXP(Ft!B$38*($A518-Ft!B$2)^2)</f>
        <v>49.345409171273175</v>
      </c>
      <c r="F518" s="27">
        <f>Ft!C$3*EXP(Ft!C$38*($A518-Ft!C$2)^2)</f>
        <v>47.720727839066932</v>
      </c>
      <c r="G518" s="27">
        <f>Ft!D$3*EXP(Ft!D$38*($A518-Ft!D$2)^2)</f>
        <v>1.9017285027742147E-2</v>
      </c>
      <c r="H518" s="27">
        <f>Ft!E$3*EXP(Ft!E$38*($A518-Ft!E$2)^2)</f>
        <v>82.664379781100351</v>
      </c>
      <c r="I518" s="27">
        <f>Ft!F$3*EXP(Ft!F$38*($A518-Ft!F$2)^2)</f>
        <v>34.065614861583796</v>
      </c>
      <c r="J518" s="27">
        <f>Ft!G$3*EXP(Ft!G$38*($A518-Ft!G$2)^2)</f>
        <v>35.173563959751696</v>
      </c>
    </row>
    <row r="519" spans="1:10">
      <c r="A519" s="20">
        <v>517</v>
      </c>
      <c r="B519" s="29">
        <v>20.815758547748771</v>
      </c>
      <c r="C519" s="28">
        <f ca="1">OFFSET($B519,1*(ROWS(C$2:C519)-1),0)</f>
        <v>0</v>
      </c>
      <c r="D519" s="27">
        <f>Ft!B$3*EXP(Ft!B$38*($A519-Ft!B$2)^2) +Ft!C$3*EXP(Ft!C$38*($A519-Ft!C$2)^2) + Ft!D$3*EXP(Ft!D$38*($A519-Ft!D$2)^2)+Ft!E$3*EXP(Ft!E$38*($A519-Ft!E$2)^2) +Ft!F$3*EXP(Ft!F$38*($A519-Ft!F$2)^2) + Ft!G$3*EXP(Ft!G$38*($A519-Ft!G$2)^2)</f>
        <v>249.05822895911001</v>
      </c>
      <c r="E519" s="27">
        <f>Ft!B$3*EXP(Ft!B$38*($A519-Ft!B$2)^2)</f>
        <v>49.171877979099861</v>
      </c>
      <c r="F519" s="27">
        <f>Ft!C$3*EXP(Ft!C$38*($A519-Ft!C$2)^2)</f>
        <v>47.761398380376988</v>
      </c>
      <c r="G519" s="27">
        <f>Ft!D$3*EXP(Ft!D$38*($A519-Ft!D$2)^2)</f>
        <v>1.6986714647702093E-2</v>
      </c>
      <c r="H519" s="27">
        <f>Ft!E$3*EXP(Ft!E$38*($A519-Ft!E$2)^2)</f>
        <v>82.908409113893015</v>
      </c>
      <c r="I519" s="27">
        <f>Ft!F$3*EXP(Ft!F$38*($A519-Ft!F$2)^2)</f>
        <v>34.172506188497081</v>
      </c>
      <c r="J519" s="27">
        <f>Ft!G$3*EXP(Ft!G$38*($A519-Ft!G$2)^2)</f>
        <v>35.027050582595351</v>
      </c>
    </row>
    <row r="520" spans="1:10">
      <c r="A520" s="20">
        <v>518</v>
      </c>
      <c r="B520" s="29">
        <v>20.641151346705755</v>
      </c>
      <c r="C520" s="28">
        <f ca="1">OFFSET($B520,1*(ROWS(C$2:C520)-1),0)</f>
        <v>0</v>
      </c>
      <c r="D520" s="27">
        <f>Ft!B$3*EXP(Ft!B$38*($A520-Ft!B$2)^2) +Ft!C$3*EXP(Ft!C$38*($A520-Ft!C$2)^2) + Ft!D$3*EXP(Ft!D$38*($A520-Ft!D$2)^2)+Ft!E$3*EXP(Ft!E$38*($A520-Ft!E$2)^2) +Ft!F$3*EXP(Ft!F$38*($A520-Ft!F$2)^2) + Ft!G$3*EXP(Ft!G$38*($A520-Ft!G$2)^2)</f>
        <v>249.12768918254042</v>
      </c>
      <c r="E520" s="27">
        <f>Ft!B$3*EXP(Ft!B$38*($A520-Ft!B$2)^2)</f>
        <v>48.998723230624954</v>
      </c>
      <c r="F520" s="27">
        <f>Ft!C$3*EXP(Ft!C$38*($A520-Ft!C$2)^2)</f>
        <v>47.801997991603052</v>
      </c>
      <c r="G520" s="27">
        <f>Ft!D$3*EXP(Ft!D$38*($A520-Ft!D$2)^2)</f>
        <v>1.5152046300772085E-2</v>
      </c>
      <c r="H520" s="27">
        <f>Ft!E$3*EXP(Ft!E$38*($A520-Ft!E$2)^2)</f>
        <v>83.151953507925896</v>
      </c>
      <c r="I520" s="27">
        <f>Ft!F$3*EXP(Ft!F$38*($A520-Ft!F$2)^2)</f>
        <v>34.279620050259233</v>
      </c>
      <c r="J520" s="27">
        <f>Ft!G$3*EXP(Ft!G$38*($A520-Ft!G$2)^2)</f>
        <v>34.880242355826503</v>
      </c>
    </row>
    <row r="521" spans="1:10">
      <c r="A521" s="20">
        <v>519</v>
      </c>
      <c r="B521" s="29">
        <v>20.466362429682363</v>
      </c>
      <c r="C521" s="28">
        <f ca="1">OFFSET($B521,1*(ROWS(C$2:C521)-1),0)</f>
        <v>0</v>
      </c>
      <c r="D521" s="27">
        <f>Ft!B$3*EXP(Ft!B$38*($A521-Ft!B$2)^2) +Ft!C$3*EXP(Ft!C$38*($A521-Ft!C$2)^2) + Ft!D$3*EXP(Ft!D$38*($A521-Ft!D$2)^2)+Ft!E$3*EXP(Ft!E$38*($A521-Ft!E$2)^2) +Ft!F$3*EXP(Ft!F$38*($A521-Ft!F$2)^2) + Ft!G$3*EXP(Ft!G$38*($A521-Ft!G$2)^2)</f>
        <v>249.19707761253966</v>
      </c>
      <c r="E521" s="27">
        <f>Ft!B$3*EXP(Ft!B$38*($A521-Ft!B$2)^2)</f>
        <v>48.825945249799474</v>
      </c>
      <c r="F521" s="27">
        <f>Ft!C$3*EXP(Ft!C$38*($A521-Ft!C$2)^2)</f>
        <v>47.842526433010434</v>
      </c>
      <c r="G521" s="27">
        <f>Ft!D$3*EXP(Ft!D$38*($A521-Ft!D$2)^2)</f>
        <v>1.349690552529809E-2</v>
      </c>
      <c r="H521" s="27">
        <f>Ft!E$3*EXP(Ft!E$38*($A521-Ft!E$2)^2)</f>
        <v>83.395004467844458</v>
      </c>
      <c r="I521" s="27">
        <f>Ft!F$3*EXP(Ft!F$38*($A521-Ft!F$2)^2)</f>
        <v>34.386956437934593</v>
      </c>
      <c r="J521" s="27">
        <f>Ft!G$3*EXP(Ft!G$38*($A521-Ft!G$2)^2)</f>
        <v>34.73314811842539</v>
      </c>
    </row>
    <row r="522" spans="1:10">
      <c r="A522" s="20">
        <v>520</v>
      </c>
      <c r="B522" s="29">
        <v>20.279577940908041</v>
      </c>
      <c r="C522" s="28">
        <f ca="1">OFFSET($B522,1*(ROWS(C$2:C522)-1),0)</f>
        <v>0</v>
      </c>
      <c r="D522" s="27">
        <f>Ft!B$3*EXP(Ft!B$38*($A522-Ft!B$2)^2) +Ft!C$3*EXP(Ft!C$38*($A522-Ft!C$2)^2) + Ft!D$3*EXP(Ft!D$38*($A522-Ft!D$2)^2)+Ft!E$3*EXP(Ft!E$38*($A522-Ft!E$2)^2) +Ft!F$3*EXP(Ft!F$38*($A522-Ft!F$2)^2) + Ft!G$3*EXP(Ft!G$38*($A522-Ft!G$2)^2)</f>
        <v>249.26637934360411</v>
      </c>
      <c r="E522" s="27">
        <f>Ft!B$3*EXP(Ft!B$38*($A522-Ft!B$2)^2)</f>
        <v>48.653544354048996</v>
      </c>
      <c r="F522" s="27">
        <f>Ft!C$3*EXP(Ft!C$38*($A522-Ft!C$2)^2)</f>
        <v>47.882983465132746</v>
      </c>
      <c r="G522" s="27">
        <f>Ft!D$3*EXP(Ft!D$38*($A522-Ft!D$2)^2)</f>
        <v>1.2005994744710891E-2</v>
      </c>
      <c r="H522" s="27">
        <f>Ft!E$3*EXP(Ft!E$38*($A522-Ft!E$2)^2)</f>
        <v>83.637553494889588</v>
      </c>
      <c r="I522" s="27">
        <f>Ft!F$3*EXP(Ft!F$38*($A522-Ft!F$2)^2)</f>
        <v>34.494515340357957</v>
      </c>
      <c r="J522" s="27">
        <f>Ft!G$3*EXP(Ft!G$38*($A522-Ft!G$2)^2)</f>
        <v>34.585776694430102</v>
      </c>
    </row>
    <row r="523" spans="1:10">
      <c r="A523" s="20">
        <v>521</v>
      </c>
      <c r="B523" s="29">
        <v>20.087938151546609</v>
      </c>
      <c r="C523" s="28">
        <f ca="1">OFFSET($B523,1*(ROWS(C$2:C523)-1),0)</f>
        <v>0</v>
      </c>
      <c r="D523" s="27">
        <f>Ft!B$3*EXP(Ft!B$38*($A523-Ft!B$2)^2) +Ft!C$3*EXP(Ft!C$38*($A523-Ft!C$2)^2) + Ft!D$3*EXP(Ft!D$38*($A523-Ft!D$2)^2)+Ft!E$3*EXP(Ft!E$38*($A523-Ft!E$2)^2) +Ft!F$3*EXP(Ft!F$38*($A523-Ft!F$2)^2) + Ft!G$3*EXP(Ft!G$38*($A523-Ft!G$2)^2)</f>
        <v>249.33558048195891</v>
      </c>
      <c r="E523" s="27">
        <f>Ft!B$3*EXP(Ft!B$38*($A523-Ft!B$2)^2)</f>
        <v>48.481520854290622</v>
      </c>
      <c r="F523" s="27">
        <f>Ft!C$3*EXP(Ft!C$38*($A523-Ft!C$2)^2)</f>
        <v>47.923368848774267</v>
      </c>
      <c r="G523" s="27">
        <f>Ft!D$3*EXP(Ft!D$38*($A523-Ft!D$2)^2)</f>
        <v>1.0665055299539867E-2</v>
      </c>
      <c r="H523" s="27">
        <f>Ft!E$3*EXP(Ft!E$38*($A523-Ft!E$2)^2)</f>
        <v>83.879592087381056</v>
      </c>
      <c r="I523" s="27">
        <f>Ft!F$3*EXP(Ft!F$38*($A523-Ft!F$2)^2)</f>
        <v>34.602296744127813</v>
      </c>
      <c r="J523" s="27">
        <f>Ft!G$3*EXP(Ft!G$38*($A523-Ft!G$2)^2)</f>
        <v>34.438136892085637</v>
      </c>
    </row>
    <row r="524" spans="1:10">
      <c r="A524" s="20">
        <v>522</v>
      </c>
      <c r="B524" s="29">
        <v>19.875594201563047</v>
      </c>
      <c r="C524" s="28">
        <f ca="1">OFFSET($B524,1*(ROWS(C$2:C524)-1),0)</f>
        <v>0</v>
      </c>
      <c r="D524" s="27">
        <f>Ft!B$3*EXP(Ft!B$38*($A524-Ft!B$2)^2) +Ft!C$3*EXP(Ft!C$38*($A524-Ft!C$2)^2) + Ft!D$3*EXP(Ft!D$38*($A524-Ft!D$2)^2)+Ft!E$3*EXP(Ft!E$38*($A524-Ft!E$2)^2) +Ft!F$3*EXP(Ft!F$38*($A524-Ft!F$2)^2) + Ft!G$3*EXP(Ft!G$38*($A524-Ft!G$2)^2)</f>
        <v>249.40466810465597</v>
      </c>
      <c r="E524" s="27">
        <f>Ft!B$3*EXP(Ft!B$38*($A524-Ft!B$2)^2)</f>
        <v>48.309875054949941</v>
      </c>
      <c r="F524" s="27">
        <f>Ft!C$3*EXP(Ft!C$38*($A524-Ft!C$2)^2)</f>
        <v>47.963682345012266</v>
      </c>
      <c r="G524" s="27">
        <f>Ft!D$3*EXP(Ft!D$38*($A524-Ft!D$2)^2)</f>
        <v>9.4608268930191121E-3</v>
      </c>
      <c r="H524" s="27">
        <f>Ft!E$3*EXP(Ft!E$38*($A524-Ft!E$2)^2)</f>
        <v>84.121111741202682</v>
      </c>
      <c r="I524" s="27">
        <f>Ft!F$3*EXP(Ft!F$38*($A524-Ft!F$2)^2)</f>
        <v>34.710300633599495</v>
      </c>
      <c r="J524" s="27">
        <f>Ft!G$3*EXP(Ft!G$38*($A524-Ft!G$2)^2)</f>
        <v>34.290237502998544</v>
      </c>
    </row>
    <row r="525" spans="1:10">
      <c r="A525" s="20">
        <v>523</v>
      </c>
      <c r="B525" s="29">
        <v>19.656844071669298</v>
      </c>
      <c r="C525" s="28">
        <f ca="1">OFFSET($B525,1*(ROWS(C$2:C525)-1),0)</f>
        <v>0</v>
      </c>
      <c r="D525" s="27">
        <f>Ft!B$3*EXP(Ft!B$38*($A525-Ft!B$2)^2) +Ft!C$3*EXP(Ft!C$38*($A525-Ft!C$2)^2) + Ft!D$3*EXP(Ft!D$38*($A525-Ft!D$2)^2)+Ft!E$3*EXP(Ft!E$38*($A525-Ft!E$2)^2) +Ft!F$3*EXP(Ft!F$38*($A525-Ft!F$2)^2) + Ft!G$3*EXP(Ft!G$38*($A525-Ft!G$2)^2)</f>
        <v>249.47363021669463</v>
      </c>
      <c r="E525" s="27">
        <f>Ft!B$3*EXP(Ft!B$38*($A525-Ft!B$2)^2)</f>
        <v>48.138607253978336</v>
      </c>
      <c r="F525" s="27">
        <f>Ft!C$3*EXP(Ft!C$38*($A525-Ft!C$2)^2)</f>
        <v>48.003923715199342</v>
      </c>
      <c r="G525" s="27">
        <f>Ft!D$3*EXP(Ft!D$38*($A525-Ft!D$2)^2)</f>
        <v>8.3810050520409622E-3</v>
      </c>
      <c r="H525" s="27">
        <f>Ft!E$3*EXP(Ft!E$38*($A525-Ft!E$2)^2)</f>
        <v>84.362103950289182</v>
      </c>
      <c r="I525" s="27">
        <f>Ft!F$3*EXP(Ft!F$38*($A525-Ft!F$2)^2)</f>
        <v>34.818526990878354</v>
      </c>
      <c r="J525" s="27">
        <f>Ft!G$3*EXP(Ft!G$38*($A525-Ft!G$2)^2)</f>
        <v>34.14208730129738</v>
      </c>
    </row>
    <row r="526" spans="1:10">
      <c r="A526" s="20">
        <v>524</v>
      </c>
      <c r="B526" s="29">
        <v>19.444158818929907</v>
      </c>
      <c r="C526" s="28">
        <f ca="1">OFFSET($B526,1*(ROWS(C$2:C526)-1),0)</f>
        <v>0</v>
      </c>
      <c r="D526" s="27">
        <f>Ft!B$3*EXP(Ft!B$38*($A526-Ft!B$2)^2) +Ft!C$3*EXP(Ft!C$38*($A526-Ft!C$2)^2) + Ft!D$3*EXP(Ft!D$38*($A526-Ft!D$2)^2)+Ft!E$3*EXP(Ft!E$38*($A526-Ft!E$2)^2) +Ft!F$3*EXP(Ft!F$38*($A526-Ft!F$2)^2) + Ft!G$3*EXP(Ft!G$38*($A526-Ft!G$2)^2)</f>
        <v>249.54245570671867</v>
      </c>
      <c r="E526" s="27">
        <f>Ft!B$3*EXP(Ft!B$38*($A526-Ft!B$2)^2)</f>
        <v>47.967717742870086</v>
      </c>
      <c r="F526" s="27">
        <f>Ft!C$3*EXP(Ft!C$38*($A526-Ft!C$2)^2)</f>
        <v>48.044092720965793</v>
      </c>
      <c r="G526" s="27">
        <f>Ft!D$3*EXP(Ft!D$38*($A526-Ft!D$2)^2)</f>
        <v>7.4141971564678439E-3</v>
      </c>
      <c r="H526" s="27">
        <f>Ft!E$3*EXP(Ft!E$38*($A526-Ft!E$2)^2)</f>
        <v>84.602560207114266</v>
      </c>
      <c r="I526" s="27">
        <f>Ft!F$3*EXP(Ft!F$38*($A526-Ft!F$2)^2)</f>
        <v>34.926975795813028</v>
      </c>
      <c r="J526" s="27">
        <f>Ft!G$3*EXP(Ft!G$38*($A526-Ft!G$2)^2)</f>
        <v>33.993695042799025</v>
      </c>
    </row>
    <row r="527" spans="1:10">
      <c r="A527" s="20">
        <v>525</v>
      </c>
      <c r="B527" s="29">
        <v>19.251929411520791</v>
      </c>
      <c r="C527" s="28">
        <f ca="1">OFFSET($B527,1*(ROWS(C$2:C527)-1),0)</f>
        <v>0</v>
      </c>
      <c r="D527" s="27">
        <f>Ft!B$3*EXP(Ft!B$38*($A527-Ft!B$2)^2) +Ft!C$3*EXP(Ft!C$38*($A527-Ft!C$2)^2) + Ft!D$3*EXP(Ft!D$38*($A527-Ft!D$2)^2)+Ft!E$3*EXP(Ft!E$38*($A527-Ft!E$2)^2) +Ft!F$3*EXP(Ft!F$38*($A527-Ft!F$2)^2) + Ft!G$3*EXP(Ft!G$38*($A527-Ft!G$2)^2)</f>
        <v>249.61113430179256</v>
      </c>
      <c r="E527" s="27">
        <f>Ft!B$3*EXP(Ft!B$38*($A527-Ft!B$2)^2)</f>
        <v>47.797206806679768</v>
      </c>
      <c r="F527" s="27">
        <f>Ft!C$3*EXP(Ft!C$38*($A527-Ft!C$2)^2)</f>
        <v>48.084189124221908</v>
      </c>
      <c r="G527" s="27">
        <f>Ft!D$3*EXP(Ft!D$38*($A527-Ft!D$2)^2)</f>
        <v>6.5498775407643178E-3</v>
      </c>
      <c r="H527" s="27">
        <f>Ft!E$3*EXP(Ft!E$38*($A527-Ft!E$2)^2)</f>
        <v>84.842472003180589</v>
      </c>
      <c r="I527" s="27">
        <f>Ft!F$3*EXP(Ft!F$38*($A527-Ft!F$2)^2)</f>
        <v>35.035647025988624</v>
      </c>
      <c r="J527" s="27">
        <f>Ft!G$3*EXP(Ft!G$38*($A527-Ft!G$2)^2)</f>
        <v>33.845069464180895</v>
      </c>
    </row>
    <row r="528" spans="1:10">
      <c r="A528" s="20">
        <v>526</v>
      </c>
      <c r="B528" s="29">
        <v>19.0746168260753</v>
      </c>
      <c r="C528" s="28">
        <f ca="1">OFFSET($B528,1*(ROWS(C$2:C528)-1),0)</f>
        <v>0</v>
      </c>
      <c r="D528" s="27">
        <f>Ft!B$3*EXP(Ft!B$38*($A528-Ft!B$2)^2) +Ft!C$3*EXP(Ft!C$38*($A528-Ft!C$2)^2) + Ft!D$3*EXP(Ft!D$38*($A528-Ft!D$2)^2)+Ft!E$3*EXP(Ft!E$38*($A528-Ft!E$2)^2) +Ft!F$3*EXP(Ft!F$38*($A528-Ft!F$2)^2) + Ft!G$3*EXP(Ft!G$38*($A528-Ft!G$2)^2)</f>
        <v>249.67965652171347</v>
      </c>
      <c r="E528" s="27">
        <f>Ft!B$3*EXP(Ft!B$38*($A528-Ft!B$2)^2)</f>
        <v>47.62707472403968</v>
      </c>
      <c r="F528" s="27">
        <f>Ft!C$3*EXP(Ft!C$38*($A528-Ft!C$2)^2)</f>
        <v>48.124212687160366</v>
      </c>
      <c r="G528" s="27">
        <f>Ft!D$3*EXP(Ft!D$38*($A528-Ft!D$2)^2)</f>
        <v>5.7783421231657021E-3</v>
      </c>
      <c r="H528" s="27">
        <f>Ft!E$3*EXP(Ft!E$38*($A528-Ft!E$2)^2)</f>
        <v>85.081830829510977</v>
      </c>
      <c r="I528" s="27">
        <f>Ft!F$3*EXP(Ft!F$38*($A528-Ft!F$2)^2)</f>
        <v>35.144540656719983</v>
      </c>
      <c r="J528" s="27">
        <f>Ft!G$3*EXP(Ft!G$38*($A528-Ft!G$2)^2)</f>
        <v>33.696219282159291</v>
      </c>
    </row>
    <row r="529" spans="1:10">
      <c r="A529" s="20">
        <v>527</v>
      </c>
      <c r="B529" s="29">
        <v>18.878787364281266</v>
      </c>
      <c r="C529" s="28">
        <f ca="1">OFFSET($B529,1*(ROWS(C$2:C529)-1),0)</f>
        <v>0</v>
      </c>
      <c r="D529" s="27">
        <f>Ft!B$3*EXP(Ft!B$38*($A529-Ft!B$2)^2) +Ft!C$3*EXP(Ft!C$38*($A529-Ft!C$2)^2) + Ft!D$3*EXP(Ft!D$38*($A529-Ft!D$2)^2)+Ft!E$3*EXP(Ft!E$38*($A529-Ft!E$2)^2) +Ft!F$3*EXP(Ft!F$38*($A529-Ft!F$2)^2) + Ft!G$3*EXP(Ft!G$38*($A529-Ft!G$2)^2)</f>
        <v>249.74801363326543</v>
      </c>
      <c r="E529" s="27">
        <f>Ft!B$3*EXP(Ft!B$38*($A529-Ft!B$2)^2)</f>
        <v>47.457321767177369</v>
      </c>
      <c r="F529" s="27">
        <f>Ft!C$3*EXP(Ft!C$38*($A529-Ft!C$2)^2)</f>
        <v>48.164163172258512</v>
      </c>
      <c r="G529" s="27">
        <f>Ft!D$3*EXP(Ft!D$38*($A529-Ft!D$2)^2)</f>
        <v>5.0906629696918651E-3</v>
      </c>
      <c r="H529" s="27">
        <f>Ft!E$3*EXP(Ft!E$38*($A529-Ft!E$2)^2)</f>
        <v>85.32062817714106</v>
      </c>
      <c r="I529" s="27">
        <f>Ft!F$3*EXP(Ft!F$38*($A529-Ft!F$2)^2)</f>
        <v>35.253656661044943</v>
      </c>
      <c r="J529" s="27">
        <f>Ft!G$3*EXP(Ft!G$38*($A529-Ft!G$2)^2)</f>
        <v>33.547153192673875</v>
      </c>
    </row>
    <row r="530" spans="1:10">
      <c r="A530" s="20">
        <v>528</v>
      </c>
      <c r="B530" s="29">
        <v>18.707452047603397</v>
      </c>
      <c r="C530" s="28">
        <f ca="1">OFFSET($B530,1*(ROWS(C$2:C530)-1),0)</f>
        <v>0</v>
      </c>
      <c r="D530" s="27">
        <f>Ft!B$3*EXP(Ft!B$38*($A530-Ft!B$2)^2) +Ft!C$3*EXP(Ft!C$38*($A530-Ft!C$2)^2) + Ft!D$3*EXP(Ft!D$38*($A530-Ft!D$2)^2)+Ft!E$3*EXP(Ft!E$38*($A530-Ft!E$2)^2) +Ft!F$3*EXP(Ft!F$38*($A530-Ft!F$2)^2) + Ft!G$3*EXP(Ft!G$38*($A530-Ft!G$2)^2)</f>
        <v>249.81619760477716</v>
      </c>
      <c r="E530" s="27">
        <f>Ft!B$3*EXP(Ft!B$38*($A530-Ft!B$2)^2)</f>
        <v>47.287948201933247</v>
      </c>
      <c r="F530" s="27">
        <f>Ft!C$3*EXP(Ft!C$38*($A530-Ft!C$2)^2)</f>
        <v>48.204040342280749</v>
      </c>
      <c r="G530" s="27">
        <f>Ft!D$3*EXP(Ft!D$38*($A530-Ft!D$2)^2)</f>
        <v>4.478643153706832E-3</v>
      </c>
      <c r="H530" s="27">
        <f>Ft!E$3*EXP(Ft!E$38*($A530-Ft!E$2)^2)</f>
        <v>85.558855537613425</v>
      </c>
      <c r="I530" s="27">
        <f>Ft!F$3*EXP(Ft!F$38*($A530-Ft!F$2)^2)</f>
        <v>35.362995009717594</v>
      </c>
      <c r="J530" s="27">
        <f>Ft!G$3*EXP(Ft!G$38*($A530-Ft!G$2)^2)</f>
        <v>33.397879870078434</v>
      </c>
    </row>
    <row r="531" spans="1:10">
      <c r="A531" s="20">
        <v>529</v>
      </c>
      <c r="B531" s="29">
        <v>18.521116622105041</v>
      </c>
      <c r="C531" s="28">
        <f ca="1">OFFSET($B531,1*(ROWS(C$2:C531)-1),0)</f>
        <v>0</v>
      </c>
      <c r="D531" s="27">
        <f>Ft!B$3*EXP(Ft!B$38*($A531-Ft!B$2)^2) +Ft!C$3*EXP(Ft!C$38*($A531-Ft!C$2)^2) + Ft!D$3*EXP(Ft!D$38*($A531-Ft!D$2)^2)+Ft!E$3*EXP(Ft!E$38*($A531-Ft!E$2)^2) +Ft!F$3*EXP(Ft!F$38*($A531-Ft!F$2)^2) + Ft!G$3*EXP(Ft!G$38*($A531-Ft!G$2)^2)</f>
        <v>249.88420106129843</v>
      </c>
      <c r="E531" s="27">
        <f>Ft!B$3*EXP(Ft!B$38*($A531-Ft!B$2)^2)</f>
        <v>47.118954287778209</v>
      </c>
      <c r="F531" s="27">
        <f>Ft!C$3*EXP(Ft!C$38*($A531-Ft!C$2)^2)</f>
        <v>48.243843960280827</v>
      </c>
      <c r="G531" s="27">
        <f>Ft!D$3*EXP(Ft!D$38*($A531-Ft!D$2)^2)</f>
        <v>3.9347722268098231E-3</v>
      </c>
      <c r="H531" s="27">
        <f>Ft!E$3*EXP(Ft!E$38*($A531-Ft!E$2)^2)</f>
        <v>85.796504403473023</v>
      </c>
      <c r="I531" s="27">
        <f>Ft!F$3*EXP(Ft!F$38*($A531-Ft!F$2)^2)</f>
        <v>35.472555671201626</v>
      </c>
      <c r="J531" s="27">
        <f>Ft!G$3*EXP(Ft!G$38*($A531-Ft!G$2)^2)</f>
        <v>33.248407966337943</v>
      </c>
    </row>
    <row r="532" spans="1:10">
      <c r="A532" s="20">
        <v>530</v>
      </c>
      <c r="B532" s="29">
        <v>18.32138400004203</v>
      </c>
      <c r="C532" s="28">
        <f ca="1">OFFSET($B532,1*(ROWS(C$2:C532)-1),0)</f>
        <v>0</v>
      </c>
      <c r="D532" s="27">
        <f>Ft!B$3*EXP(Ft!B$38*($A532-Ft!B$2)^2) +Ft!C$3*EXP(Ft!C$38*($A532-Ft!C$2)^2) + Ft!D$3*EXP(Ft!D$38*($A532-Ft!D$2)^2)+Ft!E$3*EXP(Ft!E$38*($A532-Ft!E$2)^2) +Ft!F$3*EXP(Ft!F$38*($A532-Ft!F$2)^2) + Ft!G$3*EXP(Ft!G$38*($A532-Ft!G$2)^2)</f>
        <v>249.95201724066953</v>
      </c>
      <c r="E532" s="27">
        <f>Ft!B$3*EXP(Ft!B$38*($A532-Ft!B$2)^2)</f>
        <v>46.950340277831565</v>
      </c>
      <c r="F532" s="27">
        <f>Ft!C$3*EXP(Ft!C$38*($A532-Ft!C$2)^2)</f>
        <v>48.283573789604205</v>
      </c>
      <c r="G532" s="27">
        <f>Ft!D$3*EXP(Ft!D$38*($A532-Ft!D$2)^2)</f>
        <v>3.4521825739458846E-3</v>
      </c>
      <c r="H532" s="27">
        <f>Ft!E$3*EXP(Ft!E$38*($A532-Ft!E$2)^2)</f>
        <v>86.033566268763963</v>
      </c>
      <c r="I532" s="27">
        <f>Ft!F$3*EXP(Ft!F$38*($A532-Ft!F$2)^2)</f>
        <v>35.582338611663587</v>
      </c>
      <c r="J532" s="27">
        <f>Ft!G$3*EXP(Ft!G$38*($A532-Ft!G$2)^2)</f>
        <v>33.098746110232241</v>
      </c>
    </row>
    <row r="533" spans="1:10">
      <c r="A533" s="20">
        <v>531</v>
      </c>
      <c r="B533" s="29">
        <v>18.122879585992337</v>
      </c>
      <c r="C533" s="28">
        <f ca="1">OFFSET($B533,1*(ROWS(C$2:C533)-1),0)</f>
        <v>0</v>
      </c>
      <c r="D533" s="27">
        <f>Ft!B$3*EXP(Ft!B$38*($A533-Ft!B$2)^2) +Ft!C$3*EXP(Ft!C$38*($A533-Ft!C$2)^2) + Ft!D$3*EXP(Ft!D$38*($A533-Ft!D$2)^2)+Ft!E$3*EXP(Ft!E$38*($A533-Ft!E$2)^2) +Ft!F$3*EXP(Ft!F$38*($A533-Ft!F$2)^2) + Ft!G$3*EXP(Ft!G$38*($A533-Ft!G$2)^2)</f>
        <v>250.01963995071401</v>
      </c>
      <c r="E533" s="27">
        <f>Ft!B$3*EXP(Ft!B$38*($A533-Ft!B$2)^2)</f>
        <v>46.782106418878818</v>
      </c>
      <c r="F533" s="27">
        <f>Ft!C$3*EXP(Ft!C$38*($A533-Ft!C$2)^2)</f>
        <v>48.323229593890389</v>
      </c>
      <c r="G533" s="27">
        <f>Ft!D$3*EXP(Ft!D$38*($A533-Ft!D$2)^2)</f>
        <v>3.0246068850049825E-3</v>
      </c>
      <c r="H533" s="27">
        <f>Ft!E$3*EXP(Ft!E$38*($A533-Ft!E$2)^2)</f>
        <v>86.27003262952752</v>
      </c>
      <c r="I533" s="27">
        <f>Ft!F$3*EXP(Ft!F$38*($A533-Ft!F$2)^2)</f>
        <v>35.692343794966234</v>
      </c>
      <c r="J533" s="27">
        <f>Ft!G$3*EXP(Ft!G$38*($A533-Ft!G$2)^2)</f>
        <v>32.948902906566062</v>
      </c>
    </row>
    <row r="534" spans="1:10">
      <c r="A534" s="20">
        <v>532</v>
      </c>
      <c r="B534" s="29">
        <v>17.937824779081382</v>
      </c>
      <c r="C534" s="28">
        <f ca="1">OFFSET($B534,1*(ROWS(C$2:C534)-1),0)</f>
        <v>0</v>
      </c>
      <c r="D534" s="27">
        <f>Ft!B$3*EXP(Ft!B$38*($A534-Ft!B$2)^2) +Ft!C$3*EXP(Ft!C$38*($A534-Ft!C$2)^2) + Ft!D$3*EXP(Ft!D$38*($A534-Ft!D$2)^2)+Ft!E$3*EXP(Ft!E$38*($A534-Ft!E$2)^2) +Ft!F$3*EXP(Ft!F$38*($A534-Ft!F$2)^2) + Ft!G$3*EXP(Ft!G$38*($A534-Ft!G$2)^2)</f>
        <v>250.08706352775098</v>
      </c>
      <c r="E534" s="27">
        <f>Ft!B$3*EXP(Ft!B$38*($A534-Ft!B$2)^2)</f>
        <v>46.614252951389631</v>
      </c>
      <c r="F534" s="27">
        <f>Ft!C$3*EXP(Ft!C$38*($A534-Ft!C$2)^2)</f>
        <v>48.362811137075226</v>
      </c>
      <c r="G534" s="27">
        <f>Ft!D$3*EXP(Ft!D$38*($A534-Ft!D$2)^2)</f>
        <v>2.6463369370374719E-3</v>
      </c>
      <c r="H534" s="27">
        <f>Ft!E$3*EXP(Ft!E$38*($A534-Ft!E$2)^2)</f>
        <v>86.505894984301364</v>
      </c>
      <c r="I534" s="27">
        <f>Ft!F$3*EXP(Ft!F$38*($A534-Ft!F$2)^2)</f>
        <v>35.802571182661872</v>
      </c>
      <c r="J534" s="27">
        <f>Ft!G$3*EXP(Ft!G$38*($A534-Ft!G$2)^2)</f>
        <v>32.798886935385866</v>
      </c>
    </row>
    <row r="535" spans="1:10">
      <c r="A535" s="20">
        <v>533</v>
      </c>
      <c r="B535" s="29">
        <v>17.746935522827329</v>
      </c>
      <c r="C535" s="28">
        <f ca="1">OFFSET($B535,1*(ROWS(C$2:C535)-1),0)</f>
        <v>0</v>
      </c>
      <c r="D535" s="27">
        <f>Ft!B$3*EXP(Ft!B$38*($A535-Ft!B$2)^2) +Ft!C$3*EXP(Ft!C$38*($A535-Ft!C$2)^2) + Ft!D$3*EXP(Ft!D$38*($A535-Ft!D$2)^2)+Ft!E$3*EXP(Ft!E$38*($A535-Ft!E$2)^2) +Ft!F$3*EXP(Ft!F$38*($A535-Ft!F$2)^2) + Ft!G$3*EXP(Ft!G$38*($A535-Ft!G$2)^2)</f>
        <v>250.15428279658408</v>
      </c>
      <c r="E535" s="27">
        <f>Ft!B$3*EXP(Ft!B$38*($A535-Ft!B$2)^2)</f>
        <v>46.446780109535901</v>
      </c>
      <c r="F535" s="27">
        <f>Ft!C$3*EXP(Ft!C$38*($A535-Ft!C$2)^2)</f>
        <v>48.402318183393277</v>
      </c>
      <c r="G535" s="27">
        <f>Ft!D$3*EXP(Ft!D$38*($A535-Ft!D$2)^2)</f>
        <v>2.312183845695411E-3</v>
      </c>
      <c r="H535" s="27">
        <f>Ft!E$3*EXP(Ft!E$38*($A535-Ft!E$2)^2)</f>
        <v>86.741144834620101</v>
      </c>
      <c r="I535" s="27">
        <f>Ft!F$3*EXP(Ft!F$38*($A535-Ft!F$2)^2)</f>
        <v>35.913020733985753</v>
      </c>
      <c r="J535" s="27">
        <f>Ft!G$3*EXP(Ft!G$38*($A535-Ft!G$2)^2)</f>
        <v>32.64870675120337</v>
      </c>
    </row>
    <row r="536" spans="1:10">
      <c r="A536" s="20">
        <v>534</v>
      </c>
      <c r="B536" s="29">
        <v>17.564103574889884</v>
      </c>
      <c r="C536" s="28">
        <f ca="1">OFFSET($B536,1*(ROWS(C$2:C536)-1),0)</f>
        <v>0</v>
      </c>
      <c r="D536" s="27">
        <f>Ft!B$3*EXP(Ft!B$38*($A536-Ft!B$2)^2) +Ft!C$3*EXP(Ft!C$38*($A536-Ft!C$2)^2) + Ft!D$3*EXP(Ft!D$38*($A536-Ft!D$2)^2)+Ft!E$3*EXP(Ft!E$38*($A536-Ft!E$2)^2) +Ft!F$3*EXP(Ft!F$38*($A536-Ft!F$2)^2) + Ft!G$3*EXP(Ft!G$38*($A536-Ft!G$2)^2)</f>
        <v>250.22129303209385</v>
      </c>
      <c r="E536" s="27">
        <f>Ft!B$3*EXP(Ft!B$38*($A536-Ft!B$2)^2)</f>
        <v>46.279688121209901</v>
      </c>
      <c r="F536" s="27">
        <f>Ft!C$3*EXP(Ft!C$38*($A536-Ft!C$2)^2)</f>
        <v>48.441750497380134</v>
      </c>
      <c r="G536" s="27">
        <f>Ft!D$3*EXP(Ft!D$38*($A536-Ft!D$2)^2)</f>
        <v>2.0174399117058963E-3</v>
      </c>
      <c r="H536" s="27">
        <f>Ft!E$3*EXP(Ft!E$38*($A536-Ft!E$2)^2)</f>
        <v>86.975773685516813</v>
      </c>
      <c r="I536" s="27">
        <f>Ft!F$3*EXP(Ft!F$38*($A536-Ft!F$2)^2)</f>
        <v>36.023692405849417</v>
      </c>
      <c r="J536" s="27">
        <f>Ft!G$3*EXP(Ft!G$38*($A536-Ft!G$2)^2)</f>
        <v>32.498370882225849</v>
      </c>
    </row>
    <row r="537" spans="1:10">
      <c r="A537" s="20">
        <v>535</v>
      </c>
      <c r="B537" s="29">
        <v>17.375260140419243</v>
      </c>
      <c r="C537" s="28">
        <f ca="1">OFFSET($B537,1*(ROWS(C$2:C537)-1),0)</f>
        <v>0</v>
      </c>
      <c r="D537" s="27">
        <f>Ft!B$3*EXP(Ft!B$38*($A537-Ft!B$2)^2) +Ft!C$3*EXP(Ft!C$38*($A537-Ft!C$2)^2) + Ft!D$3*EXP(Ft!D$38*($A537-Ft!D$2)^2)+Ft!E$3*EXP(Ft!E$38*($A537-Ft!E$2)^2) +Ft!F$3*EXP(Ft!F$38*($A537-Ft!F$2)^2) + Ft!G$3*EXP(Ft!G$38*($A537-Ft!G$2)^2)</f>
        <v>250.28808992252874</v>
      </c>
      <c r="E537" s="27">
        <f>Ft!B$3*EXP(Ft!B$38*($A537-Ft!B$2)^2)</f>
        <v>46.112977208042508</v>
      </c>
      <c r="F537" s="27">
        <f>Ft!C$3*EXP(Ft!C$38*($A537-Ft!C$2)^2)</f>
        <v>48.481107843874717</v>
      </c>
      <c r="G537" s="27">
        <f>Ft!D$3*EXP(Ft!D$38*($A537-Ft!D$2)^2)</f>
        <v>1.7578421581409633E-3</v>
      </c>
      <c r="H537" s="27">
        <f>Ft!E$3*EXP(Ft!E$38*($A537-Ft!E$2)^2)</f>
        <v>87.209773046025816</v>
      </c>
      <c r="I537" s="27">
        <f>Ft!F$3*EXP(Ft!F$38*($A537-Ft!F$2)^2)</f>
        <v>36.134586152834089</v>
      </c>
      <c r="J537" s="27">
        <f>Ft!G$3*EXP(Ft!G$38*($A537-Ft!G$2)^2)</f>
        <v>32.347887829593475</v>
      </c>
    </row>
    <row r="538" spans="1:10">
      <c r="A538" s="20">
        <v>536</v>
      </c>
      <c r="B538" s="29">
        <v>17.184596176401811</v>
      </c>
      <c r="C538" s="28">
        <f ca="1">OFFSET($B538,1*(ROWS(C$2:C538)-1),0)</f>
        <v>0</v>
      </c>
      <c r="D538" s="27">
        <f>Ft!B$3*EXP(Ft!B$38*($A538-Ft!B$2)^2) +Ft!C$3*EXP(Ft!C$38*($A538-Ft!C$2)^2) + Ft!D$3*EXP(Ft!D$38*($A538-Ft!D$2)^2)+Ft!E$3*EXP(Ft!E$38*($A538-Ft!E$2)^2) +Ft!F$3*EXP(Ft!F$38*($A538-Ft!F$2)^2) + Ft!G$3*EXP(Ft!G$38*($A538-Ft!G$2)^2)</f>
        <v>250.35466953456415</v>
      </c>
      <c r="E538" s="27">
        <f>Ft!B$3*EXP(Ft!B$38*($A538-Ft!B$2)^2)</f>
        <v>45.946647585421431</v>
      </c>
      <c r="F538" s="27">
        <f>Ft!C$3*EXP(Ft!C$38*($A538-Ft!C$2)^2)</f>
        <v>48.520389988021641</v>
      </c>
      <c r="G538" s="27">
        <f>Ft!D$3*EXP(Ft!D$38*($A538-Ft!D$2)^2)</f>
        <v>1.5295376269737128E-3</v>
      </c>
      <c r="H538" s="27">
        <f>Ft!E$3*EXP(Ft!E$38*($A538-Ft!E$2)^2)</f>
        <v>87.443134429686467</v>
      </c>
      <c r="I538" s="27">
        <f>Ft!F$3*EXP(Ft!F$38*($A538-Ft!F$2)^2)</f>
        <v>36.245701927184115</v>
      </c>
      <c r="J538" s="27">
        <f>Ft!G$3*EXP(Ft!G$38*($A538-Ft!G$2)^2)</f>
        <v>32.197266066623527</v>
      </c>
    </row>
    <row r="539" spans="1:10">
      <c r="A539" s="20">
        <v>537</v>
      </c>
      <c r="B539" s="29">
        <v>16.981995412033939</v>
      </c>
      <c r="C539" s="28">
        <f ca="1">OFFSET($B539,1*(ROWS(C$2:C539)-1),0)</f>
        <v>0</v>
      </c>
      <c r="D539" s="27">
        <f>Ft!B$3*EXP(Ft!B$38*($A539-Ft!B$2)^2) +Ft!C$3*EXP(Ft!C$38*($A539-Ft!C$2)^2) + Ft!D$3*EXP(Ft!D$38*($A539-Ft!D$2)^2)+Ft!E$3*EXP(Ft!E$38*($A539-Ft!E$2)^2) +Ft!F$3*EXP(Ft!F$38*($A539-Ft!F$2)^2) + Ft!G$3*EXP(Ft!G$38*($A539-Ft!G$2)^2)</f>
        <v>250.42102828017229</v>
      </c>
      <c r="E539" s="27">
        <f>Ft!B$3*EXP(Ft!B$38*($A539-Ft!B$2)^2)</f>
        <v>45.780699462509666</v>
      </c>
      <c r="F539" s="27">
        <f>Ft!C$3*EXP(Ft!C$38*($A539-Ft!C$2)^2)</f>
        <v>48.55959669527352</v>
      </c>
      <c r="G539" s="27">
        <f>Ft!D$3*EXP(Ft!D$38*($A539-Ft!D$2)^2)</f>
        <v>1.3290504788708234E-3</v>
      </c>
      <c r="H539" s="27">
        <f>Ft!E$3*EXP(Ft!E$38*($A539-Ft!E$2)^2)</f>
        <v>87.675849355047973</v>
      </c>
      <c r="I539" s="27">
        <f>Ft!F$3*EXP(Ft!F$38*($A539-Ft!F$2)^2)</f>
        <v>36.35703967880044</v>
      </c>
      <c r="J539" s="27">
        <f>Ft!G$3*EXP(Ft!G$38*($A539-Ft!G$2)^2)</f>
        <v>32.046514038061808</v>
      </c>
    </row>
    <row r="540" spans="1:10">
      <c r="A540" s="20">
        <v>538</v>
      </c>
      <c r="B540" s="29">
        <v>16.801105309908081</v>
      </c>
      <c r="C540" s="28">
        <f ca="1">OFFSET($B540,1*(ROWS(C$2:C540)-1),0)</f>
        <v>0</v>
      </c>
      <c r="D540" s="27">
        <f>Ft!B$3*EXP(Ft!B$38*($A540-Ft!B$2)^2) +Ft!C$3*EXP(Ft!C$38*($A540-Ft!C$2)^2) + Ft!D$3*EXP(Ft!D$38*($A540-Ft!D$2)^2)+Ft!E$3*EXP(Ft!E$38*($A540-Ft!E$2)^2) +Ft!F$3*EXP(Ft!F$38*($A540-Ft!F$2)^2) + Ft!G$3*EXP(Ft!G$38*($A540-Ft!G$2)^2)</f>
        <v>250.487162885326</v>
      </c>
      <c r="E540" s="27">
        <f>Ft!B$3*EXP(Ft!B$38*($A540-Ft!B$2)^2)</f>
        <v>45.615133042263992</v>
      </c>
      <c r="F540" s="27">
        <f>Ft!C$3*EXP(Ft!C$38*($A540-Ft!C$2)^2)</f>
        <v>48.598727731393296</v>
      </c>
      <c r="G540" s="27">
        <f>Ft!D$3*EXP(Ft!D$38*($A540-Ft!D$2)^2)</f>
        <v>1.1532509183052018E-3</v>
      </c>
      <c r="H540" s="27">
        <f>Ft!E$3*EXP(Ft!E$38*($A540-Ft!E$2)^2)</f>
        <v>87.907909346175288</v>
      </c>
      <c r="I540" s="27">
        <f>Ft!F$3*EXP(Ft!F$38*($A540-Ft!F$2)^2)</f>
        <v>36.46859935523397</v>
      </c>
      <c r="J540" s="27">
        <f>Ft!G$3*EXP(Ft!G$38*($A540-Ft!G$2)^2)</f>
        <v>31.895640159341159</v>
      </c>
    </row>
    <row r="541" spans="1:10">
      <c r="A541" s="20">
        <v>539</v>
      </c>
      <c r="B541" s="29">
        <v>16.574851454633745</v>
      </c>
      <c r="C541" s="28">
        <f ca="1">OFFSET($B541,1*(ROWS(C$2:C541)-1),0)</f>
        <v>0</v>
      </c>
      <c r="D541" s="27">
        <f>Ft!B$3*EXP(Ft!B$38*($A541-Ft!B$2)^2) +Ft!C$3*EXP(Ft!C$38*($A541-Ft!C$2)^2) + Ft!D$3*EXP(Ft!D$38*($A541-Ft!D$2)^2)+Ft!E$3*EXP(Ft!E$38*($A541-Ft!E$2)^2) +Ft!F$3*EXP(Ft!F$38*($A541-Ft!F$2)^2) + Ft!G$3*EXP(Ft!G$38*($A541-Ft!G$2)^2)</f>
        <v>250.55307036053887</v>
      </c>
      <c r="E541" s="27">
        <f>Ft!B$3*EXP(Ft!B$38*($A541-Ft!B$2)^2)</f>
        <v>45.449948521453408</v>
      </c>
      <c r="F541" s="27">
        <f>Ft!C$3*EXP(Ft!C$38*($A541-Ft!C$2)^2)</f>
        <v>48.63778286245654</v>
      </c>
      <c r="G541" s="27">
        <f>Ft!D$3*EXP(Ft!D$38*($A541-Ft!D$2)^2)</f>
        <v>9.9932594679013644E-4</v>
      </c>
      <c r="H541" s="27">
        <f>Ft!E$3*EXP(Ft!E$38*($A541-Ft!E$2)^2)</f>
        <v>88.139305933155754</v>
      </c>
      <c r="I541" s="27">
        <f>Ft!F$3*EXP(Ft!F$38*($A541-Ft!F$2)^2)</f>
        <v>36.580380901679099</v>
      </c>
      <c r="J541" s="27">
        <f>Ft!G$3*EXP(Ft!G$38*($A541-Ft!G$2)^2)</f>
        <v>31.744652815847285</v>
      </c>
    </row>
    <row r="542" spans="1:10">
      <c r="A542" s="20">
        <v>540</v>
      </c>
      <c r="B542" s="29">
        <v>16.36265177355375</v>
      </c>
      <c r="C542" s="28">
        <f ca="1">OFFSET($B542,1*(ROWS(C$2:C542)-1),0)</f>
        <v>0</v>
      </c>
      <c r="D542" s="27">
        <f>Ft!B$3*EXP(Ft!B$38*($A542-Ft!B$2)^2) +Ft!C$3*EXP(Ft!C$38*($A542-Ft!C$2)^2) + Ft!D$3*EXP(Ft!D$38*($A542-Ft!D$2)^2)+Ft!E$3*EXP(Ft!E$38*($A542-Ft!E$2)^2) +Ft!F$3*EXP(Ft!F$38*($A542-Ft!F$2)^2) + Ft!G$3*EXP(Ft!G$38*($A542-Ft!G$2)^2)</f>
        <v>250.61874797322793</v>
      </c>
      <c r="E542" s="27">
        <f>Ft!B$3*EXP(Ft!B$38*($A542-Ft!B$2)^2)</f>
        <v>45.28514609067787</v>
      </c>
      <c r="F542" s="27">
        <f>Ft!C$3*EXP(Ft!C$38*($A542-Ft!C$2)^2)</f>
        <v>48.676761854853815</v>
      </c>
      <c r="G542" s="27">
        <f>Ft!D$3*EXP(Ft!D$38*($A542-Ft!D$2)^2)</f>
        <v>8.6475193022743141E-4</v>
      </c>
      <c r="H542" s="27">
        <f>Ft!E$3*EXP(Ft!E$38*($A542-Ft!E$2)^2)</f>
        <v>88.370030652606928</v>
      </c>
      <c r="I542" s="27">
        <f>Ft!F$3*EXP(Ft!F$38*($A542-Ft!F$2)^2)</f>
        <v>36.692384260967223</v>
      </c>
      <c r="J542" s="27">
        <f>Ft!G$3*EXP(Ft!G$38*($A542-Ft!G$2)^2)</f>
        <v>31.593560362191862</v>
      </c>
    </row>
    <row r="543" spans="1:10">
      <c r="A543" s="20">
        <v>541</v>
      </c>
      <c r="B543" s="29">
        <v>16.143782761275816</v>
      </c>
      <c r="C543" s="28">
        <f ca="1">OFFSET($B543,1*(ROWS(C$2:C543)-1),0)</f>
        <v>0</v>
      </c>
      <c r="D543" s="27">
        <f>Ft!B$3*EXP(Ft!B$38*($A543-Ft!B$2)^2) +Ft!C$3*EXP(Ft!C$38*($A543-Ft!C$2)^2) + Ft!D$3*EXP(Ft!D$38*($A543-Ft!D$2)^2)+Ft!E$3*EXP(Ft!E$38*($A543-Ft!E$2)^2) +Ft!F$3*EXP(Ft!F$38*($A543-Ft!F$2)^2) + Ft!G$3*EXP(Ft!G$38*($A543-Ft!G$2)^2)</f>
        <v>250.68419322187015</v>
      </c>
      <c r="E543" s="27">
        <f>Ft!B$3*EXP(Ft!B$38*($A543-Ft!B$2)^2)</f>
        <v>45.120725934386982</v>
      </c>
      <c r="F543" s="27">
        <f>Ft!C$3*EXP(Ft!C$38*($A543-Ft!C$2)^2)</f>
        <v>48.715664475292947</v>
      </c>
      <c r="G543" s="27">
        <f>Ft!D$3*EXP(Ft!D$38*($A543-Ft!D$2)^2)</f>
        <v>7.4726895189827509E-4</v>
      </c>
      <c r="H543" s="27">
        <f>Ft!E$3*EXP(Ft!E$38*($A543-Ft!E$2)^2)</f>
        <v>88.600075048185019</v>
      </c>
      <c r="I543" s="27">
        <f>Ft!F$3*EXP(Ft!F$38*($A543-Ft!F$2)^2)</f>
        <v>36.804609373560226</v>
      </c>
      <c r="J543" s="27">
        <f>Ft!G$3*EXP(Ft!G$38*($A543-Ft!G$2)^2)</f>
        <v>31.442371121493096</v>
      </c>
    </row>
    <row r="544" spans="1:10">
      <c r="A544" s="20">
        <v>542</v>
      </c>
      <c r="B544" s="29">
        <v>15.94761556496104</v>
      </c>
      <c r="C544" s="28">
        <f ca="1">OFFSET($B544,1*(ROWS(C$2:C544)-1),0)</f>
        <v>0</v>
      </c>
      <c r="D544" s="27">
        <f>Ft!B$3*EXP(Ft!B$38*($A544-Ft!B$2)^2) +Ft!C$3*EXP(Ft!C$38*($A544-Ft!C$2)^2) + Ft!D$3*EXP(Ft!D$38*($A544-Ft!D$2)^2)+Ft!E$3*EXP(Ft!E$38*($A544-Ft!E$2)^2) +Ft!F$3*EXP(Ft!F$38*($A544-Ft!F$2)^2) + Ft!G$3*EXP(Ft!G$38*($A544-Ft!G$2)^2)</f>
        <v>250.74940381191249</v>
      </c>
      <c r="E544" s="27">
        <f>Ft!B$3*EXP(Ft!B$38*($A544-Ft!B$2)^2)</f>
        <v>44.956688230898685</v>
      </c>
      <c r="F544" s="27">
        <f>Ft!C$3*EXP(Ft!C$38*($A544-Ft!C$2)^2)</f>
        <v>48.754490490801373</v>
      </c>
      <c r="G544" s="27">
        <f>Ft!D$3*EXP(Ft!D$38*($A544-Ft!D$2)^2)</f>
        <v>6.4485691036586773E-4</v>
      </c>
      <c r="H544" s="27">
        <f>Ft!E$3*EXP(Ft!E$38*($A544-Ft!E$2)^2)</f>
        <v>88.829430671094315</v>
      </c>
      <c r="I544" s="27">
        <f>Ft!F$3*EXP(Ft!F$38*($A544-Ft!F$2)^2)</f>
        <v>36.917056177543948</v>
      </c>
      <c r="J544" s="27">
        <f>Ft!G$3*EXP(Ft!G$38*($A544-Ft!G$2)^2)</f>
        <v>31.291093384663782</v>
      </c>
    </row>
    <row r="545" spans="1:10">
      <c r="A545" s="20">
        <v>543</v>
      </c>
      <c r="B545" s="29">
        <v>15.732220448871317</v>
      </c>
      <c r="C545" s="28">
        <f ca="1">OFFSET($B545,1*(ROWS(C$2:C545)-1),0)</f>
        <v>0</v>
      </c>
      <c r="D545" s="27">
        <f>Ft!B$3*EXP(Ft!B$38*($A545-Ft!B$2)^2) +Ft!C$3*EXP(Ft!C$38*($A545-Ft!C$2)^2) + Ft!D$3*EXP(Ft!D$38*($A545-Ft!D$2)^2)+Ft!E$3*EXP(Ft!E$38*($A545-Ft!E$2)^2) +Ft!F$3*EXP(Ft!F$38*($A545-Ft!F$2)^2) + Ft!G$3*EXP(Ft!G$38*($A545-Ft!G$2)^2)</f>
        <v>250.81437763338414</v>
      </c>
      <c r="E545" s="27">
        <f>Ft!B$3*EXP(Ft!B$38*($A545-Ft!B$2)^2)</f>
        <v>44.793033152418261</v>
      </c>
      <c r="F545" s="27">
        <f>Ft!C$3*EXP(Ft!C$38*($A545-Ft!C$2)^2)</f>
        <v>48.79323966872844</v>
      </c>
      <c r="G545" s="27">
        <f>Ft!D$3*EXP(Ft!D$38*($A545-Ft!D$2)^2)</f>
        <v>5.5571331135182962E-4</v>
      </c>
      <c r="H545" s="27">
        <f>Ft!E$3*EXP(Ft!E$38*($A545-Ft!E$2)^2)</f>
        <v>89.058089080597327</v>
      </c>
      <c r="I545" s="27">
        <f>Ft!F$3*EXP(Ft!F$38*($A545-Ft!F$2)^2)</f>
        <v>37.029724608621876</v>
      </c>
      <c r="J545" s="27">
        <f>Ft!G$3*EXP(Ft!G$38*($A545-Ft!G$2)^2)</f>
        <v>31.13973540970688</v>
      </c>
    </row>
    <row r="546" spans="1:10">
      <c r="A546" s="20">
        <v>544</v>
      </c>
      <c r="B546" s="29">
        <v>15.507058607605018</v>
      </c>
      <c r="C546" s="28">
        <f ca="1">OFFSET($B546,1*(ROWS(C$2:C546)-1),0)</f>
        <v>0</v>
      </c>
      <c r="D546" s="27">
        <f>Ft!B$3*EXP(Ft!B$38*($A546-Ft!B$2)^2) +Ft!C$3*EXP(Ft!C$38*($A546-Ft!C$2)^2) + Ft!D$3*EXP(Ft!D$38*($A546-Ft!D$2)^2)+Ft!E$3*EXP(Ft!E$38*($A546-Ft!E$2)^2) +Ft!F$3*EXP(Ft!F$38*($A546-Ft!F$2)^2) + Ft!G$3*EXP(Ft!G$38*($A546-Ft!G$2)^2)</f>
        <v>250.87911274015232</v>
      </c>
      <c r="E546" s="27">
        <f>Ft!B$3*EXP(Ft!B$38*($A546-Ft!B$2)^2)</f>
        <v>44.629760865057186</v>
      </c>
      <c r="F546" s="27">
        <f>Ft!C$3*EXP(Ft!C$38*($A546-Ft!C$2)^2)</f>
        <v>48.831911776747724</v>
      </c>
      <c r="G546" s="27">
        <f>Ft!D$3*EXP(Ft!D$38*($A546-Ft!D$2)^2)</f>
        <v>4.7823269433710575E-4</v>
      </c>
      <c r="H546" s="27">
        <f>Ft!E$3*EXP(Ft!E$38*($A546-Ft!E$2)^2)</f>
        <v>89.286041844525698</v>
      </c>
      <c r="I546" s="27">
        <f>Ft!F$3*EXP(Ft!F$38*($A546-Ft!F$2)^2)</f>
        <v>37.142614600108594</v>
      </c>
      <c r="J546" s="27">
        <f>Ft!G$3*EXP(Ft!G$38*($A546-Ft!G$2)^2)</f>
        <v>30.98830542101879</v>
      </c>
    </row>
    <row r="547" spans="1:10">
      <c r="A547" s="20">
        <v>545</v>
      </c>
      <c r="B547" s="29">
        <v>15.302537486369317</v>
      </c>
      <c r="C547" s="28">
        <f ca="1">OFFSET($B547,1*(ROWS(C$2:C547)-1),0)</f>
        <v>0</v>
      </c>
      <c r="D547" s="27">
        <f>Ft!B$3*EXP(Ft!B$38*($A547-Ft!B$2)^2) +Ft!C$3*EXP(Ft!C$38*($A547-Ft!C$2)^2) + Ft!D$3*EXP(Ft!D$38*($A547-Ft!D$2)^2)+Ft!E$3*EXP(Ft!E$38*($A547-Ft!E$2)^2) +Ft!F$3*EXP(Ft!F$38*($A547-Ft!F$2)^2) + Ft!G$3*EXP(Ft!G$38*($A547-Ft!G$2)^2)</f>
        <v>250.94360733075501</v>
      </c>
      <c r="E547" s="27">
        <f>Ft!B$3*EXP(Ft!B$38*($A547-Ft!B$2)^2)</f>
        <v>44.466871528852195</v>
      </c>
      <c r="F547" s="27">
        <f>Ft!C$3*EXP(Ft!C$38*($A547-Ft!C$2)^2)</f>
        <v>48.870506582859335</v>
      </c>
      <c r="G547" s="27">
        <f>Ft!D$3*EXP(Ft!D$38*($A547-Ft!D$2)^2)</f>
        <v>4.1098762806202662E-4</v>
      </c>
      <c r="H547" s="27">
        <f>Ft!E$3*EXP(Ft!E$38*($A547-Ft!E$2)^2)</f>
        <v>89.513280539791722</v>
      </c>
      <c r="I547" s="27">
        <f>Ft!F$3*EXP(Ft!F$38*($A547-Ft!F$2)^2)</f>
        <v>37.255726082923395</v>
      </c>
      <c r="J547" s="27">
        <f>Ft!G$3*EXP(Ft!G$38*($A547-Ft!G$2)^2)</f>
        <v>30.836811608700309</v>
      </c>
    </row>
    <row r="548" spans="1:10">
      <c r="A548" s="20">
        <v>546</v>
      </c>
      <c r="B548" s="29">
        <v>15.097407080060833</v>
      </c>
      <c r="C548" s="28">
        <f ca="1">OFFSET($B548,1*(ROWS(C$2:C548)-1),0)</f>
        <v>0</v>
      </c>
      <c r="D548" s="27">
        <f>Ft!B$3*EXP(Ft!B$38*($A548-Ft!B$2)^2) +Ft!C$3*EXP(Ft!C$38*($A548-Ft!C$2)^2) + Ft!D$3*EXP(Ft!D$38*($A548-Ft!D$2)^2)+Ft!E$3*EXP(Ft!E$38*($A548-Ft!E$2)^2) +Ft!F$3*EXP(Ft!F$38*($A548-Ft!F$2)^2) + Ft!G$3*EXP(Ft!G$38*($A548-Ft!G$2)^2)</f>
        <v>251.00785973074071</v>
      </c>
      <c r="E548" s="27">
        <f>Ft!B$3*EXP(Ft!B$38*($A548-Ft!B$2)^2)</f>
        <v>44.304365297784315</v>
      </c>
      <c r="F548" s="27">
        <f>Ft!C$3*EXP(Ft!C$38*($A548-Ft!C$2)^2)</f>
        <v>48.909023855392249</v>
      </c>
      <c r="G548" s="27">
        <f>Ft!D$3*EXP(Ft!D$38*($A548-Ft!D$2)^2)</f>
        <v>3.5271120409866675E-4</v>
      </c>
      <c r="H548" s="27">
        <f>Ft!E$3*EXP(Ft!E$38*($A548-Ft!E$2)^2)</f>
        <v>89.73979675290073</v>
      </c>
      <c r="I548" s="27">
        <f>Ft!F$3*EXP(Ft!F$38*($A548-Ft!F$2)^2)</f>
        <v>37.369058985583955</v>
      </c>
      <c r="J548" s="27">
        <f>Ft!G$3*EXP(Ft!G$38*($A548-Ft!G$2)^2)</f>
        <v>30.685262127875337</v>
      </c>
    </row>
    <row r="549" spans="1:10">
      <c r="A549" s="20">
        <v>547</v>
      </c>
      <c r="B549" s="29">
        <v>14.895119862740387</v>
      </c>
      <c r="C549" s="28">
        <f ca="1">OFFSET($B549,1*(ROWS(C$2:C549)-1),0)</f>
        <v>0</v>
      </c>
      <c r="D549" s="27">
        <f>Ft!B$3*EXP(Ft!B$38*($A549-Ft!B$2)^2) +Ft!C$3*EXP(Ft!C$38*($A549-Ft!C$2)^2) + Ft!D$3*EXP(Ft!D$38*($A549-Ft!D$2)^2)+Ft!E$3*EXP(Ft!E$38*($A549-Ft!E$2)^2) +Ft!F$3*EXP(Ft!F$38*($A549-Ft!F$2)^2) + Ft!G$3*EXP(Ft!G$38*($A549-Ft!G$2)^2)</f>
        <v>251.07186837643991</v>
      </c>
      <c r="E549" s="27">
        <f>Ft!B$3*EXP(Ft!B$38*($A549-Ft!B$2)^2)</f>
        <v>44.142242319798093</v>
      </c>
      <c r="F549" s="27">
        <f>Ft!C$3*EXP(Ft!C$38*($A549-Ft!C$2)^2)</f>
        <v>48.947463363006591</v>
      </c>
      <c r="G549" s="27">
        <f>Ft!D$3*EXP(Ft!D$38*($A549-Ft!D$2)^2)</f>
        <v>3.0228095408262978E-4</v>
      </c>
      <c r="H549" s="27">
        <f>Ft!E$3*EXP(Ft!E$38*($A549-Ft!E$2)^2)</f>
        <v>89.965582080463776</v>
      </c>
      <c r="I549" s="27">
        <f>Ft!F$3*EXP(Ft!F$38*($A549-Ft!F$2)^2)</f>
        <v>37.482613234199853</v>
      </c>
      <c r="J549" s="27">
        <f>Ft!G$3*EXP(Ft!G$38*($A549-Ft!G$2)^2)</f>
        <v>30.533665098017515</v>
      </c>
    </row>
    <row r="550" spans="1:10">
      <c r="A550" s="20">
        <v>548</v>
      </c>
      <c r="B550" s="29">
        <v>14.692284460500616</v>
      </c>
      <c r="C550" s="28">
        <f ca="1">OFFSET($B550,1*(ROWS(C$2:C550)-1),0)</f>
        <v>0</v>
      </c>
      <c r="D550" s="27">
        <f>Ft!B$3*EXP(Ft!B$38*($A550-Ft!B$2)^2) +Ft!C$3*EXP(Ft!C$38*($A550-Ft!C$2)^2) + Ft!D$3*EXP(Ft!D$38*($A550-Ft!D$2)^2)+Ft!E$3*EXP(Ft!E$38*($A550-Ft!E$2)^2) +Ft!F$3*EXP(Ft!F$38*($A550-Ft!F$2)^2) + Ft!G$3*EXP(Ft!G$38*($A550-Ft!G$2)^2)</f>
        <v>251.13563180009282</v>
      </c>
      <c r="E550" s="27">
        <f>Ft!B$3*EXP(Ft!B$38*($A550-Ft!B$2)^2)</f>
        <v>43.980502736820846</v>
      </c>
      <c r="F550" s="27">
        <f>Ft!C$3*EXP(Ft!C$38*($A550-Ft!C$2)^2)</f>
        <v>48.985824874695922</v>
      </c>
      <c r="G550" s="27">
        <f>Ft!D$3*EXP(Ft!D$38*($A550-Ft!D$2)^2)</f>
        <v>2.5870411386592944E-4</v>
      </c>
      <c r="H550" s="27">
        <f>Ft!E$3*EXP(Ft!E$38*($A550-Ft!E$2)^2)</f>
        <v>90.1906281297112</v>
      </c>
      <c r="I550" s="27">
        <f>Ft!F$3*EXP(Ft!F$38*($A550-Ft!F$2)^2)</f>
        <v>37.596388752466311</v>
      </c>
      <c r="J550" s="27">
        <f>Ft!G$3*EXP(Ft!G$38*($A550-Ft!G$2)^2)</f>
        <v>30.382028602284681</v>
      </c>
    </row>
    <row r="551" spans="1:10">
      <c r="A551" s="20">
        <v>549</v>
      </c>
      <c r="B551" s="29">
        <v>14.487567166338692</v>
      </c>
      <c r="C551" s="28">
        <f ca="1">OFFSET($B551,1*(ROWS(C$2:C551)-1),0)</f>
        <v>0</v>
      </c>
      <c r="D551" s="27">
        <f>Ft!B$3*EXP(Ft!B$38*($A551-Ft!B$2)^2) +Ft!C$3*EXP(Ft!C$38*($A551-Ft!C$2)^2) + Ft!D$3*EXP(Ft!D$38*($A551-Ft!D$2)^2)+Ft!E$3*EXP(Ft!E$38*($A551-Ft!E$2)^2) +Ft!F$3*EXP(Ft!F$38*($A551-Ft!F$2)^2) + Ft!G$3*EXP(Ft!G$38*($A551-Ft!G$2)^2)</f>
        <v>251.19914861625389</v>
      </c>
      <c r="E551" s="27">
        <f>Ft!B$3*EXP(Ft!B$38*($A551-Ft!B$2)^2)</f>
        <v>43.819146684781892</v>
      </c>
      <c r="F551" s="27">
        <f>Ft!C$3*EXP(Ft!C$38*($A551-Ft!C$2)^2)</f>
        <v>49.024108159789613</v>
      </c>
      <c r="G551" s="27">
        <f>Ft!D$3*EXP(Ft!D$38*($A551-Ft!D$2)^2)</f>
        <v>2.2110415663802754E-4</v>
      </c>
      <c r="H551" s="27">
        <f>Ft!E$3*EXP(Ft!E$38*($A551-Ft!E$2)^2)</f>
        <v>90.414926519006485</v>
      </c>
      <c r="I551" s="27">
        <f>Ft!F$3*EXP(Ft!F$38*($A551-Ft!F$2)^2)</f>
        <v>37.710385461657857</v>
      </c>
      <c r="J551" s="27">
        <f>Ft!G$3*EXP(Ft!G$38*($A551-Ft!G$2)^2)</f>
        <v>30.230360686861388</v>
      </c>
    </row>
    <row r="552" spans="1:10">
      <c r="A552" s="20">
        <v>550</v>
      </c>
      <c r="B552" s="29">
        <v>14.273863731271319</v>
      </c>
      <c r="C552" s="28">
        <f ca="1">OFFSET($B552,1*(ROWS(C$2:C552)-1),0)</f>
        <v>0</v>
      </c>
      <c r="D552" s="27">
        <f>Ft!B$3*EXP(Ft!B$38*($A552-Ft!B$2)^2) +Ft!C$3*EXP(Ft!C$38*($A552-Ft!C$2)^2) + Ft!D$3*EXP(Ft!D$38*($A552-Ft!D$2)^2)+Ft!E$3*EXP(Ft!E$38*($A552-Ft!E$2)^2) +Ft!F$3*EXP(Ft!F$38*($A552-Ft!F$2)^2) + Ft!G$3*EXP(Ft!G$38*($A552-Ft!G$2)^2)</f>
        <v>251.26241750939602</v>
      </c>
      <c r="E552" s="27">
        <f>Ft!B$3*EXP(Ft!B$38*($A552-Ft!B$2)^2)</f>
        <v>43.658174293632037</v>
      </c>
      <c r="F552" s="27">
        <f>Ft!C$3*EXP(Ft!C$38*($A552-Ft!C$2)^2)</f>
        <v>49.062312987955075</v>
      </c>
      <c r="G552" s="27">
        <f>Ft!D$3*EXP(Ft!D$38*($A552-Ft!D$2)^2)</f>
        <v>1.8870851681565914E-4</v>
      </c>
      <c r="H552" s="27">
        <f>Ft!E$3*EXP(Ft!E$38*($A552-Ft!E$2)^2)</f>
        <v>90.638468878360769</v>
      </c>
      <c r="I552" s="27">
        <f>Ft!F$3*EXP(Ft!F$38*($A552-Ft!F$2)^2)</f>
        <v>37.824603280621943</v>
      </c>
      <c r="J552" s="27">
        <f>Ft!G$3*EXP(Ft!G$38*($A552-Ft!G$2)^2)</f>
        <v>30.078669360309405</v>
      </c>
    </row>
    <row r="553" spans="1:10">
      <c r="A553" s="20">
        <v>551</v>
      </c>
      <c r="B553" s="29">
        <v>14.065492114766272</v>
      </c>
      <c r="C553" s="28">
        <f ca="1">OFFSET($B553,1*(ROWS(C$2:C553)-1),0)</f>
        <v>0</v>
      </c>
      <c r="D553" s="27">
        <f>Ft!B$3*EXP(Ft!B$38*($A553-Ft!B$2)^2) +Ft!C$3*EXP(Ft!C$38*($A553-Ft!C$2)^2) + Ft!D$3*EXP(Ft!D$38*($A553-Ft!D$2)^2)+Ft!E$3*EXP(Ft!E$38*($A553-Ft!E$2)^2) +Ft!F$3*EXP(Ft!F$38*($A553-Ft!F$2)^2) + Ft!G$3*EXP(Ft!G$38*($A553-Ft!G$2)^2)</f>
        <v>251.32543722263679</v>
      </c>
      <c r="E553" s="27">
        <f>Ft!B$3*EXP(Ft!B$38*($A553-Ft!B$2)^2)</f>
        <v>43.497585687362971</v>
      </c>
      <c r="F553" s="27">
        <f>Ft!C$3*EXP(Ft!C$38*($A553-Ft!C$2)^2)</f>
        <v>49.100439129200097</v>
      </c>
      <c r="G553" s="27">
        <f>Ft!D$3*EXP(Ft!D$38*($A553-Ft!D$2)^2)</f>
        <v>1.6083742708886866E-4</v>
      </c>
      <c r="H553" s="27">
        <f>Ft!E$3*EXP(Ft!E$38*($A553-Ft!E$2)^2)</f>
        <v>90.861246849947577</v>
      </c>
      <c r="I553" s="27">
        <f>Ft!F$3*EXP(Ft!F$38*($A553-Ft!F$2)^2)</f>
        <v>37.939042125772723</v>
      </c>
      <c r="J553" s="27">
        <f>Ft!G$3*EXP(Ft!G$38*($A553-Ft!G$2)^2)</f>
        <v>29.926962592926348</v>
      </c>
    </row>
    <row r="554" spans="1:10">
      <c r="A554" s="20">
        <v>552</v>
      </c>
      <c r="B554" s="29">
        <v>13.865480582505</v>
      </c>
      <c r="C554" s="28">
        <f ca="1">OFFSET($B554,1*(ROWS(C$2:C554)-1),0)</f>
        <v>0</v>
      </c>
      <c r="D554" s="27">
        <f>Ft!B$3*EXP(Ft!B$38*($A554-Ft!B$2)^2) +Ft!C$3*EXP(Ft!C$38*($A554-Ft!C$2)^2) + Ft!D$3*EXP(Ft!D$38*($A554-Ft!D$2)^2)+Ft!E$3*EXP(Ft!E$38*($A554-Ft!E$2)^2) +Ft!F$3*EXP(Ft!F$38*($A554-Ft!F$2)^2) + Ft!G$3*EXP(Ft!G$38*($A554-Ft!G$2)^2)</f>
        <v>251.38820654750975</v>
      </c>
      <c r="E554" s="27">
        <f>Ft!B$3*EXP(Ft!B$38*($A554-Ft!B$2)^2)</f>
        <v>43.337380984026801</v>
      </c>
      <c r="F554" s="27">
        <f>Ft!C$3*EXP(Ft!C$38*($A554-Ft!C$2)^2)</f>
        <v>49.138486353875123</v>
      </c>
      <c r="G554" s="27">
        <f>Ft!D$3*EXP(Ft!D$38*($A554-Ft!D$2)^2)</f>
        <v>1.3689379230451252E-4</v>
      </c>
      <c r="H554" s="27">
        <f>Ft!E$3*EXP(Ft!E$38*($A554-Ft!E$2)^2)</f>
        <v>91.083252088618295</v>
      </c>
      <c r="I554" s="27">
        <f>Ft!F$3*EXP(Ft!F$38*($A554-Ft!F$2)^2)</f>
        <v>38.053701911084787</v>
      </c>
      <c r="J554" s="27">
        <f>Ft!G$3*EXP(Ft!G$38*($A554-Ft!G$2)^2)</f>
        <v>29.775248316112489</v>
      </c>
    </row>
    <row r="555" spans="1:10">
      <c r="A555" s="20">
        <v>553</v>
      </c>
      <c r="B555" s="29">
        <v>13.65613041188368</v>
      </c>
      <c r="C555" s="28">
        <f ca="1">OFFSET($B555,1*(ROWS(C$2:C555)-1),0)</f>
        <v>0</v>
      </c>
      <c r="D555" s="27">
        <f>Ft!B$3*EXP(Ft!B$38*($A555-Ft!B$2)^2) +Ft!C$3*EXP(Ft!C$38*($A555-Ft!C$2)^2) + Ft!D$3*EXP(Ft!D$38*($A555-Ft!D$2)^2)+Ft!E$3*EXP(Ft!E$38*($A555-Ft!E$2)^2) +Ft!F$3*EXP(Ft!F$38*($A555-Ft!F$2)^2) + Ft!G$3*EXP(Ft!G$38*($A555-Ft!G$2)^2)</f>
        <v>251.45072431470723</v>
      </c>
      <c r="E555" s="27">
        <f>Ft!B$3*EXP(Ft!B$38*($A555-Ft!B$2)^2)</f>
        <v>43.17756029575569</v>
      </c>
      <c r="F555" s="27">
        <f>Ft!C$3*EXP(Ft!C$38*($A555-Ft!C$2)^2)</f>
        <v>49.176454432675591</v>
      </c>
      <c r="G555" s="27">
        <f>Ft!D$3*EXP(Ft!D$38*($A555-Ft!D$2)^2)</f>
        <v>1.1635402575221002E-4</v>
      </c>
      <c r="H555" s="27">
        <f>Ft!E$3*EXP(Ft!E$38*($A555-Ft!E$2)^2)</f>
        <v>91.30447626241758</v>
      </c>
      <c r="I555" s="27">
        <f>Ft!F$3*EXP(Ft!F$38*($A555-Ft!F$2)^2)</f>
        <v>38.168582548086867</v>
      </c>
      <c r="J555" s="27">
        <f>Ft!G$3*EXP(Ft!G$38*($A555-Ft!G$2)^2)</f>
        <v>29.623534421745735</v>
      </c>
    </row>
    <row r="556" spans="1:10">
      <c r="A556" s="20">
        <v>554</v>
      </c>
      <c r="B556" s="29">
        <v>13.471934130958971</v>
      </c>
      <c r="C556" s="28">
        <f ca="1">OFFSET($B556,1*(ROWS(C$2:C556)-1),0)</f>
        <v>0</v>
      </c>
      <c r="D556" s="27">
        <f>Ft!B$3*EXP(Ft!B$38*($A556-Ft!B$2)^2) +Ft!C$3*EXP(Ft!C$38*($A556-Ft!C$2)^2) + Ft!D$3*EXP(Ft!D$38*($A556-Ft!D$2)^2)+Ft!E$3*EXP(Ft!E$38*($A556-Ft!E$2)^2) +Ft!F$3*EXP(Ft!F$38*($A556-Ft!F$2)^2) + Ft!G$3*EXP(Ft!G$38*($A556-Ft!G$2)^2)</f>
        <v>251.51298938572137</v>
      </c>
      <c r="E556" s="27">
        <f>Ft!B$3*EXP(Ft!B$38*($A556-Ft!B$2)^2)</f>
        <v>43.018123728781489</v>
      </c>
      <c r="F556" s="27">
        <f>Ft!C$3*EXP(Ft!C$38*($A556-Ft!C$2)^2)</f>
        <v>49.214343136644146</v>
      </c>
      <c r="G556" s="27">
        <f>Ft!D$3*EXP(Ft!D$38*($A556-Ft!D$2)^2)</f>
        <v>9.8759775783814271E-5</v>
      </c>
      <c r="H556" s="27">
        <f>Ft!E$3*EXP(Ft!E$38*($A556-Ft!E$2)^2)</f>
        <v>91.524911053099387</v>
      </c>
      <c r="I556" s="27">
        <f>Ft!F$3*EXP(Ft!F$38*($A556-Ft!F$2)^2)</f>
        <v>38.28368394585565</v>
      </c>
      <c r="J556" s="27">
        <f>Ft!G$3*EXP(Ft!G$38*($A556-Ft!G$2)^2)</f>
        <v>29.471828761564918</v>
      </c>
    </row>
    <row r="557" spans="1:10">
      <c r="A557" s="20">
        <v>555</v>
      </c>
      <c r="B557" s="29">
        <v>13.266881052640798</v>
      </c>
      <c r="C557" s="28">
        <f ca="1">OFFSET($B557,1*(ROWS(C$2:C557)-1),0)</f>
        <v>0</v>
      </c>
      <c r="D557" s="27">
        <f>Ft!B$3*EXP(Ft!B$38*($A557-Ft!B$2)^2) +Ft!C$3*EXP(Ft!C$38*($A557-Ft!C$2)^2) + Ft!D$3*EXP(Ft!D$38*($A557-Ft!D$2)^2)+Ft!E$3*EXP(Ft!E$38*($A557-Ft!E$2)^2) +Ft!F$3*EXP(Ft!F$38*($A557-Ft!F$2)^2) + Ft!G$3*EXP(Ft!G$38*($A557-Ft!G$2)^2)</f>
        <v>251.57500064531609</v>
      </c>
      <c r="E557" s="27">
        <f>Ft!B$3*EXP(Ft!B$38*($A557-Ft!B$2)^2)</f>
        <v>42.859071383455472</v>
      </c>
      <c r="F557" s="27">
        <f>Ft!C$3*EXP(Ft!C$38*($A557-Ft!C$2)^2)</f>
        <v>49.252152237173036</v>
      </c>
      <c r="G557" s="27">
        <f>Ft!D$3*EXP(Ft!D$38*($A557-Ft!D$2)^2)</f>
        <v>8.37104734478991E-5</v>
      </c>
      <c r="H557" s="27">
        <f>Ft!E$3*EXP(Ft!E$38*($A557-Ft!E$2)^2)</f>
        <v>91.74454815664312</v>
      </c>
      <c r="I557" s="27">
        <f>Ft!F$3*EXP(Ft!F$38*($A557-Ft!F$2)^2)</f>
        <v>38.399006011009568</v>
      </c>
      <c r="J557" s="27">
        <f>Ft!G$3*EXP(Ft!G$38*($A557-Ft!G$2)^2)</f>
        <v>29.320139146561445</v>
      </c>
    </row>
    <row r="558" spans="1:10">
      <c r="A558" s="20">
        <v>556</v>
      </c>
      <c r="B558" s="29">
        <v>13.053026659486818</v>
      </c>
      <c r="C558" s="28">
        <f ca="1">OFFSET($B558,1*(ROWS(C$2:C558)-1),0)</f>
        <v>0</v>
      </c>
      <c r="D558" s="27">
        <f>Ft!B$3*EXP(Ft!B$38*($A558-Ft!B$2)^2) +Ft!C$3*EXP(Ft!C$38*($A558-Ft!C$2)^2) + Ft!D$3*EXP(Ft!D$38*($A558-Ft!D$2)^2)+Ft!E$3*EXP(Ft!E$38*($A558-Ft!E$2)^2) +Ft!F$3*EXP(Ft!F$38*($A558-Ft!F$2)^2) + Ft!G$3*EXP(Ft!G$38*($A558-Ft!G$2)^2)</f>
        <v>251.63675699476124</v>
      </c>
      <c r="E558" s="27">
        <f>Ft!B$3*EXP(Ft!B$38*($A558-Ft!B$2)^2)</f>
        <v>42.700403354268147</v>
      </c>
      <c r="F558" s="27">
        <f>Ft!C$3*EXP(Ft!C$38*($A558-Ft!C$2)^2)</f>
        <v>49.289881506006324</v>
      </c>
      <c r="G558" s="27">
        <f>Ft!D$3*EXP(Ft!D$38*($A558-Ft!D$2)^2)</f>
        <v>7.0856634867130506E-5</v>
      </c>
      <c r="H558" s="27">
        <f>Ft!E$3*EXP(Ft!E$38*($A558-Ft!E$2)^2)</f>
        <v>91.963379283770024</v>
      </c>
      <c r="I558" s="27">
        <f>Ft!F$3*EXP(Ft!F$38*($A558-Ft!F$2)^2)</f>
        <v>38.514548647702632</v>
      </c>
      <c r="J558" s="27">
        <f>Ft!G$3*EXP(Ft!G$38*($A558-Ft!G$2)^2)</f>
        <v>29.168473346379237</v>
      </c>
    </row>
    <row r="559" spans="1:10">
      <c r="A559" s="20">
        <v>557</v>
      </c>
      <c r="B559" s="29">
        <v>12.843160599564413</v>
      </c>
      <c r="C559" s="28">
        <f ca="1">OFFSET($B559,1*(ROWS(C$2:C559)-1),0)</f>
        <v>0</v>
      </c>
      <c r="D559" s="27">
        <f>Ft!B$3*EXP(Ft!B$38*($A559-Ft!B$2)^2) +Ft!C$3*EXP(Ft!C$38*($A559-Ft!C$2)^2) + Ft!D$3*EXP(Ft!D$38*($A559-Ft!D$2)^2)+Ft!E$3*EXP(Ft!E$38*($A559-Ft!E$2)^2) +Ft!F$3*EXP(Ft!F$38*($A559-Ft!F$2)^2) + Ft!G$3*EXP(Ft!G$38*($A559-Ft!G$2)^2)</f>
        <v>251.69825734576781</v>
      </c>
      <c r="E559" s="27">
        <f>Ft!B$3*EXP(Ft!B$38*($A559-Ft!B$2)^2)</f>
        <v>42.542119729869142</v>
      </c>
      <c r="F559" s="27">
        <f>Ft!C$3*EXP(Ft!C$38*($A559-Ft!C$2)^2)</f>
        <v>49.327530715242176</v>
      </c>
      <c r="G559" s="27">
        <f>Ft!D$3*EXP(Ft!D$38*($A559-Ft!D$2)^2)</f>
        <v>5.9893855349684721E-5</v>
      </c>
      <c r="H559" s="27">
        <f>Ft!E$3*EXP(Ft!E$38*($A559-Ft!E$2)^2)</f>
        <v>92.181396160459798</v>
      </c>
      <c r="I559" s="27">
        <f>Ft!F$3*EXP(Ft!F$38*($A559-Ft!F$2)^2)</f>
        <v>38.630311757618195</v>
      </c>
      <c r="J559" s="27">
        <f>Ft!G$3*EXP(Ft!G$38*($A559-Ft!G$2)^2)</f>
        <v>29.016839088723181</v>
      </c>
    </row>
    <row r="560" spans="1:10">
      <c r="A560" s="20">
        <v>558</v>
      </c>
      <c r="B560" s="29">
        <v>12.626010003957106</v>
      </c>
      <c r="C560" s="28">
        <f ca="1">OFFSET($B560,1*(ROWS(C$2:C560)-1),0)</f>
        <v>0</v>
      </c>
      <c r="D560" s="27">
        <f>Ft!B$3*EXP(Ft!B$38*($A560-Ft!B$2)^2) +Ft!C$3*EXP(Ft!C$38*($A560-Ft!C$2)^2) + Ft!D$3*EXP(Ft!D$38*($A560-Ft!D$2)^2)+Ft!E$3*EXP(Ft!E$38*($A560-Ft!E$2)^2) +Ft!F$3*EXP(Ft!F$38*($A560-Ft!F$2)^2) + Ft!G$3*EXP(Ft!G$38*($A560-Ft!G$2)^2)</f>
        <v>251.75950061506421</v>
      </c>
      <c r="E560" s="27">
        <f>Ft!B$3*EXP(Ft!B$38*($A560-Ft!B$2)^2)</f>
        <v>42.384220593087122</v>
      </c>
      <c r="F560" s="27">
        <f>Ft!C$3*EXP(Ft!C$38*($A560-Ft!C$2)^2)</f>
        <v>49.365099637335213</v>
      </c>
      <c r="G560" s="27">
        <f>Ft!D$3*EXP(Ft!D$38*($A560-Ft!D$2)^2)</f>
        <v>5.055743563612787E-5</v>
      </c>
      <c r="H560" s="27">
        <f>Ft!E$3*EXP(Ft!E$38*($A560-Ft!E$2)^2)</f>
        <v>92.398590528467238</v>
      </c>
      <c r="I560" s="27">
        <f>Ft!F$3*EXP(Ft!F$38*($A560-Ft!F$2)^2)</f>
        <v>38.746295239962947</v>
      </c>
      <c r="J560" s="27">
        <f>Ft!G$3*EXP(Ft!G$38*($A560-Ft!G$2)^2)</f>
        <v>28.865244058776049</v>
      </c>
    </row>
    <row r="561" spans="1:10">
      <c r="A561" s="20">
        <v>559</v>
      </c>
      <c r="B561" s="29">
        <v>12.418321979640069</v>
      </c>
      <c r="C561" s="28">
        <f ca="1">OFFSET($B561,1*(ROWS(C$2:C561)-1),0)</f>
        <v>0</v>
      </c>
      <c r="D561" s="27">
        <f>Ft!B$3*EXP(Ft!B$38*($A561-Ft!B$2)^2) +Ft!C$3*EXP(Ft!C$38*($A561-Ft!C$2)^2) + Ft!D$3*EXP(Ft!D$38*($A561-Ft!D$2)^2)+Ft!E$3*EXP(Ft!E$38*($A561-Ft!E$2)^2) +Ft!F$3*EXP(Ft!F$38*($A561-Ft!F$2)^2) + Ft!G$3*EXP(Ft!G$38*($A561-Ft!G$2)^2)</f>
        <v>251.82048571955627</v>
      </c>
      <c r="E561" s="27">
        <f>Ft!B$3*EXP(Ft!B$38*($A561-Ft!B$2)^2)</f>
        <v>42.226706020949749</v>
      </c>
      <c r="F561" s="27">
        <f>Ft!C$3*EXP(Ft!C$38*($A561-Ft!C$2)^2)</f>
        <v>49.402588045098739</v>
      </c>
      <c r="G561" s="27">
        <f>Ft!D$3*EXP(Ft!D$38*($A561-Ft!D$2)^2)</f>
        <v>4.2617584179185889E-5</v>
      </c>
      <c r="H561" s="27">
        <f>Ft!E$3*EXP(Ft!E$38*($A561-Ft!E$2)^2)</f>
        <v>92.61495414583905</v>
      </c>
      <c r="I561" s="27">
        <f>Ft!F$3*EXP(Ft!F$38*($A561-Ft!F$2)^2)</f>
        <v>38.862498991460662</v>
      </c>
      <c r="J561" s="27">
        <f>Ft!G$3*EXP(Ft!G$38*($A561-Ft!G$2)^2)</f>
        <v>28.713695898623904</v>
      </c>
    </row>
    <row r="562" spans="1:10">
      <c r="A562" s="20">
        <v>560</v>
      </c>
      <c r="B562" s="29">
        <v>12.205130534359682</v>
      </c>
      <c r="C562" s="28">
        <f ca="1">OFFSET($B562,1*(ROWS(C$2:C562)-1),0)</f>
        <v>0</v>
      </c>
      <c r="D562" s="27">
        <f>Ft!B$3*EXP(Ft!B$38*($A562-Ft!B$2)^2) +Ft!C$3*EXP(Ft!C$38*($A562-Ft!C$2)^2) + Ft!D$3*EXP(Ft!D$38*($A562-Ft!D$2)^2)+Ft!E$3*EXP(Ft!E$38*($A562-Ft!E$2)^2) +Ft!F$3*EXP(Ft!F$38*($A562-Ft!F$2)^2) + Ft!G$3*EXP(Ft!G$38*($A562-Ft!G$2)^2)</f>
        <v>251.88121157202079</v>
      </c>
      <c r="E562" s="27">
        <f>Ft!B$3*EXP(Ft!B$38*($A562-Ft!B$2)^2)</f>
        <v>42.06957608470384</v>
      </c>
      <c r="F562" s="27">
        <f>Ft!C$3*EXP(Ft!C$38*($A562-Ft!C$2)^2)</f>
        <v>49.43999571170702</v>
      </c>
      <c r="G562" s="27">
        <f>Ft!D$3*EXP(Ft!D$38*($A562-Ft!D$2)^2)</f>
        <v>3.5875142882564583E-5</v>
      </c>
      <c r="H562" s="27">
        <f>Ft!E$3*EXP(Ft!E$38*($A562-Ft!E$2)^2)</f>
        <v>92.830478787430692</v>
      </c>
      <c r="I562" s="27">
        <f>Ft!F$3*EXP(Ft!F$38*($A562-Ft!F$2)^2)</f>
        <v>38.978922906346241</v>
      </c>
      <c r="J562" s="27">
        <f>Ft!G$3*EXP(Ft!G$38*($A562-Ft!G$2)^2)</f>
        <v>28.56220220669011</v>
      </c>
    </row>
    <row r="563" spans="1:10">
      <c r="A563" s="20">
        <v>561</v>
      </c>
      <c r="B563" s="29">
        <v>11.985323135762115</v>
      </c>
      <c r="C563" s="28">
        <f ca="1">OFFSET($B563,1*(ROWS(C$2:C563)-1),0)</f>
        <v>0</v>
      </c>
      <c r="D563" s="27">
        <f>Ft!B$3*EXP(Ft!B$38*($A563-Ft!B$2)^2) +Ft!C$3*EXP(Ft!C$38*($A563-Ft!C$2)^2) + Ft!D$3*EXP(Ft!D$38*($A563-Ft!D$2)^2)+Ft!E$3*EXP(Ft!E$38*($A563-Ft!E$2)^2) +Ft!F$3*EXP(Ft!F$38*($A563-Ft!F$2)^2) + Ft!G$3*EXP(Ft!G$38*($A563-Ft!G$2)^2)</f>
        <v>251.94167707728084</v>
      </c>
      <c r="E563" s="27">
        <f>Ft!B$3*EXP(Ft!B$38*($A563-Ft!B$2)^2)</f>
        <v>41.912830849835416</v>
      </c>
      <c r="F563" s="27">
        <f>Ft!C$3*EXP(Ft!C$38*($A563-Ft!C$2)^2)</f>
        <v>49.477322410697589</v>
      </c>
      <c r="G563" s="27">
        <f>Ft!D$3*EXP(Ft!D$38*($A563-Ft!D$2)^2)</f>
        <v>3.0157787241172651E-5</v>
      </c>
      <c r="H563" s="27">
        <f>Ft!E$3*EXP(Ft!E$38*($A563-Ft!E$2)^2)</f>
        <v>93.045156245423129</v>
      </c>
      <c r="I563" s="27">
        <f>Ft!F$3*EXP(Ft!F$38*($A563-Ft!F$2)^2)</f>
        <v>39.095566876359499</v>
      </c>
      <c r="J563" s="27">
        <f>Ft!G$3*EXP(Ft!G$38*($A563-Ft!G$2)^2)</f>
        <v>28.410770537177957</v>
      </c>
    </row>
    <row r="564" spans="1:10">
      <c r="A564" s="20">
        <v>562</v>
      </c>
      <c r="B564" s="29">
        <v>11.760402279798257</v>
      </c>
      <c r="C564" s="28">
        <f ca="1">OFFSET($B564,1*(ROWS(C$2:C564)-1),0)</f>
        <v>0</v>
      </c>
      <c r="D564" s="27">
        <f>Ft!B$3*EXP(Ft!B$38*($A564-Ft!B$2)^2) +Ft!C$3*EXP(Ft!C$38*($A564-Ft!C$2)^2) + Ft!D$3*EXP(Ft!D$38*($A564-Ft!D$2)^2)+Ft!E$3*EXP(Ft!E$38*($A564-Ft!E$2)^2) +Ft!F$3*EXP(Ft!F$38*($A564-Ft!F$2)^2) + Ft!G$3*EXP(Ft!G$38*($A564-Ft!G$2)^2)</f>
        <v>252.0018811288196</v>
      </c>
      <c r="E564" s="27">
        <f>Ft!B$3*EXP(Ft!B$38*($A564-Ft!B$2)^2)</f>
        <v>41.756470376089894</v>
      </c>
      <c r="F564" s="27">
        <f>Ft!C$3*EXP(Ft!C$38*($A564-Ft!C$2)^2)</f>
        <v>49.514567915973522</v>
      </c>
      <c r="G564" s="27">
        <f>Ft!D$3*EXP(Ft!D$38*($A564-Ft!D$2)^2)</f>
        <v>2.5316655290603338E-5</v>
      </c>
      <c r="H564" s="27">
        <f>Ft!E$3*EXP(Ft!E$38*($A564-Ft!E$2)^2)</f>
        <v>93.258978329839707</v>
      </c>
      <c r="I564" s="27">
        <f>Ft!F$3*EXP(Ft!F$38*($A564-Ft!F$2)^2)</f>
        <v>39.212430790739226</v>
      </c>
      <c r="J564" s="27">
        <f>Ft!G$3*EXP(Ft!G$38*($A564-Ft!G$2)^2)</f>
        <v>28.259408399521931</v>
      </c>
    </row>
    <row r="565" spans="1:10">
      <c r="A565" s="20">
        <v>563</v>
      </c>
      <c r="B565" s="29">
        <v>11.520651256705605</v>
      </c>
      <c r="C565" s="28">
        <f ca="1">OFFSET($B565,1*(ROWS(C$2:C565)-1),0)</f>
        <v>0</v>
      </c>
      <c r="D565" s="27">
        <f>Ft!B$3*EXP(Ft!B$38*($A565-Ft!B$2)^2) +Ft!C$3*EXP(Ft!C$38*($A565-Ft!C$2)^2) + Ft!D$3*EXP(Ft!D$38*($A565-Ft!D$2)^2)+Ft!E$3*EXP(Ft!E$38*($A565-Ft!E$2)^2) +Ft!F$3*EXP(Ft!F$38*($A565-Ft!F$2)^2) + Ft!G$3*EXP(Ft!G$38*($A565-Ft!G$2)^2)</f>
        <v>252.06182260578879</v>
      </c>
      <c r="E565" s="27">
        <f>Ft!B$3*EXP(Ft!B$38*($A565-Ft!B$2)^2)</f>
        <v>41.600494717492403</v>
      </c>
      <c r="F565" s="27">
        <f>Ft!C$3*EXP(Ft!C$38*($A565-Ft!C$2)^2)</f>
        <v>49.551732001805696</v>
      </c>
      <c r="G565" s="27">
        <f>Ft!D$3*EXP(Ft!D$38*($A565-Ft!D$2)^2)</f>
        <v>2.1223363157005867E-5</v>
      </c>
      <c r="H565" s="27">
        <f>Ft!E$3*EXP(Ft!E$38*($A565-Ft!E$2)^2)</f>
        <v>93.471936869062702</v>
      </c>
      <c r="I565" s="27">
        <f>Ft!F$3*EXP(Ft!F$38*($A565-Ft!F$2)^2)</f>
        <v>39.329514536217147</v>
      </c>
      <c r="J565" s="27">
        <f>Ft!G$3*EXP(Ft!G$38*($A565-Ft!G$2)^2)</f>
        <v>28.108123257847662</v>
      </c>
    </row>
    <row r="566" spans="1:10">
      <c r="A566" s="20">
        <v>564</v>
      </c>
      <c r="B566" s="29">
        <v>11.296225708633585</v>
      </c>
      <c r="C566" s="28">
        <f ca="1">OFFSET($B566,1*(ROWS(C$2:C566)-1),0)</f>
        <v>0</v>
      </c>
      <c r="D566" s="27">
        <f>Ft!B$3*EXP(Ft!B$38*($A566-Ft!B$2)^2) +Ft!C$3*EXP(Ft!C$38*($A566-Ft!C$2)^2) + Ft!D$3*EXP(Ft!D$38*($A566-Ft!D$2)^2)+Ft!E$3*EXP(Ft!E$38*($A566-Ft!E$2)^2) +Ft!F$3*EXP(Ft!F$38*($A566-Ft!F$2)^2) + Ft!G$3*EXP(Ft!G$38*($A566-Ft!G$2)^2)</f>
        <v>252.12150037037381</v>
      </c>
      <c r="E566" s="27">
        <f>Ft!B$3*EXP(Ft!B$38*($A566-Ft!B$2)^2)</f>
        <v>41.444903922368013</v>
      </c>
      <c r="F566" s="27">
        <f>Ft!C$3*EXP(Ft!C$38*($A566-Ft!C$2)^2)</f>
        <v>49.588814442835059</v>
      </c>
      <c r="G566" s="27">
        <f>Ft!D$3*EXP(Ft!D$38*($A566-Ft!D$2)^2)</f>
        <v>1.7767368273955705E-5</v>
      </c>
      <c r="H566" s="27">
        <f>Ft!E$3*EXP(Ft!E$38*($A566-Ft!E$2)^2)</f>
        <v>93.684023710349948</v>
      </c>
      <c r="I566" s="27">
        <f>Ft!F$3*EXP(Ft!F$38*($A566-Ft!F$2)^2)</f>
        <v>39.446817997011877</v>
      </c>
      <c r="J566" s="27">
        <f>Ft!G$3*EXP(Ft!G$38*($A566-Ft!G$2)^2)</f>
        <v>27.956922530440664</v>
      </c>
    </row>
    <row r="567" spans="1:10">
      <c r="A567" s="20">
        <v>565</v>
      </c>
      <c r="B567" s="29">
        <v>11.090565052095286</v>
      </c>
      <c r="C567" s="28">
        <f ca="1">OFFSET($B567,1*(ROWS(C$2:C567)-1),0)</f>
        <v>0</v>
      </c>
      <c r="D567" s="27">
        <f>Ft!B$3*EXP(Ft!B$38*($A567-Ft!B$2)^2) +Ft!C$3*EXP(Ft!C$38*($A567-Ft!C$2)^2) + Ft!D$3*EXP(Ft!D$38*($A567-Ft!D$2)^2)+Ft!E$3*EXP(Ft!E$38*($A567-Ft!E$2)^2) +Ft!F$3*EXP(Ft!F$38*($A567-Ft!F$2)^2) + Ft!G$3*EXP(Ft!G$38*($A567-Ft!G$2)^2)</f>
        <v>252.18091326547946</v>
      </c>
      <c r="E567" s="27">
        <f>Ft!B$3*EXP(Ft!B$38*($A567-Ft!B$2)^2)</f>
        <v>41.289698033362143</v>
      </c>
      <c r="F567" s="27">
        <f>Ft!C$3*EXP(Ft!C$38*($A567-Ft!C$2)^2)</f>
        <v>49.625815014074917</v>
      </c>
      <c r="G567" s="27">
        <f>Ft!D$3*EXP(Ft!D$38*($A567-Ft!D$2)^2)</f>
        <v>1.4853644480463242E-5</v>
      </c>
      <c r="H567" s="27">
        <f>Ft!E$3*EXP(Ft!E$38*($A567-Ft!E$2)^2)</f>
        <v>93.895230720351122</v>
      </c>
      <c r="I567" s="27">
        <f>Ft!F$3*EXP(Ft!F$38*($A567-Ft!F$2)^2)</f>
        <v>39.564341054822975</v>
      </c>
      <c r="J567" s="27">
        <f>Ft!G$3*EXP(Ft!G$38*($A567-Ft!G$2)^2)</f>
        <v>27.805813589223792</v>
      </c>
    </row>
    <row r="568" spans="1:10">
      <c r="A568" s="20">
        <v>566</v>
      </c>
      <c r="B568" s="29">
        <v>10.897232741333823</v>
      </c>
      <c r="C568" s="28">
        <f ca="1">OFFSET($B568,1*(ROWS(C$2:C568)-1),0)</f>
        <v>0</v>
      </c>
      <c r="D568" s="27">
        <f>Ft!B$3*EXP(Ft!B$38*($A568-Ft!B$2)^2) +Ft!C$3*EXP(Ft!C$38*($A568-Ft!C$2)^2) + Ft!D$3*EXP(Ft!D$38*($A568-Ft!D$2)^2)+Ft!E$3*EXP(Ft!E$38*($A568-Ft!E$2)^2) +Ft!F$3*EXP(Ft!F$38*($A568-Ft!F$2)^2) + Ft!G$3*EXP(Ft!G$38*($A568-Ft!G$2)^2)</f>
        <v>252.24006011270279</v>
      </c>
      <c r="E568" s="27">
        <f>Ft!B$3*EXP(Ft!B$38*($A568-Ft!B$2)^2)</f>
        <v>41.134877087461014</v>
      </c>
      <c r="F568" s="27">
        <f>Ft!C$3*EXP(Ft!C$38*($A568-Ft!C$2)^2)</f>
        <v>49.662733490913205</v>
      </c>
      <c r="G568" s="27">
        <f>Ft!D$3*EXP(Ft!D$38*($A568-Ft!D$2)^2)</f>
        <v>1.240063621850263E-5</v>
      </c>
      <c r="H568" s="27">
        <f>Ft!E$3*EXP(Ft!E$38*($A568-Ft!E$2)^2)</f>
        <v>94.105549785623893</v>
      </c>
      <c r="I568" s="27">
        <f>Ft!F$3*EXP(Ft!F$38*($A568-Ft!F$2)^2)</f>
        <v>39.682083588824995</v>
      </c>
      <c r="J568" s="27">
        <f>Ft!G$3*EXP(Ft!G$38*($A568-Ft!G$2)^2)</f>
        <v>27.654803759243471</v>
      </c>
    </row>
    <row r="569" spans="1:10">
      <c r="A569" s="20">
        <v>567</v>
      </c>
      <c r="B569" s="29">
        <v>10.690995393109802</v>
      </c>
      <c r="C569" s="28">
        <f ca="1">OFFSET($B569,1*(ROWS(C$2:C569)-1),0)</f>
        <v>0</v>
      </c>
      <c r="D569" s="27">
        <f>Ft!B$3*EXP(Ft!B$38*($A569-Ft!B$2)^2) +Ft!C$3*EXP(Ft!C$38*($A569-Ft!C$2)^2) + Ft!D$3*EXP(Ft!D$38*($A569-Ft!D$2)^2)+Ft!E$3*EXP(Ft!E$38*($A569-Ft!E$2)^2) +Ft!F$3*EXP(Ft!F$38*($A569-Ft!F$2)^2) + Ft!G$3*EXP(Ft!G$38*($A569-Ft!G$2)^2)</f>
        <v>252.29893971056487</v>
      </c>
      <c r="E569" s="27">
        <f>Ft!B$3*EXP(Ft!B$38*($A569-Ft!B$2)^2)</f>
        <v>40.980441116012081</v>
      </c>
      <c r="F569" s="27">
        <f>Ft!C$3*EXP(Ft!C$38*($A569-Ft!C$2)^2)</f>
        <v>49.699569649114721</v>
      </c>
      <c r="G569" s="27">
        <f>Ft!D$3*EXP(Ft!D$38*($A569-Ft!D$2)^2)</f>
        <v>1.0338461898335089E-5</v>
      </c>
      <c r="H569" s="27">
        <f>Ft!E$3*EXP(Ft!E$38*($A569-Ft!E$2)^2)</f>
        <v>94.314972813149708</v>
      </c>
      <c r="I569" s="27">
        <f>Ft!F$3*EXP(Ft!F$38*($A569-Ft!F$2)^2)</f>
        <v>39.800045475661548</v>
      </c>
      <c r="J569" s="27">
        <f>Ft!G$3*EXP(Ft!G$38*($A569-Ft!G$2)^2)</f>
        <v>27.503900318164867</v>
      </c>
    </row>
    <row r="570" spans="1:10">
      <c r="A570" s="20">
        <v>568</v>
      </c>
      <c r="B570" s="29">
        <v>10.506295649836488</v>
      </c>
      <c r="C570" s="28">
        <f ca="1">OFFSET($B570,1*(ROWS(C$2:C570)-1),0)</f>
        <v>0</v>
      </c>
      <c r="D570" s="27">
        <f>Ft!B$3*EXP(Ft!B$38*($A570-Ft!B$2)^2) +Ft!C$3*EXP(Ft!C$38*($A570-Ft!C$2)^2) + Ft!D$3*EXP(Ft!D$38*($A570-Ft!D$2)^2)+Ft!E$3*EXP(Ft!E$38*($A570-Ft!E$2)^2) +Ft!F$3*EXP(Ft!F$38*($A570-Ft!F$2)^2) + Ft!G$3*EXP(Ft!G$38*($A570-Ft!G$2)^2)</f>
        <v>252.35755083297192</v>
      </c>
      <c r="E570" s="27">
        <f>Ft!B$3*EXP(Ft!B$38*($A570-Ft!B$2)^2)</f>
        <v>40.826390144744671</v>
      </c>
      <c r="F570" s="27">
        <f>Ft!C$3*EXP(Ft!C$38*($A570-Ft!C$2)^2)</f>
        <v>49.736323264823412</v>
      </c>
      <c r="G570" s="27">
        <f>Ft!D$3*EXP(Ft!D$38*($A570-Ft!D$2)^2)</f>
        <v>8.6073391881136354E-6</v>
      </c>
      <c r="H570" s="27">
        <f>Ft!E$3*EXP(Ft!E$38*($A570-Ft!E$2)^2)</f>
        <v>94.523491730849415</v>
      </c>
      <c r="I570" s="27">
        <f>Ft!F$3*EXP(Ft!F$38*($A570-Ft!F$2)^2)</f>
        <v>39.918226589439399</v>
      </c>
      <c r="J570" s="27">
        <f>Ft!G$3*EXP(Ft!G$38*($A570-Ft!G$2)^2)</f>
        <v>27.353110495775844</v>
      </c>
    </row>
    <row r="571" spans="1:10">
      <c r="A571" s="20">
        <v>569</v>
      </c>
      <c r="B571" s="29">
        <v>10.311858366974519</v>
      </c>
      <c r="C571" s="28">
        <f ca="1">OFFSET($B571,1*(ROWS(C$2:C571)-1),0)</f>
        <v>0</v>
      </c>
      <c r="D571" s="27">
        <f>Ft!B$3*EXP(Ft!B$38*($A571-Ft!B$2)^2) +Ft!C$3*EXP(Ft!C$38*($A571-Ft!C$2)^2) + Ft!D$3*EXP(Ft!D$38*($A571-Ft!D$2)^2)+Ft!E$3*EXP(Ft!E$38*($A571-Ft!E$2)^2) +Ft!F$3*EXP(Ft!F$38*($A571-Ft!F$2)^2) + Ft!G$3*EXP(Ft!G$38*($A571-Ft!G$2)^2)</f>
        <v>252.41589222788315</v>
      </c>
      <c r="E571" s="27">
        <f>Ft!B$3*EXP(Ft!B$38*($A571-Ft!B$2)^2)</f>
        <v>40.672724193790437</v>
      </c>
      <c r="F571" s="27">
        <f>Ft!C$3*EXP(Ft!C$38*($A571-Ft!C$2)^2)</f>
        <v>49.772994114564632</v>
      </c>
      <c r="G571" s="27">
        <f>Ft!D$3*EXP(Ft!D$38*($A571-Ft!D$2)^2)</f>
        <v>7.1562075066829983E-6</v>
      </c>
      <c r="H571" s="27">
        <f>Ft!E$3*EXP(Ft!E$38*($A571-Ft!E$2)^2)</f>
        <v>94.731098488098212</v>
      </c>
      <c r="I571" s="27">
        <f>Ft!F$3*EXP(Ft!F$38*($A571-Ft!F$2)^2)</f>
        <v>40.036626801722576</v>
      </c>
      <c r="J571" s="27">
        <f>Ft!G$3*EXP(Ft!G$38*($A571-Ft!G$2)^2)</f>
        <v>27.2024414734998</v>
      </c>
    </row>
    <row r="572" spans="1:10">
      <c r="A572" s="20">
        <v>570</v>
      </c>
      <c r="B572" s="29">
        <v>10.141444825596807</v>
      </c>
      <c r="C572" s="28">
        <f ca="1">OFFSET($B572,1*(ROWS(C$2:C572)-1),0)</f>
        <v>0</v>
      </c>
      <c r="D572" s="27">
        <f>Ft!B$3*EXP(Ft!B$38*($A572-Ft!B$2)^2) +Ft!C$3*EXP(Ft!C$38*($A572-Ft!C$2)^2) + Ft!D$3*EXP(Ft!D$38*($A572-Ft!D$2)^2)+Ft!E$3*EXP(Ft!E$38*($A572-Ft!E$2)^2) +Ft!F$3*EXP(Ft!F$38*($A572-Ft!F$2)^2) + Ft!G$3*EXP(Ft!G$38*($A572-Ft!G$2)^2)</f>
        <v>252.47396261616163</v>
      </c>
      <c r="E572" s="27">
        <f>Ft!B$3*EXP(Ft!B$38*($A572-Ft!B$2)^2)</f>
        <v>40.519443277704191</v>
      </c>
      <c r="F572" s="27">
        <f>Ft!C$3*EXP(Ft!C$38*($A572-Ft!C$2)^2)</f>
        <v>49.809581975247404</v>
      </c>
      <c r="G572" s="27">
        <f>Ft!D$3*EXP(Ft!D$38*($A572-Ft!D$2)^2)</f>
        <v>5.9415253537977413E-6</v>
      </c>
      <c r="H572" s="27">
        <f>Ft!E$3*EXP(Ft!E$38*($A572-Ft!E$2)^2)</f>
        <v>94.9377850562406</v>
      </c>
      <c r="I572" s="27">
        <f>Ft!F$3*EXP(Ft!F$38*($A572-Ft!F$2)^2)</f>
        <v>40.155245981526534</v>
      </c>
      <c r="J572" s="27">
        <f>Ft!G$3*EXP(Ft!G$38*($A572-Ft!G$2)^2)</f>
        <v>27.05190038391752</v>
      </c>
    </row>
    <row r="573" spans="1:10">
      <c r="A573" s="20">
        <v>571</v>
      </c>
      <c r="B573" s="29">
        <v>9.9262992402260011</v>
      </c>
      <c r="C573" s="28">
        <f ca="1">OFFSET($B573,1*(ROWS(C$2:C573)-1),0)</f>
        <v>0</v>
      </c>
      <c r="D573" s="27">
        <f>Ft!B$3*EXP(Ft!B$38*($A573-Ft!B$2)^2) +Ft!C$3*EXP(Ft!C$38*($A573-Ft!C$2)^2) + Ft!D$3*EXP(Ft!D$38*($A573-Ft!D$2)^2)+Ft!E$3*EXP(Ft!E$38*($A573-Ft!E$2)^2) +Ft!F$3*EXP(Ft!F$38*($A573-Ft!F$2)^2) + Ft!G$3*EXP(Ft!G$38*($A573-Ft!G$2)^2)</f>
        <v>252.53176069058813</v>
      </c>
      <c r="E573" s="27">
        <f>Ft!B$3*EXP(Ft!B$38*($A573-Ft!B$2)^2)</f>
        <v>40.366547405484496</v>
      </c>
      <c r="F573" s="27">
        <f>Ft!C$3*EXP(Ft!C$38*($A573-Ft!C$2)^2)</f>
        <v>49.846086624166659</v>
      </c>
      <c r="G573" s="27">
        <f>Ft!D$3*EXP(Ft!D$38*($A573-Ft!D$2)^2)</f>
        <v>4.9262223011497095E-6</v>
      </c>
      <c r="H573" s="27">
        <f>Ft!E$3*EXP(Ft!E$38*($A573-Ft!E$2)^2)</f>
        <v>95.143543429104483</v>
      </c>
      <c r="I573" s="27">
        <f>Ft!F$3*EXP(Ft!F$38*($A573-Ft!F$2)^2)</f>
        <v>40.274083995312324</v>
      </c>
      <c r="J573" s="27">
        <f>Ft!G$3*EXP(Ft!G$38*($A573-Ft!G$2)^2)</f>
        <v>26.901494310297867</v>
      </c>
    </row>
    <row r="574" spans="1:10">
      <c r="A574" s="20">
        <v>572</v>
      </c>
      <c r="B574" s="29">
        <v>9.7288480790247718</v>
      </c>
      <c r="C574" s="28">
        <f ca="1">OFFSET($B574,1*(ROWS(C$2:C574)-1),0)</f>
        <v>0</v>
      </c>
      <c r="D574" s="27">
        <f>Ft!B$3*EXP(Ft!B$38*($A574-Ft!B$2)^2) +Ft!C$3*EXP(Ft!C$38*($A574-Ft!C$2)^2) + Ft!D$3*EXP(Ft!D$38*($A574-Ft!D$2)^2)+Ft!E$3*EXP(Ft!E$38*($A574-Ft!E$2)^2) +Ft!F$3*EXP(Ft!F$38*($A574-Ft!F$2)^2) + Ft!G$3*EXP(Ft!G$38*($A574-Ft!G$2)^2)</f>
        <v>252.58928511502077</v>
      </c>
      <c r="E574" s="27">
        <f>Ft!B$3*EXP(Ft!B$38*($A574-Ft!B$2)^2)</f>
        <v>40.214036580594446</v>
      </c>
      <c r="F574" s="27">
        <f>Ft!C$3*EXP(Ft!C$38*($A574-Ft!C$2)^2)</f>
        <v>49.882507839005498</v>
      </c>
      <c r="G574" s="27">
        <f>Ft!D$3*EXP(Ft!D$38*($A574-Ft!D$2)^2)</f>
        <v>4.0787874935414947E-6</v>
      </c>
      <c r="H574" s="27">
        <f>Ft!E$3*EXP(Ft!E$38*($A574-Ft!E$2)^2)</f>
        <v>95.348365623515065</v>
      </c>
      <c r="I574" s="27">
        <f>Ft!F$3*EXP(Ft!F$38*($A574-Ft!F$2)^2)</f>
        <v>40.393140706980745</v>
      </c>
      <c r="J574" s="27">
        <f>Ft!G$3*EXP(Ft!G$38*($A574-Ft!G$2)^2)</f>
        <v>26.751230286137503</v>
      </c>
    </row>
    <row r="575" spans="1:10">
      <c r="A575" s="20">
        <v>573</v>
      </c>
      <c r="B575" s="29">
        <v>9.559401010266356</v>
      </c>
      <c r="C575" s="28">
        <f ca="1">OFFSET($B575,1*(ROWS(C$2:C575)-1),0)</f>
        <v>0</v>
      </c>
      <c r="D575" s="27">
        <f>Ft!B$3*EXP(Ft!B$38*($A575-Ft!B$2)^2) +Ft!C$3*EXP(Ft!C$38*($A575-Ft!C$2)^2) + Ft!D$3*EXP(Ft!D$38*($A575-Ft!D$2)^2)+Ft!E$3*EXP(Ft!E$38*($A575-Ft!E$2)^2) +Ft!F$3*EXP(Ft!F$38*($A575-Ft!F$2)^2) + Ft!G$3*EXP(Ft!G$38*($A575-Ft!G$2)^2)</f>
        <v>252.64653452368256</v>
      </c>
      <c r="E575" s="27">
        <f>Ft!B$3*EXP(Ft!B$38*($A575-Ft!B$2)^2)</f>
        <v>40.061910800982552</v>
      </c>
      <c r="F575" s="27">
        <f>Ft!C$3*EXP(Ft!C$38*($A575-Ft!C$2)^2)</f>
        <v>49.918845397837451</v>
      </c>
      <c r="G575" s="27">
        <f>Ft!D$3*EXP(Ft!D$38*($A575-Ft!D$2)^2)</f>
        <v>3.3724783767375571E-6</v>
      </c>
      <c r="H575" s="27">
        <f>Ft!E$3*EXP(Ft!E$38*($A575-Ft!E$2)^2)</f>
        <v>95.55224367980793</v>
      </c>
      <c r="I575" s="27">
        <f>Ft!F$3*EXP(Ft!F$38*($A575-Ft!F$2)^2)</f>
        <v>40.512415977866617</v>
      </c>
      <c r="J575" s="27">
        <f>Ft!G$3*EXP(Ft!G$38*($A575-Ft!G$2)^2)</f>
        <v>26.601115294709619</v>
      </c>
    </row>
    <row r="576" spans="1:10">
      <c r="A576" s="20">
        <v>574</v>
      </c>
      <c r="B576" s="29">
        <v>9.403741790189116</v>
      </c>
      <c r="C576" s="28">
        <f ca="1">OFFSET($B576,1*(ROWS(C$2:C576)-1),0)</f>
        <v>0</v>
      </c>
      <c r="D576" s="27">
        <f>Ft!B$3*EXP(Ft!B$38*($A576-Ft!B$2)^2) +Ft!C$3*EXP(Ft!C$38*($A576-Ft!C$2)^2) + Ft!D$3*EXP(Ft!D$38*($A576-Ft!D$2)^2)+Ft!E$3*EXP(Ft!E$38*($A576-Ft!E$2)^2) +Ft!F$3*EXP(Ft!F$38*($A576-Ft!F$2)^2) + Ft!G$3*EXP(Ft!G$38*($A576-Ft!G$2)^2)</f>
        <v>252.70350752056373</v>
      </c>
      <c r="E576" s="27">
        <f>Ft!B$3*EXP(Ft!B$38*($A576-Ft!B$2)^2)</f>
        <v>39.910170059103585</v>
      </c>
      <c r="F576" s="27">
        <f>Ft!C$3*EXP(Ft!C$38*($A576-Ft!C$2)^2)</f>
        <v>49.955099079128686</v>
      </c>
      <c r="G576" s="27">
        <f>Ft!D$3*EXP(Ft!D$38*($A576-Ft!D$2)^2)</f>
        <v>2.7846350826898105E-6</v>
      </c>
      <c r="H576" s="27">
        <f>Ft!E$3*EXP(Ft!E$38*($A576-Ft!E$2)^2)</f>
        <v>95.755169662341757</v>
      </c>
      <c r="I576" s="27">
        <f>Ft!F$3*EXP(Ft!F$38*($A576-Ft!F$2)^2)</f>
        <v>40.631909666732994</v>
      </c>
      <c r="J576" s="27">
        <f>Ft!G$3*EXP(Ft!G$38*($A576-Ft!G$2)^2)</f>
        <v>26.451156268621624</v>
      </c>
    </row>
    <row r="577" spans="1:10">
      <c r="A577" s="20">
        <v>575</v>
      </c>
      <c r="B577" s="29">
        <v>9.2574082293790525</v>
      </c>
      <c r="C577" s="28">
        <f ca="1">OFFSET($B577,1*(ROWS(C$2:C577)-1),0)</f>
        <v>0</v>
      </c>
      <c r="D577" s="27">
        <f>Ft!B$3*EXP(Ft!B$38*($A577-Ft!B$2)^2) +Ft!C$3*EXP(Ft!C$38*($A577-Ft!C$2)^2) + Ft!D$3*EXP(Ft!D$38*($A577-Ft!D$2)^2)+Ft!E$3*EXP(Ft!E$38*($A577-Ft!E$2)^2) +Ft!F$3*EXP(Ft!F$38*($A577-Ft!F$2)^2) + Ft!G$3*EXP(Ft!G$38*($A577-Ft!G$2)^2)</f>
        <v>252.76020267892477</v>
      </c>
      <c r="E577" s="27">
        <f>Ft!B$3*EXP(Ft!B$38*($A577-Ft!B$2)^2)</f>
        <v>39.75881434193942</v>
      </c>
      <c r="F577" s="27">
        <f>Ft!C$3*EXP(Ft!C$38*($A577-Ft!C$2)^2)</f>
        <v>49.991268661740307</v>
      </c>
      <c r="G577" s="27">
        <f>Ft!D$3*EXP(Ft!D$38*($A577-Ft!D$2)^2)</f>
        <v>2.296087470637078E-6</v>
      </c>
      <c r="H577" s="27">
        <f>Ft!E$3*EXP(Ft!E$38*($A577-Ft!E$2)^2)</f>
        <v>95.957135660010252</v>
      </c>
      <c r="I577" s="27">
        <f>Ft!F$3*EXP(Ft!F$38*($A577-Ft!F$2)^2)</f>
        <v>40.751621629765445</v>
      </c>
      <c r="J577" s="27">
        <f>Ft!G$3*EXP(Ft!G$38*($A577-Ft!G$2)^2)</f>
        <v>26.301360089381898</v>
      </c>
    </row>
    <row r="578" spans="1:10">
      <c r="A578" s="20">
        <v>576</v>
      </c>
      <c r="B578" s="29">
        <v>9.1299562006545898</v>
      </c>
      <c r="C578" s="28">
        <f ca="1">OFFSET($B578,1*(ROWS(C$2:C578)-1),0)</f>
        <v>0</v>
      </c>
      <c r="D578" s="27">
        <f>Ft!B$3*EXP(Ft!B$38*($A578-Ft!B$2)^2) +Ft!C$3*EXP(Ft!C$38*($A578-Ft!C$2)^2) + Ft!D$3*EXP(Ft!D$38*($A578-Ft!D$2)^2)+Ft!E$3*EXP(Ft!E$38*($A578-Ft!E$2)^2) +Ft!F$3*EXP(Ft!F$38*($A578-Ft!F$2)^2) + Ft!G$3*EXP(Ft!G$38*($A578-Ft!G$2)^2)</f>
        <v>252.81661854088935</v>
      </c>
      <c r="E578" s="27">
        <f>Ft!B$3*EXP(Ft!B$38*($A578-Ft!B$2)^2)</f>
        <v>39.607843631020174</v>
      </c>
      <c r="F578" s="27">
        <f>Ft!C$3*EXP(Ft!C$38*($A578-Ft!C$2)^2)</f>
        <v>50.027353924930566</v>
      </c>
      <c r="G578" s="27">
        <f>Ft!D$3*EXP(Ft!D$38*($A578-Ft!D$2)^2)</f>
        <v>1.890643251386566E-6</v>
      </c>
      <c r="H578" s="27">
        <f>Ft!E$3*EXP(Ft!E$38*($A578-Ft!E$2)^2)</f>
        <v>96.158133786753453</v>
      </c>
      <c r="I578" s="27">
        <f>Ft!F$3*EXP(Ft!F$38*($A578-Ft!F$2)^2)</f>
        <v>40.871551720566323</v>
      </c>
      <c r="J578" s="27">
        <f>Ft!G$3*EXP(Ft!G$38*($A578-Ft!G$2)^2)</f>
        <v>26.151733586975613</v>
      </c>
    </row>
    <row r="579" spans="1:10">
      <c r="A579" s="20">
        <v>577</v>
      </c>
      <c r="B579" s="29">
        <v>8.9989691182289562</v>
      </c>
      <c r="C579" s="28">
        <f ca="1">OFFSET($B579,1*(ROWS(C$2:C579)-1),0)</f>
        <v>0</v>
      </c>
      <c r="D579" s="27">
        <f>Ft!B$3*EXP(Ft!B$38*($A579-Ft!B$2)^2) +Ft!C$3*EXP(Ft!C$38*($A579-Ft!C$2)^2) + Ft!D$3*EXP(Ft!D$38*($A579-Ft!D$2)^2)+Ft!E$3*EXP(Ft!E$38*($A579-Ft!E$2)^2) +Ft!F$3*EXP(Ft!F$38*($A579-Ft!F$2)^2) + Ft!G$3*EXP(Ft!G$38*($A579-Ft!G$2)^2)</f>
        <v>252.87275361711605</v>
      </c>
      <c r="E579" s="27">
        <f>Ft!B$3*EXP(Ft!B$38*($A579-Ft!B$2)^2)</f>
        <v>39.457257902445093</v>
      </c>
      <c r="F579" s="27">
        <f>Ft!C$3*EXP(Ft!C$38*($A579-Ft!C$2)^2)</f>
        <v>50.063354648357091</v>
      </c>
      <c r="G579" s="27">
        <f>Ft!D$3*EXP(Ft!D$38*($A579-Ft!D$2)^2)</f>
        <v>1.5546469197448111E-6</v>
      </c>
      <c r="H579" s="27">
        <f>Ft!E$3*EXP(Ft!E$38*($A579-Ft!E$2)^2)</f>
        <v>96.358156182068271</v>
      </c>
      <c r="I579" s="27">
        <f>Ft!F$3*EXP(Ft!F$38*($A579-Ft!F$2)^2)</f>
        <v>40.991699790149127</v>
      </c>
      <c r="J579" s="27">
        <f>Ft!G$3*EXP(Ft!G$38*($A579-Ft!G$2)^2)</f>
        <v>26.002283539449557</v>
      </c>
    </row>
    <row r="580" spans="1:10">
      <c r="A580" s="20">
        <v>578</v>
      </c>
      <c r="B580" s="29">
        <v>8.8866553598045641</v>
      </c>
      <c r="C580" s="28">
        <f ca="1">OFFSET($B580,1*(ROWS(C$2:C580)-1),0)</f>
        <v>0</v>
      </c>
      <c r="D580" s="27">
        <f>Ft!B$3*EXP(Ft!B$38*($A580-Ft!B$2)^2) +Ft!C$3*EXP(Ft!C$38*($A580-Ft!C$2)^2) + Ft!D$3*EXP(Ft!D$38*($A580-Ft!D$2)^2)+Ft!E$3*EXP(Ft!E$38*($A580-Ft!E$2)^2) +Ft!F$3*EXP(Ft!F$38*($A580-Ft!F$2)^2) + Ft!G$3*EXP(Ft!G$38*($A580-Ft!G$2)^2)</f>
        <v>252.92860638654039</v>
      </c>
      <c r="E580" s="27">
        <f>Ft!B$3*EXP(Ft!B$38*($A580-Ft!B$2)^2)</f>
        <v>39.307057126903715</v>
      </c>
      <c r="F580" s="27">
        <f>Ft!C$3*EXP(Ft!C$38*($A580-Ft!C$2)^2)</f>
        <v>50.099270612079138</v>
      </c>
      <c r="G580" s="27">
        <f>Ft!D$3*EXP(Ft!D$38*($A580-Ft!D$2)^2)</f>
        <v>1.2766003947050026E-6</v>
      </c>
      <c r="H580" s="27">
        <f>Ft!E$3*EXP(Ft!E$38*($A580-Ft!E$2)^2)</f>
        <v>96.557195011518246</v>
      </c>
      <c r="I580" s="27">
        <f>Ft!F$3*EXP(Ft!F$38*($A580-Ft!F$2)^2)</f>
        <v>41.112065686932802</v>
      </c>
      <c r="J580" s="27">
        <f>Ft!G$3*EXP(Ft!G$38*($A580-Ft!G$2)^2)</f>
        <v>25.853016672506104</v>
      </c>
    </row>
    <row r="581" spans="1:10">
      <c r="A581" s="20">
        <v>579</v>
      </c>
      <c r="B581" s="29">
        <v>8.784516293154951</v>
      </c>
      <c r="C581" s="28">
        <f ca="1">OFFSET($B581,1*(ROWS(C$2:C581)-1),0)</f>
        <v>0</v>
      </c>
      <c r="D581" s="27">
        <f>Ft!B$3*EXP(Ft!B$38*($A581-Ft!B$2)^2) +Ft!C$3*EXP(Ft!C$38*($A581-Ft!C$2)^2) + Ft!D$3*EXP(Ft!D$38*($A581-Ft!D$2)^2)+Ft!E$3*EXP(Ft!E$38*($A581-Ft!E$2)^2) +Ft!F$3*EXP(Ft!F$38*($A581-Ft!F$2)^2) + Ft!G$3*EXP(Ft!G$38*($A581-Ft!G$2)^2)</f>
        <v>252.9841752961789</v>
      </c>
      <c r="E581" s="27">
        <f>Ft!B$3*EXP(Ft!B$38*($A581-Ft!B$2)^2)</f>
        <v>39.157241269696918</v>
      </c>
      <c r="F581" s="27">
        <f>Ft!C$3*EXP(Ft!C$38*($A581-Ft!C$2)^2)</f>
        <v>50.135101596559835</v>
      </c>
      <c r="G581" s="27">
        <f>Ft!D$3*EXP(Ft!D$38*($A581-Ft!D$2)^2)</f>
        <v>1.0468373268746902E-6</v>
      </c>
      <c r="H581" s="27">
        <f>Ft!E$3*EXP(Ft!E$38*($A581-Ft!E$2)^2)</f>
        <v>96.755242467242482</v>
      </c>
      <c r="I581" s="27">
        <f>Ft!F$3*EXP(Ft!F$38*($A581-Ft!F$2)^2)</f>
        <v>41.23264925673616</v>
      </c>
      <c r="J581" s="27">
        <f>Ft!G$3*EXP(Ft!G$38*($A581-Ft!G$2)^2)</f>
        <v>25.703939659106208</v>
      </c>
    </row>
    <row r="582" spans="1:10">
      <c r="A582" s="20">
        <v>580</v>
      </c>
      <c r="B582" s="29">
        <v>8.6865705767644101</v>
      </c>
      <c r="C582" s="28">
        <f ca="1">OFFSET($B582,1*(ROWS(C$2:C582)-1),0)</f>
        <v>0</v>
      </c>
      <c r="D582" s="27">
        <f>Ft!B$3*EXP(Ft!B$38*($A582-Ft!B$2)^2) +Ft!C$3*EXP(Ft!C$38*($A582-Ft!C$2)^2) + Ft!D$3*EXP(Ft!D$38*($A582-Ft!D$2)^2)+Ft!E$3*EXP(Ft!E$38*($A582-Ft!E$2)^2) +Ft!F$3*EXP(Ft!F$38*($A582-Ft!F$2)^2) + Ft!G$3*EXP(Ft!G$38*($A582-Ft!G$2)^2)</f>
        <v>253.03945876098811</v>
      </c>
      <c r="E582" s="27">
        <f>Ft!B$3*EXP(Ft!B$38*($A582-Ft!B$2)^2)</f>
        <v>39.007810290758165</v>
      </c>
      <c r="F582" s="27">
        <f>Ft!C$3*EXP(Ft!C$38*($A582-Ft!C$2)^2)</f>
        <v>50.170847382668384</v>
      </c>
      <c r="G582" s="27">
        <f>Ft!D$3*EXP(Ft!D$38*($A582-Ft!D$2)^2)</f>
        <v>8.5724398598553037E-7</v>
      </c>
      <c r="H582" s="27">
        <f>Ft!E$3*EXP(Ft!E$38*($A582-Ft!E$2)^2)</f>
        <v>96.952290768463783</v>
      </c>
      <c r="I582" s="27">
        <f>Ft!F$3*EXP(Ft!F$38*($A582-Ft!F$2)^2)</f>
        <v>41.353450342772241</v>
      </c>
      <c r="J582" s="27">
        <f>Ft!G$3*EXP(Ft!G$38*($A582-Ft!G$2)^2)</f>
        <v>25.555059119081541</v>
      </c>
    </row>
    <row r="583" spans="1:10">
      <c r="A583" s="20">
        <v>581</v>
      </c>
      <c r="B583" s="29">
        <v>8.5902295417403707</v>
      </c>
      <c r="C583" s="28">
        <f ca="1">OFFSET($B583,1*(ROWS(C$2:C583)-1),0)</f>
        <v>0</v>
      </c>
      <c r="D583" s="27">
        <f>Ft!B$3*EXP(Ft!B$38*($A583-Ft!B$2)^2) +Ft!C$3*EXP(Ft!C$38*($A583-Ft!C$2)^2) + Ft!D$3*EXP(Ft!D$38*($A583-Ft!D$2)^2)+Ft!E$3*EXP(Ft!E$38*($A583-Ft!E$2)^2) +Ft!F$3*EXP(Ft!F$38*($A583-Ft!F$2)^2) + Ft!G$3*EXP(Ft!G$38*($A583-Ft!G$2)^2)</f>
        <v>253.09445516377164</v>
      </c>
      <c r="E583" s="27">
        <f>Ft!B$3*EXP(Ft!B$38*($A583-Ft!B$2)^2)</f>
        <v>38.858764144674716</v>
      </c>
      <c r="F583" s="27">
        <f>Ft!C$3*EXP(Ft!C$38*($A583-Ft!C$2)^2)</f>
        <v>50.20650775168231</v>
      </c>
      <c r="G583" s="27">
        <f>Ft!D$3*EXP(Ft!D$38*($A583-Ft!D$2)^2)</f>
        <v>7.010204962893533E-7</v>
      </c>
      <c r="H583" s="27">
        <f>Ft!E$3*EXP(Ft!E$38*($A583-Ft!E$2)^2)</f>
        <v>97.148332161995668</v>
      </c>
      <c r="I583" s="27">
        <f>Ft!F$3*EXP(Ft!F$38*($A583-Ft!F$2)^2)</f>
        <v>41.474468785642742</v>
      </c>
      <c r="J583" s="27">
        <f>Ft!G$3*EXP(Ft!G$38*($A583-Ft!G$2)^2)</f>
        <v>25.406381618755709</v>
      </c>
    </row>
    <row r="584" spans="1:10">
      <c r="A584" s="20">
        <v>582</v>
      </c>
      <c r="B584" s="29">
        <v>8.4965434086334994</v>
      </c>
      <c r="C584" s="28">
        <f ca="1">OFFSET($B584,1*(ROWS(C$2:C584)-1),0)</f>
        <v>0</v>
      </c>
      <c r="D584" s="27">
        <f>Ft!B$3*EXP(Ft!B$38*($A584-Ft!B$2)^2) +Ft!C$3*EXP(Ft!C$38*($A584-Ft!C$2)^2) + Ft!D$3*EXP(Ft!D$38*($A584-Ft!D$2)^2)+Ft!E$3*EXP(Ft!E$38*($A584-Ft!E$2)^2) +Ft!F$3*EXP(Ft!F$38*($A584-Ft!F$2)^2) + Ft!G$3*EXP(Ft!G$38*($A584-Ft!G$2)^2)</f>
        <v>253.14916285513129</v>
      </c>
      <c r="E584" s="27">
        <f>Ft!B$3*EXP(Ft!B$38*($A584-Ft!B$2)^2)</f>
        <v>38.710102780708844</v>
      </c>
      <c r="F584" s="27">
        <f>Ft!C$3*EXP(Ft!C$38*($A584-Ft!C$2)^2)</f>
        <v>50.242082485289686</v>
      </c>
      <c r="G584" s="27">
        <f>Ft!D$3*EXP(Ft!D$38*($A584-Ft!D$2)^2)</f>
        <v>5.7247695212129412E-7</v>
      </c>
      <c r="H584" s="27">
        <f>Ft!E$3*EXP(Ft!E$38*($A584-Ft!E$2)^2)</f>
        <v>97.343358922748706</v>
      </c>
      <c r="I584" s="27">
        <f>Ft!F$3*EXP(Ft!F$38*($A584-Ft!F$2)^2)</f>
        <v>41.595704423332499</v>
      </c>
      <c r="J584" s="27">
        <f>Ft!G$3*EXP(Ft!G$38*($A584-Ft!G$2)^2)</f>
        <v>25.257913670574599</v>
      </c>
    </row>
    <row r="585" spans="1:10">
      <c r="A585" s="20">
        <v>583</v>
      </c>
      <c r="B585" s="29">
        <v>8.4295193519494944</v>
      </c>
      <c r="C585" s="28">
        <f ca="1">OFFSET($B585,1*(ROWS(C$2:C585)-1),0)</f>
        <v>0</v>
      </c>
      <c r="D585" s="27">
        <f>Ft!B$3*EXP(Ft!B$38*($A585-Ft!B$2)^2) +Ft!C$3*EXP(Ft!C$38*($A585-Ft!C$2)^2) + Ft!D$3*EXP(Ft!D$38*($A585-Ft!D$2)^2)+Ft!E$3*EXP(Ft!E$38*($A585-Ft!E$2)^2) +Ft!F$3*EXP(Ft!F$38*($A585-Ft!F$2)^2) + Ft!G$3*EXP(Ft!G$38*($A585-Ft!G$2)^2)</f>
        <v>253.2035801534555</v>
      </c>
      <c r="E585" s="27">
        <f>Ft!B$3*EXP(Ft!B$38*($A585-Ft!B$2)^2)</f>
        <v>38.561826142819186</v>
      </c>
      <c r="F585" s="27">
        <f>Ft!C$3*EXP(Ft!C$38*($A585-Ft!C$2)^2)</f>
        <v>50.277571365591321</v>
      </c>
      <c r="G585" s="27">
        <f>Ft!D$3*EXP(Ft!D$38*($A585-Ft!D$2)^2)</f>
        <v>4.6685962752942059E-7</v>
      </c>
      <c r="H585" s="27">
        <f>Ft!E$3*EXP(Ft!E$38*($A585-Ft!E$2)^2)</f>
        <v>97.537363354235595</v>
      </c>
      <c r="I585" s="27">
        <f>Ft!F$3*EXP(Ft!F$38*($A585-Ft!F$2)^2)</f>
        <v>41.717157091203937</v>
      </c>
      <c r="J585" s="27">
        <f>Ft!G$3*EXP(Ft!G$38*($A585-Ft!G$2)^2)</f>
        <v>25.109661732745806</v>
      </c>
    </row>
    <row r="586" spans="1:10">
      <c r="A586" s="20">
        <v>584</v>
      </c>
      <c r="B586" s="29">
        <v>8.3536964811592611</v>
      </c>
      <c r="C586" s="28">
        <f ca="1">OFFSET($B586,1*(ROWS(C$2:C586)-1),0)</f>
        <v>0</v>
      </c>
      <c r="D586" s="27">
        <f>Ft!B$3*EXP(Ft!B$38*($A586-Ft!B$2)^2) +Ft!C$3*EXP(Ft!C$38*($A586-Ft!C$2)^2) + Ft!D$3*EXP(Ft!D$38*($A586-Ft!D$2)^2)+Ft!E$3*EXP(Ft!E$38*($A586-Ft!E$2)^2) +Ft!F$3*EXP(Ft!F$38*($A586-Ft!F$2)^2) + Ft!G$3*EXP(Ft!G$38*($A586-Ft!G$2)^2)</f>
        <v>253.25770534494239</v>
      </c>
      <c r="E586" s="27">
        <f>Ft!B$3*EXP(Ft!B$38*($A586-Ft!B$2)^2)</f>
        <v>38.413934169682136</v>
      </c>
      <c r="F586" s="27">
        <f>Ft!C$3*EXP(Ft!C$38*($A586-Ft!C$2)^2)</f>
        <v>50.312974175103037</v>
      </c>
      <c r="G586" s="27">
        <f>Ft!D$3*EXP(Ft!D$38*($A586-Ft!D$2)^2)</f>
        <v>3.8020309992029494E-7</v>
      </c>
      <c r="H586" s="27">
        <f>Ft!E$3*EXP(Ft!E$38*($A586-Ft!E$2)^2)</f>
        <v>97.730337789075293</v>
      </c>
      <c r="I586" s="27">
        <f>Ft!F$3*EXP(Ft!F$38*($A586-Ft!F$2)^2)</f>
        <v>41.838826621991565</v>
      </c>
      <c r="J586" s="27">
        <f>Ft!G$3*EXP(Ft!G$38*($A586-Ft!G$2)^2)</f>
        <v>24.961632208887256</v>
      </c>
    </row>
    <row r="587" spans="1:10">
      <c r="A587" s="20">
        <v>585</v>
      </c>
      <c r="B587" s="29">
        <v>8.2800983005761282</v>
      </c>
      <c r="C587" s="28">
        <f ca="1">OFFSET($B587,1*(ROWS(C$2:C587)-1),0)</f>
        <v>0</v>
      </c>
      <c r="D587" s="27">
        <f>Ft!B$3*EXP(Ft!B$38*($A587-Ft!B$2)^2) +Ft!C$3*EXP(Ft!C$38*($A587-Ft!C$2)^2) + Ft!D$3*EXP(Ft!D$38*($A587-Ft!D$2)^2)+Ft!E$3*EXP(Ft!E$38*($A587-Ft!E$2)^2) +Ft!F$3*EXP(Ft!F$38*($A587-Ft!F$2)^2) + Ft!G$3*EXP(Ft!G$38*($A587-Ft!G$2)^2)</f>
        <v>253.311536683653</v>
      </c>
      <c r="E587" s="27">
        <f>Ft!B$3*EXP(Ft!B$38*($A587-Ft!B$2)^2)</f>
        <v>38.266426794713141</v>
      </c>
      <c r="F587" s="27">
        <f>Ft!C$3*EXP(Ft!C$38*($A587-Ft!C$2)^2)</f>
        <v>50.348290696757829</v>
      </c>
      <c r="G587" s="27">
        <f>Ft!D$3*EXP(Ft!D$38*($A587-Ft!D$2)^2)</f>
        <v>3.0920464506554357E-7</v>
      </c>
      <c r="H587" s="27">
        <f>Ft!E$3*EXP(Ft!E$38*($A587-Ft!E$2)^2)</f>
        <v>97.922274589496027</v>
      </c>
      <c r="I587" s="27">
        <f>Ft!F$3*EXP(Ft!F$38*($A587-Ft!F$2)^2)</f>
        <v>41.96071284579655</v>
      </c>
      <c r="J587" s="27">
        <f>Ft!G$3*EXP(Ft!G$38*($A587-Ft!G$2)^2)</f>
        <v>24.813831447684834</v>
      </c>
    </row>
    <row r="588" spans="1:10">
      <c r="A588" s="20">
        <v>586</v>
      </c>
      <c r="B588" s="29">
        <v>8.2190457204678466</v>
      </c>
      <c r="C588" s="28">
        <f ca="1">OFFSET($B588,1*(ROWS(C$2:C588)-1),0)</f>
        <v>0</v>
      </c>
      <c r="D588" s="27">
        <f>Ft!B$3*EXP(Ft!B$38*($A588-Ft!B$2)^2) +Ft!C$3*EXP(Ft!C$38*($A588-Ft!C$2)^2) + Ft!D$3*EXP(Ft!D$38*($A588-Ft!D$2)^2)+Ft!E$3*EXP(Ft!E$38*($A588-Ft!E$2)^2) +Ft!F$3*EXP(Ft!F$38*($A588-Ft!F$2)^2) + Ft!G$3*EXP(Ft!G$38*($A588-Ft!G$2)^2)</f>
        <v>253.36507239159178</v>
      </c>
      <c r="E588" s="27">
        <f>Ft!B$3*EXP(Ft!B$38*($A588-Ft!B$2)^2)</f>
        <v>38.119303946088252</v>
      </c>
      <c r="F588" s="27">
        <f>Ft!C$3*EXP(Ft!C$38*($A588-Ft!C$2)^2)</f>
        <v>50.383520713908105</v>
      </c>
      <c r="G588" s="27">
        <f>Ft!D$3*EXP(Ft!D$38*($A588-Ft!D$2)^2)</f>
        <v>2.5111773606600068E-7</v>
      </c>
      <c r="H588" s="27">
        <f>Ft!E$3*EXP(Ft!E$38*($A588-Ft!E$2)^2)</f>
        <v>98.113166147837191</v>
      </c>
      <c r="I588" s="27">
        <f>Ft!F$3*EXP(Ft!F$38*($A588-Ft!F$2)^2)</f>
        <v>42.08281559008126</v>
      </c>
      <c r="J588" s="27">
        <f>Ft!G$3*EXP(Ft!G$38*($A588-Ft!G$2)^2)</f>
        <v>24.666265742559233</v>
      </c>
    </row>
    <row r="589" spans="1:10">
      <c r="A589" s="20">
        <v>587</v>
      </c>
      <c r="B589" s="29">
        <v>8.1612512533558288</v>
      </c>
      <c r="C589" s="28">
        <f ca="1">OFFSET($B589,1*(ROWS(C$2:C589)-1),0)</f>
        <v>0</v>
      </c>
      <c r="D589" s="27">
        <f>Ft!B$3*EXP(Ft!B$38*($A589-Ft!B$2)^2) +Ft!C$3*EXP(Ft!C$38*($A589-Ft!C$2)^2) + Ft!D$3*EXP(Ft!D$38*($A589-Ft!D$2)^2)+Ft!E$3*EXP(Ft!E$38*($A589-Ft!E$2)^2) +Ft!F$3*EXP(Ft!F$38*($A589-Ft!F$2)^2) + Ft!G$3*EXP(Ft!G$38*($A589-Ft!G$2)^2)</f>
        <v>253.41831065881098</v>
      </c>
      <c r="E589" s="27">
        <f>Ft!B$3*EXP(Ft!B$38*($A589-Ft!B$2)^2)</f>
        <v>37.972565546765566</v>
      </c>
      <c r="F589" s="27">
        <f>Ft!C$3*EXP(Ft!C$38*($A589-Ft!C$2)^2)</f>
        <v>50.418664010327902</v>
      </c>
      <c r="G589" s="27">
        <f>Ft!D$3*EXP(Ft!D$38*($A589-Ft!D$2)^2)</f>
        <v>2.0366189807001383E-7</v>
      </c>
      <c r="H589" s="27">
        <f>Ft!E$3*EXP(Ft!E$38*($A589-Ft!E$2)^2)</f>
        <v>98.303004887049951</v>
      </c>
      <c r="I589" s="27">
        <f>Ft!F$3*EXP(Ft!F$38*($A589-Ft!F$2)^2)</f>
        <v>42.2051346796638</v>
      </c>
      <c r="J589" s="27">
        <f>Ft!G$3*EXP(Ft!G$38*($A589-Ft!G$2)^2)</f>
        <v>24.518941331341878</v>
      </c>
    </row>
    <row r="590" spans="1:10">
      <c r="A590" s="20">
        <v>588</v>
      </c>
      <c r="B590" s="29">
        <v>8.1148999630058825</v>
      </c>
      <c r="C590" s="28">
        <f ca="1">OFFSET($B590,1*(ROWS(C$2:C590)-1),0)</f>
        <v>0</v>
      </c>
      <c r="D590" s="27">
        <f>Ft!B$3*EXP(Ft!B$38*($A590-Ft!B$2)^2) +Ft!C$3*EXP(Ft!C$38*($A590-Ft!C$2)^2) + Ft!D$3*EXP(Ft!D$38*($A590-Ft!D$2)^2)+Ft!E$3*EXP(Ft!E$38*($A590-Ft!E$2)^2) +Ft!F$3*EXP(Ft!F$38*($A590-Ft!F$2)^2) + Ft!G$3*EXP(Ft!G$38*($A590-Ft!G$2)^2)</f>
        <v>253.47124964353785</v>
      </c>
      <c r="E590" s="27">
        <f>Ft!B$3*EXP(Ft!B$38*($A590-Ft!B$2)^2)</f>
        <v>37.826211514506767</v>
      </c>
      <c r="F590" s="27">
        <f>Ft!C$3*EXP(Ft!C$38*($A590-Ft!C$2)^2)</f>
        <v>50.453720370215052</v>
      </c>
      <c r="G590" s="27">
        <f>Ft!D$3*EXP(Ft!D$38*($A590-Ft!D$2)^2)</f>
        <v>1.6494653935775688E-7</v>
      </c>
      <c r="H590" s="27">
        <f>Ft!E$3*EXP(Ft!E$38*($A590-Ft!E$2)^2)</f>
        <v>98.491783261196773</v>
      </c>
      <c r="I590" s="27">
        <f>Ft!F$3*EXP(Ft!F$38*($A590-Ft!F$2)^2)</f>
        <v>42.327669936712745</v>
      </c>
      <c r="J590" s="27">
        <f>Ft!G$3*EXP(Ft!G$38*($A590-Ft!G$2)^2)</f>
        <v>24.371864395959967</v>
      </c>
    </row>
    <row r="591" spans="1:10">
      <c r="A591" s="20">
        <v>589</v>
      </c>
      <c r="B591" s="29">
        <v>8.0651485048971665</v>
      </c>
      <c r="C591" s="28">
        <f ca="1">OFFSET($B591,1*(ROWS(C$2:C591)-1),0)</f>
        <v>0</v>
      </c>
      <c r="D591" s="27">
        <f>Ft!B$3*EXP(Ft!B$38*($A591-Ft!B$2)^2) +Ft!C$3*EXP(Ft!C$38*($A591-Ft!C$2)^2) + Ft!D$3*EXP(Ft!D$38*($A591-Ft!D$2)^2)+Ft!E$3*EXP(Ft!E$38*($A591-Ft!E$2)^2) +Ft!F$3*EXP(Ft!F$38*($A591-Ft!F$2)^2) + Ft!G$3*EXP(Ft!G$38*($A591-Ft!G$2)^2)</f>
        <v>253.52388747232052</v>
      </c>
      <c r="E591" s="27">
        <f>Ft!B$3*EXP(Ft!B$38*($A591-Ft!B$2)^2)</f>
        <v>37.680241761898657</v>
      </c>
      <c r="F591" s="27">
        <f>Ft!C$3*EXP(Ft!C$38*($A591-Ft!C$2)^2)</f>
        <v>50.488689578193451</v>
      </c>
      <c r="G591" s="27">
        <f>Ft!D$3*EXP(Ft!D$38*($A591-Ft!D$2)^2)</f>
        <v>1.3340670307731514E-7</v>
      </c>
      <c r="H591" s="27">
        <f>Ft!E$3*EXP(Ft!E$38*($A591-Ft!E$2)^2)</f>
        <v>98.679493755949409</v>
      </c>
      <c r="I591" s="27">
        <f>Ft!F$3*EXP(Ft!F$38*($A591-Ft!F$2)^2)</f>
        <v>42.450421180741664</v>
      </c>
      <c r="J591" s="27">
        <f>Ft!G$3*EXP(Ft!G$38*($A591-Ft!G$2)^2)</f>
        <v>24.225041062130618</v>
      </c>
    </row>
    <row r="592" spans="1:10">
      <c r="A592" s="20">
        <v>590</v>
      </c>
      <c r="B592" s="29">
        <v>8.0080245946963373</v>
      </c>
      <c r="C592" s="28">
        <f ca="1">OFFSET($B592,1*(ROWS(C$2:C592)-1),0)</f>
        <v>0</v>
      </c>
      <c r="D592" s="27">
        <f>Ft!B$3*EXP(Ft!B$38*($A592-Ft!B$2)^2) +Ft!C$3*EXP(Ft!C$38*($A592-Ft!C$2)^2) + Ft!D$3*EXP(Ft!D$38*($A592-Ft!D$2)^2)+Ft!E$3*EXP(Ft!E$38*($A592-Ft!E$2)^2) +Ft!F$3*EXP(Ft!F$38*($A592-Ft!F$2)^2) + Ft!G$3*EXP(Ft!G$38*($A592-Ft!G$2)^2)</f>
        <v>253.57622224019286</v>
      </c>
      <c r="E592" s="27">
        <f>Ft!B$3*EXP(Ft!B$38*($A592-Ft!B$2)^2)</f>
        <v>37.534656196374833</v>
      </c>
      <c r="F592" s="27">
        <f>Ft!C$3*EXP(Ft!C$38*($A592-Ft!C$2)^2)</f>
        <v>50.523571419315203</v>
      </c>
      <c r="G592" s="27">
        <f>Ft!D$3*EXP(Ft!D$38*($A592-Ft!D$2)^2)</f>
        <v>1.0774896727682923E-7</v>
      </c>
      <c r="H592" s="27">
        <f>Ft!E$3*EXP(Ft!E$38*($A592-Ft!E$2)^2)</f>
        <v>98.866128889085843</v>
      </c>
      <c r="I592" s="27">
        <f>Ft!F$3*EXP(Ft!F$38*($A592-Ft!F$2)^2)</f>
        <v>42.573388228603861</v>
      </c>
      <c r="J592" s="27">
        <f>Ft!G$3*EXP(Ft!G$38*($A592-Ft!G$2)^2)</f>
        <v>24.07847739906412</v>
      </c>
    </row>
    <row r="593" spans="1:10">
      <c r="A593" s="20">
        <v>591</v>
      </c>
      <c r="B593" s="29">
        <v>7.9545107522137641</v>
      </c>
      <c r="C593" s="28">
        <f ca="1">OFFSET($B593,1*(ROWS(C$2:C593)-1),0)</f>
        <v>0</v>
      </c>
      <c r="D593" s="27">
        <f>Ft!B$3*EXP(Ft!B$38*($A593-Ft!B$2)^2) +Ft!C$3*EXP(Ft!C$38*($A593-Ft!C$2)^2) + Ft!D$3*EXP(Ft!D$38*($A593-Ft!D$2)^2)+Ft!E$3*EXP(Ft!E$38*($A593-Ft!E$2)^2) +Ft!F$3*EXP(Ft!F$38*($A593-Ft!F$2)^2) + Ft!G$3*EXP(Ft!G$38*($A593-Ft!G$2)^2)</f>
        <v>253.62825201085508</v>
      </c>
      <c r="E593" s="27">
        <f>Ft!B$3*EXP(Ft!B$38*($A593-Ft!B$2)^2)</f>
        <v>37.389454720237289</v>
      </c>
      <c r="F593" s="27">
        <f>Ft!C$3*EXP(Ft!C$38*($A593-Ft!C$2)^2)</f>
        <v>50.558365679062817</v>
      </c>
      <c r="G593" s="27">
        <f>Ft!D$3*EXP(Ft!D$38*($A593-Ft!D$2)^2)</f>
        <v>8.6905968341534432E-8</v>
      </c>
      <c r="H593" s="27">
        <f>Ft!E$3*EXP(Ft!E$38*($A593-Ft!E$2)^2)</f>
        <v>99.051681210985663</v>
      </c>
      <c r="I593" s="27">
        <f>Ft!F$3*EXP(Ft!F$38*($A593-Ft!F$2)^2)</f>
        <v>42.696570894487067</v>
      </c>
      <c r="J593" s="27">
        <f>Ft!G$3*EXP(Ft!G$38*($A593-Ft!G$2)^2)</f>
        <v>23.932179419176304</v>
      </c>
    </row>
    <row r="594" spans="1:10">
      <c r="A594" s="20">
        <v>592</v>
      </c>
      <c r="B594" s="29">
        <v>7.8875015152045478</v>
      </c>
      <c r="C594" s="28">
        <f ca="1">OFFSET($B594,1*(ROWS(C$2:C594)-1),0)</f>
        <v>0</v>
      </c>
      <c r="D594" s="27">
        <f>Ft!B$3*EXP(Ft!B$38*($A594-Ft!B$2)^2) +Ft!C$3*EXP(Ft!C$38*($A594-Ft!C$2)^2) + Ft!D$3*EXP(Ft!D$38*($A594-Ft!D$2)^2)+Ft!E$3*EXP(Ft!E$38*($A594-Ft!E$2)^2) +Ft!F$3*EXP(Ft!F$38*($A594-Ft!F$2)^2) + Ft!G$3*EXP(Ft!G$38*($A594-Ft!G$2)^2)</f>
        <v>253.6799748168699</v>
      </c>
      <c r="E594" s="27">
        <f>Ft!B$3*EXP(Ft!B$38*($A594-Ft!B$2)^2)</f>
        <v>37.244637230678094</v>
      </c>
      <c r="F594" s="27">
        <f>Ft!C$3*EXP(Ft!C$38*($A594-Ft!C$2)^2)</f>
        <v>50.593072143351456</v>
      </c>
      <c r="G594" s="27">
        <f>Ft!D$3*EXP(Ft!D$38*($A594-Ft!D$2)^2)</f>
        <v>6.9998238547350526E-8</v>
      </c>
      <c r="H594" s="27">
        <f>Ft!E$3*EXP(Ft!E$38*($A594-Ft!E$2)^2)</f>
        <v>99.236143305124074</v>
      </c>
      <c r="I594" s="27">
        <f>Ft!F$3*EXP(Ft!F$38*($A594-Ft!F$2)^2)</f>
        <v>42.819968989908112</v>
      </c>
      <c r="J594" s="27">
        <f>Ft!G$3*EXP(Ft!G$38*($A594-Ft!G$2)^2)</f>
        <v>23.786153077809935</v>
      </c>
    </row>
    <row r="595" spans="1:10">
      <c r="A595" s="20">
        <v>593</v>
      </c>
      <c r="B595" s="29">
        <v>7.8168425378049164</v>
      </c>
      <c r="C595" s="28">
        <f ca="1">OFFSET($B595,1*(ROWS(C$2:C595)-1),0)</f>
        <v>0</v>
      </c>
      <c r="D595" s="27">
        <f>Ft!B$3*EXP(Ft!B$38*($A595-Ft!B$2)^2) +Ft!C$3*EXP(Ft!C$38*($A595-Ft!C$2)^2) + Ft!D$3*EXP(Ft!D$38*($A595-Ft!D$2)^2)+Ft!E$3*EXP(Ft!E$38*($A595-Ft!E$2)^2) +Ft!F$3*EXP(Ft!F$38*($A595-Ft!F$2)^2) + Ft!G$3*EXP(Ft!G$38*($A595-Ft!G$2)^2)</f>
        <v>253.73138865987193</v>
      </c>
      <c r="E595" s="27">
        <f>Ft!B$3*EXP(Ft!B$38*($A595-Ft!B$2)^2)</f>
        <v>37.100203619801164</v>
      </c>
      <c r="F595" s="27">
        <f>Ft!C$3*EXP(Ft!C$38*($A595-Ft!C$2)^2)</f>
        <v>50.627690598531061</v>
      </c>
      <c r="G595" s="27">
        <f>Ft!D$3*EXP(Ft!D$38*($A595-Ft!D$2)^2)</f>
        <v>5.6302235845535395E-8</v>
      </c>
      <c r="H595" s="27">
        <f>Ft!E$3*EXP(Ft!E$38*($A595-Ft!E$2)^2)</f>
        <v>99.419507788564388</v>
      </c>
      <c r="I595" s="27">
        <f>Ft!F$3*EXP(Ft!F$38*($A595-Ft!F$2)^2)</f>
        <v>42.943582323707822</v>
      </c>
      <c r="J595" s="27">
        <f>Ft!G$3*EXP(Ft!G$38*($A595-Ft!G$2)^2)</f>
        <v>23.640404272965245</v>
      </c>
    </row>
    <row r="596" spans="1:10">
      <c r="A596" s="20">
        <v>594</v>
      </c>
      <c r="B596" s="29">
        <v>7.7665382062700701</v>
      </c>
      <c r="C596" s="28">
        <f ca="1">OFFSET($B596,1*(ROWS(C$2:C596)-1),0)</f>
        <v>0</v>
      </c>
      <c r="D596" s="27">
        <f>Ft!B$3*EXP(Ft!B$38*($A596-Ft!B$2)^2) +Ft!C$3*EXP(Ft!C$38*($A596-Ft!C$2)^2) + Ft!D$3*EXP(Ft!D$38*($A596-Ft!D$2)^2)+Ft!E$3*EXP(Ft!E$38*($A596-Ft!E$2)^2) +Ft!F$3*EXP(Ft!F$38*($A596-Ft!F$2)^2) + Ft!G$3*EXP(Ft!G$38*($A596-Ft!G$2)^2)</f>
        <v>253.78249151079041</v>
      </c>
      <c r="E596" s="27">
        <f>Ft!B$3*EXP(Ft!B$38*($A596-Ft!B$2)^2)</f>
        <v>36.956153774644022</v>
      </c>
      <c r="F596" s="27">
        <f>Ft!C$3*EXP(Ft!C$38*($A596-Ft!C$2)^2)</f>
        <v>50.662220831388588</v>
      </c>
      <c r="G596" s="27">
        <f>Ft!D$3*EXP(Ft!D$38*($A596-Ft!D$2)^2)</f>
        <v>4.5223606507895158E-8</v>
      </c>
      <c r="H596" s="27">
        <f>Ft!E$3*EXP(Ft!E$38*($A596-Ft!E$2)^2)</f>
        <v>99.601767312449113</v>
      </c>
      <c r="I596" s="27">
        <f>Ft!F$3*EXP(Ft!F$38*($A596-Ft!F$2)^2)</f>
        <v>43.067410702045613</v>
      </c>
      <c r="J596" s="27">
        <f>Ft!G$3*EXP(Ft!G$38*($A596-Ft!G$2)^2)</f>
        <v>23.494938845039474</v>
      </c>
    </row>
    <row r="597" spans="1:10">
      <c r="A597" s="20">
        <v>595</v>
      </c>
      <c r="B597" s="29">
        <v>7.6742653588554788</v>
      </c>
      <c r="C597" s="28">
        <f ca="1">OFFSET($B597,1*(ROWS(C$2:C597)-1),0)</f>
        <v>0</v>
      </c>
      <c r="D597" s="27">
        <f>Ft!B$3*EXP(Ft!B$38*($A597-Ft!B$2)^2) +Ft!C$3*EXP(Ft!C$38*($A597-Ft!C$2)^2) + Ft!D$3*EXP(Ft!D$38*($A597-Ft!D$2)^2)+Ft!E$3*EXP(Ft!E$38*($A597-Ft!E$2)^2) +Ft!F$3*EXP(Ft!F$38*($A597-Ft!F$2)^2) + Ft!G$3*EXP(Ft!G$38*($A597-Ft!G$2)^2)</f>
        <v>253.83328131008381</v>
      </c>
      <c r="E597" s="27">
        <f>Ft!B$3*EXP(Ft!B$38*($A597-Ft!B$2)^2)</f>
        <v>36.812487577199512</v>
      </c>
      <c r="F597" s="27">
        <f>Ft!C$3*EXP(Ft!C$38*($A597-Ft!C$2)^2)</f>
        <v>50.696662629150147</v>
      </c>
      <c r="G597" s="27">
        <f>Ft!D$3*EXP(Ft!D$38*($A597-Ft!D$2)^2)</f>
        <v>3.6274861873076521E-8</v>
      </c>
      <c r="H597" s="27">
        <f>Ft!E$3*EXP(Ft!E$38*($A597-Ft!E$2)^2)</f>
        <v>99.782914562489353</v>
      </c>
      <c r="I597" s="27">
        <f>Ft!F$3*EXP(Ft!F$38*($A597-Ft!F$2)^2)</f>
        <v>43.191453928394473</v>
      </c>
      <c r="J597" s="27">
        <f>Ft!G$3*EXP(Ft!G$38*($A597-Ft!G$2)^2)</f>
        <v>23.349762576575479</v>
      </c>
    </row>
    <row r="598" spans="1:10">
      <c r="A598" s="20">
        <v>596</v>
      </c>
      <c r="B598" s="29">
        <v>7.5748915398404222</v>
      </c>
      <c r="C598" s="28">
        <f ca="1">OFFSET($B598,1*(ROWS(C$2:C598)-1),0)</f>
        <v>0</v>
      </c>
      <c r="D598" s="27">
        <f>Ft!B$3*EXP(Ft!B$38*($A598-Ft!B$2)^2) +Ft!C$3*EXP(Ft!C$38*($A598-Ft!C$2)^2) + Ft!D$3*EXP(Ft!D$38*($A598-Ft!D$2)^2)+Ft!E$3*EXP(Ft!E$38*($A598-Ft!E$2)^2) +Ft!F$3*EXP(Ft!F$38*($A598-Ft!F$2)^2) + Ft!G$3*EXP(Ft!G$38*($A598-Ft!G$2)^2)</f>
        <v>253.88375596798559</v>
      </c>
      <c r="E598" s="27">
        <f>Ft!B$3*EXP(Ft!B$38*($A598-Ft!B$2)^2)</f>
        <v>36.66920490443777</v>
      </c>
      <c r="F598" s="27">
        <f>Ft!C$3*EXP(Ft!C$38*($A598-Ft!C$2)^2)</f>
        <v>50.731015779483229</v>
      </c>
      <c r="G598" s="27">
        <f>Ft!D$3*EXP(Ft!D$38*($A598-Ft!D$2)^2)</f>
        <v>2.905677182023349E-8</v>
      </c>
      <c r="H598" s="27">
        <f>Ft!E$3*EXP(Ft!E$38*($A598-Ft!E$2)^2)</f>
        <v>99.962942259452703</v>
      </c>
      <c r="I598" s="27">
        <f>Ft!F$3*EXP(Ft!F$38*($A598-Ft!F$2)^2)</f>
        <v>43.315711803535734</v>
      </c>
      <c r="J598" s="27">
        <f>Ft!G$3*EXP(Ft!G$38*($A598-Ft!G$2)^2)</f>
        <v>23.204881192019364</v>
      </c>
    </row>
    <row r="599" spans="1:10">
      <c r="A599" s="20">
        <v>597</v>
      </c>
      <c r="B599" s="29">
        <v>7.4745945140886363</v>
      </c>
      <c r="C599" s="28">
        <f ca="1">OFFSET($B599,1*(ROWS(C$2:C599)-1),0)</f>
        <v>0</v>
      </c>
      <c r="D599" s="27">
        <f>Ft!B$3*EXP(Ft!B$38*($A599-Ft!B$2)^2) +Ft!C$3*EXP(Ft!C$38*($A599-Ft!C$2)^2) + Ft!D$3*EXP(Ft!D$38*($A599-Ft!D$2)^2)+Ft!E$3*EXP(Ft!E$38*($A599-Ft!E$2)^2) +Ft!F$3*EXP(Ft!F$38*($A599-Ft!F$2)^2) + Ft!G$3*EXP(Ft!G$38*($A599-Ft!G$2)^2)</f>
        <v>253.93391336476012</v>
      </c>
      <c r="E599" s="27">
        <f>Ft!B$3*EXP(Ft!B$38*($A599-Ft!B$2)^2)</f>
        <v>36.526305628327961</v>
      </c>
      <c r="F599" s="27">
        <f>Ft!C$3*EXP(Ft!C$38*($A599-Ft!C$2)^2)</f>
        <v>50.765280070498832</v>
      </c>
      <c r="G599" s="27">
        <f>Ft!D$3*EXP(Ft!D$38*($A599-Ft!D$2)^2)</f>
        <v>2.3242882152690358E-8</v>
      </c>
      <c r="H599" s="27">
        <f>Ft!E$3*EXP(Ft!E$38*($A599-Ft!E$2)^2)</f>
        <v>100.14184315964937</v>
      </c>
      <c r="I599" s="27">
        <f>Ft!F$3*EXP(Ft!F$38*($A599-Ft!F$2)^2)</f>
        <v>43.440184125553955</v>
      </c>
      <c r="J599" s="27">
        <f>Ft!G$3*EXP(Ft!G$38*($A599-Ft!G$2)^2)</f>
        <v>23.060300357487129</v>
      </c>
    </row>
    <row r="600" spans="1:10">
      <c r="A600" s="20">
        <v>598</v>
      </c>
      <c r="B600" s="29">
        <v>7.3814340263830331</v>
      </c>
      <c r="C600" s="28">
        <f ca="1">OFFSET($B600,1*(ROWS(C$2:C600)-1),0)</f>
        <v>0</v>
      </c>
      <c r="D600" s="27">
        <f>Ft!B$3*EXP(Ft!B$38*($A600-Ft!B$2)^2) +Ft!C$3*EXP(Ft!C$38*($A600-Ft!C$2)^2) + Ft!D$3*EXP(Ft!D$38*($A600-Ft!D$2)^2)+Ft!E$3*EXP(Ft!E$38*($A600-Ft!E$2)^2) +Ft!F$3*EXP(Ft!F$38*($A600-Ft!F$2)^2) + Ft!G$3*EXP(Ft!G$38*($A600-Ft!G$2)^2)</f>
        <v>253.98375135096944</v>
      </c>
      <c r="E600" s="27">
        <f>Ft!B$3*EXP(Ft!B$38*($A600-Ft!B$2)^2)</f>
        <v>36.383789615860302</v>
      </c>
      <c r="F600" s="27">
        <f>Ft!C$3*EXP(Ft!C$38*($A600-Ft!C$2)^2)</f>
        <v>50.799455290753691</v>
      </c>
      <c r="G600" s="27">
        <f>Ft!D$3*EXP(Ft!D$38*($A600-Ft!D$2)^2)</f>
        <v>1.8566652936862527E-8</v>
      </c>
      <c r="H600" s="27">
        <f>Ft!E$3*EXP(Ft!E$38*($A600-Ft!E$2)^2)</f>
        <v>100.31961005541675</v>
      </c>
      <c r="I600" s="27">
        <f>Ft!F$3*EXP(Ft!F$38*($A600-Ft!F$2)^2)</f>
        <v>43.5648706898318</v>
      </c>
      <c r="J600" s="27">
        <f>Ft!G$3*EXP(Ft!G$38*($A600-Ft!G$2)^2)</f>
        <v>22.916025680540272</v>
      </c>
    </row>
    <row r="601" spans="1:10">
      <c r="A601" s="20">
        <v>599</v>
      </c>
      <c r="B601" s="29">
        <v>7.2840261294065556</v>
      </c>
      <c r="C601" s="28">
        <f ca="1">OFFSET($B601,1*(ROWS(C$2:C601)-1),0)</f>
        <v>0</v>
      </c>
      <c r="D601" s="27">
        <f>Ft!B$3*EXP(Ft!B$38*($A601-Ft!B$2)^2) +Ft!C$3*EXP(Ft!C$38*($A601-Ft!C$2)^2) + Ft!D$3*EXP(Ft!D$38*($A601-Ft!D$2)^2)+Ft!E$3*EXP(Ft!E$38*($A601-Ft!E$2)^2) +Ft!F$3*EXP(Ft!F$38*($A601-Ft!F$2)^2) + Ft!G$3*EXP(Ft!G$38*($A601-Ft!G$2)^2)</f>
        <v>254.03326774774874</v>
      </c>
      <c r="E601" s="27">
        <f>Ft!B$3*EXP(Ft!B$38*($A601-Ft!B$2)^2)</f>
        <v>36.241656729067877</v>
      </c>
      <c r="F601" s="27">
        <f>Ft!C$3*EXP(Ft!C$38*($A601-Ft!C$2)^2)</f>
        <v>50.833541229252404</v>
      </c>
      <c r="G601" s="27">
        <f>Ft!D$3*EXP(Ft!D$38*($A601-Ft!D$2)^2)</f>
        <v>1.4810791908061569E-8</v>
      </c>
      <c r="H601" s="27">
        <f>Ft!E$3*EXP(Ft!E$38*($A601-Ft!E$2)^2)</f>
        <v>100.49623577560219</v>
      </c>
      <c r="I601" s="27">
        <f>Ft!F$3*EXP(Ft!F$38*($A601-Ft!F$2)^2)</f>
        <v>43.689771289045062</v>
      </c>
      <c r="J601" s="27">
        <f>Ft!G$3*EXP(Ft!G$38*($A601-Ft!G$2)^2)</f>
        <v>22.772062709970406</v>
      </c>
    </row>
    <row r="602" spans="1:10">
      <c r="A602" s="20">
        <v>600</v>
      </c>
      <c r="B602" s="29">
        <v>7.1614522016893147</v>
      </c>
      <c r="C602" s="28">
        <f ca="1">OFFSET($B602,1*(ROWS(C$2:C602)-1),0)</f>
        <v>0</v>
      </c>
      <c r="D602" s="27">
        <f>Ft!B$3*EXP(Ft!B$38*($A602-Ft!B$2)^2) +Ft!C$3*EXP(Ft!C$38*($A602-Ft!C$2)^2) + Ft!D$3*EXP(Ft!D$38*($A602-Ft!D$2)^2)+Ft!E$3*EXP(Ft!E$38*($A602-Ft!E$2)^2) +Ft!F$3*EXP(Ft!F$38*($A602-Ft!F$2)^2) + Ft!G$3*EXP(Ft!G$38*($A602-Ft!G$2)^2)</f>
        <v>254.08246034709092</v>
      </c>
      <c r="E602" s="27">
        <f>Ft!B$3*EXP(Ft!B$38*($A602-Ft!B$2)^2)</f>
        <v>36.09990682504872</v>
      </c>
      <c r="F602" s="27">
        <f>Ft!C$3*EXP(Ft!C$38*($A602-Ft!C$2)^2)</f>
        <v>50.867537675449604</v>
      </c>
      <c r="G602" s="27">
        <f>Ft!D$3*EXP(Ft!D$38*($A602-Ft!D$2)^2)</f>
        <v>1.1798423005331306E-8</v>
      </c>
      <c r="H602" s="27">
        <f>Ft!E$3*EXP(Ft!E$38*($A602-Ft!E$2)^2)</f>
        <v>100.67171318604386</v>
      </c>
      <c r="I602" s="27">
        <f>Ft!F$3*EXP(Ft!F$38*($A602-Ft!F$2)^2)</f>
        <v>43.814885713157494</v>
      </c>
      <c r="J602" s="27">
        <f>Ft!G$3*EXP(Ft!G$38*($A602-Ft!G$2)^2)</f>
        <v>22.628416935592803</v>
      </c>
    </row>
    <row r="603" spans="1:10">
      <c r="A603" s="20">
        <v>601</v>
      </c>
      <c r="B603" s="29">
        <v>7.0326555559465476</v>
      </c>
      <c r="C603" s="28">
        <f ca="1">OFFSET($B603,1*(ROWS(C$2:C603)-1),0)</f>
        <v>0</v>
      </c>
      <c r="D603" s="27">
        <f>Ft!B$3*EXP(Ft!B$38*($A603-Ft!B$2)^2) +Ft!C$3*EXP(Ft!C$38*($A603-Ft!C$2)^2) + Ft!D$3*EXP(Ft!D$38*($A603-Ft!D$2)^2)+Ft!E$3*EXP(Ft!E$38*($A603-Ft!E$2)^2) +Ft!F$3*EXP(Ft!F$38*($A603-Ft!F$2)^2) + Ft!G$3*EXP(Ft!G$38*($A603-Ft!G$2)^2)</f>
        <v>254.13132691214045</v>
      </c>
      <c r="E603" s="27">
        <f>Ft!B$3*EXP(Ft!B$38*($A603-Ft!B$2)^2)</f>
        <v>35.958539755987744</v>
      </c>
      <c r="F603" s="27">
        <f>Ft!C$3*EXP(Ft!C$38*($A603-Ft!C$2)^2)</f>
        <v>50.901444419252165</v>
      </c>
      <c r="G603" s="27">
        <f>Ft!D$3*EXP(Ft!D$38*($A603-Ft!D$2)^2)</f>
        <v>9.3857864156658365E-9</v>
      </c>
      <c r="H603" s="27">
        <f>Ft!E$3*EXP(Ft!E$38*($A603-Ft!E$2)^2)</f>
        <v>100.84603519004997</v>
      </c>
      <c r="I603" s="27">
        <f>Ft!F$3*EXP(Ft!F$38*($A603-Ft!F$2)^2)</f>
        <v>43.940213749415939</v>
      </c>
      <c r="J603" s="27">
        <f>Ft!G$3*EXP(Ft!G$38*($A603-Ft!G$2)^2)</f>
        <v>22.485093788048854</v>
      </c>
    </row>
    <row r="604" spans="1:10">
      <c r="A604" s="20">
        <v>602</v>
      </c>
      <c r="B604" s="29">
        <v>6.8944704357864453</v>
      </c>
      <c r="C604" s="28">
        <f ca="1">OFFSET($B604,1*(ROWS(C$2:C604)-1),0)</f>
        <v>0</v>
      </c>
      <c r="D604" s="27">
        <f>Ft!B$3*EXP(Ft!B$38*($A604-Ft!B$2)^2) +Ft!C$3*EXP(Ft!C$38*($A604-Ft!C$2)^2) + Ft!D$3*EXP(Ft!D$38*($A604-Ft!D$2)^2)+Ft!E$3*EXP(Ft!E$38*($A604-Ft!E$2)^2) +Ft!F$3*EXP(Ft!F$38*($A604-Ft!F$2)^2) + Ft!G$3*EXP(Ft!G$38*($A604-Ft!G$2)^2)</f>
        <v>254.179865177495</v>
      </c>
      <c r="E604" s="27">
        <f>Ft!B$3*EXP(Ft!B$38*($A604-Ft!B$2)^2)</f>
        <v>35.817555369178784</v>
      </c>
      <c r="F604" s="27">
        <f>Ft!C$3*EXP(Ft!C$38*($A604-Ft!C$2)^2)</f>
        <v>50.935261251021281</v>
      </c>
      <c r="G604" s="27">
        <f>Ft!D$3*EXP(Ft!D$38*($A604-Ft!D$2)^2)</f>
        <v>7.4562144996676202E-9</v>
      </c>
      <c r="H604" s="27">
        <f>Ft!E$3*EXP(Ft!E$38*($A604-Ft!E$2)^2)</f>
        <v>101.01919472887604</v>
      </c>
      <c r="I604" s="27">
        <f>Ft!F$3*EXP(Ft!F$38*($A604-Ft!F$2)^2)</f>
        <v>44.065755182345256</v>
      </c>
      <c r="J604" s="27">
        <f>Ft!G$3*EXP(Ft!G$38*($A604-Ft!G$2)^2)</f>
        <v>22.342098638617415</v>
      </c>
    </row>
    <row r="605" spans="1:10">
      <c r="A605" s="20">
        <v>603</v>
      </c>
      <c r="B605" s="29">
        <v>6.7547443818273223</v>
      </c>
      <c r="C605" s="28">
        <f ca="1">OFFSET($B605,1*(ROWS(C$2:C605)-1),0)</f>
        <v>0</v>
      </c>
      <c r="D605" s="27">
        <f>Ft!B$3*EXP(Ft!B$38*($A605-Ft!B$2)^2) +Ft!C$3*EXP(Ft!C$38*($A605-Ft!C$2)^2) + Ft!D$3*EXP(Ft!D$38*($A605-Ft!D$2)^2)+Ft!E$3*EXP(Ft!E$38*($A605-Ft!E$2)^2) +Ft!F$3*EXP(Ft!F$38*($A605-Ft!F$2)^2) + Ft!G$3*EXP(Ft!G$38*($A605-Ft!G$2)^2)</f>
        <v>254.22807284951523</v>
      </c>
      <c r="E605" s="27">
        <f>Ft!B$3*EXP(Ft!B$38*($A605-Ft!B$2)^2)</f>
        <v>35.676953507046697</v>
      </c>
      <c r="F605" s="27">
        <f>Ft!C$3*EXP(Ft!C$38*($A605-Ft!C$2)^2)</f>
        <v>50.968987961574697</v>
      </c>
      <c r="G605" s="27">
        <f>Ft!D$3*EXP(Ft!D$38*($A605-Ft!D$2)^2)</f>
        <v>5.9151687818846383E-9</v>
      </c>
      <c r="H605" s="27">
        <f>Ft!E$3*EXP(Ft!E$38*($A605-Ft!E$2)^2)</f>
        <v>101.19118478220017</v>
      </c>
      <c r="I605" s="27">
        <f>Ft!F$3*EXP(Ft!F$38*($A605-Ft!F$2)^2)</f>
        <v>44.191509793743435</v>
      </c>
      <c r="J605" s="27">
        <f>Ft!G$3*EXP(Ft!G$38*($A605-Ft!G$2)^2)</f>
        <v>22.199436799035077</v>
      </c>
    </row>
    <row r="606" spans="1:10">
      <c r="A606" s="20">
        <v>604</v>
      </c>
      <c r="B606" s="29">
        <v>6.6404165064416816</v>
      </c>
      <c r="C606" s="28">
        <f ca="1">OFFSET($B606,1*(ROWS(C$2:C606)-1),0)</f>
        <v>0</v>
      </c>
      <c r="D606" s="27">
        <f>Ft!B$3*EXP(Ft!B$38*($A606-Ft!B$2)^2) +Ft!C$3*EXP(Ft!C$38*($A606-Ft!C$2)^2) + Ft!D$3*EXP(Ft!D$38*($A606-Ft!D$2)^2)+Ft!E$3*EXP(Ft!E$38*($A606-Ft!E$2)^2) +Ft!F$3*EXP(Ft!F$38*($A606-Ft!F$2)^2) + Ft!G$3*EXP(Ft!G$38*($A606-Ft!G$2)^2)</f>
        <v>254.27594760664269</v>
      </c>
      <c r="E606" s="27">
        <f>Ft!B$3*EXP(Ft!B$38*($A606-Ft!B$2)^2)</f>
        <v>35.536734007169414</v>
      </c>
      <c r="F606" s="27">
        <f>Ft!C$3*EXP(Ft!C$38*($A606-Ft!C$2)^2)</f>
        <v>51.002624342188831</v>
      </c>
      <c r="G606" s="27">
        <f>Ft!D$3*EXP(Ft!D$38*($A606-Ft!D$2)^2)</f>
        <v>4.6861578225645429E-9</v>
      </c>
      <c r="H606" s="27">
        <f>Ft!E$3*EXP(Ft!E$38*($A606-Ft!E$2)^2)</f>
        <v>101.36199836859642</v>
      </c>
      <c r="I606" s="27">
        <f>Ft!F$3*EXP(Ft!F$38*($A606-Ft!F$2)^2)</f>
        <v>44.317477362676662</v>
      </c>
      <c r="J606" s="27">
        <f>Ft!G$3*EXP(Ft!G$38*($A606-Ft!G$2)^2)</f>
        <v>22.057113521325203</v>
      </c>
    </row>
    <row r="607" spans="1:10">
      <c r="A607" s="20">
        <v>605</v>
      </c>
      <c r="B607" s="29">
        <v>6.5128525609574979</v>
      </c>
      <c r="C607" s="28">
        <f ca="1">OFFSET($B607,1*(ROWS(C$2:C607)-1),0)</f>
        <v>0</v>
      </c>
      <c r="D607" s="27">
        <f>Ft!B$3*EXP(Ft!B$38*($A607-Ft!B$2)^2) +Ft!C$3*EXP(Ft!C$38*($A607-Ft!C$2)^2) + Ft!D$3*EXP(Ft!D$38*($A607-Ft!D$2)^2)+Ft!E$3*EXP(Ft!E$38*($A607-Ft!E$2)^2) +Ft!F$3*EXP(Ft!F$38*($A607-Ft!F$2)^2) + Ft!G$3*EXP(Ft!G$38*($A607-Ft!G$2)^2)</f>
        <v>254.32348709972482</v>
      </c>
      <c r="E607" s="27">
        <f>Ft!B$3*EXP(Ft!B$38*($A607-Ft!B$2)^2)</f>
        <v>35.396896702300069</v>
      </c>
      <c r="F607" s="27">
        <f>Ft!C$3*EXP(Ft!C$38*($A607-Ft!C$2)^2)</f>
        <v>51.03617018460092</v>
      </c>
      <c r="G607" s="27">
        <f>Ft!D$3*EXP(Ft!D$38*($A607-Ft!D$2)^2)</f>
        <v>3.7073851184794565E-9</v>
      </c>
      <c r="H607" s="27">
        <f>Ft!E$3*EXP(Ft!E$38*($A607-Ft!E$2)^2)</f>
        <v>101.53162854600623</v>
      </c>
      <c r="I607" s="27">
        <f>Ft!F$3*EXP(Ft!F$38*($A607-Ft!F$2)^2)</f>
        <v>44.443657665474412</v>
      </c>
      <c r="J607" s="27">
        <f>Ft!G$3*EXP(Ft!G$38*($A607-Ft!G$2)^2)</f>
        <v>21.915133997635824</v>
      </c>
    </row>
    <row r="608" spans="1:10">
      <c r="A608" s="20">
        <v>606</v>
      </c>
      <c r="B608" s="29">
        <v>6.3676882512875181</v>
      </c>
      <c r="C608" s="28">
        <f ca="1">OFFSET($B608,1*(ROWS(C$2:C608)-1),0)</f>
        <v>0</v>
      </c>
      <c r="D608" s="27">
        <f>Ft!B$3*EXP(Ft!B$38*($A608-Ft!B$2)^2) +Ft!C$3*EXP(Ft!C$38*($A608-Ft!C$2)^2) + Ft!D$3*EXP(Ft!D$38*($A608-Ft!D$2)^2)+Ft!E$3*EXP(Ft!E$38*($A608-Ft!E$2)^2) +Ft!F$3*EXP(Ft!F$38*($A608-Ft!F$2)^2) + Ft!G$3*EXP(Ft!G$38*($A608-Ft!G$2)^2)</f>
        <v>254.37068895234793</v>
      </c>
      <c r="E608" s="27">
        <f>Ft!B$3*EXP(Ft!B$38*($A608-Ft!B$2)^2)</f>
        <v>35.257441420389135</v>
      </c>
      <c r="F608" s="27">
        <f>Ft!C$3*EXP(Ft!C$38*($A608-Ft!C$2)^2)</f>
        <v>51.069625281011163</v>
      </c>
      <c r="G608" s="27">
        <f>Ft!D$3*EXP(Ft!D$38*($A608-Ft!D$2)^2)</f>
        <v>2.9290009703862103E-9</v>
      </c>
      <c r="H608" s="27">
        <f>Ft!E$3*EXP(Ft!E$38*($A608-Ft!E$2)^2)</f>
        <v>101.70006841220764</v>
      </c>
      <c r="I608" s="27">
        <f>Ft!F$3*EXP(Ft!F$38*($A608-Ft!F$2)^2)</f>
        <v>44.570050475724642</v>
      </c>
      <c r="J608" s="27">
        <f>Ft!G$3*EXP(Ft!G$38*($A608-Ft!G$2)^2)</f>
        <v>21.773503360086327</v>
      </c>
    </row>
    <row r="609" spans="1:10">
      <c r="A609" s="20">
        <v>607</v>
      </c>
      <c r="B609" s="29">
        <v>6.2447411566117239</v>
      </c>
      <c r="C609" s="28">
        <f ca="1">OFFSET($B609,1*(ROWS(C$2:C609)-1),0)</f>
        <v>0</v>
      </c>
      <c r="D609" s="27">
        <f>Ft!B$3*EXP(Ft!B$38*($A609-Ft!B$2)^2) +Ft!C$3*EXP(Ft!C$38*($A609-Ft!C$2)^2) + Ft!D$3*EXP(Ft!D$38*($A609-Ft!D$2)^2)+Ft!E$3*EXP(Ft!E$38*($A609-Ft!E$2)^2) +Ft!F$3*EXP(Ft!F$38*($A609-Ft!F$2)^2) + Ft!G$3*EXP(Ft!G$38*($A609-Ft!G$2)^2)</f>
        <v>254.41755076117676</v>
      </c>
      <c r="E609" s="27">
        <f>Ft!B$3*EXP(Ft!B$38*($A609-Ft!B$2)^2)</f>
        <v>35.118367984606664</v>
      </c>
      <c r="F609" s="27">
        <f>Ft!C$3*EXP(Ft!C$38*($A609-Ft!C$2)^2)</f>
        <v>51.102989424084875</v>
      </c>
      <c r="G609" s="27">
        <f>Ft!D$3*EXP(Ft!D$38*($A609-Ft!D$2)^2)</f>
        <v>2.3108531645618421E-9</v>
      </c>
      <c r="H609" s="27">
        <f>Ft!E$3*EXP(Ft!E$38*($A609-Ft!E$2)^2)</f>
        <v>101.86731110528254</v>
      </c>
      <c r="I609" s="27">
        <f>Ft!F$3*EXP(Ft!F$38*($A609-Ft!F$2)^2)</f>
        <v>44.696655564268973</v>
      </c>
      <c r="J609" s="27">
        <f>Ft!G$3*EXP(Ft!G$38*($A609-Ft!G$2)^2)</f>
        <v>21.632226680622836</v>
      </c>
    </row>
    <row r="610" spans="1:10">
      <c r="A610" s="20">
        <v>608</v>
      </c>
      <c r="B610" s="29">
        <v>6.0931337613878611</v>
      </c>
      <c r="C610" s="28">
        <f ca="1">OFFSET($B610,1*(ROWS(C$2:C610)-1),0)</f>
        <v>0</v>
      </c>
      <c r="D610" s="27">
        <f>Ft!B$3*EXP(Ft!B$38*($A610-Ft!B$2)^2) +Ft!C$3*EXP(Ft!C$38*($A610-Ft!C$2)^2) + Ft!D$3*EXP(Ft!D$38*($A610-Ft!D$2)^2)+Ft!E$3*EXP(Ft!E$38*($A610-Ft!E$2)^2) +Ft!F$3*EXP(Ft!F$38*($A610-Ft!F$2)^2) + Ft!G$3*EXP(Ft!G$38*($A610-Ft!G$2)^2)</f>
        <v>254.46407009630155</v>
      </c>
      <c r="E610" s="27">
        <f>Ft!B$3*EXP(Ft!B$38*($A610-Ft!B$2)^2)</f>
        <v>34.979676213364414</v>
      </c>
      <c r="F610" s="27">
        <f>Ft!C$3*EXP(Ft!C$38*($A610-Ft!C$2)^2)</f>
        <v>51.136262406954621</v>
      </c>
      <c r="G610" s="27">
        <f>Ft!D$3*EXP(Ft!D$38*($A610-Ft!D$2)^2)</f>
        <v>1.8206489178650506E-9</v>
      </c>
      <c r="H610" s="27">
        <f>Ft!E$3*EXP(Ft!E$38*($A610-Ft!E$2)^2)</f>
        <v>102.03334980408167</v>
      </c>
      <c r="I610" s="27">
        <f>Ft!F$3*EXP(Ft!F$38*($A610-Ft!F$2)^2)</f>
        <v>44.82347269919785</v>
      </c>
      <c r="J610" s="27">
        <f>Ft!G$3*EXP(Ft!G$38*($A610-Ft!G$2)^2)</f>
        <v>21.491308970882361</v>
      </c>
    </row>
    <row r="611" spans="1:10">
      <c r="A611" s="20">
        <v>609</v>
      </c>
      <c r="B611" s="29">
        <v>5.9406593309744835</v>
      </c>
      <c r="C611" s="28">
        <f ca="1">OFFSET($B611,1*(ROWS(C$2:C611)-1),0)</f>
        <v>0</v>
      </c>
      <c r="D611" s="27">
        <f>Ft!B$3*EXP(Ft!B$38*($A611-Ft!B$2)^2) +Ft!C$3*EXP(Ft!C$38*($A611-Ft!C$2)^2) + Ft!D$3*EXP(Ft!D$38*($A611-Ft!D$2)^2)+Ft!E$3*EXP(Ft!E$38*($A611-Ft!E$2)^2) +Ft!F$3*EXP(Ft!F$38*($A611-Ft!F$2)^2) + Ft!G$3*EXP(Ft!G$38*($A611-Ft!G$2)^2)</f>
        <v>254.51024450159184</v>
      </c>
      <c r="E611" s="27">
        <f>Ft!B$3*EXP(Ft!B$38*($A611-Ft!B$2)^2)</f>
        <v>34.841365920338077</v>
      </c>
      <c r="F611" s="27">
        <f>Ft!C$3*EXP(Ft!C$38*($A611-Ft!C$2)^2)</f>
        <v>51.16944402322234</v>
      </c>
      <c r="G611" s="27">
        <f>Ft!D$3*EXP(Ft!D$38*($A611-Ft!D$2)^2)</f>
        <v>1.4324553239332633E-9</v>
      </c>
      <c r="H611" s="27">
        <f>Ft!E$3*EXP(Ft!E$38*($A611-Ft!E$2)^2)</f>
        <v>102.19817772868754</v>
      </c>
      <c r="I611" s="27">
        <f>Ft!F$3*EXP(Ft!F$38*($A611-Ft!F$2)^2)</f>
        <v>44.950501645845826</v>
      </c>
      <c r="J611" s="27">
        <f>Ft!G$3*EXP(Ft!G$38*($A611-Ft!G$2)^2)</f>
        <v>21.350755182065612</v>
      </c>
    </row>
    <row r="612" spans="1:10">
      <c r="A612" s="20">
        <v>610</v>
      </c>
      <c r="B612" s="29">
        <v>5.7872068303655908</v>
      </c>
      <c r="C612" s="28">
        <f ca="1">OFFSET($B612,1*(ROWS(C$2:C612)-1),0)</f>
        <v>0</v>
      </c>
      <c r="D612" s="27">
        <f>Ft!B$3*EXP(Ft!B$38*($A612-Ft!B$2)^2) +Ft!C$3*EXP(Ft!C$38*($A612-Ft!C$2)^2) + Ft!D$3*EXP(Ft!D$38*($A612-Ft!D$2)^2)+Ft!E$3*EXP(Ft!E$38*($A612-Ft!E$2)^2) +Ft!F$3*EXP(Ft!F$38*($A612-Ft!F$2)^2) + Ft!G$3*EXP(Ft!G$38*($A612-Ft!G$2)^2)</f>
        <v>254.55607149505684</v>
      </c>
      <c r="E612" s="27">
        <f>Ft!B$3*EXP(Ft!B$38*($A612-Ft!B$2)^2)</f>
        <v>34.703436914489608</v>
      </c>
      <c r="F612" s="27">
        <f>Ft!C$3*EXP(Ft!C$38*($A612-Ft!C$2)^2)</f>
        <v>51.202534066961476</v>
      </c>
      <c r="G612" s="27">
        <f>Ft!D$3*EXP(Ft!D$38*($A612-Ft!D$2)^2)</f>
        <v>1.1254779378879364E-9</v>
      </c>
      <c r="H612" s="27">
        <f>Ft!E$3*EXP(Ft!E$38*($A612-Ft!E$2)^2)</f>
        <v>102.36178814087503</v>
      </c>
      <c r="I612" s="27">
        <f>Ft!F$3*EXP(Ft!F$38*($A612-Ft!F$2)^2)</f>
        <v>45.077742166786827</v>
      </c>
      <c r="J612" s="27">
        <f>Ft!G$3*EXP(Ft!G$38*($A612-Ft!G$2)^2)</f>
        <v>21.210570204818435</v>
      </c>
    </row>
    <row r="613" spans="1:10">
      <c r="A613" s="20">
        <v>611</v>
      </c>
      <c r="B613" s="29">
        <v>5.6327332079277994</v>
      </c>
      <c r="C613" s="28">
        <f ca="1">OFFSET($B613,1*(ROWS(C$2:C613)-1),0)</f>
        <v>0</v>
      </c>
      <c r="D613" s="27">
        <f>Ft!B$3*EXP(Ft!B$38*($A613-Ft!B$2)^2) +Ft!C$3*EXP(Ft!C$38*($A613-Ft!C$2)^2) + Ft!D$3*EXP(Ft!D$38*($A613-Ft!D$2)^2)+Ft!E$3*EXP(Ft!E$38*($A613-Ft!E$2)^2) +Ft!F$3*EXP(Ft!F$38*($A613-Ft!F$2)^2) + Ft!G$3*EXP(Ft!G$38*($A613-Ft!G$2)^2)</f>
        <v>254.60154856921275</v>
      </c>
      <c r="E613" s="27">
        <f>Ft!B$3*EXP(Ft!B$38*($A613-Ft!B$2)^2)</f>
        <v>34.565889000089442</v>
      </c>
      <c r="F613" s="27">
        <f>Ft!C$3*EXP(Ft!C$38*($A613-Ft!C$2)^2)</f>
        <v>51.235532332719117</v>
      </c>
      <c r="G613" s="27">
        <f>Ft!D$3*EXP(Ft!D$38*($A613-Ft!D$2)^2)</f>
        <v>8.8306751378796867E-10</v>
      </c>
      <c r="H613" s="27">
        <f>Ft!E$3*EXP(Ft!E$38*($A613-Ft!E$2)^2)</f>
        <v>102.52417434456976</v>
      </c>
      <c r="I613" s="27">
        <f>Ft!F$3*EXP(Ft!F$38*($A613-Ft!F$2)^2)</f>
        <v>45.205194021829492</v>
      </c>
      <c r="J613" s="27">
        <f>Ft!G$3*EXP(Ft!G$38*($A613-Ft!G$2)^2)</f>
        <v>21.070758869121871</v>
      </c>
    </row>
    <row r="614" spans="1:10">
      <c r="A614" s="20">
        <v>612</v>
      </c>
      <c r="B614" s="29">
        <v>5.4743202600646157</v>
      </c>
      <c r="C614" s="28">
        <f ca="1">OFFSET($B614,1*(ROWS(C$2:C614)-1),0)</f>
        <v>0</v>
      </c>
      <c r="D614" s="27">
        <f>Ft!B$3*EXP(Ft!B$38*($A614-Ft!B$2)^2) +Ft!C$3*EXP(Ft!C$38*($A614-Ft!C$2)^2) + Ft!D$3*EXP(Ft!D$38*($A614-Ft!D$2)^2)+Ft!E$3*EXP(Ft!E$38*($A614-Ft!E$2)^2) +Ft!F$3*EXP(Ft!F$38*($A614-Ft!F$2)^2) + Ft!G$3*EXP(Ft!G$38*($A614-Ft!G$2)^2)</f>
        <v>254.64667319145619</v>
      </c>
      <c r="E614" s="27">
        <f>Ft!B$3*EXP(Ft!B$38*($A614-Ft!B$2)^2)</f>
        <v>34.428721976738778</v>
      </c>
      <c r="F614" s="27">
        <f>Ft!C$3*EXP(Ft!C$38*($A614-Ft!C$2)^2)</f>
        <v>51.268438615518114</v>
      </c>
      <c r="G614" s="27">
        <f>Ft!D$3*EXP(Ft!D$38*($A614-Ft!D$2)^2)</f>
        <v>6.9191357626752819E-10</v>
      </c>
      <c r="H614" s="27">
        <f>Ft!E$3*EXP(Ft!E$38*($A614-Ft!E$2)^2)</f>
        <v>102.6853296863041</v>
      </c>
      <c r="I614" s="27">
        <f>Ft!F$3*EXP(Ft!F$38*($A614-Ft!F$2)^2)</f>
        <v>45.332856968012457</v>
      </c>
      <c r="J614" s="27">
        <f>Ft!G$3*EXP(Ft!G$38*($A614-Ft!G$2)^2)</f>
        <v>20.931325944190796</v>
      </c>
    </row>
    <row r="615" spans="1:10">
      <c r="A615" s="20">
        <v>613</v>
      </c>
      <c r="B615" s="29">
        <v>5.2866069425089677</v>
      </c>
      <c r="C615" s="28">
        <f ca="1">OFFSET($B615,1*(ROWS(C$2:C615)-1),0)</f>
        <v>0</v>
      </c>
      <c r="D615" s="27">
        <f>Ft!B$3*EXP(Ft!B$38*($A615-Ft!B$2)^2) +Ft!C$3*EXP(Ft!C$38*($A615-Ft!C$2)^2) + Ft!D$3*EXP(Ft!D$38*($A615-Ft!D$2)^2)+Ft!E$3*EXP(Ft!E$38*($A615-Ft!E$2)^2) +Ft!F$3*EXP(Ft!F$38*($A615-Ft!F$2)^2) + Ft!G$3*EXP(Ft!G$38*($A615-Ft!G$2)^2)</f>
        <v>254.69144280444416</v>
      </c>
      <c r="E615" s="27">
        <f>Ft!B$3*EXP(Ft!B$38*($A615-Ft!B$2)^2)</f>
        <v>34.291935639391966</v>
      </c>
      <c r="F615" s="27">
        <f>Ft!C$3*EXP(Ft!C$38*($A615-Ft!C$2)^2)</f>
        <v>51.301252710859174</v>
      </c>
      <c r="G615" s="27">
        <f>Ft!D$3*EXP(Ft!D$38*($A615-Ft!D$2)^2)</f>
        <v>5.4139073309974858E-10</v>
      </c>
      <c r="H615" s="27">
        <f>Ft!E$3*EXP(Ft!E$38*($A615-Ft!E$2)^2)</f>
        <v>102.84524755567084</v>
      </c>
      <c r="I615" s="27">
        <f>Ft!F$3*EXP(Ft!F$38*($A615-Ft!F$2)^2)</f>
        <v>45.460730759599748</v>
      </c>
      <c r="J615" s="27">
        <f>Ft!G$3*EXP(Ft!G$38*($A615-Ft!G$2)^2)</f>
        <v>20.792276138381034</v>
      </c>
    </row>
    <row r="616" spans="1:10">
      <c r="A616" s="20">
        <v>614</v>
      </c>
      <c r="B616" s="29">
        <v>5.0960320213044952</v>
      </c>
      <c r="C616" s="28">
        <f ca="1">OFFSET($B616,1*(ROWS(C$2:C616)-1),0)</f>
        <v>0</v>
      </c>
      <c r="D616" s="27">
        <f>Ft!B$3*EXP(Ft!B$38*($A616-Ft!B$2)^2) +Ft!C$3*EXP(Ft!C$38*($A616-Ft!C$2)^2) + Ft!D$3*EXP(Ft!D$38*($A616-Ft!D$2)^2)+Ft!E$3*EXP(Ft!E$38*($A616-Ft!E$2)^2) +Ft!F$3*EXP(Ft!F$38*($A616-Ft!F$2)^2) + Ft!G$3*EXP(Ft!G$38*($A616-Ft!G$2)^2)</f>
        <v>254.73585482648059</v>
      </c>
      <c r="E616" s="27">
        <f>Ft!B$3*EXP(Ft!B$38*($A616-Ft!B$2)^2)</f>
        <v>34.155529778378828</v>
      </c>
      <c r="F616" s="27">
        <f>Ft!C$3*EXP(Ft!C$38*($A616-Ft!C$2)^2)</f>
        <v>51.333974414723031</v>
      </c>
      <c r="G616" s="27">
        <f>Ft!D$3*EXP(Ft!D$38*($A616-Ft!D$2)^2)</f>
        <v>4.2302964722531319E-10</v>
      </c>
      <c r="H616" s="27">
        <f>Ft!E$3*EXP(Ft!E$38*($A616-Ft!E$2)^2)</f>
        <v>103.00392138577449</v>
      </c>
      <c r="I616" s="27">
        <f>Ft!F$3*EXP(Ft!F$38*($A616-Ft!F$2)^2)</f>
        <v>45.588815148076215</v>
      </c>
      <c r="J616" s="27">
        <f>Ft!G$3*EXP(Ft!G$38*($A616-Ft!G$2)^2)</f>
        <v>20.653614099105031</v>
      </c>
    </row>
    <row r="617" spans="1:10">
      <c r="A617" s="20">
        <v>615</v>
      </c>
      <c r="B617" s="29">
        <v>4.9274658633630679</v>
      </c>
      <c r="C617" s="28">
        <f ca="1">OFFSET($B617,1*(ROWS(C$2:C617)-1),0)</f>
        <v>0</v>
      </c>
      <c r="D617" s="27">
        <f>Ft!B$3*EXP(Ft!B$38*($A617-Ft!B$2)^2) +Ft!C$3*EXP(Ft!C$38*($A617-Ft!C$2)^2) + Ft!D$3*EXP(Ft!D$38*($A617-Ft!D$2)^2)+Ft!E$3*EXP(Ft!E$38*($A617-Ft!E$2)^2) +Ft!F$3*EXP(Ft!F$38*($A617-Ft!F$2)^2) + Ft!G$3*EXP(Ft!G$38*($A617-Ft!G$2)^2)</f>
        <v>254.77990665190839</v>
      </c>
      <c r="E617" s="27">
        <f>Ft!B$3*EXP(Ft!B$38*($A617-Ft!B$2)^2)</f>
        <v>34.019504179426967</v>
      </c>
      <c r="F617" s="27">
        <f>Ft!C$3*EXP(Ft!C$38*($A617-Ft!C$2)^2)</f>
        <v>51.366603523572472</v>
      </c>
      <c r="G617" s="27">
        <f>Ft!D$3*EXP(Ft!D$38*($A617-Ft!D$2)^2)</f>
        <v>3.3008957940317754E-10</v>
      </c>
      <c r="H617" s="27">
        <f>Ft!E$3*EXP(Ft!E$38*($A617-Ft!E$2)^2)</f>
        <v>103.16134465368005</v>
      </c>
      <c r="I617" s="27">
        <f>Ft!F$3*EXP(Ft!F$38*($A617-Ft!F$2)^2)</f>
        <v>45.717109882142935</v>
      </c>
      <c r="J617" s="27">
        <f>Ft!G$3*EXP(Ft!G$38*($A617-Ft!G$2)^2)</f>
        <v>20.515344412755891</v>
      </c>
    </row>
    <row r="618" spans="1:10">
      <c r="A618" s="20">
        <v>616</v>
      </c>
      <c r="B618" s="29">
        <v>4.755012261594743</v>
      </c>
      <c r="C618" s="28">
        <f ca="1">OFFSET($B618,1*(ROWS(C$2:C618)-1),0)</f>
        <v>0</v>
      </c>
      <c r="D618" s="27">
        <f>Ft!B$3*EXP(Ft!B$38*($A618-Ft!B$2)^2) +Ft!C$3*EXP(Ft!C$38*($A618-Ft!C$2)^2) + Ft!D$3*EXP(Ft!D$38*($A618-Ft!D$2)^2)+Ft!E$3*EXP(Ft!E$38*($A618-Ft!E$2)^2) +Ft!F$3*EXP(Ft!F$38*($A618-Ft!F$2)^2) + Ft!G$3*EXP(Ft!G$38*($A618-Ft!G$2)^2)</f>
        <v>254.82359565150787</v>
      </c>
      <c r="E618" s="27">
        <f>Ft!B$3*EXP(Ft!B$38*($A618-Ft!B$2)^2)</f>
        <v>33.883858623684226</v>
      </c>
      <c r="F618" s="27">
        <f>Ft!C$3*EXP(Ft!C$38*($A618-Ft!C$2)^2)</f>
        <v>51.399139834354536</v>
      </c>
      <c r="G618" s="27">
        <f>Ft!D$3*EXP(Ft!D$38*($A618-Ft!D$2)^2)</f>
        <v>2.5721355104763306E-10</v>
      </c>
      <c r="H618" s="27">
        <f>Ft!E$3*EXP(Ft!E$38*($A618-Ft!E$2)^2)</f>
        <v>103.31751088085937</v>
      </c>
      <c r="I618" s="27">
        <f>Ft!F$3*EXP(Ft!F$38*($A618-Ft!F$2)^2)</f>
        <v>45.845614707712699</v>
      </c>
      <c r="J618" s="27">
        <f>Ft!G$3*EXP(Ft!G$38*($A618-Ft!G$2)^2)</f>
        <v>20.377471604639851</v>
      </c>
    </row>
    <row r="619" spans="1:10">
      <c r="A619" s="20">
        <v>617</v>
      </c>
      <c r="B619" s="29">
        <v>4.5881281908282858</v>
      </c>
      <c r="C619" s="28">
        <f ca="1">OFFSET($B619,1*(ROWS(C$2:C619)-1),0)</f>
        <v>0</v>
      </c>
      <c r="D619" s="27">
        <f>Ft!B$3*EXP(Ft!B$38*($A619-Ft!B$2)^2) +Ft!C$3*EXP(Ft!C$38*($A619-Ft!C$2)^2) + Ft!D$3*EXP(Ft!D$38*($A619-Ft!D$2)^2)+Ft!E$3*EXP(Ft!E$38*($A619-Ft!E$2)^2) +Ft!F$3*EXP(Ft!F$38*($A619-Ft!F$2)^2) + Ft!G$3*EXP(Ft!G$38*($A619-Ft!G$2)^2)</f>
        <v>254.86691917290136</v>
      </c>
      <c r="E619" s="27">
        <f>Ft!B$3*EXP(Ft!B$38*($A619-Ft!B$2)^2)</f>
        <v>33.748592887741118</v>
      </c>
      <c r="F619" s="27">
        <f>Ft!C$3*EXP(Ft!C$38*($A619-Ft!C$2)^2)</f>
        <v>51.431583144502547</v>
      </c>
      <c r="G619" s="27">
        <f>Ft!D$3*EXP(Ft!D$38*($A619-Ft!D$2)^2)</f>
        <v>2.0015060073716158E-10</v>
      </c>
      <c r="H619" s="27">
        <f>Ft!E$3*EXP(Ft!E$38*($A619-Ft!E$2)^2)</f>
        <v>103.47241363363493</v>
      </c>
      <c r="I619" s="27">
        <f>Ft!F$3*EXP(Ft!F$38*($A619-Ft!F$2)^2)</f>
        <v>45.974329367905504</v>
      </c>
      <c r="J619" s="27">
        <f>Ft!G$3*EXP(Ft!G$38*($A619-Ft!G$2)^2)</f>
        <v>20.240000138917097</v>
      </c>
    </row>
    <row r="620" spans="1:10">
      <c r="A620" s="20">
        <v>618</v>
      </c>
      <c r="B620" s="29">
        <v>4.4290079885812474</v>
      </c>
      <c r="C620" s="28">
        <f ca="1">OFFSET($B620,1*(ROWS(C$2:C620)-1),0)</f>
        <v>0</v>
      </c>
      <c r="D620" s="27">
        <f>Ft!B$3*EXP(Ft!B$38*($A620-Ft!B$2)^2) +Ft!C$3*EXP(Ft!C$38*($A620-Ft!C$2)^2) + Ft!D$3*EXP(Ft!D$38*($A620-Ft!D$2)^2)+Ft!E$3*EXP(Ft!E$38*($A620-Ft!E$2)^2) +Ft!F$3*EXP(Ft!F$38*($A620-Ft!F$2)^2) + Ft!G$3*EXP(Ft!G$38*($A620-Ft!G$2)^2)</f>
        <v>254.90987454096296</v>
      </c>
      <c r="E620" s="27">
        <f>Ft!B$3*EXP(Ft!B$38*($A620-Ft!B$2)^2)</f>
        <v>33.613706743653161</v>
      </c>
      <c r="F620" s="27">
        <f>Ft!C$3*EXP(Ft!C$38*($A620-Ft!C$2)^2)</f>
        <v>51.463933251938258</v>
      </c>
      <c r="G620" s="27">
        <f>Ft!D$3*EXP(Ft!D$38*($A620-Ft!D$2)^2)</f>
        <v>1.5553243539379822E-10</v>
      </c>
      <c r="H620" s="27">
        <f>Ft!E$3*EXP(Ft!E$38*($A620-Ft!E$2)^2)</f>
        <v>103.62604652362096</v>
      </c>
      <c r="I620" s="27">
        <f>Ft!F$3*EXP(Ft!F$38*($A620-Ft!F$2)^2)</f>
        <v>46.103253603044138</v>
      </c>
      <c r="J620" s="27">
        <f>Ft!G$3*EXP(Ft!G$38*($A620-Ft!G$2)^2)</f>
        <v>20.102934418550898</v>
      </c>
    </row>
    <row r="621" spans="1:10">
      <c r="A621" s="20">
        <v>619</v>
      </c>
      <c r="B621" s="29">
        <v>4.3181798164096676</v>
      </c>
      <c r="C621" s="28">
        <f ca="1">OFFSET($B621,1*(ROWS(C$2:C621)-1),0)</f>
        <v>0</v>
      </c>
      <c r="D621" s="27">
        <f>Ft!B$3*EXP(Ft!B$38*($A621-Ft!B$2)^2) +Ft!C$3*EXP(Ft!C$38*($A621-Ft!C$2)^2) + Ft!D$3*EXP(Ft!D$38*($A621-Ft!D$2)^2)+Ft!E$3*EXP(Ft!E$38*($A621-Ft!E$2)^2) +Ft!F$3*EXP(Ft!F$38*($A621-Ft!F$2)^2) + Ft!G$3*EXP(Ft!G$38*($A621-Ft!G$2)^2)</f>
        <v>254.95245905823472</v>
      </c>
      <c r="E621" s="27">
        <f>Ft!B$3*EXP(Ft!B$38*($A621-Ft!B$2)^2)</f>
        <v>33.47919995896337</v>
      </c>
      <c r="F621" s="27">
        <f>Ft!C$3*EXP(Ft!C$38*($A621-Ft!C$2)^2)</f>
        <v>51.496189955073902</v>
      </c>
      <c r="G621" s="27">
        <f>Ft!D$3*EXP(Ft!D$38*($A621-Ft!D$2)^2)</f>
        <v>1.2069410779964989E-10</v>
      </c>
      <c r="H621" s="27">
        <f>Ft!E$3*EXP(Ft!E$38*($A621-Ft!E$2)^2)</f>
        <v>103.77840320816215</v>
      </c>
      <c r="I621" s="27">
        <f>Ft!F$3*EXP(Ft!F$38*($A621-Ft!F$2)^2)</f>
        <v>46.232387150649657</v>
      </c>
      <c r="J621" s="27">
        <f>Ft!G$3*EXP(Ft!G$38*($A621-Ft!G$2)^2)</f>
        <v>19.966278785264972</v>
      </c>
    </row>
    <row r="622" spans="1:10">
      <c r="A622" s="20">
        <v>620</v>
      </c>
      <c r="B622" s="29">
        <v>4.143488832414107</v>
      </c>
      <c r="C622" s="28">
        <f ca="1">OFFSET($B622,1*(ROWS(C$2:C622)-1),0)</f>
        <v>0</v>
      </c>
      <c r="D622" s="27">
        <f>Ft!B$3*EXP(Ft!B$38*($A622-Ft!B$2)^2) +Ft!C$3*EXP(Ft!C$38*($A622-Ft!C$2)^2) + Ft!D$3*EXP(Ft!D$38*($A622-Ft!D$2)^2)+Ft!E$3*EXP(Ft!E$38*($A622-Ft!E$2)^2) +Ft!F$3*EXP(Ft!F$38*($A622-Ft!F$2)^2) + Ft!G$3*EXP(Ft!G$38*($A622-Ft!G$2)^2)</f>
        <v>254.99467000534827</v>
      </c>
      <c r="E622" s="27">
        <f>Ft!B$3*EXP(Ft!B$38*($A622-Ft!B$2)^2)</f>
        <v>33.345072296724759</v>
      </c>
      <c r="F622" s="27">
        <f>Ft!C$3*EXP(Ft!C$38*($A622-Ft!C$2)^2)</f>
        <v>51.528353052814317</v>
      </c>
      <c r="G622" s="27">
        <f>Ft!D$3*EXP(Ft!D$38*($A622-Ft!D$2)^2)</f>
        <v>9.3530269705093296E-11</v>
      </c>
      <c r="H622" s="27">
        <f>Ft!E$3*EXP(Ft!E$38*($A622-Ft!E$2)^2)</f>
        <v>103.92947739076951</v>
      </c>
      <c r="I622" s="27">
        <f>Ft!F$3*EXP(Ft!F$38*($A622-Ft!F$2)^2)</f>
        <v>46.361729745437081</v>
      </c>
      <c r="J622" s="27">
        <f>Ft!G$3*EXP(Ft!G$38*($A622-Ft!G$2)^2)</f>
        <v>19.830037519509062</v>
      </c>
    </row>
    <row r="623" spans="1:10">
      <c r="A623" s="20">
        <v>621</v>
      </c>
      <c r="B623" s="29">
        <v>3.9669537145566665</v>
      </c>
      <c r="C623" s="28">
        <f ca="1">OFFSET($B623,1*(ROWS(C$2:C623)-1),0)</f>
        <v>0</v>
      </c>
      <c r="D623" s="27">
        <f>Ft!B$3*EXP(Ft!B$38*($A623-Ft!B$2)^2) +Ft!C$3*EXP(Ft!C$38*($A623-Ft!C$2)^2) + Ft!D$3*EXP(Ft!D$38*($A623-Ft!D$2)^2)+Ft!E$3*EXP(Ft!E$38*($A623-Ft!E$2)^2) +Ft!F$3*EXP(Ft!F$38*($A623-Ft!F$2)^2) + Ft!G$3*EXP(Ft!G$38*($A623-Ft!G$2)^2)</f>
        <v>255.0365046414515</v>
      </c>
      <c r="E623" s="27">
        <f>Ft!B$3*EXP(Ft!B$38*($A623-Ft!B$2)^2)</f>
        <v>33.211323515522757</v>
      </c>
      <c r="F623" s="27">
        <f>Ft!C$3*EXP(Ft!C$38*($A623-Ft!C$2)^2)</f>
        <v>51.560422344559022</v>
      </c>
      <c r="G623" s="27">
        <f>Ft!D$3*EXP(Ft!D$38*($A623-Ft!D$2)^2)</f>
        <v>7.2380124612523489E-11</v>
      </c>
      <c r="H623" s="27">
        <f>Ft!E$3*EXP(Ft!E$38*($A623-Ft!E$2)^2)</f>
        <v>104.07926282155363</v>
      </c>
      <c r="I623" s="27">
        <f>Ft!F$3*EXP(Ft!F$38*($A623-Ft!F$2)^2)</f>
        <v>46.491281119311012</v>
      </c>
      <c r="J623" s="27">
        <f>Ft!G$3*EXP(Ft!G$38*($A623-Ft!G$2)^2)</f>
        <v>19.694214840432696</v>
      </c>
    </row>
    <row r="624" spans="1:10">
      <c r="A624" s="20">
        <v>622</v>
      </c>
      <c r="B624" s="29">
        <v>3.7753173940984937</v>
      </c>
      <c r="C624" s="28">
        <f ca="1">OFFSET($B624,1*(ROWS(C$2:C624)-1),0)</f>
        <v>0</v>
      </c>
      <c r="D624" s="27">
        <f>Ft!B$3*EXP(Ft!B$38*($A624-Ft!B$2)^2) +Ft!C$3*EXP(Ft!C$38*($A624-Ft!C$2)^2) + Ft!D$3*EXP(Ft!D$38*($A624-Ft!D$2)^2)+Ft!E$3*EXP(Ft!E$38*($A624-Ft!E$2)^2) +Ft!F$3*EXP(Ft!F$38*($A624-Ft!F$2)^2) + Ft!G$3*EXP(Ft!G$38*($A624-Ft!G$2)^2)</f>
        <v>255.07796020464133</v>
      </c>
      <c r="E624" s="27">
        <f>Ft!B$3*EXP(Ft!B$38*($A624-Ft!B$2)^2)</f>
        <v>33.077953369497742</v>
      </c>
      <c r="F624" s="27">
        <f>Ft!C$3*EXP(Ft!C$38*($A624-Ft!C$2)^2)</f>
        <v>51.592397630204296</v>
      </c>
      <c r="G624" s="27">
        <f>Ft!D$3*EXP(Ft!D$38*($A624-Ft!D$2)^2)</f>
        <v>5.593549529820455E-11</v>
      </c>
      <c r="H624" s="27">
        <f>Ft!E$3*EXP(Ft!E$38*($A624-Ft!E$2)^2)</f>
        <v>104.22775329765506</v>
      </c>
      <c r="I624" s="27">
        <f>Ft!F$3*EXP(Ft!F$38*($A624-Ft!F$2)^2)</f>
        <v>46.62104100136127</v>
      </c>
      <c r="J624" s="27">
        <f>Ft!G$3*EXP(Ft!G$38*($A624-Ft!G$2)^2)</f>
        <v>19.55881490586701</v>
      </c>
    </row>
    <row r="625" spans="1:10">
      <c r="A625" s="20">
        <v>623</v>
      </c>
      <c r="B625" s="29">
        <v>3.5875802247308002</v>
      </c>
      <c r="C625" s="28">
        <f ca="1">OFFSET($B625,1*(ROWS(C$2:C625)-1),0)</f>
        <v>0</v>
      </c>
      <c r="D625" s="27">
        <f>Ft!B$3*EXP(Ft!B$38*($A625-Ft!B$2)^2) +Ft!C$3*EXP(Ft!C$38*($A625-Ft!C$2)^2) + Ft!D$3*EXP(Ft!D$38*($A625-Ft!D$2)^2)+Ft!E$3*EXP(Ft!E$38*($A625-Ft!E$2)^2) +Ft!F$3*EXP(Ft!F$38*($A625-Ft!F$2)^2) + Ft!G$3*EXP(Ft!G$38*($A625-Ft!G$2)^2)</f>
        <v>255.11903391240139</v>
      </c>
      <c r="E625" s="27">
        <f>Ft!B$3*EXP(Ft!B$38*($A625-Ft!B$2)^2)</f>
        <v>32.944961608367549</v>
      </c>
      <c r="F625" s="27">
        <f>Ft!C$3*EXP(Ft!C$38*($A625-Ft!C$2)^2)</f>
        <v>51.624278710145255</v>
      </c>
      <c r="G625" s="27">
        <f>Ft!D$3*EXP(Ft!D$38*($A625-Ft!D$2)^2)</f>
        <v>4.3167477504258092E-11</v>
      </c>
      <c r="H625" s="27">
        <f>Ft!E$3*EXP(Ft!E$38*($A625-Ft!E$2)^2)</f>
        <v>104.3749426636721</v>
      </c>
      <c r="I625" s="27">
        <f>Ft!F$3*EXP(Ft!F$38*($A625-Ft!F$2)^2)</f>
        <v>46.751009117858636</v>
      </c>
      <c r="J625" s="27">
        <f>Ft!G$3*EXP(Ft!G$38*($A625-Ft!G$2)^2)</f>
        <v>19.423841812314659</v>
      </c>
    </row>
    <row r="626" spans="1:10">
      <c r="A626" s="20">
        <v>624</v>
      </c>
      <c r="B626" s="29">
        <v>3.4020476343703194</v>
      </c>
      <c r="C626" s="28">
        <f ca="1">OFFSET($B626,1*(ROWS(C$2:C626)-1),0)</f>
        <v>0</v>
      </c>
      <c r="D626" s="27">
        <f>Ft!B$3*EXP(Ft!B$38*($A626-Ft!B$2)^2) +Ft!C$3*EXP(Ft!C$38*($A626-Ft!C$2)^2) + Ft!D$3*EXP(Ft!D$38*($A626-Ft!D$2)^2)+Ft!E$3*EXP(Ft!E$38*($A626-Ft!E$2)^2) +Ft!F$3*EXP(Ft!F$38*($A626-Ft!F$2)^2) + Ft!G$3*EXP(Ft!G$38*($A626-Ft!G$2)^2)</f>
        <v>255.15972296204509</v>
      </c>
      <c r="E626" s="27">
        <f>Ft!B$3*EXP(Ft!B$38*($A626-Ft!B$2)^2)</f>
        <v>32.812347977449981</v>
      </c>
      <c r="F626" s="27">
        <f>Ft!C$3*EXP(Ft!C$38*($A626-Ft!C$2)^2)</f>
        <v>51.656065385277934</v>
      </c>
      <c r="G626" s="27">
        <f>Ft!D$3*EXP(Ft!D$38*($A626-Ft!D$2)^2)</f>
        <v>3.3268014067634968E-11</v>
      </c>
      <c r="H626" s="27">
        <f>Ft!E$3*EXP(Ft!E$38*($A626-Ft!E$2)^2)</f>
        <v>104.52082481208562</v>
      </c>
      <c r="I626" s="27">
        <f>Ft!F$3*EXP(Ft!F$38*($A626-Ft!F$2)^2)</f>
        <v>46.881185192250555</v>
      </c>
      <c r="J626" s="27">
        <f>Ft!G$3*EXP(Ft!G$38*($A626-Ft!G$2)^2)</f>
        <v>19.28929959494771</v>
      </c>
    </row>
    <row r="627" spans="1:10">
      <c r="A627" s="20">
        <v>625</v>
      </c>
      <c r="B627" s="29">
        <v>3.2390138165130224</v>
      </c>
      <c r="C627" s="28">
        <f ca="1">OFFSET($B627,1*(ROWS(C$2:C627)-1),0)</f>
        <v>0</v>
      </c>
      <c r="D627" s="27">
        <f>Ft!B$3*EXP(Ft!B$38*($A627-Ft!B$2)^2) +Ft!C$3*EXP(Ft!C$38*($A627-Ft!C$2)^2) + Ft!D$3*EXP(Ft!D$38*($A627-Ft!D$2)^2)+Ft!E$3*EXP(Ft!E$38*($A627-Ft!E$2)^2) +Ft!F$3*EXP(Ft!F$38*($A627-Ft!F$2)^2) + Ft!G$3*EXP(Ft!G$38*($A627-Ft!G$2)^2)</f>
        <v>255.20002453116385</v>
      </c>
      <c r="E627" s="27">
        <f>Ft!B$3*EXP(Ft!B$38*($A627-Ft!B$2)^2)</f>
        <v>32.680112217685377</v>
      </c>
      <c r="F627" s="27">
        <f>Ft!C$3*EXP(Ft!C$38*($A627-Ft!C$2)^2)</f>
        <v>51.687757457001346</v>
      </c>
      <c r="G627" s="27">
        <f>Ft!D$3*EXP(Ft!D$38*($A627-Ft!D$2)^2)</f>
        <v>2.5603427243104513E-11</v>
      </c>
      <c r="H627" s="27">
        <f>Ft!E$3*EXP(Ft!E$38*($A627-Ft!E$2)^2)</f>
        <v>104.66539368368105</v>
      </c>
      <c r="I627" s="27">
        <f>Ft!F$3*EXP(Ft!F$38*($A627-Ft!F$2)^2)</f>
        <v>47.011568945156995</v>
      </c>
      <c r="J627" s="27">
        <f>Ft!G$3*EXP(Ft!G$38*($A627-Ft!G$2)^2)</f>
        <v>19.155192227613487</v>
      </c>
    </row>
    <row r="628" spans="1:10">
      <c r="A628" s="20">
        <v>626</v>
      </c>
      <c r="B628" s="29">
        <v>3.101959773675361</v>
      </c>
      <c r="C628" s="28">
        <f ca="1">OFFSET($B628,1*(ROWS(C$2:C628)-1),0)</f>
        <v>0</v>
      </c>
      <c r="D628" s="27">
        <f>Ft!B$3*EXP(Ft!B$38*($A628-Ft!B$2)^2) +Ft!C$3*EXP(Ft!C$38*($A628-Ft!C$2)^2) + Ft!D$3*EXP(Ft!D$38*($A628-Ft!D$2)^2)+Ft!E$3*EXP(Ft!E$38*($A628-Ft!E$2)^2) +Ft!F$3*EXP(Ft!F$38*($A628-Ft!F$2)^2) + Ft!G$3*EXP(Ft!G$38*($A628-Ft!G$2)^2)</f>
        <v>255.23993577808022</v>
      </c>
      <c r="E628" s="27">
        <f>Ft!B$3*EXP(Ft!B$38*($A628-Ft!B$2)^2)</f>
        <v>32.548254065659137</v>
      </c>
      <c r="F628" s="27">
        <f>Ft!C$3*EXP(Ft!C$38*($A628-Ft!C$2)^2)</f>
        <v>51.719354727219553</v>
      </c>
      <c r="G628" s="27">
        <f>Ft!D$3*EXP(Ft!D$38*($A628-Ft!D$2)^2)</f>
        <v>1.9677519523557528E-11</v>
      </c>
      <c r="H628" s="27">
        <f>Ft!E$3*EXP(Ft!E$38*($A628-Ft!E$2)^2)</f>
        <v>104.8086432679674</v>
      </c>
      <c r="I628" s="27">
        <f>Ft!F$3*EXP(Ft!F$38*($A628-Ft!F$2)^2)</f>
        <v>47.142160094366155</v>
      </c>
      <c r="J628" s="27">
        <f>Ft!G$3*EXP(Ft!G$38*($A628-Ft!G$2)^2)</f>
        <v>19.021523622848282</v>
      </c>
    </row>
    <row r="629" spans="1:10">
      <c r="A629" s="20">
        <v>627</v>
      </c>
      <c r="B629" s="29">
        <v>2.9736966570876007</v>
      </c>
      <c r="C629" s="28">
        <f ca="1">OFFSET($B629,1*(ROWS(C$2:C629)-1),0)</f>
        <v>0</v>
      </c>
      <c r="D629" s="27">
        <f>Ft!B$3*EXP(Ft!B$38*($A629-Ft!B$2)^2) +Ft!C$3*EXP(Ft!C$38*($A629-Ft!C$2)^2) + Ft!D$3*EXP(Ft!D$38*($A629-Ft!D$2)^2)+Ft!E$3*EXP(Ft!E$38*($A629-Ft!E$2)^2) +Ft!F$3*EXP(Ft!F$38*($A629-Ft!F$2)^2) + Ft!G$3*EXP(Ft!G$38*($A629-Ft!G$2)^2)</f>
        <v>255.27945384230603</v>
      </c>
      <c r="E629" s="27">
        <f>Ft!B$3*EXP(Ft!B$38*($A629-Ft!B$2)^2)</f>
        <v>32.416773253624335</v>
      </c>
      <c r="F629" s="27">
        <f>Ft!C$3*EXP(Ft!C$38*($A629-Ft!C$2)^2)</f>
        <v>51.750856998343714</v>
      </c>
      <c r="G629" s="27">
        <f>Ft!D$3*EXP(Ft!D$38*($A629-Ft!D$2)^2)</f>
        <v>1.5102318406211359E-11</v>
      </c>
      <c r="H629" s="27">
        <f>Ft!E$3*EXP(Ft!E$38*($A629-Ft!E$2)^2)</f>
        <v>104.95056760359351</v>
      </c>
      <c r="I629" s="27">
        <f>Ft!F$3*EXP(Ft!F$38*($A629-Ft!F$2)^2)</f>
        <v>47.272958354830401</v>
      </c>
      <c r="J629" s="27">
        <f>Ft!G$3*EXP(Ft!G$38*($A629-Ft!G$2)^2)</f>
        <v>18.888297631898961</v>
      </c>
    </row>
    <row r="630" spans="1:10">
      <c r="A630" s="20">
        <v>628</v>
      </c>
      <c r="B630" s="29">
        <v>2.8482086619251277</v>
      </c>
      <c r="C630" s="28">
        <f ca="1">OFFSET($B630,1*(ROWS(C$2:C630)-1),0)</f>
        <v>0</v>
      </c>
      <c r="D630" s="27">
        <f>Ft!B$3*EXP(Ft!B$38*($A630-Ft!B$2)^2) +Ft!C$3*EXP(Ft!C$38*($A630-Ft!C$2)^2) + Ft!D$3*EXP(Ft!D$38*($A630-Ft!D$2)^2)+Ft!E$3*EXP(Ft!E$38*($A630-Ft!E$2)^2) +Ft!F$3*EXP(Ft!F$38*($A630-Ft!F$2)^2) + Ft!G$3*EXP(Ft!G$38*($A630-Ft!G$2)^2)</f>
        <v>255.31857584500537</v>
      </c>
      <c r="E630" s="27">
        <f>Ft!B$3*EXP(Ft!B$38*($A630-Ft!B$2)^2)</f>
        <v>32.285669509524254</v>
      </c>
      <c r="F630" s="27">
        <f>Ft!C$3*EXP(Ft!C$38*($A630-Ft!C$2)^2)</f>
        <v>51.782264073294172</v>
      </c>
      <c r="G630" s="27">
        <f>Ft!D$3*EXP(Ft!D$38*($A630-Ft!D$2)^2)</f>
        <v>1.1574917773988508E-11</v>
      </c>
      <c r="H630" s="27">
        <f>Ft!E$3*EXP(Ft!E$38*($A630-Ft!E$2)^2)</f>
        <v>105.09116077876105</v>
      </c>
      <c r="I630" s="27">
        <f>Ft!F$3*EXP(Ft!F$38*($A630-Ft!F$2)^2)</f>
        <v>47.403963438662068</v>
      </c>
      <c r="J630" s="27">
        <f>Ft!G$3*EXP(Ft!G$38*($A630-Ft!G$2)^2)</f>
        <v>18.755518044752243</v>
      </c>
    </row>
    <row r="631" spans="1:10">
      <c r="A631" s="20">
        <v>629</v>
      </c>
      <c r="B631" s="29">
        <v>2.7183566970514903</v>
      </c>
      <c r="C631" s="28">
        <f ca="1">OFFSET($B631,1*(ROWS(C$2:C631)-1),0)</f>
        <v>0</v>
      </c>
      <c r="D631" s="27">
        <f>Ft!B$3*EXP(Ft!B$38*($A631-Ft!B$2)^2) +Ft!C$3*EXP(Ft!C$38*($A631-Ft!C$2)^2) + Ft!D$3*EXP(Ft!D$38*($A631-Ft!D$2)^2)+Ft!E$3*EXP(Ft!E$38*($A631-Ft!E$2)^2) +Ft!F$3*EXP(Ft!F$38*($A631-Ft!F$2)^2) + Ft!G$3*EXP(Ft!G$38*($A631-Ft!G$2)^2)</f>
        <v>255.35729888946224</v>
      </c>
      <c r="E631" s="27">
        <f>Ft!B$3*EXP(Ft!B$38*($A631-Ft!B$2)^2)</f>
        <v>32.154942557014977</v>
      </c>
      <c r="F631" s="27">
        <f>Ft!C$3*EXP(Ft!C$38*($A631-Ft!C$2)^2)</f>
        <v>51.81357575550247</v>
      </c>
      <c r="G631" s="27">
        <f>Ft!D$3*EXP(Ft!D$38*($A631-Ft!D$2)^2)</f>
        <v>8.8591739369504184E-12</v>
      </c>
      <c r="H631" s="27">
        <f>Ft!E$3*EXP(Ft!E$38*($A631-Ft!E$2)^2)</f>
        <v>105.23041693163474</v>
      </c>
      <c r="I631" s="27">
        <f>Ft!F$3*EXP(Ft!F$38*($A631-Ft!F$2)^2)</f>
        <v>47.535175055129422</v>
      </c>
      <c r="J631" s="27">
        <f>Ft!G$3*EXP(Ft!G$38*($A631-Ft!G$2)^2)</f>
        <v>18.62318859017179</v>
      </c>
    </row>
    <row r="632" spans="1:10">
      <c r="A632" s="20">
        <v>630</v>
      </c>
      <c r="B632" s="29">
        <v>2.5800705780271471</v>
      </c>
      <c r="C632" s="28">
        <f ca="1">OFFSET($B632,1*(ROWS(C$2:C632)-1),0)</f>
        <v>0</v>
      </c>
      <c r="D632" s="27">
        <f>Ft!B$3*EXP(Ft!B$38*($A632-Ft!B$2)^2) +Ft!C$3*EXP(Ft!C$38*($A632-Ft!C$2)^2) + Ft!D$3*EXP(Ft!D$38*($A632-Ft!D$2)^2)+Ft!E$3*EXP(Ft!E$38*($A632-Ft!E$2)^2) +Ft!F$3*EXP(Ft!F$38*($A632-Ft!F$2)^2) + Ft!G$3*EXP(Ft!G$38*($A632-Ft!G$2)^2)</f>
        <v>255.39562006155305</v>
      </c>
      <c r="E632" s="27">
        <f>Ft!B$3*EXP(Ft!B$38*($A632-Ft!B$2)^2)</f>
        <v>32.024592115488041</v>
      </c>
      <c r="F632" s="27">
        <f>Ft!C$3*EXP(Ft!C$38*($A632-Ft!C$2)^2)</f>
        <v>51.844791848913431</v>
      </c>
      <c r="G632" s="27">
        <f>Ft!D$3*EXP(Ft!D$38*($A632-Ft!D$2)^2)</f>
        <v>6.7712611577159285E-12</v>
      </c>
      <c r="H632" s="27">
        <f>Ft!E$3*EXP(Ft!E$38*($A632-Ft!E$2)^2)</f>
        <v>105.36833025074927</v>
      </c>
      <c r="I632" s="27">
        <f>Ft!F$3*EXP(Ft!F$38*($A632-Ft!F$2)^2)</f>
        <v>47.666592910652653</v>
      </c>
      <c r="J632" s="27">
        <f>Ft!G$3*EXP(Ft!G$38*($A632-Ft!G$2)^2)</f>
        <v>18.491312935742904</v>
      </c>
    </row>
    <row r="633" spans="1:10">
      <c r="A633" s="20">
        <v>631</v>
      </c>
      <c r="B633" s="29">
        <v>2.4473867449485454</v>
      </c>
      <c r="C633" s="28">
        <f ca="1">OFFSET($B633,1*(ROWS(C$2:C633)-1),0)</f>
        <v>0</v>
      </c>
      <c r="D633" s="27">
        <f>Ft!B$3*EXP(Ft!B$38*($A633-Ft!B$2)^2) +Ft!C$3*EXP(Ft!C$38*($A633-Ft!C$2)^2) + Ft!D$3*EXP(Ft!D$38*($A633-Ft!D$2)^2)+Ft!E$3*EXP(Ft!E$38*($A633-Ft!E$2)^2) +Ft!F$3*EXP(Ft!F$38*($A633-Ft!F$2)^2) + Ft!G$3*EXP(Ft!G$38*($A633-Ft!G$2)^2)</f>
        <v>255.43353643022328</v>
      </c>
      <c r="E633" s="27">
        <f>Ft!B$3*EXP(Ft!B$38*($A633-Ft!B$2)^2)</f>
        <v>31.894617900092989</v>
      </c>
      <c r="F633" s="27">
        <f>Ft!C$3*EXP(Ft!C$38*($A633-Ft!C$2)^2)</f>
        <v>51.875912157987166</v>
      </c>
      <c r="G633" s="27">
        <f>Ft!D$3*EXP(Ft!D$38*($A633-Ft!D$2)^2)</f>
        <v>5.1682905614291354E-12</v>
      </c>
      <c r="H633" s="27">
        <f>Ft!E$3*EXP(Ft!E$38*($A633-Ft!E$2)^2)</f>
        <v>105.50489497541335</v>
      </c>
      <c r="I633" s="27">
        <f>Ft!F$3*EXP(Ft!F$38*($A633-Ft!F$2)^2)</f>
        <v>47.798216708799792</v>
      </c>
      <c r="J633" s="27">
        <f>Ft!G$3*EXP(Ft!G$38*($A633-Ft!G$2)^2)</f>
        <v>18.359894687924822</v>
      </c>
    </row>
    <row r="634" spans="1:10">
      <c r="A634" s="20">
        <v>632</v>
      </c>
      <c r="B634" s="29">
        <v>2.3264812278350746</v>
      </c>
      <c r="C634" s="28">
        <f ca="1">OFFSET($B634,1*(ROWS(C$2:C634)-1),0)</f>
        <v>0</v>
      </c>
      <c r="D634" s="27">
        <f>Ft!B$3*EXP(Ft!B$38*($A634-Ft!B$2)^2) +Ft!C$3*EXP(Ft!C$38*($A634-Ft!C$2)^2) + Ft!D$3*EXP(Ft!D$38*($A634-Ft!D$2)^2)+Ft!E$3*EXP(Ft!E$38*($A634-Ft!E$2)^2) +Ft!F$3*EXP(Ft!F$38*($A634-Ft!F$2)^2) + Ft!G$3*EXP(Ft!G$38*($A634-Ft!G$2)^2)</f>
        <v>255.47104504796874</v>
      </c>
      <c r="E634" s="27">
        <f>Ft!B$3*EXP(Ft!B$38*($A634-Ft!B$2)^2)</f>
        <v>31.765019621760025</v>
      </c>
      <c r="F634" s="27">
        <f>Ft!C$3*EXP(Ft!C$38*($A634-Ft!C$2)^2)</f>
        <v>51.906936487701145</v>
      </c>
      <c r="G634" s="27">
        <f>Ft!D$3*EXP(Ft!D$38*($A634-Ft!D$2)^2)</f>
        <v>3.9393566455082388E-12</v>
      </c>
      <c r="H634" s="27">
        <f>Ft!E$3*EXP(Ft!E$38*($A634-Ft!E$2)^2)</f>
        <v>105.64010539611033</v>
      </c>
      <c r="I634" s="27">
        <f>Ft!F$3*EXP(Ft!F$38*($A634-Ft!F$2)^2)</f>
        <v>47.930046150282713</v>
      </c>
      <c r="J634" s="27">
        <f>Ft!G$3*EXP(Ft!G$38*($A634-Ft!G$2)^2)</f>
        <v>18.228937392110556</v>
      </c>
    </row>
    <row r="635" spans="1:10">
      <c r="A635" s="20">
        <v>633</v>
      </c>
      <c r="B635" s="29">
        <v>2.1945864624536</v>
      </c>
      <c r="C635" s="28">
        <f ca="1">OFFSET($B635,1*(ROWS(C$2:C635)-1),0)</f>
        <v>0</v>
      </c>
      <c r="D635" s="27">
        <f>Ft!B$3*EXP(Ft!B$38*($A635-Ft!B$2)^2) +Ft!C$3*EXP(Ft!C$38*($A635-Ft!C$2)^2) + Ft!D$3*EXP(Ft!D$38*($A635-Ft!D$2)^2)+Ft!E$3*EXP(Ft!E$38*($A635-Ft!E$2)^2) +Ft!F$3*EXP(Ft!F$38*($A635-Ft!F$2)^2) + Ft!G$3*EXP(Ft!G$38*($A635-Ft!G$2)^2)</f>
        <v>255.50814295132128</v>
      </c>
      <c r="E635" s="27">
        <f>Ft!B$3*EXP(Ft!B$38*($A635-Ft!B$2)^2)</f>
        <v>31.635796987222644</v>
      </c>
      <c r="F635" s="27">
        <f>Ft!C$3*EXP(Ft!C$38*($A635-Ft!C$2)^2)</f>
        <v>51.93786464355221</v>
      </c>
      <c r="G635" s="27">
        <f>Ft!D$3*EXP(Ft!D$38*($A635-Ft!D$2)^2)</f>
        <v>2.9985044798054403E-12</v>
      </c>
      <c r="H635" s="27">
        <f>Ft!E$3*EXP(Ft!E$38*($A635-Ft!E$2)^2)</f>
        <v>105.77395585489592</v>
      </c>
      <c r="I635" s="27">
        <f>Ft!F$3*EXP(Ft!F$38*($A635-Ft!F$2)^2)</f>
        <v>48.062080932953315</v>
      </c>
      <c r="J635" s="27">
        <f>Ft!G$3*EXP(Ft!G$38*($A635-Ft!G$2)^2)</f>
        <v>18.098444532694202</v>
      </c>
    </row>
    <row r="636" spans="1:10">
      <c r="A636" s="20">
        <v>634</v>
      </c>
      <c r="B636" s="29">
        <v>2.0727790975968219</v>
      </c>
      <c r="C636" s="28">
        <f ca="1">OFFSET($B636,1*(ROWS(C$2:C636)-1),0)</f>
        <v>0</v>
      </c>
      <c r="D636" s="27">
        <f>Ft!B$3*EXP(Ft!B$38*($A636-Ft!B$2)^2) +Ft!C$3*EXP(Ft!C$38*($A636-Ft!C$2)^2) + Ft!D$3*EXP(Ft!D$38*($A636-Ft!D$2)^2)+Ft!E$3*EXP(Ft!E$38*($A636-Ft!E$2)^2) +Ft!F$3*EXP(Ft!F$38*($A636-Ft!F$2)^2) + Ft!G$3*EXP(Ft!G$38*($A636-Ft!G$2)^2)</f>
        <v>255.54482716133882</v>
      </c>
      <c r="E636" s="27">
        <f>Ft!B$3*EXP(Ft!B$38*($A636-Ft!B$2)^2)</f>
        <v>31.506949699040288</v>
      </c>
      <c r="F636" s="27">
        <f>Ft!C$3*EXP(Ft!C$38*($A636-Ft!C$2)^2)</f>
        <v>51.968696431558634</v>
      </c>
      <c r="G636" s="27">
        <f>Ft!D$3*EXP(Ft!D$38*($A636-Ft!D$2)^2)</f>
        <v>2.2792141098936871E-12</v>
      </c>
      <c r="H636" s="27">
        <f>Ft!E$3*EXP(Ft!E$38*($A636-Ft!E$2)^2)</f>
        <v>105.90644074579248</v>
      </c>
      <c r="I636" s="27">
        <f>Ft!F$3*EXP(Ft!F$38*($A636-Ft!F$2)^2)</f>
        <v>48.194320751799516</v>
      </c>
      <c r="J636" s="27">
        <f>Ft!G$3*EXP(Ft!G$38*($A636-Ft!G$2)^2)</f>
        <v>17.968419533145646</v>
      </c>
    </row>
    <row r="637" spans="1:10">
      <c r="A637" s="20">
        <v>635</v>
      </c>
      <c r="B637" s="29">
        <v>1.9758015536086759</v>
      </c>
      <c r="C637" s="28">
        <f ca="1">OFFSET($B637,1*(ROWS(C$2:C637)-1),0)</f>
        <v>0</v>
      </c>
      <c r="D637" s="27">
        <f>Ft!B$3*EXP(Ft!B$38*($A637-Ft!B$2)^2) +Ft!C$3*EXP(Ft!C$38*($A637-Ft!C$2)^2) + Ft!D$3*EXP(Ft!D$38*($A637-Ft!D$2)^2)+Ft!E$3*EXP(Ft!E$38*($A637-Ft!E$2)^2) +Ft!F$3*EXP(Ft!F$38*($A637-Ft!F$2)^2) + Ft!G$3*EXP(Ft!G$38*($A637-Ft!G$2)^2)</f>
        <v>255.58109468409884</v>
      </c>
      <c r="E637" s="27">
        <f>Ft!B$3*EXP(Ft!B$38*($A637-Ft!B$2)^2)</f>
        <v>31.37847745562091</v>
      </c>
      <c r="F637" s="27">
        <f>Ft!C$3*EXP(Ft!C$38*($A637-Ft!C$2)^2)</f>
        <v>51.999431658262083</v>
      </c>
      <c r="G637" s="27">
        <f>Ft!D$3*EXP(Ft!D$38*($A637-Ft!D$2)^2)</f>
        <v>1.7300815287178662E-12</v>
      </c>
      <c r="H637" s="27">
        <f>Ft!E$3*EXP(Ft!E$38*($A637-Ft!E$2)^2)</f>
        <v>106.03755451518009</v>
      </c>
      <c r="I637" s="27">
        <f>Ft!F$3*EXP(Ft!F$38*($A637-Ft!F$2)^2)</f>
        <v>48.32676529894141</v>
      </c>
      <c r="J637" s="27">
        <f>Ft!G$3*EXP(Ft!G$38*($A637-Ft!G$2)^2)</f>
        <v>17.838865756092606</v>
      </c>
    </row>
    <row r="638" spans="1:10">
      <c r="A638" s="20">
        <v>636</v>
      </c>
      <c r="B638" s="29">
        <v>1.8788834231988858</v>
      </c>
      <c r="C638" s="28">
        <f ca="1">OFFSET($B638,1*(ROWS(C$2:C638)-1),0)</f>
        <v>0</v>
      </c>
      <c r="D638" s="27">
        <f>Ft!B$3*EXP(Ft!B$38*($A638-Ft!B$2)^2) +Ft!C$3*EXP(Ft!C$38*($A638-Ft!C$2)^2) + Ft!D$3*EXP(Ft!D$38*($A638-Ft!D$2)^2)+Ft!E$3*EXP(Ft!E$38*($A638-Ft!E$2)^2) +Ft!F$3*EXP(Ft!F$38*($A638-Ft!F$2)^2) + Ft!G$3*EXP(Ft!G$38*($A638-Ft!G$2)^2)</f>
        <v>255.61694251119656</v>
      </c>
      <c r="E638" s="27">
        <f>Ft!B$3*EXP(Ft!B$38*($A638-Ft!B$2)^2)</f>
        <v>31.25037995124373</v>
      </c>
      <c r="F638" s="27">
        <f>Ft!C$3*EXP(Ft!C$38*($A638-Ft!C$2)^2)</f>
        <v>52.030070130729726</v>
      </c>
      <c r="G638" s="27">
        <f>Ft!D$3*EXP(Ft!D$38*($A638-Ft!D$2)^2)</f>
        <v>1.3114418416155133E-12</v>
      </c>
      <c r="H638" s="27">
        <f>Ft!E$3*EXP(Ft!E$38*($A638-Ft!E$2)^2)</f>
        <v>106.16729166218438</v>
      </c>
      <c r="I638" s="27">
        <f>Ft!F$3*EXP(Ft!F$38*($A638-Ft!F$2)^2)</f>
        <v>48.45941426362743</v>
      </c>
      <c r="J638" s="27">
        <f>Ft!G$3*EXP(Ft!G$38*($A638-Ft!G$2)^2)</f>
        <v>17.709786503410001</v>
      </c>
    </row>
    <row r="639" spans="1:10">
      <c r="A639" s="20">
        <v>637</v>
      </c>
      <c r="B639" s="29">
        <v>1.7777287492533844</v>
      </c>
      <c r="C639" s="28">
        <f ca="1">OFFSET($B639,1*(ROWS(C$2:C639)-1),0)</f>
        <v>0</v>
      </c>
      <c r="D639" s="27">
        <f>Ft!B$3*EXP(Ft!B$38*($A639-Ft!B$2)^2) +Ft!C$3*EXP(Ft!C$38*($A639-Ft!C$2)^2) + Ft!D$3*EXP(Ft!D$38*($A639-Ft!D$2)^2)+Ft!E$3*EXP(Ft!E$38*($A639-Ft!E$2)^2) +Ft!F$3*EXP(Ft!F$38*($A639-Ft!F$2)^2) + Ft!G$3*EXP(Ft!G$38*($A639-Ft!G$2)^2)</f>
        <v>255.65236762024702</v>
      </c>
      <c r="E639" s="27">
        <f>Ft!B$3*EXP(Ft!B$38*($A639-Ft!B$2)^2)</f>
        <v>31.122656876081855</v>
      </c>
      <c r="F639" s="27">
        <f>Ft!C$3*EXP(Ft!C$38*($A639-Ft!C$2)^2)</f>
        <v>52.060611656556169</v>
      </c>
      <c r="G639" s="27">
        <f>Ft!D$3*EXP(Ft!D$38*($A639-Ft!D$2)^2)</f>
        <v>9.9273314881965219E-13</v>
      </c>
      <c r="H639" s="27">
        <f>Ft!E$3*EXP(Ft!E$38*($A639-Ft!E$2)^2)</f>
        <v>106.29564673906097</v>
      </c>
      <c r="I639" s="27">
        <f>Ft!F$3*EXP(Ft!F$38*($A639-Ft!F$2)^2)</f>
        <v>48.592267332230591</v>
      </c>
      <c r="J639" s="27">
        <f>Ft!G$3*EXP(Ft!G$38*($A639-Ft!G$2)^2)</f>
        <v>17.581185016316446</v>
      </c>
    </row>
    <row r="640" spans="1:10">
      <c r="A640" s="20">
        <v>638</v>
      </c>
      <c r="B640" s="29">
        <v>1.6822352364906692</v>
      </c>
      <c r="C640" s="28">
        <f ca="1">OFFSET($B640,1*(ROWS(C$2:C640)-1),0)</f>
        <v>0</v>
      </c>
      <c r="D640" s="27">
        <f>Ft!B$3*EXP(Ft!B$38*($A640-Ft!B$2)^2) +Ft!C$3*EXP(Ft!C$38*($A640-Ft!C$2)^2) + Ft!D$3*EXP(Ft!D$38*($A640-Ft!D$2)^2)+Ft!E$3*EXP(Ft!E$38*($A640-Ft!E$2)^2) +Ft!F$3*EXP(Ft!F$38*($A640-Ft!F$2)^2) + Ft!G$3*EXP(Ft!G$38*($A640-Ft!G$2)^2)</f>
        <v>255.68736697539038</v>
      </c>
      <c r="E640" s="27">
        <f>Ft!B$3*EXP(Ft!B$38*($A640-Ft!B$2)^2)</f>
        <v>30.995307916224913</v>
      </c>
      <c r="F640" s="27">
        <f>Ft!C$3*EXP(Ft!C$38*($A640-Ft!C$2)^2)</f>
        <v>52.091056043865521</v>
      </c>
      <c r="G640" s="27">
        <f>Ft!D$3*EXP(Ft!D$38*($A640-Ft!D$2)^2)</f>
        <v>7.5044182983212209E-13</v>
      </c>
      <c r="H640" s="27">
        <f>Ft!E$3*EXP(Ft!E$38*($A640-Ft!E$2)^2)</f>
        <v>106.42261435157644</v>
      </c>
      <c r="I640" s="27">
        <f>Ft!F$3*EXP(Ft!F$38*($A640-Ft!F$2)^2)</f>
        <v>48.725324188244741</v>
      </c>
      <c r="J640" s="27">
        <f>Ft!G$3*EXP(Ft!G$38*($A640-Ft!G$2)^2)</f>
        <v>17.453064475477973</v>
      </c>
    </row>
    <row r="641" spans="1:10">
      <c r="A641" s="20">
        <v>639</v>
      </c>
      <c r="B641" s="29">
        <v>1.5869665795214871</v>
      </c>
      <c r="C641" s="28">
        <f ca="1">OFFSET($B641,1*(ROWS(C$2:C641)-1),0)</f>
        <v>0</v>
      </c>
      <c r="D641" s="27">
        <f>Ft!B$3*EXP(Ft!B$38*($A641-Ft!B$2)^2) +Ft!C$3*EXP(Ft!C$38*($A641-Ft!C$2)^2) + Ft!D$3*EXP(Ft!D$38*($A641-Ft!D$2)^2)+Ft!E$3*EXP(Ft!E$38*($A641-Ft!E$2)^2) +Ft!F$3*EXP(Ft!F$38*($A641-Ft!F$2)^2) + Ft!G$3*EXP(Ft!G$38*($A641-Ft!G$2)^2)</f>
        <v>255.72193752780137</v>
      </c>
      <c r="E641" s="27">
        <f>Ft!B$3*EXP(Ft!B$38*($A641-Ft!B$2)^2)</f>
        <v>30.86833275370175</v>
      </c>
      <c r="F641" s="27">
        <f>Ft!C$3*EXP(Ft!C$38*($A641-Ft!C$2)^2)</f>
        <v>52.121403101313369</v>
      </c>
      <c r="G641" s="27">
        <f>Ft!D$3*EXP(Ft!D$38*($A641-Ft!D$2)^2)</f>
        <v>5.6650345826767833E-13</v>
      </c>
      <c r="H641" s="27">
        <f>Ft!E$3*EXP(Ft!E$38*($A641-Ft!E$2)^2)</f>
        <v>106.54818915938617</v>
      </c>
      <c r="I641" s="27">
        <f>Ft!F$3*EXP(Ft!F$38*($A641-Ft!F$2)^2)</f>
        <v>48.858584512280736</v>
      </c>
      <c r="J641" s="27">
        <f>Ft!G$3*EXP(Ft!G$38*($A641-Ft!G$2)^2)</f>
        <v>17.325428001118784</v>
      </c>
    </row>
    <row r="642" spans="1:10">
      <c r="A642" s="20">
        <v>640</v>
      </c>
      <c r="B642" s="29">
        <v>1.507841347211837</v>
      </c>
      <c r="C642" s="28">
        <f ca="1">OFFSET($B642,1*(ROWS(C$2:C642)-1),0)</f>
        <v>0</v>
      </c>
      <c r="D642" s="27">
        <f>Ft!B$3*EXP(Ft!B$38*($A642-Ft!B$2)^2) +Ft!C$3*EXP(Ft!C$38*($A642-Ft!C$2)^2) + Ft!D$3*EXP(Ft!D$38*($A642-Ft!D$2)^2)+Ft!E$3*EXP(Ft!E$38*($A642-Ft!E$2)^2) +Ft!F$3*EXP(Ft!F$38*($A642-Ft!F$2)^2) + Ft!G$3*EXP(Ft!G$38*($A642-Ft!G$2)^2)</f>
        <v>255.75607621620247</v>
      </c>
      <c r="E642" s="27">
        <f>Ft!B$3*EXP(Ft!B$38*($A642-Ft!B$2)^2)</f>
        <v>30.741731066503103</v>
      </c>
      <c r="F642" s="27">
        <f>Ft!C$3*EXP(Ft!C$38*($A642-Ft!C$2)^2)</f>
        <v>52.151652638088798</v>
      </c>
      <c r="G642" s="27">
        <f>Ft!D$3*EXP(Ft!D$38*($A642-Ft!D$2)^2)</f>
        <v>4.2706021938088958E-13</v>
      </c>
      <c r="H642" s="27">
        <f>Ft!E$3*EXP(Ft!E$38*($A642-Ft!E$2)^2)</f>
        <v>106.67236587640826</v>
      </c>
      <c r="I642" s="27">
        <f>Ft!F$3*EXP(Ft!F$38*($A642-Ft!F$2)^2)</f>
        <v>48.992047982062878</v>
      </c>
      <c r="J642" s="27">
        <f>Ft!G$3*EXP(Ft!G$38*($A642-Ft!G$2)^2)</f>
        <v>17.198278653139013</v>
      </c>
    </row>
    <row r="643" spans="1:10">
      <c r="A643" s="20">
        <v>641</v>
      </c>
      <c r="B643" s="29">
        <v>1.4133689314930962</v>
      </c>
      <c r="C643" s="28">
        <f ca="1">OFFSET($B643,1*(ROWS(C$2:C643)-1),0)</f>
        <v>0</v>
      </c>
      <c r="D643" s="27">
        <f>Ft!B$3*EXP(Ft!B$38*($A643-Ft!B$2)^2) +Ft!C$3*EXP(Ft!C$38*($A643-Ft!C$2)^2) + Ft!D$3*EXP(Ft!D$38*($A643-Ft!D$2)^2)+Ft!E$3*EXP(Ft!E$38*($A643-Ft!E$2)^2) +Ft!F$3*EXP(Ft!F$38*($A643-Ft!F$2)^2) + Ft!G$3*EXP(Ft!G$38*($A643-Ft!G$2)^2)</f>
        <v>255.78977996738018</v>
      </c>
      <c r="E643" s="27">
        <f>Ft!B$3*EXP(Ft!B$38*($A643-Ft!B$2)^2)</f>
        <v>30.615502528604306</v>
      </c>
      <c r="F643" s="27">
        <f>Ft!C$3*EXP(Ft!C$38*($A643-Ft!C$2)^2)</f>
        <v>52.181804463916379</v>
      </c>
      <c r="G643" s="27">
        <f>Ft!D$3*EXP(Ft!D$38*($A643-Ft!D$2)^2)</f>
        <v>3.2149682921219389E-13</v>
      </c>
      <c r="H643" s="27">
        <f>Ft!E$3*EXP(Ft!E$38*($A643-Ft!E$2)^2)</f>
        <v>106.79513927119451</v>
      </c>
      <c r="I643" s="27">
        <f>Ft!F$3*EXP(Ft!F$38*($A643-Ft!F$2)^2)</f>
        <v>49.125714272425206</v>
      </c>
      <c r="J643" s="27">
        <f>Ft!G$3*EXP(Ft!G$38*($A643-Ft!G$2)^2)</f>
        <v>17.071619431239455</v>
      </c>
    </row>
    <row r="644" spans="1:10">
      <c r="A644" s="20">
        <v>642</v>
      </c>
      <c r="B644" s="29">
        <v>1.3393127867776968</v>
      </c>
      <c r="C644" s="28">
        <f ca="1">OFFSET($B644,1*(ROWS(C$2:C644)-1),0)</f>
        <v>0</v>
      </c>
      <c r="D644" s="27">
        <f>Ft!B$3*EXP(Ft!B$38*($A644-Ft!B$2)^2) +Ft!C$3*EXP(Ft!C$38*($A644-Ft!C$2)^2) + Ft!D$3*EXP(Ft!D$38*($A644-Ft!D$2)^2)+Ft!E$3*EXP(Ft!E$38*($A644-Ft!E$2)^2) +Ft!F$3*EXP(Ft!F$38*($A644-Ft!F$2)^2) + Ft!G$3*EXP(Ft!G$38*($A644-Ft!G$2)^2)</f>
        <v>255.82304569670478</v>
      </c>
      <c r="E644" s="27">
        <f>Ft!B$3*EXP(Ft!B$38*($A644-Ft!B$2)^2)</f>
        <v>30.48964680998786</v>
      </c>
      <c r="F644" s="27">
        <f>Ft!C$3*EXP(Ft!C$38*($A644-Ft!C$2)^2)</f>
        <v>52.211858389058165</v>
      </c>
      <c r="G644" s="27">
        <f>Ft!D$3*EXP(Ft!D$38*($A644-Ft!D$2)^2)</f>
        <v>2.4169367816860384E-13</v>
      </c>
      <c r="H644" s="27">
        <f>Ft!E$3*EXP(Ft!E$38*($A644-Ft!E$2)^2)</f>
        <v>106.9165041672974</v>
      </c>
      <c r="I644" s="27">
        <f>Ft!F$3*EXP(Ft!F$38*($A644-Ft!F$2)^2)</f>
        <v>49.259583055307978</v>
      </c>
      <c r="J644" s="27">
        <f>Ft!G$3*EXP(Ft!G$38*($A644-Ft!G$2)^2)</f>
        <v>16.945453275053115</v>
      </c>
    </row>
    <row r="645" spans="1:10">
      <c r="A645" s="20">
        <v>643</v>
      </c>
      <c r="B645" s="29">
        <v>1.2595208532060838</v>
      </c>
      <c r="C645" s="28">
        <f ca="1">OFFSET($B645,1*(ROWS(C$2:C645)-1),0)</f>
        <v>0</v>
      </c>
      <c r="D645" s="27">
        <f>Ft!B$3*EXP(Ft!B$38*($A645-Ft!B$2)^2) +Ft!C$3*EXP(Ft!C$38*($A645-Ft!C$2)^2) + Ft!D$3*EXP(Ft!D$38*($A645-Ft!D$2)^2)+Ft!E$3*EXP(Ft!E$38*($A645-Ft!E$2)^2) +Ft!F$3*EXP(Ft!F$38*($A645-Ft!F$2)^2) + Ft!G$3*EXP(Ft!G$38*($A645-Ft!G$2)^2)</f>
        <v>255.85587030865344</v>
      </c>
      <c r="E645" s="27">
        <f>Ft!B$3*EXP(Ft!B$38*($A645-Ft!B$2)^2)</f>
        <v>30.364163576666247</v>
      </c>
      <c r="F645" s="27">
        <f>Ft!C$3*EXP(Ft!C$38*($A645-Ft!C$2)^2)</f>
        <v>52.241814224315675</v>
      </c>
      <c r="G645" s="27">
        <f>Ft!D$3*EXP(Ft!D$38*($A645-Ft!D$2)^2)</f>
        <v>1.8144913815020814E-13</v>
      </c>
      <c r="H645" s="27">
        <f>Ft!E$3*EXP(Ft!E$38*($A645-Ft!E$2)^2)</f>
        <v>107.03645544363378</v>
      </c>
      <c r="I645" s="27">
        <f>Ft!F$3*EXP(Ft!F$38*($A645-Ft!F$2)^2)</f>
        <v>49.393653999753916</v>
      </c>
      <c r="J645" s="27">
        <f>Ft!G$3*EXP(Ft!G$38*($A645-Ft!G$2)^2)</f>
        <v>16.819783064283616</v>
      </c>
    </row>
    <row r="646" spans="1:10">
      <c r="A646" s="20">
        <v>644</v>
      </c>
      <c r="B646" s="29">
        <v>1.1909848262066873</v>
      </c>
      <c r="C646" s="28">
        <f ca="1">OFFSET($B646,1*(ROWS(C$2:C646)-1),0)</f>
        <v>0</v>
      </c>
      <c r="D646" s="27">
        <f>Ft!B$3*EXP(Ft!B$38*($A646-Ft!B$2)^2) +Ft!C$3*EXP(Ft!C$38*($A646-Ft!C$2)^2) + Ft!D$3*EXP(Ft!D$38*($A646-Ft!D$2)^2)+Ft!E$3*EXP(Ft!E$38*($A646-Ft!E$2)^2) +Ft!F$3*EXP(Ft!F$38*($A646-Ft!F$2)^2) + Ft!G$3*EXP(Ft!G$38*($A646-Ft!G$2)^2)</f>
        <v>255.8882506973365</v>
      </c>
      <c r="E646" s="27">
        <f>Ft!B$3*EXP(Ft!B$38*($A646-Ft!B$2)^2)</f>
        <v>30.239052490704545</v>
      </c>
      <c r="F646" s="27">
        <f>Ft!C$3*EXP(Ft!C$38*($A646-Ft!C$2)^2)</f>
        <v>52.271671781031891</v>
      </c>
      <c r="G646" s="27">
        <f>Ft!D$3*EXP(Ft!D$38*($A646-Ft!D$2)^2)</f>
        <v>1.3603339916702763E-13</v>
      </c>
      <c r="H646" s="27">
        <f>Ft!E$3*EXP(Ft!E$38*($A646-Ft!E$2)^2)</f>
        <v>107.15498803484481</v>
      </c>
      <c r="I646" s="27">
        <f>Ft!F$3*EXP(Ft!F$38*($A646-Ft!F$2)^2)</f>
        <v>49.527926771904859</v>
      </c>
      <c r="J646" s="27">
        <f>Ft!G$3*EXP(Ft!G$38*($A646-Ft!G$2)^2)</f>
        <v>16.694611618850271</v>
      </c>
    </row>
    <row r="647" spans="1:10">
      <c r="A647" s="20">
        <v>645</v>
      </c>
      <c r="B647" s="29">
        <v>1.1037407196766083</v>
      </c>
      <c r="C647" s="28">
        <f ca="1">OFFSET($B647,1*(ROWS(C$2:C647)-1),0)</f>
        <v>0</v>
      </c>
      <c r="D647" s="27">
        <f>Ft!B$3*EXP(Ft!B$38*($A647-Ft!B$2)^2) +Ft!C$3*EXP(Ft!C$38*($A647-Ft!C$2)^2) + Ft!D$3*EXP(Ft!D$38*($A647-Ft!D$2)^2)+Ft!E$3*EXP(Ft!E$38*($A647-Ft!E$2)^2) +Ft!F$3*EXP(Ft!F$38*($A647-Ft!F$2)^2) + Ft!G$3*EXP(Ft!G$38*($A647-Ft!G$2)^2)</f>
        <v>255.92018374702693</v>
      </c>
      <c r="E647" s="27">
        <f>Ft!B$3*EXP(Ft!B$38*($A647-Ft!B$2)^2)</f>
        <v>30.114313210243104</v>
      </c>
      <c r="F647" s="27">
        <f>Ft!C$3*EXP(Ft!C$38*($A647-Ft!C$2)^2)</f>
        <v>52.30143087109321</v>
      </c>
      <c r="G647" s="27">
        <f>Ft!D$3*EXP(Ft!D$38*($A647-Ft!D$2)^2)</f>
        <v>1.0184441373383424E-13</v>
      </c>
      <c r="H647" s="27">
        <f>Ft!E$3*EXP(Ft!E$38*($A647-Ft!E$2)^2)</f>
        <v>107.27209693165244</v>
      </c>
      <c r="I647" s="27">
        <f>Ft!F$3*EXP(Ft!F$38*($A647-Ft!F$2)^2)</f>
        <v>49.66240103499824</v>
      </c>
      <c r="J647" s="27">
        <f>Ft!G$3*EXP(Ft!G$38*($A647-Ft!G$2)^2)</f>
        <v>16.569941699039848</v>
      </c>
    </row>
    <row r="648" spans="1:10">
      <c r="A648" s="20">
        <v>646</v>
      </c>
      <c r="B648" s="29">
        <v>1.0262170257561252</v>
      </c>
      <c r="C648" s="28">
        <f ca="1">OFFSET($B648,1*(ROWS(C$2:C648)-1),0)</f>
        <v>0</v>
      </c>
      <c r="D648" s="27">
        <f>Ft!B$3*EXP(Ft!B$38*($A648-Ft!B$2)^2) +Ft!C$3*EXP(Ft!C$38*($A648-Ft!C$2)^2) + Ft!D$3*EXP(Ft!D$38*($A648-Ft!D$2)^2)+Ft!E$3*EXP(Ft!E$38*($A648-Ft!E$2)^2) +Ft!F$3*EXP(Ft!F$38*($A648-Ft!F$2)^2) + Ft!G$3*EXP(Ft!G$38*($A648-Ft!G$2)^2)</f>
        <v>255.95166633269227</v>
      </c>
      <c r="E648" s="27">
        <f>Ft!B$3*EXP(Ft!B$38*($A648-Ft!B$2)^2)</f>
        <v>29.989945389520241</v>
      </c>
      <c r="F648" s="27">
        <f>Ft!C$3*EXP(Ft!C$38*($A648-Ft!C$2)^2)</f>
        <v>52.331091306931448</v>
      </c>
      <c r="G648" s="27">
        <f>Ft!D$3*EXP(Ft!D$38*($A648-Ft!D$2)^2)</f>
        <v>7.6142984700517203E-14</v>
      </c>
      <c r="H648" s="27">
        <f>Ft!E$3*EXP(Ft!E$38*($A648-Ft!E$2)^2)</f>
        <v>107.38777718121207</v>
      </c>
      <c r="I648" s="27">
        <f>Ft!F$3*EXP(Ft!F$38*($A648-Ft!F$2)^2)</f>
        <v>49.797076449363509</v>
      </c>
      <c r="J648" s="27">
        <f>Ft!G$3*EXP(Ft!G$38*($A648-Ft!G$2)^2)</f>
        <v>16.445776005664925</v>
      </c>
    </row>
    <row r="649" spans="1:10">
      <c r="A649" s="20">
        <v>647</v>
      </c>
      <c r="B649" s="29">
        <v>0.96992607456090241</v>
      </c>
      <c r="C649" s="28">
        <f ca="1">OFFSET($B649,1*(ROWS(C$2:C649)-1),0)</f>
        <v>0</v>
      </c>
      <c r="D649" s="27">
        <f>Ft!B$3*EXP(Ft!B$38*($A649-Ft!B$2)^2) +Ft!C$3*EXP(Ft!C$38*($A649-Ft!C$2)^2) + Ft!D$3*EXP(Ft!D$38*($A649-Ft!D$2)^2)+Ft!E$3*EXP(Ft!E$38*($A649-Ft!E$2)^2) +Ft!F$3*EXP(Ft!F$38*($A649-Ft!F$2)^2) + Ft!G$3*EXP(Ft!G$38*($A649-Ft!G$2)^2)</f>
        <v>255.98269532052987</v>
      </c>
      <c r="E649" s="27">
        <f>Ft!B$3*EXP(Ft!B$38*($A649-Ft!B$2)^2)</f>
        <v>29.865948678894949</v>
      </c>
      <c r="F649" s="27">
        <f>Ft!C$3*EXP(Ft!C$38*($A649-Ft!C$2)^2)</f>
        <v>52.360652901525775</v>
      </c>
      <c r="G649" s="27">
        <f>Ft!D$3*EXP(Ft!D$38*($A649-Ft!D$2)^2)</f>
        <v>5.6849101149911854E-14</v>
      </c>
      <c r="H649" s="27">
        <f>Ft!E$3*EXP(Ft!E$38*($A649-Ft!E$2)^2)</f>
        <v>107.50202388746152</v>
      </c>
      <c r="I649" s="27">
        <f>Ft!F$3*EXP(Ft!F$38*($A649-Ft!F$2)^2)</f>
        <v>49.931952672418873</v>
      </c>
      <c r="J649" s="27">
        <f>Ft!G$3*EXP(Ft!G$38*($A649-Ft!G$2)^2)</f>
        <v>16.322117180228695</v>
      </c>
    </row>
    <row r="650" spans="1:10">
      <c r="A650" s="20">
        <v>648</v>
      </c>
      <c r="B650" s="29">
        <v>0.92084087289555328</v>
      </c>
      <c r="C650" s="28">
        <f ca="1">OFFSET($B650,1*(ROWS(C$2:C650)-1),0)</f>
        <v>0</v>
      </c>
      <c r="D650" s="27">
        <f>Ft!B$3*EXP(Ft!B$38*($A650-Ft!B$2)^2) +Ft!C$3*EXP(Ft!C$38*($A650-Ft!C$2)^2) + Ft!D$3*EXP(Ft!D$38*($A650-Ft!D$2)^2)+Ft!E$3*EXP(Ft!E$38*($A650-Ft!E$2)^2) +Ft!F$3*EXP(Ft!F$38*($A650-Ft!F$2)^2) + Ft!G$3*EXP(Ft!G$38*($A650-Ft!G$2)^2)</f>
        <v>256.01326756850466</v>
      </c>
      <c r="E650" s="27">
        <f>Ft!B$3*EXP(Ft!B$38*($A650-Ft!B$2)^2)</f>
        <v>29.742322724869528</v>
      </c>
      <c r="F650" s="27">
        <f>Ft!C$3*EXP(Ft!C$38*($A650-Ft!C$2)^2)</f>
        <v>52.390115468404694</v>
      </c>
      <c r="G650" s="27">
        <f>Ft!D$3*EXP(Ft!D$38*($A650-Ft!D$2)^2)</f>
        <v>4.2385599479669947E-14</v>
      </c>
      <c r="H650" s="27">
        <f>Ft!E$3*EXP(Ft!E$38*($A650-Ft!E$2)^2)</f>
        <v>107.61483221146629</v>
      </c>
      <c r="I650" s="27">
        <f>Ft!F$3*EXP(Ft!F$38*($A650-Ft!F$2)^2)</f>
        <v>50.067029358667831</v>
      </c>
      <c r="J650" s="27">
        <f>Ft!G$3*EXP(Ft!G$38*($A650-Ft!G$2)^2)</f>
        <v>16.198967805096274</v>
      </c>
    </row>
    <row r="651" spans="1:10">
      <c r="A651" s="20">
        <v>649</v>
      </c>
      <c r="B651" s="29">
        <v>0.86322741717907547</v>
      </c>
      <c r="C651" s="28">
        <f ca="1">OFFSET($B651,1*(ROWS(C$2:C651)-1),0)</f>
        <v>0</v>
      </c>
      <c r="D651" s="27">
        <f>Ft!B$3*EXP(Ft!B$38*($A651-Ft!B$2)^2) +Ft!C$3*EXP(Ft!C$38*($A651-Ft!C$2)^2) + Ft!D$3*EXP(Ft!D$38*($A651-Ft!D$2)^2)+Ft!E$3*EXP(Ft!E$38*($A651-Ft!E$2)^2) +Ft!F$3*EXP(Ft!F$38*($A651-Ft!F$2)^2) + Ft!G$3*EXP(Ft!G$38*($A651-Ft!G$2)^2)</f>
        <v>256.04337992688966</v>
      </c>
      <c r="E651" s="27">
        <f>Ft!B$3*EXP(Ft!B$38*($A651-Ft!B$2)^2)</f>
        <v>29.619067170112299</v>
      </c>
      <c r="F651" s="27">
        <f>Ft!C$3*EXP(Ft!C$38*($A651-Ft!C$2)^2)</f>
        <v>52.419478821648028</v>
      </c>
      <c r="G651" s="27">
        <f>Ft!D$3*EXP(Ft!D$38*($A651-Ft!D$2)^2)</f>
        <v>3.1558334805364535E-14</v>
      </c>
      <c r="H651" s="27">
        <f>Ft!E$3*EXP(Ft!E$38*($A651-Ft!E$2)^2)</f>
        <v>107.72619737176115</v>
      </c>
      <c r="I651" s="27">
        <f>Ft!F$3*EXP(Ft!F$38*($A651-Ft!F$2)^2)</f>
        <v>50.202306159695837</v>
      </c>
      <c r="J651" s="27">
        <f>Ft!G$3*EXP(Ft!G$38*($A651-Ft!G$2)^2)</f>
        <v>16.076330403672316</v>
      </c>
    </row>
    <row r="652" spans="1:10">
      <c r="A652" s="20">
        <v>650</v>
      </c>
      <c r="B652" s="29">
        <v>0.81692990215560712</v>
      </c>
      <c r="C652" s="28">
        <f ca="1">OFFSET($B652,1*(ROWS(C$2:C652)-1),0)</f>
        <v>0</v>
      </c>
      <c r="D652" s="27">
        <f>Ft!B$3*EXP(Ft!B$38*($A652-Ft!B$2)^2) +Ft!C$3*EXP(Ft!C$38*($A652-Ft!C$2)^2) + Ft!D$3*EXP(Ft!D$38*($A652-Ft!D$2)^2)+Ft!E$3*EXP(Ft!E$38*($A652-Ft!E$2)^2) +Ft!F$3*EXP(Ft!F$38*($A652-Ft!F$2)^2) + Ft!G$3*EXP(Ft!G$38*($A652-Ft!G$2)^2)</f>
        <v>256.07302923880883</v>
      </c>
      <c r="E652" s="27">
        <f>Ft!B$3*EXP(Ft!B$38*($A652-Ft!B$2)^2)</f>
        <v>29.496181653480271</v>
      </c>
      <c r="F652" s="27">
        <f>Ft!C$3*EXP(Ft!C$38*($A652-Ft!C$2)^2)</f>
        <v>52.448742775888832</v>
      </c>
      <c r="G652" s="27">
        <f>Ft!D$3*EXP(Ft!D$38*($A652-Ft!D$2)^2)</f>
        <v>2.3464475476406569E-14</v>
      </c>
      <c r="H652" s="27">
        <f>Ft!E$3*EXP(Ft!E$38*($A652-Ft!E$2)^2)</f>
        <v>107.83611464468768</v>
      </c>
      <c r="I652" s="27">
        <f>Ft!F$3*EXP(Ft!F$38*($A652-Ft!F$2)^2)</f>
        <v>50.337782724167049</v>
      </c>
      <c r="J652" s="27">
        <f>Ft!G$3*EXP(Ft!G$38*($A652-Ft!G$2)^2)</f>
        <v>15.954207440584948</v>
      </c>
    </row>
    <row r="653" spans="1:10">
      <c r="A653" s="20">
        <v>651</v>
      </c>
      <c r="B653" s="29">
        <v>0.76086235114340184</v>
      </c>
      <c r="C653" s="28">
        <f ca="1">OFFSET($B653,1*(ROWS(C$2:C653)-1),0)</f>
        <v>0</v>
      </c>
      <c r="D653" s="27">
        <f>Ft!B$3*EXP(Ft!B$38*($A653-Ft!B$2)^2) +Ft!C$3*EXP(Ft!C$38*($A653-Ft!C$2)^2) + Ft!D$3*EXP(Ft!D$38*($A653-Ft!D$2)^2)+Ft!E$3*EXP(Ft!E$38*($A653-Ft!E$2)^2) +Ft!F$3*EXP(Ft!F$38*($A653-Ft!F$2)^2) + Ft!G$3*EXP(Ft!G$38*($A653-Ft!G$2)^2)</f>
        <v>256.10221234078233</v>
      </c>
      <c r="E653" s="27">
        <f>Ft!B$3*EXP(Ft!B$38*($A653-Ft!B$2)^2)</f>
        <v>29.373665810041828</v>
      </c>
      <c r="F653" s="27">
        <f>Ft!C$3*EXP(Ft!C$38*($A653-Ft!C$2)^2)</f>
        <v>52.477907146315346</v>
      </c>
      <c r="G653" s="27">
        <f>Ft!D$3*EXP(Ft!D$38*($A653-Ft!D$2)^2)</f>
        <v>1.7422426593328501E-14</v>
      </c>
      <c r="H653" s="27">
        <f>Ft!E$3*EXP(Ft!E$38*($A653-Ft!E$2)^2)</f>
        <v>107.94457936472824</v>
      </c>
      <c r="I653" s="27">
        <f>Ft!F$3*EXP(Ft!F$38*($A653-Ft!F$2)^2)</f>
        <v>50.473458697821002</v>
      </c>
      <c r="J653" s="27">
        <f>Ft!G$3*EXP(Ft!G$38*($A653-Ft!G$2)^2)</f>
        <v>15.832601321875879</v>
      </c>
    </row>
    <row r="654" spans="1:10">
      <c r="A654" s="20">
        <v>652</v>
      </c>
      <c r="B654" s="29">
        <v>0.71387491394747826</v>
      </c>
      <c r="C654" s="28">
        <f ca="1">OFFSET($B654,1*(ROWS(C$2:C654)-1),0)</f>
        <v>0</v>
      </c>
      <c r="D654" s="27">
        <f>Ft!B$3*EXP(Ft!B$38*($A654-Ft!B$2)^2) +Ft!C$3*EXP(Ft!C$38*($A654-Ft!C$2)^2) + Ft!D$3*EXP(Ft!D$38*($A654-Ft!D$2)^2)+Ft!E$3*EXP(Ft!E$38*($A654-Ft!E$2)^2) +Ft!F$3*EXP(Ft!F$38*($A654-Ft!F$2)^2) + Ft!G$3*EXP(Ft!G$38*($A654-Ft!G$2)^2)</f>
        <v>256.13092606327433</v>
      </c>
      <c r="E654" s="27">
        <f>Ft!B$3*EXP(Ft!B$38*($A654-Ft!B$2)^2)</f>
        <v>29.251519271099344</v>
      </c>
      <c r="F654" s="27">
        <f>Ft!C$3*EXP(Ft!C$38*($A654-Ft!C$2)^2)</f>
        <v>52.506971748672953</v>
      </c>
      <c r="G654" s="27">
        <f>Ft!D$3*EXP(Ft!D$38*($A654-Ft!D$2)^2)</f>
        <v>1.2918362232096775E-14</v>
      </c>
      <c r="H654" s="27">
        <f>Ft!E$3*EXP(Ft!E$38*($A654-Ft!E$2)^2)</f>
        <v>108.05158692483589</v>
      </c>
      <c r="I654" s="27">
        <f>Ft!F$3*EXP(Ft!F$38*($A654-Ft!F$2)^2)</f>
        <v>50.609333723469462</v>
      </c>
      <c r="J654" s="27">
        <f>Ft!G$3*EXP(Ft!G$38*($A654-Ft!G$2)^2)</f>
        <v>15.71151439519666</v>
      </c>
    </row>
    <row r="655" spans="1:10">
      <c r="A655" s="20">
        <v>653</v>
      </c>
      <c r="B655" s="29">
        <v>0.6760270864867266</v>
      </c>
      <c r="C655" s="28">
        <f ca="1">OFFSET($B655,1*(ROWS(C$2:C655)-1),0)</f>
        <v>0</v>
      </c>
      <c r="D655" s="27">
        <f>Ft!B$3*EXP(Ft!B$38*($A655-Ft!B$2)^2) +Ft!C$3*EXP(Ft!C$38*($A655-Ft!C$2)^2) + Ft!D$3*EXP(Ft!D$38*($A655-Ft!D$2)^2)+Ft!E$3*EXP(Ft!E$38*($A655-Ft!E$2)^2) +Ft!F$3*EXP(Ft!F$38*($A655-Ft!F$2)^2) + Ft!G$3*EXP(Ft!G$38*($A655-Ft!G$2)^2)</f>
        <v>256.15916723124263</v>
      </c>
      <c r="E655" s="27">
        <f>Ft!B$3*EXP(Ft!B$38*($A655-Ft!B$2)^2)</f>
        <v>29.129741664211934</v>
      </c>
      <c r="F655" s="27">
        <f>Ft!C$3*EXP(Ft!C$38*($A655-Ft!C$2)^2)</f>
        <v>52.53593639926612</v>
      </c>
      <c r="G655" s="27">
        <f>Ft!D$3*EXP(Ft!D$38*($A655-Ft!D$2)^2)</f>
        <v>9.5654915959119615E-15</v>
      </c>
      <c r="H655" s="27">
        <f>Ft!E$3*EXP(Ft!E$38*($A655-Ft!E$2)^2)</f>
        <v>108.15713277676039</v>
      </c>
      <c r="I655" s="27">
        <f>Ft!F$3*EXP(Ft!F$38*($A655-Ft!F$2)^2)</f>
        <v>50.745407440993205</v>
      </c>
      <c r="J655" s="27">
        <f>Ft!G$3*EXP(Ft!G$38*($A655-Ft!G$2)^2)</f>
        <v>15.590948950011002</v>
      </c>
    </row>
    <row r="656" spans="1:10">
      <c r="A656" s="20">
        <v>654</v>
      </c>
      <c r="B656" s="29">
        <v>0.65368201983238805</v>
      </c>
      <c r="C656" s="28">
        <f ca="1">OFFSET($B656,1*(ROWS(C$2:C656)-1),0)</f>
        <v>0</v>
      </c>
      <c r="D656" s="27">
        <f>Ft!B$3*EXP(Ft!B$38*($A656-Ft!B$2)^2) +Ft!C$3*EXP(Ft!C$38*($A656-Ft!C$2)^2) + Ft!D$3*EXP(Ft!D$38*($A656-Ft!D$2)^2)+Ft!E$3*EXP(Ft!E$38*($A656-Ft!E$2)^2) +Ft!F$3*EXP(Ft!F$38*($A656-Ft!F$2)^2) + Ft!G$3*EXP(Ft!G$38*($A656-Ft!G$2)^2)</f>
        <v>256.18693266469074</v>
      </c>
      <c r="E656" s="27">
        <f>Ft!B$3*EXP(Ft!B$38*($A656-Ft!B$2)^2)</f>
        <v>29.008332613218048</v>
      </c>
      <c r="F656" s="27">
        <f>Ft!C$3*EXP(Ft!C$38*($A656-Ft!C$2)^2)</f>
        <v>52.564800914960337</v>
      </c>
      <c r="G656" s="27">
        <f>Ft!D$3*EXP(Ft!D$38*($A656-Ft!D$2)^2)</f>
        <v>7.0730732004212239E-15</v>
      </c>
      <c r="H656" s="27">
        <f>Ft!E$3*EXP(Ft!E$38*($A656-Ft!E$2)^2)</f>
        <v>108.26121243137045</v>
      </c>
      <c r="I656" s="27">
        <f>Ft!F$3*EXP(Ft!F$38*($A656-Ft!F$2)^2)</f>
        <v>50.881679487338843</v>
      </c>
      <c r="J656" s="27">
        <f>Ft!G$3*EXP(Ft!G$38*($A656-Ft!G$2)^2)</f>
        <v>15.470907217803049</v>
      </c>
    </row>
    <row r="657" spans="1:10">
      <c r="A657" s="20">
        <v>655</v>
      </c>
      <c r="B657" s="29">
        <v>0.61723162089671746</v>
      </c>
      <c r="C657" s="28">
        <f ca="1">OFFSET($B657,1*(ROWS(C$2:C657)-1),0)</f>
        <v>0</v>
      </c>
      <c r="D657" s="27">
        <f>Ft!B$3*EXP(Ft!B$38*($A657-Ft!B$2)^2) +Ft!C$3*EXP(Ft!C$38*($A657-Ft!C$2)^2) + Ft!D$3*EXP(Ft!D$38*($A657-Ft!D$2)^2)+Ft!E$3*EXP(Ft!E$38*($A657-Ft!E$2)^2) +Ft!F$3*EXP(Ft!F$38*($A657-Ft!F$2)^2) + Ft!G$3*EXP(Ft!G$38*($A657-Ft!G$2)^2)</f>
        <v>256.21421917922135</v>
      </c>
      <c r="E657" s="27">
        <f>Ft!B$3*EXP(Ft!B$38*($A657-Ft!B$2)^2)</f>
        <v>28.887291738258138</v>
      </c>
      <c r="F657" s="27">
        <f>Ft!C$3*EXP(Ft!C$38*($A657-Ft!C$2)^2)</f>
        <v>52.593565113183985</v>
      </c>
      <c r="G657" s="27">
        <f>Ft!D$3*EXP(Ft!D$38*($A657-Ft!D$2)^2)</f>
        <v>5.2228798196107368E-15</v>
      </c>
      <c r="H657" s="27">
        <f>Ft!E$3*EXP(Ft!E$38*($A657-Ft!E$2)^2)</f>
        <v>108.36382145897183</v>
      </c>
      <c r="I657" s="27">
        <f>Ft!F$3*EXP(Ft!F$38*($A657-Ft!F$2)^2)</f>
        <v>51.018149496515818</v>
      </c>
      <c r="J657" s="27">
        <f>Ft!G$3*EXP(Ft!G$38*($A657-Ft!G$2)^2)</f>
        <v>15.351391372291561</v>
      </c>
    </row>
    <row r="658" spans="1:10">
      <c r="A658" s="20">
        <v>656</v>
      </c>
      <c r="B658" s="29">
        <v>0.57161239652640461</v>
      </c>
      <c r="C658" s="28">
        <f ca="1">OFFSET($B658,1*(ROWS(C$2:C658)-1),0)</f>
        <v>0</v>
      </c>
      <c r="D658" s="27">
        <f>Ft!B$3*EXP(Ft!B$38*($A658-Ft!B$2)^2) +Ft!C$3*EXP(Ft!C$38*($A658-Ft!C$2)^2) + Ft!D$3*EXP(Ft!D$38*($A658-Ft!D$2)^2)+Ft!E$3*EXP(Ft!E$38*($A658-Ft!E$2)^2) +Ft!F$3*EXP(Ft!F$38*($A658-Ft!F$2)^2) + Ft!G$3*EXP(Ft!G$38*($A658-Ft!G$2)^2)</f>
        <v>256.24102358659229</v>
      </c>
      <c r="E658" s="27">
        <f>Ft!B$3*EXP(Ft!B$38*($A658-Ft!B$2)^2)</f>
        <v>28.766618655797313</v>
      </c>
      <c r="F658" s="27">
        <f>Ft!C$3*EXP(Ft!C$38*($A658-Ft!C$2)^2)</f>
        <v>52.622228811930349</v>
      </c>
      <c r="G658" s="27">
        <f>Ft!D$3*EXP(Ft!D$38*($A658-Ft!D$2)^2)</f>
        <v>3.8513495258837473E-15</v>
      </c>
      <c r="H658" s="27">
        <f>Ft!E$3*EXP(Ft!E$38*($A658-Ft!E$2)^2)</f>
        <v>108.46495548962146</v>
      </c>
      <c r="I658" s="27">
        <f>Ft!F$3*EXP(Ft!F$38*($A658-Ft!F$2)^2)</f>
        <v>51.154817099593217</v>
      </c>
      <c r="J658" s="27">
        <f>Ft!G$3*EXP(Ft!G$38*($A658-Ft!G$2)^2)</f>
        <v>15.232403529649934</v>
      </c>
    </row>
    <row r="659" spans="1:10">
      <c r="A659" s="20">
        <v>657</v>
      </c>
      <c r="B659" s="29">
        <v>0.52125471955611147</v>
      </c>
      <c r="C659" s="28">
        <f ca="1">OFFSET($B659,1*(ROWS(C$2:C659)-1),0)</f>
        <v>0</v>
      </c>
      <c r="D659" s="27">
        <f>Ft!B$3*EXP(Ft!B$38*($A659-Ft!B$2)^2) +Ft!C$3*EXP(Ft!C$38*($A659-Ft!C$2)^2) + Ft!D$3*EXP(Ft!D$38*($A659-Ft!D$2)^2)+Ft!E$3*EXP(Ft!E$38*($A659-Ft!E$2)^2) +Ft!F$3*EXP(Ft!F$38*($A659-Ft!F$2)^2) + Ft!G$3*EXP(Ft!G$38*($A659-Ft!G$2)^2)</f>
        <v>256.2673426952739</v>
      </c>
      <c r="E659" s="27">
        <f>Ft!B$3*EXP(Ft!B$38*($A659-Ft!B$2)^2)</f>
        <v>28.646312978647998</v>
      </c>
      <c r="F659" s="27">
        <f>Ft!C$3*EXP(Ft!C$38*($A659-Ft!C$2)^2)</f>
        <v>52.650791829759484</v>
      </c>
      <c r="G659" s="27">
        <f>Ft!D$3*EXP(Ft!D$38*($A659-Ft!D$2)^2)</f>
        <v>2.8360694255739768E-15</v>
      </c>
      <c r="H659" s="27">
        <f>Ft!E$3*EXP(Ft!E$38*($A659-Ft!E$2)^2)</f>
        <v>108.56461021343763</v>
      </c>
      <c r="I659" s="27">
        <f>Ft!F$3*EXP(Ft!F$38*($A659-Ft!F$2)^2)</f>
        <v>51.291681924696881</v>
      </c>
      <c r="J659" s="27">
        <f>Ft!G$3*EXP(Ft!G$38*($A659-Ft!G$2)^2)</f>
        <v>15.113945748731915</v>
      </c>
    </row>
    <row r="660" spans="1:10">
      <c r="A660" s="20">
        <v>658</v>
      </c>
      <c r="B660" s="29">
        <v>0.47012508433968492</v>
      </c>
      <c r="C660" s="28">
        <f ca="1">OFFSET($B660,1*(ROWS(C$2:C660)-1),0)</f>
        <v>0</v>
      </c>
      <c r="D660" s="27">
        <f>Ft!B$3*EXP(Ft!B$38*($A660-Ft!B$2)^2) +Ft!C$3*EXP(Ft!C$38*($A660-Ft!C$2)^2) + Ft!D$3*EXP(Ft!D$38*($A660-Ft!D$2)^2)+Ft!E$3*EXP(Ft!E$38*($A660-Ft!E$2)^2) +Ft!F$3*EXP(Ft!F$38*($A660-Ft!F$2)^2) + Ft!G$3*EXP(Ft!G$38*($A660-Ft!G$2)^2)</f>
        <v>256.29317331100805</v>
      </c>
      <c r="E660" s="27">
        <f>Ft!B$3*EXP(Ft!B$38*($A660-Ft!B$2)^2)</f>
        <v>28.526374315992552</v>
      </c>
      <c r="F660" s="27">
        <f>Ft!C$3*EXP(Ft!C$38*($A660-Ft!C$2)^2)</f>
        <v>52.679253985800131</v>
      </c>
      <c r="G660" s="27">
        <f>Ft!D$3*EXP(Ft!D$38*($A660-Ft!D$2)^2)</f>
        <v>2.085555747968928E-15</v>
      </c>
      <c r="H660" s="27">
        <f>Ft!E$3*EXP(Ft!E$38*($A660-Ft!E$2)^2)</f>
        <v>108.66278138090604</v>
      </c>
      <c r="I660" s="27">
        <f>Ft!F$3*EXP(Ft!F$38*($A660-Ft!F$2)^2)</f>
        <v>51.42874359700631</v>
      </c>
      <c r="J660" s="27">
        <f>Ft!G$3*EXP(Ft!G$38*($A660-Ft!G$2)^2)</f>
        <v>14.996020031303038</v>
      </c>
    </row>
    <row r="661" spans="1:10">
      <c r="A661" s="20">
        <v>659</v>
      </c>
      <c r="B661" s="29">
        <v>0.43544348804294941</v>
      </c>
      <c r="C661" s="28">
        <f ca="1">OFFSET($B661,1*(ROWS(C$2:C661)-1),0)</f>
        <v>0</v>
      </c>
      <c r="D661" s="27">
        <f>Ft!B$3*EXP(Ft!B$38*($A661-Ft!B$2)^2) +Ft!C$3*EXP(Ft!C$38*($A661-Ft!C$2)^2) + Ft!D$3*EXP(Ft!D$38*($A661-Ft!D$2)^2)+Ft!E$3*EXP(Ft!E$38*($A661-Ft!E$2)^2) +Ft!F$3*EXP(Ft!F$38*($A661-Ft!F$2)^2) + Ft!G$3*EXP(Ft!G$38*($A661-Ft!G$2)^2)</f>
        <v>256.31851223736862</v>
      </c>
      <c r="E661" s="27">
        <f>Ft!B$3*EXP(Ft!B$38*($A661-Ft!B$2)^2)</f>
        <v>28.406802273405855</v>
      </c>
      <c r="F661" s="27">
        <f>Ft!C$3*EXP(Ft!C$38*($A661-Ft!C$2)^2)</f>
        <v>52.707615099751621</v>
      </c>
      <c r="G661" s="27">
        <f>Ft!D$3*EXP(Ft!D$38*($A661-Ft!D$2)^2)</f>
        <v>1.5315379769806319E-15</v>
      </c>
      <c r="H661" s="27">
        <f>Ft!E$3*EXP(Ft!E$38*($A661-Ft!E$2)^2)</f>
        <v>108.75946480318169</v>
      </c>
      <c r="I661" s="27">
        <f>Ft!F$3*EXP(Ft!F$38*($A661-Ft!F$2)^2)</f>
        <v>51.566001738751808</v>
      </c>
      <c r="J661" s="27">
        <f>Ft!G$3*EXP(Ft!G$38*($A661-Ft!G$2)^2)</f>
        <v>14.878628322277594</v>
      </c>
    </row>
    <row r="662" spans="1:10">
      <c r="A662" s="20">
        <v>660</v>
      </c>
      <c r="B662" s="29">
        <v>0.3984439894373395</v>
      </c>
      <c r="C662" s="28">
        <f ca="1">OFFSET($B662,1*(ROWS(C$2:C662)-1),0)</f>
        <v>0</v>
      </c>
      <c r="D662" s="27">
        <f>Ft!B$3*EXP(Ft!B$38*($A662-Ft!B$2)^2) +Ft!C$3*EXP(Ft!C$38*($A662-Ft!C$2)^2) + Ft!D$3*EXP(Ft!D$38*($A662-Ft!D$2)^2)+Ft!E$3*EXP(Ft!E$38*($A662-Ft!E$2)^2) +Ft!F$3*EXP(Ft!F$38*($A662-Ft!F$2)^2) + Ft!G$3*EXP(Ft!G$38*($A662-Ft!G$2)^2)</f>
        <v>256.34335627632322</v>
      </c>
      <c r="E662" s="27">
        <f>Ft!B$3*EXP(Ft!B$38*($A662-Ft!B$2)^2)</f>
        <v>28.287596452877992</v>
      </c>
      <c r="F662" s="27">
        <f>Ft!C$3*EXP(Ft!C$38*($A662-Ft!C$2)^2)</f>
        <v>52.735874991885794</v>
      </c>
      <c r="G662" s="27">
        <f>Ft!D$3*EXP(Ft!D$38*($A662-Ft!D$2)^2)</f>
        <v>1.1231422356491408E-15</v>
      </c>
      <c r="H662" s="27">
        <f>Ft!E$3*EXP(Ft!E$38*($A662-Ft!E$2)^2)</f>
        <v>108.8546563523868</v>
      </c>
      <c r="I662" s="27">
        <f>Ft!F$3*EXP(Ft!F$38*($A662-Ft!F$2)^2)</f>
        <v>51.703455969211539</v>
      </c>
      <c r="J662" s="27">
        <f>Ft!G$3*EXP(Ft!G$38*($A662-Ft!G$2)^2)</f>
        <v>14.76177250996111</v>
      </c>
    </row>
    <row r="663" spans="1:10">
      <c r="A663" s="20">
        <v>661</v>
      </c>
      <c r="B663" s="29">
        <v>0.36236894567224454</v>
      </c>
      <c r="C663" s="28">
        <f ca="1">OFFSET($B663,1*(ROWS(C$2:C663)-1),0)</f>
        <v>0</v>
      </c>
      <c r="D663" s="27">
        <f>Ft!B$3*EXP(Ft!B$38*($A663-Ft!B$2)^2) +Ft!C$3*EXP(Ft!C$38*($A663-Ft!C$2)^2) + Ft!D$3*EXP(Ft!D$38*($A663-Ft!D$2)^2)+Ft!E$3*EXP(Ft!E$38*($A663-Ft!E$2)^2) +Ft!F$3*EXP(Ft!F$38*($A663-Ft!F$2)^2) + Ft!G$3*EXP(Ft!G$38*($A663-Ft!G$2)^2)</f>
        <v>256.36770222879721</v>
      </c>
      <c r="E663" s="27">
        <f>Ft!B$3*EXP(Ft!B$38*($A663-Ft!B$2)^2)</f>
        <v>28.168756452836828</v>
      </c>
      <c r="F663" s="27">
        <f>Ft!C$3*EXP(Ft!C$38*($A663-Ft!C$2)^2)</f>
        <v>52.764033483048898</v>
      </c>
      <c r="G663" s="27">
        <f>Ft!D$3*EXP(Ft!D$38*($A663-Ft!D$2)^2)</f>
        <v>8.2251299803390321E-16</v>
      </c>
      <c r="H663" s="27">
        <f>Ft!E$3*EXP(Ft!E$38*($A663-Ft!E$2)^2)</f>
        <v>108.94835196190454</v>
      </c>
      <c r="I663" s="27">
        <f>Ft!F$3*EXP(Ft!F$38*($A663-Ft!F$2)^2)</f>
        <v>51.841105904708655</v>
      </c>
      <c r="J663" s="27">
        <f>Ft!G$3*EXP(Ft!G$38*($A663-Ft!G$2)^2)</f>
        <v>14.645454426298274</v>
      </c>
    </row>
    <row r="664" spans="1:10">
      <c r="A664" s="20">
        <v>662</v>
      </c>
      <c r="B664" s="29">
        <v>0.32828284781126627</v>
      </c>
      <c r="C664" s="28">
        <f ca="1">OFFSET($B664,1*(ROWS(C$2:C664)-1),0)</f>
        <v>0</v>
      </c>
      <c r="D664" s="27">
        <f>Ft!B$3*EXP(Ft!B$38*($A664-Ft!B$2)^2) +Ft!C$3*EXP(Ft!C$38*($A664-Ft!C$2)^2) + Ft!D$3*EXP(Ft!D$38*($A664-Ft!D$2)^2)+Ft!E$3*EXP(Ft!E$38*($A664-Ft!E$2)^2) +Ft!F$3*EXP(Ft!F$38*($A664-Ft!F$2)^2) + Ft!G$3*EXP(Ft!G$38*($A664-Ft!G$2)^2)</f>
        <v>256.39154689523718</v>
      </c>
      <c r="E664" s="27">
        <f>Ft!B$3*EXP(Ft!B$38*($A664-Ft!B$2)^2)</f>
        <v>28.050281868170586</v>
      </c>
      <c r="F664" s="27">
        <f>Ft!C$3*EXP(Ft!C$38*($A664-Ft!C$2)^2)</f>
        <v>52.792090394663447</v>
      </c>
      <c r="G664" s="27">
        <f>Ft!D$3*EXP(Ft!D$38*($A664-Ft!D$2)^2)</f>
        <v>6.0152239658357607E-16</v>
      </c>
      <c r="H664" s="27">
        <f>Ft!E$3*EXP(Ft!E$38*($A664-Ft!E$2)^2)</f>
        <v>109.0405476266684</v>
      </c>
      <c r="I664" s="27">
        <f>Ft!F$3*EXP(Ft!F$38*($A664-Ft!F$2)^2)</f>
        <v>51.978951158608567</v>
      </c>
      <c r="J664" s="27">
        <f>Ft!G$3*EXP(Ft!G$38*($A664-Ft!G$2)^2)</f>
        <v>14.529675847126178</v>
      </c>
    </row>
    <row r="665" spans="1:10">
      <c r="A665" s="20">
        <v>663</v>
      </c>
      <c r="B665" s="29">
        <v>0.29925656398742717</v>
      </c>
      <c r="C665" s="28">
        <f ca="1">OFFSET($B665,1*(ROWS(C$2:C665)-1),0)</f>
        <v>0</v>
      </c>
      <c r="D665" s="27">
        <f>Ft!B$3*EXP(Ft!B$38*($A665-Ft!B$2)^2) +Ft!C$3*EXP(Ft!C$38*($A665-Ft!C$2)^2) + Ft!D$3*EXP(Ft!D$38*($A665-Ft!D$2)^2)+Ft!E$3*EXP(Ft!E$38*($A665-Ft!E$2)^2) +Ft!F$3*EXP(Ft!F$38*($A665-Ft!F$2)^2) + Ft!G$3*EXP(Ft!G$38*($A665-Ft!G$2)^2)</f>
        <v>256.41488707617708</v>
      </c>
      <c r="E665" s="27">
        <f>Ft!B$3*EXP(Ft!B$38*($A665-Ft!B$2)^2)</f>
        <v>27.932172290250463</v>
      </c>
      <c r="F665" s="27">
        <f>Ft!C$3*EXP(Ft!C$38*($A665-Ft!C$2)^2)</f>
        <v>52.820045548730135</v>
      </c>
      <c r="G665" s="27">
        <f>Ft!D$3*EXP(Ft!D$38*($A665-Ft!D$2)^2)</f>
        <v>4.3930066054492977E-16</v>
      </c>
      <c r="H665" s="27">
        <f>Ft!E$3*EXP(Ft!E$38*($A665-Ft!E$2)^2)</f>
        <v>109.13123940344761</v>
      </c>
      <c r="I665" s="27">
        <f>Ft!F$3*EXP(Ft!F$38*($A665-Ft!F$2)^2)</f>
        <v>52.11699134131603</v>
      </c>
      <c r="J665" s="27">
        <f>Ft!G$3*EXP(Ft!G$38*($A665-Ft!G$2)^2)</f>
        <v>14.414438492432829</v>
      </c>
    </row>
    <row r="666" spans="1:10">
      <c r="A666" s="20">
        <v>664</v>
      </c>
      <c r="B666" s="29">
        <v>0.28441712144260123</v>
      </c>
      <c r="C666" s="28">
        <f ca="1">OFFSET($B666,1*(ROWS(C$2:C666)-1),0)</f>
        <v>0</v>
      </c>
      <c r="D666" s="27">
        <f>Ft!B$3*EXP(Ft!B$38*($A666-Ft!B$2)^2) +Ft!C$3*EXP(Ft!C$38*($A666-Ft!C$2)^2) + Ft!D$3*EXP(Ft!D$38*($A666-Ft!D$2)^2)+Ft!E$3*EXP(Ft!E$38*($A666-Ft!E$2)^2) +Ft!F$3*EXP(Ft!F$38*($A666-Ft!F$2)^2) + Ft!G$3*EXP(Ft!G$38*($A666-Ft!G$2)^2)</f>
        <v>256.43771957280444</v>
      </c>
      <c r="E666" s="27">
        <f>Ft!B$3*EXP(Ft!B$38*($A666-Ft!B$2)^2)</f>
        <v>27.814427306953206</v>
      </c>
      <c r="F666" s="27">
        <f>Ft!C$3*EXP(Ft!C$38*($A666-Ft!C$2)^2)</f>
        <v>52.847898767829733</v>
      </c>
      <c r="G666" s="27">
        <f>Ft!D$3*EXP(Ft!D$38*($A666-Ft!D$2)^2)</f>
        <v>3.2038555874769808E-16</v>
      </c>
      <c r="H666" s="27">
        <f>Ft!E$3*EXP(Ft!E$38*($A666-Ft!E$2)^2)</f>
        <v>109.22042341112812</v>
      </c>
      <c r="I666" s="27">
        <f>Ft!F$3*EXP(Ft!F$38*($A666-Ft!F$2)^2)</f>
        <v>52.255226060272562</v>
      </c>
      <c r="J666" s="27">
        <f>Ft!G$3*EXP(Ft!G$38*($A666-Ft!G$2)^2)</f>
        <v>14.29974402662082</v>
      </c>
    </row>
    <row r="667" spans="1:10">
      <c r="A667" s="20">
        <v>665</v>
      </c>
      <c r="B667" s="29">
        <v>0.28617152582125982</v>
      </c>
      <c r="C667" s="28">
        <f ca="1">OFFSET($B667,1*(ROWS(C$2:C667)-1),0)</f>
        <v>0</v>
      </c>
      <c r="D667" s="27">
        <f>Ft!B$3*EXP(Ft!B$38*($A667-Ft!B$2)^2) +Ft!C$3*EXP(Ft!C$38*($A667-Ft!C$2)^2) + Ft!D$3*EXP(Ft!D$38*($A667-Ft!D$2)^2)+Ft!E$3*EXP(Ft!E$38*($A667-Ft!E$2)^2) +Ft!F$3*EXP(Ft!F$38*($A667-Ft!F$2)^2) + Ft!G$3*EXP(Ft!G$38*($A667-Ft!G$2)^2)</f>
        <v>256.46004118752774</v>
      </c>
      <c r="E667" s="27">
        <f>Ft!B$3*EXP(Ft!B$38*($A667-Ft!B$2)^2)</f>
        <v>27.697046502683634</v>
      </c>
      <c r="F667" s="27">
        <f>Ft!C$3*EXP(Ft!C$38*($A667-Ft!C$2)^2)</f>
        <v>52.875649875124914</v>
      </c>
      <c r="G667" s="27">
        <f>Ft!D$3*EXP(Ft!D$38*($A667-Ft!D$2)^2)</f>
        <v>2.3333776294797179E-16</v>
      </c>
      <c r="H667" s="27">
        <f>Ft!E$3*EXP(Ft!E$38*($A667-Ft!E$2)^2)</f>
        <v>109.30809583098946</v>
      </c>
      <c r="I667" s="27">
        <f>Ft!F$3*EXP(Ft!F$38*($A667-Ft!F$2)^2)</f>
        <v>52.393654919953605</v>
      </c>
      <c r="J667" s="27">
        <f>Ft!G$3*EXP(Ft!G$38*($A667-Ft!G$2)^2)</f>
        <v>14.185594058776134</v>
      </c>
    </row>
    <row r="668" spans="1:10">
      <c r="A668" s="20">
        <v>666</v>
      </c>
      <c r="B668" s="29">
        <v>0.26003628025463854</v>
      </c>
      <c r="C668" s="28">
        <f ca="1">OFFSET($B668,1*(ROWS(C$2:C668)-1),0)</f>
        <v>0</v>
      </c>
      <c r="D668" s="27">
        <f>Ft!B$3*EXP(Ft!B$38*($A668-Ft!B$2)^2) +Ft!C$3*EXP(Ft!C$38*($A668-Ft!C$2)^2) + Ft!D$3*EXP(Ft!D$38*($A668-Ft!D$2)^2)+Ft!E$3*EXP(Ft!E$38*($A668-Ft!E$2)^2) +Ft!F$3*EXP(Ft!F$38*($A668-Ft!F$2)^2) + Ft!G$3*EXP(Ft!G$38*($A668-Ft!G$2)^2)</f>
        <v>256.48184872454442</v>
      </c>
      <c r="E668" s="27">
        <f>Ft!B$3*EXP(Ft!B$38*($A668-Ft!B$2)^2)</f>
        <v>27.580029458397245</v>
      </c>
      <c r="F668" s="27">
        <f>Ft!C$3*EXP(Ft!C$38*($A668-Ft!C$2)^2)</f>
        <v>52.903298694362164</v>
      </c>
      <c r="G668" s="27">
        <f>Ft!D$3*EXP(Ft!D$38*($A668-Ft!D$2)^2)</f>
        <v>1.6970637207080525E-16</v>
      </c>
      <c r="H668" s="27">
        <f>Ft!E$3*EXP(Ft!E$38*($A668-Ft!E$2)^2)</f>
        <v>109.39425290697713</v>
      </c>
      <c r="I668" s="27">
        <f>Ft!F$3*EXP(Ft!F$38*($A668-Ft!F$2)^2)</f>
        <v>52.532277521865986</v>
      </c>
      <c r="J668" s="27">
        <f>Ft!G$3*EXP(Ft!G$38*($A668-Ft!G$2)^2)</f>
        <v>14.071990142941909</v>
      </c>
    </row>
    <row r="669" spans="1:10">
      <c r="A669" s="20">
        <v>667</v>
      </c>
      <c r="B669" s="29">
        <v>0.24079801664422007</v>
      </c>
      <c r="C669" s="28">
        <f ca="1">OFFSET($B669,1*(ROWS(C$2:C669)-1),0)</f>
        <v>0</v>
      </c>
      <c r="D669" s="27">
        <f>Ft!B$3*EXP(Ft!B$38*($A669-Ft!B$2)^2) +Ft!C$3*EXP(Ft!C$38*($A669-Ft!C$2)^2) + Ft!D$3*EXP(Ft!D$38*($A669-Ft!D$2)^2)+Ft!E$3*EXP(Ft!E$38*($A669-Ft!E$2)^2) +Ft!F$3*EXP(Ft!F$38*($A669-Ft!F$2)^2) + Ft!G$3*EXP(Ft!G$38*($A669-Ft!G$2)^2)</f>
        <v>256.5031389904097</v>
      </c>
      <c r="E669" s="27">
        <f>Ft!B$3*EXP(Ft!B$38*($A669-Ft!B$2)^2)</f>
        <v>27.463375751622731</v>
      </c>
      <c r="F669" s="27">
        <f>Ft!C$3*EXP(Ft!C$38*($A669-Ft!C$2)^2)</f>
        <v>52.930845049873625</v>
      </c>
      <c r="G669" s="27">
        <f>Ft!D$3*EXP(Ft!D$38*($A669-Ft!D$2)^2)</f>
        <v>1.2325719796240713E-16</v>
      </c>
      <c r="H669" s="27">
        <f>Ft!E$3*EXP(Ft!E$38*($A669-Ft!E$2)^2)</f>
        <v>109.47889094597087</v>
      </c>
      <c r="I669" s="27">
        <f>Ft!F$3*EXP(Ft!F$38*($A669-Ft!F$2)^2)</f>
        <v>52.671093464545258</v>
      </c>
      <c r="J669" s="27">
        <f>Ft!G$3*EXP(Ft!G$38*($A669-Ft!G$2)^2)</f>
        <v>13.95893377839719</v>
      </c>
    </row>
    <row r="670" spans="1:10">
      <c r="A670" s="20">
        <v>668</v>
      </c>
      <c r="B670" s="29">
        <v>0.24947691697451546</v>
      </c>
      <c r="C670" s="28">
        <f ca="1">OFFSET($B670,1*(ROWS(C$2:C670)-1),0)</f>
        <v>0</v>
      </c>
      <c r="D670" s="27">
        <f>Ft!B$3*EXP(Ft!B$38*($A670-Ft!B$2)^2) +Ft!C$3*EXP(Ft!C$38*($A670-Ft!C$2)^2) + Ft!D$3*EXP(Ft!D$38*($A670-Ft!D$2)^2)+Ft!E$3*EXP(Ft!E$38*($A670-Ft!E$2)^2) +Ft!F$3*EXP(Ft!F$38*($A670-Ft!F$2)^2) + Ft!G$3*EXP(Ft!G$38*($A670-Ft!G$2)^2)</f>
        <v>256.52390879460552</v>
      </c>
      <c r="E670" s="27">
        <f>Ft!B$3*EXP(Ft!B$38*($A670-Ft!B$2)^2)</f>
        <v>27.347084956484483</v>
      </c>
      <c r="F670" s="27">
        <f>Ft!C$3*EXP(Ft!C$38*($A670-Ft!C$2)^2)</f>
        <v>52.958288766578974</v>
      </c>
      <c r="G670" s="27">
        <f>Ft!D$3*EXP(Ft!D$38*($A670-Ft!D$2)^2)</f>
        <v>8.9397928087908906E-17</v>
      </c>
      <c r="H670" s="27">
        <f>Ft!E$3*EXP(Ft!E$38*($A670-Ft!E$2)^2)</f>
        <v>109.56200631804843</v>
      </c>
      <c r="I670" s="27">
        <f>Ft!F$3*EXP(Ft!F$38*($A670-Ft!F$2)^2)</f>
        <v>52.810102343553154</v>
      </c>
      <c r="J670" s="27">
        <f>Ft!G$3*EXP(Ft!G$38*($A670-Ft!G$2)^2)</f>
        <v>13.846426409940479</v>
      </c>
    </row>
    <row r="671" spans="1:10">
      <c r="A671" s="20">
        <v>669</v>
      </c>
      <c r="B671" s="29">
        <v>0.26454134276579566</v>
      </c>
      <c r="C671" s="28">
        <f ca="1">OFFSET($B671,1*(ROWS(C$2:C671)-1),0)</f>
        <v>0</v>
      </c>
      <c r="D671" s="27">
        <f>Ft!B$3*EXP(Ft!B$38*($A671-Ft!B$2)^2) +Ft!C$3*EXP(Ft!C$38*($A671-Ft!C$2)^2) + Ft!D$3*EXP(Ft!D$38*($A671-Ft!D$2)^2)+Ft!E$3*EXP(Ft!E$38*($A671-Ft!E$2)^2) +Ft!F$3*EXP(Ft!F$38*($A671-Ft!F$2)^2) + Ft!G$3*EXP(Ft!G$38*($A671-Ft!G$2)^2)</f>
        <v>256.54415495011045</v>
      </c>
      <c r="E671" s="27">
        <f>Ft!B$3*EXP(Ft!B$38*($A671-Ft!B$2)^2)</f>
        <v>27.231156643725114</v>
      </c>
      <c r="F671" s="27">
        <f>Ft!C$3*EXP(Ft!C$38*($A671-Ft!C$2)^2)</f>
        <v>52.985629669987262</v>
      </c>
      <c r="G671" s="27">
        <f>Ft!D$3*EXP(Ft!D$38*($A671-Ft!D$2)^2)</f>
        <v>6.4750576333491238E-17</v>
      </c>
      <c r="H671" s="27">
        <f>Ft!E$3*EXP(Ft!E$38*($A671-Ft!E$2)^2)</f>
        <v>109.64359545674499</v>
      </c>
      <c r="I671" s="27">
        <f>Ft!F$3*EXP(Ft!F$38*($A671-Ft!F$2)^2)</f>
        <v>52.949303751475</v>
      </c>
      <c r="J671" s="27">
        <f>Ft!G$3*EXP(Ft!G$38*($A671-Ft!G$2)^2)</f>
        <v>13.734469428178089</v>
      </c>
    </row>
    <row r="672" spans="1:10">
      <c r="A672" s="20">
        <v>670</v>
      </c>
      <c r="B672" s="29">
        <v>0.25037827357076026</v>
      </c>
      <c r="C672" s="28">
        <f ca="1">OFFSET($B672,1*(ROWS(C$2:C672)-1),0)</f>
        <v>0</v>
      </c>
      <c r="D672" s="27">
        <f>Ft!B$3*EXP(Ft!B$38*($A672-Ft!B$2)^2) +Ft!C$3*EXP(Ft!C$38*($A672-Ft!C$2)^2) + Ft!D$3*EXP(Ft!D$38*($A672-Ft!D$2)^2)+Ft!E$3*EXP(Ft!E$38*($A672-Ft!E$2)^2) +Ft!F$3*EXP(Ft!F$38*($A672-Ft!F$2)^2) + Ft!G$3*EXP(Ft!G$38*($A672-Ft!G$2)^2)</f>
        <v>256.56387427396953</v>
      </c>
      <c r="E672" s="27">
        <f>Ft!B$3*EXP(Ft!B$38*($A672-Ft!B$2)^2)</f>
        <v>27.115590380727976</v>
      </c>
      <c r="F672" s="27">
        <f>Ft!C$3*EXP(Ft!C$38*($A672-Ft!C$2)^2)</f>
        <v>53.012867586198745</v>
      </c>
      <c r="G672" s="27">
        <f>Ft!D$3*EXP(Ft!D$38*($A672-Ft!D$2)^2)</f>
        <v>4.6833956140175017E-17</v>
      </c>
      <c r="H672" s="27">
        <f>Ft!E$3*EXP(Ft!E$38*($A672-Ft!E$2)^2)</f>
        <v>109.7236548593083</v>
      </c>
      <c r="I672" s="27">
        <f>Ft!F$3*EXP(Ft!F$38*($A672-Ft!F$2)^2)</f>
        <v>53.088697277917362</v>
      </c>
      <c r="J672" s="27">
        <f>Ft!G$3*EXP(Ft!G$38*($A672-Ft!G$2)^2)</f>
        <v>13.623064169817166</v>
      </c>
    </row>
    <row r="673" spans="1:10">
      <c r="A673" s="20">
        <v>671</v>
      </c>
      <c r="B673" s="29">
        <v>0.23455165235830577</v>
      </c>
      <c r="C673" s="28">
        <f ca="1">OFFSET($B673,1*(ROWS(C$2:C673)-1),0)</f>
        <v>0</v>
      </c>
      <c r="D673" s="27">
        <f>Ft!B$3*EXP(Ft!B$38*($A673-Ft!B$2)^2) +Ft!C$3*EXP(Ft!C$38*($A673-Ft!C$2)^2) + Ft!D$3*EXP(Ft!D$38*($A673-Ft!D$2)^2)+Ft!E$3*EXP(Ft!E$38*($A673-Ft!E$2)^2) +Ft!F$3*EXP(Ft!F$38*($A673-Ft!F$2)^2) + Ft!G$3*EXP(Ft!G$38*($A673-Ft!G$2)^2)</f>
        <v>256.58306358786422</v>
      </c>
      <c r="E673" s="27">
        <f>Ft!B$3*EXP(Ft!B$38*($A673-Ft!B$2)^2)</f>
        <v>27.000385731539616</v>
      </c>
      <c r="F673" s="27">
        <f>Ft!C$3*EXP(Ft!C$38*($A673-Ft!C$2)^2)</f>
        <v>53.040002341906778</v>
      </c>
      <c r="G673" s="27">
        <f>Ft!D$3*EXP(Ft!D$38*($A673-Ft!D$2)^2)</f>
        <v>3.382821430316743E-17</v>
      </c>
      <c r="H673" s="27">
        <f>Ft!E$3*EXP(Ft!E$38*($A673-Ft!E$2)^2)</f>
        <v>109.8021810869491</v>
      </c>
      <c r="I673" s="27">
        <f>Ft!F$3*EXP(Ft!F$38*($A673-Ft!F$2)^2)</f>
        <v>53.228282509505462</v>
      </c>
      <c r="J673" s="27">
        <f>Ft!G$3*EXP(Ft!G$38*($A673-Ft!G$2)^2)</f>
        <v>13.512211917963286</v>
      </c>
    </row>
    <row r="674" spans="1:10">
      <c r="A674" s="20">
        <v>672</v>
      </c>
      <c r="B674" s="29">
        <v>0.22501574242667743</v>
      </c>
      <c r="C674" s="28">
        <f ca="1">OFFSET($B674,1*(ROWS(C$2:C674)-1),0)</f>
        <v>0</v>
      </c>
      <c r="D674" s="27">
        <f>Ft!B$3*EXP(Ft!B$38*($A674-Ft!B$2)^2) +Ft!C$3*EXP(Ft!C$38*($A674-Ft!C$2)^2) + Ft!D$3*EXP(Ft!D$38*($A674-Ft!D$2)^2)+Ft!E$3*EXP(Ft!E$38*($A674-Ft!E$2)^2) +Ft!F$3*EXP(Ft!F$38*($A674-Ft!F$2)^2) + Ft!G$3*EXP(Ft!G$38*($A674-Ft!G$2)^2)</f>
        <v>256.60171971868283</v>
      </c>
      <c r="E674" s="27">
        <f>Ft!B$3*EXP(Ft!B$38*($A674-Ft!B$2)^2)</f>
        <v>26.885542256892233</v>
      </c>
      <c r="F674" s="27">
        <f>Ft!C$3*EXP(Ft!C$38*($A674-Ft!C$2)^2)</f>
        <v>53.067033764399589</v>
      </c>
      <c r="G674" s="27">
        <f>Ft!D$3*EXP(Ft!D$38*($A674-Ft!D$2)^2)</f>
        <v>2.4400477389185575E-17</v>
      </c>
      <c r="H674" s="27">
        <f>Ft!E$3*EXP(Ft!E$38*($A674-Ft!E$2)^2)</f>
        <v>109.87917076508755</v>
      </c>
      <c r="I674" s="27">
        <f>Ft!F$3*EXP(Ft!F$38*($A674-Ft!F$2)^2)</f>
        <v>53.368059029880854</v>
      </c>
      <c r="J674" s="27">
        <f>Ft!G$3*EXP(Ft!G$38*($A674-Ft!G$2)^2)</f>
        <v>13.401913902422629</v>
      </c>
    </row>
    <row r="675" spans="1:10">
      <c r="A675" s="20">
        <v>673</v>
      </c>
      <c r="B675" s="29">
        <v>0.20981136314281912</v>
      </c>
      <c r="C675" s="28">
        <f ca="1">OFFSET($B675,1*(ROWS(C$2:C675)-1),0)</f>
        <v>0</v>
      </c>
      <c r="D675" s="27">
        <f>Ft!B$3*EXP(Ft!B$38*($A675-Ft!B$2)^2) +Ft!C$3*EXP(Ft!C$38*($A675-Ft!C$2)^2) + Ft!D$3*EXP(Ft!D$38*($A675-Ft!D$2)^2)+Ft!E$3*EXP(Ft!E$38*($A675-Ft!E$2)^2) +Ft!F$3*EXP(Ft!F$38*($A675-Ft!F$2)^2) + Ft!G$3*EXP(Ft!G$38*($A675-Ft!G$2)^2)</f>
        <v>256.61983949909057</v>
      </c>
      <c r="E675" s="27">
        <f>Ft!B$3*EXP(Ft!B$38*($A675-Ft!B$2)^2)</f>
        <v>26.771059514226163</v>
      </c>
      <c r="F675" s="27">
        <f>Ft!C$3*EXP(Ft!C$38*($A675-Ft!C$2)^2)</f>
        <v>53.093961681562156</v>
      </c>
      <c r="G675" s="27">
        <f>Ft!D$3*EXP(Ft!D$38*($A675-Ft!D$2)^2)</f>
        <v>1.7575941367787038E-17</v>
      </c>
      <c r="H675" s="27">
        <f>Ft!E$3*EXP(Ft!E$38*($A675-Ft!E$2)^2)</f>
        <v>109.95462058359466</v>
      </c>
      <c r="I675" s="27">
        <f>Ft!F$3*EXP(Ft!F$38*($A675-Ft!F$2)^2)</f>
        <v>53.508026419699085</v>
      </c>
      <c r="J675" s="27">
        <f>Ft!G$3*EXP(Ft!G$38*($A675-Ft!G$2)^2)</f>
        <v>13.292171300008519</v>
      </c>
    </row>
    <row r="676" spans="1:10">
      <c r="A676" s="20">
        <v>674</v>
      </c>
      <c r="B676" s="29">
        <v>0.21234658109906945</v>
      </c>
      <c r="C676" s="28">
        <f ca="1">OFFSET($B676,1*(ROWS(C$2:C676)-1),0)</f>
        <v>0</v>
      </c>
      <c r="D676" s="27">
        <f>Ft!B$3*EXP(Ft!B$38*($A676-Ft!B$2)^2) +Ft!C$3*EXP(Ft!C$38*($A676-Ft!C$2)^2) + Ft!D$3*EXP(Ft!D$38*($A676-Ft!D$2)^2)+Ft!E$3*EXP(Ft!E$38*($A676-Ft!E$2)^2) +Ft!F$3*EXP(Ft!F$38*($A676-Ft!F$2)^2) + Ft!G$3*EXP(Ft!G$38*($A676-Ft!G$2)^2)</f>
        <v>256.63741976809956</v>
      </c>
      <c r="E676" s="27">
        <f>Ft!B$3*EXP(Ft!B$38*($A676-Ft!B$2)^2)</f>
        <v>26.656937057712277</v>
      </c>
      <c r="F676" s="27">
        <f>Ft!C$3*EXP(Ft!C$38*($A676-Ft!C$2)^2)</f>
        <v>53.12078592187801</v>
      </c>
      <c r="G676" s="27">
        <f>Ft!D$3*EXP(Ft!D$38*($A676-Ft!D$2)^2)</f>
        <v>1.2642701633697667E-17</v>
      </c>
      <c r="H676" s="27">
        <f>Ft!E$3*EXP(Ft!E$38*($A676-Ft!E$2)^2)</f>
        <v>110.02852729702961</v>
      </c>
      <c r="I676" s="27">
        <f>Ft!F$3*EXP(Ft!F$38*($A676-Ft!F$2)^2)</f>
        <v>53.648184256627331</v>
      </c>
      <c r="J676" s="27">
        <f>Ft!G$3*EXP(Ft!G$38*($A676-Ft!G$2)^2)</f>
        <v>13.182985234852348</v>
      </c>
    </row>
    <row r="677" spans="1:10">
      <c r="A677" s="20">
        <v>675</v>
      </c>
      <c r="B677" s="29">
        <v>0.2046228575224518</v>
      </c>
      <c r="C677" s="28">
        <f ca="1">OFFSET($B677,1*(ROWS(C$2:C677)-1),0)</f>
        <v>0</v>
      </c>
      <c r="D677" s="27">
        <f>Ft!B$3*EXP(Ft!B$38*($A677-Ft!B$2)^2) +Ft!C$3*EXP(Ft!C$38*($A677-Ft!C$2)^2) + Ft!D$3*EXP(Ft!D$38*($A677-Ft!D$2)^2)+Ft!E$3*EXP(Ft!E$38*($A677-Ft!E$2)^2) +Ft!F$3*EXP(Ft!F$38*($A677-Ft!F$2)^2) + Ft!G$3*EXP(Ft!G$38*($A677-Ft!G$2)^2)</f>
        <v>256.65445737163884</v>
      </c>
      <c r="E677" s="27">
        <f>Ft!B$3*EXP(Ft!B$38*($A677-Ft!B$2)^2)</f>
        <v>26.543174438274384</v>
      </c>
      <c r="F677" s="27">
        <f>Ft!C$3*EXP(Ft!C$38*($A677-Ft!C$2)^2)</f>
        <v>53.147506314431055</v>
      </c>
      <c r="G677" s="27">
        <f>Ft!D$3*EXP(Ft!D$38*($A677-Ft!D$2)^2)</f>
        <v>9.0815965436251363E-18</v>
      </c>
      <c r="H677" s="27">
        <f>Ft!E$3*EXP(Ft!E$38*($A677-Ft!E$2)^2)</f>
        <v>110.10088772487242</v>
      </c>
      <c r="I677" s="27">
        <f>Ft!F$3*EXP(Ft!F$38*($A677-Ft!F$2)^2)</f>
        <v>53.788532115342214</v>
      </c>
      <c r="J677" s="27">
        <f>Ft!G$3*EXP(Ft!G$38*($A677-Ft!G$2)^2)</f>
        <v>13.074356778718769</v>
      </c>
    </row>
    <row r="678" spans="1:10">
      <c r="A678" s="20"/>
      <c r="B678" s="29"/>
      <c r="C678" s="28"/>
      <c r="D678" s="27"/>
      <c r="E678" s="27"/>
      <c r="F678" s="27"/>
      <c r="G678" s="27"/>
      <c r="H678" s="27"/>
      <c r="I678" s="27"/>
    </row>
    <row r="679" spans="1:10">
      <c r="A679" s="22"/>
      <c r="B679" s="22"/>
      <c r="D679" s="27"/>
      <c r="E679" s="27"/>
      <c r="F679" s="27"/>
      <c r="G679" s="27"/>
      <c r="H679" s="27"/>
      <c r="I679" s="27"/>
    </row>
    <row r="680" spans="1:10">
      <c r="A680" s="22"/>
      <c r="B680" s="22"/>
      <c r="D680" s="27"/>
      <c r="E680" s="27"/>
      <c r="F680" s="27"/>
      <c r="G680" s="27"/>
      <c r="H680" s="27"/>
      <c r="I680" s="27"/>
    </row>
    <row r="681" spans="1:10">
      <c r="A681" s="22"/>
      <c r="B681" s="22"/>
      <c r="D681" s="27"/>
      <c r="E681" s="27"/>
      <c r="F681" s="27"/>
      <c r="G681" s="27"/>
      <c r="H681" s="27"/>
      <c r="I681" s="27"/>
    </row>
    <row r="682" spans="1:10">
      <c r="A682" s="22"/>
      <c r="B682" s="22"/>
      <c r="D682" s="27"/>
      <c r="E682" s="27"/>
      <c r="F682" s="27"/>
      <c r="G682" s="27"/>
      <c r="H682" s="27"/>
      <c r="I682" s="27"/>
    </row>
    <row r="683" spans="1:10">
      <c r="A683" s="22"/>
      <c r="B683" s="22"/>
      <c r="D683" s="27"/>
      <c r="E683" s="27"/>
      <c r="F683" s="27"/>
      <c r="G683" s="27"/>
      <c r="H683" s="27"/>
      <c r="I683" s="27"/>
    </row>
    <row r="684" spans="1:10">
      <c r="A684" s="22"/>
      <c r="B684" s="22"/>
      <c r="D684" s="27"/>
      <c r="E684" s="27"/>
      <c r="F684" s="27"/>
      <c r="G684" s="27"/>
      <c r="H684" s="27"/>
      <c r="I684" s="27"/>
    </row>
    <row r="685" spans="1:10">
      <c r="A685" s="22"/>
      <c r="B685" s="22"/>
      <c r="D685" s="27"/>
      <c r="E685" s="27"/>
      <c r="F685" s="27"/>
      <c r="G685" s="27"/>
      <c r="H685" s="27"/>
      <c r="I685" s="27"/>
    </row>
    <row r="686" spans="1:10">
      <c r="A686" s="22"/>
      <c r="B686" s="22"/>
      <c r="D686" s="27"/>
      <c r="E686" s="27"/>
      <c r="F686" s="27"/>
      <c r="G686" s="27"/>
      <c r="H686" s="27"/>
      <c r="I686" s="27"/>
    </row>
    <row r="687" spans="1:10">
      <c r="A687" s="22"/>
      <c r="B687" s="22"/>
      <c r="D687" s="27"/>
      <c r="E687" s="27"/>
      <c r="F687" s="27"/>
      <c r="G687" s="27"/>
      <c r="H687" s="27"/>
      <c r="I687" s="27"/>
    </row>
    <row r="688" spans="1:10">
      <c r="A688" s="22"/>
      <c r="B688" s="22"/>
      <c r="D688" s="27"/>
      <c r="E688" s="27"/>
      <c r="F688" s="27"/>
      <c r="G688" s="27"/>
      <c r="H688" s="27"/>
      <c r="I688" s="27"/>
    </row>
    <row r="689" spans="1:9">
      <c r="A689" s="22"/>
      <c r="B689" s="22"/>
      <c r="D689" s="27"/>
      <c r="E689" s="27"/>
      <c r="F689" s="27"/>
      <c r="G689" s="27"/>
      <c r="H689" s="27"/>
      <c r="I689" s="27"/>
    </row>
    <row r="690" spans="1:9">
      <c r="A690" s="22"/>
      <c r="B690" s="22"/>
      <c r="D690" s="27"/>
      <c r="E690" s="27"/>
      <c r="F690" s="27"/>
      <c r="G690" s="27"/>
      <c r="H690" s="27"/>
      <c r="I690" s="27"/>
    </row>
    <row r="691" spans="1:9">
      <c r="A691" s="22"/>
      <c r="B691" s="22"/>
      <c r="D691" s="27"/>
      <c r="E691" s="27"/>
      <c r="F691" s="27"/>
      <c r="G691" s="27"/>
      <c r="H691" s="27"/>
      <c r="I691" s="27"/>
    </row>
    <row r="692" spans="1:9">
      <c r="A692" s="22"/>
      <c r="B692" s="22"/>
      <c r="D692" s="27"/>
      <c r="E692" s="27"/>
      <c r="F692" s="27"/>
      <c r="G692" s="27"/>
      <c r="H692" s="27"/>
      <c r="I692" s="27"/>
    </row>
    <row r="693" spans="1:9">
      <c r="A693" s="22"/>
      <c r="B693" s="22"/>
      <c r="D693" s="27"/>
      <c r="E693" s="27"/>
      <c r="F693" s="27"/>
      <c r="G693" s="27"/>
      <c r="H693" s="27"/>
      <c r="I693" s="27"/>
    </row>
    <row r="694" spans="1:9">
      <c r="A694" s="22"/>
      <c r="B694" s="22"/>
      <c r="D694" s="27"/>
      <c r="E694" s="27"/>
      <c r="F694" s="27"/>
      <c r="G694" s="27"/>
      <c r="H694" s="27"/>
      <c r="I694" s="27"/>
    </row>
    <row r="695" spans="1:9">
      <c r="A695" s="22"/>
      <c r="B695" s="22"/>
      <c r="D695" s="27"/>
      <c r="E695" s="27"/>
      <c r="F695" s="27"/>
      <c r="G695" s="27"/>
      <c r="H695" s="27"/>
      <c r="I695" s="27"/>
    </row>
    <row r="696" spans="1:9">
      <c r="A696" s="22"/>
      <c r="B696" s="22"/>
      <c r="D696" s="27"/>
      <c r="E696" s="27"/>
      <c r="F696" s="27"/>
      <c r="G696" s="27"/>
      <c r="H696" s="27"/>
      <c r="I696" s="27"/>
    </row>
    <row r="697" spans="1:9">
      <c r="A697" s="22"/>
      <c r="B697" s="22"/>
      <c r="D697" s="27"/>
      <c r="E697" s="27"/>
      <c r="F697" s="27"/>
      <c r="G697" s="27"/>
      <c r="H697" s="27"/>
      <c r="I697" s="27"/>
    </row>
    <row r="698" spans="1:9">
      <c r="A698" s="22"/>
      <c r="B698" s="22"/>
      <c r="D698" s="27"/>
      <c r="E698" s="27"/>
      <c r="F698" s="27"/>
      <c r="G698" s="27"/>
      <c r="H698" s="27"/>
      <c r="I698" s="27"/>
    </row>
    <row r="699" spans="1:9">
      <c r="A699" s="22"/>
      <c r="B699" s="22"/>
      <c r="D699" s="27"/>
      <c r="E699" s="27"/>
      <c r="F699" s="27"/>
      <c r="G699" s="27"/>
      <c r="H699" s="27"/>
      <c r="I699" s="27"/>
    </row>
    <row r="700" spans="1:9">
      <c r="A700" s="22"/>
      <c r="B700" s="22"/>
      <c r="D700" s="27"/>
      <c r="E700" s="27"/>
      <c r="F700" s="27"/>
      <c r="G700" s="27"/>
      <c r="H700" s="27"/>
      <c r="I700" s="27"/>
    </row>
    <row r="701" spans="1:9">
      <c r="A701" s="22"/>
      <c r="B701" s="22"/>
      <c r="D701" s="27"/>
      <c r="E701" s="27"/>
      <c r="F701" s="27"/>
      <c r="G701" s="27"/>
      <c r="H701" s="27"/>
      <c r="I701" s="27"/>
    </row>
    <row r="702" spans="1:9">
      <c r="A702" s="22"/>
      <c r="B702" s="22"/>
      <c r="D702" s="27"/>
      <c r="E702" s="27"/>
      <c r="F702" s="27"/>
      <c r="G702" s="27"/>
      <c r="H702" s="27"/>
      <c r="I702" s="27"/>
    </row>
    <row r="703" spans="1:9">
      <c r="A703" s="22"/>
      <c r="B703" s="22"/>
      <c r="D703" s="27"/>
      <c r="E703" s="27"/>
      <c r="F703" s="27"/>
      <c r="G703" s="27"/>
      <c r="H703" s="27"/>
      <c r="I703" s="27"/>
    </row>
    <row r="704" spans="1:9">
      <c r="A704" s="22"/>
      <c r="B704" s="22"/>
      <c r="D704" s="27"/>
      <c r="E704" s="27"/>
      <c r="F704" s="27"/>
      <c r="G704" s="27"/>
      <c r="H704" s="27"/>
      <c r="I704" s="27"/>
    </row>
    <row r="705" spans="1:9">
      <c r="A705" s="22"/>
      <c r="B705" s="22"/>
      <c r="D705" s="27"/>
      <c r="E705" s="27"/>
      <c r="F705" s="27"/>
      <c r="G705" s="27"/>
      <c r="H705" s="27"/>
      <c r="I705" s="27"/>
    </row>
    <row r="706" spans="1:9">
      <c r="A706" s="22"/>
      <c r="B706" s="22"/>
      <c r="D706" s="27"/>
      <c r="E706" s="27"/>
      <c r="F706" s="27"/>
      <c r="G706" s="27"/>
      <c r="H706" s="27"/>
      <c r="I706" s="27"/>
    </row>
    <row r="707" spans="1:9">
      <c r="A707" s="22"/>
      <c r="B707" s="22"/>
      <c r="D707" s="27"/>
      <c r="E707" s="27"/>
      <c r="F707" s="27"/>
      <c r="G707" s="27"/>
      <c r="H707" s="27"/>
      <c r="I707" s="27"/>
    </row>
    <row r="708" spans="1:9">
      <c r="A708" s="22"/>
      <c r="B708" s="22"/>
      <c r="D708" s="27"/>
      <c r="E708" s="27"/>
      <c r="F708" s="27"/>
      <c r="G708" s="27"/>
      <c r="H708" s="27"/>
      <c r="I708" s="27"/>
    </row>
    <row r="709" spans="1:9">
      <c r="A709" s="22"/>
      <c r="B709" s="22"/>
      <c r="D709" s="27"/>
      <c r="E709" s="27"/>
      <c r="F709" s="27"/>
      <c r="G709" s="27"/>
      <c r="H709" s="27"/>
      <c r="I709" s="27"/>
    </row>
    <row r="710" spans="1:9">
      <c r="A710" s="22"/>
      <c r="B710" s="22"/>
      <c r="D710" s="27"/>
      <c r="E710" s="27"/>
      <c r="F710" s="27"/>
      <c r="G710" s="27"/>
      <c r="H710" s="27"/>
      <c r="I710" s="27"/>
    </row>
    <row r="711" spans="1:9">
      <c r="A711" s="22"/>
      <c r="B711" s="22"/>
      <c r="D711" s="27"/>
      <c r="E711" s="27"/>
      <c r="F711" s="27"/>
      <c r="G711" s="27"/>
      <c r="H711" s="27"/>
      <c r="I711" s="27"/>
    </row>
    <row r="712" spans="1:9">
      <c r="A712" s="22"/>
      <c r="B712" s="22"/>
      <c r="D712" s="27"/>
      <c r="E712" s="27"/>
      <c r="F712" s="27"/>
      <c r="G712" s="27"/>
      <c r="H712" s="27"/>
      <c r="I712" s="27"/>
    </row>
    <row r="713" spans="1:9">
      <c r="A713" s="22"/>
      <c r="B713" s="22"/>
      <c r="D713" s="27"/>
      <c r="E713" s="27"/>
      <c r="F713" s="27"/>
      <c r="G713" s="27"/>
      <c r="H713" s="27"/>
      <c r="I713" s="27"/>
    </row>
    <row r="714" spans="1:9">
      <c r="A714" s="22"/>
      <c r="B714" s="22"/>
      <c r="D714" s="27"/>
      <c r="E714" s="27"/>
      <c r="F714" s="27"/>
      <c r="G714" s="27"/>
      <c r="H714" s="27"/>
      <c r="I714" s="27"/>
    </row>
    <row r="715" spans="1:9">
      <c r="A715" s="22"/>
      <c r="B715" s="22"/>
      <c r="D715" s="27"/>
      <c r="E715" s="27"/>
      <c r="F715" s="27"/>
      <c r="G715" s="27"/>
      <c r="H715" s="27"/>
      <c r="I715" s="27"/>
    </row>
    <row r="716" spans="1:9">
      <c r="A716" s="22"/>
      <c r="B716" s="22"/>
      <c r="D716" s="27"/>
      <c r="E716" s="27"/>
      <c r="F716" s="27"/>
      <c r="G716" s="27"/>
      <c r="H716" s="27"/>
      <c r="I716" s="27"/>
    </row>
    <row r="717" spans="1:9">
      <c r="A717" s="22"/>
      <c r="B717" s="22"/>
      <c r="D717" s="27"/>
      <c r="E717" s="27"/>
      <c r="F717" s="27"/>
      <c r="G717" s="27"/>
      <c r="H717" s="27"/>
      <c r="I717" s="27"/>
    </row>
    <row r="718" spans="1:9">
      <c r="A718" s="22"/>
      <c r="B718" s="22"/>
      <c r="D718" s="27"/>
      <c r="E718" s="27"/>
      <c r="F718" s="27"/>
      <c r="G718" s="27"/>
      <c r="H718" s="27"/>
      <c r="I718" s="27"/>
    </row>
    <row r="719" spans="1:9">
      <c r="A719" s="22"/>
      <c r="B719" s="22"/>
      <c r="D719" s="27"/>
      <c r="E719" s="27"/>
      <c r="F719" s="27"/>
      <c r="G719" s="27"/>
      <c r="H719" s="27"/>
      <c r="I719" s="27"/>
    </row>
    <row r="720" spans="1:9">
      <c r="A720" s="22"/>
      <c r="B720" s="22"/>
      <c r="D720" s="27"/>
      <c r="E720" s="27"/>
      <c r="F720" s="27"/>
      <c r="G720" s="27"/>
      <c r="H720" s="27"/>
      <c r="I720" s="27"/>
    </row>
    <row r="721" spans="1:9">
      <c r="A721" s="22"/>
      <c r="B721" s="22"/>
      <c r="D721" s="27"/>
      <c r="E721" s="27"/>
      <c r="F721" s="27"/>
      <c r="G721" s="27"/>
      <c r="H721" s="27"/>
      <c r="I721" s="27"/>
    </row>
    <row r="722" spans="1:9">
      <c r="A722" s="22"/>
      <c r="B722" s="22"/>
      <c r="D722" s="27"/>
      <c r="E722" s="27"/>
      <c r="F722" s="27"/>
      <c r="G722" s="27"/>
      <c r="H722" s="27"/>
      <c r="I722" s="27"/>
    </row>
    <row r="723" spans="1:9">
      <c r="A723" s="22"/>
      <c r="B723" s="22"/>
      <c r="D723" s="27"/>
      <c r="E723" s="27"/>
      <c r="F723" s="27"/>
      <c r="G723" s="27"/>
      <c r="H723" s="27"/>
      <c r="I723" s="27"/>
    </row>
    <row r="724" spans="1:9">
      <c r="A724" s="22"/>
      <c r="B724" s="22"/>
      <c r="D724" s="27"/>
      <c r="E724" s="27"/>
      <c r="F724" s="27"/>
      <c r="G724" s="27"/>
      <c r="H724" s="27"/>
      <c r="I724" s="27"/>
    </row>
    <row r="725" spans="1:9">
      <c r="A725" s="22"/>
      <c r="B725" s="22"/>
      <c r="D725" s="27"/>
      <c r="E725" s="27"/>
      <c r="F725" s="27"/>
      <c r="G725" s="27"/>
      <c r="H725" s="27"/>
      <c r="I725" s="27"/>
    </row>
    <row r="726" spans="1:9">
      <c r="A726" s="22"/>
      <c r="B726" s="22"/>
      <c r="D726" s="27"/>
      <c r="E726" s="27"/>
      <c r="F726" s="27"/>
      <c r="G726" s="27"/>
      <c r="H726" s="27"/>
      <c r="I726" s="27"/>
    </row>
    <row r="727" spans="1:9">
      <c r="A727" s="22"/>
      <c r="B727" s="22"/>
      <c r="D727" s="27"/>
      <c r="E727" s="27"/>
      <c r="F727" s="27"/>
      <c r="G727" s="27"/>
      <c r="H727" s="27"/>
      <c r="I727" s="27"/>
    </row>
    <row r="728" spans="1:9">
      <c r="A728" s="22"/>
      <c r="B728" s="22"/>
      <c r="D728" s="27"/>
      <c r="E728" s="27"/>
      <c r="F728" s="27"/>
      <c r="G728" s="27"/>
      <c r="H728" s="27"/>
      <c r="I728" s="27"/>
    </row>
    <row r="729" spans="1:9">
      <c r="A729" s="22"/>
      <c r="B729" s="22"/>
      <c r="D729" s="27"/>
      <c r="E729" s="27"/>
      <c r="F729" s="27"/>
      <c r="G729" s="27"/>
      <c r="H729" s="27"/>
      <c r="I729" s="27"/>
    </row>
    <row r="730" spans="1:9">
      <c r="A730" s="22"/>
      <c r="B730" s="22"/>
      <c r="D730" s="27"/>
      <c r="E730" s="27"/>
      <c r="F730" s="27"/>
      <c r="G730" s="27"/>
      <c r="H730" s="27"/>
      <c r="I730" s="27"/>
    </row>
    <row r="731" spans="1:9">
      <c r="A731" s="22"/>
      <c r="B731" s="22"/>
      <c r="D731" s="27"/>
      <c r="E731" s="27"/>
      <c r="F731" s="27"/>
      <c r="G731" s="27"/>
      <c r="H731" s="27"/>
      <c r="I731" s="27"/>
    </row>
    <row r="732" spans="1:9">
      <c r="A732" s="22"/>
      <c r="B732" s="22"/>
      <c r="D732" s="27"/>
      <c r="E732" s="27"/>
      <c r="F732" s="27"/>
      <c r="G732" s="27"/>
      <c r="H732" s="27"/>
      <c r="I732" s="27"/>
    </row>
    <row r="733" spans="1:9">
      <c r="A733" s="22"/>
      <c r="B733" s="22"/>
      <c r="D733" s="27"/>
      <c r="E733" s="27"/>
      <c r="F733" s="27"/>
      <c r="G733" s="27"/>
      <c r="H733" s="27"/>
      <c r="I733" s="27"/>
    </row>
    <row r="734" spans="1:9">
      <c r="A734" s="22"/>
      <c r="B734" s="22"/>
      <c r="D734" s="27"/>
      <c r="E734" s="27"/>
      <c r="F734" s="27"/>
      <c r="G734" s="27"/>
      <c r="H734" s="27"/>
      <c r="I734" s="27"/>
    </row>
    <row r="735" spans="1:9">
      <c r="A735" s="22"/>
      <c r="B735" s="22"/>
      <c r="D735" s="27"/>
      <c r="E735" s="27"/>
      <c r="F735" s="27"/>
      <c r="G735" s="27"/>
      <c r="H735" s="27"/>
      <c r="I735" s="27"/>
    </row>
    <row r="736" spans="1:9">
      <c r="A736" s="22"/>
      <c r="B736" s="22"/>
      <c r="D736" s="27"/>
      <c r="E736" s="27"/>
      <c r="F736" s="27"/>
      <c r="G736" s="27"/>
      <c r="H736" s="27"/>
      <c r="I736" s="27"/>
    </row>
    <row r="737" spans="1:9">
      <c r="A737" s="22"/>
      <c r="B737" s="22"/>
      <c r="D737" s="27"/>
      <c r="E737" s="27"/>
      <c r="F737" s="27"/>
      <c r="G737" s="27"/>
      <c r="H737" s="27"/>
      <c r="I737" s="27"/>
    </row>
    <row r="738" spans="1:9">
      <c r="A738" s="22"/>
      <c r="B738" s="22"/>
      <c r="D738" s="27"/>
      <c r="E738" s="27"/>
      <c r="F738" s="27"/>
      <c r="G738" s="27"/>
      <c r="H738" s="27"/>
      <c r="I738" s="27"/>
    </row>
    <row r="739" spans="1:9">
      <c r="A739" s="22"/>
      <c r="B739" s="22"/>
      <c r="D739" s="27"/>
      <c r="E739" s="27"/>
      <c r="F739" s="27"/>
      <c r="G739" s="27"/>
      <c r="H739" s="27"/>
      <c r="I739" s="27"/>
    </row>
    <row r="740" spans="1:9">
      <c r="A740" s="22"/>
      <c r="B740" s="22"/>
      <c r="D740" s="27"/>
      <c r="E740" s="27"/>
      <c r="F740" s="27"/>
      <c r="G740" s="27"/>
      <c r="H740" s="27"/>
      <c r="I740" s="27"/>
    </row>
    <row r="741" spans="1:9">
      <c r="A741" s="22"/>
      <c r="B741" s="22"/>
      <c r="D741" s="27"/>
      <c r="E741" s="27"/>
      <c r="F741" s="27"/>
      <c r="G741" s="27"/>
      <c r="H741" s="27"/>
      <c r="I741" s="27"/>
    </row>
    <row r="742" spans="1:9">
      <c r="A742" s="22"/>
      <c r="B742" s="22"/>
      <c r="D742" s="27"/>
      <c r="E742" s="27"/>
      <c r="F742" s="27"/>
      <c r="G742" s="27"/>
      <c r="H742" s="27"/>
      <c r="I742" s="27"/>
    </row>
    <row r="743" spans="1:9">
      <c r="A743" s="22"/>
      <c r="B743" s="22"/>
      <c r="D743" s="27"/>
      <c r="E743" s="27"/>
      <c r="F743" s="27"/>
      <c r="G743" s="27"/>
      <c r="H743" s="27"/>
      <c r="I743" s="27"/>
    </row>
    <row r="744" spans="1:9">
      <c r="A744" s="22"/>
      <c r="B744" s="22"/>
      <c r="D744" s="27"/>
      <c r="E744" s="27"/>
      <c r="F744" s="27"/>
      <c r="G744" s="27"/>
      <c r="H744" s="27"/>
      <c r="I744" s="27"/>
    </row>
    <row r="745" spans="1:9">
      <c r="A745" s="22"/>
      <c r="B745" s="22"/>
      <c r="D745" s="27"/>
      <c r="E745" s="27"/>
      <c r="F745" s="27"/>
      <c r="G745" s="27"/>
      <c r="H745" s="27"/>
      <c r="I745" s="27"/>
    </row>
    <row r="746" spans="1:9">
      <c r="A746" s="22"/>
      <c r="B746" s="22"/>
      <c r="D746" s="27"/>
      <c r="E746" s="27"/>
      <c r="F746" s="27"/>
      <c r="G746" s="27"/>
      <c r="H746" s="27"/>
      <c r="I746" s="27"/>
    </row>
    <row r="747" spans="1:9">
      <c r="A747" s="22"/>
      <c r="B747" s="22"/>
      <c r="D747" s="27"/>
      <c r="E747" s="27"/>
      <c r="F747" s="27"/>
      <c r="G747" s="27"/>
      <c r="H747" s="27"/>
      <c r="I747" s="27"/>
    </row>
    <row r="748" spans="1:9">
      <c r="A748" s="22"/>
      <c r="B748" s="22"/>
      <c r="D748" s="27"/>
      <c r="E748" s="27"/>
      <c r="F748" s="27"/>
      <c r="G748" s="27"/>
      <c r="H748" s="27"/>
      <c r="I748" s="27"/>
    </row>
    <row r="749" spans="1:9">
      <c r="A749" s="22"/>
      <c r="B749" s="22"/>
      <c r="D749" s="27"/>
      <c r="E749" s="27"/>
      <c r="F749" s="27"/>
      <c r="G749" s="27"/>
      <c r="H749" s="27"/>
      <c r="I749" s="27"/>
    </row>
    <row r="750" spans="1:9">
      <c r="A750" s="22"/>
      <c r="B750" s="22"/>
      <c r="D750" s="27"/>
      <c r="E750" s="27"/>
      <c r="F750" s="27"/>
      <c r="G750" s="27"/>
      <c r="H750" s="27"/>
      <c r="I750" s="27"/>
    </row>
    <row r="751" spans="1:9">
      <c r="A751" s="22"/>
      <c r="B751" s="22"/>
      <c r="D751" s="27"/>
      <c r="E751" s="27"/>
      <c r="F751" s="27"/>
      <c r="G751" s="27"/>
      <c r="H751" s="27"/>
      <c r="I751" s="27"/>
    </row>
    <row r="752" spans="1:9">
      <c r="A752" s="22"/>
      <c r="B752" s="22"/>
      <c r="D752" s="27"/>
      <c r="E752" s="27"/>
      <c r="F752" s="27"/>
      <c r="G752" s="27"/>
      <c r="H752" s="27"/>
      <c r="I752" s="27"/>
    </row>
    <row r="753" spans="1:9">
      <c r="A753" s="22"/>
      <c r="B753" s="22"/>
      <c r="D753" s="27"/>
      <c r="E753" s="27"/>
      <c r="F753" s="27"/>
      <c r="G753" s="27"/>
      <c r="H753" s="27"/>
      <c r="I753" s="27"/>
    </row>
    <row r="754" spans="1:9">
      <c r="A754" s="22"/>
      <c r="B754" s="22"/>
      <c r="D754" s="27"/>
      <c r="E754" s="27"/>
      <c r="F754" s="27"/>
      <c r="G754" s="27"/>
      <c r="H754" s="27"/>
      <c r="I754" s="27"/>
    </row>
    <row r="755" spans="1:9">
      <c r="A755" s="22"/>
      <c r="B755" s="22"/>
      <c r="D755" s="27"/>
      <c r="E755" s="27"/>
      <c r="F755" s="27"/>
      <c r="G755" s="27"/>
      <c r="H755" s="27"/>
      <c r="I755" s="27"/>
    </row>
    <row r="756" spans="1:9">
      <c r="A756" s="22"/>
      <c r="B756" s="22"/>
      <c r="D756" s="27"/>
      <c r="E756" s="27"/>
      <c r="F756" s="27"/>
      <c r="G756" s="27"/>
      <c r="H756" s="27"/>
      <c r="I756" s="27"/>
    </row>
    <row r="757" spans="1:9">
      <c r="A757" s="22"/>
      <c r="B757" s="22"/>
      <c r="D757" s="27"/>
      <c r="E757" s="27"/>
      <c r="F757" s="27"/>
      <c r="G757" s="27"/>
      <c r="H757" s="27"/>
      <c r="I757" s="27"/>
    </row>
    <row r="758" spans="1:9">
      <c r="A758" s="22"/>
      <c r="B758" s="22"/>
      <c r="D758" s="27"/>
      <c r="E758" s="27"/>
      <c r="F758" s="27"/>
      <c r="G758" s="27"/>
      <c r="H758" s="27"/>
      <c r="I758" s="27"/>
    </row>
    <row r="759" spans="1:9">
      <c r="A759" s="22"/>
      <c r="B759" s="22"/>
      <c r="D759" s="27"/>
      <c r="E759" s="27"/>
      <c r="F759" s="27"/>
      <c r="G759" s="27"/>
      <c r="H759" s="27"/>
      <c r="I759" s="27"/>
    </row>
    <row r="760" spans="1:9">
      <c r="A760" s="22"/>
      <c r="B760" s="22"/>
      <c r="D760" s="27"/>
      <c r="E760" s="27"/>
      <c r="F760" s="27"/>
      <c r="G760" s="27"/>
      <c r="H760" s="27"/>
      <c r="I760" s="27"/>
    </row>
    <row r="761" spans="1:9">
      <c r="A761" s="22"/>
      <c r="B761" s="22"/>
      <c r="D761" s="27"/>
      <c r="E761" s="27"/>
      <c r="F761" s="27"/>
      <c r="G761" s="27"/>
      <c r="H761" s="27"/>
      <c r="I761" s="27"/>
    </row>
    <row r="762" spans="1:9">
      <c r="A762" s="22"/>
      <c r="B762" s="22"/>
      <c r="D762" s="27"/>
      <c r="E762" s="27"/>
      <c r="F762" s="27"/>
      <c r="G762" s="27"/>
      <c r="H762" s="27"/>
      <c r="I762" s="27"/>
    </row>
    <row r="763" spans="1:9">
      <c r="A763" s="22"/>
      <c r="B763" s="22"/>
      <c r="D763" s="27"/>
      <c r="E763" s="27"/>
      <c r="F763" s="27"/>
      <c r="G763" s="27"/>
      <c r="H763" s="27"/>
      <c r="I763" s="27"/>
    </row>
    <row r="764" spans="1:9">
      <c r="A764" s="22"/>
      <c r="B764" s="22"/>
      <c r="D764" s="27"/>
      <c r="E764" s="27"/>
      <c r="F764" s="27"/>
      <c r="G764" s="27"/>
      <c r="H764" s="27"/>
      <c r="I764" s="27"/>
    </row>
    <row r="765" spans="1:9">
      <c r="A765" s="22"/>
      <c r="B765" s="22"/>
      <c r="D765" s="27"/>
      <c r="E765" s="27"/>
      <c r="F765" s="27"/>
      <c r="G765" s="27"/>
      <c r="H765" s="27"/>
      <c r="I765" s="27"/>
    </row>
    <row r="766" spans="1:9">
      <c r="A766" s="22"/>
      <c r="B766" s="22"/>
      <c r="D766" s="27"/>
      <c r="E766" s="27"/>
      <c r="F766" s="27"/>
      <c r="G766" s="27"/>
      <c r="H766" s="27"/>
      <c r="I766" s="27"/>
    </row>
    <row r="767" spans="1:9">
      <c r="A767" s="22"/>
      <c r="B767" s="22"/>
      <c r="D767" s="27"/>
      <c r="E767" s="27"/>
      <c r="F767" s="27"/>
      <c r="G767" s="27"/>
      <c r="H767" s="27"/>
      <c r="I767" s="27"/>
    </row>
    <row r="768" spans="1:9">
      <c r="A768" s="22"/>
      <c r="B768" s="22"/>
      <c r="D768" s="27"/>
      <c r="E768" s="27"/>
      <c r="F768" s="27"/>
      <c r="G768" s="27"/>
      <c r="H768" s="27"/>
      <c r="I768" s="27"/>
    </row>
    <row r="769" spans="1:9">
      <c r="A769" s="22"/>
      <c r="B769" s="22"/>
      <c r="D769" s="27"/>
      <c r="E769" s="27"/>
      <c r="F769" s="27"/>
      <c r="G769" s="27"/>
      <c r="H769" s="27"/>
      <c r="I769" s="27"/>
    </row>
    <row r="770" spans="1:9">
      <c r="A770" s="22"/>
      <c r="B770" s="22"/>
      <c r="D770" s="27"/>
      <c r="E770" s="27"/>
      <c r="F770" s="27"/>
      <c r="G770" s="27"/>
      <c r="H770" s="27"/>
      <c r="I770" s="27"/>
    </row>
    <row r="771" spans="1:9">
      <c r="A771" s="22"/>
      <c r="B771" s="22"/>
      <c r="D771" s="27"/>
      <c r="E771" s="27"/>
      <c r="F771" s="27"/>
      <c r="G771" s="27"/>
      <c r="H771" s="27"/>
      <c r="I771" s="27"/>
    </row>
    <row r="772" spans="1:9">
      <c r="A772" s="22"/>
      <c r="B772" s="22"/>
      <c r="D772" s="27"/>
      <c r="E772" s="27"/>
      <c r="F772" s="27"/>
      <c r="G772" s="27"/>
      <c r="H772" s="27"/>
      <c r="I772" s="27"/>
    </row>
    <row r="773" spans="1:9">
      <c r="A773" s="22"/>
      <c r="B773" s="22"/>
      <c r="D773" s="27"/>
      <c r="E773" s="27"/>
      <c r="F773" s="27"/>
      <c r="G773" s="27"/>
      <c r="H773" s="27"/>
      <c r="I773" s="27"/>
    </row>
    <row r="774" spans="1:9">
      <c r="A774" s="22"/>
      <c r="B774" s="22"/>
      <c r="D774" s="27"/>
      <c r="E774" s="27"/>
      <c r="F774" s="27"/>
      <c r="G774" s="27"/>
      <c r="H774" s="27"/>
      <c r="I774" s="27"/>
    </row>
    <row r="775" spans="1:9">
      <c r="A775" s="22"/>
      <c r="B775" s="22"/>
      <c r="D775" s="27"/>
      <c r="E775" s="27"/>
      <c r="F775" s="27"/>
      <c r="G775" s="27"/>
      <c r="H775" s="27"/>
      <c r="I775" s="27"/>
    </row>
    <row r="776" spans="1:9">
      <c r="A776" s="22"/>
      <c r="B776" s="22"/>
      <c r="D776" s="27"/>
      <c r="E776" s="27"/>
      <c r="F776" s="27"/>
      <c r="G776" s="27"/>
      <c r="H776" s="27"/>
      <c r="I776" s="27"/>
    </row>
    <row r="777" spans="1:9">
      <c r="A777" s="22"/>
      <c r="B777" s="22"/>
      <c r="D777" s="27"/>
      <c r="E777" s="27"/>
      <c r="F777" s="27"/>
      <c r="G777" s="27"/>
      <c r="H777" s="27"/>
      <c r="I777" s="27"/>
    </row>
    <row r="778" spans="1:9">
      <c r="A778" s="22"/>
      <c r="B778" s="22"/>
      <c r="D778" s="27"/>
      <c r="E778" s="27"/>
      <c r="F778" s="27"/>
      <c r="G778" s="27"/>
      <c r="H778" s="27"/>
      <c r="I778" s="27"/>
    </row>
    <row r="779" spans="1:9">
      <c r="A779" s="22"/>
      <c r="B779" s="22"/>
      <c r="D779" s="27"/>
      <c r="E779" s="27"/>
      <c r="F779" s="27"/>
      <c r="G779" s="27"/>
      <c r="H779" s="27"/>
      <c r="I779" s="27"/>
    </row>
    <row r="780" spans="1:9">
      <c r="A780" s="22"/>
      <c r="B780" s="22"/>
      <c r="D780" s="27"/>
      <c r="E780" s="27"/>
      <c r="F780" s="27"/>
      <c r="G780" s="27"/>
      <c r="H780" s="27"/>
      <c r="I780" s="27"/>
    </row>
    <row r="781" spans="1:9">
      <c r="A781" s="22"/>
      <c r="B781" s="22"/>
      <c r="D781" s="27"/>
      <c r="E781" s="27"/>
      <c r="F781" s="27"/>
      <c r="G781" s="27"/>
      <c r="H781" s="27"/>
      <c r="I781" s="27"/>
    </row>
    <row r="782" spans="1:9">
      <c r="A782" s="22"/>
      <c r="B782" s="22"/>
      <c r="D782" s="27"/>
      <c r="E782" s="27"/>
      <c r="F782" s="27"/>
      <c r="G782" s="27"/>
      <c r="H782" s="27"/>
      <c r="I782" s="27"/>
    </row>
    <row r="783" spans="1:9">
      <c r="A783" s="22"/>
      <c r="B783" s="22"/>
      <c r="D783" s="27"/>
      <c r="E783" s="27"/>
      <c r="F783" s="27"/>
      <c r="G783" s="27"/>
      <c r="H783" s="27"/>
      <c r="I783" s="27"/>
    </row>
    <row r="784" spans="1:9">
      <c r="A784" s="22"/>
      <c r="B784" s="22"/>
      <c r="D784" s="27"/>
      <c r="E784" s="27"/>
      <c r="F784" s="27"/>
      <c r="G784" s="27"/>
      <c r="H784" s="27"/>
      <c r="I784" s="27"/>
    </row>
    <row r="785" spans="1:9">
      <c r="A785" s="22"/>
      <c r="B785" s="22"/>
      <c r="D785" s="27"/>
      <c r="E785" s="27"/>
      <c r="F785" s="27"/>
      <c r="G785" s="27"/>
      <c r="H785" s="27"/>
      <c r="I785" s="27"/>
    </row>
    <row r="786" spans="1:9">
      <c r="A786" s="22"/>
      <c r="B786" s="22"/>
      <c r="D786" s="27"/>
      <c r="E786" s="27"/>
      <c r="F786" s="27"/>
      <c r="G786" s="27"/>
      <c r="H786" s="27"/>
      <c r="I786" s="27"/>
    </row>
    <row r="787" spans="1:9">
      <c r="A787" s="22"/>
      <c r="B787" s="22"/>
      <c r="D787" s="27"/>
      <c r="E787" s="27"/>
      <c r="F787" s="27"/>
      <c r="G787" s="27"/>
      <c r="H787" s="27"/>
      <c r="I787" s="27"/>
    </row>
    <row r="788" spans="1:9">
      <c r="A788" s="22"/>
      <c r="B788" s="22"/>
      <c r="D788" s="27"/>
      <c r="E788" s="27"/>
      <c r="F788" s="27"/>
      <c r="G788" s="27"/>
      <c r="H788" s="27"/>
      <c r="I788" s="27"/>
    </row>
    <row r="789" spans="1:9">
      <c r="A789" s="22"/>
      <c r="B789" s="22"/>
      <c r="D789" s="27"/>
      <c r="E789" s="27"/>
      <c r="F789" s="27"/>
      <c r="G789" s="27"/>
      <c r="H789" s="27"/>
      <c r="I789" s="27"/>
    </row>
    <row r="790" spans="1:9">
      <c r="A790" s="22"/>
      <c r="B790" s="22"/>
      <c r="D790" s="27"/>
      <c r="E790" s="27"/>
      <c r="F790" s="27"/>
      <c r="G790" s="27"/>
      <c r="H790" s="27"/>
      <c r="I790" s="27"/>
    </row>
    <row r="791" spans="1:9">
      <c r="A791" s="22"/>
      <c r="B791" s="22"/>
      <c r="D791" s="27"/>
      <c r="E791" s="27"/>
      <c r="F791" s="27"/>
      <c r="G791" s="27"/>
      <c r="H791" s="27"/>
      <c r="I791" s="27"/>
    </row>
    <row r="792" spans="1:9">
      <c r="A792" s="22"/>
      <c r="B792" s="22"/>
      <c r="D792" s="27"/>
      <c r="E792" s="27"/>
      <c r="F792" s="27"/>
      <c r="G792" s="27"/>
      <c r="H792" s="27"/>
      <c r="I792" s="27"/>
    </row>
    <row r="793" spans="1:9">
      <c r="A793" s="22"/>
      <c r="B793" s="22"/>
      <c r="D793" s="27"/>
      <c r="E793" s="27"/>
      <c r="F793" s="27"/>
      <c r="G793" s="27"/>
      <c r="H793" s="27"/>
      <c r="I793" s="27"/>
    </row>
    <row r="794" spans="1:9">
      <c r="A794" s="22"/>
      <c r="B794" s="22"/>
      <c r="D794" s="27"/>
      <c r="E794" s="27"/>
      <c r="F794" s="27"/>
      <c r="G794" s="27"/>
      <c r="H794" s="27"/>
      <c r="I794" s="27"/>
    </row>
    <row r="795" spans="1:9">
      <c r="A795" s="22"/>
      <c r="B795" s="22"/>
      <c r="D795" s="27"/>
      <c r="E795" s="27"/>
      <c r="F795" s="27"/>
      <c r="G795" s="27"/>
      <c r="H795" s="27"/>
      <c r="I795" s="27"/>
    </row>
    <row r="796" spans="1:9">
      <c r="A796" s="22"/>
      <c r="B796" s="22"/>
      <c r="D796" s="27"/>
      <c r="E796" s="27"/>
      <c r="F796" s="27"/>
      <c r="G796" s="27"/>
      <c r="H796" s="27"/>
      <c r="I796" s="27"/>
    </row>
    <row r="797" spans="1:9">
      <c r="A797" s="22"/>
      <c r="B797" s="22"/>
      <c r="D797" s="27"/>
      <c r="E797" s="27"/>
      <c r="F797" s="27"/>
      <c r="G797" s="27"/>
      <c r="H797" s="27"/>
      <c r="I797" s="27"/>
    </row>
    <row r="798" spans="1:9">
      <c r="A798" s="22"/>
      <c r="B798" s="22"/>
      <c r="D798" s="27"/>
      <c r="E798" s="27"/>
      <c r="F798" s="27"/>
      <c r="G798" s="27"/>
      <c r="H798" s="27"/>
      <c r="I798" s="27"/>
    </row>
    <row r="799" spans="1:9">
      <c r="A799" s="22"/>
      <c r="B799" s="22"/>
      <c r="D799" s="27"/>
      <c r="E799" s="27"/>
      <c r="F799" s="27"/>
      <c r="G799" s="27"/>
      <c r="H799" s="27"/>
      <c r="I799" s="27"/>
    </row>
    <row r="800" spans="1:9">
      <c r="A800" s="22"/>
      <c r="B800" s="22"/>
      <c r="D800" s="27"/>
      <c r="E800" s="27"/>
      <c r="F800" s="27"/>
      <c r="G800" s="27"/>
      <c r="H800" s="27"/>
      <c r="I800" s="27"/>
    </row>
    <row r="801" spans="1:9">
      <c r="A801" s="22"/>
      <c r="B801" s="22"/>
      <c r="D801" s="27"/>
      <c r="E801" s="27"/>
      <c r="F801" s="27"/>
      <c r="G801" s="27"/>
      <c r="H801" s="27"/>
      <c r="I801" s="27"/>
    </row>
    <row r="802" spans="1:9">
      <c r="A802" s="22"/>
      <c r="B802" s="22"/>
      <c r="D802" s="27"/>
      <c r="E802" s="27"/>
      <c r="F802" s="27"/>
      <c r="G802" s="27"/>
      <c r="H802" s="27"/>
      <c r="I802" s="27"/>
    </row>
    <row r="803" spans="1:9">
      <c r="A803" s="22"/>
      <c r="B803" s="22"/>
      <c r="D803" s="27"/>
      <c r="E803" s="27"/>
      <c r="F803" s="27"/>
      <c r="G803" s="27"/>
      <c r="H803" s="27"/>
      <c r="I803" s="27"/>
    </row>
    <row r="804" spans="1:9">
      <c r="A804" s="22"/>
      <c r="B804" s="22"/>
      <c r="D804" s="27"/>
      <c r="E804" s="27"/>
      <c r="F804" s="27"/>
      <c r="G804" s="27"/>
      <c r="H804" s="27"/>
      <c r="I804" s="27"/>
    </row>
    <row r="805" spans="1:9">
      <c r="A805" s="22"/>
      <c r="B805" s="22"/>
      <c r="D805" s="27"/>
      <c r="E805" s="27"/>
      <c r="F805" s="27"/>
      <c r="G805" s="27"/>
      <c r="H805" s="27"/>
      <c r="I805" s="27"/>
    </row>
    <row r="806" spans="1:9">
      <c r="A806" s="22"/>
      <c r="B806" s="22"/>
      <c r="D806" s="27"/>
      <c r="E806" s="27"/>
      <c r="F806" s="27"/>
      <c r="G806" s="27"/>
      <c r="H806" s="27"/>
      <c r="I806" s="27"/>
    </row>
    <row r="807" spans="1:9">
      <c r="A807" s="22"/>
      <c r="B807" s="22"/>
      <c r="D807" s="27"/>
      <c r="E807" s="27"/>
      <c r="F807" s="27"/>
      <c r="G807" s="27"/>
      <c r="H807" s="27"/>
      <c r="I807" s="27"/>
    </row>
    <row r="808" spans="1:9">
      <c r="A808" s="22"/>
      <c r="B808" s="22"/>
      <c r="D808" s="27"/>
      <c r="E808" s="27"/>
      <c r="F808" s="27"/>
      <c r="G808" s="27"/>
      <c r="H808" s="27"/>
      <c r="I808" s="27"/>
    </row>
    <row r="809" spans="1:9">
      <c r="A809" s="22"/>
      <c r="B809" s="22"/>
      <c r="D809" s="27"/>
      <c r="E809" s="27"/>
      <c r="F809" s="27"/>
      <c r="G809" s="27"/>
      <c r="H809" s="27"/>
      <c r="I809" s="27"/>
    </row>
    <row r="810" spans="1:9">
      <c r="A810" s="22"/>
      <c r="B810" s="22"/>
      <c r="D810" s="27"/>
      <c r="E810" s="27"/>
      <c r="F810" s="27"/>
      <c r="G810" s="27"/>
      <c r="H810" s="27"/>
      <c r="I810" s="27"/>
    </row>
    <row r="811" spans="1:9">
      <c r="A811" s="22"/>
      <c r="B811" s="22"/>
      <c r="D811" s="27"/>
      <c r="E811" s="27"/>
      <c r="F811" s="27"/>
      <c r="G811" s="27"/>
      <c r="H811" s="27"/>
      <c r="I811" s="27"/>
    </row>
    <row r="812" spans="1:9">
      <c r="A812" s="22"/>
      <c r="B812" s="22"/>
      <c r="D812" s="27"/>
      <c r="E812" s="27"/>
      <c r="F812" s="27"/>
      <c r="G812" s="27"/>
      <c r="H812" s="27"/>
      <c r="I812" s="27"/>
    </row>
    <row r="813" spans="1:9">
      <c r="A813" s="22"/>
      <c r="B813" s="22"/>
      <c r="D813" s="27"/>
      <c r="E813" s="27"/>
      <c r="F813" s="27"/>
      <c r="G813" s="27"/>
      <c r="H813" s="27"/>
      <c r="I813" s="27"/>
    </row>
    <row r="814" spans="1:9">
      <c r="A814" s="22"/>
      <c r="B814" s="22"/>
      <c r="D814" s="27"/>
      <c r="E814" s="27"/>
      <c r="F814" s="27"/>
      <c r="G814" s="27"/>
      <c r="H814" s="27"/>
      <c r="I814" s="27"/>
    </row>
    <row r="815" spans="1:9">
      <c r="A815" s="22"/>
      <c r="B815" s="22"/>
      <c r="D815" s="27"/>
      <c r="E815" s="27"/>
      <c r="F815" s="27"/>
      <c r="G815" s="27"/>
      <c r="H815" s="27"/>
      <c r="I815" s="27"/>
    </row>
    <row r="816" spans="1:9">
      <c r="A816" s="22"/>
      <c r="B816" s="22"/>
      <c r="D816" s="27"/>
      <c r="E816" s="27"/>
      <c r="F816" s="27"/>
      <c r="G816" s="27"/>
      <c r="H816" s="27"/>
      <c r="I816" s="27"/>
    </row>
    <row r="817" spans="1:9">
      <c r="A817" s="22"/>
      <c r="B817" s="22"/>
      <c r="D817" s="27"/>
      <c r="E817" s="27"/>
      <c r="F817" s="27"/>
      <c r="G817" s="27"/>
      <c r="H817" s="27"/>
      <c r="I817" s="27"/>
    </row>
    <row r="818" spans="1:9">
      <c r="A818" s="22"/>
      <c r="B818" s="22"/>
      <c r="D818" s="27"/>
      <c r="E818" s="27"/>
      <c r="F818" s="27"/>
      <c r="G818" s="27"/>
      <c r="H818" s="27"/>
      <c r="I818" s="27"/>
    </row>
    <row r="819" spans="1:9">
      <c r="A819" s="22"/>
      <c r="B819" s="22"/>
      <c r="D819" s="27"/>
      <c r="E819" s="27"/>
      <c r="F819" s="27"/>
      <c r="G819" s="27"/>
      <c r="H819" s="27"/>
      <c r="I819" s="27"/>
    </row>
    <row r="820" spans="1:9">
      <c r="A820" s="22"/>
      <c r="B820" s="22"/>
      <c r="D820" s="27"/>
      <c r="E820" s="27"/>
      <c r="F820" s="27"/>
      <c r="G820" s="27"/>
      <c r="H820" s="27"/>
      <c r="I820" s="27"/>
    </row>
    <row r="821" spans="1:9">
      <c r="A821" s="22"/>
      <c r="B821" s="22"/>
      <c r="D821" s="27"/>
      <c r="E821" s="27"/>
      <c r="F821" s="27"/>
      <c r="G821" s="27"/>
      <c r="H821" s="27"/>
      <c r="I821" s="27"/>
    </row>
    <row r="822" spans="1:9">
      <c r="A822" s="22"/>
      <c r="B822" s="22"/>
      <c r="D822" s="27"/>
      <c r="E822" s="27"/>
      <c r="F822" s="27"/>
      <c r="G822" s="27"/>
      <c r="H822" s="27"/>
      <c r="I822" s="27"/>
    </row>
    <row r="823" spans="1:9">
      <c r="A823" s="22"/>
      <c r="B823" s="22"/>
      <c r="D823" s="27"/>
      <c r="E823" s="27"/>
      <c r="F823" s="27"/>
      <c r="G823" s="27"/>
      <c r="H823" s="27"/>
      <c r="I823" s="27"/>
    </row>
    <row r="824" spans="1:9">
      <c r="A824" s="22"/>
      <c r="B824" s="22"/>
      <c r="D824" s="27"/>
      <c r="E824" s="27"/>
      <c r="F824" s="27"/>
      <c r="G824" s="27"/>
      <c r="H824" s="27"/>
      <c r="I824" s="27"/>
    </row>
    <row r="825" spans="1:9">
      <c r="A825" s="22"/>
      <c r="B825" s="22"/>
      <c r="D825" s="27"/>
      <c r="E825" s="27"/>
      <c r="F825" s="27"/>
      <c r="G825" s="27"/>
      <c r="H825" s="27"/>
      <c r="I825" s="27"/>
    </row>
    <row r="826" spans="1:9">
      <c r="A826" s="22"/>
      <c r="B826" s="22"/>
      <c r="D826" s="27"/>
      <c r="E826" s="27"/>
      <c r="F826" s="27"/>
      <c r="G826" s="27"/>
      <c r="H826" s="27"/>
      <c r="I826" s="27"/>
    </row>
    <row r="827" spans="1:9">
      <c r="A827" s="22"/>
      <c r="B827" s="22"/>
      <c r="D827" s="27"/>
      <c r="E827" s="27"/>
      <c r="F827" s="27"/>
      <c r="G827" s="27"/>
      <c r="H827" s="27"/>
      <c r="I827" s="27"/>
    </row>
    <row r="828" spans="1:9">
      <c r="A828" s="22"/>
      <c r="B828" s="22"/>
      <c r="D828" s="27"/>
      <c r="E828" s="27"/>
      <c r="F828" s="27"/>
      <c r="G828" s="27"/>
      <c r="H828" s="27"/>
      <c r="I828" s="27"/>
    </row>
    <row r="829" spans="1:9">
      <c r="A829" s="22"/>
      <c r="B829" s="22"/>
      <c r="D829" s="27"/>
      <c r="E829" s="27"/>
      <c r="F829" s="27"/>
      <c r="G829" s="27"/>
      <c r="H829" s="27"/>
      <c r="I829" s="27"/>
    </row>
    <row r="830" spans="1:9">
      <c r="A830" s="22"/>
      <c r="B830" s="22"/>
      <c r="D830" s="27"/>
      <c r="E830" s="27"/>
      <c r="F830" s="27"/>
      <c r="G830" s="27"/>
      <c r="H830" s="27"/>
      <c r="I830" s="27"/>
    </row>
    <row r="831" spans="1:9">
      <c r="A831" s="22"/>
      <c r="B831" s="22"/>
      <c r="D831" s="27"/>
      <c r="E831" s="27"/>
      <c r="F831" s="27"/>
      <c r="G831" s="27"/>
      <c r="H831" s="27"/>
      <c r="I831" s="27"/>
    </row>
    <row r="832" spans="1:9">
      <c r="A832" s="22"/>
      <c r="B832" s="22"/>
      <c r="D832" s="27"/>
      <c r="E832" s="27"/>
      <c r="F832" s="27"/>
      <c r="G832" s="27"/>
      <c r="H832" s="27"/>
      <c r="I832" s="27"/>
    </row>
    <row r="833" spans="1:9">
      <c r="A833" s="22"/>
      <c r="B833" s="22"/>
      <c r="D833" s="27"/>
      <c r="E833" s="27"/>
      <c r="F833" s="27"/>
      <c r="G833" s="27"/>
      <c r="H833" s="27"/>
      <c r="I833" s="27"/>
    </row>
    <row r="834" spans="1:9">
      <c r="A834" s="22"/>
      <c r="B834" s="22"/>
      <c r="D834" s="27"/>
      <c r="E834" s="27"/>
      <c r="F834" s="27"/>
      <c r="G834" s="27"/>
      <c r="H834" s="27"/>
      <c r="I834" s="27"/>
    </row>
    <row r="835" spans="1:9">
      <c r="A835" s="22"/>
      <c r="B835" s="22"/>
      <c r="D835" s="27"/>
      <c r="E835" s="27"/>
      <c r="F835" s="27"/>
      <c r="G835" s="27"/>
      <c r="H835" s="27"/>
      <c r="I835" s="27"/>
    </row>
    <row r="836" spans="1:9">
      <c r="A836" s="22"/>
      <c r="B836" s="22"/>
      <c r="D836" s="27"/>
      <c r="E836" s="27"/>
      <c r="F836" s="27"/>
      <c r="G836" s="27"/>
      <c r="H836" s="27"/>
      <c r="I836" s="27"/>
    </row>
    <row r="837" spans="1:9">
      <c r="A837" s="22"/>
      <c r="B837" s="22"/>
      <c r="D837" s="27"/>
      <c r="E837" s="27"/>
      <c r="F837" s="27"/>
      <c r="G837" s="27"/>
      <c r="H837" s="27"/>
      <c r="I837" s="27"/>
    </row>
    <row r="838" spans="1:9">
      <c r="A838" s="22"/>
      <c r="B838" s="22"/>
      <c r="D838" s="27"/>
      <c r="E838" s="27"/>
      <c r="F838" s="27"/>
      <c r="G838" s="27"/>
      <c r="H838" s="27"/>
      <c r="I838" s="27"/>
    </row>
    <row r="839" spans="1:9">
      <c r="A839" s="22"/>
      <c r="B839" s="22"/>
      <c r="D839" s="27"/>
      <c r="E839" s="27"/>
      <c r="F839" s="27"/>
      <c r="G839" s="27"/>
      <c r="H839" s="27"/>
      <c r="I839" s="27"/>
    </row>
    <row r="840" spans="1:9">
      <c r="A840" s="22"/>
      <c r="B840" s="22"/>
      <c r="D840" s="27"/>
      <c r="E840" s="27"/>
      <c r="F840" s="27"/>
      <c r="G840" s="27"/>
      <c r="H840" s="27"/>
      <c r="I840" s="27"/>
    </row>
    <row r="841" spans="1:9">
      <c r="A841" s="22"/>
      <c r="B841" s="22"/>
      <c r="D841" s="27"/>
      <c r="E841" s="27"/>
      <c r="F841" s="27"/>
      <c r="G841" s="27"/>
      <c r="H841" s="27"/>
      <c r="I841" s="27"/>
    </row>
    <row r="842" spans="1:9">
      <c r="A842" s="22"/>
      <c r="B842" s="22"/>
      <c r="D842" s="27"/>
      <c r="E842" s="27"/>
      <c r="F842" s="27"/>
      <c r="G842" s="27"/>
      <c r="H842" s="27"/>
      <c r="I842" s="27"/>
    </row>
    <row r="843" spans="1:9">
      <c r="A843" s="22"/>
      <c r="B843" s="22"/>
      <c r="D843" s="27"/>
      <c r="E843" s="27"/>
      <c r="F843" s="27"/>
      <c r="G843" s="27"/>
      <c r="H843" s="27"/>
      <c r="I843" s="27"/>
    </row>
    <row r="844" spans="1:9">
      <c r="A844" s="22"/>
      <c r="B844" s="22"/>
      <c r="D844" s="27"/>
      <c r="E844" s="27"/>
      <c r="F844" s="27"/>
      <c r="G844" s="27"/>
      <c r="H844" s="27"/>
      <c r="I844" s="27"/>
    </row>
    <row r="845" spans="1:9">
      <c r="A845" s="22"/>
      <c r="B845" s="22"/>
      <c r="D845" s="27"/>
      <c r="E845" s="27"/>
      <c r="F845" s="27"/>
      <c r="G845" s="27"/>
      <c r="H845" s="27"/>
      <c r="I845" s="27"/>
    </row>
    <row r="846" spans="1:9">
      <c r="A846" s="22"/>
      <c r="B846" s="22"/>
      <c r="D846" s="27"/>
      <c r="E846" s="27"/>
      <c r="F846" s="27"/>
      <c r="G846" s="27"/>
      <c r="H846" s="27"/>
      <c r="I846" s="27"/>
    </row>
    <row r="847" spans="1:9">
      <c r="A847" s="22"/>
      <c r="B847" s="22"/>
      <c r="D847" s="27"/>
      <c r="E847" s="27"/>
      <c r="F847" s="27"/>
      <c r="G847" s="27"/>
      <c r="H847" s="27"/>
      <c r="I847" s="27"/>
    </row>
    <row r="848" spans="1:9">
      <c r="A848" s="22"/>
      <c r="B848" s="22"/>
      <c r="D848" s="27"/>
      <c r="E848" s="27"/>
      <c r="F848" s="27"/>
      <c r="G848" s="27"/>
      <c r="H848" s="27"/>
      <c r="I848" s="27"/>
    </row>
    <row r="849" spans="1:9">
      <c r="A849" s="22"/>
      <c r="B849" s="22"/>
      <c r="D849" s="27"/>
      <c r="E849" s="27"/>
      <c r="F849" s="27"/>
      <c r="G849" s="27"/>
      <c r="H849" s="27"/>
      <c r="I849" s="27"/>
    </row>
    <row r="850" spans="1:9">
      <c r="A850" s="22"/>
      <c r="B850" s="22"/>
      <c r="D850" s="27"/>
      <c r="E850" s="27"/>
      <c r="F850" s="27"/>
      <c r="G850" s="27"/>
      <c r="H850" s="27"/>
      <c r="I850" s="27"/>
    </row>
    <row r="851" spans="1:9">
      <c r="A851" s="22"/>
      <c r="B851" s="22"/>
      <c r="D851" s="27"/>
      <c r="E851" s="27"/>
      <c r="F851" s="27"/>
      <c r="G851" s="27"/>
      <c r="H851" s="27"/>
      <c r="I851" s="27"/>
    </row>
    <row r="852" spans="1:9">
      <c r="A852" s="22"/>
      <c r="B852" s="22"/>
      <c r="D852" s="27"/>
      <c r="E852" s="27"/>
      <c r="F852" s="27"/>
      <c r="G852" s="27"/>
      <c r="H852" s="27"/>
      <c r="I852" s="27"/>
    </row>
    <row r="853" spans="1:9">
      <c r="A853" s="22"/>
      <c r="B853" s="22"/>
      <c r="D853" s="27"/>
      <c r="E853" s="27"/>
      <c r="F853" s="27"/>
      <c r="G853" s="27"/>
      <c r="H853" s="27"/>
      <c r="I853" s="27"/>
    </row>
    <row r="854" spans="1:9">
      <c r="A854" s="22"/>
      <c r="B854" s="22"/>
      <c r="D854" s="27"/>
      <c r="E854" s="27"/>
      <c r="F854" s="27"/>
      <c r="G854" s="27"/>
      <c r="H854" s="27"/>
      <c r="I854" s="27"/>
    </row>
    <row r="855" spans="1:9">
      <c r="A855" s="22"/>
      <c r="B855" s="22"/>
      <c r="D855" s="27"/>
      <c r="E855" s="27"/>
      <c r="F855" s="27"/>
      <c r="G855" s="27"/>
      <c r="H855" s="27"/>
      <c r="I855" s="27"/>
    </row>
    <row r="856" spans="1:9">
      <c r="A856" s="22"/>
      <c r="B856" s="22"/>
      <c r="D856" s="27"/>
      <c r="E856" s="27"/>
      <c r="F856" s="27"/>
      <c r="G856" s="27"/>
      <c r="H856" s="27"/>
      <c r="I856" s="27"/>
    </row>
    <row r="857" spans="1:9">
      <c r="A857" s="22"/>
      <c r="B857" s="22"/>
      <c r="D857" s="27"/>
      <c r="E857" s="27"/>
      <c r="F857" s="27"/>
      <c r="G857" s="27"/>
      <c r="H857" s="27"/>
      <c r="I857" s="27"/>
    </row>
    <row r="858" spans="1:9">
      <c r="A858" s="22"/>
      <c r="B858" s="22"/>
      <c r="D858" s="27"/>
      <c r="E858" s="27"/>
      <c r="F858" s="27"/>
      <c r="G858" s="27"/>
      <c r="H858" s="27"/>
      <c r="I858" s="27"/>
    </row>
    <row r="859" spans="1:9">
      <c r="A859" s="22"/>
      <c r="B859" s="22"/>
      <c r="D859" s="27"/>
      <c r="E859" s="27"/>
      <c r="F859" s="27"/>
      <c r="G859" s="27"/>
      <c r="H859" s="27"/>
      <c r="I859" s="27"/>
    </row>
    <row r="860" spans="1:9">
      <c r="A860" s="22"/>
      <c r="B860" s="22"/>
      <c r="D860" s="27"/>
      <c r="E860" s="27"/>
      <c r="F860" s="27"/>
      <c r="G860" s="27"/>
      <c r="H860" s="27"/>
      <c r="I860" s="27"/>
    </row>
    <row r="861" spans="1:9">
      <c r="A861" s="22"/>
      <c r="B861" s="22"/>
      <c r="D861" s="27"/>
      <c r="E861" s="27"/>
      <c r="F861" s="27"/>
      <c r="G861" s="27"/>
      <c r="H861" s="27"/>
      <c r="I861" s="27"/>
    </row>
    <row r="862" spans="1:9">
      <c r="A862" s="22"/>
      <c r="B862" s="22"/>
      <c r="D862" s="27"/>
      <c r="E862" s="27"/>
      <c r="F862" s="27"/>
      <c r="G862" s="27"/>
      <c r="H862" s="27"/>
      <c r="I862" s="27"/>
    </row>
    <row r="863" spans="1:9">
      <c r="A863" s="22"/>
      <c r="B863" s="22"/>
      <c r="D863" s="27"/>
      <c r="E863" s="27"/>
      <c r="F863" s="27"/>
      <c r="G863" s="27"/>
      <c r="H863" s="27"/>
      <c r="I863" s="27"/>
    </row>
    <row r="864" spans="1:9">
      <c r="A864" s="22"/>
      <c r="B864" s="22"/>
      <c r="D864" s="27"/>
      <c r="E864" s="27"/>
      <c r="F864" s="27"/>
      <c r="G864" s="27"/>
      <c r="H864" s="27"/>
      <c r="I864" s="27"/>
    </row>
    <row r="865" spans="1:9">
      <c r="A865" s="22"/>
      <c r="B865" s="22"/>
      <c r="D865" s="27"/>
      <c r="E865" s="27"/>
      <c r="F865" s="27"/>
      <c r="G865" s="27"/>
      <c r="H865" s="27"/>
      <c r="I865" s="27"/>
    </row>
    <row r="866" spans="1:9">
      <c r="A866" s="22"/>
      <c r="B866" s="22"/>
      <c r="D866" s="27"/>
      <c r="E866" s="27"/>
      <c r="F866" s="27"/>
      <c r="G866" s="27"/>
      <c r="H866" s="27"/>
      <c r="I866" s="27"/>
    </row>
    <row r="867" spans="1:9">
      <c r="A867" s="22"/>
      <c r="B867" s="22"/>
      <c r="D867" s="27"/>
      <c r="E867" s="27"/>
      <c r="F867" s="27"/>
      <c r="G867" s="27"/>
      <c r="H867" s="27"/>
      <c r="I867" s="27"/>
    </row>
    <row r="868" spans="1:9">
      <c r="A868" s="22"/>
      <c r="B868" s="22"/>
      <c r="D868" s="27"/>
      <c r="E868" s="27"/>
      <c r="F868" s="27"/>
      <c r="G868" s="27"/>
      <c r="H868" s="27"/>
      <c r="I868" s="27"/>
    </row>
    <row r="869" spans="1:9">
      <c r="A869" s="22"/>
      <c r="B869" s="22"/>
      <c r="D869" s="27"/>
      <c r="E869" s="27"/>
      <c r="F869" s="27"/>
      <c r="G869" s="27"/>
      <c r="H869" s="27"/>
      <c r="I869" s="27"/>
    </row>
    <row r="870" spans="1:9">
      <c r="A870" s="22"/>
      <c r="B870" s="22"/>
      <c r="D870" s="27"/>
      <c r="E870" s="27"/>
      <c r="F870" s="27"/>
      <c r="G870" s="27"/>
      <c r="H870" s="27"/>
      <c r="I870" s="27"/>
    </row>
    <row r="871" spans="1:9">
      <c r="A871" s="22"/>
      <c r="B871" s="22"/>
      <c r="D871" s="27"/>
      <c r="E871" s="27"/>
      <c r="F871" s="27"/>
      <c r="G871" s="27"/>
      <c r="H871" s="27"/>
      <c r="I871" s="27"/>
    </row>
    <row r="872" spans="1:9">
      <c r="A872" s="22"/>
      <c r="B872" s="22"/>
      <c r="D872" s="27"/>
      <c r="E872" s="27"/>
      <c r="F872" s="27"/>
      <c r="G872" s="27"/>
      <c r="H872" s="27"/>
      <c r="I872" s="27"/>
    </row>
    <row r="873" spans="1:9">
      <c r="A873" s="22"/>
      <c r="B873" s="22"/>
      <c r="D873" s="27"/>
      <c r="E873" s="27"/>
      <c r="F873" s="27"/>
      <c r="G873" s="27"/>
      <c r="H873" s="27"/>
      <c r="I873" s="27"/>
    </row>
    <row r="874" spans="1:9">
      <c r="A874" s="22"/>
      <c r="B874" s="22"/>
      <c r="D874" s="27"/>
      <c r="E874" s="27"/>
      <c r="F874" s="27"/>
      <c r="G874" s="27"/>
      <c r="H874" s="27"/>
      <c r="I874" s="27"/>
    </row>
    <row r="875" spans="1:9">
      <c r="A875" s="22"/>
      <c r="B875" s="22"/>
      <c r="D875" s="27"/>
      <c r="E875" s="27"/>
      <c r="F875" s="27"/>
      <c r="G875" s="27"/>
      <c r="H875" s="27"/>
      <c r="I875" s="27"/>
    </row>
    <row r="876" spans="1:9">
      <c r="A876" s="22"/>
      <c r="B876" s="22"/>
      <c r="D876" s="27"/>
      <c r="E876" s="27"/>
      <c r="F876" s="27"/>
      <c r="G876" s="27"/>
      <c r="H876" s="27"/>
      <c r="I876" s="27"/>
    </row>
    <row r="877" spans="1:9">
      <c r="A877" s="22"/>
      <c r="B877" s="22"/>
      <c r="D877" s="27"/>
      <c r="E877" s="27"/>
      <c r="F877" s="27"/>
      <c r="G877" s="27"/>
      <c r="H877" s="27"/>
      <c r="I877" s="27"/>
    </row>
    <row r="878" spans="1:9">
      <c r="A878" s="22"/>
      <c r="B878" s="22"/>
      <c r="D878" s="27"/>
      <c r="E878" s="27"/>
      <c r="F878" s="27"/>
      <c r="G878" s="27"/>
      <c r="H878" s="27"/>
      <c r="I878" s="27"/>
    </row>
    <row r="879" spans="1:9">
      <c r="A879" s="22"/>
      <c r="B879" s="22"/>
      <c r="D879" s="27"/>
      <c r="E879" s="27"/>
      <c r="F879" s="27"/>
      <c r="G879" s="27"/>
      <c r="H879" s="27"/>
      <c r="I879" s="27"/>
    </row>
    <row r="880" spans="1:9">
      <c r="A880" s="22"/>
      <c r="B880" s="22"/>
      <c r="D880" s="27"/>
      <c r="E880" s="27"/>
      <c r="F880" s="27"/>
      <c r="G880" s="27"/>
      <c r="H880" s="27"/>
      <c r="I880" s="27"/>
    </row>
    <row r="881" spans="1:9">
      <c r="A881" s="22"/>
      <c r="B881" s="22"/>
      <c r="D881" s="27"/>
      <c r="E881" s="27"/>
      <c r="F881" s="27"/>
      <c r="G881" s="27"/>
      <c r="H881" s="27"/>
      <c r="I881" s="27"/>
    </row>
    <row r="882" spans="1:9">
      <c r="A882" s="22"/>
      <c r="B882" s="22"/>
      <c r="D882" s="27"/>
      <c r="E882" s="27"/>
      <c r="F882" s="27"/>
      <c r="G882" s="27"/>
      <c r="H882" s="27"/>
      <c r="I882" s="27"/>
    </row>
    <row r="883" spans="1:9">
      <c r="A883" s="22"/>
      <c r="B883" s="22"/>
      <c r="D883" s="27"/>
      <c r="E883" s="27"/>
      <c r="F883" s="27"/>
      <c r="G883" s="27"/>
      <c r="H883" s="27"/>
      <c r="I883" s="27"/>
    </row>
    <row r="884" spans="1:9">
      <c r="A884" s="22"/>
      <c r="B884" s="22"/>
      <c r="D884" s="27"/>
      <c r="E884" s="27"/>
      <c r="F884" s="27"/>
      <c r="G884" s="27"/>
      <c r="H884" s="27"/>
      <c r="I884" s="27"/>
    </row>
    <row r="885" spans="1:9">
      <c r="A885" s="22"/>
      <c r="B885" s="22"/>
      <c r="D885" s="27"/>
      <c r="E885" s="27"/>
      <c r="F885" s="27"/>
      <c r="G885" s="27"/>
      <c r="H885" s="27"/>
      <c r="I885" s="27"/>
    </row>
    <row r="886" spans="1:9">
      <c r="A886" s="22"/>
      <c r="B886" s="22"/>
      <c r="D886" s="27"/>
      <c r="E886" s="27"/>
      <c r="F886" s="27"/>
      <c r="G886" s="27"/>
      <c r="H886" s="27"/>
      <c r="I886" s="27"/>
    </row>
    <row r="887" spans="1:9">
      <c r="A887" s="22"/>
      <c r="B887" s="22"/>
      <c r="D887" s="27"/>
      <c r="E887" s="27"/>
      <c r="F887" s="27"/>
      <c r="G887" s="27"/>
      <c r="H887" s="27"/>
      <c r="I887" s="27"/>
    </row>
    <row r="888" spans="1:9">
      <c r="A888" s="22"/>
      <c r="B888" s="22"/>
      <c r="D888" s="27"/>
      <c r="E888" s="27"/>
      <c r="F888" s="27"/>
      <c r="G888" s="27"/>
      <c r="H888" s="27"/>
      <c r="I888" s="27"/>
    </row>
    <row r="889" spans="1:9">
      <c r="A889" s="22"/>
      <c r="B889" s="22"/>
      <c r="D889" s="27"/>
      <c r="E889" s="27"/>
      <c r="F889" s="27"/>
      <c r="G889" s="27"/>
      <c r="H889" s="27"/>
      <c r="I889" s="27"/>
    </row>
    <row r="890" spans="1:9">
      <c r="A890" s="22"/>
      <c r="B890" s="22"/>
      <c r="D890" s="27"/>
      <c r="E890" s="27"/>
      <c r="F890" s="27"/>
      <c r="G890" s="27"/>
      <c r="H890" s="27"/>
      <c r="I890" s="27"/>
    </row>
    <row r="891" spans="1:9">
      <c r="A891" s="22"/>
      <c r="B891" s="22"/>
      <c r="D891" s="27"/>
      <c r="E891" s="27"/>
      <c r="F891" s="27"/>
      <c r="G891" s="27"/>
      <c r="H891" s="27"/>
      <c r="I891" s="27"/>
    </row>
    <row r="892" spans="1:9">
      <c r="A892" s="22"/>
      <c r="B892" s="22"/>
      <c r="D892" s="27"/>
      <c r="E892" s="27"/>
      <c r="F892" s="27"/>
      <c r="G892" s="27"/>
      <c r="H892" s="27"/>
      <c r="I892" s="27"/>
    </row>
    <row r="893" spans="1:9">
      <c r="A893" s="22"/>
      <c r="B893" s="22"/>
      <c r="D893" s="27"/>
      <c r="E893" s="27"/>
      <c r="F893" s="27"/>
      <c r="G893" s="27"/>
      <c r="H893" s="27"/>
      <c r="I893" s="27"/>
    </row>
    <row r="894" spans="1:9">
      <c r="A894" s="22"/>
      <c r="B894" s="22"/>
      <c r="D894" s="27"/>
      <c r="E894" s="27"/>
      <c r="F894" s="27"/>
      <c r="G894" s="27"/>
      <c r="H894" s="27"/>
      <c r="I894" s="27"/>
    </row>
    <row r="895" spans="1:9">
      <c r="A895" s="22"/>
      <c r="B895" s="22"/>
      <c r="D895" s="27"/>
      <c r="E895" s="27"/>
      <c r="F895" s="27"/>
      <c r="G895" s="27"/>
      <c r="H895" s="27"/>
      <c r="I895" s="27"/>
    </row>
    <row r="896" spans="1:9">
      <c r="A896" s="22"/>
      <c r="B896" s="22"/>
      <c r="D896" s="27"/>
      <c r="E896" s="27"/>
      <c r="F896" s="27"/>
      <c r="G896" s="27"/>
      <c r="H896" s="27"/>
      <c r="I896" s="27"/>
    </row>
    <row r="897" spans="1:9">
      <c r="A897" s="22"/>
      <c r="B897" s="22"/>
      <c r="D897" s="27"/>
      <c r="E897" s="27"/>
      <c r="F897" s="27"/>
      <c r="G897" s="27"/>
      <c r="H897" s="27"/>
      <c r="I897" s="27"/>
    </row>
    <row r="898" spans="1:9">
      <c r="A898" s="22"/>
      <c r="B898" s="22"/>
      <c r="D898" s="27"/>
      <c r="E898" s="27"/>
      <c r="F898" s="27"/>
      <c r="G898" s="27"/>
      <c r="H898" s="27"/>
      <c r="I898" s="27"/>
    </row>
    <row r="899" spans="1:9">
      <c r="A899" s="22"/>
      <c r="B899" s="22"/>
      <c r="D899" s="27"/>
      <c r="E899" s="27"/>
      <c r="F899" s="27"/>
      <c r="G899" s="27"/>
      <c r="H899" s="27"/>
      <c r="I899" s="27"/>
    </row>
    <row r="900" spans="1:9">
      <c r="A900" s="22"/>
      <c r="B900" s="22"/>
      <c r="D900" s="27"/>
      <c r="E900" s="27"/>
      <c r="F900" s="27"/>
      <c r="G900" s="27"/>
      <c r="H900" s="27"/>
      <c r="I900" s="27"/>
    </row>
    <row r="901" spans="1:9">
      <c r="A901" s="22"/>
      <c r="B901" s="22"/>
      <c r="D901" s="27"/>
      <c r="E901" s="27"/>
      <c r="F901" s="27"/>
      <c r="G901" s="27"/>
      <c r="H901" s="27"/>
      <c r="I901" s="27"/>
    </row>
    <row r="902" spans="1:9">
      <c r="A902" s="22"/>
      <c r="B902" s="22"/>
      <c r="D902" s="27"/>
      <c r="E902" s="27"/>
      <c r="F902" s="27"/>
      <c r="G902" s="27"/>
      <c r="H902" s="27"/>
      <c r="I902" s="27"/>
    </row>
    <row r="903" spans="1:9">
      <c r="A903" s="22"/>
      <c r="B903" s="22"/>
      <c r="D903" s="27"/>
      <c r="E903" s="27"/>
      <c r="F903" s="27"/>
      <c r="G903" s="27"/>
      <c r="H903" s="27"/>
      <c r="I903" s="27"/>
    </row>
    <row r="904" spans="1:9">
      <c r="A904" s="22"/>
      <c r="B904" s="22"/>
      <c r="D904" s="27"/>
      <c r="E904" s="27"/>
      <c r="F904" s="27"/>
      <c r="G904" s="27"/>
      <c r="H904" s="27"/>
      <c r="I904" s="27"/>
    </row>
    <row r="905" spans="1:9">
      <c r="A905" s="22"/>
      <c r="B905" s="22"/>
      <c r="D905" s="27"/>
      <c r="E905" s="27"/>
      <c r="F905" s="27"/>
      <c r="G905" s="27"/>
      <c r="H905" s="27"/>
      <c r="I905" s="27"/>
    </row>
    <row r="906" spans="1:9">
      <c r="A906" s="22"/>
      <c r="B906" s="22"/>
      <c r="D906" s="27"/>
      <c r="E906" s="27"/>
      <c r="F906" s="27"/>
      <c r="G906" s="27"/>
      <c r="H906" s="27"/>
      <c r="I906" s="27"/>
    </row>
    <row r="907" spans="1:9">
      <c r="A907" s="22"/>
      <c r="B907" s="22"/>
      <c r="D907" s="27"/>
      <c r="E907" s="27"/>
      <c r="F907" s="27"/>
      <c r="G907" s="27"/>
      <c r="H907" s="27"/>
      <c r="I907" s="27"/>
    </row>
    <row r="908" spans="1:9">
      <c r="A908" s="22"/>
      <c r="B908" s="22"/>
      <c r="D908" s="27"/>
      <c r="E908" s="27"/>
      <c r="F908" s="27"/>
      <c r="G908" s="27"/>
      <c r="H908" s="27"/>
      <c r="I908" s="27"/>
    </row>
    <row r="909" spans="1:9">
      <c r="A909" s="22"/>
      <c r="B909" s="22"/>
      <c r="D909" s="27"/>
      <c r="E909" s="27"/>
      <c r="F909" s="27"/>
      <c r="G909" s="27"/>
      <c r="H909" s="27"/>
      <c r="I909" s="27"/>
    </row>
    <row r="910" spans="1:9">
      <c r="A910" s="22"/>
      <c r="B910" s="22"/>
      <c r="D910" s="27"/>
      <c r="E910" s="27"/>
      <c r="F910" s="27"/>
      <c r="G910" s="27"/>
      <c r="H910" s="27"/>
      <c r="I910" s="27"/>
    </row>
    <row r="911" spans="1:9">
      <c r="A911" s="22"/>
      <c r="B911" s="22"/>
      <c r="D911" s="27"/>
      <c r="E911" s="27"/>
      <c r="F911" s="27"/>
      <c r="G911" s="27"/>
      <c r="H911" s="27"/>
      <c r="I911" s="27"/>
    </row>
    <row r="912" spans="1:9">
      <c r="A912" s="22"/>
      <c r="B912" s="22"/>
      <c r="D912" s="27"/>
      <c r="E912" s="27"/>
      <c r="F912" s="27"/>
      <c r="G912" s="27"/>
      <c r="H912" s="27"/>
      <c r="I912" s="27"/>
    </row>
    <row r="913" spans="1:9">
      <c r="A913" s="22"/>
      <c r="B913" s="22"/>
      <c r="D913" s="27"/>
      <c r="E913" s="27"/>
      <c r="F913" s="27"/>
      <c r="G913" s="27"/>
      <c r="H913" s="27"/>
      <c r="I913" s="27"/>
    </row>
    <row r="914" spans="1:9">
      <c r="A914" s="22"/>
      <c r="B914" s="22"/>
      <c r="D914" s="27"/>
      <c r="E914" s="27"/>
      <c r="F914" s="27"/>
      <c r="G914" s="27"/>
      <c r="H914" s="27"/>
      <c r="I914" s="27"/>
    </row>
    <row r="915" spans="1:9">
      <c r="A915" s="22"/>
      <c r="B915" s="22"/>
      <c r="D915" s="27"/>
      <c r="E915" s="27"/>
      <c r="F915" s="27"/>
      <c r="G915" s="27"/>
      <c r="H915" s="27"/>
      <c r="I915" s="27"/>
    </row>
    <row r="916" spans="1:9">
      <c r="A916" s="22"/>
      <c r="B916" s="22"/>
      <c r="D916" s="27"/>
      <c r="E916" s="27"/>
      <c r="F916" s="27"/>
      <c r="G916" s="27"/>
      <c r="H916" s="27"/>
      <c r="I916" s="27"/>
    </row>
    <row r="917" spans="1:9">
      <c r="A917" s="22"/>
      <c r="B917" s="22"/>
      <c r="D917" s="27"/>
      <c r="E917" s="27"/>
      <c r="F917" s="27"/>
      <c r="G917" s="27"/>
      <c r="H917" s="27"/>
      <c r="I917" s="27"/>
    </row>
    <row r="918" spans="1:9">
      <c r="A918" s="22"/>
      <c r="B918" s="22"/>
      <c r="D918" s="27"/>
      <c r="E918" s="27"/>
      <c r="F918" s="27"/>
      <c r="G918" s="27"/>
      <c r="H918" s="27"/>
      <c r="I918" s="27"/>
    </row>
    <row r="919" spans="1:9">
      <c r="A919" s="22"/>
      <c r="B919" s="22"/>
      <c r="D919" s="27"/>
      <c r="E919" s="27"/>
      <c r="F919" s="27"/>
      <c r="G919" s="27"/>
      <c r="H919" s="27"/>
      <c r="I919" s="27"/>
    </row>
    <row r="920" spans="1:9">
      <c r="A920" s="22"/>
      <c r="B920" s="22"/>
      <c r="D920" s="27"/>
      <c r="E920" s="27"/>
      <c r="F920" s="27"/>
      <c r="G920" s="27"/>
      <c r="H920" s="27"/>
      <c r="I920" s="27"/>
    </row>
    <row r="921" spans="1:9">
      <c r="A921" s="22"/>
      <c r="B921" s="22"/>
      <c r="D921" s="27"/>
      <c r="E921" s="27"/>
      <c r="F921" s="27"/>
      <c r="G921" s="27"/>
      <c r="H921" s="27"/>
      <c r="I921" s="27"/>
    </row>
    <row r="922" spans="1:9">
      <c r="A922" s="22"/>
      <c r="B922" s="22"/>
      <c r="D922" s="27"/>
      <c r="E922" s="27"/>
      <c r="F922" s="27"/>
      <c r="G922" s="27"/>
      <c r="H922" s="27"/>
      <c r="I922" s="27"/>
    </row>
    <row r="923" spans="1:9">
      <c r="A923" s="22"/>
      <c r="B923" s="22"/>
      <c r="D923" s="27"/>
      <c r="E923" s="27"/>
      <c r="F923" s="27"/>
      <c r="G923" s="27"/>
      <c r="H923" s="27"/>
      <c r="I923" s="27"/>
    </row>
    <row r="924" spans="1:9">
      <c r="A924" s="22"/>
      <c r="B924" s="22"/>
      <c r="D924" s="27"/>
      <c r="E924" s="27"/>
      <c r="F924" s="27"/>
      <c r="G924" s="27"/>
      <c r="H924" s="27"/>
      <c r="I924" s="27"/>
    </row>
    <row r="925" spans="1:9">
      <c r="A925" s="22"/>
      <c r="B925" s="22"/>
      <c r="D925" s="27"/>
      <c r="E925" s="27"/>
      <c r="F925" s="27"/>
      <c r="G925" s="27"/>
      <c r="H925" s="27"/>
      <c r="I925" s="27"/>
    </row>
    <row r="926" spans="1:9">
      <c r="A926" s="22"/>
      <c r="B926" s="22"/>
      <c r="D926" s="27"/>
      <c r="E926" s="27"/>
      <c r="F926" s="27"/>
      <c r="G926" s="27"/>
      <c r="H926" s="27"/>
      <c r="I926" s="27"/>
    </row>
    <row r="927" spans="1:9">
      <c r="A927" s="22"/>
      <c r="B927" s="22"/>
      <c r="D927" s="27"/>
      <c r="E927" s="27"/>
      <c r="F927" s="27"/>
      <c r="G927" s="27"/>
      <c r="H927" s="27"/>
      <c r="I927" s="27"/>
    </row>
    <row r="928" spans="1:9">
      <c r="A928" s="22"/>
      <c r="B928" s="22"/>
      <c r="D928" s="27"/>
      <c r="E928" s="27"/>
      <c r="F928" s="27"/>
      <c r="G928" s="27"/>
      <c r="H928" s="27"/>
      <c r="I928" s="27"/>
    </row>
    <row r="929" spans="1:9">
      <c r="A929" s="22"/>
      <c r="B929" s="22"/>
      <c r="D929" s="27"/>
      <c r="E929" s="27"/>
      <c r="F929" s="27"/>
      <c r="G929" s="27"/>
      <c r="H929" s="27"/>
      <c r="I929" s="27"/>
    </row>
    <row r="930" spans="1:9">
      <c r="A930" s="22"/>
      <c r="B930" s="22"/>
      <c r="D930" s="27"/>
      <c r="E930" s="27"/>
      <c r="F930" s="27"/>
      <c r="G930" s="27"/>
      <c r="H930" s="27"/>
      <c r="I930" s="27"/>
    </row>
    <row r="931" spans="1:9">
      <c r="A931" s="22"/>
      <c r="B931" s="22"/>
      <c r="D931" s="27"/>
      <c r="E931" s="27"/>
      <c r="F931" s="27"/>
      <c r="G931" s="27"/>
      <c r="H931" s="27"/>
      <c r="I931" s="27"/>
    </row>
    <row r="932" spans="1:9">
      <c r="A932" s="22"/>
      <c r="B932" s="22"/>
      <c r="D932" s="27"/>
      <c r="E932" s="27"/>
      <c r="F932" s="27"/>
      <c r="G932" s="27"/>
      <c r="H932" s="27"/>
      <c r="I932" s="27"/>
    </row>
    <row r="933" spans="1:9">
      <c r="A933" s="22"/>
      <c r="B933" s="22"/>
      <c r="D933" s="27"/>
      <c r="E933" s="27"/>
      <c r="F933" s="27"/>
      <c r="G933" s="27"/>
      <c r="H933" s="27"/>
      <c r="I933" s="27"/>
    </row>
    <row r="934" spans="1:9">
      <c r="A934" s="22"/>
      <c r="B934" s="22"/>
      <c r="D934" s="27"/>
      <c r="E934" s="27"/>
      <c r="F934" s="27"/>
      <c r="G934" s="27"/>
      <c r="H934" s="27"/>
      <c r="I934" s="27"/>
    </row>
    <row r="935" spans="1:9">
      <c r="A935" s="22"/>
      <c r="B935" s="22"/>
      <c r="D935" s="27"/>
      <c r="E935" s="27"/>
      <c r="F935" s="27"/>
      <c r="G935" s="27"/>
      <c r="H935" s="27"/>
      <c r="I935" s="27"/>
    </row>
    <row r="936" spans="1:9">
      <c r="A936" s="22"/>
      <c r="B936" s="22"/>
      <c r="D936" s="27"/>
      <c r="E936" s="27"/>
      <c r="F936" s="27"/>
      <c r="G936" s="27"/>
      <c r="H936" s="27"/>
      <c r="I936" s="27"/>
    </row>
    <row r="937" spans="1:9">
      <c r="A937" s="22"/>
      <c r="B937" s="22"/>
      <c r="D937" s="27"/>
      <c r="E937" s="27"/>
      <c r="F937" s="27"/>
      <c r="G937" s="27"/>
      <c r="H937" s="27"/>
      <c r="I937" s="27"/>
    </row>
    <row r="938" spans="1:9">
      <c r="A938" s="22"/>
      <c r="B938" s="22"/>
      <c r="D938" s="27"/>
      <c r="E938" s="27"/>
      <c r="F938" s="27"/>
      <c r="G938" s="27"/>
      <c r="H938" s="27"/>
      <c r="I938" s="27"/>
    </row>
    <row r="939" spans="1:9">
      <c r="A939" s="22"/>
      <c r="B939" s="22"/>
      <c r="D939" s="27"/>
      <c r="E939" s="27"/>
      <c r="F939" s="27"/>
      <c r="G939" s="27"/>
      <c r="H939" s="27"/>
      <c r="I939" s="27"/>
    </row>
    <row r="940" spans="1:9">
      <c r="A940" s="22"/>
      <c r="B940" s="22"/>
      <c r="D940" s="27"/>
      <c r="E940" s="27"/>
      <c r="F940" s="27"/>
      <c r="G940" s="27"/>
      <c r="H940" s="27"/>
      <c r="I940" s="27"/>
    </row>
    <row r="941" spans="1:9">
      <c r="A941" s="22"/>
      <c r="B941" s="22"/>
      <c r="D941" s="27"/>
      <c r="E941" s="27"/>
      <c r="F941" s="27"/>
      <c r="G941" s="27"/>
      <c r="H941" s="27"/>
      <c r="I941" s="27"/>
    </row>
    <row r="942" spans="1:9">
      <c r="A942" s="22"/>
      <c r="B942" s="22"/>
      <c r="D942" s="27"/>
      <c r="E942" s="27"/>
      <c r="F942" s="27"/>
      <c r="G942" s="27"/>
      <c r="H942" s="27"/>
      <c r="I942" s="27"/>
    </row>
    <row r="943" spans="1:9">
      <c r="A943" s="22"/>
      <c r="B943" s="22"/>
      <c r="D943" s="27"/>
      <c r="E943" s="27"/>
      <c r="F943" s="27"/>
      <c r="G943" s="27"/>
      <c r="H943" s="27"/>
      <c r="I943" s="27"/>
    </row>
    <row r="944" spans="1:9">
      <c r="A944" s="22"/>
      <c r="B944" s="22"/>
      <c r="D944" s="27"/>
      <c r="E944" s="27"/>
      <c r="F944" s="27"/>
      <c r="G944" s="27"/>
      <c r="H944" s="27"/>
      <c r="I944" s="27"/>
    </row>
    <row r="945" spans="1:9">
      <c r="A945" s="22"/>
      <c r="B945" s="22"/>
      <c r="D945" s="27"/>
      <c r="E945" s="27"/>
      <c r="F945" s="27"/>
      <c r="G945" s="27"/>
      <c r="H945" s="27"/>
      <c r="I945" s="27"/>
    </row>
    <row r="946" spans="1:9">
      <c r="A946" s="22"/>
      <c r="B946" s="22"/>
      <c r="D946" s="27"/>
      <c r="E946" s="27"/>
      <c r="F946" s="27"/>
      <c r="G946" s="27"/>
      <c r="H946" s="27"/>
      <c r="I946" s="27"/>
    </row>
    <row r="947" spans="1:9">
      <c r="A947" s="22"/>
      <c r="B947" s="22"/>
      <c r="D947" s="27"/>
      <c r="E947" s="27"/>
      <c r="F947" s="27"/>
      <c r="G947" s="27"/>
      <c r="H947" s="27"/>
      <c r="I947" s="27"/>
    </row>
    <row r="948" spans="1:9">
      <c r="A948" s="22"/>
      <c r="B948" s="22"/>
      <c r="D948" s="27"/>
      <c r="E948" s="27"/>
      <c r="F948" s="27"/>
      <c r="G948" s="27"/>
      <c r="H948" s="27"/>
      <c r="I948" s="27"/>
    </row>
    <row r="949" spans="1:9">
      <c r="A949" s="22"/>
      <c r="B949" s="22"/>
      <c r="D949" s="27"/>
      <c r="E949" s="27"/>
      <c r="F949" s="27"/>
      <c r="G949" s="27"/>
      <c r="H949" s="27"/>
      <c r="I949" s="27"/>
    </row>
    <row r="950" spans="1:9">
      <c r="A950" s="22"/>
      <c r="B950" s="22"/>
      <c r="D950" s="27"/>
      <c r="E950" s="27"/>
      <c r="F950" s="27"/>
      <c r="G950" s="27"/>
      <c r="H950" s="27"/>
      <c r="I950" s="27"/>
    </row>
    <row r="951" spans="1:9">
      <c r="A951" s="22"/>
      <c r="B951" s="22"/>
      <c r="D951" s="27"/>
      <c r="E951" s="27"/>
      <c r="F951" s="27"/>
      <c r="G951" s="27"/>
      <c r="H951" s="27"/>
      <c r="I951" s="27"/>
    </row>
    <row r="952" spans="1:9">
      <c r="A952" s="22"/>
      <c r="B952" s="22"/>
      <c r="D952" s="27"/>
      <c r="E952" s="27"/>
      <c r="F952" s="27"/>
      <c r="G952" s="27"/>
      <c r="H952" s="27"/>
      <c r="I952" s="27"/>
    </row>
    <row r="953" spans="1:9">
      <c r="A953" s="22"/>
      <c r="B953" s="22"/>
      <c r="D953" s="27"/>
      <c r="E953" s="27"/>
      <c r="F953" s="27"/>
      <c r="G953" s="27"/>
      <c r="H953" s="27"/>
      <c r="I953" s="27"/>
    </row>
    <row r="954" spans="1:9">
      <c r="A954" s="22"/>
      <c r="B954" s="22"/>
      <c r="D954" s="27"/>
      <c r="E954" s="27"/>
      <c r="F954" s="27"/>
      <c r="G954" s="27"/>
      <c r="H954" s="27"/>
      <c r="I954" s="27"/>
    </row>
    <row r="955" spans="1:9">
      <c r="A955" s="22"/>
      <c r="B955" s="22"/>
      <c r="D955" s="27"/>
      <c r="E955" s="27"/>
      <c r="F955" s="27"/>
      <c r="G955" s="27"/>
      <c r="H955" s="27"/>
      <c r="I955" s="27"/>
    </row>
    <row r="956" spans="1:9">
      <c r="A956" s="22"/>
      <c r="B956" s="22"/>
      <c r="D956" s="27"/>
      <c r="E956" s="27"/>
      <c r="F956" s="27"/>
      <c r="G956" s="27"/>
      <c r="H956" s="27"/>
      <c r="I956" s="27"/>
    </row>
    <row r="957" spans="1:9">
      <c r="A957" s="22"/>
      <c r="B957" s="22"/>
      <c r="D957" s="27"/>
      <c r="E957" s="27"/>
      <c r="F957" s="27"/>
      <c r="G957" s="27"/>
      <c r="H957" s="27"/>
      <c r="I957" s="27"/>
    </row>
    <row r="958" spans="1:9">
      <c r="A958" s="22"/>
      <c r="B958" s="22"/>
      <c r="D958" s="27"/>
      <c r="E958" s="27"/>
      <c r="F958" s="27"/>
      <c r="G958" s="27"/>
      <c r="H958" s="27"/>
      <c r="I958" s="27"/>
    </row>
    <row r="959" spans="1:9">
      <c r="A959" s="22"/>
      <c r="B959" s="22"/>
      <c r="D959" s="27"/>
      <c r="E959" s="27"/>
      <c r="F959" s="27"/>
      <c r="G959" s="27"/>
      <c r="H959" s="27"/>
      <c r="I959" s="27"/>
    </row>
    <row r="960" spans="1:9">
      <c r="A960" s="22"/>
      <c r="B960" s="22"/>
      <c r="D960" s="27"/>
      <c r="E960" s="27"/>
      <c r="F960" s="27"/>
      <c r="G960" s="27"/>
      <c r="H960" s="27"/>
      <c r="I960" s="27"/>
    </row>
    <row r="961" spans="1:9">
      <c r="A961" s="22"/>
      <c r="B961" s="22"/>
      <c r="D961" s="27"/>
      <c r="E961" s="27"/>
      <c r="F961" s="27"/>
      <c r="G961" s="27"/>
      <c r="H961" s="27"/>
      <c r="I961" s="27"/>
    </row>
    <row r="962" spans="1:9">
      <c r="A962" s="22"/>
      <c r="B962" s="22"/>
      <c r="D962" s="27"/>
      <c r="E962" s="27"/>
      <c r="F962" s="27"/>
      <c r="G962" s="27"/>
      <c r="H962" s="27"/>
      <c r="I962" s="27"/>
    </row>
    <row r="963" spans="1:9">
      <c r="A963" s="22"/>
      <c r="B963" s="22"/>
      <c r="D963" s="27"/>
      <c r="E963" s="27"/>
      <c r="F963" s="27"/>
      <c r="G963" s="27"/>
      <c r="H963" s="27"/>
      <c r="I963" s="27"/>
    </row>
    <row r="964" spans="1:9">
      <c r="A964" s="22"/>
      <c r="B964" s="22"/>
      <c r="D964" s="27"/>
      <c r="E964" s="27"/>
      <c r="F964" s="27"/>
      <c r="G964" s="27"/>
      <c r="H964" s="27"/>
      <c r="I964" s="27"/>
    </row>
    <row r="965" spans="1:9">
      <c r="A965" s="22"/>
      <c r="B965" s="22"/>
      <c r="D965" s="27"/>
      <c r="E965" s="27"/>
      <c r="F965" s="27"/>
      <c r="G965" s="27"/>
      <c r="H965" s="27"/>
      <c r="I965" s="27"/>
    </row>
    <row r="966" spans="1:9">
      <c r="A966" s="22"/>
      <c r="B966" s="22"/>
      <c r="D966" s="27"/>
      <c r="E966" s="27"/>
      <c r="F966" s="27"/>
      <c r="G966" s="27"/>
      <c r="H966" s="27"/>
      <c r="I966" s="27"/>
    </row>
    <row r="967" spans="1:9">
      <c r="A967" s="22"/>
      <c r="B967" s="22"/>
      <c r="D967" s="27"/>
      <c r="E967" s="27"/>
      <c r="F967" s="27"/>
      <c r="G967" s="27"/>
      <c r="H967" s="27"/>
      <c r="I967" s="27"/>
    </row>
    <row r="968" spans="1:9">
      <c r="A968" s="22"/>
      <c r="B968" s="22"/>
      <c r="D968" s="27"/>
      <c r="E968" s="27"/>
      <c r="F968" s="27"/>
      <c r="G968" s="27"/>
      <c r="H968" s="27"/>
      <c r="I968" s="27"/>
    </row>
    <row r="969" spans="1:9">
      <c r="A969" s="22"/>
      <c r="B969" s="22"/>
      <c r="D969" s="27"/>
      <c r="E969" s="27"/>
      <c r="F969" s="27"/>
      <c r="G969" s="27"/>
      <c r="H969" s="27"/>
      <c r="I969" s="27"/>
    </row>
    <row r="970" spans="1:9">
      <c r="A970" s="22"/>
      <c r="B970" s="22"/>
      <c r="D970" s="27"/>
      <c r="E970" s="27"/>
      <c r="F970" s="27"/>
      <c r="G970" s="27"/>
      <c r="H970" s="27"/>
      <c r="I970" s="27"/>
    </row>
    <row r="971" spans="1:9">
      <c r="A971" s="22"/>
      <c r="B971" s="22"/>
      <c r="D971" s="27"/>
      <c r="E971" s="27"/>
      <c r="F971" s="27"/>
      <c r="G971" s="27"/>
      <c r="H971" s="27"/>
      <c r="I971" s="27"/>
    </row>
    <row r="972" spans="1:9">
      <c r="A972" s="22"/>
      <c r="B972" s="22"/>
      <c r="D972" s="27"/>
      <c r="E972" s="27"/>
      <c r="F972" s="27"/>
      <c r="G972" s="27"/>
      <c r="H972" s="27"/>
      <c r="I972" s="27"/>
    </row>
    <row r="973" spans="1:9">
      <c r="A973" s="22"/>
      <c r="B973" s="22"/>
      <c r="D973" s="27"/>
      <c r="E973" s="27"/>
      <c r="F973" s="27"/>
      <c r="G973" s="27"/>
      <c r="H973" s="27"/>
      <c r="I973" s="27"/>
    </row>
    <row r="974" spans="1:9">
      <c r="A974" s="22"/>
      <c r="B974" s="22"/>
      <c r="D974" s="27"/>
      <c r="E974" s="27"/>
      <c r="F974" s="27"/>
      <c r="G974" s="27"/>
      <c r="H974" s="27"/>
      <c r="I974" s="27"/>
    </row>
    <row r="975" spans="1:9">
      <c r="A975" s="22"/>
      <c r="B975" s="22"/>
      <c r="D975" s="27"/>
      <c r="E975" s="27"/>
      <c r="F975" s="27"/>
      <c r="G975" s="27"/>
      <c r="H975" s="27"/>
      <c r="I975" s="27"/>
    </row>
    <row r="976" spans="1:9">
      <c r="A976" s="22"/>
      <c r="B976" s="22"/>
      <c r="D976" s="27"/>
      <c r="E976" s="27"/>
      <c r="F976" s="27"/>
      <c r="G976" s="27"/>
      <c r="H976" s="27"/>
      <c r="I976" s="27"/>
    </row>
    <row r="977" spans="1:9">
      <c r="A977" s="22"/>
      <c r="B977" s="22"/>
      <c r="D977" s="27"/>
      <c r="E977" s="27"/>
      <c r="F977" s="27"/>
      <c r="G977" s="27"/>
      <c r="H977" s="27"/>
      <c r="I977" s="27"/>
    </row>
    <row r="978" spans="1:9">
      <c r="A978" s="22"/>
      <c r="B978" s="22"/>
      <c r="D978" s="27"/>
      <c r="E978" s="27"/>
      <c r="F978" s="27"/>
      <c r="G978" s="27"/>
      <c r="H978" s="27"/>
      <c r="I978" s="27"/>
    </row>
    <row r="979" spans="1:9">
      <c r="A979" s="22"/>
      <c r="B979" s="22"/>
      <c r="D979" s="27"/>
      <c r="E979" s="27"/>
      <c r="F979" s="27"/>
      <c r="G979" s="27"/>
      <c r="H979" s="27"/>
      <c r="I979" s="27"/>
    </row>
    <row r="980" spans="1:9">
      <c r="A980" s="22"/>
      <c r="B980" s="22"/>
      <c r="D980" s="27"/>
      <c r="E980" s="27"/>
      <c r="F980" s="27"/>
      <c r="G980" s="27"/>
      <c r="H980" s="27"/>
      <c r="I980" s="27"/>
    </row>
    <row r="981" spans="1:9">
      <c r="A981" s="22"/>
      <c r="B981" s="22"/>
      <c r="D981" s="27"/>
      <c r="E981" s="27"/>
      <c r="F981" s="27"/>
      <c r="G981" s="27"/>
      <c r="H981" s="27"/>
      <c r="I981" s="27"/>
    </row>
    <row r="982" spans="1:9">
      <c r="A982" s="22"/>
      <c r="B982" s="22"/>
      <c r="D982" s="27"/>
      <c r="E982" s="27"/>
      <c r="F982" s="27"/>
      <c r="G982" s="27"/>
      <c r="H982" s="27"/>
      <c r="I982" s="27"/>
    </row>
    <row r="983" spans="1:9">
      <c r="A983" s="22"/>
      <c r="B983" s="22"/>
      <c r="D983" s="27"/>
      <c r="E983" s="27"/>
      <c r="F983" s="27"/>
      <c r="G983" s="27"/>
      <c r="H983" s="27"/>
      <c r="I983" s="27"/>
    </row>
    <row r="984" spans="1:9">
      <c r="A984" s="22"/>
      <c r="B984" s="22"/>
      <c r="D984" s="27"/>
      <c r="E984" s="27"/>
      <c r="F984" s="27"/>
      <c r="G984" s="27"/>
      <c r="H984" s="27"/>
      <c r="I984" s="27"/>
    </row>
    <row r="985" spans="1:9">
      <c r="A985" s="22"/>
      <c r="B985" s="22"/>
      <c r="D985" s="27"/>
      <c r="E985" s="27"/>
      <c r="F985" s="27"/>
      <c r="G985" s="27"/>
      <c r="H985" s="27"/>
      <c r="I985" s="27"/>
    </row>
    <row r="986" spans="1:9">
      <c r="A986" s="22"/>
      <c r="B986" s="22"/>
      <c r="D986" s="27"/>
      <c r="E986" s="27"/>
      <c r="F986" s="27"/>
      <c r="G986" s="27"/>
      <c r="H986" s="27"/>
      <c r="I986" s="27"/>
    </row>
    <row r="987" spans="1:9">
      <c r="A987" s="22"/>
      <c r="B987" s="22"/>
      <c r="D987" s="27"/>
      <c r="E987" s="27"/>
      <c r="F987" s="27"/>
      <c r="G987" s="27"/>
      <c r="H987" s="27"/>
      <c r="I987" s="27"/>
    </row>
    <row r="988" spans="1:9">
      <c r="A988" s="22"/>
      <c r="B988" s="22"/>
      <c r="D988" s="27"/>
      <c r="E988" s="27"/>
      <c r="F988" s="27"/>
      <c r="G988" s="27"/>
      <c r="H988" s="27"/>
      <c r="I988" s="27"/>
    </row>
    <row r="989" spans="1:9">
      <c r="A989" s="22"/>
      <c r="B989" s="22"/>
      <c r="D989" s="27"/>
      <c r="E989" s="27"/>
      <c r="F989" s="27"/>
      <c r="G989" s="27"/>
      <c r="H989" s="27"/>
      <c r="I989" s="27"/>
    </row>
    <row r="990" spans="1:9">
      <c r="A990" s="22"/>
      <c r="B990" s="22"/>
      <c r="D990" s="27"/>
      <c r="E990" s="27"/>
      <c r="F990" s="27"/>
      <c r="G990" s="27"/>
      <c r="H990" s="27"/>
      <c r="I990" s="27"/>
    </row>
    <row r="991" spans="1:9">
      <c r="A991" s="22"/>
      <c r="B991" s="22"/>
      <c r="D991" s="27"/>
      <c r="E991" s="27"/>
      <c r="F991" s="27"/>
      <c r="G991" s="27"/>
      <c r="H991" s="27"/>
      <c r="I991" s="27"/>
    </row>
    <row r="992" spans="1:9">
      <c r="A992" s="22"/>
      <c r="B992" s="22"/>
      <c r="D992" s="27"/>
      <c r="E992" s="27"/>
      <c r="F992" s="27"/>
      <c r="G992" s="27"/>
      <c r="H992" s="27"/>
      <c r="I992" s="27"/>
    </row>
    <row r="993" spans="1:9">
      <c r="A993" s="22"/>
      <c r="B993" s="22"/>
      <c r="D993" s="27"/>
      <c r="E993" s="27"/>
      <c r="F993" s="27"/>
      <c r="G993" s="27"/>
      <c r="H993" s="27"/>
      <c r="I993" s="27"/>
    </row>
    <row r="994" spans="1:9">
      <c r="A994" s="22"/>
      <c r="B994" s="22"/>
      <c r="D994" s="27"/>
      <c r="E994" s="27"/>
      <c r="F994" s="27"/>
      <c r="G994" s="27"/>
      <c r="H994" s="27"/>
      <c r="I994" s="27"/>
    </row>
    <row r="995" spans="1:9">
      <c r="A995" s="22"/>
      <c r="B995" s="22"/>
      <c r="D995" s="27"/>
      <c r="E995" s="27"/>
      <c r="F995" s="27"/>
      <c r="G995" s="27"/>
      <c r="H995" s="27"/>
      <c r="I995" s="27"/>
    </row>
    <row r="996" spans="1:9">
      <c r="A996" s="22"/>
      <c r="B996" s="22"/>
      <c r="D996" s="27"/>
      <c r="E996" s="27"/>
      <c r="F996" s="27"/>
      <c r="G996" s="27"/>
      <c r="H996" s="27"/>
      <c r="I996" s="27"/>
    </row>
    <row r="997" spans="1:9">
      <c r="A997" s="22"/>
      <c r="B997" s="22"/>
      <c r="D997" s="27"/>
      <c r="E997" s="27"/>
      <c r="F997" s="27"/>
      <c r="G997" s="27"/>
      <c r="H997" s="27"/>
      <c r="I997" s="27"/>
    </row>
    <row r="998" spans="1:9">
      <c r="A998" s="22"/>
      <c r="B998" s="22"/>
      <c r="D998" s="27"/>
      <c r="E998" s="27"/>
      <c r="F998" s="27"/>
      <c r="G998" s="27"/>
      <c r="H998" s="27"/>
      <c r="I998" s="27"/>
    </row>
    <row r="999" spans="1:9">
      <c r="A999" s="22"/>
      <c r="B999" s="22"/>
      <c r="D999" s="27"/>
      <c r="E999" s="27"/>
      <c r="F999" s="27"/>
      <c r="G999" s="27"/>
      <c r="H999" s="27"/>
      <c r="I999" s="27"/>
    </row>
    <row r="1000" spans="1:9">
      <c r="A1000" s="22"/>
      <c r="B1000" s="22"/>
      <c r="D1000" s="27"/>
      <c r="E1000" s="27"/>
      <c r="F1000" s="27"/>
      <c r="G1000" s="27"/>
      <c r="H1000" s="27"/>
      <c r="I1000" s="27"/>
    </row>
    <row r="1001" spans="1:9">
      <c r="A1001" s="22"/>
      <c r="B1001" s="22"/>
      <c r="D1001" s="27"/>
      <c r="E1001" s="27"/>
      <c r="F1001" s="27"/>
      <c r="G1001" s="27"/>
      <c r="H1001" s="27"/>
      <c r="I1001" s="27"/>
    </row>
    <row r="1002" spans="1:9">
      <c r="A1002" s="22"/>
      <c r="B1002" s="22"/>
      <c r="D1002" s="27"/>
      <c r="E1002" s="27"/>
      <c r="F1002" s="27"/>
      <c r="G1002" s="27"/>
      <c r="H1002" s="27"/>
      <c r="I1002" s="27"/>
    </row>
    <row r="1003" spans="1:9">
      <c r="A1003" s="22"/>
      <c r="B1003" s="22"/>
      <c r="D1003" s="27"/>
      <c r="E1003" s="27"/>
      <c r="F1003" s="27"/>
      <c r="G1003" s="27"/>
      <c r="H1003" s="27"/>
      <c r="I1003" s="27"/>
    </row>
    <row r="1004" spans="1:9">
      <c r="A1004" s="22"/>
      <c r="B1004" s="22"/>
      <c r="D1004" s="27"/>
      <c r="E1004" s="27"/>
      <c r="F1004" s="27"/>
      <c r="G1004" s="27"/>
      <c r="H1004" s="27"/>
      <c r="I1004" s="27"/>
    </row>
    <row r="1005" spans="1:9">
      <c r="A1005" s="22"/>
      <c r="B1005" s="22"/>
      <c r="D1005" s="27"/>
      <c r="E1005" s="27"/>
      <c r="F1005" s="27"/>
      <c r="G1005" s="27"/>
      <c r="H1005" s="27"/>
      <c r="I1005" s="27"/>
    </row>
    <row r="1006" spans="1:9">
      <c r="A1006" s="22"/>
      <c r="B1006" s="22"/>
      <c r="D1006" s="27"/>
      <c r="E1006" s="27"/>
      <c r="F1006" s="27"/>
      <c r="G1006" s="27"/>
      <c r="H1006" s="27"/>
      <c r="I1006" s="27"/>
    </row>
    <row r="1007" spans="1:9">
      <c r="A1007" s="22"/>
      <c r="B1007" s="22"/>
      <c r="D1007" s="27"/>
      <c r="E1007" s="27"/>
      <c r="F1007" s="27"/>
      <c r="G1007" s="27"/>
      <c r="H1007" s="27"/>
      <c r="I1007" s="27"/>
    </row>
    <row r="1008" spans="1:9">
      <c r="A1008" s="22"/>
      <c r="B1008" s="22"/>
      <c r="D1008" s="27"/>
      <c r="E1008" s="27"/>
      <c r="F1008" s="27"/>
      <c r="G1008" s="27"/>
      <c r="H1008" s="27"/>
      <c r="I1008" s="27"/>
    </row>
    <row r="1009" spans="1:9">
      <c r="A1009" s="22"/>
      <c r="B1009" s="22"/>
      <c r="D1009" s="27"/>
      <c r="E1009" s="27"/>
      <c r="F1009" s="27"/>
      <c r="G1009" s="27"/>
      <c r="H1009" s="27"/>
      <c r="I1009" s="27"/>
    </row>
    <row r="1010" spans="1:9">
      <c r="A1010" s="22"/>
      <c r="B1010" s="22"/>
      <c r="D1010" s="27"/>
      <c r="E1010" s="27"/>
      <c r="F1010" s="27"/>
      <c r="G1010" s="27"/>
      <c r="H1010" s="27"/>
      <c r="I1010" s="27"/>
    </row>
    <row r="1011" spans="1:9">
      <c r="A1011" s="22"/>
      <c r="B1011" s="22"/>
      <c r="D1011" s="27"/>
      <c r="E1011" s="27"/>
      <c r="F1011" s="27"/>
      <c r="G1011" s="27"/>
      <c r="H1011" s="27"/>
      <c r="I1011" s="27"/>
    </row>
    <row r="1012" spans="1:9">
      <c r="A1012" s="22"/>
      <c r="B1012" s="22"/>
      <c r="D1012" s="27"/>
      <c r="E1012" s="27"/>
      <c r="F1012" s="27"/>
      <c r="G1012" s="27"/>
      <c r="H1012" s="27"/>
      <c r="I1012" s="27"/>
    </row>
    <row r="1013" spans="1:9">
      <c r="A1013" s="22"/>
      <c r="B1013" s="22"/>
      <c r="D1013" s="27"/>
      <c r="E1013" s="27"/>
      <c r="F1013" s="27"/>
      <c r="G1013" s="27"/>
      <c r="H1013" s="27"/>
      <c r="I1013" s="27"/>
    </row>
    <row r="1014" spans="1:9">
      <c r="A1014" s="22"/>
      <c r="B1014" s="22"/>
      <c r="D1014" s="27"/>
      <c r="E1014" s="27"/>
      <c r="F1014" s="27"/>
      <c r="G1014" s="27"/>
      <c r="H1014" s="27"/>
      <c r="I1014" s="27"/>
    </row>
    <row r="1015" spans="1:9">
      <c r="A1015" s="22"/>
      <c r="B1015" s="22"/>
      <c r="D1015" s="27"/>
      <c r="E1015" s="27"/>
      <c r="F1015" s="27"/>
      <c r="G1015" s="27"/>
      <c r="H1015" s="27"/>
      <c r="I1015" s="27"/>
    </row>
    <row r="1016" spans="1:9">
      <c r="A1016" s="22"/>
      <c r="B1016" s="22"/>
      <c r="D1016" s="27"/>
      <c r="E1016" s="27"/>
      <c r="F1016" s="27"/>
      <c r="G1016" s="27"/>
      <c r="H1016" s="27"/>
      <c r="I1016" s="27"/>
    </row>
    <row r="1017" spans="1:9">
      <c r="A1017" s="22"/>
      <c r="B1017" s="22"/>
      <c r="D1017" s="27"/>
      <c r="E1017" s="27"/>
      <c r="F1017" s="27"/>
      <c r="G1017" s="27"/>
      <c r="H1017" s="27"/>
      <c r="I1017" s="27"/>
    </row>
    <row r="1018" spans="1:9">
      <c r="A1018" s="22"/>
      <c r="B1018" s="22"/>
      <c r="D1018" s="27"/>
      <c r="E1018" s="27"/>
      <c r="F1018" s="27"/>
      <c r="G1018" s="27"/>
      <c r="H1018" s="27"/>
      <c r="I1018" s="27"/>
    </row>
    <row r="1019" spans="1:9">
      <c r="A1019" s="22"/>
      <c r="B1019" s="22"/>
      <c r="D1019" s="27"/>
      <c r="E1019" s="27"/>
      <c r="F1019" s="27"/>
      <c r="G1019" s="27"/>
      <c r="H1019" s="27"/>
      <c r="I1019" s="27"/>
    </row>
    <row r="1020" spans="1:9">
      <c r="A1020" s="22"/>
      <c r="B1020" s="22"/>
      <c r="D1020" s="27"/>
      <c r="E1020" s="27"/>
      <c r="F1020" s="27"/>
      <c r="G1020" s="27"/>
      <c r="H1020" s="27"/>
      <c r="I1020" s="27"/>
    </row>
    <row r="1021" spans="1:9">
      <c r="A1021" s="22"/>
      <c r="B1021" s="22"/>
      <c r="D1021" s="27"/>
      <c r="E1021" s="27"/>
      <c r="F1021" s="27"/>
      <c r="G1021" s="27"/>
      <c r="H1021" s="27"/>
      <c r="I1021" s="27"/>
    </row>
    <row r="1022" spans="1:9">
      <c r="A1022" s="22"/>
      <c r="B1022" s="22"/>
      <c r="D1022" s="27"/>
      <c r="E1022" s="27"/>
      <c r="F1022" s="27"/>
      <c r="G1022" s="27"/>
      <c r="H1022" s="27"/>
      <c r="I1022" s="27"/>
    </row>
    <row r="1023" spans="1:9">
      <c r="A1023" s="22"/>
      <c r="B1023" s="22"/>
      <c r="D1023" s="27"/>
      <c r="E1023" s="27"/>
      <c r="F1023" s="27"/>
      <c r="G1023" s="27"/>
      <c r="H1023" s="27"/>
      <c r="I1023" s="27"/>
    </row>
    <row r="1024" spans="1:9">
      <c r="A1024" s="22"/>
      <c r="B1024" s="22"/>
      <c r="D1024" s="27"/>
      <c r="E1024" s="27"/>
      <c r="F1024" s="27"/>
      <c r="G1024" s="27"/>
      <c r="H1024" s="27"/>
      <c r="I1024" s="27"/>
    </row>
    <row r="1025" spans="1:9">
      <c r="A1025" s="22"/>
      <c r="B1025" s="22"/>
      <c r="D1025" s="27"/>
      <c r="E1025" s="27"/>
      <c r="F1025" s="27"/>
      <c r="G1025" s="27"/>
      <c r="H1025" s="27"/>
      <c r="I1025" s="27"/>
    </row>
    <row r="1026" spans="1:9">
      <c r="A1026" s="22"/>
      <c r="B1026" s="22"/>
      <c r="D1026" s="27"/>
      <c r="E1026" s="27"/>
      <c r="F1026" s="27"/>
      <c r="G1026" s="27"/>
      <c r="H1026" s="27"/>
      <c r="I1026" s="27"/>
    </row>
    <row r="1027" spans="1:9">
      <c r="A1027" s="22"/>
      <c r="B1027" s="22"/>
      <c r="D1027" s="27"/>
      <c r="E1027" s="27"/>
      <c r="F1027" s="27"/>
      <c r="G1027" s="27"/>
      <c r="H1027" s="27"/>
      <c r="I1027" s="27"/>
    </row>
    <row r="1028" spans="1:9">
      <c r="A1028" s="22"/>
      <c r="B1028" s="22"/>
      <c r="D1028" s="27"/>
      <c r="E1028" s="27"/>
      <c r="F1028" s="27"/>
      <c r="G1028" s="27"/>
      <c r="H1028" s="27"/>
      <c r="I1028" s="27"/>
    </row>
    <row r="1029" spans="1:9">
      <c r="A1029" s="22"/>
      <c r="B1029" s="22"/>
      <c r="D1029" s="27"/>
      <c r="E1029" s="27"/>
      <c r="F1029" s="27"/>
      <c r="G1029" s="27"/>
      <c r="H1029" s="27"/>
      <c r="I1029" s="27"/>
    </row>
    <row r="1030" spans="1:9">
      <c r="A1030" s="22"/>
      <c r="B1030" s="22"/>
      <c r="D1030" s="27"/>
      <c r="E1030" s="27"/>
      <c r="F1030" s="27"/>
      <c r="G1030" s="27"/>
      <c r="H1030" s="27"/>
      <c r="I1030" s="27"/>
    </row>
    <row r="1031" spans="1:9">
      <c r="A1031" s="22"/>
      <c r="B1031" s="22"/>
      <c r="D1031" s="27"/>
      <c r="E1031" s="27"/>
      <c r="F1031" s="27"/>
      <c r="G1031" s="27"/>
      <c r="H1031" s="27"/>
      <c r="I1031" s="27"/>
    </row>
    <row r="1032" spans="1:9">
      <c r="A1032" s="22"/>
      <c r="B1032" s="22"/>
      <c r="D1032" s="27"/>
      <c r="E1032" s="27"/>
      <c r="F1032" s="27"/>
      <c r="G1032" s="27"/>
      <c r="H1032" s="27"/>
      <c r="I1032" s="27"/>
    </row>
    <row r="1033" spans="1:9">
      <c r="A1033" s="22"/>
      <c r="B1033" s="22"/>
      <c r="D1033" s="27"/>
      <c r="E1033" s="27"/>
      <c r="F1033" s="27"/>
      <c r="G1033" s="27"/>
      <c r="H1033" s="27"/>
      <c r="I1033" s="27"/>
    </row>
    <row r="1034" spans="1:9">
      <c r="A1034" s="22"/>
      <c r="B1034" s="22"/>
      <c r="D1034" s="27"/>
      <c r="E1034" s="27"/>
      <c r="F1034" s="27"/>
      <c r="G1034" s="27"/>
      <c r="H1034" s="27"/>
      <c r="I1034" s="27"/>
    </row>
    <row r="1035" spans="1:9">
      <c r="A1035" s="22"/>
      <c r="B1035" s="22"/>
      <c r="D1035" s="27"/>
      <c r="E1035" s="27"/>
      <c r="F1035" s="27"/>
      <c r="G1035" s="27"/>
      <c r="H1035" s="27"/>
      <c r="I1035" s="27"/>
    </row>
    <row r="1036" spans="1:9">
      <c r="A1036" s="22"/>
      <c r="B1036" s="22"/>
      <c r="D1036" s="27"/>
      <c r="E1036" s="27"/>
      <c r="F1036" s="27"/>
      <c r="G1036" s="27"/>
      <c r="H1036" s="27"/>
      <c r="I1036" s="27"/>
    </row>
    <row r="1037" spans="1:9">
      <c r="A1037" s="22"/>
      <c r="B1037" s="22"/>
      <c r="D1037" s="27"/>
      <c r="E1037" s="27"/>
      <c r="F1037" s="27"/>
      <c r="G1037" s="27"/>
      <c r="H1037" s="27"/>
      <c r="I1037" s="27"/>
    </row>
    <row r="1038" spans="1:9">
      <c r="A1038" s="22"/>
      <c r="B1038" s="22"/>
      <c r="D1038" s="27"/>
      <c r="E1038" s="27"/>
      <c r="F1038" s="27"/>
      <c r="G1038" s="27"/>
      <c r="H1038" s="27"/>
      <c r="I1038" s="27"/>
    </row>
    <row r="1039" spans="1:9">
      <c r="A1039" s="22"/>
      <c r="B1039" s="22"/>
      <c r="D1039" s="27"/>
      <c r="E1039" s="27"/>
      <c r="F1039" s="27"/>
      <c r="G1039" s="27"/>
      <c r="H1039" s="27"/>
      <c r="I1039" s="27"/>
    </row>
    <row r="1040" spans="1:9">
      <c r="A1040" s="22"/>
      <c r="B1040" s="22"/>
      <c r="D1040" s="27"/>
      <c r="E1040" s="27"/>
      <c r="F1040" s="27"/>
      <c r="G1040" s="27"/>
      <c r="H1040" s="27"/>
      <c r="I1040" s="27"/>
    </row>
    <row r="1041" spans="1:9">
      <c r="A1041" s="22"/>
      <c r="B1041" s="22"/>
      <c r="D1041" s="27"/>
      <c r="E1041" s="27"/>
      <c r="F1041" s="27"/>
      <c r="G1041" s="27"/>
      <c r="H1041" s="27"/>
      <c r="I1041" s="27"/>
    </row>
    <row r="1042" spans="1:9">
      <c r="A1042" s="22"/>
      <c r="B1042" s="22"/>
      <c r="D1042" s="27"/>
      <c r="E1042" s="27"/>
      <c r="F1042" s="27"/>
      <c r="G1042" s="27"/>
      <c r="H1042" s="27"/>
      <c r="I1042" s="27"/>
    </row>
    <row r="1043" spans="1:9">
      <c r="A1043" s="22"/>
      <c r="B1043" s="22"/>
      <c r="D1043" s="27"/>
      <c r="E1043" s="27"/>
      <c r="F1043" s="27"/>
      <c r="G1043" s="27"/>
      <c r="H1043" s="27"/>
      <c r="I1043" s="27"/>
    </row>
    <row r="1044" spans="1:9">
      <c r="A1044" s="22"/>
      <c r="B1044" s="22"/>
      <c r="D1044" s="27"/>
      <c r="E1044" s="27"/>
      <c r="F1044" s="27"/>
      <c r="G1044" s="27"/>
      <c r="H1044" s="27"/>
      <c r="I1044" s="27"/>
    </row>
    <row r="1045" spans="1:9">
      <c r="A1045" s="22"/>
      <c r="B1045" s="22"/>
      <c r="D1045" s="27"/>
      <c r="E1045" s="27"/>
      <c r="F1045" s="27"/>
      <c r="G1045" s="27"/>
      <c r="H1045" s="27"/>
      <c r="I1045" s="27"/>
    </row>
    <row r="1046" spans="1:9">
      <c r="A1046" s="22"/>
      <c r="B1046" s="22"/>
      <c r="D1046" s="27"/>
      <c r="E1046" s="27"/>
      <c r="F1046" s="27"/>
      <c r="G1046" s="27"/>
      <c r="H1046" s="27"/>
      <c r="I1046" s="27"/>
    </row>
    <row r="1047" spans="1:9">
      <c r="A1047" s="22"/>
      <c r="B1047" s="22"/>
      <c r="D1047" s="27"/>
      <c r="E1047" s="27"/>
      <c r="F1047" s="27"/>
      <c r="G1047" s="27"/>
      <c r="H1047" s="27"/>
      <c r="I1047" s="27"/>
    </row>
    <row r="1048" spans="1:9">
      <c r="A1048" s="22"/>
      <c r="B1048" s="22"/>
      <c r="D1048" s="27"/>
      <c r="E1048" s="27"/>
      <c r="F1048" s="27"/>
      <c r="G1048" s="27"/>
      <c r="H1048" s="27"/>
      <c r="I1048" s="27"/>
    </row>
    <row r="1049" spans="1:9">
      <c r="A1049" s="22"/>
      <c r="B1049" s="22"/>
      <c r="D1049" s="27"/>
      <c r="E1049" s="27"/>
      <c r="F1049" s="27"/>
      <c r="G1049" s="27"/>
      <c r="H1049" s="27"/>
      <c r="I1049" s="27"/>
    </row>
    <row r="1050" spans="1:9">
      <c r="A1050" s="22"/>
      <c r="B1050" s="22"/>
      <c r="D1050" s="27"/>
      <c r="E1050" s="27"/>
      <c r="F1050" s="27"/>
      <c r="G1050" s="27"/>
      <c r="H1050" s="27"/>
      <c r="I1050" s="27"/>
    </row>
    <row r="1051" spans="1:9">
      <c r="A1051" s="22"/>
      <c r="B1051" s="22"/>
      <c r="D1051" s="27"/>
      <c r="E1051" s="27"/>
      <c r="F1051" s="27"/>
      <c r="G1051" s="27"/>
      <c r="H1051" s="27"/>
      <c r="I1051" s="27"/>
    </row>
    <row r="1052" spans="1:9">
      <c r="A1052" s="22"/>
      <c r="B1052" s="22"/>
      <c r="D1052" s="27"/>
      <c r="E1052" s="27"/>
      <c r="F1052" s="27"/>
      <c r="G1052" s="27"/>
      <c r="H1052" s="27"/>
      <c r="I1052" s="27"/>
    </row>
    <row r="1053" spans="1:9">
      <c r="A1053" s="22"/>
      <c r="B1053" s="22"/>
      <c r="D1053" s="27"/>
      <c r="E1053" s="27"/>
      <c r="F1053" s="27"/>
      <c r="G1053" s="27"/>
      <c r="H1053" s="27"/>
      <c r="I1053" s="27"/>
    </row>
    <row r="1054" spans="1:9">
      <c r="A1054" s="22"/>
      <c r="B1054" s="22"/>
      <c r="D1054" s="27"/>
      <c r="E1054" s="27"/>
      <c r="F1054" s="27"/>
      <c r="G1054" s="27"/>
      <c r="H1054" s="27"/>
      <c r="I1054" s="27"/>
    </row>
    <row r="1055" spans="1:9">
      <c r="A1055" s="22"/>
      <c r="B1055" s="22"/>
      <c r="D1055" s="27"/>
      <c r="E1055" s="27"/>
      <c r="F1055" s="27"/>
      <c r="G1055" s="27"/>
      <c r="H1055" s="27"/>
      <c r="I1055" s="27"/>
    </row>
    <row r="1056" spans="1:9">
      <c r="A1056" s="22"/>
      <c r="B1056" s="22"/>
      <c r="D1056" s="27"/>
      <c r="E1056" s="27"/>
      <c r="F1056" s="27"/>
      <c r="G1056" s="27"/>
      <c r="H1056" s="27"/>
      <c r="I1056" s="27"/>
    </row>
    <row r="1057" spans="1:9">
      <c r="A1057" s="22"/>
      <c r="B1057" s="22"/>
      <c r="D1057" s="27"/>
      <c r="E1057" s="27"/>
      <c r="F1057" s="27"/>
      <c r="G1057" s="27"/>
      <c r="H1057" s="27"/>
      <c r="I1057" s="27"/>
    </row>
    <row r="1058" spans="1:9">
      <c r="A1058" s="22"/>
      <c r="B1058" s="22"/>
      <c r="D1058" s="27"/>
      <c r="E1058" s="27"/>
      <c r="F1058" s="27"/>
      <c r="G1058" s="27"/>
      <c r="H1058" s="27"/>
      <c r="I1058" s="27"/>
    </row>
    <row r="1059" spans="1:9">
      <c r="A1059" s="22"/>
      <c r="B1059" s="22"/>
      <c r="D1059" s="27"/>
      <c r="E1059" s="27"/>
      <c r="F1059" s="27"/>
      <c r="G1059" s="27"/>
      <c r="H1059" s="27"/>
      <c r="I1059" s="27"/>
    </row>
    <row r="1060" spans="1:9">
      <c r="A1060" s="22"/>
      <c r="B1060" s="22"/>
      <c r="D1060" s="27"/>
      <c r="E1060" s="27"/>
      <c r="F1060" s="27"/>
      <c r="G1060" s="27"/>
      <c r="H1060" s="27"/>
      <c r="I1060" s="27"/>
    </row>
    <row r="1061" spans="1:9">
      <c r="A1061" s="22"/>
      <c r="B1061" s="22"/>
      <c r="D1061" s="27"/>
      <c r="E1061" s="27"/>
      <c r="F1061" s="27"/>
      <c r="G1061" s="27"/>
      <c r="H1061" s="27"/>
      <c r="I1061" s="27"/>
    </row>
    <row r="1062" spans="1:9">
      <c r="A1062" s="22"/>
      <c r="B1062" s="22"/>
      <c r="D1062" s="27"/>
      <c r="E1062" s="27"/>
      <c r="F1062" s="27"/>
      <c r="G1062" s="27"/>
      <c r="H1062" s="27"/>
      <c r="I1062" s="27"/>
    </row>
    <row r="1063" spans="1:9">
      <c r="A1063" s="22"/>
      <c r="B1063" s="22"/>
      <c r="D1063" s="27"/>
      <c r="E1063" s="27"/>
      <c r="F1063" s="27"/>
      <c r="G1063" s="27"/>
      <c r="H1063" s="27"/>
      <c r="I1063" s="27"/>
    </row>
    <row r="1064" spans="1:9">
      <c r="A1064" s="22"/>
      <c r="B1064" s="22"/>
      <c r="D1064" s="27"/>
      <c r="E1064" s="27"/>
      <c r="F1064" s="27"/>
      <c r="G1064" s="27"/>
      <c r="H1064" s="27"/>
      <c r="I1064" s="27"/>
    </row>
    <row r="1065" spans="1:9">
      <c r="A1065" s="22"/>
      <c r="B1065" s="22"/>
      <c r="D1065" s="27"/>
      <c r="E1065" s="27"/>
      <c r="F1065" s="27"/>
      <c r="G1065" s="27"/>
      <c r="H1065" s="27"/>
      <c r="I1065" s="27"/>
    </row>
    <row r="1066" spans="1:9">
      <c r="A1066" s="22"/>
      <c r="B1066" s="22"/>
      <c r="D1066" s="27"/>
      <c r="E1066" s="27"/>
      <c r="F1066" s="27"/>
      <c r="G1066" s="27"/>
      <c r="H1066" s="27"/>
      <c r="I1066" s="27"/>
    </row>
    <row r="1067" spans="1:9">
      <c r="A1067" s="22"/>
      <c r="B1067" s="22"/>
      <c r="D1067" s="27"/>
      <c r="E1067" s="27"/>
      <c r="F1067" s="27"/>
      <c r="G1067" s="27"/>
      <c r="H1067" s="27"/>
      <c r="I1067" s="27"/>
    </row>
    <row r="1068" spans="1:9">
      <c r="A1068" s="22"/>
      <c r="B1068" s="22"/>
      <c r="D1068" s="27"/>
      <c r="E1068" s="27"/>
      <c r="F1068" s="27"/>
      <c r="G1068" s="27"/>
      <c r="H1068" s="27"/>
      <c r="I1068" s="27"/>
    </row>
    <row r="1069" spans="1:9">
      <c r="A1069" s="22"/>
      <c r="B1069" s="22"/>
      <c r="D1069" s="27"/>
      <c r="E1069" s="27"/>
      <c r="F1069" s="27"/>
      <c r="G1069" s="27"/>
      <c r="H1069" s="27"/>
      <c r="I1069" s="27"/>
    </row>
    <row r="1070" spans="1:9">
      <c r="A1070" s="22"/>
      <c r="B1070" s="22"/>
      <c r="D1070" s="27"/>
      <c r="E1070" s="27"/>
      <c r="F1070" s="27"/>
      <c r="G1070" s="27"/>
      <c r="H1070" s="27"/>
      <c r="I1070" s="27"/>
    </row>
    <row r="1071" spans="1:9">
      <c r="A1071" s="22"/>
      <c r="B1071" s="22"/>
      <c r="D1071" s="27"/>
      <c r="E1071" s="27"/>
      <c r="F1071" s="27"/>
      <c r="G1071" s="27"/>
      <c r="H1071" s="27"/>
      <c r="I1071" s="27"/>
    </row>
    <row r="1072" spans="1:9">
      <c r="A1072" s="22"/>
      <c r="B1072" s="22"/>
      <c r="D1072" s="27"/>
      <c r="E1072" s="27"/>
      <c r="F1072" s="27"/>
      <c r="G1072" s="27"/>
      <c r="H1072" s="27"/>
      <c r="I1072" s="27"/>
    </row>
    <row r="1073" spans="1:9">
      <c r="A1073" s="22"/>
      <c r="B1073" s="22"/>
      <c r="D1073" s="27"/>
      <c r="E1073" s="27"/>
      <c r="F1073" s="27"/>
      <c r="G1073" s="27"/>
      <c r="H1073" s="27"/>
      <c r="I1073" s="27"/>
    </row>
    <row r="1074" spans="1:9">
      <c r="A1074" s="22"/>
      <c r="B1074" s="22"/>
      <c r="D1074" s="27"/>
      <c r="E1074" s="27"/>
      <c r="F1074" s="27"/>
      <c r="G1074" s="27"/>
      <c r="H1074" s="27"/>
      <c r="I1074" s="27"/>
    </row>
    <row r="1075" spans="1:9">
      <c r="A1075" s="22"/>
      <c r="B1075" s="22"/>
      <c r="D1075" s="27"/>
      <c r="E1075" s="27"/>
      <c r="F1075" s="27"/>
      <c r="G1075" s="27"/>
      <c r="H1075" s="27"/>
      <c r="I1075" s="27"/>
    </row>
    <row r="1076" spans="1:9">
      <c r="A1076" s="22"/>
      <c r="B1076" s="22"/>
      <c r="D1076" s="27"/>
      <c r="E1076" s="27"/>
      <c r="F1076" s="27"/>
      <c r="G1076" s="27"/>
      <c r="H1076" s="27"/>
      <c r="I1076" s="27"/>
    </row>
    <row r="1077" spans="1:9">
      <c r="A1077" s="22"/>
      <c r="B1077" s="22"/>
      <c r="D1077" s="27"/>
      <c r="E1077" s="27"/>
      <c r="F1077" s="27"/>
      <c r="G1077" s="27"/>
      <c r="H1077" s="27"/>
      <c r="I1077" s="27"/>
    </row>
    <row r="1078" spans="1:9">
      <c r="A1078" s="22"/>
      <c r="B1078" s="22"/>
      <c r="D1078" s="27"/>
      <c r="E1078" s="27"/>
      <c r="F1078" s="27"/>
      <c r="G1078" s="27"/>
      <c r="H1078" s="27"/>
      <c r="I1078" s="27"/>
    </row>
    <row r="1079" spans="1:9">
      <c r="A1079" s="22"/>
      <c r="B1079" s="22"/>
      <c r="D1079" s="27"/>
      <c r="E1079" s="27"/>
      <c r="F1079" s="27"/>
      <c r="G1079" s="27"/>
      <c r="H1079" s="27"/>
      <c r="I1079" s="27"/>
    </row>
    <row r="1080" spans="1:9">
      <c r="A1080" s="22"/>
      <c r="B1080" s="22"/>
      <c r="D1080" s="27"/>
      <c r="E1080" s="27"/>
      <c r="F1080" s="27"/>
      <c r="G1080" s="27"/>
      <c r="H1080" s="27"/>
      <c r="I1080" s="27"/>
    </row>
    <row r="1081" spans="1:9">
      <c r="A1081" s="22"/>
      <c r="B1081" s="22"/>
      <c r="D1081" s="27"/>
      <c r="E1081" s="27"/>
      <c r="F1081" s="27"/>
      <c r="G1081" s="27"/>
      <c r="H1081" s="27"/>
      <c r="I1081" s="27"/>
    </row>
    <row r="1082" spans="1:9">
      <c r="A1082" s="22"/>
      <c r="B1082" s="22"/>
      <c r="D1082" s="27"/>
      <c r="E1082" s="27"/>
      <c r="F1082" s="27"/>
      <c r="G1082" s="27"/>
      <c r="H1082" s="27"/>
      <c r="I1082" s="27"/>
    </row>
    <row r="1083" spans="1:9">
      <c r="A1083" s="22"/>
      <c r="B1083" s="22"/>
      <c r="D1083" s="27"/>
      <c r="E1083" s="27"/>
      <c r="F1083" s="27"/>
      <c r="G1083" s="27"/>
      <c r="H1083" s="27"/>
      <c r="I1083" s="27"/>
    </row>
    <row r="1084" spans="1:9">
      <c r="A1084" s="22"/>
      <c r="B1084" s="22"/>
      <c r="D1084" s="27"/>
      <c r="E1084" s="27"/>
      <c r="F1084" s="27"/>
      <c r="G1084" s="27"/>
      <c r="H1084" s="27"/>
      <c r="I1084" s="27"/>
    </row>
    <row r="1085" spans="1:9">
      <c r="A1085" s="22"/>
      <c r="B1085" s="22"/>
      <c r="D1085" s="27"/>
      <c r="E1085" s="27"/>
      <c r="F1085" s="27"/>
      <c r="G1085" s="27"/>
      <c r="H1085" s="27"/>
      <c r="I1085" s="27"/>
    </row>
    <row r="1086" spans="1:9">
      <c r="A1086" s="22"/>
      <c r="B1086" s="22"/>
      <c r="D1086" s="27"/>
      <c r="E1086" s="27"/>
      <c r="F1086" s="27"/>
      <c r="G1086" s="27"/>
      <c r="H1086" s="27"/>
      <c r="I1086" s="27"/>
    </row>
    <row r="1087" spans="1:9">
      <c r="A1087" s="22"/>
      <c r="B1087" s="22"/>
      <c r="D1087" s="27"/>
      <c r="E1087" s="27"/>
      <c r="F1087" s="27"/>
      <c r="G1087" s="27"/>
      <c r="H1087" s="27"/>
      <c r="I1087" s="27"/>
    </row>
    <row r="1088" spans="1:9">
      <c r="A1088" s="22"/>
      <c r="B1088" s="22"/>
      <c r="D1088" s="27"/>
      <c r="E1088" s="27"/>
      <c r="F1088" s="27"/>
      <c r="G1088" s="27"/>
      <c r="H1088" s="27"/>
      <c r="I1088" s="27"/>
    </row>
    <row r="1089" spans="1:9">
      <c r="A1089" s="22"/>
      <c r="B1089" s="22"/>
      <c r="D1089" s="27"/>
      <c r="E1089" s="27"/>
      <c r="F1089" s="27"/>
      <c r="G1089" s="27"/>
      <c r="H1089" s="27"/>
      <c r="I1089" s="27"/>
    </row>
    <row r="1090" spans="1:9">
      <c r="A1090" s="22"/>
      <c r="B1090" s="22"/>
      <c r="D1090" s="27"/>
      <c r="E1090" s="27"/>
      <c r="F1090" s="27"/>
      <c r="G1090" s="27"/>
      <c r="H1090" s="27"/>
      <c r="I1090" s="27"/>
    </row>
    <row r="1091" spans="1:9">
      <c r="A1091" s="22"/>
      <c r="B1091" s="22"/>
      <c r="D1091" s="27"/>
      <c r="E1091" s="27"/>
      <c r="F1091" s="27"/>
      <c r="G1091" s="27"/>
      <c r="H1091" s="27"/>
      <c r="I1091" s="27"/>
    </row>
    <row r="1092" spans="1:9">
      <c r="A1092" s="22"/>
      <c r="B1092" s="22"/>
      <c r="D1092" s="27"/>
      <c r="E1092" s="27"/>
      <c r="F1092" s="27"/>
      <c r="G1092" s="27"/>
      <c r="H1092" s="27"/>
      <c r="I1092" s="27"/>
    </row>
    <row r="1093" spans="1:9">
      <c r="A1093" s="22"/>
      <c r="B1093" s="22"/>
      <c r="D1093" s="27"/>
      <c r="E1093" s="27"/>
      <c r="F1093" s="27"/>
      <c r="G1093" s="27"/>
      <c r="H1093" s="27"/>
      <c r="I1093" s="27"/>
    </row>
    <row r="1094" spans="1:9">
      <c r="A1094" s="22"/>
      <c r="B1094" s="22"/>
      <c r="D1094" s="27"/>
      <c r="E1094" s="27"/>
      <c r="F1094" s="27"/>
      <c r="G1094" s="27"/>
      <c r="H1094" s="27"/>
      <c r="I1094" s="27"/>
    </row>
    <row r="1095" spans="1:9">
      <c r="A1095" s="22"/>
      <c r="B1095" s="22"/>
      <c r="D1095" s="27"/>
      <c r="E1095" s="27"/>
      <c r="F1095" s="27"/>
      <c r="G1095" s="27"/>
      <c r="H1095" s="27"/>
      <c r="I1095" s="27"/>
    </row>
    <row r="1096" spans="1:9">
      <c r="A1096" s="22"/>
      <c r="B1096" s="22"/>
      <c r="D1096" s="27"/>
      <c r="E1096" s="27"/>
      <c r="F1096" s="27"/>
      <c r="G1096" s="27"/>
      <c r="H1096" s="27"/>
      <c r="I1096" s="27"/>
    </row>
    <row r="1097" spans="1:9">
      <c r="A1097" s="22"/>
      <c r="B1097" s="22"/>
      <c r="D1097" s="27"/>
      <c r="E1097" s="27"/>
      <c r="F1097" s="27"/>
      <c r="G1097" s="27"/>
      <c r="H1097" s="27"/>
      <c r="I1097" s="27"/>
    </row>
    <row r="1098" spans="1:9">
      <c r="A1098" s="22"/>
      <c r="B1098" s="22"/>
      <c r="D1098" s="27"/>
      <c r="E1098" s="27"/>
      <c r="F1098" s="27"/>
      <c r="G1098" s="27"/>
      <c r="H1098" s="27"/>
      <c r="I1098" s="27"/>
    </row>
    <row r="1099" spans="1:9">
      <c r="A1099" s="22"/>
      <c r="B1099" s="22"/>
      <c r="D1099" s="27"/>
      <c r="E1099" s="27"/>
      <c r="F1099" s="27"/>
      <c r="G1099" s="27"/>
      <c r="H1099" s="27"/>
      <c r="I1099" s="27"/>
    </row>
    <row r="1100" spans="1:9">
      <c r="A1100" s="22"/>
      <c r="B1100" s="22"/>
      <c r="D1100" s="27"/>
      <c r="E1100" s="27"/>
      <c r="F1100" s="27"/>
      <c r="G1100" s="27"/>
      <c r="H1100" s="27"/>
      <c r="I1100" s="27"/>
    </row>
    <row r="1101" spans="1:9">
      <c r="A1101" s="22"/>
      <c r="B1101" s="22"/>
      <c r="D1101" s="27"/>
      <c r="E1101" s="27"/>
      <c r="F1101" s="27"/>
      <c r="G1101" s="27"/>
      <c r="H1101" s="27"/>
      <c r="I1101" s="27"/>
    </row>
    <row r="1102" spans="1:9">
      <c r="A1102" s="22"/>
      <c r="B1102" s="22"/>
      <c r="D1102" s="27"/>
      <c r="E1102" s="27"/>
      <c r="F1102" s="27"/>
      <c r="G1102" s="27"/>
      <c r="H1102" s="27"/>
      <c r="I1102" s="27"/>
    </row>
    <row r="1103" spans="1:9">
      <c r="A1103" s="22"/>
      <c r="B1103" s="22"/>
      <c r="D1103" s="27"/>
      <c r="E1103" s="27"/>
      <c r="F1103" s="27"/>
      <c r="G1103" s="27"/>
      <c r="H1103" s="27"/>
      <c r="I1103" s="27"/>
    </row>
    <row r="1104" spans="1:9">
      <c r="A1104" s="22"/>
      <c r="B1104" s="22"/>
      <c r="D1104" s="27"/>
      <c r="E1104" s="27"/>
      <c r="F1104" s="27"/>
      <c r="G1104" s="27"/>
      <c r="H1104" s="27"/>
      <c r="I1104" s="27"/>
    </row>
    <row r="1105" spans="1:9">
      <c r="A1105" s="22"/>
      <c r="B1105" s="22"/>
      <c r="D1105" s="27"/>
      <c r="E1105" s="27"/>
      <c r="F1105" s="27"/>
      <c r="G1105" s="27"/>
      <c r="H1105" s="27"/>
      <c r="I1105" s="27"/>
    </row>
    <row r="1106" spans="1:9">
      <c r="A1106" s="22"/>
      <c r="B1106" s="22"/>
      <c r="D1106" s="27"/>
      <c r="E1106" s="27"/>
      <c r="F1106" s="27"/>
      <c r="G1106" s="27"/>
      <c r="H1106" s="27"/>
      <c r="I1106" s="27"/>
    </row>
    <row r="1107" spans="1:9">
      <c r="A1107" s="22"/>
      <c r="B1107" s="22"/>
      <c r="D1107" s="27"/>
      <c r="E1107" s="27"/>
      <c r="F1107" s="27"/>
      <c r="G1107" s="27"/>
      <c r="H1107" s="27"/>
      <c r="I1107" s="27"/>
    </row>
    <row r="1108" spans="1:9">
      <c r="A1108" s="22"/>
      <c r="B1108" s="22"/>
      <c r="D1108" s="27"/>
      <c r="E1108" s="27"/>
      <c r="F1108" s="27"/>
      <c r="G1108" s="27"/>
      <c r="H1108" s="27"/>
      <c r="I1108" s="27"/>
    </row>
    <row r="1109" spans="1:9">
      <c r="A1109" s="22"/>
      <c r="B1109" s="22"/>
      <c r="D1109" s="27"/>
      <c r="E1109" s="27"/>
      <c r="F1109" s="27"/>
      <c r="G1109" s="27"/>
      <c r="H1109" s="27"/>
      <c r="I1109" s="27"/>
    </row>
    <row r="1110" spans="1:9">
      <c r="A1110" s="22"/>
      <c r="B1110" s="22"/>
      <c r="D1110" s="27"/>
      <c r="E1110" s="27"/>
      <c r="F1110" s="27"/>
      <c r="G1110" s="27"/>
      <c r="H1110" s="27"/>
      <c r="I1110" s="27"/>
    </row>
    <row r="1111" spans="1:9">
      <c r="A1111" s="22"/>
      <c r="B1111" s="22"/>
      <c r="D1111" s="27"/>
      <c r="E1111" s="27"/>
      <c r="F1111" s="27"/>
      <c r="G1111" s="27"/>
      <c r="H1111" s="27"/>
      <c r="I1111" s="27"/>
    </row>
    <row r="1112" spans="1:9">
      <c r="A1112" s="22"/>
      <c r="B1112" s="22"/>
      <c r="D1112" s="27"/>
      <c r="E1112" s="27"/>
      <c r="F1112" s="27"/>
      <c r="G1112" s="27"/>
      <c r="H1112" s="27"/>
      <c r="I1112" s="27"/>
    </row>
    <row r="1113" spans="1:9">
      <c r="A1113" s="22"/>
      <c r="B1113" s="22"/>
      <c r="D1113" s="27"/>
      <c r="E1113" s="27"/>
      <c r="F1113" s="27"/>
      <c r="G1113" s="27"/>
      <c r="H1113" s="27"/>
      <c r="I1113" s="27"/>
    </row>
    <row r="1114" spans="1:9">
      <c r="A1114" s="22"/>
      <c r="B1114" s="22"/>
      <c r="D1114" s="27"/>
      <c r="E1114" s="27"/>
      <c r="F1114" s="27"/>
      <c r="G1114" s="27"/>
      <c r="H1114" s="27"/>
      <c r="I1114" s="27"/>
    </row>
    <row r="1115" spans="1:9">
      <c r="A1115" s="22"/>
      <c r="B1115" s="22"/>
      <c r="D1115" s="27"/>
      <c r="E1115" s="27"/>
      <c r="F1115" s="27"/>
      <c r="G1115" s="27"/>
      <c r="H1115" s="27"/>
      <c r="I1115" s="27"/>
    </row>
    <row r="1116" spans="1:9">
      <c r="A1116" s="22"/>
      <c r="B1116" s="22"/>
      <c r="D1116" s="27"/>
      <c r="E1116" s="27"/>
      <c r="F1116" s="27"/>
      <c r="G1116" s="27"/>
      <c r="H1116" s="27"/>
      <c r="I1116" s="27"/>
    </row>
    <row r="1117" spans="1:9">
      <c r="A1117" s="22"/>
      <c r="B1117" s="22"/>
      <c r="D1117" s="27"/>
      <c r="E1117" s="27"/>
      <c r="F1117" s="27"/>
      <c r="G1117" s="27"/>
      <c r="H1117" s="27"/>
      <c r="I1117" s="27"/>
    </row>
    <row r="1118" spans="1:9">
      <c r="A1118" s="22"/>
      <c r="B1118" s="22"/>
      <c r="D1118" s="27"/>
      <c r="E1118" s="27"/>
      <c r="F1118" s="27"/>
      <c r="G1118" s="27"/>
      <c r="H1118" s="27"/>
      <c r="I1118" s="27"/>
    </row>
    <row r="1119" spans="1:9">
      <c r="A1119" s="22"/>
      <c r="B1119" s="22"/>
      <c r="D1119" s="27"/>
      <c r="E1119" s="27"/>
      <c r="F1119" s="27"/>
      <c r="G1119" s="27"/>
      <c r="H1119" s="27"/>
      <c r="I1119" s="27"/>
    </row>
    <row r="1120" spans="1:9">
      <c r="A1120" s="22"/>
      <c r="B1120" s="22"/>
      <c r="D1120" s="27"/>
      <c r="E1120" s="27"/>
      <c r="F1120" s="27"/>
      <c r="G1120" s="27"/>
      <c r="H1120" s="27"/>
      <c r="I1120" s="27"/>
    </row>
    <row r="1121" spans="1:9">
      <c r="A1121" s="22"/>
      <c r="B1121" s="22"/>
      <c r="D1121" s="27"/>
      <c r="E1121" s="27"/>
      <c r="F1121" s="27"/>
      <c r="G1121" s="27"/>
      <c r="H1121" s="27"/>
      <c r="I1121" s="27"/>
    </row>
    <row r="1122" spans="1:9">
      <c r="A1122" s="22"/>
      <c r="B1122" s="22"/>
      <c r="D1122" s="27"/>
      <c r="E1122" s="27"/>
      <c r="F1122" s="27"/>
      <c r="G1122" s="27"/>
      <c r="H1122" s="27"/>
      <c r="I1122" s="27"/>
    </row>
    <row r="1123" spans="1:9">
      <c r="A1123" s="22"/>
      <c r="B1123" s="22"/>
      <c r="D1123" s="27"/>
      <c r="E1123" s="27"/>
      <c r="F1123" s="27"/>
      <c r="G1123" s="27"/>
      <c r="H1123" s="27"/>
      <c r="I1123" s="27"/>
    </row>
    <row r="1124" spans="1:9">
      <c r="A1124" s="22"/>
      <c r="B1124" s="22"/>
      <c r="D1124" s="27"/>
      <c r="E1124" s="27"/>
      <c r="F1124" s="27"/>
      <c r="G1124" s="27"/>
      <c r="H1124" s="27"/>
      <c r="I1124" s="27"/>
    </row>
    <row r="1125" spans="1:9">
      <c r="A1125" s="22"/>
      <c r="B1125" s="22"/>
      <c r="D1125" s="27"/>
      <c r="E1125" s="27"/>
      <c r="F1125" s="27"/>
      <c r="G1125" s="27"/>
      <c r="H1125" s="27"/>
      <c r="I1125" s="27"/>
    </row>
    <row r="1126" spans="1:9">
      <c r="A1126" s="22"/>
      <c r="B1126" s="22"/>
      <c r="D1126" s="27"/>
      <c r="E1126" s="27"/>
      <c r="F1126" s="27"/>
      <c r="G1126" s="27"/>
      <c r="H1126" s="27"/>
      <c r="I1126" s="27"/>
    </row>
    <row r="1127" spans="1:9">
      <c r="A1127" s="22"/>
      <c r="B1127" s="22"/>
      <c r="D1127" s="27"/>
      <c r="E1127" s="27"/>
      <c r="F1127" s="27"/>
      <c r="G1127" s="27"/>
      <c r="H1127" s="27"/>
      <c r="I1127" s="27"/>
    </row>
    <row r="1128" spans="1:9">
      <c r="A1128" s="22"/>
      <c r="B1128" s="22"/>
      <c r="D1128" s="27"/>
      <c r="E1128" s="27"/>
      <c r="F1128" s="27"/>
      <c r="G1128" s="27"/>
      <c r="H1128" s="27"/>
      <c r="I1128" s="27"/>
    </row>
    <row r="1129" spans="1:9">
      <c r="A1129" s="22"/>
      <c r="B1129" s="22"/>
      <c r="D1129" s="27"/>
      <c r="E1129" s="27"/>
      <c r="F1129" s="27"/>
      <c r="G1129" s="27"/>
      <c r="H1129" s="27"/>
      <c r="I1129" s="27"/>
    </row>
    <row r="1130" spans="1:9">
      <c r="A1130" s="22"/>
      <c r="B1130" s="22"/>
      <c r="D1130" s="27"/>
      <c r="E1130" s="27"/>
      <c r="F1130" s="27"/>
      <c r="G1130" s="27"/>
      <c r="H1130" s="27"/>
      <c r="I1130" s="27"/>
    </row>
    <row r="1131" spans="1:9">
      <c r="A1131" s="22"/>
      <c r="B1131" s="22"/>
      <c r="D1131" s="27"/>
      <c r="E1131" s="27"/>
      <c r="F1131" s="27"/>
      <c r="G1131" s="27"/>
      <c r="H1131" s="27"/>
      <c r="I1131" s="27"/>
    </row>
    <row r="1132" spans="1:9">
      <c r="A1132" s="22"/>
      <c r="B1132" s="22"/>
      <c r="D1132" s="27"/>
      <c r="E1132" s="27"/>
      <c r="F1132" s="27"/>
      <c r="G1132" s="27"/>
      <c r="H1132" s="27"/>
      <c r="I1132" s="27"/>
    </row>
    <row r="1133" spans="1:9">
      <c r="A1133" s="22"/>
      <c r="B1133" s="22"/>
      <c r="D1133" s="27"/>
      <c r="E1133" s="27"/>
      <c r="F1133" s="27"/>
      <c r="G1133" s="27"/>
      <c r="H1133" s="27"/>
      <c r="I1133" s="27"/>
    </row>
    <row r="1134" spans="1:9">
      <c r="A1134" s="22"/>
      <c r="B1134" s="22"/>
      <c r="D1134" s="27"/>
      <c r="E1134" s="27"/>
      <c r="F1134" s="27"/>
      <c r="G1134" s="27"/>
      <c r="H1134" s="27"/>
      <c r="I1134" s="27"/>
    </row>
    <row r="1135" spans="1:9">
      <c r="A1135" s="22"/>
      <c r="B1135" s="22"/>
      <c r="D1135" s="27"/>
      <c r="E1135" s="27"/>
      <c r="F1135" s="27"/>
      <c r="G1135" s="27"/>
      <c r="H1135" s="27"/>
      <c r="I1135" s="27"/>
    </row>
    <row r="1136" spans="1:9">
      <c r="A1136" s="22"/>
      <c r="B1136" s="22"/>
      <c r="D1136" s="27"/>
      <c r="E1136" s="27"/>
      <c r="F1136" s="27"/>
      <c r="G1136" s="27"/>
      <c r="H1136" s="27"/>
      <c r="I1136" s="27"/>
    </row>
    <row r="1137" spans="1:9">
      <c r="A1137" s="22"/>
      <c r="B1137" s="22"/>
      <c r="D1137" s="27"/>
      <c r="E1137" s="27"/>
      <c r="F1137" s="27"/>
      <c r="G1137" s="27"/>
      <c r="H1137" s="27"/>
      <c r="I1137" s="27"/>
    </row>
    <row r="1138" spans="1:9">
      <c r="A1138" s="22"/>
      <c r="B1138" s="22"/>
      <c r="D1138" s="27"/>
      <c r="E1138" s="27"/>
      <c r="F1138" s="27"/>
      <c r="G1138" s="27"/>
      <c r="H1138" s="27"/>
      <c r="I1138" s="27"/>
    </row>
    <row r="1139" spans="1:9">
      <c r="A1139" s="22"/>
      <c r="B1139" s="22"/>
      <c r="D1139" s="27"/>
      <c r="E1139" s="27"/>
      <c r="F1139" s="27"/>
      <c r="G1139" s="27"/>
      <c r="H1139" s="27"/>
      <c r="I1139" s="27"/>
    </row>
    <row r="1140" spans="1:9">
      <c r="A1140" s="22"/>
      <c r="B1140" s="22"/>
      <c r="D1140" s="27"/>
      <c r="E1140" s="27"/>
      <c r="F1140" s="27"/>
      <c r="G1140" s="27"/>
      <c r="H1140" s="27"/>
      <c r="I1140" s="27"/>
    </row>
    <row r="1141" spans="1:9">
      <c r="A1141" s="22"/>
      <c r="B1141" s="22"/>
      <c r="D1141" s="27"/>
      <c r="E1141" s="27"/>
      <c r="F1141" s="27"/>
      <c r="G1141" s="27"/>
      <c r="H1141" s="27"/>
      <c r="I1141" s="27"/>
    </row>
    <row r="1142" spans="1:9">
      <c r="A1142" s="22"/>
      <c r="B1142" s="22"/>
      <c r="D1142" s="27"/>
      <c r="E1142" s="27"/>
      <c r="F1142" s="27"/>
      <c r="G1142" s="27"/>
      <c r="H1142" s="27"/>
      <c r="I1142" s="27"/>
    </row>
    <row r="1143" spans="1:9">
      <c r="A1143" s="22"/>
      <c r="B1143" s="22"/>
      <c r="D1143" s="27"/>
      <c r="E1143" s="27"/>
      <c r="F1143" s="27"/>
      <c r="G1143" s="27"/>
      <c r="H1143" s="27"/>
      <c r="I1143" s="27"/>
    </row>
    <row r="1144" spans="1:9">
      <c r="A1144" s="22"/>
      <c r="B1144" s="22"/>
      <c r="D1144" s="27"/>
      <c r="E1144" s="27"/>
      <c r="F1144" s="27"/>
      <c r="G1144" s="27"/>
      <c r="H1144" s="27"/>
      <c r="I1144" s="27"/>
    </row>
    <row r="1145" spans="1:9">
      <c r="A1145" s="22"/>
      <c r="B1145" s="22"/>
      <c r="D1145" s="27"/>
      <c r="E1145" s="27"/>
      <c r="F1145" s="27"/>
      <c r="G1145" s="27"/>
      <c r="H1145" s="27"/>
      <c r="I1145" s="27"/>
    </row>
    <row r="1146" spans="1:9">
      <c r="A1146" s="22"/>
      <c r="B1146" s="22"/>
      <c r="D1146" s="27"/>
      <c r="E1146" s="27"/>
      <c r="F1146" s="27"/>
      <c r="G1146" s="27"/>
      <c r="H1146" s="27"/>
      <c r="I1146" s="27"/>
    </row>
    <row r="1147" spans="1:9">
      <c r="A1147" s="22"/>
      <c r="B1147" s="22"/>
      <c r="D1147" s="27"/>
      <c r="E1147" s="27"/>
      <c r="F1147" s="27"/>
      <c r="G1147" s="27"/>
      <c r="H1147" s="27"/>
      <c r="I1147" s="27"/>
    </row>
    <row r="1148" spans="1:9">
      <c r="A1148" s="22"/>
      <c r="B1148" s="22"/>
      <c r="D1148" s="27"/>
      <c r="E1148" s="27"/>
      <c r="F1148" s="27"/>
      <c r="G1148" s="27"/>
      <c r="H1148" s="27"/>
      <c r="I1148" s="27"/>
    </row>
    <row r="1149" spans="1:9">
      <c r="A1149" s="22"/>
      <c r="B1149" s="22"/>
      <c r="D1149" s="27"/>
      <c r="E1149" s="27"/>
      <c r="F1149" s="27"/>
      <c r="G1149" s="27"/>
      <c r="H1149" s="27"/>
      <c r="I1149" s="27"/>
    </row>
    <row r="1150" spans="1:9">
      <c r="A1150" s="22"/>
      <c r="B1150" s="22"/>
      <c r="D1150" s="27"/>
      <c r="E1150" s="27"/>
      <c r="F1150" s="27"/>
      <c r="G1150" s="27"/>
      <c r="H1150" s="27"/>
      <c r="I1150" s="27"/>
    </row>
    <row r="1151" spans="1:9">
      <c r="A1151" s="22"/>
      <c r="B1151" s="22"/>
      <c r="D1151" s="27"/>
      <c r="E1151" s="27"/>
      <c r="F1151" s="27"/>
      <c r="G1151" s="27"/>
      <c r="H1151" s="27"/>
      <c r="I1151" s="27"/>
    </row>
    <row r="1152" spans="1:9">
      <c r="A1152" s="22"/>
      <c r="B1152" s="22"/>
      <c r="D1152" s="27"/>
      <c r="E1152" s="27"/>
      <c r="F1152" s="27"/>
      <c r="G1152" s="27"/>
      <c r="H1152" s="27"/>
      <c r="I1152" s="27"/>
    </row>
    <row r="1153" spans="1:9">
      <c r="A1153" s="22"/>
      <c r="B1153" s="22"/>
      <c r="D1153" s="27"/>
      <c r="E1153" s="27"/>
      <c r="F1153" s="27"/>
      <c r="G1153" s="27"/>
      <c r="H1153" s="27"/>
      <c r="I1153" s="27"/>
    </row>
    <row r="1154" spans="1:9">
      <c r="A1154" s="22"/>
      <c r="B1154" s="22"/>
      <c r="D1154" s="27"/>
      <c r="E1154" s="27"/>
      <c r="F1154" s="27"/>
      <c r="G1154" s="27"/>
      <c r="H1154" s="27"/>
      <c r="I1154" s="27"/>
    </row>
    <row r="1155" spans="1:9">
      <c r="A1155" s="22"/>
      <c r="B1155" s="22"/>
      <c r="D1155" s="27"/>
      <c r="E1155" s="27"/>
      <c r="F1155" s="27"/>
      <c r="G1155" s="27"/>
      <c r="H1155" s="27"/>
      <c r="I1155" s="27"/>
    </row>
    <row r="1156" spans="1:9">
      <c r="A1156" s="22"/>
      <c r="B1156" s="22"/>
      <c r="D1156" s="27"/>
      <c r="E1156" s="27"/>
      <c r="F1156" s="27"/>
      <c r="G1156" s="27"/>
      <c r="H1156" s="27"/>
      <c r="I1156" s="27"/>
    </row>
    <row r="1157" spans="1:9">
      <c r="A1157" s="25"/>
      <c r="B1157" s="22"/>
      <c r="D1157" s="27"/>
      <c r="E1157" s="27"/>
      <c r="F1157" s="27"/>
      <c r="G1157" s="27"/>
      <c r="H1157" s="27"/>
      <c r="I1157" s="27"/>
    </row>
    <row r="1158" spans="1:9">
      <c r="A1158" s="22"/>
      <c r="B1158" s="22"/>
      <c r="D1158" s="27"/>
      <c r="E1158" s="27"/>
      <c r="F1158" s="27"/>
      <c r="G1158" s="27"/>
      <c r="H1158" s="27"/>
      <c r="I1158" s="27"/>
    </row>
    <row r="1159" spans="1:9">
      <c r="A1159" s="22"/>
      <c r="B1159" s="22"/>
      <c r="D1159" s="27"/>
      <c r="E1159" s="27"/>
      <c r="F1159" s="27"/>
      <c r="G1159" s="27"/>
      <c r="H1159" s="27"/>
      <c r="I1159" s="27"/>
    </row>
    <row r="1160" spans="1:9">
      <c r="A1160" s="22"/>
      <c r="B1160" s="22"/>
      <c r="D1160" s="27"/>
      <c r="E1160" s="27"/>
      <c r="F1160" s="27"/>
      <c r="G1160" s="27"/>
      <c r="H1160" s="27"/>
      <c r="I1160" s="27"/>
    </row>
    <row r="1161" spans="1:9">
      <c r="A1161" s="22"/>
      <c r="B1161" s="22"/>
      <c r="D1161" s="27"/>
      <c r="E1161" s="27"/>
      <c r="F1161" s="27"/>
      <c r="G1161" s="27"/>
      <c r="H1161" s="27"/>
      <c r="I1161" s="27"/>
    </row>
    <row r="1162" spans="1:9">
      <c r="A1162" s="22"/>
      <c r="B1162" s="22"/>
      <c r="D1162" s="27"/>
      <c r="E1162" s="27"/>
      <c r="F1162" s="27"/>
      <c r="G1162" s="27"/>
      <c r="H1162" s="27"/>
      <c r="I1162" s="27"/>
    </row>
    <row r="1163" spans="1:9">
      <c r="A1163" s="22"/>
      <c r="B1163" s="22"/>
      <c r="D1163" s="27"/>
      <c r="E1163" s="27"/>
      <c r="F1163" s="27"/>
      <c r="G1163" s="27"/>
      <c r="H1163" s="27"/>
      <c r="I1163" s="27"/>
    </row>
    <row r="1164" spans="1:9">
      <c r="A1164" s="22"/>
      <c r="B1164" s="22"/>
      <c r="D1164" s="27"/>
      <c r="E1164" s="27"/>
      <c r="F1164" s="27"/>
      <c r="G1164" s="27"/>
      <c r="H1164" s="27"/>
      <c r="I1164" s="27"/>
    </row>
    <row r="1165" spans="1:9">
      <c r="A1165" s="22"/>
      <c r="B1165" s="22"/>
      <c r="D1165" s="27"/>
      <c r="E1165" s="27"/>
      <c r="F1165" s="27"/>
      <c r="G1165" s="27"/>
      <c r="H1165" s="27"/>
      <c r="I1165" s="27"/>
    </row>
    <row r="1166" spans="1:9">
      <c r="A1166" s="22"/>
      <c r="B1166" s="22"/>
      <c r="D1166" s="27"/>
      <c r="E1166" s="27"/>
      <c r="F1166" s="27"/>
      <c r="G1166" s="27"/>
      <c r="H1166" s="27"/>
      <c r="I1166" s="27"/>
    </row>
    <row r="1167" spans="1:9">
      <c r="A1167" s="22"/>
      <c r="B1167" s="22"/>
      <c r="D1167" s="27"/>
      <c r="E1167" s="27"/>
      <c r="F1167" s="27"/>
      <c r="G1167" s="27"/>
      <c r="H1167" s="27"/>
      <c r="I1167" s="27"/>
    </row>
    <row r="1168" spans="1:9">
      <c r="A1168" s="22"/>
      <c r="B1168" s="22"/>
      <c r="D1168" s="27"/>
      <c r="E1168" s="27"/>
      <c r="F1168" s="27"/>
      <c r="G1168" s="27"/>
      <c r="H1168" s="27"/>
      <c r="I1168" s="27"/>
    </row>
    <row r="1169" spans="1:9">
      <c r="A1169" s="22"/>
      <c r="B1169" s="22"/>
      <c r="D1169" s="27"/>
      <c r="E1169" s="27"/>
      <c r="F1169" s="27"/>
      <c r="G1169" s="27"/>
      <c r="H1169" s="27"/>
      <c r="I1169" s="27"/>
    </row>
    <row r="1170" spans="1:9">
      <c r="A1170" s="22"/>
      <c r="B1170" s="22"/>
      <c r="D1170" s="27"/>
      <c r="E1170" s="27"/>
      <c r="F1170" s="27"/>
      <c r="G1170" s="27"/>
      <c r="H1170" s="27"/>
      <c r="I1170" s="27"/>
    </row>
    <row r="1171" spans="1:9">
      <c r="A1171" s="22"/>
      <c r="B1171" s="22"/>
      <c r="D1171" s="27"/>
      <c r="E1171" s="27"/>
      <c r="F1171" s="27"/>
      <c r="G1171" s="27"/>
      <c r="H1171" s="27"/>
      <c r="I1171" s="27"/>
    </row>
    <row r="1172" spans="1:9">
      <c r="A1172" s="22"/>
      <c r="B1172" s="22"/>
      <c r="D1172" s="27"/>
      <c r="E1172" s="27"/>
      <c r="F1172" s="27"/>
      <c r="G1172" s="27"/>
      <c r="H1172" s="27"/>
      <c r="I1172" s="27"/>
    </row>
    <row r="1173" spans="1:9">
      <c r="A1173" s="22"/>
      <c r="B1173" s="22"/>
      <c r="D1173" s="27"/>
      <c r="E1173" s="27"/>
      <c r="F1173" s="27"/>
      <c r="G1173" s="27"/>
      <c r="H1173" s="27"/>
      <c r="I1173" s="27"/>
    </row>
    <row r="1174" spans="1:9">
      <c r="A1174" s="22"/>
      <c r="B1174" s="22"/>
      <c r="D1174" s="27"/>
      <c r="E1174" s="27"/>
      <c r="F1174" s="27"/>
      <c r="G1174" s="27"/>
      <c r="H1174" s="27"/>
      <c r="I1174" s="27"/>
    </row>
    <row r="1175" spans="1:9">
      <c r="A1175" s="22"/>
      <c r="B1175" s="22"/>
      <c r="D1175" s="27"/>
      <c r="E1175" s="27"/>
      <c r="F1175" s="27"/>
      <c r="G1175" s="27"/>
      <c r="H1175" s="27"/>
      <c r="I1175" s="27"/>
    </row>
    <row r="1176" spans="1:9">
      <c r="A1176" s="22"/>
      <c r="B1176" s="22"/>
      <c r="D1176" s="27"/>
      <c r="E1176" s="27"/>
      <c r="F1176" s="27"/>
      <c r="G1176" s="27"/>
      <c r="H1176" s="27"/>
      <c r="I1176" s="27"/>
    </row>
    <row r="1177" spans="1:9">
      <c r="A1177" s="22"/>
      <c r="B1177" s="22"/>
      <c r="D1177" s="27"/>
      <c r="E1177" s="27"/>
      <c r="F1177" s="27"/>
      <c r="G1177" s="27"/>
      <c r="H1177" s="27"/>
      <c r="I1177" s="27"/>
    </row>
    <row r="1178" spans="1:9">
      <c r="A1178" s="22"/>
      <c r="B1178" s="22"/>
      <c r="D1178" s="27"/>
      <c r="E1178" s="27"/>
      <c r="F1178" s="27"/>
      <c r="G1178" s="27"/>
      <c r="H1178" s="27"/>
      <c r="I1178" s="27"/>
    </row>
    <row r="1179" spans="1:9">
      <c r="A1179" s="22"/>
      <c r="B1179" s="22"/>
      <c r="D1179" s="27"/>
      <c r="E1179" s="27"/>
      <c r="F1179" s="27"/>
      <c r="G1179" s="27"/>
      <c r="H1179" s="27"/>
      <c r="I1179" s="27"/>
    </row>
    <row r="1180" spans="1:9">
      <c r="A1180" s="22"/>
      <c r="B1180" s="22"/>
      <c r="D1180" s="27"/>
      <c r="E1180" s="27"/>
      <c r="F1180" s="27"/>
      <c r="G1180" s="27"/>
      <c r="H1180" s="27"/>
      <c r="I1180" s="27"/>
    </row>
    <row r="1181" spans="1:9">
      <c r="A1181" s="22"/>
      <c r="B1181" s="22"/>
      <c r="D1181" s="27"/>
      <c r="E1181" s="27"/>
      <c r="F1181" s="27"/>
      <c r="G1181" s="27"/>
      <c r="H1181" s="27"/>
      <c r="I1181" s="27"/>
    </row>
    <row r="1182" spans="1:9">
      <c r="A1182" s="22"/>
      <c r="B1182" s="22"/>
      <c r="D1182" s="27"/>
      <c r="E1182" s="27"/>
      <c r="F1182" s="27"/>
      <c r="G1182" s="27"/>
      <c r="H1182" s="27"/>
      <c r="I1182" s="27"/>
    </row>
    <row r="1183" spans="1:9">
      <c r="A1183" s="22"/>
      <c r="B1183" s="22"/>
      <c r="D1183" s="27"/>
      <c r="E1183" s="27"/>
      <c r="F1183" s="27"/>
      <c r="G1183" s="27"/>
      <c r="H1183" s="27"/>
      <c r="I1183" s="27"/>
    </row>
    <row r="1184" spans="1:9">
      <c r="A1184" s="22"/>
      <c r="B1184" s="22"/>
      <c r="D1184" s="27"/>
      <c r="E1184" s="27"/>
      <c r="F1184" s="27"/>
      <c r="G1184" s="27"/>
      <c r="H1184" s="27"/>
      <c r="I1184" s="27"/>
    </row>
    <row r="1185" spans="1:9">
      <c r="A1185" s="22"/>
      <c r="B1185" s="22"/>
      <c r="D1185" s="27"/>
      <c r="E1185" s="27"/>
      <c r="F1185" s="27"/>
      <c r="G1185" s="27"/>
      <c r="H1185" s="27"/>
      <c r="I1185" s="27"/>
    </row>
    <row r="1186" spans="1:9">
      <c r="A1186" s="22"/>
      <c r="B1186" s="22"/>
      <c r="D1186" s="27"/>
      <c r="E1186" s="27"/>
      <c r="F1186" s="27"/>
      <c r="G1186" s="27"/>
      <c r="H1186" s="27"/>
      <c r="I1186" s="27"/>
    </row>
    <row r="1187" spans="1:9">
      <c r="A1187" s="22"/>
      <c r="B1187" s="22"/>
      <c r="D1187" s="27"/>
      <c r="E1187" s="27"/>
      <c r="F1187" s="27"/>
      <c r="G1187" s="27"/>
      <c r="H1187" s="27"/>
      <c r="I1187" s="27"/>
    </row>
    <row r="1188" spans="1:9">
      <c r="A1188" s="22"/>
      <c r="B1188" s="22"/>
      <c r="D1188" s="27"/>
      <c r="E1188" s="27"/>
      <c r="F1188" s="27"/>
      <c r="G1188" s="27"/>
      <c r="H1188" s="27"/>
      <c r="I1188" s="27"/>
    </row>
    <row r="1189" spans="1:9">
      <c r="A1189" s="22"/>
      <c r="B1189" s="22"/>
      <c r="D1189" s="27"/>
      <c r="E1189" s="27"/>
      <c r="F1189" s="27"/>
      <c r="G1189" s="27"/>
      <c r="H1189" s="27"/>
      <c r="I1189" s="27"/>
    </row>
    <row r="1190" spans="1:9">
      <c r="A1190" s="22"/>
      <c r="B1190" s="22"/>
      <c r="D1190" s="27"/>
      <c r="E1190" s="27"/>
      <c r="F1190" s="27"/>
      <c r="G1190" s="27"/>
      <c r="H1190" s="27"/>
      <c r="I1190" s="27"/>
    </row>
    <row r="1191" spans="1:9">
      <c r="A1191" s="22"/>
      <c r="B1191" s="22"/>
      <c r="D1191" s="27"/>
      <c r="E1191" s="27"/>
      <c r="F1191" s="27"/>
      <c r="G1191" s="27"/>
      <c r="H1191" s="27"/>
      <c r="I1191" s="27"/>
    </row>
    <row r="1192" spans="1:9">
      <c r="A1192" s="22"/>
      <c r="B1192" s="22"/>
      <c r="D1192" s="27"/>
      <c r="E1192" s="27"/>
      <c r="F1192" s="27"/>
      <c r="G1192" s="27"/>
      <c r="H1192" s="27"/>
      <c r="I1192" s="27"/>
    </row>
    <row r="1193" spans="1:9">
      <c r="A1193" s="22"/>
      <c r="B1193" s="22"/>
      <c r="D1193" s="27"/>
      <c r="E1193" s="27"/>
      <c r="F1193" s="27"/>
      <c r="G1193" s="27"/>
      <c r="H1193" s="27"/>
      <c r="I1193" s="27"/>
    </row>
    <row r="1194" spans="1:9">
      <c r="A1194" s="22"/>
      <c r="B1194" s="22"/>
      <c r="D1194" s="27"/>
      <c r="E1194" s="27"/>
      <c r="F1194" s="27"/>
      <c r="G1194" s="27"/>
      <c r="H1194" s="27"/>
      <c r="I1194" s="27"/>
    </row>
    <row r="1195" spans="1:9">
      <c r="A1195" s="22"/>
      <c r="B1195" s="22"/>
      <c r="D1195" s="27"/>
      <c r="E1195" s="27"/>
      <c r="F1195" s="27"/>
      <c r="G1195" s="27"/>
      <c r="H1195" s="27"/>
      <c r="I1195" s="27"/>
    </row>
    <row r="1196" spans="1:9">
      <c r="A1196" s="22"/>
      <c r="B1196" s="22"/>
      <c r="D1196" s="27"/>
      <c r="E1196" s="27"/>
      <c r="F1196" s="27"/>
      <c r="G1196" s="27"/>
      <c r="H1196" s="27"/>
      <c r="I1196" s="27"/>
    </row>
    <row r="1197" spans="1:9">
      <c r="A1197" s="22"/>
      <c r="B1197" s="22"/>
      <c r="D1197" s="27"/>
      <c r="E1197" s="27"/>
      <c r="F1197" s="27"/>
      <c r="G1197" s="27"/>
      <c r="H1197" s="27"/>
      <c r="I1197" s="27"/>
    </row>
    <row r="1198" spans="1:9">
      <c r="A1198" s="22"/>
      <c r="B1198" s="22"/>
      <c r="D1198" s="27"/>
      <c r="E1198" s="27"/>
      <c r="F1198" s="27"/>
      <c r="G1198" s="27"/>
      <c r="H1198" s="27"/>
      <c r="I1198" s="27"/>
    </row>
    <row r="1199" spans="1:9">
      <c r="A1199" s="22"/>
      <c r="B1199" s="22"/>
      <c r="D1199" s="27"/>
      <c r="E1199" s="27"/>
      <c r="F1199" s="27"/>
      <c r="G1199" s="27"/>
      <c r="H1199" s="27"/>
      <c r="I1199" s="27"/>
    </row>
    <row r="1200" spans="1:9">
      <c r="A1200" s="22"/>
      <c r="B1200" s="22"/>
      <c r="D1200" s="27"/>
      <c r="E1200" s="27"/>
      <c r="F1200" s="27"/>
      <c r="G1200" s="27"/>
      <c r="H1200" s="27"/>
      <c r="I1200" s="27"/>
    </row>
    <row r="1201" spans="1:9">
      <c r="A1201" s="22"/>
      <c r="B1201" s="22"/>
      <c r="D1201" s="27"/>
      <c r="E1201" s="27"/>
      <c r="F1201" s="27"/>
      <c r="G1201" s="27"/>
      <c r="H1201" s="27"/>
      <c r="I1201" s="27"/>
    </row>
    <row r="1202" spans="1:9">
      <c r="A1202" s="22"/>
      <c r="B1202" s="22"/>
      <c r="D1202" s="27"/>
      <c r="E1202" s="27"/>
      <c r="F1202" s="27"/>
      <c r="G1202" s="27"/>
      <c r="H1202" s="27"/>
      <c r="I1202" s="27"/>
    </row>
    <row r="1203" spans="1:9">
      <c r="A1203" s="22"/>
      <c r="B1203" s="22"/>
      <c r="D1203" s="27"/>
      <c r="E1203" s="27"/>
      <c r="F1203" s="27"/>
      <c r="G1203" s="27"/>
      <c r="H1203" s="27"/>
      <c r="I1203" s="27"/>
    </row>
    <row r="1204" spans="1:9">
      <c r="A1204" s="22"/>
      <c r="B1204" s="22"/>
      <c r="D1204" s="27"/>
      <c r="E1204" s="27"/>
      <c r="F1204" s="27"/>
      <c r="G1204" s="27"/>
      <c r="H1204" s="27"/>
      <c r="I1204" s="27"/>
    </row>
    <row r="1205" spans="1:9">
      <c r="A1205" s="22"/>
      <c r="B1205" s="22"/>
      <c r="D1205" s="27"/>
      <c r="E1205" s="27"/>
      <c r="F1205" s="27"/>
      <c r="G1205" s="27"/>
      <c r="H1205" s="27"/>
      <c r="I1205" s="27"/>
    </row>
    <row r="1206" spans="1:9">
      <c r="A1206" s="22"/>
      <c r="B1206" s="22"/>
      <c r="D1206" s="27"/>
      <c r="E1206" s="27"/>
      <c r="F1206" s="27"/>
      <c r="G1206" s="27"/>
      <c r="H1206" s="27"/>
      <c r="I1206" s="27"/>
    </row>
    <row r="1207" spans="1:9">
      <c r="A1207" s="22"/>
      <c r="B1207" s="22"/>
      <c r="D1207" s="27"/>
      <c r="E1207" s="27"/>
      <c r="F1207" s="27"/>
      <c r="G1207" s="27"/>
      <c r="H1207" s="27"/>
      <c r="I1207" s="27"/>
    </row>
    <row r="1208" spans="1:9">
      <c r="A1208" s="22"/>
      <c r="B1208" s="22"/>
      <c r="D1208" s="27"/>
      <c r="E1208" s="27"/>
      <c r="F1208" s="27"/>
      <c r="G1208" s="27"/>
      <c r="H1208" s="27"/>
      <c r="I1208" s="27"/>
    </row>
    <row r="1209" spans="1:9">
      <c r="A1209" s="22"/>
      <c r="B1209" s="22"/>
      <c r="D1209" s="27"/>
      <c r="E1209" s="27"/>
      <c r="F1209" s="27"/>
      <c r="G1209" s="27"/>
      <c r="H1209" s="27"/>
      <c r="I1209" s="27"/>
    </row>
    <row r="1210" spans="1:9">
      <c r="A1210" s="22"/>
      <c r="B1210" s="22"/>
      <c r="D1210" s="27"/>
      <c r="E1210" s="27"/>
      <c r="F1210" s="27"/>
      <c r="G1210" s="27"/>
      <c r="H1210" s="27"/>
      <c r="I1210" s="27"/>
    </row>
    <row r="1211" spans="1:9">
      <c r="A1211" s="22"/>
      <c r="B1211" s="22"/>
      <c r="D1211" s="27"/>
      <c r="E1211" s="27"/>
      <c r="F1211" s="27"/>
      <c r="G1211" s="27"/>
      <c r="H1211" s="27"/>
      <c r="I1211" s="27"/>
    </row>
    <row r="1212" spans="1:9">
      <c r="A1212" s="22"/>
      <c r="B1212" s="22"/>
      <c r="D1212" s="27"/>
      <c r="E1212" s="27"/>
      <c r="F1212" s="27"/>
      <c r="G1212" s="27"/>
      <c r="H1212" s="27"/>
      <c r="I1212" s="27"/>
    </row>
    <row r="1213" spans="1:9">
      <c r="A1213" s="22"/>
      <c r="B1213" s="22"/>
      <c r="D1213" s="27"/>
      <c r="E1213" s="27"/>
      <c r="F1213" s="27"/>
      <c r="G1213" s="27"/>
      <c r="H1213" s="27"/>
      <c r="I1213" s="27"/>
    </row>
    <row r="1214" spans="1:9">
      <c r="A1214" s="22"/>
      <c r="B1214" s="22"/>
      <c r="D1214" s="27"/>
      <c r="E1214" s="27"/>
      <c r="F1214" s="27"/>
      <c r="G1214" s="27"/>
      <c r="H1214" s="27"/>
      <c r="I1214" s="27"/>
    </row>
    <row r="1215" spans="1:9">
      <c r="A1215" s="22"/>
      <c r="B1215" s="22"/>
      <c r="D1215" s="27"/>
      <c r="E1215" s="27"/>
      <c r="F1215" s="27"/>
      <c r="G1215" s="27"/>
      <c r="H1215" s="27"/>
      <c r="I1215" s="27"/>
    </row>
    <row r="1216" spans="1:9">
      <c r="A1216" s="22"/>
      <c r="B1216" s="22"/>
      <c r="D1216" s="27"/>
      <c r="E1216" s="27"/>
      <c r="F1216" s="27"/>
      <c r="G1216" s="27"/>
      <c r="H1216" s="27"/>
      <c r="I1216" s="27"/>
    </row>
    <row r="1217" spans="1:9">
      <c r="A1217" s="22"/>
      <c r="B1217" s="22"/>
      <c r="D1217" s="27"/>
      <c r="E1217" s="27"/>
      <c r="F1217" s="27"/>
      <c r="G1217" s="27"/>
      <c r="H1217" s="27"/>
      <c r="I1217" s="27"/>
    </row>
    <row r="1218" spans="1:9">
      <c r="A1218" s="22"/>
      <c r="B1218" s="22"/>
      <c r="D1218" s="27"/>
      <c r="E1218" s="27"/>
      <c r="F1218" s="27"/>
      <c r="G1218" s="27"/>
      <c r="H1218" s="27"/>
      <c r="I1218" s="27"/>
    </row>
    <row r="1219" spans="1:9">
      <c r="A1219" s="22"/>
      <c r="B1219" s="22"/>
      <c r="D1219" s="27"/>
      <c r="E1219" s="27"/>
      <c r="F1219" s="27"/>
      <c r="G1219" s="27"/>
      <c r="H1219" s="27"/>
      <c r="I1219" s="27"/>
    </row>
    <row r="1220" spans="1:9">
      <c r="A1220" s="22"/>
      <c r="B1220" s="22"/>
      <c r="D1220" s="27"/>
      <c r="E1220" s="27"/>
      <c r="F1220" s="27"/>
      <c r="G1220" s="27"/>
      <c r="H1220" s="27"/>
      <c r="I1220" s="27"/>
    </row>
    <row r="1221" spans="1:9">
      <c r="A1221" s="22"/>
      <c r="B1221" s="22"/>
      <c r="D1221" s="27"/>
      <c r="E1221" s="27"/>
      <c r="F1221" s="27"/>
      <c r="G1221" s="27"/>
      <c r="H1221" s="27"/>
      <c r="I1221" s="27"/>
    </row>
    <row r="1222" spans="1:9">
      <c r="A1222" s="22"/>
      <c r="B1222" s="22"/>
      <c r="D1222" s="27"/>
      <c r="E1222" s="27"/>
      <c r="F1222" s="27"/>
      <c r="G1222" s="27"/>
      <c r="H1222" s="27"/>
      <c r="I1222" s="27"/>
    </row>
    <row r="1223" spans="1:9">
      <c r="A1223" s="22"/>
      <c r="B1223" s="22"/>
      <c r="D1223" s="27"/>
      <c r="E1223" s="27"/>
      <c r="F1223" s="27"/>
      <c r="G1223" s="27"/>
      <c r="H1223" s="27"/>
      <c r="I1223" s="27"/>
    </row>
    <row r="1224" spans="1:9">
      <c r="A1224" s="22"/>
      <c r="B1224" s="22"/>
      <c r="D1224" s="27"/>
      <c r="E1224" s="27"/>
      <c r="F1224" s="27"/>
      <c r="G1224" s="27"/>
      <c r="H1224" s="27"/>
      <c r="I1224" s="27"/>
    </row>
    <row r="1225" spans="1:9">
      <c r="A1225" s="22"/>
      <c r="B1225" s="22"/>
      <c r="D1225" s="27"/>
      <c r="E1225" s="27"/>
      <c r="F1225" s="27"/>
      <c r="G1225" s="27"/>
      <c r="H1225" s="27"/>
      <c r="I1225" s="27"/>
    </row>
    <row r="1226" spans="1:9">
      <c r="A1226" s="22"/>
      <c r="B1226" s="22"/>
      <c r="D1226" s="27"/>
      <c r="E1226" s="27"/>
      <c r="F1226" s="27"/>
      <c r="G1226" s="27"/>
      <c r="H1226" s="27"/>
      <c r="I1226" s="27"/>
    </row>
    <row r="1227" spans="1:9">
      <c r="A1227" s="22"/>
      <c r="B1227" s="22"/>
      <c r="D1227" s="27"/>
      <c r="E1227" s="27"/>
      <c r="F1227" s="27"/>
      <c r="G1227" s="27"/>
      <c r="H1227" s="27"/>
      <c r="I1227" s="27"/>
    </row>
    <row r="1228" spans="1:9">
      <c r="A1228" s="22"/>
      <c r="B1228" s="22"/>
      <c r="D1228" s="27"/>
      <c r="E1228" s="27"/>
      <c r="F1228" s="27"/>
      <c r="G1228" s="27"/>
      <c r="H1228" s="27"/>
      <c r="I1228" s="27"/>
    </row>
    <row r="1229" spans="1:9">
      <c r="A1229" s="22"/>
      <c r="B1229" s="22"/>
      <c r="D1229" s="27"/>
      <c r="E1229" s="27"/>
      <c r="F1229" s="27"/>
      <c r="G1229" s="27"/>
      <c r="H1229" s="27"/>
      <c r="I1229" s="27"/>
    </row>
    <row r="1230" spans="1:9">
      <c r="A1230" s="22"/>
      <c r="B1230" s="22"/>
      <c r="D1230" s="27"/>
      <c r="E1230" s="27"/>
      <c r="F1230" s="27"/>
      <c r="G1230" s="27"/>
      <c r="H1230" s="27"/>
      <c r="I1230" s="27"/>
    </row>
    <row r="1231" spans="1:9">
      <c r="A1231" s="22"/>
      <c r="B1231" s="22"/>
      <c r="D1231" s="27"/>
      <c r="E1231" s="27"/>
      <c r="F1231" s="27"/>
      <c r="G1231" s="27"/>
      <c r="H1231" s="27"/>
      <c r="I1231" s="27"/>
    </row>
    <row r="1232" spans="1:9">
      <c r="A1232" s="22"/>
      <c r="B1232" s="22"/>
      <c r="D1232" s="27"/>
      <c r="E1232" s="27"/>
      <c r="F1232" s="27"/>
      <c r="G1232" s="27"/>
      <c r="H1232" s="27"/>
      <c r="I1232" s="27"/>
    </row>
    <row r="1233" spans="1:9">
      <c r="A1233" s="22"/>
      <c r="B1233" s="22"/>
      <c r="D1233" s="27"/>
      <c r="E1233" s="27"/>
      <c r="F1233" s="27"/>
      <c r="G1233" s="27"/>
      <c r="H1233" s="27"/>
      <c r="I1233" s="27"/>
    </row>
    <row r="1234" spans="1:9">
      <c r="A1234" s="22"/>
      <c r="B1234" s="22"/>
      <c r="D1234" s="27"/>
      <c r="E1234" s="27"/>
      <c r="F1234" s="27"/>
      <c r="G1234" s="27"/>
      <c r="H1234" s="27"/>
      <c r="I1234" s="27"/>
    </row>
    <row r="1235" spans="1:9">
      <c r="A1235" s="22"/>
      <c r="B1235" s="22"/>
      <c r="D1235" s="27"/>
      <c r="E1235" s="27"/>
      <c r="F1235" s="27"/>
      <c r="G1235" s="27"/>
      <c r="H1235" s="27"/>
      <c r="I1235" s="27"/>
    </row>
    <row r="1236" spans="1:9">
      <c r="A1236" s="22"/>
      <c r="B1236" s="22"/>
      <c r="D1236" s="27"/>
      <c r="E1236" s="27"/>
      <c r="F1236" s="27"/>
      <c r="G1236" s="27"/>
      <c r="H1236" s="27"/>
      <c r="I1236" s="27"/>
    </row>
    <row r="1237" spans="1:9">
      <c r="A1237" s="22"/>
      <c r="B1237" s="22"/>
      <c r="D1237" s="27"/>
      <c r="E1237" s="27"/>
      <c r="F1237" s="27"/>
      <c r="G1237" s="27"/>
      <c r="H1237" s="27"/>
      <c r="I1237" s="27"/>
    </row>
    <row r="1238" spans="1:9">
      <c r="A1238" s="22"/>
      <c r="B1238" s="22"/>
      <c r="D1238" s="27"/>
      <c r="E1238" s="27"/>
      <c r="F1238" s="27"/>
      <c r="G1238" s="27"/>
      <c r="H1238" s="27"/>
      <c r="I1238" s="27"/>
    </row>
    <row r="1239" spans="1:9">
      <c r="A1239" s="22"/>
      <c r="B1239" s="22"/>
      <c r="D1239" s="27"/>
      <c r="E1239" s="27"/>
      <c r="F1239" s="27"/>
      <c r="G1239" s="27"/>
      <c r="H1239" s="27"/>
      <c r="I1239" s="27"/>
    </row>
    <row r="1240" spans="1:9">
      <c r="A1240" s="22"/>
      <c r="B1240" s="22"/>
      <c r="D1240" s="27"/>
      <c r="E1240" s="27"/>
      <c r="F1240" s="27"/>
      <c r="G1240" s="27"/>
      <c r="H1240" s="27"/>
      <c r="I1240" s="27"/>
    </row>
    <row r="1241" spans="1:9">
      <c r="A1241" s="22"/>
      <c r="B1241" s="22"/>
      <c r="D1241" s="27"/>
      <c r="E1241" s="27"/>
      <c r="F1241" s="27"/>
      <c r="G1241" s="27"/>
      <c r="H1241" s="27"/>
      <c r="I1241" s="27"/>
    </row>
    <row r="1242" spans="1:9">
      <c r="A1242" s="22"/>
      <c r="B1242" s="22"/>
      <c r="D1242" s="27"/>
      <c r="E1242" s="27"/>
      <c r="F1242" s="27"/>
      <c r="G1242" s="27"/>
      <c r="H1242" s="27"/>
      <c r="I1242" s="27"/>
    </row>
    <row r="1243" spans="1:9">
      <c r="A1243" s="22"/>
      <c r="B1243" s="22"/>
      <c r="D1243" s="27"/>
      <c r="E1243" s="27"/>
      <c r="F1243" s="27"/>
      <c r="G1243" s="27"/>
      <c r="H1243" s="27"/>
      <c r="I1243" s="27"/>
    </row>
    <row r="1244" spans="1:9">
      <c r="A1244" s="22"/>
      <c r="B1244" s="22"/>
      <c r="D1244" s="27"/>
      <c r="E1244" s="27"/>
      <c r="F1244" s="27"/>
      <c r="G1244" s="27"/>
      <c r="H1244" s="27"/>
      <c r="I1244" s="27"/>
    </row>
    <row r="1245" spans="1:9">
      <c r="A1245" s="22"/>
      <c r="B1245" s="22"/>
      <c r="D1245" s="27"/>
      <c r="E1245" s="27"/>
      <c r="F1245" s="27"/>
      <c r="G1245" s="27"/>
      <c r="H1245" s="27"/>
      <c r="I1245" s="27"/>
    </row>
    <row r="1246" spans="1:9">
      <c r="A1246" s="22"/>
      <c r="B1246" s="22"/>
      <c r="D1246" s="27"/>
      <c r="E1246" s="27"/>
      <c r="F1246" s="27"/>
      <c r="G1246" s="27"/>
      <c r="H1246" s="27"/>
      <c r="I1246" s="27"/>
    </row>
    <row r="1247" spans="1:9">
      <c r="A1247" s="22"/>
      <c r="B1247" s="22"/>
      <c r="D1247" s="27"/>
      <c r="E1247" s="27"/>
      <c r="F1247" s="27"/>
      <c r="G1247" s="27"/>
      <c r="H1247" s="27"/>
      <c r="I1247" s="27"/>
    </row>
    <row r="1248" spans="1:9">
      <c r="A1248" s="22"/>
      <c r="B1248" s="22"/>
      <c r="D1248" s="27"/>
      <c r="E1248" s="27"/>
      <c r="F1248" s="27"/>
      <c r="G1248" s="27"/>
      <c r="H1248" s="27"/>
      <c r="I1248" s="27"/>
    </row>
    <row r="1249" spans="1:9">
      <c r="A1249" s="22"/>
      <c r="B1249" s="22"/>
      <c r="D1249" s="27"/>
      <c r="E1249" s="27"/>
      <c r="F1249" s="27"/>
      <c r="G1249" s="27"/>
      <c r="H1249" s="27"/>
      <c r="I1249" s="27"/>
    </row>
    <row r="1250" spans="1:9">
      <c r="A1250" s="22"/>
      <c r="B1250" s="22"/>
      <c r="D1250" s="27"/>
      <c r="E1250" s="27"/>
      <c r="F1250" s="27"/>
      <c r="G1250" s="27"/>
      <c r="H1250" s="27"/>
      <c r="I1250" s="27"/>
    </row>
    <row r="1251" spans="1:9">
      <c r="A1251" s="22"/>
      <c r="B1251" s="22"/>
      <c r="D1251" s="27"/>
      <c r="E1251" s="27"/>
      <c r="F1251" s="27"/>
      <c r="G1251" s="27"/>
      <c r="H1251" s="27"/>
      <c r="I1251" s="27"/>
    </row>
    <row r="1252" spans="1:9">
      <c r="A1252" s="22"/>
      <c r="B1252" s="22"/>
      <c r="D1252" s="27"/>
      <c r="E1252" s="27"/>
      <c r="F1252" s="27"/>
      <c r="G1252" s="27"/>
      <c r="H1252" s="27"/>
      <c r="I1252" s="27"/>
    </row>
    <row r="1253" spans="1:9">
      <c r="A1253" s="22"/>
      <c r="B1253" s="22"/>
      <c r="D1253" s="27"/>
      <c r="E1253" s="27"/>
      <c r="F1253" s="27"/>
      <c r="G1253" s="27"/>
      <c r="H1253" s="27"/>
      <c r="I1253" s="27"/>
    </row>
    <row r="1254" spans="1:9">
      <c r="A1254" s="22"/>
      <c r="B1254" s="22"/>
      <c r="D1254" s="27"/>
      <c r="E1254" s="27"/>
      <c r="F1254" s="27"/>
      <c r="G1254" s="27"/>
      <c r="H1254" s="27"/>
      <c r="I1254" s="27"/>
    </row>
    <row r="1255" spans="1:9">
      <c r="A1255" s="22"/>
      <c r="B1255" s="22"/>
      <c r="D1255" s="27"/>
      <c r="E1255" s="27"/>
      <c r="F1255" s="27"/>
      <c r="G1255" s="27"/>
      <c r="H1255" s="27"/>
      <c r="I1255" s="27"/>
    </row>
    <row r="1256" spans="1:9">
      <c r="A1256" s="22"/>
      <c r="B1256" s="22"/>
      <c r="D1256" s="27"/>
      <c r="E1256" s="27"/>
      <c r="F1256" s="27"/>
      <c r="G1256" s="27"/>
      <c r="H1256" s="27"/>
      <c r="I1256" s="27"/>
    </row>
    <row r="1257" spans="1:9">
      <c r="A1257" s="22"/>
      <c r="B1257" s="22"/>
      <c r="D1257" s="27"/>
      <c r="E1257" s="27"/>
      <c r="F1257" s="27"/>
      <c r="G1257" s="27"/>
      <c r="H1257" s="27"/>
      <c r="I1257" s="27"/>
    </row>
    <row r="1258" spans="1:9">
      <c r="A1258" s="22"/>
      <c r="B1258" s="22"/>
      <c r="D1258" s="27"/>
      <c r="E1258" s="27"/>
      <c r="F1258" s="27"/>
      <c r="G1258" s="27"/>
      <c r="H1258" s="27"/>
      <c r="I1258" s="27"/>
    </row>
    <row r="1259" spans="1:9">
      <c r="A1259" s="22"/>
      <c r="B1259" s="22"/>
      <c r="D1259" s="27"/>
      <c r="E1259" s="27"/>
      <c r="F1259" s="27"/>
      <c r="G1259" s="27"/>
      <c r="H1259" s="27"/>
      <c r="I1259" s="27"/>
    </row>
    <row r="1260" spans="1:9">
      <c r="A1260" s="22"/>
      <c r="B1260" s="22"/>
      <c r="D1260" s="27"/>
      <c r="E1260" s="27"/>
      <c r="F1260" s="27"/>
      <c r="G1260" s="27"/>
      <c r="H1260" s="27"/>
      <c r="I1260" s="27"/>
    </row>
    <row r="1261" spans="1:9">
      <c r="A1261" s="22"/>
      <c r="B1261" s="22"/>
      <c r="D1261" s="27"/>
      <c r="E1261" s="27"/>
      <c r="F1261" s="27"/>
      <c r="G1261" s="27"/>
      <c r="H1261" s="27"/>
      <c r="I1261" s="27"/>
    </row>
    <row r="1262" spans="1:9">
      <c r="A1262" s="22"/>
      <c r="B1262" s="22"/>
      <c r="D1262" s="27"/>
      <c r="E1262" s="27"/>
      <c r="F1262" s="27"/>
      <c r="G1262" s="27"/>
      <c r="H1262" s="27"/>
      <c r="I1262" s="27"/>
    </row>
    <row r="1263" spans="1:9">
      <c r="A1263" s="22"/>
      <c r="B1263" s="22"/>
      <c r="D1263" s="27"/>
      <c r="E1263" s="27"/>
      <c r="F1263" s="27"/>
      <c r="G1263" s="27"/>
      <c r="H1263" s="27"/>
      <c r="I1263" s="27"/>
    </row>
    <row r="1264" spans="1:9">
      <c r="A1264" s="22"/>
      <c r="B1264" s="22"/>
      <c r="D1264" s="27"/>
      <c r="E1264" s="27"/>
      <c r="F1264" s="27"/>
      <c r="G1264" s="27"/>
      <c r="H1264" s="27"/>
      <c r="I1264" s="27"/>
    </row>
    <row r="1265" spans="1:9">
      <c r="A1265" s="22"/>
      <c r="B1265" s="22"/>
      <c r="D1265" s="27"/>
      <c r="E1265" s="27"/>
      <c r="F1265" s="27"/>
      <c r="G1265" s="27"/>
      <c r="H1265" s="27"/>
      <c r="I1265" s="27"/>
    </row>
    <row r="1266" spans="1:9">
      <c r="A1266" s="22"/>
      <c r="B1266" s="22"/>
      <c r="D1266" s="27"/>
      <c r="E1266" s="27"/>
      <c r="F1266" s="27"/>
      <c r="G1266" s="27"/>
      <c r="H1266" s="27"/>
      <c r="I1266" s="27"/>
    </row>
    <row r="1267" spans="1:9">
      <c r="A1267" s="22"/>
      <c r="B1267" s="22"/>
      <c r="D1267" s="27"/>
      <c r="E1267" s="27"/>
      <c r="F1267" s="27"/>
      <c r="G1267" s="27"/>
      <c r="H1267" s="27"/>
      <c r="I1267" s="27"/>
    </row>
    <row r="1268" spans="1:9">
      <c r="A1268" s="22"/>
      <c r="B1268" s="22"/>
      <c r="D1268" s="27"/>
      <c r="E1268" s="27"/>
      <c r="F1268" s="27"/>
      <c r="G1268" s="27"/>
      <c r="H1268" s="27"/>
      <c r="I1268" s="27"/>
    </row>
    <row r="1269" spans="1:9">
      <c r="A1269" s="22"/>
      <c r="B1269" s="22"/>
      <c r="D1269" s="27"/>
      <c r="E1269" s="27"/>
      <c r="F1269" s="27"/>
      <c r="G1269" s="27"/>
      <c r="H1269" s="27"/>
      <c r="I1269" s="27"/>
    </row>
    <row r="1270" spans="1:9">
      <c r="A1270" s="22"/>
      <c r="B1270" s="22"/>
      <c r="D1270" s="27"/>
      <c r="E1270" s="27"/>
      <c r="F1270" s="27"/>
      <c r="G1270" s="27"/>
      <c r="H1270" s="27"/>
      <c r="I1270" s="27"/>
    </row>
    <row r="1271" spans="1:9">
      <c r="A1271" s="22"/>
      <c r="B1271" s="22"/>
      <c r="D1271" s="27"/>
      <c r="E1271" s="27"/>
      <c r="F1271" s="27"/>
      <c r="G1271" s="27"/>
      <c r="H1271" s="27"/>
      <c r="I1271" s="27"/>
    </row>
    <row r="1272" spans="1:9">
      <c r="A1272" s="22"/>
      <c r="B1272" s="22"/>
      <c r="D1272" s="27"/>
      <c r="E1272" s="27"/>
      <c r="F1272" s="27"/>
      <c r="G1272" s="27"/>
      <c r="H1272" s="27"/>
      <c r="I1272" s="27"/>
    </row>
    <row r="1273" spans="1:9">
      <c r="A1273" s="22"/>
      <c r="B1273" s="22"/>
      <c r="D1273" s="27"/>
      <c r="E1273" s="27"/>
      <c r="F1273" s="27"/>
      <c r="G1273" s="27"/>
      <c r="H1273" s="27"/>
      <c r="I1273" s="27"/>
    </row>
    <row r="1274" spans="1:9">
      <c r="A1274" s="22"/>
      <c r="B1274" s="22"/>
      <c r="D1274" s="27"/>
      <c r="E1274" s="27"/>
      <c r="F1274" s="27"/>
      <c r="G1274" s="27"/>
      <c r="H1274" s="27"/>
      <c r="I1274" s="27"/>
    </row>
    <row r="1275" spans="1:9">
      <c r="A1275" s="22"/>
      <c r="B1275" s="22"/>
      <c r="D1275" s="27"/>
      <c r="E1275" s="27"/>
      <c r="F1275" s="27"/>
      <c r="G1275" s="27"/>
      <c r="H1275" s="27"/>
      <c r="I1275" s="27"/>
    </row>
    <row r="1276" spans="1:9">
      <c r="A1276" s="22"/>
      <c r="B1276" s="22"/>
      <c r="D1276" s="27"/>
      <c r="E1276" s="27"/>
      <c r="F1276" s="27"/>
      <c r="G1276" s="27"/>
      <c r="H1276" s="27"/>
      <c r="I1276" s="27"/>
    </row>
    <row r="1277" spans="1:9">
      <c r="A1277" s="22"/>
      <c r="B1277" s="22"/>
      <c r="D1277" s="27"/>
      <c r="E1277" s="27"/>
      <c r="F1277" s="27"/>
      <c r="G1277" s="27"/>
      <c r="H1277" s="27"/>
      <c r="I1277" s="27"/>
    </row>
    <row r="1278" spans="1:9">
      <c r="A1278" s="22"/>
      <c r="B1278" s="22"/>
      <c r="D1278" s="27"/>
      <c r="E1278" s="27"/>
      <c r="F1278" s="27"/>
      <c r="G1278" s="27"/>
      <c r="H1278" s="27"/>
      <c r="I1278" s="27"/>
    </row>
    <row r="1279" spans="1:9">
      <c r="A1279" s="22"/>
      <c r="B1279" s="22"/>
      <c r="D1279" s="27"/>
      <c r="E1279" s="27"/>
      <c r="F1279" s="27"/>
      <c r="G1279" s="27"/>
      <c r="H1279" s="27"/>
      <c r="I1279" s="27"/>
    </row>
    <row r="1280" spans="1:9">
      <c r="A1280" s="22"/>
      <c r="B1280" s="22"/>
      <c r="D1280" s="27"/>
      <c r="E1280" s="27"/>
      <c r="F1280" s="27"/>
      <c r="G1280" s="27"/>
      <c r="H1280" s="27"/>
      <c r="I1280" s="27"/>
    </row>
    <row r="1281" spans="1:9">
      <c r="A1281" s="22"/>
      <c r="B1281" s="22"/>
      <c r="D1281" s="27"/>
      <c r="E1281" s="27"/>
      <c r="F1281" s="27"/>
      <c r="G1281" s="27"/>
      <c r="H1281" s="27"/>
      <c r="I1281" s="27"/>
    </row>
    <row r="1282" spans="1:9">
      <c r="A1282" s="22"/>
      <c r="B1282" s="22"/>
      <c r="D1282" s="27"/>
      <c r="E1282" s="27"/>
      <c r="F1282" s="27"/>
      <c r="G1282" s="27"/>
      <c r="H1282" s="27"/>
      <c r="I1282" s="27"/>
    </row>
    <row r="1283" spans="1:9">
      <c r="A1283" s="22"/>
      <c r="B1283" s="22"/>
      <c r="D1283" s="27"/>
      <c r="E1283" s="27"/>
      <c r="F1283" s="27"/>
      <c r="G1283" s="27"/>
      <c r="H1283" s="27"/>
      <c r="I1283" s="27"/>
    </row>
    <row r="1284" spans="1:9">
      <c r="A1284" s="22"/>
      <c r="B1284" s="22"/>
      <c r="D1284" s="27"/>
      <c r="E1284" s="27"/>
      <c r="F1284" s="27"/>
      <c r="G1284" s="27"/>
      <c r="H1284" s="27"/>
      <c r="I1284" s="27"/>
    </row>
    <row r="1285" spans="1:9">
      <c r="A1285" s="22"/>
      <c r="B1285" s="22"/>
      <c r="D1285" s="27"/>
      <c r="E1285" s="27"/>
      <c r="F1285" s="27"/>
      <c r="G1285" s="27"/>
      <c r="H1285" s="27"/>
      <c r="I1285" s="27"/>
    </row>
    <row r="1286" spans="1:9">
      <c r="A1286" s="22"/>
      <c r="B1286" s="22"/>
      <c r="D1286" s="27"/>
      <c r="E1286" s="27"/>
      <c r="F1286" s="27"/>
      <c r="G1286" s="27"/>
      <c r="H1286" s="27"/>
      <c r="I1286" s="27"/>
    </row>
    <row r="1287" spans="1:9">
      <c r="A1287" s="22"/>
      <c r="B1287" s="22"/>
      <c r="D1287" s="27"/>
      <c r="E1287" s="27"/>
      <c r="F1287" s="27"/>
      <c r="G1287" s="27"/>
      <c r="H1287" s="27"/>
      <c r="I1287" s="27"/>
    </row>
    <row r="1288" spans="1:9">
      <c r="A1288" s="22"/>
      <c r="B1288" s="22"/>
      <c r="D1288" s="27"/>
      <c r="E1288" s="27"/>
      <c r="F1288" s="27"/>
      <c r="G1288" s="27"/>
      <c r="H1288" s="27"/>
      <c r="I1288" s="27"/>
    </row>
    <row r="1289" spans="1:9">
      <c r="A1289" s="22"/>
      <c r="B1289" s="22"/>
      <c r="D1289" s="27"/>
      <c r="E1289" s="27"/>
      <c r="F1289" s="27"/>
      <c r="G1289" s="27"/>
      <c r="H1289" s="27"/>
      <c r="I1289" s="27"/>
    </row>
    <row r="1290" spans="1:9">
      <c r="A1290" s="22"/>
      <c r="B1290" s="22"/>
      <c r="D1290" s="27"/>
      <c r="E1290" s="27"/>
      <c r="F1290" s="27"/>
      <c r="G1290" s="27"/>
      <c r="H1290" s="27"/>
      <c r="I1290" s="27"/>
    </row>
    <row r="1291" spans="1:9">
      <c r="A1291" s="22"/>
      <c r="B1291" s="22"/>
      <c r="D1291" s="27"/>
      <c r="E1291" s="27"/>
      <c r="F1291" s="27"/>
      <c r="G1291" s="27"/>
      <c r="H1291" s="27"/>
      <c r="I1291" s="27"/>
    </row>
    <row r="1292" spans="1:9">
      <c r="A1292" s="23"/>
      <c r="B1292" s="22"/>
      <c r="D1292" s="27"/>
      <c r="E1292" s="27"/>
      <c r="F1292" s="27"/>
      <c r="G1292" s="27"/>
      <c r="H1292" s="27"/>
      <c r="I1292" s="27"/>
    </row>
    <row r="1293" spans="1:9">
      <c r="A1293" s="22"/>
      <c r="B1293" s="22"/>
      <c r="D1293" s="27"/>
      <c r="E1293" s="27"/>
      <c r="F1293" s="27"/>
      <c r="G1293" s="27"/>
      <c r="H1293" s="27"/>
      <c r="I1293" s="27"/>
    </row>
    <row r="1294" spans="1:9">
      <c r="A1294" s="22"/>
      <c r="B1294" s="22"/>
      <c r="D1294" s="27"/>
      <c r="E1294" s="27"/>
      <c r="F1294" s="27"/>
      <c r="G1294" s="27"/>
      <c r="H1294" s="27"/>
      <c r="I1294" s="27"/>
    </row>
    <row r="1295" spans="1:9">
      <c r="A1295" s="22"/>
      <c r="B1295" s="22"/>
      <c r="D1295" s="27"/>
      <c r="E1295" s="27"/>
      <c r="F1295" s="27"/>
      <c r="G1295" s="27"/>
      <c r="H1295" s="27"/>
      <c r="I1295" s="27"/>
    </row>
    <row r="1296" spans="1:9">
      <c r="A1296" s="22"/>
      <c r="B1296" s="22"/>
      <c r="D1296" s="27"/>
      <c r="E1296" s="27"/>
      <c r="F1296" s="27"/>
      <c r="G1296" s="27"/>
      <c r="H1296" s="27"/>
      <c r="I1296" s="27"/>
    </row>
    <row r="1297" spans="1:9">
      <c r="A1297" s="22"/>
      <c r="B1297" s="22"/>
      <c r="D1297" s="27"/>
      <c r="E1297" s="27"/>
      <c r="F1297" s="27"/>
      <c r="G1297" s="27"/>
      <c r="H1297" s="27"/>
      <c r="I1297" s="27"/>
    </row>
    <row r="1298" spans="1:9">
      <c r="A1298" s="22"/>
      <c r="B1298" s="22"/>
      <c r="D1298" s="27"/>
      <c r="E1298" s="27"/>
      <c r="F1298" s="27"/>
      <c r="G1298" s="27"/>
      <c r="H1298" s="27"/>
      <c r="I1298" s="27"/>
    </row>
    <row r="1299" spans="1:9">
      <c r="A1299" s="22"/>
      <c r="B1299" s="22"/>
      <c r="D1299" s="27"/>
      <c r="E1299" s="27"/>
      <c r="F1299" s="27"/>
      <c r="G1299" s="27"/>
      <c r="H1299" s="27"/>
      <c r="I1299" s="27"/>
    </row>
    <row r="1300" spans="1:9">
      <c r="A1300" s="22"/>
      <c r="B1300" s="22"/>
      <c r="D1300" s="27"/>
      <c r="E1300" s="27"/>
      <c r="F1300" s="27"/>
      <c r="G1300" s="27"/>
      <c r="H1300" s="27"/>
      <c r="I1300" s="27"/>
    </row>
    <row r="1301" spans="1:9">
      <c r="A1301" s="22"/>
      <c r="B1301" s="22"/>
      <c r="D1301" s="27"/>
      <c r="E1301" s="27"/>
      <c r="F1301" s="27"/>
      <c r="G1301" s="27"/>
      <c r="H1301" s="27"/>
      <c r="I1301" s="27"/>
    </row>
    <row r="1302" spans="1:9">
      <c r="A1302" s="22"/>
      <c r="B1302" s="22"/>
      <c r="D1302" s="27"/>
      <c r="E1302" s="27"/>
      <c r="F1302" s="27"/>
      <c r="G1302" s="27"/>
      <c r="H1302" s="27"/>
      <c r="I1302" s="27"/>
    </row>
    <row r="1303" spans="1:9">
      <c r="A1303" s="22"/>
      <c r="B1303" s="22"/>
      <c r="D1303" s="27"/>
      <c r="E1303" s="27"/>
      <c r="F1303" s="27"/>
      <c r="G1303" s="27"/>
      <c r="H1303" s="27"/>
      <c r="I1303" s="27"/>
    </row>
    <row r="1304" spans="1:9">
      <c r="A1304" s="25"/>
      <c r="B1304" s="22"/>
      <c r="D1304" s="27"/>
      <c r="E1304" s="27"/>
      <c r="F1304" s="27"/>
      <c r="G1304" s="27"/>
      <c r="H1304" s="27"/>
      <c r="I1304" s="27"/>
    </row>
    <row r="1305" spans="1:9">
      <c r="A1305" s="22"/>
      <c r="B1305" s="22"/>
      <c r="D1305" s="27"/>
      <c r="E1305" s="27"/>
      <c r="F1305" s="27"/>
      <c r="G1305" s="27"/>
      <c r="H1305" s="27"/>
      <c r="I1305" s="27"/>
    </row>
    <row r="1306" spans="1:9">
      <c r="A1306" s="22"/>
      <c r="B1306" s="22"/>
      <c r="D1306" s="27"/>
      <c r="E1306" s="27"/>
      <c r="F1306" s="27"/>
      <c r="G1306" s="27"/>
      <c r="H1306" s="27"/>
      <c r="I1306" s="27"/>
    </row>
    <row r="1307" spans="1:9">
      <c r="A1307" s="22"/>
      <c r="B1307" s="22"/>
      <c r="D1307" s="27"/>
      <c r="E1307" s="27"/>
      <c r="F1307" s="27"/>
      <c r="G1307" s="27"/>
      <c r="H1307" s="27"/>
      <c r="I1307" s="27"/>
    </row>
    <row r="1308" spans="1:9">
      <c r="A1308" s="22"/>
      <c r="B1308" s="22"/>
      <c r="D1308" s="27"/>
      <c r="E1308" s="27"/>
      <c r="F1308" s="27"/>
      <c r="G1308" s="27"/>
      <c r="H1308" s="27"/>
      <c r="I1308" s="27"/>
    </row>
    <row r="1309" spans="1:9">
      <c r="A1309" s="22"/>
      <c r="B1309" s="22"/>
      <c r="D1309" s="27"/>
      <c r="E1309" s="27"/>
      <c r="F1309" s="27"/>
      <c r="G1309" s="27"/>
      <c r="H1309" s="27"/>
      <c r="I1309" s="27"/>
    </row>
    <row r="1310" spans="1:9">
      <c r="A1310" s="22"/>
      <c r="B1310" s="22"/>
      <c r="D1310" s="27"/>
      <c r="E1310" s="27"/>
      <c r="F1310" s="27"/>
      <c r="G1310" s="27"/>
      <c r="H1310" s="27"/>
      <c r="I1310" s="27"/>
    </row>
    <row r="1311" spans="1:9">
      <c r="A1311" s="22"/>
      <c r="B1311" s="22"/>
      <c r="D1311" s="27"/>
      <c r="E1311" s="27"/>
      <c r="F1311" s="27"/>
      <c r="G1311" s="27"/>
      <c r="H1311" s="27"/>
      <c r="I1311" s="27"/>
    </row>
    <row r="1312" spans="1:9">
      <c r="A1312" s="22"/>
      <c r="B1312" s="22"/>
      <c r="D1312" s="27"/>
      <c r="E1312" s="27"/>
      <c r="F1312" s="27"/>
      <c r="G1312" s="27"/>
      <c r="H1312" s="27"/>
      <c r="I1312" s="27"/>
    </row>
    <row r="1313" spans="1:9">
      <c r="A1313" s="22"/>
      <c r="B1313" s="22"/>
      <c r="D1313" s="27"/>
      <c r="E1313" s="27"/>
      <c r="F1313" s="27"/>
      <c r="G1313" s="27"/>
      <c r="H1313" s="27"/>
      <c r="I1313" s="27"/>
    </row>
    <row r="1314" spans="1:9">
      <c r="A1314" s="22"/>
      <c r="B1314" s="22"/>
      <c r="D1314" s="27"/>
      <c r="E1314" s="27"/>
      <c r="F1314" s="27"/>
      <c r="G1314" s="27"/>
      <c r="H1314" s="27"/>
      <c r="I1314" s="27"/>
    </row>
    <row r="1315" spans="1:9">
      <c r="A1315" s="22"/>
      <c r="B1315" s="22"/>
      <c r="D1315" s="27"/>
      <c r="E1315" s="27"/>
      <c r="F1315" s="27"/>
      <c r="G1315" s="27"/>
      <c r="H1315" s="27"/>
      <c r="I1315" s="27"/>
    </row>
    <row r="1316" spans="1:9">
      <c r="A1316" s="22"/>
      <c r="B1316" s="22"/>
      <c r="D1316" s="27"/>
      <c r="E1316" s="27"/>
      <c r="F1316" s="27"/>
      <c r="G1316" s="27"/>
      <c r="H1316" s="27"/>
      <c r="I1316" s="27"/>
    </row>
    <row r="1317" spans="1:9">
      <c r="A1317" s="22"/>
      <c r="B1317" s="22"/>
      <c r="D1317" s="27"/>
      <c r="E1317" s="27"/>
      <c r="F1317" s="27"/>
      <c r="G1317" s="27"/>
      <c r="H1317" s="27"/>
      <c r="I1317" s="27"/>
    </row>
    <row r="1318" spans="1:9">
      <c r="A1318" s="22"/>
      <c r="B1318" s="22"/>
      <c r="D1318" s="27"/>
      <c r="E1318" s="27"/>
      <c r="F1318" s="27"/>
      <c r="G1318" s="27"/>
      <c r="H1318" s="27"/>
      <c r="I1318" s="27"/>
    </row>
    <row r="1319" spans="1:9">
      <c r="A1319" s="22"/>
      <c r="B1319" s="22"/>
      <c r="D1319" s="27"/>
      <c r="E1319" s="27"/>
      <c r="F1319" s="27"/>
      <c r="G1319" s="27"/>
      <c r="H1319" s="27"/>
      <c r="I1319" s="27"/>
    </row>
    <row r="1320" spans="1:9">
      <c r="A1320" s="22"/>
      <c r="B1320" s="22"/>
      <c r="D1320" s="27"/>
      <c r="E1320" s="27"/>
      <c r="F1320" s="27"/>
      <c r="G1320" s="27"/>
      <c r="H1320" s="27"/>
      <c r="I1320" s="27"/>
    </row>
    <row r="1321" spans="1:9">
      <c r="A1321" s="22"/>
      <c r="B1321" s="22"/>
      <c r="D1321" s="27"/>
      <c r="E1321" s="27"/>
      <c r="F1321" s="27"/>
      <c r="G1321" s="27"/>
      <c r="H1321" s="27"/>
      <c r="I1321" s="27"/>
    </row>
    <row r="1322" spans="1:9">
      <c r="A1322" s="22"/>
      <c r="B1322" s="22"/>
      <c r="D1322" s="27"/>
      <c r="E1322" s="27"/>
      <c r="F1322" s="27"/>
      <c r="G1322" s="27"/>
      <c r="H1322" s="27"/>
      <c r="I1322" s="27"/>
    </row>
    <row r="1323" spans="1:9">
      <c r="A1323" s="22"/>
      <c r="B1323" s="22"/>
      <c r="D1323" s="27"/>
      <c r="E1323" s="27"/>
      <c r="F1323" s="27"/>
      <c r="G1323" s="27"/>
      <c r="H1323" s="27"/>
      <c r="I1323" s="27"/>
    </row>
    <row r="1324" spans="1:9">
      <c r="A1324" s="22"/>
      <c r="B1324" s="22"/>
      <c r="D1324" s="27"/>
      <c r="E1324" s="27"/>
      <c r="F1324" s="27"/>
      <c r="G1324" s="27"/>
      <c r="H1324" s="27"/>
      <c r="I1324" s="27"/>
    </row>
    <row r="1325" spans="1:9">
      <c r="A1325" s="22"/>
      <c r="B1325" s="22"/>
      <c r="D1325" s="27"/>
      <c r="E1325" s="27"/>
      <c r="F1325" s="27"/>
      <c r="G1325" s="27"/>
      <c r="H1325" s="27"/>
      <c r="I1325" s="27"/>
    </row>
    <row r="1326" spans="1:9">
      <c r="A1326" s="22"/>
      <c r="B1326" s="22"/>
      <c r="D1326" s="27"/>
      <c r="E1326" s="27"/>
      <c r="F1326" s="27"/>
      <c r="G1326" s="27"/>
      <c r="H1326" s="27"/>
      <c r="I1326" s="27"/>
    </row>
    <row r="1327" spans="1:9">
      <c r="A1327" s="22"/>
      <c r="B1327" s="22"/>
      <c r="D1327" s="27"/>
      <c r="E1327" s="27"/>
      <c r="F1327" s="27"/>
      <c r="G1327" s="27"/>
      <c r="H1327" s="27"/>
      <c r="I1327" s="27"/>
    </row>
    <row r="1328" spans="1:9">
      <c r="A1328" s="22"/>
      <c r="B1328" s="22"/>
      <c r="D1328" s="27"/>
      <c r="E1328" s="27"/>
      <c r="F1328" s="27"/>
      <c r="G1328" s="27"/>
      <c r="H1328" s="27"/>
      <c r="I1328" s="27"/>
    </row>
    <row r="1329" spans="1:9">
      <c r="A1329" s="22"/>
      <c r="B1329" s="22"/>
      <c r="D1329" s="27"/>
      <c r="E1329" s="27"/>
      <c r="F1329" s="27"/>
      <c r="G1329" s="27"/>
      <c r="H1329" s="27"/>
      <c r="I1329" s="27"/>
    </row>
    <row r="1330" spans="1:9">
      <c r="A1330" s="22"/>
      <c r="B1330" s="22"/>
      <c r="D1330" s="27"/>
      <c r="E1330" s="27"/>
      <c r="F1330" s="27"/>
      <c r="G1330" s="27"/>
      <c r="H1330" s="27"/>
      <c r="I1330" s="27"/>
    </row>
    <row r="1331" spans="1:9">
      <c r="A1331" s="22"/>
      <c r="B1331" s="22"/>
      <c r="D1331" s="27"/>
      <c r="E1331" s="27"/>
      <c r="F1331" s="27"/>
      <c r="G1331" s="27"/>
      <c r="H1331" s="27"/>
      <c r="I1331" s="27"/>
    </row>
    <row r="1332" spans="1:9">
      <c r="A1332" s="22"/>
      <c r="B1332" s="22"/>
      <c r="D1332" s="27"/>
      <c r="E1332" s="27"/>
      <c r="F1332" s="27"/>
      <c r="G1332" s="27"/>
      <c r="H1332" s="27"/>
      <c r="I1332" s="27"/>
    </row>
    <row r="1333" spans="1:9">
      <c r="A1333" s="22"/>
      <c r="B1333" s="22"/>
      <c r="D1333" s="27"/>
      <c r="E1333" s="27"/>
      <c r="F1333" s="27"/>
      <c r="G1333" s="27"/>
      <c r="H1333" s="27"/>
      <c r="I1333" s="27"/>
    </row>
    <row r="1334" spans="1:9">
      <c r="A1334" s="22"/>
      <c r="B1334" s="22"/>
      <c r="D1334" s="27"/>
      <c r="E1334" s="27"/>
      <c r="F1334" s="27"/>
      <c r="G1334" s="27"/>
      <c r="H1334" s="27"/>
      <c r="I1334" s="27"/>
    </row>
    <row r="1335" spans="1:9">
      <c r="A1335" s="22"/>
      <c r="B1335" s="22"/>
      <c r="D1335" s="27"/>
      <c r="E1335" s="27"/>
      <c r="F1335" s="27"/>
      <c r="G1335" s="27"/>
      <c r="H1335" s="27"/>
      <c r="I1335" s="27"/>
    </row>
    <row r="1336" spans="1:9">
      <c r="A1336" s="22"/>
      <c r="B1336" s="22"/>
      <c r="D1336" s="27"/>
      <c r="E1336" s="27"/>
      <c r="F1336" s="27"/>
      <c r="G1336" s="27"/>
      <c r="H1336" s="27"/>
      <c r="I1336" s="27"/>
    </row>
    <row r="1337" spans="1:9">
      <c r="A1337" s="22"/>
      <c r="B1337" s="22"/>
      <c r="D1337" s="27"/>
      <c r="E1337" s="27"/>
      <c r="F1337" s="27"/>
      <c r="G1337" s="27"/>
      <c r="H1337" s="27"/>
      <c r="I1337" s="27"/>
    </row>
    <row r="1338" spans="1:9">
      <c r="A1338" s="22"/>
      <c r="B1338" s="22"/>
      <c r="D1338" s="27"/>
      <c r="E1338" s="27"/>
      <c r="F1338" s="27"/>
      <c r="G1338" s="27"/>
      <c r="H1338" s="27"/>
      <c r="I1338" s="27"/>
    </row>
    <row r="1339" spans="1:9">
      <c r="A1339" s="22"/>
      <c r="B1339" s="22"/>
      <c r="D1339" s="27"/>
      <c r="E1339" s="27"/>
      <c r="F1339" s="27"/>
      <c r="G1339" s="27"/>
      <c r="H1339" s="27"/>
      <c r="I1339" s="27"/>
    </row>
    <row r="1340" spans="1:9">
      <c r="A1340" s="22"/>
      <c r="B1340" s="22"/>
      <c r="D1340" s="27"/>
      <c r="E1340" s="27"/>
      <c r="F1340" s="27"/>
      <c r="G1340" s="27"/>
      <c r="H1340" s="27"/>
      <c r="I1340" s="27"/>
    </row>
    <row r="1341" spans="1:9">
      <c r="A1341" s="22"/>
      <c r="B1341" s="22"/>
      <c r="D1341" s="27"/>
      <c r="E1341" s="27"/>
      <c r="F1341" s="27"/>
      <c r="G1341" s="27"/>
      <c r="H1341" s="27"/>
      <c r="I1341" s="27"/>
    </row>
    <row r="1342" spans="1:9">
      <c r="A1342" s="22"/>
      <c r="B1342" s="22"/>
      <c r="D1342" s="27"/>
      <c r="E1342" s="27"/>
      <c r="F1342" s="27"/>
      <c r="G1342" s="27"/>
      <c r="H1342" s="27"/>
      <c r="I1342" s="27"/>
    </row>
    <row r="1343" spans="1:9">
      <c r="A1343" s="22"/>
      <c r="B1343" s="22"/>
      <c r="D1343" s="27"/>
      <c r="E1343" s="27"/>
      <c r="F1343" s="27"/>
      <c r="G1343" s="27"/>
      <c r="H1343" s="27"/>
      <c r="I1343" s="27"/>
    </row>
    <row r="1344" spans="1:9">
      <c r="A1344" s="22"/>
      <c r="B1344" s="22"/>
      <c r="D1344" s="27"/>
      <c r="E1344" s="27"/>
      <c r="F1344" s="27"/>
      <c r="G1344" s="27"/>
      <c r="H1344" s="27"/>
      <c r="I1344" s="27"/>
    </row>
    <row r="1345" spans="1:9">
      <c r="A1345" s="22"/>
      <c r="B1345" s="22"/>
      <c r="D1345" s="27"/>
      <c r="E1345" s="27"/>
      <c r="F1345" s="27"/>
      <c r="G1345" s="27"/>
      <c r="H1345" s="27"/>
      <c r="I1345" s="27"/>
    </row>
    <row r="1346" spans="1:9">
      <c r="A1346" s="22"/>
      <c r="B1346" s="22"/>
      <c r="D1346" s="27"/>
      <c r="E1346" s="27"/>
      <c r="F1346" s="27"/>
      <c r="G1346" s="27"/>
      <c r="H1346" s="27"/>
      <c r="I1346" s="27"/>
    </row>
    <row r="1347" spans="1:9">
      <c r="A1347" s="22"/>
      <c r="B1347" s="22"/>
      <c r="D1347" s="27"/>
      <c r="E1347" s="27"/>
      <c r="F1347" s="27"/>
      <c r="G1347" s="27"/>
      <c r="H1347" s="27"/>
      <c r="I1347" s="27"/>
    </row>
    <row r="1348" spans="1:9">
      <c r="A1348" s="22"/>
      <c r="B1348" s="22"/>
      <c r="D1348" s="27"/>
      <c r="E1348" s="27"/>
      <c r="F1348" s="27"/>
      <c r="G1348" s="27"/>
      <c r="H1348" s="27"/>
      <c r="I1348" s="27"/>
    </row>
    <row r="1349" spans="1:9">
      <c r="A1349" s="22"/>
      <c r="B1349" s="22"/>
      <c r="D1349" s="27"/>
      <c r="E1349" s="27"/>
      <c r="F1349" s="27"/>
      <c r="G1349" s="27"/>
      <c r="H1349" s="27"/>
      <c r="I1349" s="27"/>
    </row>
    <row r="1350" spans="1:9">
      <c r="A1350" s="22"/>
      <c r="B1350" s="22"/>
      <c r="D1350" s="27"/>
      <c r="E1350" s="27"/>
      <c r="F1350" s="27"/>
      <c r="G1350" s="27"/>
      <c r="H1350" s="27"/>
      <c r="I1350" s="27"/>
    </row>
    <row r="1351" spans="1:9">
      <c r="A1351" s="22"/>
      <c r="B1351" s="22"/>
      <c r="D1351" s="27"/>
      <c r="E1351" s="27"/>
      <c r="F1351" s="27"/>
      <c r="G1351" s="27"/>
      <c r="H1351" s="27"/>
      <c r="I1351" s="27"/>
    </row>
    <row r="1352" spans="1:9">
      <c r="A1352" s="22"/>
      <c r="B1352" s="22"/>
      <c r="D1352" s="27"/>
      <c r="E1352" s="27"/>
      <c r="F1352" s="27"/>
      <c r="G1352" s="27"/>
      <c r="H1352" s="27"/>
      <c r="I1352" s="27"/>
    </row>
    <row r="1353" spans="1:9">
      <c r="A1353" s="22"/>
      <c r="B1353" s="22"/>
      <c r="D1353" s="27"/>
      <c r="E1353" s="27"/>
      <c r="F1353" s="27"/>
      <c r="G1353" s="27"/>
      <c r="H1353" s="27"/>
      <c r="I1353" s="2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6</vt:i4>
      </vt:variant>
      <vt:variant>
        <vt:lpstr>Charts</vt:lpstr>
      </vt:variant>
      <vt:variant>
        <vt:i4>2</vt:i4>
      </vt:variant>
      <vt:variant>
        <vt:lpstr>Named Ranges</vt:lpstr>
      </vt:variant>
      <vt:variant>
        <vt:i4>2</vt:i4>
      </vt:variant>
    </vt:vector>
  </HeadingPairs>
  <TitlesOfParts>
    <vt:vector size="10" baseType="lpstr">
      <vt:lpstr>Info</vt:lpstr>
      <vt:lpstr>Ft</vt:lpstr>
      <vt:lpstr>Vars</vt:lpstr>
      <vt:lpstr>Data</vt:lpstr>
      <vt:lpstr>Shirley</vt:lpstr>
      <vt:lpstr>Sheet1</vt:lpstr>
      <vt:lpstr>Chart3</vt:lpstr>
      <vt:lpstr>Chart4</vt:lpstr>
      <vt:lpstr>Error</vt:lpstr>
      <vt:lpstr>Ft!Print_Area</vt:lpstr>
    </vt:vector>
  </TitlesOfParts>
  <Company>Queen Mary &amp; Westfield College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R.M.Nix</dc:creator>
  <cp:lastModifiedBy>Gary Dyrkacz</cp:lastModifiedBy>
  <cp:lastPrinted>1999-06-03T12:20:16Z</cp:lastPrinted>
  <dcterms:created xsi:type="dcterms:W3CDTF">1997-06-23T11:00:00Z</dcterms:created>
  <dcterms:modified xsi:type="dcterms:W3CDTF">2014-07-14T13:29:30Z</dcterms:modified>
</cp:coreProperties>
</file>