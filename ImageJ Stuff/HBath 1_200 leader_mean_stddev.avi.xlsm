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315" windowWidth="21795" windowHeight="9255" activeTab="2"/>
  </bookViews>
  <sheets>
    <sheet name="stack2.avi" sheetId="1" r:id="rId1"/>
    <sheet name="Analysis" sheetId="2" r:id="rId2"/>
    <sheet name="Comparison of stacks" sheetId="4" r:id="rId3"/>
    <sheet name="Sheet1" sheetId="5" r:id="rId4"/>
  </sheets>
  <calcPr calcId="125725"/>
</workbook>
</file>

<file path=xl/calcChain.xml><?xml version="1.0" encoding="utf-8"?>
<calcChain xmlns="http://schemas.openxmlformats.org/spreadsheetml/2006/main">
  <c r="I10" i="4"/>
  <c r="I11"/>
  <c r="H11"/>
  <c r="D11"/>
  <c r="E11"/>
  <c r="F11"/>
  <c r="G11"/>
  <c r="C11"/>
  <c r="B11"/>
  <c r="B9" i="2"/>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9"/>
  <c r="I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1"/>
  <c r="B8"/>
  <c r="B7"/>
  <c r="G13" s="1"/>
  <c r="T41"/>
  <c r="O45" s="1"/>
  <c r="S43"/>
  <c r="S44"/>
  <c r="P41"/>
  <c r="P42"/>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1"/>
  <c r="N52"/>
  <c r="N50"/>
  <c r="N49"/>
  <c r="N48"/>
  <c r="N47"/>
  <c r="N46"/>
  <c r="N45"/>
  <c r="N44"/>
  <c r="H9" l="1"/>
  <c r="S45"/>
  <c r="O98"/>
  <c r="O94"/>
  <c r="O90"/>
  <c r="O86"/>
  <c r="O82"/>
  <c r="O78"/>
  <c r="O74"/>
  <c r="O70"/>
  <c r="O66"/>
  <c r="O62"/>
  <c r="O58"/>
  <c r="O54"/>
  <c r="O50"/>
  <c r="O46"/>
  <c r="G134"/>
  <c r="G130"/>
  <c r="G126"/>
  <c r="G122"/>
  <c r="G118"/>
  <c r="G114"/>
  <c r="G110"/>
  <c r="G106"/>
  <c r="G102"/>
  <c r="G98"/>
  <c r="G94"/>
  <c r="G90"/>
  <c r="G86"/>
  <c r="G82"/>
  <c r="G78"/>
  <c r="G74"/>
  <c r="G70"/>
  <c r="G66"/>
  <c r="G62"/>
  <c r="G58"/>
  <c r="G54"/>
  <c r="G50"/>
  <c r="G46"/>
  <c r="G42"/>
  <c r="G38"/>
  <c r="G34"/>
  <c r="G30"/>
  <c r="G26"/>
  <c r="G22"/>
  <c r="G18"/>
  <c r="G14"/>
  <c r="O99"/>
  <c r="O95"/>
  <c r="O91"/>
  <c r="O87"/>
  <c r="O83"/>
  <c r="O79"/>
  <c r="O75"/>
  <c r="O71"/>
  <c r="O67"/>
  <c r="O63"/>
  <c r="O59"/>
  <c r="O55"/>
  <c r="O51"/>
  <c r="O47"/>
  <c r="G135"/>
  <c r="G131"/>
  <c r="G127"/>
  <c r="G123"/>
  <c r="G119"/>
  <c r="G115"/>
  <c r="G111"/>
  <c r="G107"/>
  <c r="G103"/>
  <c r="G99"/>
  <c r="G95"/>
  <c r="G91"/>
  <c r="G87"/>
  <c r="G83"/>
  <c r="G79"/>
  <c r="G75"/>
  <c r="G71"/>
  <c r="G67"/>
  <c r="G63"/>
  <c r="G59"/>
  <c r="G55"/>
  <c r="G51"/>
  <c r="G47"/>
  <c r="G43"/>
  <c r="G39"/>
  <c r="G35"/>
  <c r="G31"/>
  <c r="G27"/>
  <c r="G23"/>
  <c r="G19"/>
  <c r="G15"/>
  <c r="O100"/>
  <c r="O96"/>
  <c r="O92"/>
  <c r="O88"/>
  <c r="O84"/>
  <c r="O80"/>
  <c r="O76"/>
  <c r="O72"/>
  <c r="O68"/>
  <c r="O64"/>
  <c r="O60"/>
  <c r="O56"/>
  <c r="O52"/>
  <c r="O48"/>
  <c r="G11"/>
  <c r="G136"/>
  <c r="G132"/>
  <c r="G128"/>
  <c r="G124"/>
  <c r="G120"/>
  <c r="G116"/>
  <c r="G112"/>
  <c r="G108"/>
  <c r="G104"/>
  <c r="G100"/>
  <c r="G96"/>
  <c r="G92"/>
  <c r="G88"/>
  <c r="G84"/>
  <c r="G80"/>
  <c r="G76"/>
  <c r="G72"/>
  <c r="G68"/>
  <c r="G64"/>
  <c r="G60"/>
  <c r="G56"/>
  <c r="G52"/>
  <c r="G48"/>
  <c r="G44"/>
  <c r="G40"/>
  <c r="G36"/>
  <c r="G32"/>
  <c r="G28"/>
  <c r="G24"/>
  <c r="G20"/>
  <c r="G16"/>
  <c r="G12"/>
  <c r="O44"/>
  <c r="O97"/>
  <c r="O93"/>
  <c r="O89"/>
  <c r="O85"/>
  <c r="O81"/>
  <c r="O77"/>
  <c r="O73"/>
  <c r="O69"/>
  <c r="O65"/>
  <c r="O61"/>
  <c r="O57"/>
  <c r="O53"/>
  <c r="O49"/>
  <c r="G137"/>
  <c r="G133"/>
  <c r="G129"/>
  <c r="G125"/>
  <c r="G121"/>
  <c r="G117"/>
  <c r="G113"/>
  <c r="G109"/>
  <c r="G105"/>
  <c r="G101"/>
  <c r="G97"/>
  <c r="G93"/>
  <c r="G89"/>
  <c r="G85"/>
  <c r="G81"/>
  <c r="G77"/>
  <c r="G73"/>
  <c r="G69"/>
  <c r="G65"/>
  <c r="G61"/>
  <c r="G57"/>
  <c r="G53"/>
  <c r="G49"/>
  <c r="G45"/>
  <c r="G41"/>
  <c r="G37"/>
  <c r="G33"/>
  <c r="G29"/>
  <c r="G25"/>
  <c r="G21"/>
  <c r="G17"/>
</calcChain>
</file>

<file path=xl/sharedStrings.xml><?xml version="1.0" encoding="utf-8"?>
<sst xmlns="http://schemas.openxmlformats.org/spreadsheetml/2006/main" count="54" uniqueCount="29">
  <si>
    <t>Mean</t>
  </si>
  <si>
    <t>StdDev</t>
  </si>
  <si>
    <t>Min</t>
  </si>
  <si>
    <t>Max</t>
  </si>
  <si>
    <t>Median</t>
  </si>
  <si>
    <t>Slice</t>
  </si>
  <si>
    <t>autocorrelation of std dev</t>
  </si>
  <si>
    <t>CORREL(OFFSET($F$11, 0, 0, 146-A11, 1 ),OFFSET($F$11, A11, 0, 146-A11, 1 ))</t>
  </si>
  <si>
    <t>LAST ROW:</t>
  </si>
  <si>
    <t>CORREL(OFFSET($F$11, 0, 0, $P$41, 1 ),OFFSET($F$11, A11, 0, P41, 1 ))</t>
  </si>
  <si>
    <t>WEIRD:CONNOT USE COUNTA IN CORREL FUNCTION IT SHOWS ERROR</t>
  </si>
  <si>
    <t>Must use COUNTA in separate cell to get last number in range, also must have index set</t>
  </si>
  <si>
    <t>mean autocorrelation</t>
  </si>
  <si>
    <t>COUNTA($F$11:$F$1000)+ROW($F$11)-1</t>
  </si>
  <si>
    <t>CORREL(OFFSET($F$11, 0, 0, COUNTA($F$11:$F$1000)+ROW($F$11)-1-A11, 1 ),OFFSET($F$11, A11, 0, COUNTA($F$11:$F$1000)+ROW($F$11)-1-A11, 1 ))</t>
  </si>
  <si>
    <t>not good frame</t>
  </si>
  <si>
    <t>last row</t>
  </si>
  <si>
    <t>stdev</t>
  </si>
  <si>
    <t>3 cycle moving average</t>
  </si>
  <si>
    <t>4 cycle  (moving average)</t>
  </si>
  <si>
    <t>width = 1313</t>
  </si>
  <si>
    <t>center corr. &amp; mov aver</t>
  </si>
  <si>
    <t>corrected centers</t>
  </si>
  <si>
    <r>
      <t>y = 0.0000000000574692x</t>
    </r>
    <r>
      <rPr>
        <vertAlign val="superscript"/>
        <sz val="10"/>
        <color rgb="FF000000"/>
        <rFont val="Calibri"/>
        <family val="2"/>
        <scheme val="minor"/>
      </rPr>
      <t>4</t>
    </r>
    <r>
      <rPr>
        <sz val="10"/>
        <color rgb="FF000000"/>
        <rFont val="Calibri"/>
        <family val="2"/>
        <scheme val="minor"/>
      </rPr>
      <t xml:space="preserve"> - 0.0000002365324265x</t>
    </r>
    <r>
      <rPr>
        <vertAlign val="superscript"/>
        <sz val="10"/>
        <color rgb="FF000000"/>
        <rFont val="Calibri"/>
        <family val="2"/>
        <scheme val="minor"/>
      </rPr>
      <t>3</t>
    </r>
    <r>
      <rPr>
        <sz val="10"/>
        <color rgb="FF000000"/>
        <rFont val="Calibri"/>
        <family val="2"/>
        <scheme val="minor"/>
      </rPr>
      <t xml:space="preserve"> + 0.0002989415756202x</t>
    </r>
    <r>
      <rPr>
        <vertAlign val="superscript"/>
        <sz val="10"/>
        <color rgb="FF000000"/>
        <rFont val="Calibri"/>
        <family val="2"/>
        <scheme val="minor"/>
      </rPr>
      <t>2</t>
    </r>
    <r>
      <rPr>
        <sz val="10"/>
        <color rgb="FF000000"/>
        <rFont val="Calibri"/>
        <family val="2"/>
        <scheme val="minor"/>
      </rPr>
      <t xml:space="preserve"> - 0.1172500467022210x + 126.2787364334730000 </t>
    </r>
  </si>
  <si>
    <t>CRITICAL FILE</t>
  </si>
  <si>
    <t>std dev</t>
  </si>
  <si>
    <t>min</t>
  </si>
  <si>
    <t>max</t>
  </si>
  <si>
    <t>median</t>
  </si>
</sst>
</file>

<file path=xl/styles.xml><?xml version="1.0" encoding="utf-8"?>
<styleSheet xmlns="http://schemas.openxmlformats.org/spreadsheetml/2006/main">
  <numFmts count="1">
    <numFmt numFmtId="164" formatCode="0.00000E+00"/>
  </numFmts>
  <fonts count="2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333333"/>
      <name val="Segoe UI"/>
      <family val="2"/>
    </font>
    <font>
      <sz val="10"/>
      <color rgb="FF000000"/>
      <name val="Verdana"/>
      <family val="2"/>
    </font>
    <font>
      <b/>
      <sz val="11"/>
      <color rgb="FF7030A0"/>
      <name val="Calibri"/>
      <family val="2"/>
      <scheme val="minor"/>
    </font>
    <font>
      <sz val="10"/>
      <color rgb="FF000000"/>
      <name val="Calibri"/>
      <family val="2"/>
      <scheme val="minor"/>
    </font>
    <font>
      <vertAlign val="superscript"/>
      <sz val="10"/>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
    <xf numFmtId="0" fontId="0" fillId="0" borderId="0" xfId="0"/>
    <xf numFmtId="0" fontId="18" fillId="0" borderId="0" xfId="0" applyFont="1"/>
    <xf numFmtId="0" fontId="19" fillId="0" borderId="0" xfId="0" applyFont="1"/>
    <xf numFmtId="0" fontId="16" fillId="0" borderId="0" xfId="0" applyFont="1"/>
    <xf numFmtId="0" fontId="0" fillId="0" borderId="0" xfId="0" applyAlignment="1">
      <alignment wrapText="1"/>
    </xf>
    <xf numFmtId="0" fontId="20" fillId="0" borderId="0" xfId="0" applyFont="1"/>
    <xf numFmtId="0" fontId="21" fillId="0" borderId="0" xfId="0" applyFont="1" applyAlignment="1">
      <alignment horizontal="left" readingOrder="1"/>
    </xf>
    <xf numFmtId="164" fontId="0" fillId="0" borderId="0" xfId="0" applyNumberFormat="1"/>
    <xf numFmtId="0" fontId="0" fillId="0" borderId="0" xfId="0" applyAlignment="1">
      <alignment horizontal="center"/>
    </xf>
    <xf numFmtId="0" fontId="1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25FB3E"/>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Mean, Max</a:t>
            </a:r>
            <a:r>
              <a:rPr lang="en-US" sz="1200" baseline="0"/>
              <a:t> and Min RGB Values for PSI  Removed  Leader Frames</a:t>
            </a:r>
            <a:endParaRPr lang="en-US" sz="1200"/>
          </a:p>
        </c:rich>
      </c:tx>
      <c:layout>
        <c:manualLayout>
          <c:xMode val="edge"/>
          <c:yMode val="edge"/>
          <c:x val="0.10379615184607409"/>
          <c:y val="2.4390243902439025E-2"/>
        </c:manualLayout>
      </c:layout>
      <c:overlay val="1"/>
    </c:title>
    <c:plotArea>
      <c:layout>
        <c:manualLayout>
          <c:layoutTarget val="inner"/>
          <c:xMode val="edge"/>
          <c:yMode val="edge"/>
          <c:x val="8.6071741032370933E-2"/>
          <c:y val="0.19367710133794253"/>
          <c:w val="0.84400459317585363"/>
          <c:h val="0.64638714252531604"/>
        </c:manualLayout>
      </c:layout>
      <c:scatterChart>
        <c:scatterStyle val="lineMarker"/>
        <c:ser>
          <c:idx val="0"/>
          <c:order val="0"/>
          <c:tx>
            <c:strRef>
              <c:f>Analysis!$B$10</c:f>
              <c:strCache>
                <c:ptCount val="1"/>
                <c:pt idx="0">
                  <c:v>Mean</c:v>
                </c:pt>
              </c:strCache>
            </c:strRef>
          </c:tx>
          <c:spPr>
            <a:ln w="25400"/>
          </c:spPr>
          <c:marker>
            <c:symbol val="diamond"/>
            <c:size val="3"/>
          </c:marker>
          <c:xVal>
            <c:numRef>
              <c:f>Analysis!$A$11:$A$146</c:f>
              <c:numCache>
                <c:formatCode>General</c:formatCode>
                <c:ptCount val="1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Analysis!$B$11:$B$146</c:f>
              <c:numCache>
                <c:formatCode>General</c:formatCode>
                <c:ptCount val="136"/>
                <c:pt idx="0">
                  <c:v>134.982</c:v>
                </c:pt>
                <c:pt idx="1">
                  <c:v>127.09099999999999</c:v>
                </c:pt>
                <c:pt idx="2">
                  <c:v>128.03100000000001</c:v>
                </c:pt>
                <c:pt idx="3">
                  <c:v>131.99</c:v>
                </c:pt>
                <c:pt idx="4">
                  <c:v>126.845</c:v>
                </c:pt>
                <c:pt idx="5">
                  <c:v>125.04600000000001</c:v>
                </c:pt>
                <c:pt idx="6">
                  <c:v>127.998</c:v>
                </c:pt>
                <c:pt idx="7">
                  <c:v>130.18299999999999</c:v>
                </c:pt>
                <c:pt idx="8">
                  <c:v>122.377</c:v>
                </c:pt>
                <c:pt idx="9">
                  <c:v>122.068</c:v>
                </c:pt>
                <c:pt idx="10">
                  <c:v>127.245</c:v>
                </c:pt>
                <c:pt idx="11">
                  <c:v>128.374</c:v>
                </c:pt>
                <c:pt idx="12">
                  <c:v>122.486</c:v>
                </c:pt>
                <c:pt idx="13">
                  <c:v>125.25</c:v>
                </c:pt>
                <c:pt idx="14">
                  <c:v>127.21899999999999</c:v>
                </c:pt>
                <c:pt idx="15">
                  <c:v>121.663</c:v>
                </c:pt>
                <c:pt idx="16">
                  <c:v>120.611</c:v>
                </c:pt>
                <c:pt idx="17">
                  <c:v>124.529</c:v>
                </c:pt>
                <c:pt idx="18">
                  <c:v>128.06899999999999</c:v>
                </c:pt>
                <c:pt idx="19">
                  <c:v>121.886</c:v>
                </c:pt>
                <c:pt idx="20">
                  <c:v>121.036</c:v>
                </c:pt>
                <c:pt idx="21">
                  <c:v>124.85299999999999</c:v>
                </c:pt>
                <c:pt idx="22">
                  <c:v>125.33199999999999</c:v>
                </c:pt>
                <c:pt idx="23">
                  <c:v>119.658</c:v>
                </c:pt>
                <c:pt idx="24">
                  <c:v>121.89</c:v>
                </c:pt>
                <c:pt idx="25">
                  <c:v>126.729</c:v>
                </c:pt>
                <c:pt idx="26">
                  <c:v>124.926</c:v>
                </c:pt>
                <c:pt idx="27">
                  <c:v>119.705</c:v>
                </c:pt>
                <c:pt idx="28">
                  <c:v>120.943</c:v>
                </c:pt>
                <c:pt idx="29">
                  <c:v>125.215</c:v>
                </c:pt>
                <c:pt idx="30">
                  <c:v>120.294</c:v>
                </c:pt>
                <c:pt idx="31">
                  <c:v>120.164</c:v>
                </c:pt>
                <c:pt idx="32">
                  <c:v>124.52800000000001</c:v>
                </c:pt>
                <c:pt idx="33">
                  <c:v>127.911</c:v>
                </c:pt>
                <c:pt idx="34">
                  <c:v>119.925</c:v>
                </c:pt>
                <c:pt idx="35">
                  <c:v>120.17100000000001</c:v>
                </c:pt>
                <c:pt idx="36">
                  <c:v>126.664</c:v>
                </c:pt>
                <c:pt idx="37">
                  <c:v>125.83799999999999</c:v>
                </c:pt>
                <c:pt idx="38">
                  <c:v>120.776</c:v>
                </c:pt>
                <c:pt idx="39">
                  <c:v>123.20699999999999</c:v>
                </c:pt>
                <c:pt idx="40">
                  <c:v>127.08499999999999</c:v>
                </c:pt>
                <c:pt idx="41">
                  <c:v>119.61</c:v>
                </c:pt>
                <c:pt idx="42">
                  <c:v>119.07</c:v>
                </c:pt>
                <c:pt idx="43">
                  <c:v>123.282</c:v>
                </c:pt>
                <c:pt idx="44">
                  <c:v>127.821</c:v>
                </c:pt>
                <c:pt idx="45">
                  <c:v>120.991</c:v>
                </c:pt>
                <c:pt idx="46">
                  <c:v>122.111</c:v>
                </c:pt>
                <c:pt idx="47">
                  <c:v>124.56399999999999</c:v>
                </c:pt>
                <c:pt idx="48">
                  <c:v>120.627</c:v>
                </c:pt>
                <c:pt idx="49">
                  <c:v>118.276</c:v>
                </c:pt>
                <c:pt idx="50">
                  <c:v>121.518</c:v>
                </c:pt>
                <c:pt idx="51">
                  <c:v>125.01900000000001</c:v>
                </c:pt>
                <c:pt idx="52">
                  <c:v>119.85599999999999</c:v>
                </c:pt>
                <c:pt idx="53">
                  <c:v>118.205</c:v>
                </c:pt>
                <c:pt idx="54">
                  <c:v>119.661</c:v>
                </c:pt>
                <c:pt idx="55">
                  <c:v>120.446</c:v>
                </c:pt>
                <c:pt idx="56">
                  <c:v>116.04600000000001</c:v>
                </c:pt>
                <c:pt idx="57">
                  <c:v>118.538</c:v>
                </c:pt>
                <c:pt idx="58">
                  <c:v>121.685</c:v>
                </c:pt>
                <c:pt idx="59">
                  <c:v>120.425</c:v>
                </c:pt>
                <c:pt idx="60">
                  <c:v>117.259</c:v>
                </c:pt>
                <c:pt idx="61">
                  <c:v>118.35899999999999</c:v>
                </c:pt>
                <c:pt idx="62">
                  <c:v>123.175</c:v>
                </c:pt>
                <c:pt idx="63">
                  <c:v>116.98099999999999</c:v>
                </c:pt>
                <c:pt idx="64">
                  <c:v>118.40900000000001</c:v>
                </c:pt>
                <c:pt idx="65">
                  <c:v>121.617</c:v>
                </c:pt>
                <c:pt idx="66">
                  <c:v>124.018</c:v>
                </c:pt>
                <c:pt idx="67">
                  <c:v>117.127</c:v>
                </c:pt>
                <c:pt idx="68">
                  <c:v>117.178</c:v>
                </c:pt>
                <c:pt idx="69">
                  <c:v>120.633</c:v>
                </c:pt>
                <c:pt idx="70">
                  <c:v>120.09</c:v>
                </c:pt>
                <c:pt idx="71">
                  <c:v>117.997</c:v>
                </c:pt>
                <c:pt idx="72">
                  <c:v>121.35299999999999</c:v>
                </c:pt>
                <c:pt idx="73">
                  <c:v>124.732</c:v>
                </c:pt>
                <c:pt idx="74">
                  <c:v>117.742</c:v>
                </c:pt>
                <c:pt idx="75">
                  <c:v>117.471</c:v>
                </c:pt>
                <c:pt idx="76">
                  <c:v>122.277</c:v>
                </c:pt>
                <c:pt idx="77">
                  <c:v>125.134</c:v>
                </c:pt>
                <c:pt idx="78">
                  <c:v>118.988</c:v>
                </c:pt>
                <c:pt idx="79">
                  <c:v>120.273</c:v>
                </c:pt>
                <c:pt idx="80">
                  <c:v>122.458</c:v>
                </c:pt>
                <c:pt idx="81">
                  <c:v>119.85899999999999</c:v>
                </c:pt>
                <c:pt idx="82">
                  <c:v>117.12</c:v>
                </c:pt>
                <c:pt idx="83">
                  <c:v>121.321</c:v>
                </c:pt>
                <c:pt idx="84">
                  <c:v>125.98</c:v>
                </c:pt>
                <c:pt idx="85">
                  <c:v>118.875</c:v>
                </c:pt>
                <c:pt idx="86">
                  <c:v>118.40600000000001</c:v>
                </c:pt>
                <c:pt idx="87">
                  <c:v>121.041</c:v>
                </c:pt>
                <c:pt idx="88">
                  <c:v>124.464</c:v>
                </c:pt>
                <c:pt idx="89">
                  <c:v>117.967</c:v>
                </c:pt>
                <c:pt idx="90">
                  <c:v>120.193</c:v>
                </c:pt>
                <c:pt idx="91">
                  <c:v>126.19499999999999</c:v>
                </c:pt>
                <c:pt idx="92">
                  <c:v>124.175</c:v>
                </c:pt>
                <c:pt idx="93">
                  <c:v>118.711</c:v>
                </c:pt>
                <c:pt idx="94">
                  <c:v>119.02800000000001</c:v>
                </c:pt>
                <c:pt idx="95">
                  <c:v>122.444</c:v>
                </c:pt>
                <c:pt idx="96">
                  <c:v>118.473</c:v>
                </c:pt>
                <c:pt idx="97">
                  <c:v>118.79600000000001</c:v>
                </c:pt>
                <c:pt idx="98">
                  <c:v>122.15900000000001</c:v>
                </c:pt>
                <c:pt idx="99">
                  <c:v>124.509</c:v>
                </c:pt>
                <c:pt idx="100">
                  <c:v>118.044</c:v>
                </c:pt>
                <c:pt idx="101">
                  <c:v>117.828</c:v>
                </c:pt>
                <c:pt idx="102">
                  <c:v>122.39700000000001</c:v>
                </c:pt>
                <c:pt idx="103">
                  <c:v>123.438</c:v>
                </c:pt>
                <c:pt idx="104">
                  <c:v>119.911</c:v>
                </c:pt>
                <c:pt idx="105">
                  <c:v>122.70699999999999</c:v>
                </c:pt>
                <c:pt idx="106">
                  <c:v>126.96299999999999</c:v>
                </c:pt>
                <c:pt idx="107">
                  <c:v>119.736</c:v>
                </c:pt>
                <c:pt idx="108">
                  <c:v>118.018</c:v>
                </c:pt>
                <c:pt idx="109">
                  <c:v>123.664</c:v>
                </c:pt>
                <c:pt idx="110">
                  <c:v>127.08799999999999</c:v>
                </c:pt>
                <c:pt idx="111">
                  <c:v>119.884</c:v>
                </c:pt>
                <c:pt idx="112">
                  <c:v>122.41500000000001</c:v>
                </c:pt>
                <c:pt idx="113">
                  <c:v>123.989</c:v>
                </c:pt>
                <c:pt idx="114">
                  <c:v>120.342</c:v>
                </c:pt>
                <c:pt idx="115">
                  <c:v>117.56699999999999</c:v>
                </c:pt>
                <c:pt idx="116">
                  <c:v>122.40600000000001</c:v>
                </c:pt>
                <c:pt idx="117">
                  <c:v>125.622</c:v>
                </c:pt>
                <c:pt idx="118">
                  <c:v>119.407</c:v>
                </c:pt>
                <c:pt idx="119">
                  <c:v>120.07299999999999</c:v>
                </c:pt>
                <c:pt idx="120">
                  <c:v>122.45699999999999</c:v>
                </c:pt>
                <c:pt idx="121">
                  <c:v>122.5</c:v>
                </c:pt>
                <c:pt idx="122">
                  <c:v>118.02200000000001</c:v>
                </c:pt>
                <c:pt idx="123">
                  <c:v>121.04900000000001</c:v>
                </c:pt>
                <c:pt idx="124">
                  <c:v>123.82</c:v>
                </c:pt>
                <c:pt idx="125">
                  <c:v>121.04</c:v>
                </c:pt>
                <c:pt idx="126">
                  <c:v>118.242</c:v>
                </c:pt>
              </c:numCache>
            </c:numRef>
          </c:yVal>
        </c:ser>
        <c:ser>
          <c:idx val="1"/>
          <c:order val="1"/>
          <c:tx>
            <c:strRef>
              <c:f>Analysis!$C$10</c:f>
              <c:strCache>
                <c:ptCount val="1"/>
                <c:pt idx="0">
                  <c:v>Max</c:v>
                </c:pt>
              </c:strCache>
            </c:strRef>
          </c:tx>
          <c:spPr>
            <a:ln w="25400"/>
          </c:spPr>
          <c:marker>
            <c:symbol val="square"/>
            <c:size val="3"/>
          </c:marker>
          <c:xVal>
            <c:numRef>
              <c:f>Analysis!$A$11:$A$146</c:f>
              <c:numCache>
                <c:formatCode>General</c:formatCode>
                <c:ptCount val="1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Analysis!$C$11:$C$146</c:f>
              <c:numCache>
                <c:formatCode>General</c:formatCode>
                <c:ptCount val="136"/>
                <c:pt idx="0">
                  <c:v>172</c:v>
                </c:pt>
                <c:pt idx="1">
                  <c:v>158</c:v>
                </c:pt>
                <c:pt idx="2">
                  <c:v>156</c:v>
                </c:pt>
                <c:pt idx="3">
                  <c:v>168</c:v>
                </c:pt>
                <c:pt idx="4">
                  <c:v>154</c:v>
                </c:pt>
                <c:pt idx="5">
                  <c:v>157</c:v>
                </c:pt>
                <c:pt idx="6">
                  <c:v>161</c:v>
                </c:pt>
                <c:pt idx="7">
                  <c:v>156</c:v>
                </c:pt>
                <c:pt idx="8">
                  <c:v>152</c:v>
                </c:pt>
                <c:pt idx="9">
                  <c:v>160</c:v>
                </c:pt>
                <c:pt idx="10">
                  <c:v>154</c:v>
                </c:pt>
                <c:pt idx="11">
                  <c:v>158</c:v>
                </c:pt>
                <c:pt idx="12">
                  <c:v>152</c:v>
                </c:pt>
                <c:pt idx="13">
                  <c:v>157</c:v>
                </c:pt>
                <c:pt idx="14">
                  <c:v>159</c:v>
                </c:pt>
                <c:pt idx="15">
                  <c:v>158</c:v>
                </c:pt>
                <c:pt idx="16">
                  <c:v>149</c:v>
                </c:pt>
                <c:pt idx="17">
                  <c:v>151</c:v>
                </c:pt>
                <c:pt idx="18">
                  <c:v>164</c:v>
                </c:pt>
                <c:pt idx="19">
                  <c:v>160</c:v>
                </c:pt>
                <c:pt idx="20">
                  <c:v>152</c:v>
                </c:pt>
                <c:pt idx="21">
                  <c:v>160</c:v>
                </c:pt>
                <c:pt idx="22">
                  <c:v>157</c:v>
                </c:pt>
                <c:pt idx="23">
                  <c:v>149</c:v>
                </c:pt>
                <c:pt idx="24">
                  <c:v>156</c:v>
                </c:pt>
                <c:pt idx="25">
                  <c:v>152</c:v>
                </c:pt>
                <c:pt idx="26">
                  <c:v>157</c:v>
                </c:pt>
                <c:pt idx="27">
                  <c:v>164</c:v>
                </c:pt>
                <c:pt idx="28">
                  <c:v>151</c:v>
                </c:pt>
                <c:pt idx="29">
                  <c:v>149</c:v>
                </c:pt>
                <c:pt idx="30">
                  <c:v>152</c:v>
                </c:pt>
                <c:pt idx="31">
                  <c:v>154</c:v>
                </c:pt>
                <c:pt idx="32">
                  <c:v>150</c:v>
                </c:pt>
                <c:pt idx="33">
                  <c:v>169</c:v>
                </c:pt>
                <c:pt idx="34">
                  <c:v>145</c:v>
                </c:pt>
                <c:pt idx="35">
                  <c:v>153</c:v>
                </c:pt>
                <c:pt idx="36">
                  <c:v>156</c:v>
                </c:pt>
                <c:pt idx="37">
                  <c:v>156</c:v>
                </c:pt>
                <c:pt idx="38">
                  <c:v>148</c:v>
                </c:pt>
                <c:pt idx="39">
                  <c:v>169</c:v>
                </c:pt>
                <c:pt idx="40">
                  <c:v>151</c:v>
                </c:pt>
                <c:pt idx="41">
                  <c:v>155</c:v>
                </c:pt>
                <c:pt idx="42">
                  <c:v>154</c:v>
                </c:pt>
                <c:pt idx="43">
                  <c:v>161</c:v>
                </c:pt>
                <c:pt idx="44">
                  <c:v>152</c:v>
                </c:pt>
                <c:pt idx="45">
                  <c:v>152</c:v>
                </c:pt>
                <c:pt idx="46">
                  <c:v>153</c:v>
                </c:pt>
                <c:pt idx="47">
                  <c:v>148</c:v>
                </c:pt>
                <c:pt idx="48">
                  <c:v>157</c:v>
                </c:pt>
                <c:pt idx="49">
                  <c:v>153</c:v>
                </c:pt>
                <c:pt idx="50">
                  <c:v>155</c:v>
                </c:pt>
                <c:pt idx="51">
                  <c:v>166</c:v>
                </c:pt>
                <c:pt idx="52">
                  <c:v>148</c:v>
                </c:pt>
                <c:pt idx="53">
                  <c:v>151</c:v>
                </c:pt>
                <c:pt idx="54">
                  <c:v>152</c:v>
                </c:pt>
                <c:pt idx="55">
                  <c:v>149</c:v>
                </c:pt>
                <c:pt idx="56">
                  <c:v>143</c:v>
                </c:pt>
                <c:pt idx="57">
                  <c:v>154</c:v>
                </c:pt>
                <c:pt idx="58">
                  <c:v>149</c:v>
                </c:pt>
                <c:pt idx="59">
                  <c:v>148</c:v>
                </c:pt>
                <c:pt idx="60">
                  <c:v>160</c:v>
                </c:pt>
                <c:pt idx="61">
                  <c:v>147</c:v>
                </c:pt>
                <c:pt idx="62">
                  <c:v>151</c:v>
                </c:pt>
                <c:pt idx="63">
                  <c:v>158</c:v>
                </c:pt>
                <c:pt idx="64">
                  <c:v>150</c:v>
                </c:pt>
                <c:pt idx="65">
                  <c:v>146</c:v>
                </c:pt>
                <c:pt idx="66">
                  <c:v>166</c:v>
                </c:pt>
                <c:pt idx="67">
                  <c:v>144</c:v>
                </c:pt>
                <c:pt idx="68">
                  <c:v>153</c:v>
                </c:pt>
                <c:pt idx="69">
                  <c:v>152</c:v>
                </c:pt>
                <c:pt idx="70">
                  <c:v>153</c:v>
                </c:pt>
                <c:pt idx="71">
                  <c:v>148</c:v>
                </c:pt>
                <c:pt idx="72">
                  <c:v>153</c:v>
                </c:pt>
                <c:pt idx="73">
                  <c:v>151</c:v>
                </c:pt>
                <c:pt idx="74">
                  <c:v>161</c:v>
                </c:pt>
                <c:pt idx="75">
                  <c:v>161</c:v>
                </c:pt>
                <c:pt idx="76">
                  <c:v>147</c:v>
                </c:pt>
                <c:pt idx="77">
                  <c:v>159</c:v>
                </c:pt>
                <c:pt idx="78">
                  <c:v>152</c:v>
                </c:pt>
                <c:pt idx="79">
                  <c:v>152</c:v>
                </c:pt>
                <c:pt idx="80">
                  <c:v>147</c:v>
                </c:pt>
                <c:pt idx="81">
                  <c:v>156</c:v>
                </c:pt>
                <c:pt idx="82">
                  <c:v>151</c:v>
                </c:pt>
                <c:pt idx="83">
                  <c:v>153</c:v>
                </c:pt>
                <c:pt idx="84">
                  <c:v>159</c:v>
                </c:pt>
                <c:pt idx="85">
                  <c:v>146</c:v>
                </c:pt>
                <c:pt idx="86">
                  <c:v>152</c:v>
                </c:pt>
                <c:pt idx="87">
                  <c:v>149</c:v>
                </c:pt>
                <c:pt idx="88">
                  <c:v>151</c:v>
                </c:pt>
                <c:pt idx="89">
                  <c:v>145</c:v>
                </c:pt>
                <c:pt idx="90">
                  <c:v>163</c:v>
                </c:pt>
                <c:pt idx="91">
                  <c:v>154</c:v>
                </c:pt>
                <c:pt idx="92">
                  <c:v>150</c:v>
                </c:pt>
                <c:pt idx="93">
                  <c:v>157</c:v>
                </c:pt>
                <c:pt idx="94">
                  <c:v>152</c:v>
                </c:pt>
                <c:pt idx="95">
                  <c:v>156</c:v>
                </c:pt>
                <c:pt idx="96">
                  <c:v>151</c:v>
                </c:pt>
                <c:pt idx="97">
                  <c:v>148</c:v>
                </c:pt>
                <c:pt idx="98">
                  <c:v>144</c:v>
                </c:pt>
                <c:pt idx="99">
                  <c:v>157</c:v>
                </c:pt>
                <c:pt idx="100">
                  <c:v>143</c:v>
                </c:pt>
                <c:pt idx="101">
                  <c:v>152</c:v>
                </c:pt>
                <c:pt idx="102">
                  <c:v>157</c:v>
                </c:pt>
                <c:pt idx="103">
                  <c:v>148</c:v>
                </c:pt>
                <c:pt idx="104">
                  <c:v>155</c:v>
                </c:pt>
                <c:pt idx="105">
                  <c:v>159</c:v>
                </c:pt>
                <c:pt idx="106">
                  <c:v>163</c:v>
                </c:pt>
                <c:pt idx="107">
                  <c:v>154</c:v>
                </c:pt>
                <c:pt idx="108">
                  <c:v>160</c:v>
                </c:pt>
                <c:pt idx="109">
                  <c:v>153</c:v>
                </c:pt>
                <c:pt idx="110">
                  <c:v>156</c:v>
                </c:pt>
                <c:pt idx="111">
                  <c:v>161</c:v>
                </c:pt>
                <c:pt idx="112">
                  <c:v>160</c:v>
                </c:pt>
                <c:pt idx="113">
                  <c:v>163</c:v>
                </c:pt>
                <c:pt idx="114">
                  <c:v>160</c:v>
                </c:pt>
                <c:pt idx="115">
                  <c:v>146</c:v>
                </c:pt>
                <c:pt idx="116">
                  <c:v>149</c:v>
                </c:pt>
                <c:pt idx="117">
                  <c:v>164</c:v>
                </c:pt>
                <c:pt idx="118">
                  <c:v>152</c:v>
                </c:pt>
                <c:pt idx="119">
                  <c:v>150</c:v>
                </c:pt>
                <c:pt idx="120">
                  <c:v>159</c:v>
                </c:pt>
                <c:pt idx="121">
                  <c:v>156</c:v>
                </c:pt>
                <c:pt idx="122">
                  <c:v>147</c:v>
                </c:pt>
                <c:pt idx="123">
                  <c:v>169</c:v>
                </c:pt>
                <c:pt idx="124">
                  <c:v>157</c:v>
                </c:pt>
                <c:pt idx="125">
                  <c:v>149</c:v>
                </c:pt>
                <c:pt idx="126">
                  <c:v>157</c:v>
                </c:pt>
              </c:numCache>
            </c:numRef>
          </c:yVal>
        </c:ser>
        <c:ser>
          <c:idx val="2"/>
          <c:order val="2"/>
          <c:tx>
            <c:strRef>
              <c:f>Analysis!$D$10</c:f>
              <c:strCache>
                <c:ptCount val="1"/>
                <c:pt idx="0">
                  <c:v>Min</c:v>
                </c:pt>
              </c:strCache>
            </c:strRef>
          </c:tx>
          <c:spPr>
            <a:ln w="25400"/>
          </c:spPr>
          <c:marker>
            <c:symbol val="triangle"/>
            <c:size val="3"/>
          </c:marker>
          <c:xVal>
            <c:numRef>
              <c:f>Analysis!$A$11:$A$146</c:f>
              <c:numCache>
                <c:formatCode>General</c:formatCode>
                <c:ptCount val="1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Analysis!$D$11:$D$146</c:f>
              <c:numCache>
                <c:formatCode>General</c:formatCode>
                <c:ptCount val="136"/>
                <c:pt idx="0">
                  <c:v>78</c:v>
                </c:pt>
                <c:pt idx="1">
                  <c:v>90</c:v>
                </c:pt>
                <c:pt idx="2">
                  <c:v>78</c:v>
                </c:pt>
                <c:pt idx="3">
                  <c:v>71</c:v>
                </c:pt>
                <c:pt idx="4">
                  <c:v>87</c:v>
                </c:pt>
                <c:pt idx="5">
                  <c:v>89</c:v>
                </c:pt>
                <c:pt idx="6">
                  <c:v>80</c:v>
                </c:pt>
                <c:pt idx="7">
                  <c:v>83</c:v>
                </c:pt>
                <c:pt idx="8">
                  <c:v>89</c:v>
                </c:pt>
                <c:pt idx="9">
                  <c:v>82</c:v>
                </c:pt>
                <c:pt idx="10">
                  <c:v>85</c:v>
                </c:pt>
                <c:pt idx="11">
                  <c:v>82</c:v>
                </c:pt>
                <c:pt idx="12">
                  <c:v>88</c:v>
                </c:pt>
                <c:pt idx="13">
                  <c:v>83</c:v>
                </c:pt>
                <c:pt idx="14">
                  <c:v>80</c:v>
                </c:pt>
                <c:pt idx="15">
                  <c:v>80</c:v>
                </c:pt>
                <c:pt idx="16">
                  <c:v>81</c:v>
                </c:pt>
                <c:pt idx="17">
                  <c:v>76</c:v>
                </c:pt>
                <c:pt idx="18">
                  <c:v>80</c:v>
                </c:pt>
                <c:pt idx="19">
                  <c:v>88</c:v>
                </c:pt>
                <c:pt idx="20">
                  <c:v>87</c:v>
                </c:pt>
                <c:pt idx="21">
                  <c:v>80</c:v>
                </c:pt>
                <c:pt idx="22">
                  <c:v>80</c:v>
                </c:pt>
                <c:pt idx="23">
                  <c:v>94</c:v>
                </c:pt>
                <c:pt idx="24">
                  <c:v>76</c:v>
                </c:pt>
                <c:pt idx="25">
                  <c:v>77</c:v>
                </c:pt>
                <c:pt idx="26">
                  <c:v>86</c:v>
                </c:pt>
                <c:pt idx="27">
                  <c:v>83</c:v>
                </c:pt>
                <c:pt idx="28">
                  <c:v>78</c:v>
                </c:pt>
                <c:pt idx="29">
                  <c:v>78</c:v>
                </c:pt>
                <c:pt idx="30">
                  <c:v>81</c:v>
                </c:pt>
                <c:pt idx="31">
                  <c:v>79</c:v>
                </c:pt>
                <c:pt idx="32">
                  <c:v>74</c:v>
                </c:pt>
                <c:pt idx="33">
                  <c:v>78</c:v>
                </c:pt>
                <c:pt idx="34">
                  <c:v>90</c:v>
                </c:pt>
                <c:pt idx="35">
                  <c:v>79</c:v>
                </c:pt>
                <c:pt idx="36">
                  <c:v>76</c:v>
                </c:pt>
                <c:pt idx="37">
                  <c:v>84</c:v>
                </c:pt>
                <c:pt idx="38">
                  <c:v>91</c:v>
                </c:pt>
                <c:pt idx="39">
                  <c:v>77</c:v>
                </c:pt>
                <c:pt idx="40">
                  <c:v>82</c:v>
                </c:pt>
                <c:pt idx="41">
                  <c:v>80</c:v>
                </c:pt>
                <c:pt idx="42">
                  <c:v>79</c:v>
                </c:pt>
                <c:pt idx="43">
                  <c:v>80</c:v>
                </c:pt>
                <c:pt idx="44">
                  <c:v>79</c:v>
                </c:pt>
                <c:pt idx="45">
                  <c:v>81</c:v>
                </c:pt>
                <c:pt idx="46">
                  <c:v>81</c:v>
                </c:pt>
                <c:pt idx="47">
                  <c:v>75</c:v>
                </c:pt>
                <c:pt idx="48">
                  <c:v>72</c:v>
                </c:pt>
                <c:pt idx="49">
                  <c:v>88</c:v>
                </c:pt>
                <c:pt idx="50">
                  <c:v>75</c:v>
                </c:pt>
                <c:pt idx="51">
                  <c:v>71</c:v>
                </c:pt>
                <c:pt idx="52">
                  <c:v>85</c:v>
                </c:pt>
                <c:pt idx="53">
                  <c:v>83</c:v>
                </c:pt>
                <c:pt idx="54">
                  <c:v>75</c:v>
                </c:pt>
                <c:pt idx="55">
                  <c:v>78</c:v>
                </c:pt>
                <c:pt idx="56">
                  <c:v>86</c:v>
                </c:pt>
                <c:pt idx="57">
                  <c:v>73</c:v>
                </c:pt>
                <c:pt idx="58">
                  <c:v>78</c:v>
                </c:pt>
                <c:pt idx="59">
                  <c:v>81</c:v>
                </c:pt>
                <c:pt idx="60">
                  <c:v>75</c:v>
                </c:pt>
                <c:pt idx="61">
                  <c:v>71</c:v>
                </c:pt>
                <c:pt idx="62">
                  <c:v>78</c:v>
                </c:pt>
                <c:pt idx="63">
                  <c:v>81</c:v>
                </c:pt>
                <c:pt idx="64">
                  <c:v>78</c:v>
                </c:pt>
                <c:pt idx="65">
                  <c:v>77</c:v>
                </c:pt>
                <c:pt idx="66">
                  <c:v>77</c:v>
                </c:pt>
                <c:pt idx="67">
                  <c:v>90</c:v>
                </c:pt>
                <c:pt idx="68">
                  <c:v>80</c:v>
                </c:pt>
                <c:pt idx="69">
                  <c:v>71</c:v>
                </c:pt>
                <c:pt idx="70">
                  <c:v>81</c:v>
                </c:pt>
                <c:pt idx="71">
                  <c:v>86</c:v>
                </c:pt>
                <c:pt idx="72">
                  <c:v>77</c:v>
                </c:pt>
                <c:pt idx="73">
                  <c:v>80</c:v>
                </c:pt>
                <c:pt idx="74">
                  <c:v>88</c:v>
                </c:pt>
                <c:pt idx="75">
                  <c:v>81</c:v>
                </c:pt>
                <c:pt idx="76">
                  <c:v>81</c:v>
                </c:pt>
                <c:pt idx="77">
                  <c:v>81</c:v>
                </c:pt>
                <c:pt idx="78">
                  <c:v>88</c:v>
                </c:pt>
                <c:pt idx="79">
                  <c:v>80</c:v>
                </c:pt>
                <c:pt idx="80">
                  <c:v>74</c:v>
                </c:pt>
                <c:pt idx="81">
                  <c:v>76</c:v>
                </c:pt>
                <c:pt idx="82">
                  <c:v>85</c:v>
                </c:pt>
                <c:pt idx="83">
                  <c:v>79</c:v>
                </c:pt>
                <c:pt idx="84">
                  <c:v>75</c:v>
                </c:pt>
                <c:pt idx="85">
                  <c:v>88</c:v>
                </c:pt>
                <c:pt idx="86">
                  <c:v>81</c:v>
                </c:pt>
                <c:pt idx="87">
                  <c:v>65</c:v>
                </c:pt>
                <c:pt idx="88">
                  <c:v>81</c:v>
                </c:pt>
                <c:pt idx="89">
                  <c:v>90</c:v>
                </c:pt>
                <c:pt idx="90">
                  <c:v>76</c:v>
                </c:pt>
                <c:pt idx="91">
                  <c:v>82</c:v>
                </c:pt>
                <c:pt idx="92">
                  <c:v>83</c:v>
                </c:pt>
                <c:pt idx="93">
                  <c:v>82</c:v>
                </c:pt>
                <c:pt idx="94">
                  <c:v>81</c:v>
                </c:pt>
                <c:pt idx="95">
                  <c:v>77</c:v>
                </c:pt>
                <c:pt idx="96">
                  <c:v>85</c:v>
                </c:pt>
                <c:pt idx="97">
                  <c:v>83</c:v>
                </c:pt>
                <c:pt idx="98">
                  <c:v>76</c:v>
                </c:pt>
                <c:pt idx="99">
                  <c:v>79</c:v>
                </c:pt>
                <c:pt idx="100">
                  <c:v>90</c:v>
                </c:pt>
                <c:pt idx="101">
                  <c:v>80</c:v>
                </c:pt>
                <c:pt idx="102">
                  <c:v>76</c:v>
                </c:pt>
                <c:pt idx="103">
                  <c:v>83</c:v>
                </c:pt>
                <c:pt idx="104">
                  <c:v>86</c:v>
                </c:pt>
                <c:pt idx="105">
                  <c:v>77</c:v>
                </c:pt>
                <c:pt idx="106">
                  <c:v>81</c:v>
                </c:pt>
                <c:pt idx="107">
                  <c:v>87</c:v>
                </c:pt>
                <c:pt idx="108">
                  <c:v>75</c:v>
                </c:pt>
                <c:pt idx="109">
                  <c:v>78</c:v>
                </c:pt>
                <c:pt idx="110">
                  <c:v>78</c:v>
                </c:pt>
                <c:pt idx="111">
                  <c:v>81</c:v>
                </c:pt>
                <c:pt idx="112">
                  <c:v>85</c:v>
                </c:pt>
                <c:pt idx="113">
                  <c:v>75</c:v>
                </c:pt>
                <c:pt idx="114">
                  <c:v>81</c:v>
                </c:pt>
                <c:pt idx="115">
                  <c:v>83</c:v>
                </c:pt>
                <c:pt idx="116">
                  <c:v>81</c:v>
                </c:pt>
                <c:pt idx="117">
                  <c:v>74</c:v>
                </c:pt>
                <c:pt idx="118">
                  <c:v>85</c:v>
                </c:pt>
                <c:pt idx="119">
                  <c:v>81</c:v>
                </c:pt>
                <c:pt idx="120">
                  <c:v>69</c:v>
                </c:pt>
                <c:pt idx="121">
                  <c:v>80</c:v>
                </c:pt>
                <c:pt idx="122">
                  <c:v>88</c:v>
                </c:pt>
                <c:pt idx="123">
                  <c:v>73</c:v>
                </c:pt>
                <c:pt idx="124">
                  <c:v>80</c:v>
                </c:pt>
                <c:pt idx="125">
                  <c:v>86</c:v>
                </c:pt>
                <c:pt idx="126">
                  <c:v>76</c:v>
                </c:pt>
              </c:numCache>
            </c:numRef>
          </c:yVal>
        </c:ser>
        <c:axId val="214149760"/>
        <c:axId val="214283008"/>
      </c:scatterChart>
      <c:valAx>
        <c:axId val="214149760"/>
        <c:scaling>
          <c:orientation val="minMax"/>
          <c:max val="120"/>
          <c:min val="0"/>
        </c:scaling>
        <c:axPos val="b"/>
        <c:title>
          <c:tx>
            <c:rich>
              <a:bodyPr/>
              <a:lstStyle/>
              <a:p>
                <a:pPr>
                  <a:defRPr/>
                </a:pPr>
                <a:r>
                  <a:rPr lang="en-US"/>
                  <a:t>Slice</a:t>
                </a:r>
                <a:r>
                  <a:rPr lang="en-US" baseline="0"/>
                  <a:t> (frame)</a:t>
                </a:r>
                <a:endParaRPr lang="en-US"/>
              </a:p>
            </c:rich>
          </c:tx>
        </c:title>
        <c:numFmt formatCode="General" sourceLinked="1"/>
        <c:tickLblPos val="nextTo"/>
        <c:crossAx val="214283008"/>
        <c:crosses val="autoZero"/>
        <c:crossBetween val="midCat"/>
      </c:valAx>
      <c:valAx>
        <c:axId val="214283008"/>
        <c:scaling>
          <c:orientation val="minMax"/>
          <c:max val="180"/>
          <c:min val="50"/>
        </c:scaling>
        <c:axPos val="l"/>
        <c:majorGridlines/>
        <c:title>
          <c:tx>
            <c:rich>
              <a:bodyPr rot="-5400000" vert="horz"/>
              <a:lstStyle/>
              <a:p>
                <a:pPr>
                  <a:defRPr/>
                </a:pPr>
                <a:r>
                  <a:rPr lang="en-US"/>
                  <a:t>Frame</a:t>
                </a:r>
                <a:r>
                  <a:rPr lang="en-US" baseline="0"/>
                  <a:t> Overall RGB Value</a:t>
                </a:r>
                <a:endParaRPr lang="en-US"/>
              </a:p>
            </c:rich>
          </c:tx>
        </c:title>
        <c:numFmt formatCode="General" sourceLinked="1"/>
        <c:minorTickMark val="out"/>
        <c:tickLblPos val="nextTo"/>
        <c:crossAx val="214149760"/>
        <c:crosses val="autoZero"/>
        <c:crossBetween val="midCat"/>
        <c:majorUnit val="20"/>
        <c:minorUnit val="10"/>
      </c:valAx>
      <c:spPr>
        <a:ln>
          <a:solidFill>
            <a:schemeClr val="tx1"/>
          </a:solidFill>
        </a:ln>
      </c:spPr>
    </c:plotArea>
    <c:legend>
      <c:legendPos val="b"/>
      <c:layout>
        <c:manualLayout>
          <c:xMode val="edge"/>
          <c:yMode val="edge"/>
          <c:x val="0.32327485718696974"/>
          <c:y val="0.76386096501820555"/>
          <c:w val="0.38041164891153317"/>
          <c:h val="8.8317071257274143E-2"/>
        </c:manualLayout>
      </c:layout>
    </c:legend>
    <c:plotVisOnly val="1"/>
  </c:chart>
  <c:printSettings>
    <c:headerFooter/>
    <c:pageMargins b="0.75000000000000133" l="0.70000000000000062" r="0.70000000000000062" t="0.750000000000001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Std.</a:t>
            </a:r>
            <a:r>
              <a:rPr lang="en-US" sz="1400" baseline="0"/>
              <a:t> Dev. vs Slice for HBath AVI</a:t>
            </a:r>
            <a:endParaRPr lang="en-US" sz="1400"/>
          </a:p>
        </c:rich>
      </c:tx>
    </c:title>
    <c:plotArea>
      <c:layout/>
      <c:scatterChart>
        <c:scatterStyle val="lineMarker"/>
        <c:ser>
          <c:idx val="0"/>
          <c:order val="0"/>
          <c:tx>
            <c:strRef>
              <c:f>Analysis!$F$10</c:f>
              <c:strCache>
                <c:ptCount val="1"/>
                <c:pt idx="0">
                  <c:v>StdDev</c:v>
                </c:pt>
              </c:strCache>
            </c:strRef>
          </c:tx>
          <c:spPr>
            <a:ln w="19050">
              <a:solidFill>
                <a:srgbClr val="00B050"/>
              </a:solidFill>
            </a:ln>
          </c:spPr>
          <c:xVal>
            <c:numRef>
              <c:f>Analysis!$A$11:$A$146</c:f>
              <c:numCache>
                <c:formatCode>General</c:formatCode>
                <c:ptCount val="1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Analysis!$F$11:$F$146</c:f>
              <c:numCache>
                <c:formatCode>General</c:formatCode>
                <c:ptCount val="136"/>
                <c:pt idx="0">
                  <c:v>7.665</c:v>
                </c:pt>
                <c:pt idx="1">
                  <c:v>5.3609999999999998</c:v>
                </c:pt>
                <c:pt idx="2">
                  <c:v>6.8120000000000003</c:v>
                </c:pt>
                <c:pt idx="3">
                  <c:v>8.7140000000000004</c:v>
                </c:pt>
                <c:pt idx="4">
                  <c:v>6.2080000000000002</c:v>
                </c:pt>
                <c:pt idx="5">
                  <c:v>5.3869999999999996</c:v>
                </c:pt>
                <c:pt idx="6">
                  <c:v>6.4859999999999998</c:v>
                </c:pt>
                <c:pt idx="7">
                  <c:v>6.7569999999999997</c:v>
                </c:pt>
                <c:pt idx="8">
                  <c:v>5.3209999999999997</c:v>
                </c:pt>
                <c:pt idx="9">
                  <c:v>6.2089999999999996</c:v>
                </c:pt>
                <c:pt idx="10">
                  <c:v>6.1120000000000001</c:v>
                </c:pt>
                <c:pt idx="11">
                  <c:v>6.2309999999999999</c:v>
                </c:pt>
                <c:pt idx="12">
                  <c:v>5.5549999999999997</c:v>
                </c:pt>
                <c:pt idx="13">
                  <c:v>6.1440000000000001</c:v>
                </c:pt>
                <c:pt idx="14">
                  <c:v>6.4560000000000004</c:v>
                </c:pt>
                <c:pt idx="15">
                  <c:v>6.0279999999999996</c:v>
                </c:pt>
                <c:pt idx="16">
                  <c:v>5.2409999999999997</c:v>
                </c:pt>
                <c:pt idx="17">
                  <c:v>6.0839999999999996</c:v>
                </c:pt>
                <c:pt idx="18">
                  <c:v>6.6660000000000004</c:v>
                </c:pt>
                <c:pt idx="19">
                  <c:v>5.1180000000000003</c:v>
                </c:pt>
                <c:pt idx="20">
                  <c:v>5.7690000000000001</c:v>
                </c:pt>
                <c:pt idx="21">
                  <c:v>6.4050000000000002</c:v>
                </c:pt>
                <c:pt idx="22">
                  <c:v>5.8730000000000002</c:v>
                </c:pt>
                <c:pt idx="23">
                  <c:v>4.7359999999999998</c:v>
                </c:pt>
                <c:pt idx="24">
                  <c:v>6.46</c:v>
                </c:pt>
                <c:pt idx="25">
                  <c:v>6.3559999999999999</c:v>
                </c:pt>
                <c:pt idx="26">
                  <c:v>6.1189999999999998</c:v>
                </c:pt>
                <c:pt idx="27">
                  <c:v>5.7130000000000001</c:v>
                </c:pt>
                <c:pt idx="28">
                  <c:v>6.3380000000000001</c:v>
                </c:pt>
                <c:pt idx="29">
                  <c:v>6.2910000000000004</c:v>
                </c:pt>
                <c:pt idx="30">
                  <c:v>6.3019999999999996</c:v>
                </c:pt>
                <c:pt idx="31">
                  <c:v>5.625</c:v>
                </c:pt>
                <c:pt idx="32">
                  <c:v>6.2350000000000003</c:v>
                </c:pt>
                <c:pt idx="33">
                  <c:v>6.84</c:v>
                </c:pt>
                <c:pt idx="34">
                  <c:v>4.96</c:v>
                </c:pt>
                <c:pt idx="35">
                  <c:v>6.093</c:v>
                </c:pt>
                <c:pt idx="36">
                  <c:v>6.7169999999999996</c:v>
                </c:pt>
                <c:pt idx="37">
                  <c:v>6.5519999999999996</c:v>
                </c:pt>
                <c:pt idx="38">
                  <c:v>4.7859999999999996</c:v>
                </c:pt>
                <c:pt idx="39">
                  <c:v>6.3639999999999999</c:v>
                </c:pt>
                <c:pt idx="40">
                  <c:v>6.6109999999999998</c:v>
                </c:pt>
                <c:pt idx="41">
                  <c:v>5.3540000000000001</c:v>
                </c:pt>
                <c:pt idx="42">
                  <c:v>5.984</c:v>
                </c:pt>
                <c:pt idx="43">
                  <c:v>6.157</c:v>
                </c:pt>
                <c:pt idx="44">
                  <c:v>6.2759999999999998</c:v>
                </c:pt>
                <c:pt idx="45">
                  <c:v>5.7130000000000001</c:v>
                </c:pt>
                <c:pt idx="46">
                  <c:v>6.0880000000000001</c:v>
                </c:pt>
                <c:pt idx="47">
                  <c:v>6.2789999999999999</c:v>
                </c:pt>
                <c:pt idx="48">
                  <c:v>6.0030000000000001</c:v>
                </c:pt>
                <c:pt idx="49">
                  <c:v>4.9009999999999998</c:v>
                </c:pt>
                <c:pt idx="50">
                  <c:v>6.3659999999999997</c:v>
                </c:pt>
                <c:pt idx="51">
                  <c:v>7.1779999999999999</c:v>
                </c:pt>
                <c:pt idx="52">
                  <c:v>5.1989999999999998</c:v>
                </c:pt>
                <c:pt idx="53">
                  <c:v>5.5060000000000002</c:v>
                </c:pt>
                <c:pt idx="54">
                  <c:v>6.4950000000000001</c:v>
                </c:pt>
                <c:pt idx="55">
                  <c:v>6.0309999999999997</c:v>
                </c:pt>
                <c:pt idx="56">
                  <c:v>4.7389999999999999</c:v>
                </c:pt>
                <c:pt idx="57">
                  <c:v>6.43</c:v>
                </c:pt>
                <c:pt idx="58">
                  <c:v>6.1740000000000004</c:v>
                </c:pt>
                <c:pt idx="59">
                  <c:v>5.7880000000000003</c:v>
                </c:pt>
                <c:pt idx="60">
                  <c:v>5.9029999999999996</c:v>
                </c:pt>
                <c:pt idx="61">
                  <c:v>6.0720000000000001</c:v>
                </c:pt>
                <c:pt idx="62">
                  <c:v>6.0780000000000003</c:v>
                </c:pt>
                <c:pt idx="63">
                  <c:v>5.6909999999999998</c:v>
                </c:pt>
                <c:pt idx="64">
                  <c:v>5.6849999999999996</c:v>
                </c:pt>
                <c:pt idx="65">
                  <c:v>6.0579999999999998</c:v>
                </c:pt>
                <c:pt idx="66">
                  <c:v>6.5090000000000003</c:v>
                </c:pt>
                <c:pt idx="67">
                  <c:v>4.7329999999999997</c:v>
                </c:pt>
                <c:pt idx="68">
                  <c:v>6.2160000000000002</c:v>
                </c:pt>
                <c:pt idx="69">
                  <c:v>6.8070000000000004</c:v>
                </c:pt>
                <c:pt idx="70">
                  <c:v>6.44</c:v>
                </c:pt>
                <c:pt idx="71">
                  <c:v>4.9720000000000004</c:v>
                </c:pt>
                <c:pt idx="72">
                  <c:v>6.45</c:v>
                </c:pt>
                <c:pt idx="73">
                  <c:v>6.3319999999999999</c:v>
                </c:pt>
                <c:pt idx="74">
                  <c:v>4.9610000000000003</c:v>
                </c:pt>
                <c:pt idx="75">
                  <c:v>6.016</c:v>
                </c:pt>
                <c:pt idx="76">
                  <c:v>5.9320000000000004</c:v>
                </c:pt>
                <c:pt idx="77">
                  <c:v>6.2480000000000002</c:v>
                </c:pt>
                <c:pt idx="78">
                  <c:v>5.4180000000000001</c:v>
                </c:pt>
                <c:pt idx="79">
                  <c:v>6.056</c:v>
                </c:pt>
                <c:pt idx="80">
                  <c:v>6.0750000000000002</c:v>
                </c:pt>
                <c:pt idx="81">
                  <c:v>6.3730000000000002</c:v>
                </c:pt>
                <c:pt idx="82">
                  <c:v>4.9539999999999997</c:v>
                </c:pt>
                <c:pt idx="83">
                  <c:v>6.0209999999999999</c:v>
                </c:pt>
                <c:pt idx="84">
                  <c:v>6.7539999999999996</c:v>
                </c:pt>
                <c:pt idx="85">
                  <c:v>4.99</c:v>
                </c:pt>
                <c:pt idx="86">
                  <c:v>5.5529999999999999</c:v>
                </c:pt>
                <c:pt idx="87">
                  <c:v>6.5209999999999999</c:v>
                </c:pt>
                <c:pt idx="88">
                  <c:v>6.0369999999999999</c:v>
                </c:pt>
                <c:pt idx="89">
                  <c:v>4.8209999999999997</c:v>
                </c:pt>
                <c:pt idx="90">
                  <c:v>6.4390000000000001</c:v>
                </c:pt>
                <c:pt idx="91">
                  <c:v>6.0640000000000001</c:v>
                </c:pt>
                <c:pt idx="92">
                  <c:v>6.4080000000000004</c:v>
                </c:pt>
                <c:pt idx="93">
                  <c:v>5.6779999999999999</c:v>
                </c:pt>
                <c:pt idx="94">
                  <c:v>6.4349999999999996</c:v>
                </c:pt>
                <c:pt idx="95">
                  <c:v>6.0469999999999997</c:v>
                </c:pt>
                <c:pt idx="96">
                  <c:v>5.9649999999999999</c:v>
                </c:pt>
                <c:pt idx="97">
                  <c:v>5.5419999999999998</c:v>
                </c:pt>
                <c:pt idx="98">
                  <c:v>5.835</c:v>
                </c:pt>
                <c:pt idx="99">
                  <c:v>6.4989999999999997</c:v>
                </c:pt>
                <c:pt idx="100">
                  <c:v>5</c:v>
                </c:pt>
                <c:pt idx="101">
                  <c:v>6.0090000000000003</c:v>
                </c:pt>
                <c:pt idx="102">
                  <c:v>6.8209999999999997</c:v>
                </c:pt>
                <c:pt idx="103">
                  <c:v>6.9180000000000001</c:v>
                </c:pt>
                <c:pt idx="104">
                  <c:v>5.0090000000000003</c:v>
                </c:pt>
                <c:pt idx="105">
                  <c:v>6.5259999999999998</c:v>
                </c:pt>
                <c:pt idx="106">
                  <c:v>6.5659999999999998</c:v>
                </c:pt>
                <c:pt idx="107">
                  <c:v>4.9980000000000002</c:v>
                </c:pt>
                <c:pt idx="108">
                  <c:v>6.1550000000000002</c:v>
                </c:pt>
                <c:pt idx="109">
                  <c:v>5.9980000000000002</c:v>
                </c:pt>
                <c:pt idx="110">
                  <c:v>6.3479999999999999</c:v>
                </c:pt>
                <c:pt idx="111">
                  <c:v>5.58</c:v>
                </c:pt>
                <c:pt idx="112">
                  <c:v>6.0090000000000003</c:v>
                </c:pt>
                <c:pt idx="113">
                  <c:v>6.1390000000000002</c:v>
                </c:pt>
                <c:pt idx="114">
                  <c:v>6.2619999999999996</c:v>
                </c:pt>
                <c:pt idx="115">
                  <c:v>5.0510000000000002</c:v>
                </c:pt>
                <c:pt idx="116">
                  <c:v>6.149</c:v>
                </c:pt>
                <c:pt idx="117">
                  <c:v>6.96</c:v>
                </c:pt>
                <c:pt idx="118">
                  <c:v>5.0250000000000004</c:v>
                </c:pt>
                <c:pt idx="119">
                  <c:v>5.867</c:v>
                </c:pt>
                <c:pt idx="120">
                  <c:v>6.5960000000000001</c:v>
                </c:pt>
                <c:pt idx="121">
                  <c:v>6.1159999999999997</c:v>
                </c:pt>
                <c:pt idx="122">
                  <c:v>4.8559999999999999</c:v>
                </c:pt>
                <c:pt idx="123">
                  <c:v>6.4039999999999999</c:v>
                </c:pt>
                <c:pt idx="124">
                  <c:v>7.6189999999999998</c:v>
                </c:pt>
                <c:pt idx="125">
                  <c:v>5.5369999999999999</c:v>
                </c:pt>
                <c:pt idx="126">
                  <c:v>6.1289999999999996</c:v>
                </c:pt>
              </c:numCache>
            </c:numRef>
          </c:yVal>
        </c:ser>
        <c:axId val="214291584"/>
        <c:axId val="214370944"/>
      </c:scatterChart>
      <c:valAx>
        <c:axId val="214291584"/>
        <c:scaling>
          <c:orientation val="minMax"/>
          <c:max val="120"/>
          <c:min val="0"/>
        </c:scaling>
        <c:axPos val="b"/>
        <c:title>
          <c:tx>
            <c:rich>
              <a:bodyPr/>
              <a:lstStyle/>
              <a:p>
                <a:pPr>
                  <a:defRPr/>
                </a:pPr>
                <a:r>
                  <a:rPr lang="en-US"/>
                  <a:t>Slice</a:t>
                </a:r>
                <a:r>
                  <a:rPr lang="en-US" baseline="0"/>
                  <a:t> (frame)</a:t>
                </a:r>
                <a:endParaRPr lang="en-US"/>
              </a:p>
            </c:rich>
          </c:tx>
        </c:title>
        <c:numFmt formatCode="General" sourceLinked="1"/>
        <c:tickLblPos val="nextTo"/>
        <c:crossAx val="214370944"/>
        <c:crosses val="autoZero"/>
        <c:crossBetween val="midCat"/>
      </c:valAx>
      <c:valAx>
        <c:axId val="214370944"/>
        <c:scaling>
          <c:orientation val="minMax"/>
          <c:max val="7.5"/>
          <c:min val="4.5"/>
        </c:scaling>
        <c:axPos val="l"/>
        <c:majorGridlines/>
        <c:title>
          <c:tx>
            <c:rich>
              <a:bodyPr rot="-5400000" vert="horz"/>
              <a:lstStyle/>
              <a:p>
                <a:pPr>
                  <a:defRPr/>
                </a:pPr>
                <a:r>
                  <a:rPr lang="en-US"/>
                  <a:t>Std</a:t>
                </a:r>
                <a:r>
                  <a:rPr lang="en-US" baseline="0"/>
                  <a:t>. Dev.</a:t>
                </a:r>
                <a:endParaRPr lang="en-US"/>
              </a:p>
            </c:rich>
          </c:tx>
        </c:title>
        <c:numFmt formatCode="General" sourceLinked="1"/>
        <c:tickLblPos val="nextTo"/>
        <c:crossAx val="214291584"/>
        <c:crosses val="autoZero"/>
        <c:crossBetween val="midCat"/>
      </c:valAx>
      <c:spPr>
        <a:ln>
          <a:solidFill>
            <a:schemeClr val="tx1"/>
          </a:solidFill>
        </a:ln>
      </c:spPr>
    </c:plotArea>
    <c:plotVisOnly val="1"/>
  </c:chart>
  <c:printSettings>
    <c:headerFooter/>
    <c:pageMargins b="0.75000000000000111" l="0.70000000000000062" r="0.70000000000000062" t="0.750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xVal>
            <c:numRef>
              <c:f>Analysis!$M$44:$M$63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Analysis!$O$44:$O$63</c:f>
              <c:numCache>
                <c:formatCode>General</c:formatCode>
                <c:ptCount val="20"/>
                <c:pt idx="0">
                  <c:v>-0.19525195233546511</c:v>
                </c:pt>
                <c:pt idx="1">
                  <c:v>-0.44625441288527712</c:v>
                </c:pt>
                <c:pt idx="2">
                  <c:v>0.36025902044567659</c:v>
                </c:pt>
                <c:pt idx="3">
                  <c:v>0.43568115953692244</c:v>
                </c:pt>
                <c:pt idx="4">
                  <c:v>-0.45590227296493385</c:v>
                </c:pt>
                <c:pt idx="5">
                  <c:v>-0.20660297044883572</c:v>
                </c:pt>
                <c:pt idx="6">
                  <c:v>0.46833458482342466</c:v>
                </c:pt>
                <c:pt idx="7">
                  <c:v>2.4920427251169924E-2</c:v>
                </c:pt>
                <c:pt idx="8">
                  <c:v>-0.25657402755752057</c:v>
                </c:pt>
                <c:pt idx="9">
                  <c:v>-0.1930938558815079</c:v>
                </c:pt>
                <c:pt idx="10">
                  <c:v>0.56505275141958922</c:v>
                </c:pt>
                <c:pt idx="11">
                  <c:v>-7.6801843162923225E-2</c:v>
                </c:pt>
                <c:pt idx="12">
                  <c:v>-0.47571460199279358</c:v>
                </c:pt>
                <c:pt idx="13">
                  <c:v>0.10016967501846011</c:v>
                </c:pt>
                <c:pt idx="14">
                  <c:v>0.57914431624999041</c:v>
                </c:pt>
                <c:pt idx="15">
                  <c:v>-0.4455932489728136</c:v>
                </c:pt>
                <c:pt idx="16">
                  <c:v>-0.42971859400563833</c:v>
                </c:pt>
                <c:pt idx="17">
                  <c:v>0.62032232086466299</c:v>
                </c:pt>
                <c:pt idx="18">
                  <c:v>3.2776565981277136E-2</c:v>
                </c:pt>
                <c:pt idx="19">
                  <c:v>-0.53269744815436704</c:v>
                </c:pt>
              </c:numCache>
            </c:numRef>
          </c:yVal>
        </c:ser>
        <c:axId val="214411520"/>
        <c:axId val="214421504"/>
      </c:scatterChart>
      <c:valAx>
        <c:axId val="214411520"/>
        <c:scaling>
          <c:orientation val="minMax"/>
        </c:scaling>
        <c:axPos val="b"/>
        <c:numFmt formatCode="General" sourceLinked="1"/>
        <c:tickLblPos val="nextTo"/>
        <c:crossAx val="214421504"/>
        <c:crosses val="autoZero"/>
        <c:crossBetween val="midCat"/>
      </c:valAx>
      <c:valAx>
        <c:axId val="214421504"/>
        <c:scaling>
          <c:orientation val="minMax"/>
        </c:scaling>
        <c:axPos val="l"/>
        <c:majorGridlines/>
        <c:numFmt formatCode="General" sourceLinked="1"/>
        <c:tickLblPos val="nextTo"/>
        <c:crossAx val="214411520"/>
        <c:crosses val="autoZero"/>
        <c:crossBetween val="midCat"/>
      </c:valAx>
    </c:plotArea>
    <c:legend>
      <c:legendPos val="r"/>
    </c:legend>
    <c:plotVisOnly val="1"/>
  </c:chart>
  <c:printSettings>
    <c:headerFooter/>
    <c:pageMargins b="0.75000000000000089" l="0.70000000000000062" r="0.70000000000000062" t="0.750000000000000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plotArea>
      <c:layout>
        <c:manualLayout>
          <c:layoutTarget val="inner"/>
          <c:xMode val="edge"/>
          <c:yMode val="edge"/>
          <c:x val="8.7502187226596681E-2"/>
          <c:y val="0.19480351414406533"/>
          <c:w val="0.86606036745406823"/>
          <c:h val="0.75379593175853177"/>
        </c:manualLayout>
      </c:layout>
      <c:scatterChart>
        <c:scatterStyle val="lineMarker"/>
        <c:ser>
          <c:idx val="0"/>
          <c:order val="0"/>
          <c:tx>
            <c:strRef>
              <c:f>Analysis!$G$10</c:f>
              <c:strCache>
                <c:ptCount val="1"/>
                <c:pt idx="0">
                  <c:v>mean autocorrelation</c:v>
                </c:pt>
              </c:strCache>
            </c:strRef>
          </c:tx>
          <c:xVal>
            <c:numRef>
              <c:f>Analysis!$A$11:$A$30</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Analysis!$G$11:$G$30</c:f>
              <c:numCache>
                <c:formatCode>General</c:formatCode>
                <c:ptCount val="20"/>
                <c:pt idx="0">
                  <c:v>0.33502899902238009</c:v>
                </c:pt>
                <c:pt idx="1">
                  <c:v>-7.8686390204803003E-2</c:v>
                </c:pt>
                <c:pt idx="2">
                  <c:v>0.50141892158386736</c:v>
                </c:pt>
                <c:pt idx="3">
                  <c:v>0.71456505447805929</c:v>
                </c:pt>
                <c:pt idx="4">
                  <c:v>-1.7084703120724083E-2</c:v>
                </c:pt>
                <c:pt idx="5">
                  <c:v>3.7589506719693154E-2</c:v>
                </c:pt>
                <c:pt idx="6">
                  <c:v>0.78249517983664241</c:v>
                </c:pt>
                <c:pt idx="7">
                  <c:v>0.4348382642806346</c:v>
                </c:pt>
                <c:pt idx="8">
                  <c:v>-0.27109766138526903</c:v>
                </c:pt>
                <c:pt idx="9">
                  <c:v>0.11017284383501567</c:v>
                </c:pt>
                <c:pt idx="10">
                  <c:v>0.75302455401769108</c:v>
                </c:pt>
                <c:pt idx="11">
                  <c:v>0.12171091809796311</c:v>
                </c:pt>
                <c:pt idx="12">
                  <c:v>-0.19369525165535861</c:v>
                </c:pt>
                <c:pt idx="13">
                  <c:v>0.41865667938755435</c:v>
                </c:pt>
                <c:pt idx="14">
                  <c:v>0.58733340341679086</c:v>
                </c:pt>
                <c:pt idx="15">
                  <c:v>-0.22801364236784419</c:v>
                </c:pt>
                <c:pt idx="16">
                  <c:v>-0.21284660274052672</c:v>
                </c:pt>
                <c:pt idx="17">
                  <c:v>0.57988617153822752</c:v>
                </c:pt>
                <c:pt idx="18">
                  <c:v>0.36245547931850414</c:v>
                </c:pt>
                <c:pt idx="19">
                  <c:v>-0.27770690640553486</c:v>
                </c:pt>
              </c:numCache>
            </c:numRef>
          </c:yVal>
        </c:ser>
        <c:axId val="214440960"/>
        <c:axId val="214467328"/>
      </c:scatterChart>
      <c:valAx>
        <c:axId val="214440960"/>
        <c:scaling>
          <c:orientation val="minMax"/>
        </c:scaling>
        <c:axPos val="b"/>
        <c:numFmt formatCode="General" sourceLinked="1"/>
        <c:tickLblPos val="nextTo"/>
        <c:crossAx val="214467328"/>
        <c:crosses val="autoZero"/>
        <c:crossBetween val="midCat"/>
      </c:valAx>
      <c:valAx>
        <c:axId val="214467328"/>
        <c:scaling>
          <c:orientation val="minMax"/>
        </c:scaling>
        <c:axPos val="l"/>
        <c:majorGridlines/>
        <c:numFmt formatCode="General" sourceLinked="1"/>
        <c:tickLblPos val="nextTo"/>
        <c:crossAx val="214440960"/>
        <c:crosses val="autoZero"/>
        <c:crossBetween val="midCat"/>
      </c:valAx>
    </c:plotArea>
    <c:legend>
      <c:legendPos val="r"/>
      <c:layout>
        <c:manualLayout>
          <c:xMode val="edge"/>
          <c:yMode val="edge"/>
          <c:x val="0.57875000000000065"/>
          <c:y val="0.34465769903762067"/>
          <c:w val="0.32958333333333373"/>
          <c:h val="8.3717191601049998E-2"/>
        </c:manualLayout>
      </c:layout>
    </c:legend>
    <c:plotVisOnly val="1"/>
  </c:chart>
  <c:printSettings>
    <c:headerFooter/>
    <c:pageMargins b="0.75000000000000089" l="0.70000000000000062" r="0.70000000000000062" t="0.750000000000000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Moving Average </a:t>
            </a:r>
            <a:r>
              <a:rPr lang="en-US" sz="1200" baseline="0"/>
              <a:t> RGB Luminance of PSI Corrected Frames  (1313 PSI Width)</a:t>
            </a:r>
            <a:endParaRPr lang="en-US" sz="1200"/>
          </a:p>
        </c:rich>
      </c:tx>
      <c:layout>
        <c:manualLayout>
          <c:xMode val="edge"/>
          <c:yMode val="edge"/>
          <c:x val="0.17795822397200375"/>
          <c:y val="2.7777777777777853E-2"/>
        </c:manualLayout>
      </c:layout>
      <c:overlay val="1"/>
    </c:title>
    <c:plotArea>
      <c:layout>
        <c:manualLayout>
          <c:layoutTarget val="inner"/>
          <c:xMode val="edge"/>
          <c:yMode val="edge"/>
          <c:x val="0.11384951881014854"/>
          <c:y val="0.19954870224555263"/>
          <c:w val="0.84836570428696356"/>
          <c:h val="0.64743438320209978"/>
        </c:manualLayout>
      </c:layout>
      <c:scatterChart>
        <c:scatterStyle val="lineMarker"/>
        <c:ser>
          <c:idx val="0"/>
          <c:order val="0"/>
          <c:tx>
            <c:strRef>
              <c:f>Analysis!$H$10</c:f>
              <c:strCache>
                <c:ptCount val="1"/>
                <c:pt idx="0">
                  <c:v>4 cycle  (moving average)</c:v>
                </c:pt>
              </c:strCache>
            </c:strRef>
          </c:tx>
          <c:marker>
            <c:symbol val="none"/>
          </c:marker>
          <c:xVal>
            <c:numRef>
              <c:f>Analysis!$A$11:$A$139</c:f>
              <c:numCache>
                <c:formatCode>General</c:formatCode>
                <c:ptCount val="1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Analysis!$H$11:$H$139</c:f>
              <c:numCache>
                <c:formatCode>General</c:formatCode>
                <c:ptCount val="129"/>
                <c:pt idx="0">
                  <c:v>130.52350000000001</c:v>
                </c:pt>
                <c:pt idx="1">
                  <c:v>128.48925</c:v>
                </c:pt>
                <c:pt idx="2">
                  <c:v>127.97799999999999</c:v>
                </c:pt>
                <c:pt idx="3">
                  <c:v>127.96975</c:v>
                </c:pt>
                <c:pt idx="4">
                  <c:v>127.518</c:v>
                </c:pt>
                <c:pt idx="5">
                  <c:v>126.401</c:v>
                </c:pt>
                <c:pt idx="6">
                  <c:v>125.65649999999999</c:v>
                </c:pt>
                <c:pt idx="7">
                  <c:v>125.46825</c:v>
                </c:pt>
                <c:pt idx="8">
                  <c:v>125.01599999999999</c:v>
                </c:pt>
                <c:pt idx="9">
                  <c:v>125.04325</c:v>
                </c:pt>
                <c:pt idx="10">
                  <c:v>125.83875</c:v>
                </c:pt>
                <c:pt idx="11">
                  <c:v>125.83225</c:v>
                </c:pt>
                <c:pt idx="12">
                  <c:v>124.1545</c:v>
                </c:pt>
                <c:pt idx="13">
                  <c:v>123.68575</c:v>
                </c:pt>
                <c:pt idx="14">
                  <c:v>123.5055</c:v>
                </c:pt>
                <c:pt idx="15">
                  <c:v>123.71799999999999</c:v>
                </c:pt>
                <c:pt idx="16">
                  <c:v>123.77374999999998</c:v>
                </c:pt>
                <c:pt idx="17">
                  <c:v>123.88</c:v>
                </c:pt>
                <c:pt idx="18">
                  <c:v>123.961</c:v>
                </c:pt>
                <c:pt idx="19">
                  <c:v>123.27674999999999</c:v>
                </c:pt>
                <c:pt idx="20">
                  <c:v>122.71975</c:v>
                </c:pt>
                <c:pt idx="21">
                  <c:v>122.93325</c:v>
                </c:pt>
                <c:pt idx="22">
                  <c:v>123.40225</c:v>
                </c:pt>
                <c:pt idx="23">
                  <c:v>123.30074999999999</c:v>
                </c:pt>
                <c:pt idx="24">
                  <c:v>123.3125</c:v>
                </c:pt>
                <c:pt idx="25">
                  <c:v>123.07575</c:v>
                </c:pt>
                <c:pt idx="26">
                  <c:v>122.69725</c:v>
                </c:pt>
                <c:pt idx="27">
                  <c:v>121.53925</c:v>
                </c:pt>
                <c:pt idx="28">
                  <c:v>121.654</c:v>
                </c:pt>
                <c:pt idx="29">
                  <c:v>122.55025000000001</c:v>
                </c:pt>
                <c:pt idx="30">
                  <c:v>123.22425</c:v>
                </c:pt>
                <c:pt idx="31">
                  <c:v>123.13200000000001</c:v>
                </c:pt>
                <c:pt idx="32">
                  <c:v>123.13375000000001</c:v>
                </c:pt>
                <c:pt idx="33">
                  <c:v>123.66775</c:v>
                </c:pt>
                <c:pt idx="34">
                  <c:v>123.14949999999999</c:v>
                </c:pt>
                <c:pt idx="35">
                  <c:v>123.36225</c:v>
                </c:pt>
                <c:pt idx="36">
                  <c:v>124.12125</c:v>
                </c:pt>
                <c:pt idx="37">
                  <c:v>124.22649999999999</c:v>
                </c:pt>
                <c:pt idx="38">
                  <c:v>122.6695</c:v>
                </c:pt>
                <c:pt idx="39">
                  <c:v>122.24299999999999</c:v>
                </c:pt>
                <c:pt idx="40">
                  <c:v>122.26174999999999</c:v>
                </c:pt>
                <c:pt idx="41">
                  <c:v>122.44575</c:v>
                </c:pt>
                <c:pt idx="42">
                  <c:v>122.791</c:v>
                </c:pt>
                <c:pt idx="43">
                  <c:v>123.55125</c:v>
                </c:pt>
                <c:pt idx="44">
                  <c:v>123.87174999999999</c:v>
                </c:pt>
                <c:pt idx="45">
                  <c:v>122.07325</c:v>
                </c:pt>
                <c:pt idx="46">
                  <c:v>121.39450000000001</c:v>
                </c:pt>
                <c:pt idx="47">
                  <c:v>121.24625</c:v>
                </c:pt>
                <c:pt idx="48">
                  <c:v>121.36</c:v>
                </c:pt>
                <c:pt idx="49">
                  <c:v>121.16725</c:v>
                </c:pt>
                <c:pt idx="50">
                  <c:v>121.1495</c:v>
                </c:pt>
                <c:pt idx="51">
                  <c:v>120.68525</c:v>
                </c:pt>
                <c:pt idx="52">
                  <c:v>119.542</c:v>
                </c:pt>
                <c:pt idx="53">
                  <c:v>118.5895</c:v>
                </c:pt>
                <c:pt idx="54">
                  <c:v>118.67275000000001</c:v>
                </c:pt>
                <c:pt idx="55">
                  <c:v>119.17875000000001</c:v>
                </c:pt>
                <c:pt idx="56">
                  <c:v>119.1735</c:v>
                </c:pt>
                <c:pt idx="57">
                  <c:v>119.47675000000001</c:v>
                </c:pt>
                <c:pt idx="58">
                  <c:v>119.432</c:v>
                </c:pt>
                <c:pt idx="59">
                  <c:v>119.8045</c:v>
                </c:pt>
                <c:pt idx="60">
                  <c:v>118.9435</c:v>
                </c:pt>
                <c:pt idx="61">
                  <c:v>119.23099999999999</c:v>
                </c:pt>
                <c:pt idx="62">
                  <c:v>120.0455</c:v>
                </c:pt>
                <c:pt idx="63">
                  <c:v>120.25624999999999</c:v>
                </c:pt>
                <c:pt idx="64">
                  <c:v>120.29275</c:v>
                </c:pt>
                <c:pt idx="65">
                  <c:v>119.985</c:v>
                </c:pt>
                <c:pt idx="66">
                  <c:v>119.73899999999999</c:v>
                </c:pt>
                <c:pt idx="67">
                  <c:v>118.75700000000001</c:v>
                </c:pt>
                <c:pt idx="68">
                  <c:v>118.97449999999999</c:v>
                </c:pt>
                <c:pt idx="69">
                  <c:v>120.01825000000001</c:v>
                </c:pt>
                <c:pt idx="70">
                  <c:v>121.04300000000001</c:v>
                </c:pt>
                <c:pt idx="71">
                  <c:v>120.456</c:v>
                </c:pt>
                <c:pt idx="72">
                  <c:v>120.3245</c:v>
                </c:pt>
                <c:pt idx="73">
                  <c:v>120.55549999999999</c:v>
                </c:pt>
                <c:pt idx="74">
                  <c:v>120.65600000000001</c:v>
                </c:pt>
                <c:pt idx="75">
                  <c:v>120.9675</c:v>
                </c:pt>
                <c:pt idx="76">
                  <c:v>121.66800000000001</c:v>
                </c:pt>
                <c:pt idx="77">
                  <c:v>121.71324999999999</c:v>
                </c:pt>
                <c:pt idx="78">
                  <c:v>120.39449999999999</c:v>
                </c:pt>
                <c:pt idx="79">
                  <c:v>119.92749999999999</c:v>
                </c:pt>
                <c:pt idx="80">
                  <c:v>120.18950000000001</c:v>
                </c:pt>
                <c:pt idx="81">
                  <c:v>121.07</c:v>
                </c:pt>
                <c:pt idx="82">
                  <c:v>120.824</c:v>
                </c:pt>
                <c:pt idx="83">
                  <c:v>121.1455</c:v>
                </c:pt>
                <c:pt idx="84">
                  <c:v>121.07550000000001</c:v>
                </c:pt>
                <c:pt idx="85">
                  <c:v>120.6965</c:v>
                </c:pt>
                <c:pt idx="86">
                  <c:v>120.4695</c:v>
                </c:pt>
                <c:pt idx="87">
                  <c:v>120.91624999999999</c:v>
                </c:pt>
                <c:pt idx="88">
                  <c:v>122.20474999999999</c:v>
                </c:pt>
                <c:pt idx="89">
                  <c:v>122.13250000000001</c:v>
                </c:pt>
                <c:pt idx="90">
                  <c:v>122.3185</c:v>
                </c:pt>
                <c:pt idx="91">
                  <c:v>122.02725000000001</c:v>
                </c:pt>
                <c:pt idx="92">
                  <c:v>121.0895</c:v>
                </c:pt>
                <c:pt idx="93">
                  <c:v>119.664</c:v>
                </c:pt>
                <c:pt idx="94">
                  <c:v>119.68525</c:v>
                </c:pt>
                <c:pt idx="95">
                  <c:v>120.468</c:v>
                </c:pt>
                <c:pt idx="96">
                  <c:v>120.98425</c:v>
                </c:pt>
                <c:pt idx="97">
                  <c:v>120.877</c:v>
                </c:pt>
                <c:pt idx="98">
                  <c:v>120.63499999999999</c:v>
                </c:pt>
                <c:pt idx="99">
                  <c:v>120.69449999999999</c:v>
                </c:pt>
                <c:pt idx="100">
                  <c:v>120.42675</c:v>
                </c:pt>
                <c:pt idx="101">
                  <c:v>120.8935</c:v>
                </c:pt>
                <c:pt idx="102">
                  <c:v>122.11324999999999</c:v>
                </c:pt>
                <c:pt idx="103">
                  <c:v>123.25475</c:v>
                </c:pt>
                <c:pt idx="104">
                  <c:v>122.32925</c:v>
                </c:pt>
                <c:pt idx="105">
                  <c:v>121.85599999999999</c:v>
                </c:pt>
                <c:pt idx="106">
                  <c:v>122.09524999999999</c:v>
                </c:pt>
                <c:pt idx="107">
                  <c:v>122.12649999999999</c:v>
                </c:pt>
                <c:pt idx="108">
                  <c:v>122.1635</c:v>
                </c:pt>
                <c:pt idx="109">
                  <c:v>123.26275000000001</c:v>
                </c:pt>
                <c:pt idx="110">
                  <c:v>123.34399999999999</c:v>
                </c:pt>
                <c:pt idx="111">
                  <c:v>121.6575</c:v>
                </c:pt>
                <c:pt idx="112">
                  <c:v>121.07825</c:v>
                </c:pt>
                <c:pt idx="113">
                  <c:v>121.07600000000001</c:v>
                </c:pt>
                <c:pt idx="114">
                  <c:v>121.48425</c:v>
                </c:pt>
                <c:pt idx="115">
                  <c:v>121.2505</c:v>
                </c:pt>
                <c:pt idx="116">
                  <c:v>121.877</c:v>
                </c:pt>
                <c:pt idx="117">
                  <c:v>121.88974999999999</c:v>
                </c:pt>
                <c:pt idx="118">
                  <c:v>121.10925</c:v>
                </c:pt>
                <c:pt idx="119">
                  <c:v>120.76299999999999</c:v>
                </c:pt>
                <c:pt idx="120">
                  <c:v>121.00700000000001</c:v>
                </c:pt>
                <c:pt idx="121">
                  <c:v>121.34775</c:v>
                </c:pt>
                <c:pt idx="122">
                  <c:v>120.98275000000001</c:v>
                </c:pt>
                <c:pt idx="123">
                  <c:v>121.03775</c:v>
                </c:pt>
                <c:pt idx="124">
                  <c:v>121.03400000000001</c:v>
                </c:pt>
                <c:pt idx="125">
                  <c:v>119.64100000000001</c:v>
                </c:pt>
                <c:pt idx="126">
                  <c:v>118.242</c:v>
                </c:pt>
              </c:numCache>
            </c:numRef>
          </c:yVal>
        </c:ser>
        <c:ser>
          <c:idx val="1"/>
          <c:order val="1"/>
          <c:tx>
            <c:strRef>
              <c:f>Analysis!$I$10</c:f>
              <c:strCache>
                <c:ptCount val="1"/>
                <c:pt idx="0">
                  <c:v>3 cycle moving average</c:v>
                </c:pt>
              </c:strCache>
            </c:strRef>
          </c:tx>
          <c:marker>
            <c:symbol val="none"/>
          </c:marker>
          <c:xVal>
            <c:numRef>
              <c:f>Analysis!$A$11:$A$139</c:f>
              <c:numCache>
                <c:formatCode>General</c:formatCode>
                <c:ptCount val="1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numCache>
            </c:numRef>
          </c:xVal>
          <c:yVal>
            <c:numRef>
              <c:f>Analysis!$I$11:$I$139</c:f>
              <c:numCache>
                <c:formatCode>General</c:formatCode>
                <c:ptCount val="129"/>
                <c:pt idx="0">
                  <c:v>130.03466666666665</c:v>
                </c:pt>
                <c:pt idx="1">
                  <c:v>129.03733333333335</c:v>
                </c:pt>
                <c:pt idx="2">
                  <c:v>128.95533333333333</c:v>
                </c:pt>
                <c:pt idx="3">
                  <c:v>127.96033333333334</c:v>
                </c:pt>
                <c:pt idx="4">
                  <c:v>126.62966666666667</c:v>
                </c:pt>
                <c:pt idx="5">
                  <c:v>127.74233333333332</c:v>
                </c:pt>
                <c:pt idx="6">
                  <c:v>126.85266666666666</c:v>
                </c:pt>
                <c:pt idx="7">
                  <c:v>124.87599999999999</c:v>
                </c:pt>
                <c:pt idx="8">
                  <c:v>123.89666666666666</c:v>
                </c:pt>
                <c:pt idx="9">
                  <c:v>125.89566666666667</c:v>
                </c:pt>
                <c:pt idx="10">
                  <c:v>126.03500000000001</c:v>
                </c:pt>
                <c:pt idx="11">
                  <c:v>125.37</c:v>
                </c:pt>
                <c:pt idx="12">
                  <c:v>124.985</c:v>
                </c:pt>
                <c:pt idx="13">
                  <c:v>124.71066666666667</c:v>
                </c:pt>
                <c:pt idx="14">
                  <c:v>123.16433333333333</c:v>
                </c:pt>
                <c:pt idx="15">
                  <c:v>122.26766666666667</c:v>
                </c:pt>
                <c:pt idx="16">
                  <c:v>124.40299999999998</c:v>
                </c:pt>
                <c:pt idx="17">
                  <c:v>124.82799999999999</c:v>
                </c:pt>
                <c:pt idx="18">
                  <c:v>123.66366666666666</c:v>
                </c:pt>
                <c:pt idx="19">
                  <c:v>122.59166666666665</c:v>
                </c:pt>
                <c:pt idx="20">
                  <c:v>123.74033333333334</c:v>
                </c:pt>
                <c:pt idx="21">
                  <c:v>123.28100000000001</c:v>
                </c:pt>
                <c:pt idx="22">
                  <c:v>122.29333333333334</c:v>
                </c:pt>
                <c:pt idx="23">
                  <c:v>122.759</c:v>
                </c:pt>
                <c:pt idx="24">
                  <c:v>124.515</c:v>
                </c:pt>
                <c:pt idx="25">
                  <c:v>123.78666666666668</c:v>
                </c:pt>
                <c:pt idx="26">
                  <c:v>121.858</c:v>
                </c:pt>
                <c:pt idx="27">
                  <c:v>121.95433333333334</c:v>
                </c:pt>
                <c:pt idx="28">
                  <c:v>122.15066666666667</c:v>
                </c:pt>
                <c:pt idx="29">
                  <c:v>121.89100000000001</c:v>
                </c:pt>
                <c:pt idx="30">
                  <c:v>121.66199999999999</c:v>
                </c:pt>
                <c:pt idx="31">
                  <c:v>124.20100000000001</c:v>
                </c:pt>
                <c:pt idx="32">
                  <c:v>124.12133333333334</c:v>
                </c:pt>
                <c:pt idx="33">
                  <c:v>122.669</c:v>
                </c:pt>
                <c:pt idx="34">
                  <c:v>122.25333333333333</c:v>
                </c:pt>
                <c:pt idx="35">
                  <c:v>124.22433333333333</c:v>
                </c:pt>
                <c:pt idx="36">
                  <c:v>124.426</c:v>
                </c:pt>
                <c:pt idx="37">
                  <c:v>123.27366666666666</c:v>
                </c:pt>
                <c:pt idx="38">
                  <c:v>123.68933333333332</c:v>
                </c:pt>
                <c:pt idx="39">
                  <c:v>123.30066666666666</c:v>
                </c:pt>
                <c:pt idx="40">
                  <c:v>121.92166666666667</c:v>
                </c:pt>
                <c:pt idx="41">
                  <c:v>120.654</c:v>
                </c:pt>
                <c:pt idx="42">
                  <c:v>123.39100000000001</c:v>
                </c:pt>
                <c:pt idx="43">
                  <c:v>124.03133333333334</c:v>
                </c:pt>
                <c:pt idx="44">
                  <c:v>123.64100000000001</c:v>
                </c:pt>
                <c:pt idx="45">
                  <c:v>122.55533333333334</c:v>
                </c:pt>
                <c:pt idx="46">
                  <c:v>122.43400000000001</c:v>
                </c:pt>
                <c:pt idx="47">
                  <c:v>121.15566666666666</c:v>
                </c:pt>
                <c:pt idx="48">
                  <c:v>120.14033333333333</c:v>
                </c:pt>
                <c:pt idx="49">
                  <c:v>121.60433333333333</c:v>
                </c:pt>
                <c:pt idx="50">
                  <c:v>122.13100000000001</c:v>
                </c:pt>
                <c:pt idx="51">
                  <c:v>121.02666666666666</c:v>
                </c:pt>
                <c:pt idx="52">
                  <c:v>119.24066666666666</c:v>
                </c:pt>
                <c:pt idx="53">
                  <c:v>119.43733333333334</c:v>
                </c:pt>
                <c:pt idx="54">
                  <c:v>118.71766666666667</c:v>
                </c:pt>
                <c:pt idx="55">
                  <c:v>118.34333333333335</c:v>
                </c:pt>
                <c:pt idx="56">
                  <c:v>118.75633333333333</c:v>
                </c:pt>
                <c:pt idx="57">
                  <c:v>120.21600000000001</c:v>
                </c:pt>
                <c:pt idx="58">
                  <c:v>119.78966666666668</c:v>
                </c:pt>
                <c:pt idx="59">
                  <c:v>118.681</c:v>
                </c:pt>
                <c:pt idx="60">
                  <c:v>119.59766666666667</c:v>
                </c:pt>
                <c:pt idx="61">
                  <c:v>119.505</c:v>
                </c:pt>
                <c:pt idx="62">
                  <c:v>119.52166666666666</c:v>
                </c:pt>
                <c:pt idx="63">
                  <c:v>119.00233333333334</c:v>
                </c:pt>
                <c:pt idx="64">
                  <c:v>121.348</c:v>
                </c:pt>
                <c:pt idx="65">
                  <c:v>120.92066666666666</c:v>
                </c:pt>
                <c:pt idx="66">
                  <c:v>119.44099999999999</c:v>
                </c:pt>
                <c:pt idx="67">
                  <c:v>118.31266666666666</c:v>
                </c:pt>
                <c:pt idx="68">
                  <c:v>119.30033333333331</c:v>
                </c:pt>
                <c:pt idx="69">
                  <c:v>119.57333333333334</c:v>
                </c:pt>
                <c:pt idx="70">
                  <c:v>119.81333333333333</c:v>
                </c:pt>
                <c:pt idx="71">
                  <c:v>121.36066666666666</c:v>
                </c:pt>
                <c:pt idx="72">
                  <c:v>121.27566666666667</c:v>
                </c:pt>
                <c:pt idx="73">
                  <c:v>119.98166666666667</c:v>
                </c:pt>
                <c:pt idx="74">
                  <c:v>119.16333333333334</c:v>
                </c:pt>
                <c:pt idx="75">
                  <c:v>121.62733333333334</c:v>
                </c:pt>
                <c:pt idx="76">
                  <c:v>122.133</c:v>
                </c:pt>
                <c:pt idx="77">
                  <c:v>121.46499999999999</c:v>
                </c:pt>
                <c:pt idx="78">
                  <c:v>120.57299999999999</c:v>
                </c:pt>
                <c:pt idx="79">
                  <c:v>120.86333333333333</c:v>
                </c:pt>
                <c:pt idx="80">
                  <c:v>119.81233333333334</c:v>
                </c:pt>
                <c:pt idx="81">
                  <c:v>119.43333333333332</c:v>
                </c:pt>
                <c:pt idx="82">
                  <c:v>121.47366666666666</c:v>
                </c:pt>
                <c:pt idx="83">
                  <c:v>122.05866666666667</c:v>
                </c:pt>
                <c:pt idx="84">
                  <c:v>121.087</c:v>
                </c:pt>
                <c:pt idx="85">
                  <c:v>119.44066666666667</c:v>
                </c:pt>
                <c:pt idx="86">
                  <c:v>121.30366666666667</c:v>
                </c:pt>
                <c:pt idx="87">
                  <c:v>121.15733333333333</c:v>
                </c:pt>
                <c:pt idx="88">
                  <c:v>120.87466666666666</c:v>
                </c:pt>
                <c:pt idx="89">
                  <c:v>121.45166666666667</c:v>
                </c:pt>
                <c:pt idx="90">
                  <c:v>123.521</c:v>
                </c:pt>
                <c:pt idx="91">
                  <c:v>123.027</c:v>
                </c:pt>
                <c:pt idx="92">
                  <c:v>120.63799999999999</c:v>
                </c:pt>
                <c:pt idx="93">
                  <c:v>120.06099999999999</c:v>
                </c:pt>
                <c:pt idx="94">
                  <c:v>119.98166666666667</c:v>
                </c:pt>
                <c:pt idx="95">
                  <c:v>119.90433333333334</c:v>
                </c:pt>
                <c:pt idx="96">
                  <c:v>119.80933333333333</c:v>
                </c:pt>
                <c:pt idx="97">
                  <c:v>121.82133333333333</c:v>
                </c:pt>
                <c:pt idx="98">
                  <c:v>121.57066666666667</c:v>
                </c:pt>
                <c:pt idx="99">
                  <c:v>120.127</c:v>
                </c:pt>
                <c:pt idx="100">
                  <c:v>119.423</c:v>
                </c:pt>
                <c:pt idx="101">
                  <c:v>121.221</c:v>
                </c:pt>
                <c:pt idx="102">
                  <c:v>121.91533333333332</c:v>
                </c:pt>
                <c:pt idx="103">
                  <c:v>122.01866666666666</c:v>
                </c:pt>
                <c:pt idx="104">
                  <c:v>123.19366666666667</c:v>
                </c:pt>
                <c:pt idx="105">
                  <c:v>123.13533333333334</c:v>
                </c:pt>
                <c:pt idx="106">
                  <c:v>121.57233333333333</c:v>
                </c:pt>
                <c:pt idx="107">
                  <c:v>120.47266666666667</c:v>
                </c:pt>
                <c:pt idx="108">
                  <c:v>122.92333333333333</c:v>
                </c:pt>
                <c:pt idx="109">
                  <c:v>123.54533333333335</c:v>
                </c:pt>
                <c:pt idx="110">
                  <c:v>123.129</c:v>
                </c:pt>
                <c:pt idx="111">
                  <c:v>122.096</c:v>
                </c:pt>
                <c:pt idx="112">
                  <c:v>122.24866666666667</c:v>
                </c:pt>
                <c:pt idx="113">
                  <c:v>120.63266666666668</c:v>
                </c:pt>
                <c:pt idx="114">
                  <c:v>120.105</c:v>
                </c:pt>
                <c:pt idx="115">
                  <c:v>121.86500000000001</c:v>
                </c:pt>
                <c:pt idx="116">
                  <c:v>122.47833333333334</c:v>
                </c:pt>
                <c:pt idx="117">
                  <c:v>121.70066666666666</c:v>
                </c:pt>
                <c:pt idx="118">
                  <c:v>120.64566666666667</c:v>
                </c:pt>
                <c:pt idx="119">
                  <c:v>121.67666666666666</c:v>
                </c:pt>
                <c:pt idx="120">
                  <c:v>120.99299999999999</c:v>
                </c:pt>
                <c:pt idx="121">
                  <c:v>120.52366666666667</c:v>
                </c:pt>
                <c:pt idx="122">
                  <c:v>120.96366666666667</c:v>
                </c:pt>
                <c:pt idx="123">
                  <c:v>121.96966666666667</c:v>
                </c:pt>
                <c:pt idx="124">
                  <c:v>121.03400000000001</c:v>
                </c:pt>
                <c:pt idx="125">
                  <c:v>119.64100000000001</c:v>
                </c:pt>
                <c:pt idx="126">
                  <c:v>118.242</c:v>
                </c:pt>
              </c:numCache>
            </c:numRef>
          </c:yVal>
        </c:ser>
        <c:axId val="219837568"/>
        <c:axId val="219839488"/>
      </c:scatterChart>
      <c:valAx>
        <c:axId val="219837568"/>
        <c:scaling>
          <c:orientation val="minMax"/>
        </c:scaling>
        <c:axPos val="b"/>
        <c:title>
          <c:tx>
            <c:rich>
              <a:bodyPr/>
              <a:lstStyle/>
              <a:p>
                <a:pPr>
                  <a:defRPr/>
                </a:pPr>
                <a:r>
                  <a:rPr lang="en-US"/>
                  <a:t>Slice</a:t>
                </a:r>
                <a:r>
                  <a:rPr lang="en-US" baseline="0"/>
                  <a:t> (frame)</a:t>
                </a:r>
                <a:endParaRPr lang="en-US"/>
              </a:p>
            </c:rich>
          </c:tx>
        </c:title>
        <c:numFmt formatCode="General" sourceLinked="1"/>
        <c:tickLblPos val="nextTo"/>
        <c:crossAx val="219839488"/>
        <c:crosses val="autoZero"/>
        <c:crossBetween val="midCat"/>
      </c:valAx>
      <c:valAx>
        <c:axId val="219839488"/>
        <c:scaling>
          <c:orientation val="minMax"/>
        </c:scaling>
        <c:axPos val="l"/>
        <c:title>
          <c:tx>
            <c:rich>
              <a:bodyPr rot="-5400000" vert="horz"/>
              <a:lstStyle/>
              <a:p>
                <a:pPr>
                  <a:defRPr/>
                </a:pPr>
                <a:r>
                  <a:rPr lang="en-US"/>
                  <a:t>Mean</a:t>
                </a:r>
                <a:r>
                  <a:rPr lang="en-US" baseline="0"/>
                  <a:t> RGB Image value</a:t>
                </a:r>
                <a:endParaRPr lang="en-US"/>
              </a:p>
            </c:rich>
          </c:tx>
        </c:title>
        <c:numFmt formatCode="General" sourceLinked="1"/>
        <c:tickLblPos val="nextTo"/>
        <c:crossAx val="219837568"/>
        <c:crosses val="autoZero"/>
        <c:crossBetween val="midCat"/>
      </c:valAx>
      <c:spPr>
        <a:ln>
          <a:solidFill>
            <a:schemeClr val="tx1"/>
          </a:solidFill>
        </a:ln>
      </c:spPr>
    </c:plotArea>
    <c:legend>
      <c:legendPos val="r"/>
      <c:layout>
        <c:manualLayout>
          <c:xMode val="edge"/>
          <c:yMode val="edge"/>
          <c:x val="0.43888888888888999"/>
          <c:y val="0.25849154272382613"/>
          <c:w val="0.43333333333333335"/>
          <c:h val="0.14968358121901418"/>
        </c:manualLayout>
      </c:layout>
    </c:legend>
    <c:plotVisOnly val="1"/>
  </c:chart>
  <c:printSettings>
    <c:headerFooter/>
    <c:pageMargins b="0.75000000000000089" l="0.70000000000000062" r="0.70000000000000062" t="0.750000000000000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1988407699037624E-2"/>
          <c:y val="5.1400554097404488E-2"/>
          <c:w val="0.87275590551181181"/>
          <c:h val="0.8326195683872849"/>
        </c:manualLayout>
      </c:layout>
      <c:scatterChart>
        <c:scatterStyle val="lineMarker"/>
        <c:ser>
          <c:idx val="0"/>
          <c:order val="0"/>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stacks'!$B$14:$B$141</c:f>
              <c:numCache>
                <c:formatCode>General</c:formatCode>
                <c:ptCount val="128"/>
                <c:pt idx="0">
                  <c:v>6.093</c:v>
                </c:pt>
                <c:pt idx="1">
                  <c:v>5.2830000000000004</c:v>
                </c:pt>
                <c:pt idx="2">
                  <c:v>7.141</c:v>
                </c:pt>
                <c:pt idx="3">
                  <c:v>5.8029999999999999</c:v>
                </c:pt>
                <c:pt idx="4">
                  <c:v>5.7160000000000002</c:v>
                </c:pt>
                <c:pt idx="5">
                  <c:v>5.5730000000000004</c:v>
                </c:pt>
                <c:pt idx="6">
                  <c:v>6.5369999999999999</c:v>
                </c:pt>
                <c:pt idx="7">
                  <c:v>5.4950000000000001</c:v>
                </c:pt>
                <c:pt idx="8">
                  <c:v>5.0170000000000003</c:v>
                </c:pt>
                <c:pt idx="9">
                  <c:v>6.819</c:v>
                </c:pt>
                <c:pt idx="10">
                  <c:v>5.52</c:v>
                </c:pt>
                <c:pt idx="11">
                  <c:v>5.2320000000000002</c:v>
                </c:pt>
                <c:pt idx="12">
                  <c:v>5.4660000000000002</c:v>
                </c:pt>
                <c:pt idx="13">
                  <c:v>5.9829999999999997</c:v>
                </c:pt>
                <c:pt idx="14">
                  <c:v>5.1929999999999996</c:v>
                </c:pt>
                <c:pt idx="15">
                  <c:v>5.633</c:v>
                </c:pt>
                <c:pt idx="16">
                  <c:v>5.9640000000000004</c:v>
                </c:pt>
                <c:pt idx="17">
                  <c:v>5.8239999999999998</c:v>
                </c:pt>
                <c:pt idx="18">
                  <c:v>5.6779999999999999</c:v>
                </c:pt>
                <c:pt idx="19">
                  <c:v>5.3410000000000002</c:v>
                </c:pt>
                <c:pt idx="20">
                  <c:v>5.9779999999999998</c:v>
                </c:pt>
                <c:pt idx="21">
                  <c:v>6.9080000000000004</c:v>
                </c:pt>
                <c:pt idx="22">
                  <c:v>4.9589999999999996</c:v>
                </c:pt>
                <c:pt idx="23">
                  <c:v>5.5830000000000002</c:v>
                </c:pt>
                <c:pt idx="24">
                  <c:v>6.4470000000000001</c:v>
                </c:pt>
                <c:pt idx="25">
                  <c:v>5.8129999999999997</c:v>
                </c:pt>
                <c:pt idx="26">
                  <c:v>5.399</c:v>
                </c:pt>
                <c:pt idx="27">
                  <c:v>6.28</c:v>
                </c:pt>
                <c:pt idx="28">
                  <c:v>6.5019999999999998</c:v>
                </c:pt>
                <c:pt idx="29">
                  <c:v>5.133</c:v>
                </c:pt>
                <c:pt idx="30">
                  <c:v>6.5990000000000002</c:v>
                </c:pt>
                <c:pt idx="31">
                  <c:v>6.1760000000000002</c:v>
                </c:pt>
                <c:pt idx="32">
                  <c:v>6.048</c:v>
                </c:pt>
                <c:pt idx="33">
                  <c:v>5.5309999999999997</c:v>
                </c:pt>
                <c:pt idx="34">
                  <c:v>4.7469999999999999</c:v>
                </c:pt>
                <c:pt idx="35">
                  <c:v>6.444</c:v>
                </c:pt>
                <c:pt idx="36">
                  <c:v>6.1509999999999998</c:v>
                </c:pt>
                <c:pt idx="37">
                  <c:v>5.6459999999999999</c:v>
                </c:pt>
                <c:pt idx="38">
                  <c:v>5.2560000000000002</c:v>
                </c:pt>
                <c:pt idx="39">
                  <c:v>5.9130000000000003</c:v>
                </c:pt>
                <c:pt idx="40">
                  <c:v>6.5590000000000002</c:v>
                </c:pt>
                <c:pt idx="41">
                  <c:v>5.0229999999999997</c:v>
                </c:pt>
                <c:pt idx="42">
                  <c:v>6.7850000000000001</c:v>
                </c:pt>
                <c:pt idx="43">
                  <c:v>5.673</c:v>
                </c:pt>
                <c:pt idx="44">
                  <c:v>4.9660000000000002</c:v>
                </c:pt>
                <c:pt idx="45">
                  <c:v>5.6470000000000002</c:v>
                </c:pt>
                <c:pt idx="46">
                  <c:v>5.6609999999999996</c:v>
                </c:pt>
                <c:pt idx="47">
                  <c:v>6.4539999999999997</c:v>
                </c:pt>
                <c:pt idx="48">
                  <c:v>5.8339999999999996</c:v>
                </c:pt>
                <c:pt idx="49">
                  <c:v>5.2649999999999997</c:v>
                </c:pt>
                <c:pt idx="50">
                  <c:v>5.694</c:v>
                </c:pt>
                <c:pt idx="51">
                  <c:v>6.0529999999999999</c:v>
                </c:pt>
                <c:pt idx="52">
                  <c:v>4.9960000000000004</c:v>
                </c:pt>
                <c:pt idx="53">
                  <c:v>5.3570000000000002</c:v>
                </c:pt>
                <c:pt idx="54">
                  <c:v>7.0060000000000002</c:v>
                </c:pt>
                <c:pt idx="55">
                  <c:v>5.09</c:v>
                </c:pt>
                <c:pt idx="56">
                  <c:v>5.5259999999999998</c:v>
                </c:pt>
                <c:pt idx="57">
                  <c:v>6.194</c:v>
                </c:pt>
                <c:pt idx="58">
                  <c:v>5.8170000000000002</c:v>
                </c:pt>
                <c:pt idx="59">
                  <c:v>5.0510000000000002</c:v>
                </c:pt>
                <c:pt idx="60">
                  <c:v>5.7110000000000003</c:v>
                </c:pt>
                <c:pt idx="61">
                  <c:v>6.3559999999999999</c:v>
                </c:pt>
                <c:pt idx="62">
                  <c:v>4.9059999999999997</c:v>
                </c:pt>
                <c:pt idx="63">
                  <c:v>6.1079999999999997</c:v>
                </c:pt>
                <c:pt idx="64">
                  <c:v>5.9189999999999996</c:v>
                </c:pt>
                <c:pt idx="65">
                  <c:v>6.3479999999999999</c:v>
                </c:pt>
                <c:pt idx="66">
                  <c:v>5.6260000000000003</c:v>
                </c:pt>
                <c:pt idx="67">
                  <c:v>4.8380000000000001</c:v>
                </c:pt>
                <c:pt idx="68">
                  <c:v>6.6680000000000001</c:v>
                </c:pt>
                <c:pt idx="69">
                  <c:v>5.8879999999999999</c:v>
                </c:pt>
                <c:pt idx="70">
                  <c:v>5.5</c:v>
                </c:pt>
                <c:pt idx="71">
                  <c:v>5.6609999999999996</c:v>
                </c:pt>
                <c:pt idx="72">
                  <c:v>6.2050000000000001</c:v>
                </c:pt>
                <c:pt idx="73">
                  <c:v>5.4</c:v>
                </c:pt>
                <c:pt idx="74">
                  <c:v>4.8150000000000004</c:v>
                </c:pt>
                <c:pt idx="75">
                  <c:v>6.1580000000000004</c:v>
                </c:pt>
                <c:pt idx="76">
                  <c:v>5.6040000000000001</c:v>
                </c:pt>
                <c:pt idx="77">
                  <c:v>5.218</c:v>
                </c:pt>
                <c:pt idx="78">
                  <c:v>5.8470000000000004</c:v>
                </c:pt>
                <c:pt idx="79">
                  <c:v>5.9390000000000001</c:v>
                </c:pt>
                <c:pt idx="80">
                  <c:v>6.6520000000000001</c:v>
                </c:pt>
                <c:pt idx="81">
                  <c:v>5.8289999999999997</c:v>
                </c:pt>
                <c:pt idx="82">
                  <c:v>5.6970000000000001</c:v>
                </c:pt>
                <c:pt idx="83">
                  <c:v>5.87</c:v>
                </c:pt>
                <c:pt idx="84">
                  <c:v>5.7469999999999999</c:v>
                </c:pt>
                <c:pt idx="85">
                  <c:v>5.1020000000000003</c:v>
                </c:pt>
                <c:pt idx="86">
                  <c:v>5.694</c:v>
                </c:pt>
                <c:pt idx="87">
                  <c:v>7.3440000000000003</c:v>
                </c:pt>
                <c:pt idx="88">
                  <c:v>4.9180000000000001</c:v>
                </c:pt>
                <c:pt idx="89">
                  <c:v>5.899</c:v>
                </c:pt>
                <c:pt idx="90">
                  <c:v>6.4569999999999999</c:v>
                </c:pt>
                <c:pt idx="91">
                  <c:v>6.0140000000000002</c:v>
                </c:pt>
                <c:pt idx="92">
                  <c:v>5.0430000000000001</c:v>
                </c:pt>
                <c:pt idx="93">
                  <c:v>5.8120000000000003</c:v>
                </c:pt>
                <c:pt idx="94">
                  <c:v>7.0609999999999999</c:v>
                </c:pt>
                <c:pt idx="95">
                  <c:v>4.8410000000000002</c:v>
                </c:pt>
                <c:pt idx="96">
                  <c:v>6.3959999999999999</c:v>
                </c:pt>
                <c:pt idx="97">
                  <c:v>5.2910000000000004</c:v>
                </c:pt>
                <c:pt idx="98">
                  <c:v>6.2149999999999999</c:v>
                </c:pt>
                <c:pt idx="99">
                  <c:v>5.5119999999999996</c:v>
                </c:pt>
                <c:pt idx="100">
                  <c:v>4.8170000000000002</c:v>
                </c:pt>
                <c:pt idx="101">
                  <c:v>6.2859999999999996</c:v>
                </c:pt>
                <c:pt idx="102">
                  <c:v>5.7709999999999999</c:v>
                </c:pt>
                <c:pt idx="103">
                  <c:v>5.8929999999999998</c:v>
                </c:pt>
                <c:pt idx="104">
                  <c:v>4.9969999999999999</c:v>
                </c:pt>
                <c:pt idx="105">
                  <c:v>6.51</c:v>
                </c:pt>
                <c:pt idx="106">
                  <c:v>5.2779999999999996</c:v>
                </c:pt>
                <c:pt idx="107">
                  <c:v>5.2110000000000003</c:v>
                </c:pt>
                <c:pt idx="108">
                  <c:v>6.609</c:v>
                </c:pt>
                <c:pt idx="109">
                  <c:v>5.452</c:v>
                </c:pt>
                <c:pt idx="110">
                  <c:v>5.0839999999999996</c:v>
                </c:pt>
                <c:pt idx="111">
                  <c:v>6.1639999999999997</c:v>
                </c:pt>
                <c:pt idx="112">
                  <c:v>5.56</c:v>
                </c:pt>
                <c:pt idx="113">
                  <c:v>5.7210000000000001</c:v>
                </c:pt>
                <c:pt idx="114">
                  <c:v>5.8819999999999997</c:v>
                </c:pt>
                <c:pt idx="115">
                  <c:v>5.7510000000000003</c:v>
                </c:pt>
                <c:pt idx="116">
                  <c:v>5.9269999999999996</c:v>
                </c:pt>
                <c:pt idx="117">
                  <c:v>5.6340000000000003</c:v>
                </c:pt>
                <c:pt idx="118">
                  <c:v>5.1479999999999997</c:v>
                </c:pt>
                <c:pt idx="119">
                  <c:v>5.3090000000000002</c:v>
                </c:pt>
                <c:pt idx="120">
                  <c:v>6.8079999999999998</c:v>
                </c:pt>
                <c:pt idx="121">
                  <c:v>5.14</c:v>
                </c:pt>
                <c:pt idx="122">
                  <c:v>5.8659999999999997</c:v>
                </c:pt>
                <c:pt idx="123">
                  <c:v>6.4260000000000002</c:v>
                </c:pt>
                <c:pt idx="124">
                  <c:v>4.915</c:v>
                </c:pt>
                <c:pt idx="125">
                  <c:v>5.0890000000000004</c:v>
                </c:pt>
                <c:pt idx="126">
                  <c:v>6.1040000000000001</c:v>
                </c:pt>
                <c:pt idx="127">
                  <c:v>6.7160000000000002</c:v>
                </c:pt>
              </c:numCache>
            </c:numRef>
          </c:yVal>
        </c:ser>
        <c:ser>
          <c:idx val="1"/>
          <c:order val="1"/>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stacks'!$C$14:$C$141</c:f>
              <c:numCache>
                <c:formatCode>General</c:formatCode>
                <c:ptCount val="128"/>
                <c:pt idx="0">
                  <c:v>7.665</c:v>
                </c:pt>
                <c:pt idx="1">
                  <c:v>5.3609999999999998</c:v>
                </c:pt>
                <c:pt idx="2">
                  <c:v>6.8120000000000003</c:v>
                </c:pt>
                <c:pt idx="3">
                  <c:v>8.7140000000000004</c:v>
                </c:pt>
                <c:pt idx="4">
                  <c:v>6.2080000000000002</c:v>
                </c:pt>
                <c:pt idx="5">
                  <c:v>5.3869999999999996</c:v>
                </c:pt>
                <c:pt idx="6">
                  <c:v>6.4859999999999998</c:v>
                </c:pt>
                <c:pt idx="7">
                  <c:v>6.7569999999999997</c:v>
                </c:pt>
                <c:pt idx="8">
                  <c:v>5.3209999999999997</c:v>
                </c:pt>
                <c:pt idx="9">
                  <c:v>6.2089999999999996</c:v>
                </c:pt>
                <c:pt idx="10">
                  <c:v>6.1120000000000001</c:v>
                </c:pt>
                <c:pt idx="11">
                  <c:v>6.2309999999999999</c:v>
                </c:pt>
                <c:pt idx="12">
                  <c:v>5.5549999999999997</c:v>
                </c:pt>
                <c:pt idx="13">
                  <c:v>6.1440000000000001</c:v>
                </c:pt>
                <c:pt idx="14">
                  <c:v>6.4560000000000004</c:v>
                </c:pt>
                <c:pt idx="15">
                  <c:v>6.0279999999999996</c:v>
                </c:pt>
                <c:pt idx="16">
                  <c:v>5.2409999999999997</c:v>
                </c:pt>
                <c:pt idx="17">
                  <c:v>6.0839999999999996</c:v>
                </c:pt>
                <c:pt idx="18">
                  <c:v>6.6660000000000004</c:v>
                </c:pt>
                <c:pt idx="19">
                  <c:v>5.1180000000000003</c:v>
                </c:pt>
                <c:pt idx="20">
                  <c:v>5.7690000000000001</c:v>
                </c:pt>
                <c:pt idx="21">
                  <c:v>6.4050000000000002</c:v>
                </c:pt>
                <c:pt idx="22">
                  <c:v>5.8730000000000002</c:v>
                </c:pt>
                <c:pt idx="23">
                  <c:v>4.7359999999999998</c:v>
                </c:pt>
                <c:pt idx="24">
                  <c:v>6.46</c:v>
                </c:pt>
                <c:pt idx="25">
                  <c:v>6.3559999999999999</c:v>
                </c:pt>
                <c:pt idx="26">
                  <c:v>6.1189999999999998</c:v>
                </c:pt>
                <c:pt idx="27">
                  <c:v>5.7130000000000001</c:v>
                </c:pt>
                <c:pt idx="28">
                  <c:v>6.3380000000000001</c:v>
                </c:pt>
                <c:pt idx="29">
                  <c:v>6.2910000000000004</c:v>
                </c:pt>
                <c:pt idx="30">
                  <c:v>6.3019999999999996</c:v>
                </c:pt>
                <c:pt idx="31">
                  <c:v>5.625</c:v>
                </c:pt>
                <c:pt idx="32">
                  <c:v>6.2350000000000003</c:v>
                </c:pt>
                <c:pt idx="33">
                  <c:v>6.84</c:v>
                </c:pt>
                <c:pt idx="34">
                  <c:v>4.96</c:v>
                </c:pt>
                <c:pt idx="35">
                  <c:v>6.093</c:v>
                </c:pt>
                <c:pt idx="36">
                  <c:v>6.7169999999999996</c:v>
                </c:pt>
                <c:pt idx="37">
                  <c:v>6.5519999999999996</c:v>
                </c:pt>
                <c:pt idx="38">
                  <c:v>4.7859999999999996</c:v>
                </c:pt>
                <c:pt idx="39">
                  <c:v>6.3639999999999999</c:v>
                </c:pt>
                <c:pt idx="40">
                  <c:v>6.6109999999999998</c:v>
                </c:pt>
                <c:pt idx="41">
                  <c:v>5.3540000000000001</c:v>
                </c:pt>
                <c:pt idx="42">
                  <c:v>5.984</c:v>
                </c:pt>
                <c:pt idx="43">
                  <c:v>6.157</c:v>
                </c:pt>
                <c:pt idx="44">
                  <c:v>6.2759999999999998</c:v>
                </c:pt>
                <c:pt idx="45">
                  <c:v>5.7130000000000001</c:v>
                </c:pt>
                <c:pt idx="46">
                  <c:v>6.0880000000000001</c:v>
                </c:pt>
                <c:pt idx="47">
                  <c:v>6.2789999999999999</c:v>
                </c:pt>
                <c:pt idx="48">
                  <c:v>6.0030000000000001</c:v>
                </c:pt>
                <c:pt idx="49">
                  <c:v>4.9009999999999998</c:v>
                </c:pt>
                <c:pt idx="50">
                  <c:v>6.3659999999999997</c:v>
                </c:pt>
                <c:pt idx="51">
                  <c:v>7.1779999999999999</c:v>
                </c:pt>
                <c:pt idx="52">
                  <c:v>5.1989999999999998</c:v>
                </c:pt>
                <c:pt idx="53">
                  <c:v>5.5060000000000002</c:v>
                </c:pt>
                <c:pt idx="54">
                  <c:v>6.4950000000000001</c:v>
                </c:pt>
                <c:pt idx="55">
                  <c:v>6.0309999999999997</c:v>
                </c:pt>
                <c:pt idx="56">
                  <c:v>4.7389999999999999</c:v>
                </c:pt>
                <c:pt idx="57">
                  <c:v>6.43</c:v>
                </c:pt>
                <c:pt idx="58">
                  <c:v>6.1740000000000004</c:v>
                </c:pt>
                <c:pt idx="59">
                  <c:v>5.7880000000000003</c:v>
                </c:pt>
                <c:pt idx="60">
                  <c:v>5.9029999999999996</c:v>
                </c:pt>
                <c:pt idx="61">
                  <c:v>6.0720000000000001</c:v>
                </c:pt>
                <c:pt idx="62">
                  <c:v>6.0780000000000003</c:v>
                </c:pt>
                <c:pt idx="63">
                  <c:v>5.6909999999999998</c:v>
                </c:pt>
                <c:pt idx="64">
                  <c:v>5.6849999999999996</c:v>
                </c:pt>
                <c:pt idx="65">
                  <c:v>6.0579999999999998</c:v>
                </c:pt>
                <c:pt idx="66">
                  <c:v>6.5090000000000003</c:v>
                </c:pt>
                <c:pt idx="67">
                  <c:v>4.7329999999999997</c:v>
                </c:pt>
                <c:pt idx="68">
                  <c:v>6.2160000000000002</c:v>
                </c:pt>
                <c:pt idx="69">
                  <c:v>6.8070000000000004</c:v>
                </c:pt>
                <c:pt idx="70">
                  <c:v>6.44</c:v>
                </c:pt>
                <c:pt idx="71">
                  <c:v>4.9720000000000004</c:v>
                </c:pt>
                <c:pt idx="72">
                  <c:v>6.45</c:v>
                </c:pt>
                <c:pt idx="73">
                  <c:v>6.3319999999999999</c:v>
                </c:pt>
                <c:pt idx="74">
                  <c:v>4.9610000000000003</c:v>
                </c:pt>
                <c:pt idx="75">
                  <c:v>6.016</c:v>
                </c:pt>
                <c:pt idx="76">
                  <c:v>5.9320000000000004</c:v>
                </c:pt>
                <c:pt idx="77">
                  <c:v>6.2480000000000002</c:v>
                </c:pt>
                <c:pt idx="78">
                  <c:v>5.4180000000000001</c:v>
                </c:pt>
                <c:pt idx="79">
                  <c:v>6.056</c:v>
                </c:pt>
                <c:pt idx="80">
                  <c:v>6.0750000000000002</c:v>
                </c:pt>
                <c:pt idx="81">
                  <c:v>6.3730000000000002</c:v>
                </c:pt>
                <c:pt idx="82">
                  <c:v>4.9539999999999997</c:v>
                </c:pt>
                <c:pt idx="83">
                  <c:v>6.0209999999999999</c:v>
                </c:pt>
                <c:pt idx="84">
                  <c:v>6.7539999999999996</c:v>
                </c:pt>
                <c:pt idx="85">
                  <c:v>4.99</c:v>
                </c:pt>
                <c:pt idx="86">
                  <c:v>5.5529999999999999</c:v>
                </c:pt>
                <c:pt idx="87">
                  <c:v>6.5209999999999999</c:v>
                </c:pt>
                <c:pt idx="88">
                  <c:v>6.0369999999999999</c:v>
                </c:pt>
                <c:pt idx="89">
                  <c:v>4.8209999999999997</c:v>
                </c:pt>
                <c:pt idx="90">
                  <c:v>6.4390000000000001</c:v>
                </c:pt>
                <c:pt idx="91">
                  <c:v>6.0640000000000001</c:v>
                </c:pt>
                <c:pt idx="92">
                  <c:v>6.4080000000000004</c:v>
                </c:pt>
                <c:pt idx="93">
                  <c:v>5.6779999999999999</c:v>
                </c:pt>
                <c:pt idx="94">
                  <c:v>6.4349999999999996</c:v>
                </c:pt>
                <c:pt idx="95">
                  <c:v>6.0469999999999997</c:v>
                </c:pt>
                <c:pt idx="96">
                  <c:v>5.9649999999999999</c:v>
                </c:pt>
                <c:pt idx="97">
                  <c:v>5.5419999999999998</c:v>
                </c:pt>
                <c:pt idx="98">
                  <c:v>5.835</c:v>
                </c:pt>
                <c:pt idx="99">
                  <c:v>6.4989999999999997</c:v>
                </c:pt>
                <c:pt idx="100">
                  <c:v>5</c:v>
                </c:pt>
                <c:pt idx="101">
                  <c:v>6.0090000000000003</c:v>
                </c:pt>
                <c:pt idx="102">
                  <c:v>6.8209999999999997</c:v>
                </c:pt>
                <c:pt idx="103">
                  <c:v>6.9180000000000001</c:v>
                </c:pt>
                <c:pt idx="104">
                  <c:v>5.0090000000000003</c:v>
                </c:pt>
                <c:pt idx="105">
                  <c:v>6.5259999999999998</c:v>
                </c:pt>
                <c:pt idx="106">
                  <c:v>6.5659999999999998</c:v>
                </c:pt>
                <c:pt idx="107">
                  <c:v>4.9980000000000002</c:v>
                </c:pt>
                <c:pt idx="108">
                  <c:v>6.1550000000000002</c:v>
                </c:pt>
                <c:pt idx="109">
                  <c:v>5.9980000000000002</c:v>
                </c:pt>
                <c:pt idx="110">
                  <c:v>6.3479999999999999</c:v>
                </c:pt>
                <c:pt idx="111">
                  <c:v>5.58</c:v>
                </c:pt>
                <c:pt idx="112">
                  <c:v>6.0090000000000003</c:v>
                </c:pt>
                <c:pt idx="113">
                  <c:v>6.1390000000000002</c:v>
                </c:pt>
                <c:pt idx="114">
                  <c:v>6.2619999999999996</c:v>
                </c:pt>
                <c:pt idx="115">
                  <c:v>5.0510000000000002</c:v>
                </c:pt>
                <c:pt idx="116">
                  <c:v>6.149</c:v>
                </c:pt>
                <c:pt idx="117">
                  <c:v>6.96</c:v>
                </c:pt>
                <c:pt idx="118">
                  <c:v>5.0250000000000004</c:v>
                </c:pt>
                <c:pt idx="119">
                  <c:v>5.867</c:v>
                </c:pt>
                <c:pt idx="120">
                  <c:v>6.5960000000000001</c:v>
                </c:pt>
                <c:pt idx="121">
                  <c:v>6.1159999999999997</c:v>
                </c:pt>
                <c:pt idx="122">
                  <c:v>4.8559999999999999</c:v>
                </c:pt>
                <c:pt idx="123">
                  <c:v>6.4039999999999999</c:v>
                </c:pt>
                <c:pt idx="124">
                  <c:v>7.6189999999999998</c:v>
                </c:pt>
                <c:pt idx="125">
                  <c:v>5.5369999999999999</c:v>
                </c:pt>
                <c:pt idx="126">
                  <c:v>6.1289999999999996</c:v>
                </c:pt>
                <c:pt idx="127">
                  <c:v>7.6319999999999997</c:v>
                </c:pt>
              </c:numCache>
            </c:numRef>
          </c:yVal>
        </c:ser>
        <c:axId val="219868160"/>
        <c:axId val="224342784"/>
      </c:scatterChart>
      <c:valAx>
        <c:axId val="219868160"/>
        <c:scaling>
          <c:orientation val="minMax"/>
        </c:scaling>
        <c:axPos val="b"/>
        <c:numFmt formatCode="General" sourceLinked="1"/>
        <c:tickLblPos val="nextTo"/>
        <c:crossAx val="224342784"/>
        <c:crosses val="autoZero"/>
        <c:crossBetween val="midCat"/>
      </c:valAx>
      <c:valAx>
        <c:axId val="224342784"/>
        <c:scaling>
          <c:orientation val="minMax"/>
        </c:scaling>
        <c:axPos val="l"/>
        <c:majorGridlines/>
        <c:numFmt formatCode="General" sourceLinked="1"/>
        <c:tickLblPos val="nextTo"/>
        <c:crossAx val="219868160"/>
        <c:crosses val="autoZero"/>
        <c:crossBetween val="midCat"/>
      </c:valAx>
    </c:plotArea>
    <c:legend>
      <c:legendPos val="r"/>
      <c:layout/>
    </c:legend>
    <c:plotVisOnly val="1"/>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6071741032370933E-2"/>
          <c:y val="5.1400554097404488E-2"/>
          <c:w val="0.71076990376202953"/>
          <c:h val="0.8326195683872849"/>
        </c:manualLayout>
      </c:layout>
      <c:scatterChart>
        <c:scatterStyle val="lineMarker"/>
        <c:ser>
          <c:idx val="0"/>
          <c:order val="0"/>
          <c:tx>
            <c:v>1313 max</c:v>
          </c:tx>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stacks'!$D$14:$D$141</c:f>
              <c:numCache>
                <c:formatCode>General</c:formatCode>
                <c:ptCount val="128"/>
                <c:pt idx="0">
                  <c:v>167</c:v>
                </c:pt>
                <c:pt idx="1">
                  <c:v>146</c:v>
                </c:pt>
                <c:pt idx="2">
                  <c:v>156</c:v>
                </c:pt>
                <c:pt idx="3">
                  <c:v>165</c:v>
                </c:pt>
                <c:pt idx="4">
                  <c:v>156</c:v>
                </c:pt>
                <c:pt idx="5">
                  <c:v>156</c:v>
                </c:pt>
                <c:pt idx="6">
                  <c:v>167</c:v>
                </c:pt>
                <c:pt idx="7">
                  <c:v>157</c:v>
                </c:pt>
                <c:pt idx="8">
                  <c:v>148</c:v>
                </c:pt>
                <c:pt idx="9">
                  <c:v>156</c:v>
                </c:pt>
                <c:pt idx="10">
                  <c:v>158</c:v>
                </c:pt>
                <c:pt idx="11">
                  <c:v>158</c:v>
                </c:pt>
                <c:pt idx="12">
                  <c:v>147</c:v>
                </c:pt>
                <c:pt idx="13">
                  <c:v>156</c:v>
                </c:pt>
                <c:pt idx="14">
                  <c:v>155</c:v>
                </c:pt>
                <c:pt idx="15">
                  <c:v>158</c:v>
                </c:pt>
                <c:pt idx="16">
                  <c:v>147</c:v>
                </c:pt>
                <c:pt idx="17">
                  <c:v>161</c:v>
                </c:pt>
                <c:pt idx="18">
                  <c:v>166</c:v>
                </c:pt>
                <c:pt idx="19">
                  <c:v>157</c:v>
                </c:pt>
                <c:pt idx="20">
                  <c:v>149</c:v>
                </c:pt>
                <c:pt idx="21">
                  <c:v>163</c:v>
                </c:pt>
                <c:pt idx="22">
                  <c:v>153</c:v>
                </c:pt>
                <c:pt idx="23">
                  <c:v>140</c:v>
                </c:pt>
                <c:pt idx="24">
                  <c:v>155</c:v>
                </c:pt>
                <c:pt idx="25">
                  <c:v>159</c:v>
                </c:pt>
                <c:pt idx="26">
                  <c:v>149</c:v>
                </c:pt>
                <c:pt idx="27">
                  <c:v>149</c:v>
                </c:pt>
                <c:pt idx="28">
                  <c:v>152</c:v>
                </c:pt>
                <c:pt idx="29">
                  <c:v>152</c:v>
                </c:pt>
                <c:pt idx="30">
                  <c:v>161</c:v>
                </c:pt>
                <c:pt idx="31">
                  <c:v>156</c:v>
                </c:pt>
                <c:pt idx="32">
                  <c:v>162</c:v>
                </c:pt>
                <c:pt idx="33">
                  <c:v>160</c:v>
                </c:pt>
                <c:pt idx="34">
                  <c:v>144</c:v>
                </c:pt>
                <c:pt idx="35">
                  <c:v>150</c:v>
                </c:pt>
                <c:pt idx="36">
                  <c:v>162</c:v>
                </c:pt>
                <c:pt idx="37">
                  <c:v>155</c:v>
                </c:pt>
                <c:pt idx="38">
                  <c:v>143</c:v>
                </c:pt>
                <c:pt idx="39">
                  <c:v>161</c:v>
                </c:pt>
                <c:pt idx="40">
                  <c:v>157</c:v>
                </c:pt>
                <c:pt idx="41">
                  <c:v>156</c:v>
                </c:pt>
                <c:pt idx="42">
                  <c:v>151</c:v>
                </c:pt>
                <c:pt idx="43">
                  <c:v>159</c:v>
                </c:pt>
                <c:pt idx="44">
                  <c:v>164</c:v>
                </c:pt>
                <c:pt idx="45">
                  <c:v>150</c:v>
                </c:pt>
                <c:pt idx="46">
                  <c:v>151</c:v>
                </c:pt>
                <c:pt idx="47">
                  <c:v>156</c:v>
                </c:pt>
                <c:pt idx="48">
                  <c:v>155</c:v>
                </c:pt>
                <c:pt idx="49">
                  <c:v>149</c:v>
                </c:pt>
                <c:pt idx="50">
                  <c:v>156</c:v>
                </c:pt>
                <c:pt idx="51">
                  <c:v>169</c:v>
                </c:pt>
                <c:pt idx="52">
                  <c:v>146</c:v>
                </c:pt>
                <c:pt idx="53">
                  <c:v>145</c:v>
                </c:pt>
                <c:pt idx="54">
                  <c:v>159</c:v>
                </c:pt>
                <c:pt idx="55">
                  <c:v>152</c:v>
                </c:pt>
                <c:pt idx="56">
                  <c:v>140</c:v>
                </c:pt>
                <c:pt idx="57">
                  <c:v>150</c:v>
                </c:pt>
                <c:pt idx="58">
                  <c:v>156</c:v>
                </c:pt>
                <c:pt idx="59">
                  <c:v>148</c:v>
                </c:pt>
                <c:pt idx="60">
                  <c:v>158</c:v>
                </c:pt>
                <c:pt idx="61">
                  <c:v>158</c:v>
                </c:pt>
                <c:pt idx="62">
                  <c:v>153</c:v>
                </c:pt>
                <c:pt idx="63">
                  <c:v>160</c:v>
                </c:pt>
                <c:pt idx="64">
                  <c:v>148</c:v>
                </c:pt>
                <c:pt idx="65">
                  <c:v>156</c:v>
                </c:pt>
                <c:pt idx="66">
                  <c:v>171</c:v>
                </c:pt>
                <c:pt idx="67">
                  <c:v>137</c:v>
                </c:pt>
                <c:pt idx="68">
                  <c:v>150</c:v>
                </c:pt>
                <c:pt idx="69">
                  <c:v>157</c:v>
                </c:pt>
                <c:pt idx="70">
                  <c:v>150</c:v>
                </c:pt>
                <c:pt idx="71">
                  <c:v>140</c:v>
                </c:pt>
                <c:pt idx="72">
                  <c:v>159</c:v>
                </c:pt>
                <c:pt idx="73">
                  <c:v>153</c:v>
                </c:pt>
                <c:pt idx="74">
                  <c:v>146</c:v>
                </c:pt>
                <c:pt idx="75">
                  <c:v>154</c:v>
                </c:pt>
                <c:pt idx="76">
                  <c:v>155</c:v>
                </c:pt>
                <c:pt idx="77">
                  <c:v>160</c:v>
                </c:pt>
                <c:pt idx="78">
                  <c:v>147</c:v>
                </c:pt>
                <c:pt idx="79">
                  <c:v>148</c:v>
                </c:pt>
                <c:pt idx="80">
                  <c:v>159</c:v>
                </c:pt>
                <c:pt idx="81">
                  <c:v>155</c:v>
                </c:pt>
                <c:pt idx="82">
                  <c:v>146</c:v>
                </c:pt>
                <c:pt idx="83">
                  <c:v>154</c:v>
                </c:pt>
                <c:pt idx="84">
                  <c:v>162</c:v>
                </c:pt>
                <c:pt idx="85">
                  <c:v>145</c:v>
                </c:pt>
                <c:pt idx="86">
                  <c:v>145</c:v>
                </c:pt>
                <c:pt idx="87">
                  <c:v>160</c:v>
                </c:pt>
                <c:pt idx="88">
                  <c:v>152</c:v>
                </c:pt>
                <c:pt idx="89">
                  <c:v>138</c:v>
                </c:pt>
                <c:pt idx="90">
                  <c:v>156</c:v>
                </c:pt>
                <c:pt idx="91">
                  <c:v>158</c:v>
                </c:pt>
                <c:pt idx="92">
                  <c:v>151</c:v>
                </c:pt>
                <c:pt idx="93">
                  <c:v>150</c:v>
                </c:pt>
                <c:pt idx="94">
                  <c:v>150</c:v>
                </c:pt>
                <c:pt idx="95">
                  <c:v>159</c:v>
                </c:pt>
                <c:pt idx="96">
                  <c:v>154</c:v>
                </c:pt>
                <c:pt idx="97">
                  <c:v>145</c:v>
                </c:pt>
                <c:pt idx="98">
                  <c:v>154</c:v>
                </c:pt>
                <c:pt idx="99">
                  <c:v>160</c:v>
                </c:pt>
                <c:pt idx="100">
                  <c:v>137</c:v>
                </c:pt>
                <c:pt idx="101">
                  <c:v>147</c:v>
                </c:pt>
                <c:pt idx="102">
                  <c:v>164</c:v>
                </c:pt>
                <c:pt idx="103">
                  <c:v>151</c:v>
                </c:pt>
                <c:pt idx="104">
                  <c:v>151</c:v>
                </c:pt>
                <c:pt idx="105">
                  <c:v>160</c:v>
                </c:pt>
                <c:pt idx="106">
                  <c:v>163</c:v>
                </c:pt>
                <c:pt idx="107">
                  <c:v>156</c:v>
                </c:pt>
                <c:pt idx="108">
                  <c:v>158</c:v>
                </c:pt>
                <c:pt idx="109">
                  <c:v>155</c:v>
                </c:pt>
                <c:pt idx="110">
                  <c:v>159</c:v>
                </c:pt>
                <c:pt idx="111">
                  <c:v>154</c:v>
                </c:pt>
                <c:pt idx="112">
                  <c:v>157</c:v>
                </c:pt>
                <c:pt idx="113">
                  <c:v>168</c:v>
                </c:pt>
                <c:pt idx="114">
                  <c:v>160</c:v>
                </c:pt>
                <c:pt idx="115">
                  <c:v>143</c:v>
                </c:pt>
                <c:pt idx="116">
                  <c:v>166</c:v>
                </c:pt>
                <c:pt idx="117">
                  <c:v>164</c:v>
                </c:pt>
                <c:pt idx="118">
                  <c:v>149</c:v>
                </c:pt>
                <c:pt idx="119">
                  <c:v>147</c:v>
                </c:pt>
                <c:pt idx="120">
                  <c:v>164</c:v>
                </c:pt>
                <c:pt idx="121">
                  <c:v>153</c:v>
                </c:pt>
                <c:pt idx="122">
                  <c:v>135</c:v>
                </c:pt>
                <c:pt idx="123">
                  <c:v>166</c:v>
                </c:pt>
                <c:pt idx="124">
                  <c:v>156</c:v>
                </c:pt>
                <c:pt idx="125">
                  <c:v>151</c:v>
                </c:pt>
                <c:pt idx="126">
                  <c:v>154</c:v>
                </c:pt>
                <c:pt idx="127">
                  <c:v>151</c:v>
                </c:pt>
              </c:numCache>
            </c:numRef>
          </c:yVal>
        </c:ser>
        <c:ser>
          <c:idx val="1"/>
          <c:order val="1"/>
          <c:tx>
            <c:v>corr. max</c:v>
          </c:tx>
          <c:spPr>
            <a:ln w="28575">
              <a:noFill/>
            </a:ln>
          </c:spPr>
          <c:marker>
            <c:symbol val="square"/>
            <c:size val="3"/>
          </c:marke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stacks'!$E$14:$E$141</c:f>
              <c:numCache>
                <c:formatCode>General</c:formatCode>
                <c:ptCount val="128"/>
                <c:pt idx="0">
                  <c:v>168</c:v>
                </c:pt>
                <c:pt idx="1">
                  <c:v>146</c:v>
                </c:pt>
                <c:pt idx="2">
                  <c:v>156</c:v>
                </c:pt>
                <c:pt idx="3">
                  <c:v>163</c:v>
                </c:pt>
                <c:pt idx="4">
                  <c:v>159</c:v>
                </c:pt>
                <c:pt idx="5">
                  <c:v>156</c:v>
                </c:pt>
                <c:pt idx="6">
                  <c:v>167</c:v>
                </c:pt>
                <c:pt idx="7">
                  <c:v>163</c:v>
                </c:pt>
                <c:pt idx="8">
                  <c:v>150</c:v>
                </c:pt>
                <c:pt idx="9">
                  <c:v>158</c:v>
                </c:pt>
                <c:pt idx="10">
                  <c:v>156</c:v>
                </c:pt>
                <c:pt idx="11">
                  <c:v>158</c:v>
                </c:pt>
                <c:pt idx="12">
                  <c:v>147</c:v>
                </c:pt>
                <c:pt idx="13">
                  <c:v>154</c:v>
                </c:pt>
                <c:pt idx="14">
                  <c:v>155</c:v>
                </c:pt>
                <c:pt idx="15">
                  <c:v>160</c:v>
                </c:pt>
                <c:pt idx="16">
                  <c:v>147</c:v>
                </c:pt>
                <c:pt idx="17">
                  <c:v>151</c:v>
                </c:pt>
                <c:pt idx="18">
                  <c:v>164</c:v>
                </c:pt>
                <c:pt idx="19">
                  <c:v>157</c:v>
                </c:pt>
                <c:pt idx="20">
                  <c:v>149</c:v>
                </c:pt>
                <c:pt idx="21">
                  <c:v>163</c:v>
                </c:pt>
                <c:pt idx="22">
                  <c:v>159</c:v>
                </c:pt>
                <c:pt idx="23">
                  <c:v>140</c:v>
                </c:pt>
                <c:pt idx="24">
                  <c:v>153</c:v>
                </c:pt>
                <c:pt idx="25">
                  <c:v>158</c:v>
                </c:pt>
                <c:pt idx="26">
                  <c:v>160</c:v>
                </c:pt>
                <c:pt idx="27">
                  <c:v>159</c:v>
                </c:pt>
                <c:pt idx="28">
                  <c:v>152</c:v>
                </c:pt>
                <c:pt idx="29">
                  <c:v>156</c:v>
                </c:pt>
                <c:pt idx="30">
                  <c:v>155</c:v>
                </c:pt>
                <c:pt idx="31">
                  <c:v>156</c:v>
                </c:pt>
                <c:pt idx="32">
                  <c:v>153</c:v>
                </c:pt>
                <c:pt idx="33">
                  <c:v>175</c:v>
                </c:pt>
                <c:pt idx="34">
                  <c:v>139</c:v>
                </c:pt>
                <c:pt idx="35">
                  <c:v>150</c:v>
                </c:pt>
                <c:pt idx="36">
                  <c:v>161</c:v>
                </c:pt>
                <c:pt idx="37">
                  <c:v>154</c:v>
                </c:pt>
                <c:pt idx="38">
                  <c:v>143</c:v>
                </c:pt>
                <c:pt idx="39">
                  <c:v>168</c:v>
                </c:pt>
                <c:pt idx="40">
                  <c:v>157</c:v>
                </c:pt>
                <c:pt idx="41">
                  <c:v>156</c:v>
                </c:pt>
                <c:pt idx="42">
                  <c:v>150</c:v>
                </c:pt>
                <c:pt idx="43">
                  <c:v>159</c:v>
                </c:pt>
                <c:pt idx="44">
                  <c:v>156</c:v>
                </c:pt>
                <c:pt idx="45">
                  <c:v>150</c:v>
                </c:pt>
                <c:pt idx="46">
                  <c:v>152</c:v>
                </c:pt>
                <c:pt idx="47">
                  <c:v>156</c:v>
                </c:pt>
                <c:pt idx="48">
                  <c:v>156</c:v>
                </c:pt>
                <c:pt idx="49">
                  <c:v>149</c:v>
                </c:pt>
                <c:pt idx="50">
                  <c:v>156</c:v>
                </c:pt>
                <c:pt idx="51">
                  <c:v>174</c:v>
                </c:pt>
                <c:pt idx="52">
                  <c:v>145</c:v>
                </c:pt>
                <c:pt idx="53">
                  <c:v>148</c:v>
                </c:pt>
                <c:pt idx="54">
                  <c:v>159</c:v>
                </c:pt>
                <c:pt idx="55">
                  <c:v>154</c:v>
                </c:pt>
                <c:pt idx="56">
                  <c:v>137</c:v>
                </c:pt>
                <c:pt idx="57">
                  <c:v>153</c:v>
                </c:pt>
                <c:pt idx="58">
                  <c:v>156</c:v>
                </c:pt>
                <c:pt idx="59">
                  <c:v>151</c:v>
                </c:pt>
                <c:pt idx="60">
                  <c:v>158</c:v>
                </c:pt>
                <c:pt idx="61">
                  <c:v>150</c:v>
                </c:pt>
                <c:pt idx="62">
                  <c:v>155</c:v>
                </c:pt>
                <c:pt idx="63">
                  <c:v>160</c:v>
                </c:pt>
                <c:pt idx="64">
                  <c:v>149</c:v>
                </c:pt>
                <c:pt idx="65">
                  <c:v>150</c:v>
                </c:pt>
                <c:pt idx="66">
                  <c:v>170</c:v>
                </c:pt>
                <c:pt idx="67">
                  <c:v>137</c:v>
                </c:pt>
                <c:pt idx="68">
                  <c:v>150</c:v>
                </c:pt>
                <c:pt idx="69">
                  <c:v>154</c:v>
                </c:pt>
                <c:pt idx="70">
                  <c:v>151</c:v>
                </c:pt>
                <c:pt idx="71">
                  <c:v>142</c:v>
                </c:pt>
                <c:pt idx="72">
                  <c:v>156</c:v>
                </c:pt>
                <c:pt idx="73">
                  <c:v>159</c:v>
                </c:pt>
                <c:pt idx="74">
                  <c:v>161</c:v>
                </c:pt>
                <c:pt idx="75">
                  <c:v>158</c:v>
                </c:pt>
                <c:pt idx="76">
                  <c:v>151</c:v>
                </c:pt>
                <c:pt idx="77">
                  <c:v>164</c:v>
                </c:pt>
                <c:pt idx="78">
                  <c:v>147</c:v>
                </c:pt>
                <c:pt idx="79">
                  <c:v>147</c:v>
                </c:pt>
                <c:pt idx="80">
                  <c:v>153</c:v>
                </c:pt>
                <c:pt idx="81">
                  <c:v>156</c:v>
                </c:pt>
                <c:pt idx="82">
                  <c:v>146</c:v>
                </c:pt>
                <c:pt idx="83">
                  <c:v>155</c:v>
                </c:pt>
                <c:pt idx="84">
                  <c:v>166</c:v>
                </c:pt>
                <c:pt idx="85">
                  <c:v>145</c:v>
                </c:pt>
                <c:pt idx="86">
                  <c:v>150</c:v>
                </c:pt>
                <c:pt idx="87">
                  <c:v>158</c:v>
                </c:pt>
                <c:pt idx="88">
                  <c:v>153</c:v>
                </c:pt>
                <c:pt idx="89">
                  <c:v>138</c:v>
                </c:pt>
                <c:pt idx="90">
                  <c:v>162</c:v>
                </c:pt>
                <c:pt idx="91">
                  <c:v>158</c:v>
                </c:pt>
                <c:pt idx="92">
                  <c:v>152</c:v>
                </c:pt>
                <c:pt idx="93">
                  <c:v>153</c:v>
                </c:pt>
                <c:pt idx="94">
                  <c:v>153</c:v>
                </c:pt>
                <c:pt idx="95">
                  <c:v>161</c:v>
                </c:pt>
                <c:pt idx="96">
                  <c:v>156</c:v>
                </c:pt>
                <c:pt idx="97">
                  <c:v>145</c:v>
                </c:pt>
                <c:pt idx="98">
                  <c:v>150</c:v>
                </c:pt>
                <c:pt idx="99">
                  <c:v>164</c:v>
                </c:pt>
                <c:pt idx="100">
                  <c:v>138</c:v>
                </c:pt>
                <c:pt idx="101">
                  <c:v>149</c:v>
                </c:pt>
                <c:pt idx="102">
                  <c:v>164</c:v>
                </c:pt>
                <c:pt idx="103">
                  <c:v>149</c:v>
                </c:pt>
                <c:pt idx="104">
                  <c:v>151</c:v>
                </c:pt>
                <c:pt idx="105">
                  <c:v>157</c:v>
                </c:pt>
                <c:pt idx="106">
                  <c:v>169</c:v>
                </c:pt>
                <c:pt idx="107">
                  <c:v>156</c:v>
                </c:pt>
                <c:pt idx="108">
                  <c:v>158</c:v>
                </c:pt>
                <c:pt idx="109">
                  <c:v>155</c:v>
                </c:pt>
                <c:pt idx="110">
                  <c:v>162</c:v>
                </c:pt>
                <c:pt idx="111">
                  <c:v>154</c:v>
                </c:pt>
                <c:pt idx="112">
                  <c:v>157</c:v>
                </c:pt>
                <c:pt idx="113">
                  <c:v>168</c:v>
                </c:pt>
                <c:pt idx="114">
                  <c:v>160</c:v>
                </c:pt>
                <c:pt idx="115">
                  <c:v>141</c:v>
                </c:pt>
                <c:pt idx="116">
                  <c:v>152</c:v>
                </c:pt>
                <c:pt idx="117">
                  <c:v>168</c:v>
                </c:pt>
                <c:pt idx="118">
                  <c:v>149</c:v>
                </c:pt>
                <c:pt idx="119">
                  <c:v>147</c:v>
                </c:pt>
                <c:pt idx="120">
                  <c:v>164</c:v>
                </c:pt>
                <c:pt idx="121">
                  <c:v>161</c:v>
                </c:pt>
                <c:pt idx="122">
                  <c:v>140</c:v>
                </c:pt>
                <c:pt idx="123">
                  <c:v>166</c:v>
                </c:pt>
                <c:pt idx="124">
                  <c:v>153</c:v>
                </c:pt>
                <c:pt idx="125">
                  <c:v>151</c:v>
                </c:pt>
                <c:pt idx="126">
                  <c:v>155</c:v>
                </c:pt>
                <c:pt idx="127">
                  <c:v>151</c:v>
                </c:pt>
              </c:numCache>
            </c:numRef>
          </c:yVal>
        </c:ser>
        <c:ser>
          <c:idx val="2"/>
          <c:order val="2"/>
          <c:tx>
            <c:v>1313 min</c:v>
          </c:tx>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stacks'!$F$14:$F$141</c:f>
              <c:numCache>
                <c:formatCode>General</c:formatCode>
                <c:ptCount val="128"/>
                <c:pt idx="0">
                  <c:v>95</c:v>
                </c:pt>
                <c:pt idx="1">
                  <c:v>80</c:v>
                </c:pt>
                <c:pt idx="2">
                  <c:v>70</c:v>
                </c:pt>
                <c:pt idx="3">
                  <c:v>76</c:v>
                </c:pt>
                <c:pt idx="4">
                  <c:v>92</c:v>
                </c:pt>
                <c:pt idx="5">
                  <c:v>88</c:v>
                </c:pt>
                <c:pt idx="6">
                  <c:v>96</c:v>
                </c:pt>
                <c:pt idx="7">
                  <c:v>98</c:v>
                </c:pt>
                <c:pt idx="8">
                  <c:v>86</c:v>
                </c:pt>
                <c:pt idx="9">
                  <c:v>86</c:v>
                </c:pt>
                <c:pt idx="10">
                  <c:v>96</c:v>
                </c:pt>
                <c:pt idx="11">
                  <c:v>98</c:v>
                </c:pt>
                <c:pt idx="12">
                  <c:v>79</c:v>
                </c:pt>
                <c:pt idx="13">
                  <c:v>94</c:v>
                </c:pt>
                <c:pt idx="14">
                  <c:v>98</c:v>
                </c:pt>
                <c:pt idx="15">
                  <c:v>85</c:v>
                </c:pt>
                <c:pt idx="16">
                  <c:v>73</c:v>
                </c:pt>
                <c:pt idx="17">
                  <c:v>87</c:v>
                </c:pt>
                <c:pt idx="18">
                  <c:v>86</c:v>
                </c:pt>
                <c:pt idx="19">
                  <c:v>88</c:v>
                </c:pt>
                <c:pt idx="20">
                  <c:v>88</c:v>
                </c:pt>
                <c:pt idx="21">
                  <c:v>85</c:v>
                </c:pt>
                <c:pt idx="22">
                  <c:v>91</c:v>
                </c:pt>
                <c:pt idx="23">
                  <c:v>76</c:v>
                </c:pt>
                <c:pt idx="24">
                  <c:v>82</c:v>
                </c:pt>
                <c:pt idx="25">
                  <c:v>85</c:v>
                </c:pt>
                <c:pt idx="26">
                  <c:v>89</c:v>
                </c:pt>
                <c:pt idx="27">
                  <c:v>74</c:v>
                </c:pt>
                <c:pt idx="28">
                  <c:v>91</c:v>
                </c:pt>
                <c:pt idx="29">
                  <c:v>91</c:v>
                </c:pt>
                <c:pt idx="30">
                  <c:v>80</c:v>
                </c:pt>
                <c:pt idx="31">
                  <c:v>80</c:v>
                </c:pt>
                <c:pt idx="32">
                  <c:v>94</c:v>
                </c:pt>
                <c:pt idx="33">
                  <c:v>92</c:v>
                </c:pt>
                <c:pt idx="34">
                  <c:v>75</c:v>
                </c:pt>
                <c:pt idx="35">
                  <c:v>88</c:v>
                </c:pt>
                <c:pt idx="36">
                  <c:v>90</c:v>
                </c:pt>
                <c:pt idx="37">
                  <c:v>88</c:v>
                </c:pt>
                <c:pt idx="38">
                  <c:v>79</c:v>
                </c:pt>
                <c:pt idx="39">
                  <c:v>90</c:v>
                </c:pt>
                <c:pt idx="40">
                  <c:v>95</c:v>
                </c:pt>
                <c:pt idx="41">
                  <c:v>82</c:v>
                </c:pt>
                <c:pt idx="42">
                  <c:v>79</c:v>
                </c:pt>
                <c:pt idx="43">
                  <c:v>91</c:v>
                </c:pt>
                <c:pt idx="44">
                  <c:v>89</c:v>
                </c:pt>
                <c:pt idx="45">
                  <c:v>79</c:v>
                </c:pt>
                <c:pt idx="46">
                  <c:v>85</c:v>
                </c:pt>
                <c:pt idx="47">
                  <c:v>78</c:v>
                </c:pt>
                <c:pt idx="48">
                  <c:v>86</c:v>
                </c:pt>
                <c:pt idx="49">
                  <c:v>78</c:v>
                </c:pt>
                <c:pt idx="50">
                  <c:v>81</c:v>
                </c:pt>
                <c:pt idx="51">
                  <c:v>82</c:v>
                </c:pt>
                <c:pt idx="52">
                  <c:v>85</c:v>
                </c:pt>
                <c:pt idx="53">
                  <c:v>76</c:v>
                </c:pt>
                <c:pt idx="54">
                  <c:v>86</c:v>
                </c:pt>
                <c:pt idx="55">
                  <c:v>89</c:v>
                </c:pt>
                <c:pt idx="56">
                  <c:v>80</c:v>
                </c:pt>
                <c:pt idx="57">
                  <c:v>79</c:v>
                </c:pt>
                <c:pt idx="58">
                  <c:v>89</c:v>
                </c:pt>
                <c:pt idx="59">
                  <c:v>76</c:v>
                </c:pt>
                <c:pt idx="60">
                  <c:v>67</c:v>
                </c:pt>
                <c:pt idx="61">
                  <c:v>93</c:v>
                </c:pt>
                <c:pt idx="62">
                  <c:v>90</c:v>
                </c:pt>
                <c:pt idx="63">
                  <c:v>82</c:v>
                </c:pt>
                <c:pt idx="64">
                  <c:v>84</c:v>
                </c:pt>
                <c:pt idx="65">
                  <c:v>96</c:v>
                </c:pt>
                <c:pt idx="66">
                  <c:v>88</c:v>
                </c:pt>
                <c:pt idx="67">
                  <c:v>78</c:v>
                </c:pt>
                <c:pt idx="68">
                  <c:v>83</c:v>
                </c:pt>
                <c:pt idx="69">
                  <c:v>87</c:v>
                </c:pt>
                <c:pt idx="70">
                  <c:v>86</c:v>
                </c:pt>
                <c:pt idx="71">
                  <c:v>76</c:v>
                </c:pt>
                <c:pt idx="72">
                  <c:v>90</c:v>
                </c:pt>
                <c:pt idx="73">
                  <c:v>91</c:v>
                </c:pt>
                <c:pt idx="74">
                  <c:v>81</c:v>
                </c:pt>
                <c:pt idx="75">
                  <c:v>84</c:v>
                </c:pt>
                <c:pt idx="76">
                  <c:v>96</c:v>
                </c:pt>
                <c:pt idx="77">
                  <c:v>92</c:v>
                </c:pt>
                <c:pt idx="78">
                  <c:v>76</c:v>
                </c:pt>
                <c:pt idx="79">
                  <c:v>81</c:v>
                </c:pt>
                <c:pt idx="80">
                  <c:v>91</c:v>
                </c:pt>
                <c:pt idx="81">
                  <c:v>78</c:v>
                </c:pt>
                <c:pt idx="82">
                  <c:v>79</c:v>
                </c:pt>
                <c:pt idx="83">
                  <c:v>91</c:v>
                </c:pt>
                <c:pt idx="84">
                  <c:v>89</c:v>
                </c:pt>
                <c:pt idx="85">
                  <c:v>85</c:v>
                </c:pt>
                <c:pt idx="86">
                  <c:v>88</c:v>
                </c:pt>
                <c:pt idx="87">
                  <c:v>87</c:v>
                </c:pt>
                <c:pt idx="88">
                  <c:v>93</c:v>
                </c:pt>
                <c:pt idx="89">
                  <c:v>78</c:v>
                </c:pt>
                <c:pt idx="90">
                  <c:v>82</c:v>
                </c:pt>
                <c:pt idx="91">
                  <c:v>93</c:v>
                </c:pt>
                <c:pt idx="92">
                  <c:v>86</c:v>
                </c:pt>
                <c:pt idx="93">
                  <c:v>73</c:v>
                </c:pt>
                <c:pt idx="94">
                  <c:v>89</c:v>
                </c:pt>
                <c:pt idx="95">
                  <c:v>95</c:v>
                </c:pt>
                <c:pt idx="96">
                  <c:v>76</c:v>
                </c:pt>
                <c:pt idx="97">
                  <c:v>82</c:v>
                </c:pt>
                <c:pt idx="98">
                  <c:v>96</c:v>
                </c:pt>
                <c:pt idx="99">
                  <c:v>88</c:v>
                </c:pt>
                <c:pt idx="100">
                  <c:v>77</c:v>
                </c:pt>
                <c:pt idx="101">
                  <c:v>87</c:v>
                </c:pt>
                <c:pt idx="102">
                  <c:v>89</c:v>
                </c:pt>
                <c:pt idx="103">
                  <c:v>92</c:v>
                </c:pt>
                <c:pt idx="104">
                  <c:v>78</c:v>
                </c:pt>
                <c:pt idx="105">
                  <c:v>91</c:v>
                </c:pt>
                <c:pt idx="106">
                  <c:v>97</c:v>
                </c:pt>
                <c:pt idx="107">
                  <c:v>86</c:v>
                </c:pt>
                <c:pt idx="108">
                  <c:v>81</c:v>
                </c:pt>
                <c:pt idx="109">
                  <c:v>98</c:v>
                </c:pt>
                <c:pt idx="110">
                  <c:v>96</c:v>
                </c:pt>
                <c:pt idx="111">
                  <c:v>69</c:v>
                </c:pt>
                <c:pt idx="112">
                  <c:v>83</c:v>
                </c:pt>
                <c:pt idx="113">
                  <c:v>92</c:v>
                </c:pt>
                <c:pt idx="114">
                  <c:v>81</c:v>
                </c:pt>
                <c:pt idx="115">
                  <c:v>81</c:v>
                </c:pt>
                <c:pt idx="116">
                  <c:v>88</c:v>
                </c:pt>
                <c:pt idx="117">
                  <c:v>92</c:v>
                </c:pt>
                <c:pt idx="118">
                  <c:v>84</c:v>
                </c:pt>
                <c:pt idx="119">
                  <c:v>87</c:v>
                </c:pt>
                <c:pt idx="120">
                  <c:v>80</c:v>
                </c:pt>
                <c:pt idx="121">
                  <c:v>90</c:v>
                </c:pt>
                <c:pt idx="122">
                  <c:v>73</c:v>
                </c:pt>
                <c:pt idx="123">
                  <c:v>84</c:v>
                </c:pt>
                <c:pt idx="124">
                  <c:v>95</c:v>
                </c:pt>
                <c:pt idx="125">
                  <c:v>86</c:v>
                </c:pt>
                <c:pt idx="126">
                  <c:v>76</c:v>
                </c:pt>
                <c:pt idx="127">
                  <c:v>80</c:v>
                </c:pt>
              </c:numCache>
            </c:numRef>
          </c:yVal>
        </c:ser>
        <c:ser>
          <c:idx val="3"/>
          <c:order val="3"/>
          <c:tx>
            <c:v>corr. min</c:v>
          </c:tx>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stacks'!$G$14:$G$141</c:f>
              <c:numCache>
                <c:formatCode>General</c:formatCode>
                <c:ptCount val="128"/>
                <c:pt idx="0">
                  <c:v>77</c:v>
                </c:pt>
                <c:pt idx="1">
                  <c:v>86</c:v>
                </c:pt>
                <c:pt idx="2">
                  <c:v>70</c:v>
                </c:pt>
                <c:pt idx="3">
                  <c:v>73</c:v>
                </c:pt>
                <c:pt idx="4">
                  <c:v>87</c:v>
                </c:pt>
                <c:pt idx="5">
                  <c:v>83</c:v>
                </c:pt>
                <c:pt idx="6">
                  <c:v>83</c:v>
                </c:pt>
                <c:pt idx="7">
                  <c:v>82</c:v>
                </c:pt>
                <c:pt idx="8">
                  <c:v>89</c:v>
                </c:pt>
                <c:pt idx="9">
                  <c:v>80</c:v>
                </c:pt>
                <c:pt idx="10">
                  <c:v>86</c:v>
                </c:pt>
                <c:pt idx="11">
                  <c:v>81</c:v>
                </c:pt>
                <c:pt idx="12">
                  <c:v>83</c:v>
                </c:pt>
                <c:pt idx="13">
                  <c:v>82</c:v>
                </c:pt>
                <c:pt idx="14">
                  <c:v>79</c:v>
                </c:pt>
                <c:pt idx="15">
                  <c:v>81</c:v>
                </c:pt>
                <c:pt idx="16">
                  <c:v>73</c:v>
                </c:pt>
                <c:pt idx="17">
                  <c:v>79</c:v>
                </c:pt>
                <c:pt idx="18">
                  <c:v>77</c:v>
                </c:pt>
                <c:pt idx="19">
                  <c:v>86</c:v>
                </c:pt>
                <c:pt idx="20">
                  <c:v>82</c:v>
                </c:pt>
                <c:pt idx="21">
                  <c:v>80</c:v>
                </c:pt>
                <c:pt idx="22">
                  <c:v>80</c:v>
                </c:pt>
                <c:pt idx="23">
                  <c:v>83</c:v>
                </c:pt>
                <c:pt idx="24">
                  <c:v>71</c:v>
                </c:pt>
                <c:pt idx="25">
                  <c:v>81</c:v>
                </c:pt>
                <c:pt idx="26">
                  <c:v>85</c:v>
                </c:pt>
                <c:pt idx="27">
                  <c:v>76</c:v>
                </c:pt>
                <c:pt idx="28">
                  <c:v>76</c:v>
                </c:pt>
                <c:pt idx="29">
                  <c:v>78</c:v>
                </c:pt>
                <c:pt idx="30">
                  <c:v>81</c:v>
                </c:pt>
                <c:pt idx="31">
                  <c:v>76</c:v>
                </c:pt>
                <c:pt idx="32">
                  <c:v>80</c:v>
                </c:pt>
                <c:pt idx="33">
                  <c:v>78</c:v>
                </c:pt>
                <c:pt idx="34">
                  <c:v>85</c:v>
                </c:pt>
                <c:pt idx="35">
                  <c:v>79</c:v>
                </c:pt>
                <c:pt idx="36">
                  <c:v>78</c:v>
                </c:pt>
                <c:pt idx="37">
                  <c:v>83</c:v>
                </c:pt>
                <c:pt idx="38">
                  <c:v>78</c:v>
                </c:pt>
                <c:pt idx="39">
                  <c:v>77</c:v>
                </c:pt>
                <c:pt idx="40">
                  <c:v>79</c:v>
                </c:pt>
                <c:pt idx="41">
                  <c:v>81</c:v>
                </c:pt>
                <c:pt idx="42">
                  <c:v>73</c:v>
                </c:pt>
                <c:pt idx="43">
                  <c:v>80</c:v>
                </c:pt>
                <c:pt idx="44">
                  <c:v>81</c:v>
                </c:pt>
                <c:pt idx="45">
                  <c:v>79</c:v>
                </c:pt>
                <c:pt idx="46">
                  <c:v>79</c:v>
                </c:pt>
                <c:pt idx="47">
                  <c:v>77</c:v>
                </c:pt>
                <c:pt idx="48">
                  <c:v>69</c:v>
                </c:pt>
                <c:pt idx="49">
                  <c:v>76</c:v>
                </c:pt>
                <c:pt idx="50">
                  <c:v>73</c:v>
                </c:pt>
                <c:pt idx="51">
                  <c:v>69</c:v>
                </c:pt>
                <c:pt idx="52">
                  <c:v>83</c:v>
                </c:pt>
                <c:pt idx="53">
                  <c:v>79</c:v>
                </c:pt>
                <c:pt idx="54">
                  <c:v>76</c:v>
                </c:pt>
                <c:pt idx="55">
                  <c:v>77</c:v>
                </c:pt>
                <c:pt idx="56">
                  <c:v>79</c:v>
                </c:pt>
                <c:pt idx="57">
                  <c:v>71</c:v>
                </c:pt>
                <c:pt idx="58">
                  <c:v>78</c:v>
                </c:pt>
                <c:pt idx="59">
                  <c:v>80</c:v>
                </c:pt>
                <c:pt idx="60">
                  <c:v>67</c:v>
                </c:pt>
                <c:pt idx="61">
                  <c:v>70</c:v>
                </c:pt>
                <c:pt idx="62">
                  <c:v>79</c:v>
                </c:pt>
                <c:pt idx="63">
                  <c:v>84</c:v>
                </c:pt>
                <c:pt idx="64">
                  <c:v>76</c:v>
                </c:pt>
                <c:pt idx="65">
                  <c:v>80</c:v>
                </c:pt>
                <c:pt idx="66">
                  <c:v>78</c:v>
                </c:pt>
                <c:pt idx="67">
                  <c:v>80</c:v>
                </c:pt>
                <c:pt idx="68">
                  <c:v>76</c:v>
                </c:pt>
                <c:pt idx="69">
                  <c:v>73</c:v>
                </c:pt>
                <c:pt idx="70">
                  <c:v>80</c:v>
                </c:pt>
                <c:pt idx="71">
                  <c:v>77</c:v>
                </c:pt>
                <c:pt idx="72">
                  <c:v>77</c:v>
                </c:pt>
                <c:pt idx="73">
                  <c:v>80</c:v>
                </c:pt>
                <c:pt idx="74">
                  <c:v>88</c:v>
                </c:pt>
                <c:pt idx="75">
                  <c:v>77</c:v>
                </c:pt>
                <c:pt idx="76">
                  <c:v>84</c:v>
                </c:pt>
                <c:pt idx="77">
                  <c:v>81</c:v>
                </c:pt>
                <c:pt idx="78">
                  <c:v>76</c:v>
                </c:pt>
                <c:pt idx="79">
                  <c:v>77</c:v>
                </c:pt>
                <c:pt idx="80">
                  <c:v>77</c:v>
                </c:pt>
                <c:pt idx="81">
                  <c:v>74</c:v>
                </c:pt>
                <c:pt idx="82">
                  <c:v>77</c:v>
                </c:pt>
                <c:pt idx="83">
                  <c:v>81</c:v>
                </c:pt>
                <c:pt idx="84">
                  <c:v>75</c:v>
                </c:pt>
                <c:pt idx="85">
                  <c:v>87</c:v>
                </c:pt>
                <c:pt idx="86">
                  <c:v>79</c:v>
                </c:pt>
                <c:pt idx="87">
                  <c:v>66</c:v>
                </c:pt>
                <c:pt idx="88">
                  <c:v>81</c:v>
                </c:pt>
                <c:pt idx="89">
                  <c:v>78</c:v>
                </c:pt>
                <c:pt idx="90">
                  <c:v>74</c:v>
                </c:pt>
                <c:pt idx="91">
                  <c:v>83</c:v>
                </c:pt>
                <c:pt idx="92">
                  <c:v>81</c:v>
                </c:pt>
                <c:pt idx="93">
                  <c:v>71</c:v>
                </c:pt>
                <c:pt idx="94">
                  <c:v>77</c:v>
                </c:pt>
                <c:pt idx="95">
                  <c:v>78</c:v>
                </c:pt>
                <c:pt idx="96">
                  <c:v>86</c:v>
                </c:pt>
                <c:pt idx="97">
                  <c:v>78</c:v>
                </c:pt>
                <c:pt idx="98">
                  <c:v>79</c:v>
                </c:pt>
                <c:pt idx="99">
                  <c:v>78</c:v>
                </c:pt>
                <c:pt idx="100">
                  <c:v>83</c:v>
                </c:pt>
                <c:pt idx="101">
                  <c:v>78</c:v>
                </c:pt>
                <c:pt idx="102">
                  <c:v>76</c:v>
                </c:pt>
                <c:pt idx="103">
                  <c:v>82</c:v>
                </c:pt>
                <c:pt idx="104">
                  <c:v>77</c:v>
                </c:pt>
                <c:pt idx="105">
                  <c:v>76</c:v>
                </c:pt>
                <c:pt idx="106">
                  <c:v>81</c:v>
                </c:pt>
                <c:pt idx="107">
                  <c:v>89</c:v>
                </c:pt>
                <c:pt idx="108">
                  <c:v>72</c:v>
                </c:pt>
                <c:pt idx="109">
                  <c:v>79</c:v>
                </c:pt>
                <c:pt idx="110">
                  <c:v>79</c:v>
                </c:pt>
                <c:pt idx="111">
                  <c:v>69</c:v>
                </c:pt>
                <c:pt idx="112">
                  <c:v>79</c:v>
                </c:pt>
                <c:pt idx="113">
                  <c:v>76</c:v>
                </c:pt>
                <c:pt idx="114">
                  <c:v>79</c:v>
                </c:pt>
                <c:pt idx="115">
                  <c:v>75</c:v>
                </c:pt>
                <c:pt idx="116">
                  <c:v>80</c:v>
                </c:pt>
                <c:pt idx="117">
                  <c:v>75</c:v>
                </c:pt>
                <c:pt idx="118">
                  <c:v>84</c:v>
                </c:pt>
                <c:pt idx="119">
                  <c:v>79</c:v>
                </c:pt>
                <c:pt idx="120">
                  <c:v>72</c:v>
                </c:pt>
                <c:pt idx="121">
                  <c:v>78</c:v>
                </c:pt>
                <c:pt idx="122">
                  <c:v>74</c:v>
                </c:pt>
                <c:pt idx="123">
                  <c:v>67</c:v>
                </c:pt>
                <c:pt idx="124">
                  <c:v>80</c:v>
                </c:pt>
                <c:pt idx="125">
                  <c:v>85</c:v>
                </c:pt>
                <c:pt idx="126">
                  <c:v>71</c:v>
                </c:pt>
                <c:pt idx="127">
                  <c:v>73</c:v>
                </c:pt>
              </c:numCache>
            </c:numRef>
          </c:yVal>
        </c:ser>
        <c:ser>
          <c:idx val="4"/>
          <c:order val="4"/>
          <c:tx>
            <c:v>1313 mean</c:v>
          </c:tx>
          <c:spPr>
            <a:ln w="28575">
              <a:noFill/>
            </a:ln>
          </c:spP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stacks'!$H$14:$H$141</c:f>
              <c:numCache>
                <c:formatCode>General</c:formatCode>
                <c:ptCount val="128"/>
                <c:pt idx="0">
                  <c:v>137.88999999999999</c:v>
                </c:pt>
                <c:pt idx="1">
                  <c:v>118.059</c:v>
                </c:pt>
                <c:pt idx="2">
                  <c:v>126.45399999999999</c:v>
                </c:pt>
                <c:pt idx="3">
                  <c:v>134.01300000000001</c:v>
                </c:pt>
                <c:pt idx="4">
                  <c:v>127.836</c:v>
                </c:pt>
                <c:pt idx="5">
                  <c:v>119.73</c:v>
                </c:pt>
                <c:pt idx="6">
                  <c:v>130.58099999999999</c:v>
                </c:pt>
                <c:pt idx="7">
                  <c:v>131.441</c:v>
                </c:pt>
                <c:pt idx="8">
                  <c:v>122.4</c:v>
                </c:pt>
                <c:pt idx="9">
                  <c:v>119.73099999999999</c:v>
                </c:pt>
                <c:pt idx="10">
                  <c:v>131.32400000000001</c:v>
                </c:pt>
                <c:pt idx="11">
                  <c:v>130.90700000000001</c:v>
                </c:pt>
                <c:pt idx="12">
                  <c:v>114.604</c:v>
                </c:pt>
                <c:pt idx="13">
                  <c:v>122.758</c:v>
                </c:pt>
                <c:pt idx="14">
                  <c:v>128.602</c:v>
                </c:pt>
                <c:pt idx="15">
                  <c:v>122.79900000000001</c:v>
                </c:pt>
                <c:pt idx="16">
                  <c:v>114.413</c:v>
                </c:pt>
                <c:pt idx="17">
                  <c:v>126.801</c:v>
                </c:pt>
                <c:pt idx="18">
                  <c:v>129.41</c:v>
                </c:pt>
                <c:pt idx="19">
                  <c:v>119.411</c:v>
                </c:pt>
                <c:pt idx="20">
                  <c:v>118.64400000000001</c:v>
                </c:pt>
                <c:pt idx="21">
                  <c:v>128.43</c:v>
                </c:pt>
                <c:pt idx="22">
                  <c:v>127.655</c:v>
                </c:pt>
                <c:pt idx="23">
                  <c:v>110.943</c:v>
                </c:pt>
                <c:pt idx="24">
                  <c:v>118.27500000000001</c:v>
                </c:pt>
                <c:pt idx="25">
                  <c:v>128.113</c:v>
                </c:pt>
                <c:pt idx="26">
                  <c:v>122.786</c:v>
                </c:pt>
                <c:pt idx="27">
                  <c:v>112.595</c:v>
                </c:pt>
                <c:pt idx="28">
                  <c:v>121.964</c:v>
                </c:pt>
                <c:pt idx="29">
                  <c:v>126.76600000000001</c:v>
                </c:pt>
                <c:pt idx="30">
                  <c:v>121.66</c:v>
                </c:pt>
                <c:pt idx="31">
                  <c:v>117.42100000000001</c:v>
                </c:pt>
                <c:pt idx="32">
                  <c:v>128.97499999999999</c:v>
                </c:pt>
                <c:pt idx="33">
                  <c:v>130.10400000000001</c:v>
                </c:pt>
                <c:pt idx="34">
                  <c:v>114.408</c:v>
                </c:pt>
                <c:pt idx="35">
                  <c:v>118.006</c:v>
                </c:pt>
                <c:pt idx="36">
                  <c:v>129.661</c:v>
                </c:pt>
                <c:pt idx="37">
                  <c:v>126.688</c:v>
                </c:pt>
                <c:pt idx="38">
                  <c:v>111.56</c:v>
                </c:pt>
                <c:pt idx="39">
                  <c:v>122.54300000000001</c:v>
                </c:pt>
                <c:pt idx="40">
                  <c:v>127.739</c:v>
                </c:pt>
                <c:pt idx="41">
                  <c:v>121.277</c:v>
                </c:pt>
                <c:pt idx="42">
                  <c:v>114.56100000000001</c:v>
                </c:pt>
                <c:pt idx="43">
                  <c:v>126.654</c:v>
                </c:pt>
                <c:pt idx="44">
                  <c:v>129.83500000000001</c:v>
                </c:pt>
                <c:pt idx="45">
                  <c:v>117.07599999999999</c:v>
                </c:pt>
                <c:pt idx="46">
                  <c:v>119.273</c:v>
                </c:pt>
                <c:pt idx="47">
                  <c:v>127.553</c:v>
                </c:pt>
                <c:pt idx="48">
                  <c:v>121.889</c:v>
                </c:pt>
                <c:pt idx="49">
                  <c:v>109.438</c:v>
                </c:pt>
                <c:pt idx="50">
                  <c:v>121.861</c:v>
                </c:pt>
                <c:pt idx="51">
                  <c:v>125.721</c:v>
                </c:pt>
                <c:pt idx="52">
                  <c:v>120.952</c:v>
                </c:pt>
                <c:pt idx="53">
                  <c:v>114.113</c:v>
                </c:pt>
                <c:pt idx="54">
                  <c:v>123.68300000000001</c:v>
                </c:pt>
                <c:pt idx="55">
                  <c:v>122.86799999999999</c:v>
                </c:pt>
                <c:pt idx="56">
                  <c:v>109.1</c:v>
                </c:pt>
                <c:pt idx="57">
                  <c:v>115.312</c:v>
                </c:pt>
                <c:pt idx="58">
                  <c:v>124.259</c:v>
                </c:pt>
                <c:pt idx="59">
                  <c:v>119.598</c:v>
                </c:pt>
                <c:pt idx="60">
                  <c:v>110.23099999999999</c:v>
                </c:pt>
                <c:pt idx="61">
                  <c:v>120.732</c:v>
                </c:pt>
                <c:pt idx="62">
                  <c:v>125.069</c:v>
                </c:pt>
                <c:pt idx="63">
                  <c:v>117.499</c:v>
                </c:pt>
                <c:pt idx="64">
                  <c:v>115.529</c:v>
                </c:pt>
                <c:pt idx="65">
                  <c:v>126.452</c:v>
                </c:pt>
                <c:pt idx="66">
                  <c:v>125.991</c:v>
                </c:pt>
                <c:pt idx="67">
                  <c:v>109.123</c:v>
                </c:pt>
                <c:pt idx="68">
                  <c:v>114.41500000000001</c:v>
                </c:pt>
                <c:pt idx="69">
                  <c:v>123.38200000000001</c:v>
                </c:pt>
                <c:pt idx="70">
                  <c:v>119.419</c:v>
                </c:pt>
                <c:pt idx="71">
                  <c:v>110.935</c:v>
                </c:pt>
                <c:pt idx="72">
                  <c:v>123.34</c:v>
                </c:pt>
                <c:pt idx="73">
                  <c:v>126.30200000000001</c:v>
                </c:pt>
                <c:pt idx="74">
                  <c:v>118.791</c:v>
                </c:pt>
                <c:pt idx="75">
                  <c:v>114.473</c:v>
                </c:pt>
                <c:pt idx="76">
                  <c:v>126.661</c:v>
                </c:pt>
                <c:pt idx="77">
                  <c:v>127.57299999999999</c:v>
                </c:pt>
                <c:pt idx="78">
                  <c:v>111.029</c:v>
                </c:pt>
                <c:pt idx="79">
                  <c:v>116.729</c:v>
                </c:pt>
                <c:pt idx="80">
                  <c:v>124.794</c:v>
                </c:pt>
                <c:pt idx="81">
                  <c:v>119.47799999999999</c:v>
                </c:pt>
                <c:pt idx="82">
                  <c:v>110.301</c:v>
                </c:pt>
                <c:pt idx="83">
                  <c:v>123.405</c:v>
                </c:pt>
                <c:pt idx="84">
                  <c:v>127.524</c:v>
                </c:pt>
                <c:pt idx="85">
                  <c:v>119.747</c:v>
                </c:pt>
                <c:pt idx="86">
                  <c:v>115.373</c:v>
                </c:pt>
                <c:pt idx="87">
                  <c:v>125.711</c:v>
                </c:pt>
                <c:pt idx="88">
                  <c:v>126.70699999999999</c:v>
                </c:pt>
                <c:pt idx="89">
                  <c:v>110.202</c:v>
                </c:pt>
                <c:pt idx="90">
                  <c:v>117.063</c:v>
                </c:pt>
                <c:pt idx="91">
                  <c:v>128.78</c:v>
                </c:pt>
                <c:pt idx="92">
                  <c:v>123.55500000000001</c:v>
                </c:pt>
                <c:pt idx="93">
                  <c:v>111.069</c:v>
                </c:pt>
                <c:pt idx="94">
                  <c:v>120.504</c:v>
                </c:pt>
                <c:pt idx="95">
                  <c:v>123.22799999999999</c:v>
                </c:pt>
                <c:pt idx="96">
                  <c:v>119.59699999999999</c:v>
                </c:pt>
                <c:pt idx="97">
                  <c:v>114.426</c:v>
                </c:pt>
                <c:pt idx="98">
                  <c:v>126.45099999999999</c:v>
                </c:pt>
                <c:pt idx="99">
                  <c:v>126.081</c:v>
                </c:pt>
                <c:pt idx="100">
                  <c:v>110.99299999999999</c:v>
                </c:pt>
                <c:pt idx="101">
                  <c:v>115.255</c:v>
                </c:pt>
                <c:pt idx="102">
                  <c:v>125.08</c:v>
                </c:pt>
                <c:pt idx="103">
                  <c:v>123.123</c:v>
                </c:pt>
                <c:pt idx="104">
                  <c:v>112.047</c:v>
                </c:pt>
                <c:pt idx="105">
                  <c:v>124.706</c:v>
                </c:pt>
                <c:pt idx="106">
                  <c:v>127.53700000000001</c:v>
                </c:pt>
                <c:pt idx="107">
                  <c:v>120.68300000000001</c:v>
                </c:pt>
                <c:pt idx="108">
                  <c:v>114.979</c:v>
                </c:pt>
                <c:pt idx="109">
                  <c:v>127.60299999999999</c:v>
                </c:pt>
                <c:pt idx="110">
                  <c:v>128.89400000000001</c:v>
                </c:pt>
                <c:pt idx="111">
                  <c:v>112.536</c:v>
                </c:pt>
                <c:pt idx="112">
                  <c:v>118.33199999999999</c:v>
                </c:pt>
                <c:pt idx="113">
                  <c:v>126.193</c:v>
                </c:pt>
                <c:pt idx="114">
                  <c:v>120.077</c:v>
                </c:pt>
                <c:pt idx="115">
                  <c:v>111.17400000000001</c:v>
                </c:pt>
                <c:pt idx="116">
                  <c:v>124.82599999999999</c:v>
                </c:pt>
                <c:pt idx="117">
                  <c:v>126.767</c:v>
                </c:pt>
                <c:pt idx="118">
                  <c:v>119.691</c:v>
                </c:pt>
                <c:pt idx="119">
                  <c:v>116.79600000000001</c:v>
                </c:pt>
                <c:pt idx="120">
                  <c:v>126.651</c:v>
                </c:pt>
                <c:pt idx="121">
                  <c:v>124.798</c:v>
                </c:pt>
                <c:pt idx="122">
                  <c:v>107.911</c:v>
                </c:pt>
                <c:pt idx="123">
                  <c:v>118.374</c:v>
                </c:pt>
                <c:pt idx="124">
                  <c:v>125.967</c:v>
                </c:pt>
                <c:pt idx="125">
                  <c:v>121.10299999999999</c:v>
                </c:pt>
                <c:pt idx="126">
                  <c:v>113.011</c:v>
                </c:pt>
                <c:pt idx="127">
                  <c:v>123.086</c:v>
                </c:pt>
              </c:numCache>
            </c:numRef>
          </c:yVal>
        </c:ser>
        <c:ser>
          <c:idx val="5"/>
          <c:order val="5"/>
          <c:tx>
            <c:v>corr. mean</c:v>
          </c:tx>
          <c:spPr>
            <a:ln w="28575">
              <a:noFill/>
            </a:ln>
          </c:spPr>
          <c:marker>
            <c:symbol val="circle"/>
            <c:size val="3"/>
          </c:marker>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stacks'!$I$14:$I$141</c:f>
              <c:numCache>
                <c:formatCode>General</c:formatCode>
                <c:ptCount val="128"/>
                <c:pt idx="0">
                  <c:v>134.982</c:v>
                </c:pt>
                <c:pt idx="1">
                  <c:v>127.09099999999999</c:v>
                </c:pt>
                <c:pt idx="2">
                  <c:v>128.03100000000001</c:v>
                </c:pt>
                <c:pt idx="3">
                  <c:v>131.99</c:v>
                </c:pt>
                <c:pt idx="4">
                  <c:v>126.845</c:v>
                </c:pt>
                <c:pt idx="5">
                  <c:v>125.04600000000001</c:v>
                </c:pt>
                <c:pt idx="6">
                  <c:v>127.998</c:v>
                </c:pt>
                <c:pt idx="7">
                  <c:v>130.18299999999999</c:v>
                </c:pt>
                <c:pt idx="8">
                  <c:v>122.377</c:v>
                </c:pt>
                <c:pt idx="9">
                  <c:v>122.068</c:v>
                </c:pt>
                <c:pt idx="10">
                  <c:v>127.245</c:v>
                </c:pt>
                <c:pt idx="11">
                  <c:v>128.374</c:v>
                </c:pt>
                <c:pt idx="12">
                  <c:v>122.486</c:v>
                </c:pt>
                <c:pt idx="13">
                  <c:v>125.25</c:v>
                </c:pt>
                <c:pt idx="14">
                  <c:v>127.21899999999999</c:v>
                </c:pt>
                <c:pt idx="15">
                  <c:v>121.663</c:v>
                </c:pt>
                <c:pt idx="16">
                  <c:v>120.611</c:v>
                </c:pt>
                <c:pt idx="17">
                  <c:v>124.529</c:v>
                </c:pt>
                <c:pt idx="18">
                  <c:v>128.06899999999999</c:v>
                </c:pt>
                <c:pt idx="19">
                  <c:v>121.886</c:v>
                </c:pt>
                <c:pt idx="20">
                  <c:v>121.036</c:v>
                </c:pt>
                <c:pt idx="21">
                  <c:v>124.85299999999999</c:v>
                </c:pt>
                <c:pt idx="22">
                  <c:v>125.33199999999999</c:v>
                </c:pt>
                <c:pt idx="23">
                  <c:v>119.658</c:v>
                </c:pt>
                <c:pt idx="24">
                  <c:v>121.89</c:v>
                </c:pt>
                <c:pt idx="25">
                  <c:v>126.729</c:v>
                </c:pt>
                <c:pt idx="26">
                  <c:v>124.926</c:v>
                </c:pt>
                <c:pt idx="27">
                  <c:v>119.705</c:v>
                </c:pt>
                <c:pt idx="28">
                  <c:v>120.943</c:v>
                </c:pt>
                <c:pt idx="29">
                  <c:v>125.215</c:v>
                </c:pt>
                <c:pt idx="30">
                  <c:v>120.294</c:v>
                </c:pt>
                <c:pt idx="31">
                  <c:v>120.164</c:v>
                </c:pt>
                <c:pt idx="32">
                  <c:v>124.52800000000001</c:v>
                </c:pt>
                <c:pt idx="33">
                  <c:v>127.911</c:v>
                </c:pt>
                <c:pt idx="34">
                  <c:v>119.925</c:v>
                </c:pt>
                <c:pt idx="35">
                  <c:v>120.17100000000001</c:v>
                </c:pt>
                <c:pt idx="36">
                  <c:v>126.664</c:v>
                </c:pt>
                <c:pt idx="37">
                  <c:v>125.83799999999999</c:v>
                </c:pt>
                <c:pt idx="38">
                  <c:v>120.776</c:v>
                </c:pt>
                <c:pt idx="39">
                  <c:v>123.20699999999999</c:v>
                </c:pt>
                <c:pt idx="40">
                  <c:v>127.08499999999999</c:v>
                </c:pt>
                <c:pt idx="41">
                  <c:v>119.61</c:v>
                </c:pt>
                <c:pt idx="42">
                  <c:v>119.07</c:v>
                </c:pt>
                <c:pt idx="43">
                  <c:v>123.282</c:v>
                </c:pt>
                <c:pt idx="44">
                  <c:v>127.821</c:v>
                </c:pt>
                <c:pt idx="45">
                  <c:v>120.991</c:v>
                </c:pt>
                <c:pt idx="46">
                  <c:v>122.111</c:v>
                </c:pt>
                <c:pt idx="47">
                  <c:v>124.56399999999999</c:v>
                </c:pt>
                <c:pt idx="48">
                  <c:v>120.627</c:v>
                </c:pt>
                <c:pt idx="49">
                  <c:v>118.276</c:v>
                </c:pt>
                <c:pt idx="50">
                  <c:v>121.518</c:v>
                </c:pt>
                <c:pt idx="51">
                  <c:v>125.01900000000001</c:v>
                </c:pt>
                <c:pt idx="52">
                  <c:v>119.85599999999999</c:v>
                </c:pt>
                <c:pt idx="53">
                  <c:v>118.205</c:v>
                </c:pt>
                <c:pt idx="54">
                  <c:v>119.661</c:v>
                </c:pt>
                <c:pt idx="55">
                  <c:v>120.446</c:v>
                </c:pt>
                <c:pt idx="56">
                  <c:v>116.04600000000001</c:v>
                </c:pt>
                <c:pt idx="57">
                  <c:v>118.538</c:v>
                </c:pt>
                <c:pt idx="58">
                  <c:v>121.685</c:v>
                </c:pt>
                <c:pt idx="59">
                  <c:v>120.425</c:v>
                </c:pt>
                <c:pt idx="60">
                  <c:v>117.259</c:v>
                </c:pt>
                <c:pt idx="61">
                  <c:v>118.35899999999999</c:v>
                </c:pt>
                <c:pt idx="62">
                  <c:v>123.175</c:v>
                </c:pt>
                <c:pt idx="63">
                  <c:v>116.98099999999999</c:v>
                </c:pt>
                <c:pt idx="64">
                  <c:v>118.40900000000001</c:v>
                </c:pt>
                <c:pt idx="65">
                  <c:v>121.617</c:v>
                </c:pt>
                <c:pt idx="66">
                  <c:v>124.018</c:v>
                </c:pt>
                <c:pt idx="67">
                  <c:v>117.127</c:v>
                </c:pt>
                <c:pt idx="68">
                  <c:v>117.178</c:v>
                </c:pt>
                <c:pt idx="69">
                  <c:v>120.633</c:v>
                </c:pt>
                <c:pt idx="70">
                  <c:v>120.09</c:v>
                </c:pt>
                <c:pt idx="71">
                  <c:v>117.997</c:v>
                </c:pt>
                <c:pt idx="72">
                  <c:v>121.35299999999999</c:v>
                </c:pt>
                <c:pt idx="73">
                  <c:v>124.732</c:v>
                </c:pt>
                <c:pt idx="74">
                  <c:v>117.742</c:v>
                </c:pt>
                <c:pt idx="75">
                  <c:v>117.471</c:v>
                </c:pt>
                <c:pt idx="76">
                  <c:v>122.277</c:v>
                </c:pt>
                <c:pt idx="77">
                  <c:v>125.134</c:v>
                </c:pt>
                <c:pt idx="78">
                  <c:v>118.988</c:v>
                </c:pt>
                <c:pt idx="79">
                  <c:v>120.273</c:v>
                </c:pt>
                <c:pt idx="80">
                  <c:v>122.458</c:v>
                </c:pt>
                <c:pt idx="81">
                  <c:v>119.85899999999999</c:v>
                </c:pt>
                <c:pt idx="82">
                  <c:v>117.12</c:v>
                </c:pt>
                <c:pt idx="83">
                  <c:v>121.321</c:v>
                </c:pt>
                <c:pt idx="84">
                  <c:v>125.98</c:v>
                </c:pt>
                <c:pt idx="85">
                  <c:v>118.875</c:v>
                </c:pt>
                <c:pt idx="86">
                  <c:v>118.40600000000001</c:v>
                </c:pt>
                <c:pt idx="87">
                  <c:v>121.041</c:v>
                </c:pt>
                <c:pt idx="88">
                  <c:v>124.464</c:v>
                </c:pt>
                <c:pt idx="89">
                  <c:v>117.967</c:v>
                </c:pt>
                <c:pt idx="90">
                  <c:v>120.193</c:v>
                </c:pt>
                <c:pt idx="91">
                  <c:v>126.19499999999999</c:v>
                </c:pt>
                <c:pt idx="92">
                  <c:v>124.175</c:v>
                </c:pt>
                <c:pt idx="93">
                  <c:v>118.711</c:v>
                </c:pt>
                <c:pt idx="94">
                  <c:v>119.02800000000001</c:v>
                </c:pt>
                <c:pt idx="95">
                  <c:v>122.444</c:v>
                </c:pt>
                <c:pt idx="96">
                  <c:v>118.473</c:v>
                </c:pt>
                <c:pt idx="97">
                  <c:v>118.79600000000001</c:v>
                </c:pt>
                <c:pt idx="98">
                  <c:v>122.15900000000001</c:v>
                </c:pt>
                <c:pt idx="99">
                  <c:v>124.509</c:v>
                </c:pt>
                <c:pt idx="100">
                  <c:v>118.044</c:v>
                </c:pt>
                <c:pt idx="101">
                  <c:v>117.828</c:v>
                </c:pt>
                <c:pt idx="102">
                  <c:v>122.39700000000001</c:v>
                </c:pt>
                <c:pt idx="103">
                  <c:v>123.438</c:v>
                </c:pt>
                <c:pt idx="104">
                  <c:v>119.911</c:v>
                </c:pt>
                <c:pt idx="105">
                  <c:v>122.70699999999999</c:v>
                </c:pt>
                <c:pt idx="106">
                  <c:v>126.96299999999999</c:v>
                </c:pt>
                <c:pt idx="107">
                  <c:v>119.736</c:v>
                </c:pt>
                <c:pt idx="108">
                  <c:v>118.018</c:v>
                </c:pt>
                <c:pt idx="109">
                  <c:v>123.664</c:v>
                </c:pt>
                <c:pt idx="110">
                  <c:v>127.08799999999999</c:v>
                </c:pt>
                <c:pt idx="111">
                  <c:v>119.884</c:v>
                </c:pt>
                <c:pt idx="112">
                  <c:v>122.41500000000001</c:v>
                </c:pt>
                <c:pt idx="113">
                  <c:v>123.989</c:v>
                </c:pt>
                <c:pt idx="114">
                  <c:v>120.342</c:v>
                </c:pt>
                <c:pt idx="115">
                  <c:v>117.56699999999999</c:v>
                </c:pt>
                <c:pt idx="116">
                  <c:v>122.40600000000001</c:v>
                </c:pt>
                <c:pt idx="117">
                  <c:v>125.622</c:v>
                </c:pt>
                <c:pt idx="118">
                  <c:v>119.407</c:v>
                </c:pt>
                <c:pt idx="119">
                  <c:v>120.07299999999999</c:v>
                </c:pt>
                <c:pt idx="120">
                  <c:v>122.45699999999999</c:v>
                </c:pt>
                <c:pt idx="121">
                  <c:v>122.5</c:v>
                </c:pt>
                <c:pt idx="122">
                  <c:v>118.02200000000001</c:v>
                </c:pt>
                <c:pt idx="123">
                  <c:v>121.04900000000001</c:v>
                </c:pt>
                <c:pt idx="124">
                  <c:v>123.82</c:v>
                </c:pt>
                <c:pt idx="125">
                  <c:v>121.04</c:v>
                </c:pt>
                <c:pt idx="126">
                  <c:v>112.39</c:v>
                </c:pt>
                <c:pt idx="127">
                  <c:v>121.937</c:v>
                </c:pt>
              </c:numCache>
            </c:numRef>
          </c:yVal>
        </c:ser>
        <c:axId val="224384128"/>
        <c:axId val="224385664"/>
      </c:scatterChart>
      <c:valAx>
        <c:axId val="224384128"/>
        <c:scaling>
          <c:orientation val="minMax"/>
        </c:scaling>
        <c:axPos val="b"/>
        <c:numFmt formatCode="General" sourceLinked="1"/>
        <c:tickLblPos val="nextTo"/>
        <c:crossAx val="224385664"/>
        <c:crosses val="autoZero"/>
        <c:crossBetween val="midCat"/>
      </c:valAx>
      <c:valAx>
        <c:axId val="224385664"/>
        <c:scaling>
          <c:orientation val="minMax"/>
          <c:min val="60"/>
        </c:scaling>
        <c:axPos val="l"/>
        <c:majorGridlines/>
        <c:numFmt formatCode="General" sourceLinked="1"/>
        <c:tickLblPos val="nextTo"/>
        <c:crossAx val="224384128"/>
        <c:crosses val="autoZero"/>
        <c:crossBetween val="midCat"/>
      </c:valAx>
    </c:plotArea>
    <c:legend>
      <c:legendPos val="r"/>
      <c:layout/>
    </c:legend>
    <c:plotVisOnly val="1"/>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Max. Luminance,</a:t>
            </a:r>
            <a:r>
              <a:rPr lang="en-US" sz="1400" baseline="0"/>
              <a:t> </a:t>
            </a:r>
            <a:r>
              <a:rPr lang="en-US" sz="1400"/>
              <a:t>corr. mov. avg.</a:t>
            </a:r>
            <a:r>
              <a:rPr lang="en-US" sz="1400" baseline="0"/>
              <a:t> vs static</a:t>
            </a:r>
            <a:endParaRPr lang="en-US" sz="1400"/>
          </a:p>
        </c:rich>
      </c:tx>
      <c:layout/>
      <c:overlay val="1"/>
    </c:title>
    <c:plotArea>
      <c:layout>
        <c:manualLayout>
          <c:layoutTarget val="inner"/>
          <c:xMode val="edge"/>
          <c:yMode val="edge"/>
          <c:x val="8.6071741032370933E-2"/>
          <c:y val="0.16251166520851537"/>
          <c:w val="0.85494903762029872"/>
          <c:h val="0.73076771653543371"/>
        </c:manualLayout>
      </c:layout>
      <c:scatterChart>
        <c:scatterStyle val="lineMarker"/>
        <c:ser>
          <c:idx val="0"/>
          <c:order val="0"/>
          <c:spPr>
            <a:ln w="28575">
              <a:noFill/>
            </a:ln>
          </c:spPr>
          <c:trendline>
            <c:trendlineType val="linear"/>
            <c:dispEq val="1"/>
            <c:trendlineLbl>
              <c:layout>
                <c:manualLayout>
                  <c:x val="-0.4249866579177608"/>
                  <c:y val="5.53696412948382E-2"/>
                </c:manualLayout>
              </c:layout>
              <c:numFmt formatCode="General" sourceLinked="0"/>
            </c:trendlineLbl>
          </c:trendline>
          <c:xVal>
            <c:numRef>
              <c:f>'Comparison of stacks'!$D$14:$D$141</c:f>
              <c:numCache>
                <c:formatCode>General</c:formatCode>
                <c:ptCount val="128"/>
                <c:pt idx="0">
                  <c:v>167</c:v>
                </c:pt>
                <c:pt idx="1">
                  <c:v>146</c:v>
                </c:pt>
                <c:pt idx="2">
                  <c:v>156</c:v>
                </c:pt>
                <c:pt idx="3">
                  <c:v>165</c:v>
                </c:pt>
                <c:pt idx="4">
                  <c:v>156</c:v>
                </c:pt>
                <c:pt idx="5">
                  <c:v>156</c:v>
                </c:pt>
                <c:pt idx="6">
                  <c:v>167</c:v>
                </c:pt>
                <c:pt idx="7">
                  <c:v>157</c:v>
                </c:pt>
                <c:pt idx="8">
                  <c:v>148</c:v>
                </c:pt>
                <c:pt idx="9">
                  <c:v>156</c:v>
                </c:pt>
                <c:pt idx="10">
                  <c:v>158</c:v>
                </c:pt>
                <c:pt idx="11">
                  <c:v>158</c:v>
                </c:pt>
                <c:pt idx="12">
                  <c:v>147</c:v>
                </c:pt>
                <c:pt idx="13">
                  <c:v>156</c:v>
                </c:pt>
                <c:pt idx="14">
                  <c:v>155</c:v>
                </c:pt>
                <c:pt idx="15">
                  <c:v>158</c:v>
                </c:pt>
                <c:pt idx="16">
                  <c:v>147</c:v>
                </c:pt>
                <c:pt idx="17">
                  <c:v>161</c:v>
                </c:pt>
                <c:pt idx="18">
                  <c:v>166</c:v>
                </c:pt>
                <c:pt idx="19">
                  <c:v>157</c:v>
                </c:pt>
                <c:pt idx="20">
                  <c:v>149</c:v>
                </c:pt>
                <c:pt idx="21">
                  <c:v>163</c:v>
                </c:pt>
                <c:pt idx="22">
                  <c:v>153</c:v>
                </c:pt>
                <c:pt idx="23">
                  <c:v>140</c:v>
                </c:pt>
                <c:pt idx="24">
                  <c:v>155</c:v>
                </c:pt>
                <c:pt idx="25">
                  <c:v>159</c:v>
                </c:pt>
                <c:pt idx="26">
                  <c:v>149</c:v>
                </c:pt>
                <c:pt idx="27">
                  <c:v>149</c:v>
                </c:pt>
                <c:pt idx="28">
                  <c:v>152</c:v>
                </c:pt>
                <c:pt idx="29">
                  <c:v>152</c:v>
                </c:pt>
                <c:pt idx="30">
                  <c:v>161</c:v>
                </c:pt>
                <c:pt idx="31">
                  <c:v>156</c:v>
                </c:pt>
                <c:pt idx="32">
                  <c:v>162</c:v>
                </c:pt>
                <c:pt idx="33">
                  <c:v>160</c:v>
                </c:pt>
                <c:pt idx="34">
                  <c:v>144</c:v>
                </c:pt>
                <c:pt idx="35">
                  <c:v>150</c:v>
                </c:pt>
                <c:pt idx="36">
                  <c:v>162</c:v>
                </c:pt>
                <c:pt idx="37">
                  <c:v>155</c:v>
                </c:pt>
                <c:pt idx="38">
                  <c:v>143</c:v>
                </c:pt>
                <c:pt idx="39">
                  <c:v>161</c:v>
                </c:pt>
                <c:pt idx="40">
                  <c:v>157</c:v>
                </c:pt>
                <c:pt idx="41">
                  <c:v>156</c:v>
                </c:pt>
                <c:pt idx="42">
                  <c:v>151</c:v>
                </c:pt>
                <c:pt idx="43">
                  <c:v>159</c:v>
                </c:pt>
                <c:pt idx="44">
                  <c:v>164</c:v>
                </c:pt>
                <c:pt idx="45">
                  <c:v>150</c:v>
                </c:pt>
                <c:pt idx="46">
                  <c:v>151</c:v>
                </c:pt>
                <c:pt idx="47">
                  <c:v>156</c:v>
                </c:pt>
                <c:pt idx="48">
                  <c:v>155</c:v>
                </c:pt>
                <c:pt idx="49">
                  <c:v>149</c:v>
                </c:pt>
                <c:pt idx="50">
                  <c:v>156</c:v>
                </c:pt>
                <c:pt idx="51">
                  <c:v>169</c:v>
                </c:pt>
                <c:pt idx="52">
                  <c:v>146</c:v>
                </c:pt>
                <c:pt idx="53">
                  <c:v>145</c:v>
                </c:pt>
                <c:pt idx="54">
                  <c:v>159</c:v>
                </c:pt>
                <c:pt idx="55">
                  <c:v>152</c:v>
                </c:pt>
                <c:pt idx="56">
                  <c:v>140</c:v>
                </c:pt>
                <c:pt idx="57">
                  <c:v>150</c:v>
                </c:pt>
                <c:pt idx="58">
                  <c:v>156</c:v>
                </c:pt>
                <c:pt idx="59">
                  <c:v>148</c:v>
                </c:pt>
                <c:pt idx="60">
                  <c:v>158</c:v>
                </c:pt>
                <c:pt idx="61">
                  <c:v>158</c:v>
                </c:pt>
                <c:pt idx="62">
                  <c:v>153</c:v>
                </c:pt>
                <c:pt idx="63">
                  <c:v>160</c:v>
                </c:pt>
                <c:pt idx="64">
                  <c:v>148</c:v>
                </c:pt>
                <c:pt idx="65">
                  <c:v>156</c:v>
                </c:pt>
                <c:pt idx="66">
                  <c:v>171</c:v>
                </c:pt>
                <c:pt idx="67">
                  <c:v>137</c:v>
                </c:pt>
                <c:pt idx="68">
                  <c:v>150</c:v>
                </c:pt>
                <c:pt idx="69">
                  <c:v>157</c:v>
                </c:pt>
                <c:pt idx="70">
                  <c:v>150</c:v>
                </c:pt>
                <c:pt idx="71">
                  <c:v>140</c:v>
                </c:pt>
                <c:pt idx="72">
                  <c:v>159</c:v>
                </c:pt>
                <c:pt idx="73">
                  <c:v>153</c:v>
                </c:pt>
                <c:pt idx="74">
                  <c:v>146</c:v>
                </c:pt>
                <c:pt idx="75">
                  <c:v>154</c:v>
                </c:pt>
                <c:pt idx="76">
                  <c:v>155</c:v>
                </c:pt>
                <c:pt idx="77">
                  <c:v>160</c:v>
                </c:pt>
                <c:pt idx="78">
                  <c:v>147</c:v>
                </c:pt>
                <c:pt idx="79">
                  <c:v>148</c:v>
                </c:pt>
                <c:pt idx="80">
                  <c:v>159</c:v>
                </c:pt>
                <c:pt idx="81">
                  <c:v>155</c:v>
                </c:pt>
                <c:pt idx="82">
                  <c:v>146</c:v>
                </c:pt>
                <c:pt idx="83">
                  <c:v>154</c:v>
                </c:pt>
                <c:pt idx="84">
                  <c:v>162</c:v>
                </c:pt>
                <c:pt idx="85">
                  <c:v>145</c:v>
                </c:pt>
                <c:pt idx="86">
                  <c:v>145</c:v>
                </c:pt>
                <c:pt idx="87">
                  <c:v>160</c:v>
                </c:pt>
                <c:pt idx="88">
                  <c:v>152</c:v>
                </c:pt>
                <c:pt idx="89">
                  <c:v>138</c:v>
                </c:pt>
                <c:pt idx="90">
                  <c:v>156</c:v>
                </c:pt>
                <c:pt idx="91">
                  <c:v>158</c:v>
                </c:pt>
                <c:pt idx="92">
                  <c:v>151</c:v>
                </c:pt>
                <c:pt idx="93">
                  <c:v>150</c:v>
                </c:pt>
                <c:pt idx="94">
                  <c:v>150</c:v>
                </c:pt>
                <c:pt idx="95">
                  <c:v>159</c:v>
                </c:pt>
                <c:pt idx="96">
                  <c:v>154</c:v>
                </c:pt>
                <c:pt idx="97">
                  <c:v>145</c:v>
                </c:pt>
                <c:pt idx="98">
                  <c:v>154</c:v>
                </c:pt>
                <c:pt idx="99">
                  <c:v>160</c:v>
                </c:pt>
                <c:pt idx="100">
                  <c:v>137</c:v>
                </c:pt>
                <c:pt idx="101">
                  <c:v>147</c:v>
                </c:pt>
                <c:pt idx="102">
                  <c:v>164</c:v>
                </c:pt>
                <c:pt idx="103">
                  <c:v>151</c:v>
                </c:pt>
                <c:pt idx="104">
                  <c:v>151</c:v>
                </c:pt>
                <c:pt idx="105">
                  <c:v>160</c:v>
                </c:pt>
                <c:pt idx="106">
                  <c:v>163</c:v>
                </c:pt>
                <c:pt idx="107">
                  <c:v>156</c:v>
                </c:pt>
                <c:pt idx="108">
                  <c:v>158</c:v>
                </c:pt>
                <c:pt idx="109">
                  <c:v>155</c:v>
                </c:pt>
                <c:pt idx="110">
                  <c:v>159</c:v>
                </c:pt>
                <c:pt idx="111">
                  <c:v>154</c:v>
                </c:pt>
                <c:pt idx="112">
                  <c:v>157</c:v>
                </c:pt>
                <c:pt idx="113">
                  <c:v>168</c:v>
                </c:pt>
                <c:pt idx="114">
                  <c:v>160</c:v>
                </c:pt>
                <c:pt idx="115">
                  <c:v>143</c:v>
                </c:pt>
                <c:pt idx="116">
                  <c:v>166</c:v>
                </c:pt>
                <c:pt idx="117">
                  <c:v>164</c:v>
                </c:pt>
                <c:pt idx="118">
                  <c:v>149</c:v>
                </c:pt>
                <c:pt idx="119">
                  <c:v>147</c:v>
                </c:pt>
                <c:pt idx="120">
                  <c:v>164</c:v>
                </c:pt>
                <c:pt idx="121">
                  <c:v>153</c:v>
                </c:pt>
                <c:pt idx="122">
                  <c:v>135</c:v>
                </c:pt>
                <c:pt idx="123">
                  <c:v>166</c:v>
                </c:pt>
                <c:pt idx="124">
                  <c:v>156</c:v>
                </c:pt>
                <c:pt idx="125">
                  <c:v>151</c:v>
                </c:pt>
                <c:pt idx="126">
                  <c:v>154</c:v>
                </c:pt>
                <c:pt idx="127">
                  <c:v>151</c:v>
                </c:pt>
              </c:numCache>
            </c:numRef>
          </c:xVal>
          <c:yVal>
            <c:numRef>
              <c:f>'Comparison of stacks'!$E$14:$E$141</c:f>
              <c:numCache>
                <c:formatCode>General</c:formatCode>
                <c:ptCount val="128"/>
                <c:pt idx="0">
                  <c:v>168</c:v>
                </c:pt>
                <c:pt idx="1">
                  <c:v>146</c:v>
                </c:pt>
                <c:pt idx="2">
                  <c:v>156</c:v>
                </c:pt>
                <c:pt idx="3">
                  <c:v>163</c:v>
                </c:pt>
                <c:pt idx="4">
                  <c:v>159</c:v>
                </c:pt>
                <c:pt idx="5">
                  <c:v>156</c:v>
                </c:pt>
                <c:pt idx="6">
                  <c:v>167</c:v>
                </c:pt>
                <c:pt idx="7">
                  <c:v>163</c:v>
                </c:pt>
                <c:pt idx="8">
                  <c:v>150</c:v>
                </c:pt>
                <c:pt idx="9">
                  <c:v>158</c:v>
                </c:pt>
                <c:pt idx="10">
                  <c:v>156</c:v>
                </c:pt>
                <c:pt idx="11">
                  <c:v>158</c:v>
                </c:pt>
                <c:pt idx="12">
                  <c:v>147</c:v>
                </c:pt>
                <c:pt idx="13">
                  <c:v>154</c:v>
                </c:pt>
                <c:pt idx="14">
                  <c:v>155</c:v>
                </c:pt>
                <c:pt idx="15">
                  <c:v>160</c:v>
                </c:pt>
                <c:pt idx="16">
                  <c:v>147</c:v>
                </c:pt>
                <c:pt idx="17">
                  <c:v>151</c:v>
                </c:pt>
                <c:pt idx="18">
                  <c:v>164</c:v>
                </c:pt>
                <c:pt idx="19">
                  <c:v>157</c:v>
                </c:pt>
                <c:pt idx="20">
                  <c:v>149</c:v>
                </c:pt>
                <c:pt idx="21">
                  <c:v>163</c:v>
                </c:pt>
                <c:pt idx="22">
                  <c:v>159</c:v>
                </c:pt>
                <c:pt idx="23">
                  <c:v>140</c:v>
                </c:pt>
                <c:pt idx="24">
                  <c:v>153</c:v>
                </c:pt>
                <c:pt idx="25">
                  <c:v>158</c:v>
                </c:pt>
                <c:pt idx="26">
                  <c:v>160</c:v>
                </c:pt>
                <c:pt idx="27">
                  <c:v>159</c:v>
                </c:pt>
                <c:pt idx="28">
                  <c:v>152</c:v>
                </c:pt>
                <c:pt idx="29">
                  <c:v>156</c:v>
                </c:pt>
                <c:pt idx="30">
                  <c:v>155</c:v>
                </c:pt>
                <c:pt idx="31">
                  <c:v>156</c:v>
                </c:pt>
                <c:pt idx="32">
                  <c:v>153</c:v>
                </c:pt>
                <c:pt idx="33">
                  <c:v>175</c:v>
                </c:pt>
                <c:pt idx="34">
                  <c:v>139</c:v>
                </c:pt>
                <c:pt idx="35">
                  <c:v>150</c:v>
                </c:pt>
                <c:pt idx="36">
                  <c:v>161</c:v>
                </c:pt>
                <c:pt idx="37">
                  <c:v>154</c:v>
                </c:pt>
                <c:pt idx="38">
                  <c:v>143</c:v>
                </c:pt>
                <c:pt idx="39">
                  <c:v>168</c:v>
                </c:pt>
                <c:pt idx="40">
                  <c:v>157</c:v>
                </c:pt>
                <c:pt idx="41">
                  <c:v>156</c:v>
                </c:pt>
                <c:pt idx="42">
                  <c:v>150</c:v>
                </c:pt>
                <c:pt idx="43">
                  <c:v>159</c:v>
                </c:pt>
                <c:pt idx="44">
                  <c:v>156</c:v>
                </c:pt>
                <c:pt idx="45">
                  <c:v>150</c:v>
                </c:pt>
                <c:pt idx="46">
                  <c:v>152</c:v>
                </c:pt>
                <c:pt idx="47">
                  <c:v>156</c:v>
                </c:pt>
                <c:pt idx="48">
                  <c:v>156</c:v>
                </c:pt>
                <c:pt idx="49">
                  <c:v>149</c:v>
                </c:pt>
                <c:pt idx="50">
                  <c:v>156</c:v>
                </c:pt>
                <c:pt idx="51">
                  <c:v>174</c:v>
                </c:pt>
                <c:pt idx="52">
                  <c:v>145</c:v>
                </c:pt>
                <c:pt idx="53">
                  <c:v>148</c:v>
                </c:pt>
                <c:pt idx="54">
                  <c:v>159</c:v>
                </c:pt>
                <c:pt idx="55">
                  <c:v>154</c:v>
                </c:pt>
                <c:pt idx="56">
                  <c:v>137</c:v>
                </c:pt>
                <c:pt idx="57">
                  <c:v>153</c:v>
                </c:pt>
                <c:pt idx="58">
                  <c:v>156</c:v>
                </c:pt>
                <c:pt idx="59">
                  <c:v>151</c:v>
                </c:pt>
                <c:pt idx="60">
                  <c:v>158</c:v>
                </c:pt>
                <c:pt idx="61">
                  <c:v>150</c:v>
                </c:pt>
                <c:pt idx="62">
                  <c:v>155</c:v>
                </c:pt>
                <c:pt idx="63">
                  <c:v>160</c:v>
                </c:pt>
                <c:pt idx="64">
                  <c:v>149</c:v>
                </c:pt>
                <c:pt idx="65">
                  <c:v>150</c:v>
                </c:pt>
                <c:pt idx="66">
                  <c:v>170</c:v>
                </c:pt>
                <c:pt idx="67">
                  <c:v>137</c:v>
                </c:pt>
                <c:pt idx="68">
                  <c:v>150</c:v>
                </c:pt>
                <c:pt idx="69">
                  <c:v>154</c:v>
                </c:pt>
                <c:pt idx="70">
                  <c:v>151</c:v>
                </c:pt>
                <c:pt idx="71">
                  <c:v>142</c:v>
                </c:pt>
                <c:pt idx="72">
                  <c:v>156</c:v>
                </c:pt>
                <c:pt idx="73">
                  <c:v>159</c:v>
                </c:pt>
                <c:pt idx="74">
                  <c:v>161</c:v>
                </c:pt>
                <c:pt idx="75">
                  <c:v>158</c:v>
                </c:pt>
                <c:pt idx="76">
                  <c:v>151</c:v>
                </c:pt>
                <c:pt idx="77">
                  <c:v>164</c:v>
                </c:pt>
                <c:pt idx="78">
                  <c:v>147</c:v>
                </c:pt>
                <c:pt idx="79">
                  <c:v>147</c:v>
                </c:pt>
                <c:pt idx="80">
                  <c:v>153</c:v>
                </c:pt>
                <c:pt idx="81">
                  <c:v>156</c:v>
                </c:pt>
                <c:pt idx="82">
                  <c:v>146</c:v>
                </c:pt>
                <c:pt idx="83">
                  <c:v>155</c:v>
                </c:pt>
                <c:pt idx="84">
                  <c:v>166</c:v>
                </c:pt>
                <c:pt idx="85">
                  <c:v>145</c:v>
                </c:pt>
                <c:pt idx="86">
                  <c:v>150</c:v>
                </c:pt>
                <c:pt idx="87">
                  <c:v>158</c:v>
                </c:pt>
                <c:pt idx="88">
                  <c:v>153</c:v>
                </c:pt>
                <c:pt idx="89">
                  <c:v>138</c:v>
                </c:pt>
                <c:pt idx="90">
                  <c:v>162</c:v>
                </c:pt>
                <c:pt idx="91">
                  <c:v>158</c:v>
                </c:pt>
                <c:pt idx="92">
                  <c:v>152</c:v>
                </c:pt>
                <c:pt idx="93">
                  <c:v>153</c:v>
                </c:pt>
                <c:pt idx="94">
                  <c:v>153</c:v>
                </c:pt>
                <c:pt idx="95">
                  <c:v>161</c:v>
                </c:pt>
                <c:pt idx="96">
                  <c:v>156</c:v>
                </c:pt>
                <c:pt idx="97">
                  <c:v>145</c:v>
                </c:pt>
                <c:pt idx="98">
                  <c:v>150</c:v>
                </c:pt>
                <c:pt idx="99">
                  <c:v>164</c:v>
                </c:pt>
                <c:pt idx="100">
                  <c:v>138</c:v>
                </c:pt>
                <c:pt idx="101">
                  <c:v>149</c:v>
                </c:pt>
                <c:pt idx="102">
                  <c:v>164</c:v>
                </c:pt>
                <c:pt idx="103">
                  <c:v>149</c:v>
                </c:pt>
                <c:pt idx="104">
                  <c:v>151</c:v>
                </c:pt>
                <c:pt idx="105">
                  <c:v>157</c:v>
                </c:pt>
                <c:pt idx="106">
                  <c:v>169</c:v>
                </c:pt>
                <c:pt idx="107">
                  <c:v>156</c:v>
                </c:pt>
                <c:pt idx="108">
                  <c:v>158</c:v>
                </c:pt>
                <c:pt idx="109">
                  <c:v>155</c:v>
                </c:pt>
                <c:pt idx="110">
                  <c:v>162</c:v>
                </c:pt>
                <c:pt idx="111">
                  <c:v>154</c:v>
                </c:pt>
                <c:pt idx="112">
                  <c:v>157</c:v>
                </c:pt>
                <c:pt idx="113">
                  <c:v>168</c:v>
                </c:pt>
                <c:pt idx="114">
                  <c:v>160</c:v>
                </c:pt>
                <c:pt idx="115">
                  <c:v>141</c:v>
                </c:pt>
                <c:pt idx="116">
                  <c:v>152</c:v>
                </c:pt>
                <c:pt idx="117">
                  <c:v>168</c:v>
                </c:pt>
                <c:pt idx="118">
                  <c:v>149</c:v>
                </c:pt>
                <c:pt idx="119">
                  <c:v>147</c:v>
                </c:pt>
                <c:pt idx="120">
                  <c:v>164</c:v>
                </c:pt>
                <c:pt idx="121">
                  <c:v>161</c:v>
                </c:pt>
                <c:pt idx="122">
                  <c:v>140</c:v>
                </c:pt>
                <c:pt idx="123">
                  <c:v>166</c:v>
                </c:pt>
                <c:pt idx="124">
                  <c:v>153</c:v>
                </c:pt>
                <c:pt idx="125">
                  <c:v>151</c:v>
                </c:pt>
                <c:pt idx="126">
                  <c:v>155</c:v>
                </c:pt>
                <c:pt idx="127">
                  <c:v>151</c:v>
                </c:pt>
              </c:numCache>
            </c:numRef>
          </c:yVal>
        </c:ser>
        <c:axId val="220224128"/>
        <c:axId val="220238208"/>
      </c:scatterChart>
      <c:valAx>
        <c:axId val="220224128"/>
        <c:scaling>
          <c:orientation val="minMax"/>
          <c:max val="180"/>
          <c:min val="120"/>
        </c:scaling>
        <c:axPos val="b"/>
        <c:numFmt formatCode="General" sourceLinked="1"/>
        <c:tickLblPos val="nextTo"/>
        <c:crossAx val="220238208"/>
        <c:crosses val="autoZero"/>
        <c:crossBetween val="midCat"/>
      </c:valAx>
      <c:valAx>
        <c:axId val="220238208"/>
        <c:scaling>
          <c:orientation val="minMax"/>
          <c:max val="180"/>
          <c:min val="120"/>
        </c:scaling>
        <c:axPos val="l"/>
        <c:majorGridlines/>
        <c:numFmt formatCode="General" sourceLinked="1"/>
        <c:tickLblPos val="nextTo"/>
        <c:crossAx val="220224128"/>
        <c:crosses val="autoZero"/>
        <c:crossBetween val="midCat"/>
      </c:valAx>
    </c:plotArea>
    <c:legend>
      <c:legendPos val="r"/>
      <c:layout>
        <c:manualLayout>
          <c:xMode val="edge"/>
          <c:yMode val="edge"/>
          <c:x val="0.66213888888888961"/>
          <c:y val="0.5736902158063576"/>
          <c:w val="0.25730555555555557"/>
          <c:h val="0.16743438320209994"/>
        </c:manualLayout>
      </c:layout>
    </c:legend>
    <c:plotVisOnly val="1"/>
  </c:chart>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Mean Luminance, corr.</a:t>
            </a:r>
            <a:r>
              <a:rPr lang="en-US" sz="1400" baseline="0"/>
              <a:t> mov. avg. vs static</a:t>
            </a:r>
            <a:endParaRPr lang="en-US" sz="1400"/>
          </a:p>
        </c:rich>
      </c:tx>
      <c:layout/>
      <c:overlay val="1"/>
    </c:title>
    <c:plotArea>
      <c:layout>
        <c:manualLayout>
          <c:layoutTarget val="inner"/>
          <c:xMode val="edge"/>
          <c:yMode val="edge"/>
          <c:x val="8.6071741032370933E-2"/>
          <c:y val="5.1400554097404488E-2"/>
          <c:w val="0.87161570428696411"/>
          <c:h val="0.8326195683872849"/>
        </c:manualLayout>
      </c:layout>
      <c:scatterChart>
        <c:scatterStyle val="lineMarker"/>
        <c:ser>
          <c:idx val="0"/>
          <c:order val="0"/>
          <c:spPr>
            <a:ln w="28575">
              <a:noFill/>
            </a:ln>
          </c:spPr>
          <c:trendline>
            <c:trendlineType val="linear"/>
            <c:dispEq val="1"/>
            <c:trendlineLbl>
              <c:layout/>
              <c:numFmt formatCode="General" sourceLinked="0"/>
            </c:trendlineLbl>
          </c:trendline>
          <c:xVal>
            <c:numRef>
              <c:f>'Comparison of stacks'!$H$14:$H$141</c:f>
              <c:numCache>
                <c:formatCode>General</c:formatCode>
                <c:ptCount val="128"/>
                <c:pt idx="0">
                  <c:v>137.88999999999999</c:v>
                </c:pt>
                <c:pt idx="1">
                  <c:v>118.059</c:v>
                </c:pt>
                <c:pt idx="2">
                  <c:v>126.45399999999999</c:v>
                </c:pt>
                <c:pt idx="3">
                  <c:v>134.01300000000001</c:v>
                </c:pt>
                <c:pt idx="4">
                  <c:v>127.836</c:v>
                </c:pt>
                <c:pt idx="5">
                  <c:v>119.73</c:v>
                </c:pt>
                <c:pt idx="6">
                  <c:v>130.58099999999999</c:v>
                </c:pt>
                <c:pt idx="7">
                  <c:v>131.441</c:v>
                </c:pt>
                <c:pt idx="8">
                  <c:v>122.4</c:v>
                </c:pt>
                <c:pt idx="9">
                  <c:v>119.73099999999999</c:v>
                </c:pt>
                <c:pt idx="10">
                  <c:v>131.32400000000001</c:v>
                </c:pt>
                <c:pt idx="11">
                  <c:v>130.90700000000001</c:v>
                </c:pt>
                <c:pt idx="12">
                  <c:v>114.604</c:v>
                </c:pt>
                <c:pt idx="13">
                  <c:v>122.758</c:v>
                </c:pt>
                <c:pt idx="14">
                  <c:v>128.602</c:v>
                </c:pt>
                <c:pt idx="15">
                  <c:v>122.79900000000001</c:v>
                </c:pt>
                <c:pt idx="16">
                  <c:v>114.413</c:v>
                </c:pt>
                <c:pt idx="17">
                  <c:v>126.801</c:v>
                </c:pt>
                <c:pt idx="18">
                  <c:v>129.41</c:v>
                </c:pt>
                <c:pt idx="19">
                  <c:v>119.411</c:v>
                </c:pt>
                <c:pt idx="20">
                  <c:v>118.64400000000001</c:v>
                </c:pt>
                <c:pt idx="21">
                  <c:v>128.43</c:v>
                </c:pt>
                <c:pt idx="22">
                  <c:v>127.655</c:v>
                </c:pt>
                <c:pt idx="23">
                  <c:v>110.943</c:v>
                </c:pt>
                <c:pt idx="24">
                  <c:v>118.27500000000001</c:v>
                </c:pt>
                <c:pt idx="25">
                  <c:v>128.113</c:v>
                </c:pt>
                <c:pt idx="26">
                  <c:v>122.786</c:v>
                </c:pt>
                <c:pt idx="27">
                  <c:v>112.595</c:v>
                </c:pt>
                <c:pt idx="28">
                  <c:v>121.964</c:v>
                </c:pt>
                <c:pt idx="29">
                  <c:v>126.76600000000001</c:v>
                </c:pt>
                <c:pt idx="30">
                  <c:v>121.66</c:v>
                </c:pt>
                <c:pt idx="31">
                  <c:v>117.42100000000001</c:v>
                </c:pt>
                <c:pt idx="32">
                  <c:v>128.97499999999999</c:v>
                </c:pt>
                <c:pt idx="33">
                  <c:v>130.10400000000001</c:v>
                </c:pt>
                <c:pt idx="34">
                  <c:v>114.408</c:v>
                </c:pt>
                <c:pt idx="35">
                  <c:v>118.006</c:v>
                </c:pt>
                <c:pt idx="36">
                  <c:v>129.661</c:v>
                </c:pt>
                <c:pt idx="37">
                  <c:v>126.688</c:v>
                </c:pt>
                <c:pt idx="38">
                  <c:v>111.56</c:v>
                </c:pt>
                <c:pt idx="39">
                  <c:v>122.54300000000001</c:v>
                </c:pt>
                <c:pt idx="40">
                  <c:v>127.739</c:v>
                </c:pt>
                <c:pt idx="41">
                  <c:v>121.277</c:v>
                </c:pt>
                <c:pt idx="42">
                  <c:v>114.56100000000001</c:v>
                </c:pt>
                <c:pt idx="43">
                  <c:v>126.654</c:v>
                </c:pt>
                <c:pt idx="44">
                  <c:v>129.83500000000001</c:v>
                </c:pt>
                <c:pt idx="45">
                  <c:v>117.07599999999999</c:v>
                </c:pt>
                <c:pt idx="46">
                  <c:v>119.273</c:v>
                </c:pt>
                <c:pt idx="47">
                  <c:v>127.553</c:v>
                </c:pt>
                <c:pt idx="48">
                  <c:v>121.889</c:v>
                </c:pt>
                <c:pt idx="49">
                  <c:v>109.438</c:v>
                </c:pt>
                <c:pt idx="50">
                  <c:v>121.861</c:v>
                </c:pt>
                <c:pt idx="51">
                  <c:v>125.721</c:v>
                </c:pt>
                <c:pt idx="52">
                  <c:v>120.952</c:v>
                </c:pt>
                <c:pt idx="53">
                  <c:v>114.113</c:v>
                </c:pt>
                <c:pt idx="54">
                  <c:v>123.68300000000001</c:v>
                </c:pt>
                <c:pt idx="55">
                  <c:v>122.86799999999999</c:v>
                </c:pt>
                <c:pt idx="56">
                  <c:v>109.1</c:v>
                </c:pt>
                <c:pt idx="57">
                  <c:v>115.312</c:v>
                </c:pt>
                <c:pt idx="58">
                  <c:v>124.259</c:v>
                </c:pt>
                <c:pt idx="59">
                  <c:v>119.598</c:v>
                </c:pt>
                <c:pt idx="60">
                  <c:v>110.23099999999999</c:v>
                </c:pt>
                <c:pt idx="61">
                  <c:v>120.732</c:v>
                </c:pt>
                <c:pt idx="62">
                  <c:v>125.069</c:v>
                </c:pt>
                <c:pt idx="63">
                  <c:v>117.499</c:v>
                </c:pt>
                <c:pt idx="64">
                  <c:v>115.529</c:v>
                </c:pt>
                <c:pt idx="65">
                  <c:v>126.452</c:v>
                </c:pt>
                <c:pt idx="66">
                  <c:v>125.991</c:v>
                </c:pt>
                <c:pt idx="67">
                  <c:v>109.123</c:v>
                </c:pt>
                <c:pt idx="68">
                  <c:v>114.41500000000001</c:v>
                </c:pt>
                <c:pt idx="69">
                  <c:v>123.38200000000001</c:v>
                </c:pt>
                <c:pt idx="70">
                  <c:v>119.419</c:v>
                </c:pt>
                <c:pt idx="71">
                  <c:v>110.935</c:v>
                </c:pt>
                <c:pt idx="72">
                  <c:v>123.34</c:v>
                </c:pt>
                <c:pt idx="73">
                  <c:v>126.30200000000001</c:v>
                </c:pt>
                <c:pt idx="74">
                  <c:v>118.791</c:v>
                </c:pt>
                <c:pt idx="75">
                  <c:v>114.473</c:v>
                </c:pt>
                <c:pt idx="76">
                  <c:v>126.661</c:v>
                </c:pt>
                <c:pt idx="77">
                  <c:v>127.57299999999999</c:v>
                </c:pt>
                <c:pt idx="78">
                  <c:v>111.029</c:v>
                </c:pt>
                <c:pt idx="79">
                  <c:v>116.729</c:v>
                </c:pt>
                <c:pt idx="80">
                  <c:v>124.794</c:v>
                </c:pt>
                <c:pt idx="81">
                  <c:v>119.47799999999999</c:v>
                </c:pt>
                <c:pt idx="82">
                  <c:v>110.301</c:v>
                </c:pt>
                <c:pt idx="83">
                  <c:v>123.405</c:v>
                </c:pt>
                <c:pt idx="84">
                  <c:v>127.524</c:v>
                </c:pt>
                <c:pt idx="85">
                  <c:v>119.747</c:v>
                </c:pt>
                <c:pt idx="86">
                  <c:v>115.373</c:v>
                </c:pt>
                <c:pt idx="87">
                  <c:v>125.711</c:v>
                </c:pt>
                <c:pt idx="88">
                  <c:v>126.70699999999999</c:v>
                </c:pt>
                <c:pt idx="89">
                  <c:v>110.202</c:v>
                </c:pt>
                <c:pt idx="90">
                  <c:v>117.063</c:v>
                </c:pt>
                <c:pt idx="91">
                  <c:v>128.78</c:v>
                </c:pt>
                <c:pt idx="92">
                  <c:v>123.55500000000001</c:v>
                </c:pt>
                <c:pt idx="93">
                  <c:v>111.069</c:v>
                </c:pt>
                <c:pt idx="94">
                  <c:v>120.504</c:v>
                </c:pt>
                <c:pt idx="95">
                  <c:v>123.22799999999999</c:v>
                </c:pt>
                <c:pt idx="96">
                  <c:v>119.59699999999999</c:v>
                </c:pt>
                <c:pt idx="97">
                  <c:v>114.426</c:v>
                </c:pt>
                <c:pt idx="98">
                  <c:v>126.45099999999999</c:v>
                </c:pt>
                <c:pt idx="99">
                  <c:v>126.081</c:v>
                </c:pt>
                <c:pt idx="100">
                  <c:v>110.99299999999999</c:v>
                </c:pt>
                <c:pt idx="101">
                  <c:v>115.255</c:v>
                </c:pt>
                <c:pt idx="102">
                  <c:v>125.08</c:v>
                </c:pt>
                <c:pt idx="103">
                  <c:v>123.123</c:v>
                </c:pt>
                <c:pt idx="104">
                  <c:v>112.047</c:v>
                </c:pt>
                <c:pt idx="105">
                  <c:v>124.706</c:v>
                </c:pt>
                <c:pt idx="106">
                  <c:v>127.53700000000001</c:v>
                </c:pt>
                <c:pt idx="107">
                  <c:v>120.68300000000001</c:v>
                </c:pt>
                <c:pt idx="108">
                  <c:v>114.979</c:v>
                </c:pt>
                <c:pt idx="109">
                  <c:v>127.60299999999999</c:v>
                </c:pt>
                <c:pt idx="110">
                  <c:v>128.89400000000001</c:v>
                </c:pt>
                <c:pt idx="111">
                  <c:v>112.536</c:v>
                </c:pt>
                <c:pt idx="112">
                  <c:v>118.33199999999999</c:v>
                </c:pt>
                <c:pt idx="113">
                  <c:v>126.193</c:v>
                </c:pt>
                <c:pt idx="114">
                  <c:v>120.077</c:v>
                </c:pt>
                <c:pt idx="115">
                  <c:v>111.17400000000001</c:v>
                </c:pt>
                <c:pt idx="116">
                  <c:v>124.82599999999999</c:v>
                </c:pt>
                <c:pt idx="117">
                  <c:v>126.767</c:v>
                </c:pt>
                <c:pt idx="118">
                  <c:v>119.691</c:v>
                </c:pt>
                <c:pt idx="119">
                  <c:v>116.79600000000001</c:v>
                </c:pt>
                <c:pt idx="120">
                  <c:v>126.651</c:v>
                </c:pt>
                <c:pt idx="121">
                  <c:v>124.798</c:v>
                </c:pt>
                <c:pt idx="122">
                  <c:v>107.911</c:v>
                </c:pt>
                <c:pt idx="123">
                  <c:v>118.374</c:v>
                </c:pt>
                <c:pt idx="124">
                  <c:v>125.967</c:v>
                </c:pt>
                <c:pt idx="125">
                  <c:v>121.10299999999999</c:v>
                </c:pt>
                <c:pt idx="126">
                  <c:v>113.011</c:v>
                </c:pt>
                <c:pt idx="127">
                  <c:v>123.086</c:v>
                </c:pt>
              </c:numCache>
            </c:numRef>
          </c:xVal>
          <c:yVal>
            <c:numRef>
              <c:f>'Comparison of stacks'!$I$14:$I$141</c:f>
              <c:numCache>
                <c:formatCode>General</c:formatCode>
                <c:ptCount val="128"/>
                <c:pt idx="0">
                  <c:v>134.982</c:v>
                </c:pt>
                <c:pt idx="1">
                  <c:v>127.09099999999999</c:v>
                </c:pt>
                <c:pt idx="2">
                  <c:v>128.03100000000001</c:v>
                </c:pt>
                <c:pt idx="3">
                  <c:v>131.99</c:v>
                </c:pt>
                <c:pt idx="4">
                  <c:v>126.845</c:v>
                </c:pt>
                <c:pt idx="5">
                  <c:v>125.04600000000001</c:v>
                </c:pt>
                <c:pt idx="6">
                  <c:v>127.998</c:v>
                </c:pt>
                <c:pt idx="7">
                  <c:v>130.18299999999999</c:v>
                </c:pt>
                <c:pt idx="8">
                  <c:v>122.377</c:v>
                </c:pt>
                <c:pt idx="9">
                  <c:v>122.068</c:v>
                </c:pt>
                <c:pt idx="10">
                  <c:v>127.245</c:v>
                </c:pt>
                <c:pt idx="11">
                  <c:v>128.374</c:v>
                </c:pt>
                <c:pt idx="12">
                  <c:v>122.486</c:v>
                </c:pt>
                <c:pt idx="13">
                  <c:v>125.25</c:v>
                </c:pt>
                <c:pt idx="14">
                  <c:v>127.21899999999999</c:v>
                </c:pt>
                <c:pt idx="15">
                  <c:v>121.663</c:v>
                </c:pt>
                <c:pt idx="16">
                  <c:v>120.611</c:v>
                </c:pt>
                <c:pt idx="17">
                  <c:v>124.529</c:v>
                </c:pt>
                <c:pt idx="18">
                  <c:v>128.06899999999999</c:v>
                </c:pt>
                <c:pt idx="19">
                  <c:v>121.886</c:v>
                </c:pt>
                <c:pt idx="20">
                  <c:v>121.036</c:v>
                </c:pt>
                <c:pt idx="21">
                  <c:v>124.85299999999999</c:v>
                </c:pt>
                <c:pt idx="22">
                  <c:v>125.33199999999999</c:v>
                </c:pt>
                <c:pt idx="23">
                  <c:v>119.658</c:v>
                </c:pt>
                <c:pt idx="24">
                  <c:v>121.89</c:v>
                </c:pt>
                <c:pt idx="25">
                  <c:v>126.729</c:v>
                </c:pt>
                <c:pt idx="26">
                  <c:v>124.926</c:v>
                </c:pt>
                <c:pt idx="27">
                  <c:v>119.705</c:v>
                </c:pt>
                <c:pt idx="28">
                  <c:v>120.943</c:v>
                </c:pt>
                <c:pt idx="29">
                  <c:v>125.215</c:v>
                </c:pt>
                <c:pt idx="30">
                  <c:v>120.294</c:v>
                </c:pt>
                <c:pt idx="31">
                  <c:v>120.164</c:v>
                </c:pt>
                <c:pt idx="32">
                  <c:v>124.52800000000001</c:v>
                </c:pt>
                <c:pt idx="33">
                  <c:v>127.911</c:v>
                </c:pt>
                <c:pt idx="34">
                  <c:v>119.925</c:v>
                </c:pt>
                <c:pt idx="35">
                  <c:v>120.17100000000001</c:v>
                </c:pt>
                <c:pt idx="36">
                  <c:v>126.664</c:v>
                </c:pt>
                <c:pt idx="37">
                  <c:v>125.83799999999999</c:v>
                </c:pt>
                <c:pt idx="38">
                  <c:v>120.776</c:v>
                </c:pt>
                <c:pt idx="39">
                  <c:v>123.20699999999999</c:v>
                </c:pt>
                <c:pt idx="40">
                  <c:v>127.08499999999999</c:v>
                </c:pt>
                <c:pt idx="41">
                  <c:v>119.61</c:v>
                </c:pt>
                <c:pt idx="42">
                  <c:v>119.07</c:v>
                </c:pt>
                <c:pt idx="43">
                  <c:v>123.282</c:v>
                </c:pt>
                <c:pt idx="44">
                  <c:v>127.821</c:v>
                </c:pt>
                <c:pt idx="45">
                  <c:v>120.991</c:v>
                </c:pt>
                <c:pt idx="46">
                  <c:v>122.111</c:v>
                </c:pt>
                <c:pt idx="47">
                  <c:v>124.56399999999999</c:v>
                </c:pt>
                <c:pt idx="48">
                  <c:v>120.627</c:v>
                </c:pt>
                <c:pt idx="49">
                  <c:v>118.276</c:v>
                </c:pt>
                <c:pt idx="50">
                  <c:v>121.518</c:v>
                </c:pt>
                <c:pt idx="51">
                  <c:v>125.01900000000001</c:v>
                </c:pt>
                <c:pt idx="52">
                  <c:v>119.85599999999999</c:v>
                </c:pt>
                <c:pt idx="53">
                  <c:v>118.205</c:v>
                </c:pt>
                <c:pt idx="54">
                  <c:v>119.661</c:v>
                </c:pt>
                <c:pt idx="55">
                  <c:v>120.446</c:v>
                </c:pt>
                <c:pt idx="56">
                  <c:v>116.04600000000001</c:v>
                </c:pt>
                <c:pt idx="57">
                  <c:v>118.538</c:v>
                </c:pt>
                <c:pt idx="58">
                  <c:v>121.685</c:v>
                </c:pt>
                <c:pt idx="59">
                  <c:v>120.425</c:v>
                </c:pt>
                <c:pt idx="60">
                  <c:v>117.259</c:v>
                </c:pt>
                <c:pt idx="61">
                  <c:v>118.35899999999999</c:v>
                </c:pt>
                <c:pt idx="62">
                  <c:v>123.175</c:v>
                </c:pt>
                <c:pt idx="63">
                  <c:v>116.98099999999999</c:v>
                </c:pt>
                <c:pt idx="64">
                  <c:v>118.40900000000001</c:v>
                </c:pt>
                <c:pt idx="65">
                  <c:v>121.617</c:v>
                </c:pt>
                <c:pt idx="66">
                  <c:v>124.018</c:v>
                </c:pt>
                <c:pt idx="67">
                  <c:v>117.127</c:v>
                </c:pt>
                <c:pt idx="68">
                  <c:v>117.178</c:v>
                </c:pt>
                <c:pt idx="69">
                  <c:v>120.633</c:v>
                </c:pt>
                <c:pt idx="70">
                  <c:v>120.09</c:v>
                </c:pt>
                <c:pt idx="71">
                  <c:v>117.997</c:v>
                </c:pt>
                <c:pt idx="72">
                  <c:v>121.35299999999999</c:v>
                </c:pt>
                <c:pt idx="73">
                  <c:v>124.732</c:v>
                </c:pt>
                <c:pt idx="74">
                  <c:v>117.742</c:v>
                </c:pt>
                <c:pt idx="75">
                  <c:v>117.471</c:v>
                </c:pt>
                <c:pt idx="76">
                  <c:v>122.277</c:v>
                </c:pt>
                <c:pt idx="77">
                  <c:v>125.134</c:v>
                </c:pt>
                <c:pt idx="78">
                  <c:v>118.988</c:v>
                </c:pt>
                <c:pt idx="79">
                  <c:v>120.273</c:v>
                </c:pt>
                <c:pt idx="80">
                  <c:v>122.458</c:v>
                </c:pt>
                <c:pt idx="81">
                  <c:v>119.85899999999999</c:v>
                </c:pt>
                <c:pt idx="82">
                  <c:v>117.12</c:v>
                </c:pt>
                <c:pt idx="83">
                  <c:v>121.321</c:v>
                </c:pt>
                <c:pt idx="84">
                  <c:v>125.98</c:v>
                </c:pt>
                <c:pt idx="85">
                  <c:v>118.875</c:v>
                </c:pt>
                <c:pt idx="86">
                  <c:v>118.40600000000001</c:v>
                </c:pt>
                <c:pt idx="87">
                  <c:v>121.041</c:v>
                </c:pt>
                <c:pt idx="88">
                  <c:v>124.464</c:v>
                </c:pt>
                <c:pt idx="89">
                  <c:v>117.967</c:v>
                </c:pt>
                <c:pt idx="90">
                  <c:v>120.193</c:v>
                </c:pt>
                <c:pt idx="91">
                  <c:v>126.19499999999999</c:v>
                </c:pt>
                <c:pt idx="92">
                  <c:v>124.175</c:v>
                </c:pt>
                <c:pt idx="93">
                  <c:v>118.711</c:v>
                </c:pt>
                <c:pt idx="94">
                  <c:v>119.02800000000001</c:v>
                </c:pt>
                <c:pt idx="95">
                  <c:v>122.444</c:v>
                </c:pt>
                <c:pt idx="96">
                  <c:v>118.473</c:v>
                </c:pt>
                <c:pt idx="97">
                  <c:v>118.79600000000001</c:v>
                </c:pt>
                <c:pt idx="98">
                  <c:v>122.15900000000001</c:v>
                </c:pt>
                <c:pt idx="99">
                  <c:v>124.509</c:v>
                </c:pt>
                <c:pt idx="100">
                  <c:v>118.044</c:v>
                </c:pt>
                <c:pt idx="101">
                  <c:v>117.828</c:v>
                </c:pt>
                <c:pt idx="102">
                  <c:v>122.39700000000001</c:v>
                </c:pt>
                <c:pt idx="103">
                  <c:v>123.438</c:v>
                </c:pt>
                <c:pt idx="104">
                  <c:v>119.911</c:v>
                </c:pt>
                <c:pt idx="105">
                  <c:v>122.70699999999999</c:v>
                </c:pt>
                <c:pt idx="106">
                  <c:v>126.96299999999999</c:v>
                </c:pt>
                <c:pt idx="107">
                  <c:v>119.736</c:v>
                </c:pt>
                <c:pt idx="108">
                  <c:v>118.018</c:v>
                </c:pt>
                <c:pt idx="109">
                  <c:v>123.664</c:v>
                </c:pt>
                <c:pt idx="110">
                  <c:v>127.08799999999999</c:v>
                </c:pt>
                <c:pt idx="111">
                  <c:v>119.884</c:v>
                </c:pt>
                <c:pt idx="112">
                  <c:v>122.41500000000001</c:v>
                </c:pt>
                <c:pt idx="113">
                  <c:v>123.989</c:v>
                </c:pt>
                <c:pt idx="114">
                  <c:v>120.342</c:v>
                </c:pt>
                <c:pt idx="115">
                  <c:v>117.56699999999999</c:v>
                </c:pt>
                <c:pt idx="116">
                  <c:v>122.40600000000001</c:v>
                </c:pt>
                <c:pt idx="117">
                  <c:v>125.622</c:v>
                </c:pt>
                <c:pt idx="118">
                  <c:v>119.407</c:v>
                </c:pt>
                <c:pt idx="119">
                  <c:v>120.07299999999999</c:v>
                </c:pt>
                <c:pt idx="120">
                  <c:v>122.45699999999999</c:v>
                </c:pt>
                <c:pt idx="121">
                  <c:v>122.5</c:v>
                </c:pt>
                <c:pt idx="122">
                  <c:v>118.02200000000001</c:v>
                </c:pt>
                <c:pt idx="123">
                  <c:v>121.04900000000001</c:v>
                </c:pt>
                <c:pt idx="124">
                  <c:v>123.82</c:v>
                </c:pt>
                <c:pt idx="125">
                  <c:v>121.04</c:v>
                </c:pt>
                <c:pt idx="126">
                  <c:v>112.39</c:v>
                </c:pt>
                <c:pt idx="127">
                  <c:v>121.937</c:v>
                </c:pt>
              </c:numCache>
            </c:numRef>
          </c:yVal>
        </c:ser>
        <c:axId val="223806208"/>
        <c:axId val="223807744"/>
      </c:scatterChart>
      <c:valAx>
        <c:axId val="223806208"/>
        <c:scaling>
          <c:orientation val="minMax"/>
          <c:max val="140"/>
          <c:min val="100"/>
        </c:scaling>
        <c:axPos val="b"/>
        <c:numFmt formatCode="General" sourceLinked="1"/>
        <c:tickLblPos val="nextTo"/>
        <c:crossAx val="223807744"/>
        <c:crosses val="autoZero"/>
        <c:crossBetween val="midCat"/>
      </c:valAx>
      <c:valAx>
        <c:axId val="223807744"/>
        <c:scaling>
          <c:orientation val="minMax"/>
          <c:max val="140"/>
          <c:min val="100"/>
        </c:scaling>
        <c:axPos val="l"/>
        <c:majorGridlines/>
        <c:numFmt formatCode="General" sourceLinked="1"/>
        <c:tickLblPos val="nextTo"/>
        <c:crossAx val="223806208"/>
        <c:crosses val="autoZero"/>
        <c:crossBetween val="midCat"/>
      </c:valAx>
    </c:plotArea>
    <c:legend>
      <c:legendPos val="r"/>
      <c:layout/>
    </c:legend>
    <c:plotVisOnly val="1"/>
  </c:chart>
  <c:printSettings>
    <c:headerFooter/>
    <c:pageMargins b="0.75000000000000044" l="0.7000000000000004" r="0.7000000000000004" t="0.75000000000000044" header="0.30000000000000021" footer="0.3000000000000002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Min</a:t>
            </a:r>
            <a:r>
              <a:rPr lang="en-US" sz="1400" baseline="0"/>
              <a:t>. Luminance, Static vs Mov. Avg. PSI Width</a:t>
            </a:r>
            <a:endParaRPr lang="en-US" sz="1400"/>
          </a:p>
        </c:rich>
      </c:tx>
      <c:layout>
        <c:manualLayout>
          <c:xMode val="edge"/>
          <c:yMode val="edge"/>
          <c:x val="0.14680555555555552"/>
          <c:y val="4.6296296296296335E-2"/>
        </c:manualLayout>
      </c:layout>
      <c:overlay val="1"/>
    </c:title>
    <c:plotArea>
      <c:layout>
        <c:manualLayout>
          <c:layoutTarget val="inner"/>
          <c:xMode val="edge"/>
          <c:yMode val="edge"/>
          <c:x val="7.7543963254593173E-2"/>
          <c:y val="0.16251166520851537"/>
          <c:w val="0.8662545931758534"/>
          <c:h val="0.72150845727617463"/>
        </c:manualLayout>
      </c:layout>
      <c:scatterChart>
        <c:scatterStyle val="lineMarker"/>
        <c:ser>
          <c:idx val="0"/>
          <c:order val="0"/>
          <c:spPr>
            <a:ln w="28575">
              <a:noFill/>
            </a:ln>
          </c:spPr>
          <c:trendline>
            <c:trendlineType val="linear"/>
            <c:dispEq val="1"/>
            <c:trendlineLbl>
              <c:layout/>
              <c:numFmt formatCode="General" sourceLinked="0"/>
            </c:trendlineLbl>
          </c:trendline>
          <c:xVal>
            <c:numRef>
              <c:f>'Comparison of stacks'!$F$14:$F$141</c:f>
              <c:numCache>
                <c:formatCode>General</c:formatCode>
                <c:ptCount val="128"/>
                <c:pt idx="0">
                  <c:v>95</c:v>
                </c:pt>
                <c:pt idx="1">
                  <c:v>80</c:v>
                </c:pt>
                <c:pt idx="2">
                  <c:v>70</c:v>
                </c:pt>
                <c:pt idx="3">
                  <c:v>76</c:v>
                </c:pt>
                <c:pt idx="4">
                  <c:v>92</c:v>
                </c:pt>
                <c:pt idx="5">
                  <c:v>88</c:v>
                </c:pt>
                <c:pt idx="6">
                  <c:v>96</c:v>
                </c:pt>
                <c:pt idx="7">
                  <c:v>98</c:v>
                </c:pt>
                <c:pt idx="8">
                  <c:v>86</c:v>
                </c:pt>
                <c:pt idx="9">
                  <c:v>86</c:v>
                </c:pt>
                <c:pt idx="10">
                  <c:v>96</c:v>
                </c:pt>
                <c:pt idx="11">
                  <c:v>98</c:v>
                </c:pt>
                <c:pt idx="12">
                  <c:v>79</c:v>
                </c:pt>
                <c:pt idx="13">
                  <c:v>94</c:v>
                </c:pt>
                <c:pt idx="14">
                  <c:v>98</c:v>
                </c:pt>
                <c:pt idx="15">
                  <c:v>85</c:v>
                </c:pt>
                <c:pt idx="16">
                  <c:v>73</c:v>
                </c:pt>
                <c:pt idx="17">
                  <c:v>87</c:v>
                </c:pt>
                <c:pt idx="18">
                  <c:v>86</c:v>
                </c:pt>
                <c:pt idx="19">
                  <c:v>88</c:v>
                </c:pt>
                <c:pt idx="20">
                  <c:v>88</c:v>
                </c:pt>
                <c:pt idx="21">
                  <c:v>85</c:v>
                </c:pt>
                <c:pt idx="22">
                  <c:v>91</c:v>
                </c:pt>
                <c:pt idx="23">
                  <c:v>76</c:v>
                </c:pt>
                <c:pt idx="24">
                  <c:v>82</c:v>
                </c:pt>
                <c:pt idx="25">
                  <c:v>85</c:v>
                </c:pt>
                <c:pt idx="26">
                  <c:v>89</c:v>
                </c:pt>
                <c:pt idx="27">
                  <c:v>74</c:v>
                </c:pt>
                <c:pt idx="28">
                  <c:v>91</c:v>
                </c:pt>
                <c:pt idx="29">
                  <c:v>91</c:v>
                </c:pt>
                <c:pt idx="30">
                  <c:v>80</c:v>
                </c:pt>
                <c:pt idx="31">
                  <c:v>80</c:v>
                </c:pt>
                <c:pt idx="32">
                  <c:v>94</c:v>
                </c:pt>
                <c:pt idx="33">
                  <c:v>92</c:v>
                </c:pt>
                <c:pt idx="34">
                  <c:v>75</c:v>
                </c:pt>
                <c:pt idx="35">
                  <c:v>88</c:v>
                </c:pt>
                <c:pt idx="36">
                  <c:v>90</c:v>
                </c:pt>
                <c:pt idx="37">
                  <c:v>88</c:v>
                </c:pt>
                <c:pt idx="38">
                  <c:v>79</c:v>
                </c:pt>
                <c:pt idx="39">
                  <c:v>90</c:v>
                </c:pt>
                <c:pt idx="40">
                  <c:v>95</c:v>
                </c:pt>
                <c:pt idx="41">
                  <c:v>82</c:v>
                </c:pt>
                <c:pt idx="42">
                  <c:v>79</c:v>
                </c:pt>
                <c:pt idx="43">
                  <c:v>91</c:v>
                </c:pt>
                <c:pt idx="44">
                  <c:v>89</c:v>
                </c:pt>
                <c:pt idx="45">
                  <c:v>79</c:v>
                </c:pt>
                <c:pt idx="46">
                  <c:v>85</c:v>
                </c:pt>
                <c:pt idx="47">
                  <c:v>78</c:v>
                </c:pt>
                <c:pt idx="48">
                  <c:v>86</c:v>
                </c:pt>
                <c:pt idx="49">
                  <c:v>78</c:v>
                </c:pt>
                <c:pt idx="50">
                  <c:v>81</c:v>
                </c:pt>
                <c:pt idx="51">
                  <c:v>82</c:v>
                </c:pt>
                <c:pt idx="52">
                  <c:v>85</c:v>
                </c:pt>
                <c:pt idx="53">
                  <c:v>76</c:v>
                </c:pt>
                <c:pt idx="54">
                  <c:v>86</c:v>
                </c:pt>
                <c:pt idx="55">
                  <c:v>89</c:v>
                </c:pt>
                <c:pt idx="56">
                  <c:v>80</c:v>
                </c:pt>
                <c:pt idx="57">
                  <c:v>79</c:v>
                </c:pt>
                <c:pt idx="58">
                  <c:v>89</c:v>
                </c:pt>
                <c:pt idx="59">
                  <c:v>76</c:v>
                </c:pt>
                <c:pt idx="60">
                  <c:v>67</c:v>
                </c:pt>
                <c:pt idx="61">
                  <c:v>93</c:v>
                </c:pt>
                <c:pt idx="62">
                  <c:v>90</c:v>
                </c:pt>
                <c:pt idx="63">
                  <c:v>82</c:v>
                </c:pt>
                <c:pt idx="64">
                  <c:v>84</c:v>
                </c:pt>
                <c:pt idx="65">
                  <c:v>96</c:v>
                </c:pt>
                <c:pt idx="66">
                  <c:v>88</c:v>
                </c:pt>
                <c:pt idx="67">
                  <c:v>78</c:v>
                </c:pt>
                <c:pt idx="68">
                  <c:v>83</c:v>
                </c:pt>
                <c:pt idx="69">
                  <c:v>87</c:v>
                </c:pt>
                <c:pt idx="70">
                  <c:v>86</c:v>
                </c:pt>
                <c:pt idx="71">
                  <c:v>76</c:v>
                </c:pt>
                <c:pt idx="72">
                  <c:v>90</c:v>
                </c:pt>
                <c:pt idx="73">
                  <c:v>91</c:v>
                </c:pt>
                <c:pt idx="74">
                  <c:v>81</c:v>
                </c:pt>
                <c:pt idx="75">
                  <c:v>84</c:v>
                </c:pt>
                <c:pt idx="76">
                  <c:v>96</c:v>
                </c:pt>
                <c:pt idx="77">
                  <c:v>92</c:v>
                </c:pt>
                <c:pt idx="78">
                  <c:v>76</c:v>
                </c:pt>
                <c:pt idx="79">
                  <c:v>81</c:v>
                </c:pt>
                <c:pt idx="80">
                  <c:v>91</c:v>
                </c:pt>
                <c:pt idx="81">
                  <c:v>78</c:v>
                </c:pt>
                <c:pt idx="82">
                  <c:v>79</c:v>
                </c:pt>
                <c:pt idx="83">
                  <c:v>91</c:v>
                </c:pt>
                <c:pt idx="84">
                  <c:v>89</c:v>
                </c:pt>
                <c:pt idx="85">
                  <c:v>85</c:v>
                </c:pt>
                <c:pt idx="86">
                  <c:v>88</c:v>
                </c:pt>
                <c:pt idx="87">
                  <c:v>87</c:v>
                </c:pt>
                <c:pt idx="88">
                  <c:v>93</c:v>
                </c:pt>
                <c:pt idx="89">
                  <c:v>78</c:v>
                </c:pt>
                <c:pt idx="90">
                  <c:v>82</c:v>
                </c:pt>
                <c:pt idx="91">
                  <c:v>93</c:v>
                </c:pt>
                <c:pt idx="92">
                  <c:v>86</c:v>
                </c:pt>
                <c:pt idx="93">
                  <c:v>73</c:v>
                </c:pt>
                <c:pt idx="94">
                  <c:v>89</c:v>
                </c:pt>
                <c:pt idx="95">
                  <c:v>95</c:v>
                </c:pt>
                <c:pt idx="96">
                  <c:v>76</c:v>
                </c:pt>
                <c:pt idx="97">
                  <c:v>82</c:v>
                </c:pt>
                <c:pt idx="98">
                  <c:v>96</c:v>
                </c:pt>
                <c:pt idx="99">
                  <c:v>88</c:v>
                </c:pt>
                <c:pt idx="100">
                  <c:v>77</c:v>
                </c:pt>
                <c:pt idx="101">
                  <c:v>87</c:v>
                </c:pt>
                <c:pt idx="102">
                  <c:v>89</c:v>
                </c:pt>
                <c:pt idx="103">
                  <c:v>92</c:v>
                </c:pt>
                <c:pt idx="104">
                  <c:v>78</c:v>
                </c:pt>
                <c:pt idx="105">
                  <c:v>91</c:v>
                </c:pt>
                <c:pt idx="106">
                  <c:v>97</c:v>
                </c:pt>
                <c:pt idx="107">
                  <c:v>86</c:v>
                </c:pt>
                <c:pt idx="108">
                  <c:v>81</c:v>
                </c:pt>
                <c:pt idx="109">
                  <c:v>98</c:v>
                </c:pt>
                <c:pt idx="110">
                  <c:v>96</c:v>
                </c:pt>
                <c:pt idx="111">
                  <c:v>69</c:v>
                </c:pt>
                <c:pt idx="112">
                  <c:v>83</c:v>
                </c:pt>
                <c:pt idx="113">
                  <c:v>92</c:v>
                </c:pt>
                <c:pt idx="114">
                  <c:v>81</c:v>
                </c:pt>
                <c:pt idx="115">
                  <c:v>81</c:v>
                </c:pt>
                <c:pt idx="116">
                  <c:v>88</c:v>
                </c:pt>
                <c:pt idx="117">
                  <c:v>92</c:v>
                </c:pt>
                <c:pt idx="118">
                  <c:v>84</c:v>
                </c:pt>
                <c:pt idx="119">
                  <c:v>87</c:v>
                </c:pt>
                <c:pt idx="120">
                  <c:v>80</c:v>
                </c:pt>
                <c:pt idx="121">
                  <c:v>90</c:v>
                </c:pt>
                <c:pt idx="122">
                  <c:v>73</c:v>
                </c:pt>
                <c:pt idx="123">
                  <c:v>84</c:v>
                </c:pt>
                <c:pt idx="124">
                  <c:v>95</c:v>
                </c:pt>
                <c:pt idx="125">
                  <c:v>86</c:v>
                </c:pt>
                <c:pt idx="126">
                  <c:v>76</c:v>
                </c:pt>
                <c:pt idx="127">
                  <c:v>80</c:v>
                </c:pt>
              </c:numCache>
            </c:numRef>
          </c:xVal>
          <c:yVal>
            <c:numRef>
              <c:f>'Comparison of stacks'!$G$14:$G$141</c:f>
              <c:numCache>
                <c:formatCode>General</c:formatCode>
                <c:ptCount val="128"/>
                <c:pt idx="0">
                  <c:v>77</c:v>
                </c:pt>
                <c:pt idx="1">
                  <c:v>86</c:v>
                </c:pt>
                <c:pt idx="2">
                  <c:v>70</c:v>
                </c:pt>
                <c:pt idx="3">
                  <c:v>73</c:v>
                </c:pt>
                <c:pt idx="4">
                  <c:v>87</c:v>
                </c:pt>
                <c:pt idx="5">
                  <c:v>83</c:v>
                </c:pt>
                <c:pt idx="6">
                  <c:v>83</c:v>
                </c:pt>
                <c:pt idx="7">
                  <c:v>82</c:v>
                </c:pt>
                <c:pt idx="8">
                  <c:v>89</c:v>
                </c:pt>
                <c:pt idx="9">
                  <c:v>80</c:v>
                </c:pt>
                <c:pt idx="10">
                  <c:v>86</c:v>
                </c:pt>
                <c:pt idx="11">
                  <c:v>81</c:v>
                </c:pt>
                <c:pt idx="12">
                  <c:v>83</c:v>
                </c:pt>
                <c:pt idx="13">
                  <c:v>82</c:v>
                </c:pt>
                <c:pt idx="14">
                  <c:v>79</c:v>
                </c:pt>
                <c:pt idx="15">
                  <c:v>81</c:v>
                </c:pt>
                <c:pt idx="16">
                  <c:v>73</c:v>
                </c:pt>
                <c:pt idx="17">
                  <c:v>79</c:v>
                </c:pt>
                <c:pt idx="18">
                  <c:v>77</c:v>
                </c:pt>
                <c:pt idx="19">
                  <c:v>86</c:v>
                </c:pt>
                <c:pt idx="20">
                  <c:v>82</c:v>
                </c:pt>
                <c:pt idx="21">
                  <c:v>80</c:v>
                </c:pt>
                <c:pt idx="22">
                  <c:v>80</c:v>
                </c:pt>
                <c:pt idx="23">
                  <c:v>83</c:v>
                </c:pt>
                <c:pt idx="24">
                  <c:v>71</c:v>
                </c:pt>
                <c:pt idx="25">
                  <c:v>81</c:v>
                </c:pt>
                <c:pt idx="26">
                  <c:v>85</c:v>
                </c:pt>
                <c:pt idx="27">
                  <c:v>76</c:v>
                </c:pt>
                <c:pt idx="28">
                  <c:v>76</c:v>
                </c:pt>
                <c:pt idx="29">
                  <c:v>78</c:v>
                </c:pt>
                <c:pt idx="30">
                  <c:v>81</c:v>
                </c:pt>
                <c:pt idx="31">
                  <c:v>76</c:v>
                </c:pt>
                <c:pt idx="32">
                  <c:v>80</c:v>
                </c:pt>
                <c:pt idx="33">
                  <c:v>78</c:v>
                </c:pt>
                <c:pt idx="34">
                  <c:v>85</c:v>
                </c:pt>
                <c:pt idx="35">
                  <c:v>79</c:v>
                </c:pt>
                <c:pt idx="36">
                  <c:v>78</c:v>
                </c:pt>
                <c:pt idx="37">
                  <c:v>83</c:v>
                </c:pt>
                <c:pt idx="38">
                  <c:v>78</c:v>
                </c:pt>
                <c:pt idx="39">
                  <c:v>77</c:v>
                </c:pt>
                <c:pt idx="40">
                  <c:v>79</c:v>
                </c:pt>
                <c:pt idx="41">
                  <c:v>81</c:v>
                </c:pt>
                <c:pt idx="42">
                  <c:v>73</c:v>
                </c:pt>
                <c:pt idx="43">
                  <c:v>80</c:v>
                </c:pt>
                <c:pt idx="44">
                  <c:v>81</c:v>
                </c:pt>
                <c:pt idx="45">
                  <c:v>79</c:v>
                </c:pt>
                <c:pt idx="46">
                  <c:v>79</c:v>
                </c:pt>
                <c:pt idx="47">
                  <c:v>77</c:v>
                </c:pt>
                <c:pt idx="48">
                  <c:v>69</c:v>
                </c:pt>
                <c:pt idx="49">
                  <c:v>76</c:v>
                </c:pt>
                <c:pt idx="50">
                  <c:v>73</c:v>
                </c:pt>
                <c:pt idx="51">
                  <c:v>69</c:v>
                </c:pt>
                <c:pt idx="52">
                  <c:v>83</c:v>
                </c:pt>
                <c:pt idx="53">
                  <c:v>79</c:v>
                </c:pt>
                <c:pt idx="54">
                  <c:v>76</c:v>
                </c:pt>
                <c:pt idx="55">
                  <c:v>77</c:v>
                </c:pt>
                <c:pt idx="56">
                  <c:v>79</c:v>
                </c:pt>
                <c:pt idx="57">
                  <c:v>71</c:v>
                </c:pt>
                <c:pt idx="58">
                  <c:v>78</c:v>
                </c:pt>
                <c:pt idx="59">
                  <c:v>80</c:v>
                </c:pt>
                <c:pt idx="60">
                  <c:v>67</c:v>
                </c:pt>
                <c:pt idx="61">
                  <c:v>70</c:v>
                </c:pt>
                <c:pt idx="62">
                  <c:v>79</c:v>
                </c:pt>
                <c:pt idx="63">
                  <c:v>84</c:v>
                </c:pt>
                <c:pt idx="64">
                  <c:v>76</c:v>
                </c:pt>
                <c:pt idx="65">
                  <c:v>80</c:v>
                </c:pt>
                <c:pt idx="66">
                  <c:v>78</c:v>
                </c:pt>
                <c:pt idx="67">
                  <c:v>80</c:v>
                </c:pt>
                <c:pt idx="68">
                  <c:v>76</c:v>
                </c:pt>
                <c:pt idx="69">
                  <c:v>73</c:v>
                </c:pt>
                <c:pt idx="70">
                  <c:v>80</c:v>
                </c:pt>
                <c:pt idx="71">
                  <c:v>77</c:v>
                </c:pt>
                <c:pt idx="72">
                  <c:v>77</c:v>
                </c:pt>
                <c:pt idx="73">
                  <c:v>80</c:v>
                </c:pt>
                <c:pt idx="74">
                  <c:v>88</c:v>
                </c:pt>
                <c:pt idx="75">
                  <c:v>77</c:v>
                </c:pt>
                <c:pt idx="76">
                  <c:v>84</c:v>
                </c:pt>
                <c:pt idx="77">
                  <c:v>81</c:v>
                </c:pt>
                <c:pt idx="78">
                  <c:v>76</c:v>
                </c:pt>
                <c:pt idx="79">
                  <c:v>77</c:v>
                </c:pt>
                <c:pt idx="80">
                  <c:v>77</c:v>
                </c:pt>
                <c:pt idx="81">
                  <c:v>74</c:v>
                </c:pt>
                <c:pt idx="82">
                  <c:v>77</c:v>
                </c:pt>
                <c:pt idx="83">
                  <c:v>81</c:v>
                </c:pt>
                <c:pt idx="84">
                  <c:v>75</c:v>
                </c:pt>
                <c:pt idx="85">
                  <c:v>87</c:v>
                </c:pt>
                <c:pt idx="86">
                  <c:v>79</c:v>
                </c:pt>
                <c:pt idx="87">
                  <c:v>66</c:v>
                </c:pt>
                <c:pt idx="88">
                  <c:v>81</c:v>
                </c:pt>
                <c:pt idx="89">
                  <c:v>78</c:v>
                </c:pt>
                <c:pt idx="90">
                  <c:v>74</c:v>
                </c:pt>
                <c:pt idx="91">
                  <c:v>83</c:v>
                </c:pt>
                <c:pt idx="92">
                  <c:v>81</c:v>
                </c:pt>
                <c:pt idx="93">
                  <c:v>71</c:v>
                </c:pt>
                <c:pt idx="94">
                  <c:v>77</c:v>
                </c:pt>
                <c:pt idx="95">
                  <c:v>78</c:v>
                </c:pt>
                <c:pt idx="96">
                  <c:v>86</c:v>
                </c:pt>
                <c:pt idx="97">
                  <c:v>78</c:v>
                </c:pt>
                <c:pt idx="98">
                  <c:v>79</c:v>
                </c:pt>
                <c:pt idx="99">
                  <c:v>78</c:v>
                </c:pt>
                <c:pt idx="100">
                  <c:v>83</c:v>
                </c:pt>
                <c:pt idx="101">
                  <c:v>78</c:v>
                </c:pt>
                <c:pt idx="102">
                  <c:v>76</c:v>
                </c:pt>
                <c:pt idx="103">
                  <c:v>82</c:v>
                </c:pt>
                <c:pt idx="104">
                  <c:v>77</c:v>
                </c:pt>
                <c:pt idx="105">
                  <c:v>76</c:v>
                </c:pt>
                <c:pt idx="106">
                  <c:v>81</c:v>
                </c:pt>
                <c:pt idx="107">
                  <c:v>89</c:v>
                </c:pt>
                <c:pt idx="108">
                  <c:v>72</c:v>
                </c:pt>
                <c:pt idx="109">
                  <c:v>79</c:v>
                </c:pt>
                <c:pt idx="110">
                  <c:v>79</c:v>
                </c:pt>
                <c:pt idx="111">
                  <c:v>69</c:v>
                </c:pt>
                <c:pt idx="112">
                  <c:v>79</c:v>
                </c:pt>
                <c:pt idx="113">
                  <c:v>76</c:v>
                </c:pt>
                <c:pt idx="114">
                  <c:v>79</c:v>
                </c:pt>
                <c:pt idx="115">
                  <c:v>75</c:v>
                </c:pt>
                <c:pt idx="116">
                  <c:v>80</c:v>
                </c:pt>
                <c:pt idx="117">
                  <c:v>75</c:v>
                </c:pt>
                <c:pt idx="118">
                  <c:v>84</c:v>
                </c:pt>
                <c:pt idx="119">
                  <c:v>79</c:v>
                </c:pt>
                <c:pt idx="120">
                  <c:v>72</c:v>
                </c:pt>
                <c:pt idx="121">
                  <c:v>78</c:v>
                </c:pt>
                <c:pt idx="122">
                  <c:v>74</c:v>
                </c:pt>
                <c:pt idx="123">
                  <c:v>67</c:v>
                </c:pt>
                <c:pt idx="124">
                  <c:v>80</c:v>
                </c:pt>
                <c:pt idx="125">
                  <c:v>85</c:v>
                </c:pt>
                <c:pt idx="126">
                  <c:v>71</c:v>
                </c:pt>
                <c:pt idx="127">
                  <c:v>73</c:v>
                </c:pt>
              </c:numCache>
            </c:numRef>
          </c:yVal>
        </c:ser>
        <c:axId val="223824512"/>
        <c:axId val="223838592"/>
      </c:scatterChart>
      <c:valAx>
        <c:axId val="223824512"/>
        <c:scaling>
          <c:orientation val="minMax"/>
          <c:max val="100"/>
          <c:min val="60"/>
        </c:scaling>
        <c:axPos val="b"/>
        <c:numFmt formatCode="General" sourceLinked="1"/>
        <c:tickLblPos val="nextTo"/>
        <c:crossAx val="223838592"/>
        <c:crosses val="autoZero"/>
        <c:crossBetween val="midCat"/>
      </c:valAx>
      <c:valAx>
        <c:axId val="223838592"/>
        <c:scaling>
          <c:orientation val="minMax"/>
          <c:min val="60"/>
        </c:scaling>
        <c:axPos val="l"/>
        <c:majorGridlines/>
        <c:numFmt formatCode="General" sourceLinked="1"/>
        <c:tickLblPos val="nextTo"/>
        <c:crossAx val="223824512"/>
        <c:crosses val="autoZero"/>
        <c:crossBetween val="midCat"/>
      </c:valAx>
    </c:plotArea>
    <c:legend>
      <c:legendPos val="r"/>
      <c:layout>
        <c:manualLayout>
          <c:xMode val="edge"/>
          <c:yMode val="edge"/>
          <c:x val="0.10658333333333332"/>
          <c:y val="0.24961614173228369"/>
          <c:w val="0.25730555555555557"/>
          <c:h val="0.16743438320209994"/>
        </c:manualLayout>
      </c:layout>
    </c:legend>
    <c:plotVisOnly val="1"/>
  </c:chart>
  <c:printSettings>
    <c:headerFooter/>
    <c:pageMargins b="0.75000000000000044" l="0.7000000000000004" r="0.7000000000000004" t="0.75000000000000044" header="0.30000000000000021" footer="0.3000000000000002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Mean Luminace of &lt;</a:t>
            </a:r>
            <a:r>
              <a:rPr lang="en-US" sz="1200" baseline="0"/>
              <a:t> 400 Center Corrected and Mov. Avg Width Frames</a:t>
            </a:r>
            <a:r>
              <a:rPr lang="en-US" sz="1200"/>
              <a:t>  </a:t>
            </a:r>
          </a:p>
        </c:rich>
      </c:tx>
      <c:layout/>
    </c:title>
    <c:plotArea>
      <c:layout>
        <c:manualLayout>
          <c:layoutTarget val="inner"/>
          <c:xMode val="edge"/>
          <c:yMode val="edge"/>
          <c:x val="0.12496062992125997"/>
          <c:y val="0.19480351414406533"/>
          <c:w val="0.82178237095363049"/>
          <c:h val="0.63829068241469877"/>
        </c:manualLayout>
      </c:layout>
      <c:scatterChart>
        <c:scatterStyle val="lineMarker"/>
        <c:ser>
          <c:idx val="0"/>
          <c:order val="0"/>
          <c:tx>
            <c:strRef>
              <c:f>'Comparison of stacks'!$I$13</c:f>
              <c:strCache>
                <c:ptCount val="1"/>
                <c:pt idx="0">
                  <c:v>Mean</c:v>
                </c:pt>
              </c:strCache>
            </c:strRef>
          </c:tx>
          <c:spPr>
            <a:ln w="25400"/>
          </c:spPr>
          <c:marker>
            <c:symbol val="diamond"/>
            <c:size val="4"/>
          </c:marker>
          <c:trendline>
            <c:trendlineType val="poly"/>
            <c:order val="3"/>
            <c:dispEq val="1"/>
            <c:trendlineLbl>
              <c:layout>
                <c:manualLayout>
                  <c:x val="-0.22422426150110991"/>
                  <c:y val="-0.41370267314045173"/>
                </c:manualLayout>
              </c:layout>
              <c:numFmt formatCode="General" sourceLinked="0"/>
            </c:trendlineLbl>
          </c:trendline>
          <c:xVal>
            <c:numRef>
              <c:f>'Comparison of stacks'!$A$14:$A$141</c:f>
              <c:numCache>
                <c:formatCode>General</c:formatCode>
                <c:ptCount val="1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numCache>
            </c:numRef>
          </c:xVal>
          <c:yVal>
            <c:numRef>
              <c:f>'Comparison of stacks'!$I$14:$I$141</c:f>
              <c:numCache>
                <c:formatCode>General</c:formatCode>
                <c:ptCount val="128"/>
                <c:pt idx="0">
                  <c:v>134.982</c:v>
                </c:pt>
                <c:pt idx="1">
                  <c:v>127.09099999999999</c:v>
                </c:pt>
                <c:pt idx="2">
                  <c:v>128.03100000000001</c:v>
                </c:pt>
                <c:pt idx="3">
                  <c:v>131.99</c:v>
                </c:pt>
                <c:pt idx="4">
                  <c:v>126.845</c:v>
                </c:pt>
                <c:pt idx="5">
                  <c:v>125.04600000000001</c:v>
                </c:pt>
                <c:pt idx="6">
                  <c:v>127.998</c:v>
                </c:pt>
                <c:pt idx="7">
                  <c:v>130.18299999999999</c:v>
                </c:pt>
                <c:pt idx="8">
                  <c:v>122.377</c:v>
                </c:pt>
                <c:pt idx="9">
                  <c:v>122.068</c:v>
                </c:pt>
                <c:pt idx="10">
                  <c:v>127.245</c:v>
                </c:pt>
                <c:pt idx="11">
                  <c:v>128.374</c:v>
                </c:pt>
                <c:pt idx="12">
                  <c:v>122.486</c:v>
                </c:pt>
                <c:pt idx="13">
                  <c:v>125.25</c:v>
                </c:pt>
                <c:pt idx="14">
                  <c:v>127.21899999999999</c:v>
                </c:pt>
                <c:pt idx="15">
                  <c:v>121.663</c:v>
                </c:pt>
                <c:pt idx="16">
                  <c:v>120.611</c:v>
                </c:pt>
                <c:pt idx="17">
                  <c:v>124.529</c:v>
                </c:pt>
                <c:pt idx="18">
                  <c:v>128.06899999999999</c:v>
                </c:pt>
                <c:pt idx="19">
                  <c:v>121.886</c:v>
                </c:pt>
                <c:pt idx="20">
                  <c:v>121.036</c:v>
                </c:pt>
                <c:pt idx="21">
                  <c:v>124.85299999999999</c:v>
                </c:pt>
                <c:pt idx="22">
                  <c:v>125.33199999999999</c:v>
                </c:pt>
                <c:pt idx="23">
                  <c:v>119.658</c:v>
                </c:pt>
                <c:pt idx="24">
                  <c:v>121.89</c:v>
                </c:pt>
                <c:pt idx="25">
                  <c:v>126.729</c:v>
                </c:pt>
                <c:pt idx="26">
                  <c:v>124.926</c:v>
                </c:pt>
                <c:pt idx="27">
                  <c:v>119.705</c:v>
                </c:pt>
                <c:pt idx="28">
                  <c:v>120.943</c:v>
                </c:pt>
                <c:pt idx="29">
                  <c:v>125.215</c:v>
                </c:pt>
                <c:pt idx="30">
                  <c:v>120.294</c:v>
                </c:pt>
                <c:pt idx="31">
                  <c:v>120.164</c:v>
                </c:pt>
                <c:pt idx="32">
                  <c:v>124.52800000000001</c:v>
                </c:pt>
                <c:pt idx="33">
                  <c:v>127.911</c:v>
                </c:pt>
                <c:pt idx="34">
                  <c:v>119.925</c:v>
                </c:pt>
                <c:pt idx="35">
                  <c:v>120.17100000000001</c:v>
                </c:pt>
                <c:pt idx="36">
                  <c:v>126.664</c:v>
                </c:pt>
                <c:pt idx="37">
                  <c:v>125.83799999999999</c:v>
                </c:pt>
                <c:pt idx="38">
                  <c:v>120.776</c:v>
                </c:pt>
                <c:pt idx="39">
                  <c:v>123.20699999999999</c:v>
                </c:pt>
                <c:pt idx="40">
                  <c:v>127.08499999999999</c:v>
                </c:pt>
                <c:pt idx="41">
                  <c:v>119.61</c:v>
                </c:pt>
                <c:pt idx="42">
                  <c:v>119.07</c:v>
                </c:pt>
                <c:pt idx="43">
                  <c:v>123.282</c:v>
                </c:pt>
                <c:pt idx="44">
                  <c:v>127.821</c:v>
                </c:pt>
                <c:pt idx="45">
                  <c:v>120.991</c:v>
                </c:pt>
                <c:pt idx="46">
                  <c:v>122.111</c:v>
                </c:pt>
                <c:pt idx="47">
                  <c:v>124.56399999999999</c:v>
                </c:pt>
                <c:pt idx="48">
                  <c:v>120.627</c:v>
                </c:pt>
                <c:pt idx="49">
                  <c:v>118.276</c:v>
                </c:pt>
                <c:pt idx="50">
                  <c:v>121.518</c:v>
                </c:pt>
                <c:pt idx="51">
                  <c:v>125.01900000000001</c:v>
                </c:pt>
                <c:pt idx="52">
                  <c:v>119.85599999999999</c:v>
                </c:pt>
                <c:pt idx="53">
                  <c:v>118.205</c:v>
                </c:pt>
                <c:pt idx="54">
                  <c:v>119.661</c:v>
                </c:pt>
                <c:pt idx="55">
                  <c:v>120.446</c:v>
                </c:pt>
                <c:pt idx="56">
                  <c:v>116.04600000000001</c:v>
                </c:pt>
                <c:pt idx="57">
                  <c:v>118.538</c:v>
                </c:pt>
                <c:pt idx="58">
                  <c:v>121.685</c:v>
                </c:pt>
                <c:pt idx="59">
                  <c:v>120.425</c:v>
                </c:pt>
                <c:pt idx="60">
                  <c:v>117.259</c:v>
                </c:pt>
                <c:pt idx="61">
                  <c:v>118.35899999999999</c:v>
                </c:pt>
                <c:pt idx="62">
                  <c:v>123.175</c:v>
                </c:pt>
                <c:pt idx="63">
                  <c:v>116.98099999999999</c:v>
                </c:pt>
                <c:pt idx="64">
                  <c:v>118.40900000000001</c:v>
                </c:pt>
                <c:pt idx="65">
                  <c:v>121.617</c:v>
                </c:pt>
                <c:pt idx="66">
                  <c:v>124.018</c:v>
                </c:pt>
                <c:pt idx="67">
                  <c:v>117.127</c:v>
                </c:pt>
                <c:pt idx="68">
                  <c:v>117.178</c:v>
                </c:pt>
                <c:pt idx="69">
                  <c:v>120.633</c:v>
                </c:pt>
                <c:pt idx="70">
                  <c:v>120.09</c:v>
                </c:pt>
                <c:pt idx="71">
                  <c:v>117.997</c:v>
                </c:pt>
                <c:pt idx="72">
                  <c:v>121.35299999999999</c:v>
                </c:pt>
                <c:pt idx="73">
                  <c:v>124.732</c:v>
                </c:pt>
                <c:pt idx="74">
                  <c:v>117.742</c:v>
                </c:pt>
                <c:pt idx="75">
                  <c:v>117.471</c:v>
                </c:pt>
                <c:pt idx="76">
                  <c:v>122.277</c:v>
                </c:pt>
                <c:pt idx="77">
                  <c:v>125.134</c:v>
                </c:pt>
                <c:pt idx="78">
                  <c:v>118.988</c:v>
                </c:pt>
                <c:pt idx="79">
                  <c:v>120.273</c:v>
                </c:pt>
                <c:pt idx="80">
                  <c:v>122.458</c:v>
                </c:pt>
                <c:pt idx="81">
                  <c:v>119.85899999999999</c:v>
                </c:pt>
                <c:pt idx="82">
                  <c:v>117.12</c:v>
                </c:pt>
                <c:pt idx="83">
                  <c:v>121.321</c:v>
                </c:pt>
                <c:pt idx="84">
                  <c:v>125.98</c:v>
                </c:pt>
                <c:pt idx="85">
                  <c:v>118.875</c:v>
                </c:pt>
                <c:pt idx="86">
                  <c:v>118.40600000000001</c:v>
                </c:pt>
                <c:pt idx="87">
                  <c:v>121.041</c:v>
                </c:pt>
                <c:pt idx="88">
                  <c:v>124.464</c:v>
                </c:pt>
                <c:pt idx="89">
                  <c:v>117.967</c:v>
                </c:pt>
                <c:pt idx="90">
                  <c:v>120.193</c:v>
                </c:pt>
                <c:pt idx="91">
                  <c:v>126.19499999999999</c:v>
                </c:pt>
                <c:pt idx="92">
                  <c:v>124.175</c:v>
                </c:pt>
                <c:pt idx="93">
                  <c:v>118.711</c:v>
                </c:pt>
                <c:pt idx="94">
                  <c:v>119.02800000000001</c:v>
                </c:pt>
                <c:pt idx="95">
                  <c:v>122.444</c:v>
                </c:pt>
                <c:pt idx="96">
                  <c:v>118.473</c:v>
                </c:pt>
                <c:pt idx="97">
                  <c:v>118.79600000000001</c:v>
                </c:pt>
                <c:pt idx="98">
                  <c:v>122.15900000000001</c:v>
                </c:pt>
                <c:pt idx="99">
                  <c:v>124.509</c:v>
                </c:pt>
                <c:pt idx="100">
                  <c:v>118.044</c:v>
                </c:pt>
                <c:pt idx="101">
                  <c:v>117.828</c:v>
                </c:pt>
                <c:pt idx="102">
                  <c:v>122.39700000000001</c:v>
                </c:pt>
                <c:pt idx="103">
                  <c:v>123.438</c:v>
                </c:pt>
                <c:pt idx="104">
                  <c:v>119.911</c:v>
                </c:pt>
                <c:pt idx="105">
                  <c:v>122.70699999999999</c:v>
                </c:pt>
                <c:pt idx="106">
                  <c:v>126.96299999999999</c:v>
                </c:pt>
                <c:pt idx="107">
                  <c:v>119.736</c:v>
                </c:pt>
                <c:pt idx="108">
                  <c:v>118.018</c:v>
                </c:pt>
                <c:pt idx="109">
                  <c:v>123.664</c:v>
                </c:pt>
                <c:pt idx="110">
                  <c:v>127.08799999999999</c:v>
                </c:pt>
                <c:pt idx="111">
                  <c:v>119.884</c:v>
                </c:pt>
                <c:pt idx="112">
                  <c:v>122.41500000000001</c:v>
                </c:pt>
                <c:pt idx="113">
                  <c:v>123.989</c:v>
                </c:pt>
                <c:pt idx="114">
                  <c:v>120.342</c:v>
                </c:pt>
                <c:pt idx="115">
                  <c:v>117.56699999999999</c:v>
                </c:pt>
                <c:pt idx="116">
                  <c:v>122.40600000000001</c:v>
                </c:pt>
                <c:pt idx="117">
                  <c:v>125.622</c:v>
                </c:pt>
                <c:pt idx="118">
                  <c:v>119.407</c:v>
                </c:pt>
                <c:pt idx="119">
                  <c:v>120.07299999999999</c:v>
                </c:pt>
                <c:pt idx="120">
                  <c:v>122.45699999999999</c:v>
                </c:pt>
                <c:pt idx="121">
                  <c:v>122.5</c:v>
                </c:pt>
                <c:pt idx="122">
                  <c:v>118.02200000000001</c:v>
                </c:pt>
                <c:pt idx="123">
                  <c:v>121.04900000000001</c:v>
                </c:pt>
                <c:pt idx="124">
                  <c:v>123.82</c:v>
                </c:pt>
                <c:pt idx="125">
                  <c:v>121.04</c:v>
                </c:pt>
                <c:pt idx="126">
                  <c:v>112.39</c:v>
                </c:pt>
                <c:pt idx="127">
                  <c:v>121.937</c:v>
                </c:pt>
              </c:numCache>
            </c:numRef>
          </c:yVal>
        </c:ser>
        <c:axId val="224469760"/>
        <c:axId val="224471680"/>
      </c:scatterChart>
      <c:valAx>
        <c:axId val="224469760"/>
        <c:scaling>
          <c:orientation val="minMax"/>
          <c:max val="120"/>
        </c:scaling>
        <c:axPos val="b"/>
        <c:title>
          <c:tx>
            <c:rich>
              <a:bodyPr/>
              <a:lstStyle/>
              <a:p>
                <a:pPr>
                  <a:defRPr/>
                </a:pPr>
                <a:r>
                  <a:rPr lang="en-US"/>
                  <a:t>Frame</a:t>
                </a:r>
              </a:p>
            </c:rich>
          </c:tx>
          <c:layout/>
        </c:title>
        <c:numFmt formatCode="General" sourceLinked="1"/>
        <c:tickLblPos val="nextTo"/>
        <c:crossAx val="224471680"/>
        <c:crosses val="autoZero"/>
        <c:crossBetween val="midCat"/>
      </c:valAx>
      <c:valAx>
        <c:axId val="224471680"/>
        <c:scaling>
          <c:orientation val="minMax"/>
          <c:max val="140"/>
          <c:min val="115"/>
        </c:scaling>
        <c:axPos val="l"/>
        <c:majorGridlines/>
        <c:title>
          <c:tx>
            <c:rich>
              <a:bodyPr rot="-5400000" vert="horz"/>
              <a:lstStyle/>
              <a:p>
                <a:pPr>
                  <a:defRPr/>
                </a:pPr>
                <a:r>
                  <a:rPr lang="en-US"/>
                  <a:t>Mean</a:t>
                </a:r>
                <a:r>
                  <a:rPr lang="en-US" baseline="0"/>
                  <a:t> RGB Luminacnce</a:t>
                </a:r>
                <a:endParaRPr lang="en-US"/>
              </a:p>
            </c:rich>
          </c:tx>
          <c:layout/>
        </c:title>
        <c:numFmt formatCode="General" sourceLinked="1"/>
        <c:tickLblPos val="nextTo"/>
        <c:crossAx val="224469760"/>
        <c:crosses val="autoZero"/>
        <c:crossBetween val="midCat"/>
      </c:valAx>
      <c:spPr>
        <a:ln>
          <a:solidFill>
            <a:schemeClr val="tx1"/>
          </a:solidFill>
        </a:ln>
      </c:spPr>
    </c:plotArea>
    <c:plotVisOnly val="1"/>
  </c:chart>
  <c:printSettings>
    <c:headerFooter/>
    <c:pageMargins b="0.75000000000000033" l="0.70000000000000029" r="0.70000000000000029" t="0.75000000000000033" header="0.30000000000000016" footer="0.30000000000000016"/>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Avg.</a:t>
            </a:r>
            <a:r>
              <a:rPr lang="en-US" sz="1200" baseline="0"/>
              <a:t> Frame Luminance vs. PSI Center for Corrected Centers and Mov. Avg. PSI Widths</a:t>
            </a:r>
            <a:endParaRPr lang="en-US" sz="1200"/>
          </a:p>
        </c:rich>
      </c:tx>
      <c:layout/>
      <c:overlay val="1"/>
    </c:title>
    <c:plotArea>
      <c:layout>
        <c:manualLayout>
          <c:layoutTarget val="inner"/>
          <c:xMode val="edge"/>
          <c:yMode val="edge"/>
          <c:x val="0.11914281424266444"/>
          <c:y val="0.21074082794955187"/>
          <c:w val="0.82781427758320314"/>
          <c:h val="0.62548086120881252"/>
        </c:manualLayout>
      </c:layout>
      <c:scatterChart>
        <c:scatterStyle val="lineMarker"/>
        <c:ser>
          <c:idx val="0"/>
          <c:order val="0"/>
          <c:tx>
            <c:v>Mean RGB</c:v>
          </c:tx>
          <c:spPr>
            <a:ln w="28575">
              <a:noFill/>
            </a:ln>
          </c:spPr>
          <c:marker>
            <c:symbol val="diamond"/>
            <c:size val="7"/>
            <c:spPr>
              <a:solidFill>
                <a:srgbClr val="00B050"/>
              </a:solidFill>
            </c:spPr>
          </c:marker>
          <c:trendline>
            <c:trendlineType val="poly"/>
            <c:order val="4"/>
          </c:trendline>
          <c:xVal>
            <c:numRef>
              <c:f>'Comparison of stacks'!$J$15:$J$133</c:f>
              <c:numCache>
                <c:formatCode>General</c:formatCode>
                <c:ptCount val="119"/>
                <c:pt idx="0">
                  <c:v>210</c:v>
                </c:pt>
                <c:pt idx="1">
                  <c:v>570</c:v>
                </c:pt>
                <c:pt idx="2">
                  <c:v>950</c:v>
                </c:pt>
                <c:pt idx="3">
                  <c:v>1290</c:v>
                </c:pt>
                <c:pt idx="4">
                  <c:v>344</c:v>
                </c:pt>
                <c:pt idx="5">
                  <c:v>700</c:v>
                </c:pt>
                <c:pt idx="6">
                  <c:v>1070</c:v>
                </c:pt>
                <c:pt idx="7">
                  <c:v>111</c:v>
                </c:pt>
                <c:pt idx="8">
                  <c:v>440</c:v>
                </c:pt>
                <c:pt idx="9">
                  <c:v>810</c:v>
                </c:pt>
                <c:pt idx="10">
                  <c:v>1170</c:v>
                </c:pt>
                <c:pt idx="11">
                  <c:v>214</c:v>
                </c:pt>
                <c:pt idx="12">
                  <c:v>550</c:v>
                </c:pt>
                <c:pt idx="13">
                  <c:v>940</c:v>
                </c:pt>
                <c:pt idx="14">
                  <c:v>1290</c:v>
                </c:pt>
                <c:pt idx="15">
                  <c:v>344</c:v>
                </c:pt>
                <c:pt idx="16">
                  <c:v>700</c:v>
                </c:pt>
                <c:pt idx="17">
                  <c:v>1080</c:v>
                </c:pt>
                <c:pt idx="18">
                  <c:v>124</c:v>
                </c:pt>
                <c:pt idx="19">
                  <c:v>460</c:v>
                </c:pt>
                <c:pt idx="20">
                  <c:v>840</c:v>
                </c:pt>
                <c:pt idx="21">
                  <c:v>1180</c:v>
                </c:pt>
                <c:pt idx="22">
                  <c:v>221</c:v>
                </c:pt>
                <c:pt idx="23">
                  <c:v>550</c:v>
                </c:pt>
                <c:pt idx="24">
                  <c:v>930</c:v>
                </c:pt>
                <c:pt idx="25">
                  <c:v>1290</c:v>
                </c:pt>
                <c:pt idx="26">
                  <c:v>334</c:v>
                </c:pt>
                <c:pt idx="27">
                  <c:v>670</c:v>
                </c:pt>
                <c:pt idx="28">
                  <c:v>1020</c:v>
                </c:pt>
                <c:pt idx="29">
                  <c:v>61</c:v>
                </c:pt>
                <c:pt idx="30">
                  <c:v>400</c:v>
                </c:pt>
                <c:pt idx="31">
                  <c:v>770</c:v>
                </c:pt>
                <c:pt idx="32">
                  <c:v>1130</c:v>
                </c:pt>
                <c:pt idx="33">
                  <c:v>171</c:v>
                </c:pt>
                <c:pt idx="34">
                  <c:v>500</c:v>
                </c:pt>
                <c:pt idx="35">
                  <c:v>880</c:v>
                </c:pt>
                <c:pt idx="36">
                  <c:v>1240</c:v>
                </c:pt>
                <c:pt idx="37">
                  <c:v>281</c:v>
                </c:pt>
                <c:pt idx="38">
                  <c:v>610</c:v>
                </c:pt>
                <c:pt idx="39">
                  <c:v>980</c:v>
                </c:pt>
                <c:pt idx="40">
                  <c:v>24</c:v>
                </c:pt>
                <c:pt idx="41">
                  <c:v>365</c:v>
                </c:pt>
                <c:pt idx="42">
                  <c:v>730</c:v>
                </c:pt>
                <c:pt idx="43">
                  <c:v>1100</c:v>
                </c:pt>
                <c:pt idx="44">
                  <c:v>144</c:v>
                </c:pt>
                <c:pt idx="45">
                  <c:v>480</c:v>
                </c:pt>
                <c:pt idx="46">
                  <c:v>870</c:v>
                </c:pt>
                <c:pt idx="47">
                  <c:v>1240</c:v>
                </c:pt>
                <c:pt idx="48">
                  <c:v>284</c:v>
                </c:pt>
                <c:pt idx="49">
                  <c:v>620</c:v>
                </c:pt>
                <c:pt idx="50">
                  <c:v>1000</c:v>
                </c:pt>
                <c:pt idx="51">
                  <c:v>44</c:v>
                </c:pt>
                <c:pt idx="52">
                  <c:v>385</c:v>
                </c:pt>
                <c:pt idx="53">
                  <c:v>760</c:v>
                </c:pt>
                <c:pt idx="54">
                  <c:v>1120</c:v>
                </c:pt>
                <c:pt idx="55">
                  <c:v>167</c:v>
                </c:pt>
                <c:pt idx="56">
                  <c:v>510</c:v>
                </c:pt>
                <c:pt idx="57">
                  <c:v>890</c:v>
                </c:pt>
                <c:pt idx="58">
                  <c:v>1270</c:v>
                </c:pt>
                <c:pt idx="59">
                  <c:v>321</c:v>
                </c:pt>
                <c:pt idx="60">
                  <c:v>670</c:v>
                </c:pt>
                <c:pt idx="61">
                  <c:v>1040</c:v>
                </c:pt>
                <c:pt idx="62">
                  <c:v>84</c:v>
                </c:pt>
                <c:pt idx="63">
                  <c:v>420</c:v>
                </c:pt>
                <c:pt idx="64">
                  <c:v>800</c:v>
                </c:pt>
                <c:pt idx="65">
                  <c:v>1170</c:v>
                </c:pt>
                <c:pt idx="66">
                  <c:v>211</c:v>
                </c:pt>
                <c:pt idx="67">
                  <c:v>540</c:v>
                </c:pt>
                <c:pt idx="68">
                  <c:v>910</c:v>
                </c:pt>
                <c:pt idx="69">
                  <c:v>1270</c:v>
                </c:pt>
                <c:pt idx="70">
                  <c:v>317</c:v>
                </c:pt>
                <c:pt idx="71">
                  <c:v>660</c:v>
                </c:pt>
                <c:pt idx="72">
                  <c:v>1030</c:v>
                </c:pt>
                <c:pt idx="73">
                  <c:v>74</c:v>
                </c:pt>
                <c:pt idx="74">
                  <c:v>410</c:v>
                </c:pt>
                <c:pt idx="75">
                  <c:v>780</c:v>
                </c:pt>
                <c:pt idx="76">
                  <c:v>1160</c:v>
                </c:pt>
                <c:pt idx="77">
                  <c:v>204</c:v>
                </c:pt>
                <c:pt idx="78">
                  <c:v>540</c:v>
                </c:pt>
                <c:pt idx="79">
                  <c:v>920</c:v>
                </c:pt>
                <c:pt idx="80">
                  <c:v>1280</c:v>
                </c:pt>
                <c:pt idx="81">
                  <c:v>324</c:v>
                </c:pt>
                <c:pt idx="82">
                  <c:v>660</c:v>
                </c:pt>
                <c:pt idx="83">
                  <c:v>1030</c:v>
                </c:pt>
                <c:pt idx="84">
                  <c:v>74</c:v>
                </c:pt>
                <c:pt idx="85">
                  <c:v>410</c:v>
                </c:pt>
                <c:pt idx="86">
                  <c:v>800</c:v>
                </c:pt>
                <c:pt idx="87">
                  <c:v>1160</c:v>
                </c:pt>
                <c:pt idx="88">
                  <c:v>201</c:v>
                </c:pt>
                <c:pt idx="89">
                  <c:v>530</c:v>
                </c:pt>
                <c:pt idx="90">
                  <c:v>900</c:v>
                </c:pt>
                <c:pt idx="91">
                  <c:v>1270</c:v>
                </c:pt>
                <c:pt idx="92">
                  <c:v>314</c:v>
                </c:pt>
                <c:pt idx="93">
                  <c:v>650</c:v>
                </c:pt>
                <c:pt idx="94">
                  <c:v>1010</c:v>
                </c:pt>
                <c:pt idx="95">
                  <c:v>51</c:v>
                </c:pt>
                <c:pt idx="96">
                  <c:v>380</c:v>
                </c:pt>
                <c:pt idx="97">
                  <c:v>750</c:v>
                </c:pt>
                <c:pt idx="98">
                  <c:v>1130</c:v>
                </c:pt>
                <c:pt idx="99">
                  <c:v>174</c:v>
                </c:pt>
                <c:pt idx="100">
                  <c:v>510</c:v>
                </c:pt>
                <c:pt idx="101">
                  <c:v>880</c:v>
                </c:pt>
                <c:pt idx="102">
                  <c:v>1260</c:v>
                </c:pt>
                <c:pt idx="103">
                  <c:v>307</c:v>
                </c:pt>
                <c:pt idx="104">
                  <c:v>650</c:v>
                </c:pt>
                <c:pt idx="105">
                  <c:v>1030</c:v>
                </c:pt>
                <c:pt idx="106">
                  <c:v>71</c:v>
                </c:pt>
                <c:pt idx="107">
                  <c:v>400</c:v>
                </c:pt>
                <c:pt idx="108">
                  <c:v>770</c:v>
                </c:pt>
                <c:pt idx="109">
                  <c:v>1140</c:v>
                </c:pt>
                <c:pt idx="110">
                  <c:v>187</c:v>
                </c:pt>
                <c:pt idx="111">
                  <c:v>530</c:v>
                </c:pt>
                <c:pt idx="112">
                  <c:v>900</c:v>
                </c:pt>
                <c:pt idx="113">
                  <c:v>1270</c:v>
                </c:pt>
                <c:pt idx="114">
                  <c:v>321</c:v>
                </c:pt>
                <c:pt idx="115">
                  <c:v>670</c:v>
                </c:pt>
                <c:pt idx="116">
                  <c:v>1050</c:v>
                </c:pt>
                <c:pt idx="117">
                  <c:v>94</c:v>
                </c:pt>
                <c:pt idx="118">
                  <c:v>430</c:v>
                </c:pt>
              </c:numCache>
            </c:numRef>
          </c:xVal>
          <c:yVal>
            <c:numRef>
              <c:f>'Comparison of stacks'!$I$15:$I$133</c:f>
              <c:numCache>
                <c:formatCode>General</c:formatCode>
                <c:ptCount val="119"/>
                <c:pt idx="0">
                  <c:v>127.09099999999999</c:v>
                </c:pt>
                <c:pt idx="1">
                  <c:v>128.03100000000001</c:v>
                </c:pt>
                <c:pt idx="2">
                  <c:v>131.99</c:v>
                </c:pt>
                <c:pt idx="3">
                  <c:v>126.845</c:v>
                </c:pt>
                <c:pt idx="4">
                  <c:v>125.04600000000001</c:v>
                </c:pt>
                <c:pt idx="5">
                  <c:v>127.998</c:v>
                </c:pt>
                <c:pt idx="6">
                  <c:v>130.18299999999999</c:v>
                </c:pt>
                <c:pt idx="7">
                  <c:v>122.377</c:v>
                </c:pt>
                <c:pt idx="8">
                  <c:v>122.068</c:v>
                </c:pt>
                <c:pt idx="9">
                  <c:v>127.245</c:v>
                </c:pt>
                <c:pt idx="10">
                  <c:v>128.374</c:v>
                </c:pt>
                <c:pt idx="11">
                  <c:v>122.486</c:v>
                </c:pt>
                <c:pt idx="12">
                  <c:v>125.25</c:v>
                </c:pt>
                <c:pt idx="13">
                  <c:v>127.21899999999999</c:v>
                </c:pt>
                <c:pt idx="14">
                  <c:v>121.663</c:v>
                </c:pt>
                <c:pt idx="15">
                  <c:v>120.611</c:v>
                </c:pt>
                <c:pt idx="16">
                  <c:v>124.529</c:v>
                </c:pt>
                <c:pt idx="17">
                  <c:v>128.06899999999999</c:v>
                </c:pt>
                <c:pt idx="18">
                  <c:v>121.886</c:v>
                </c:pt>
                <c:pt idx="19">
                  <c:v>121.036</c:v>
                </c:pt>
                <c:pt idx="20">
                  <c:v>124.85299999999999</c:v>
                </c:pt>
                <c:pt idx="21">
                  <c:v>125.33199999999999</c:v>
                </c:pt>
                <c:pt idx="22">
                  <c:v>119.658</c:v>
                </c:pt>
                <c:pt idx="23">
                  <c:v>121.89</c:v>
                </c:pt>
                <c:pt idx="24">
                  <c:v>126.729</c:v>
                </c:pt>
                <c:pt idx="25">
                  <c:v>124.926</c:v>
                </c:pt>
                <c:pt idx="26">
                  <c:v>119.705</c:v>
                </c:pt>
                <c:pt idx="27">
                  <c:v>120.943</c:v>
                </c:pt>
                <c:pt idx="28">
                  <c:v>125.215</c:v>
                </c:pt>
                <c:pt idx="29">
                  <c:v>120.294</c:v>
                </c:pt>
                <c:pt idx="30">
                  <c:v>120.164</c:v>
                </c:pt>
                <c:pt idx="31">
                  <c:v>124.52800000000001</c:v>
                </c:pt>
                <c:pt idx="32">
                  <c:v>127.911</c:v>
                </c:pt>
                <c:pt idx="33">
                  <c:v>119.925</c:v>
                </c:pt>
                <c:pt idx="34">
                  <c:v>120.17100000000001</c:v>
                </c:pt>
                <c:pt idx="35">
                  <c:v>126.664</c:v>
                </c:pt>
                <c:pt idx="36">
                  <c:v>125.83799999999999</c:v>
                </c:pt>
                <c:pt idx="37">
                  <c:v>120.776</c:v>
                </c:pt>
                <c:pt idx="38">
                  <c:v>123.20699999999999</c:v>
                </c:pt>
                <c:pt idx="39">
                  <c:v>127.08499999999999</c:v>
                </c:pt>
                <c:pt idx="40">
                  <c:v>119.61</c:v>
                </c:pt>
                <c:pt idx="41">
                  <c:v>119.07</c:v>
                </c:pt>
                <c:pt idx="42">
                  <c:v>123.282</c:v>
                </c:pt>
                <c:pt idx="43">
                  <c:v>127.821</c:v>
                </c:pt>
                <c:pt idx="44">
                  <c:v>120.991</c:v>
                </c:pt>
                <c:pt idx="45">
                  <c:v>122.111</c:v>
                </c:pt>
                <c:pt idx="46">
                  <c:v>124.56399999999999</c:v>
                </c:pt>
                <c:pt idx="47">
                  <c:v>120.627</c:v>
                </c:pt>
                <c:pt idx="48">
                  <c:v>118.276</c:v>
                </c:pt>
                <c:pt idx="49">
                  <c:v>121.518</c:v>
                </c:pt>
                <c:pt idx="50">
                  <c:v>125.01900000000001</c:v>
                </c:pt>
                <c:pt idx="51">
                  <c:v>119.85599999999999</c:v>
                </c:pt>
                <c:pt idx="52">
                  <c:v>118.205</c:v>
                </c:pt>
                <c:pt idx="53">
                  <c:v>119.661</c:v>
                </c:pt>
                <c:pt idx="54">
                  <c:v>120.446</c:v>
                </c:pt>
                <c:pt idx="55">
                  <c:v>116.04600000000001</c:v>
                </c:pt>
                <c:pt idx="56">
                  <c:v>118.538</c:v>
                </c:pt>
                <c:pt idx="57">
                  <c:v>121.685</c:v>
                </c:pt>
                <c:pt idx="58">
                  <c:v>120.425</c:v>
                </c:pt>
                <c:pt idx="59">
                  <c:v>117.259</c:v>
                </c:pt>
                <c:pt idx="60">
                  <c:v>118.35899999999999</c:v>
                </c:pt>
                <c:pt idx="61">
                  <c:v>123.175</c:v>
                </c:pt>
                <c:pt idx="62">
                  <c:v>116.98099999999999</c:v>
                </c:pt>
                <c:pt idx="63">
                  <c:v>118.40900000000001</c:v>
                </c:pt>
                <c:pt idx="64">
                  <c:v>121.617</c:v>
                </c:pt>
                <c:pt idx="65">
                  <c:v>124.018</c:v>
                </c:pt>
                <c:pt idx="66">
                  <c:v>117.127</c:v>
                </c:pt>
                <c:pt idx="67">
                  <c:v>117.178</c:v>
                </c:pt>
                <c:pt idx="68">
                  <c:v>120.633</c:v>
                </c:pt>
                <c:pt idx="69">
                  <c:v>120.09</c:v>
                </c:pt>
                <c:pt idx="70">
                  <c:v>117.997</c:v>
                </c:pt>
                <c:pt idx="71">
                  <c:v>121.35299999999999</c:v>
                </c:pt>
                <c:pt idx="72">
                  <c:v>124.732</c:v>
                </c:pt>
                <c:pt idx="73">
                  <c:v>117.742</c:v>
                </c:pt>
                <c:pt idx="74">
                  <c:v>117.471</c:v>
                </c:pt>
                <c:pt idx="75">
                  <c:v>122.277</c:v>
                </c:pt>
                <c:pt idx="76">
                  <c:v>125.134</c:v>
                </c:pt>
                <c:pt idx="77">
                  <c:v>118.988</c:v>
                </c:pt>
                <c:pt idx="78">
                  <c:v>120.273</c:v>
                </c:pt>
                <c:pt idx="79">
                  <c:v>122.458</c:v>
                </c:pt>
                <c:pt idx="80">
                  <c:v>119.85899999999999</c:v>
                </c:pt>
                <c:pt idx="81">
                  <c:v>117.12</c:v>
                </c:pt>
                <c:pt idx="82">
                  <c:v>121.321</c:v>
                </c:pt>
                <c:pt idx="83">
                  <c:v>125.98</c:v>
                </c:pt>
                <c:pt idx="84">
                  <c:v>118.875</c:v>
                </c:pt>
                <c:pt idx="85">
                  <c:v>118.40600000000001</c:v>
                </c:pt>
                <c:pt idx="86">
                  <c:v>121.041</c:v>
                </c:pt>
                <c:pt idx="87">
                  <c:v>124.464</c:v>
                </c:pt>
                <c:pt idx="88">
                  <c:v>117.967</c:v>
                </c:pt>
                <c:pt idx="89">
                  <c:v>120.193</c:v>
                </c:pt>
                <c:pt idx="90">
                  <c:v>126.19499999999999</c:v>
                </c:pt>
                <c:pt idx="91">
                  <c:v>124.175</c:v>
                </c:pt>
                <c:pt idx="92">
                  <c:v>118.711</c:v>
                </c:pt>
                <c:pt idx="93">
                  <c:v>119.02800000000001</c:v>
                </c:pt>
                <c:pt idx="94">
                  <c:v>122.444</c:v>
                </c:pt>
                <c:pt idx="95">
                  <c:v>118.473</c:v>
                </c:pt>
                <c:pt idx="96">
                  <c:v>118.79600000000001</c:v>
                </c:pt>
                <c:pt idx="97">
                  <c:v>122.15900000000001</c:v>
                </c:pt>
                <c:pt idx="98">
                  <c:v>124.509</c:v>
                </c:pt>
                <c:pt idx="99">
                  <c:v>118.044</c:v>
                </c:pt>
                <c:pt idx="100">
                  <c:v>117.828</c:v>
                </c:pt>
                <c:pt idx="101">
                  <c:v>122.39700000000001</c:v>
                </c:pt>
                <c:pt idx="102">
                  <c:v>123.438</c:v>
                </c:pt>
                <c:pt idx="103">
                  <c:v>119.911</c:v>
                </c:pt>
                <c:pt idx="104">
                  <c:v>122.70699999999999</c:v>
                </c:pt>
                <c:pt idx="105">
                  <c:v>126.96299999999999</c:v>
                </c:pt>
                <c:pt idx="106">
                  <c:v>119.736</c:v>
                </c:pt>
                <c:pt idx="107">
                  <c:v>118.018</c:v>
                </c:pt>
                <c:pt idx="108">
                  <c:v>123.664</c:v>
                </c:pt>
                <c:pt idx="109">
                  <c:v>127.08799999999999</c:v>
                </c:pt>
                <c:pt idx="110">
                  <c:v>119.884</c:v>
                </c:pt>
                <c:pt idx="111">
                  <c:v>122.41500000000001</c:v>
                </c:pt>
                <c:pt idx="112">
                  <c:v>123.989</c:v>
                </c:pt>
                <c:pt idx="113">
                  <c:v>120.342</c:v>
                </c:pt>
                <c:pt idx="114">
                  <c:v>117.56699999999999</c:v>
                </c:pt>
                <c:pt idx="115">
                  <c:v>122.40600000000001</c:v>
                </c:pt>
                <c:pt idx="116">
                  <c:v>125.622</c:v>
                </c:pt>
                <c:pt idx="117">
                  <c:v>119.407</c:v>
                </c:pt>
                <c:pt idx="118">
                  <c:v>120.07299999999999</c:v>
                </c:pt>
              </c:numCache>
            </c:numRef>
          </c:yVal>
        </c:ser>
        <c:ser>
          <c:idx val="1"/>
          <c:order val="1"/>
          <c:tx>
            <c:v>Avg. of Means</c:v>
          </c:tx>
          <c:spPr>
            <a:ln w="28575">
              <a:solidFill>
                <a:srgbClr val="C00000"/>
              </a:solidFill>
            </a:ln>
          </c:spPr>
          <c:marker>
            <c:symbol val="none"/>
          </c:marker>
          <c:xVal>
            <c:numRef>
              <c:f>'Comparison of stacks'!$V$14:$V$15</c:f>
              <c:numCache>
                <c:formatCode>General</c:formatCode>
                <c:ptCount val="2"/>
                <c:pt idx="0">
                  <c:v>0</c:v>
                </c:pt>
                <c:pt idx="1">
                  <c:v>1300</c:v>
                </c:pt>
              </c:numCache>
            </c:numRef>
          </c:xVal>
          <c:yVal>
            <c:numRef>
              <c:f>'Comparison of stacks'!$W$14:$W$15</c:f>
              <c:numCache>
                <c:formatCode>General</c:formatCode>
                <c:ptCount val="2"/>
                <c:pt idx="0">
                  <c:v>121.13292968750002</c:v>
                </c:pt>
                <c:pt idx="1">
                  <c:v>121.13292968750002</c:v>
                </c:pt>
              </c:numCache>
            </c:numRef>
          </c:yVal>
        </c:ser>
        <c:axId val="224526336"/>
        <c:axId val="224528256"/>
      </c:scatterChart>
      <c:valAx>
        <c:axId val="224526336"/>
        <c:scaling>
          <c:orientation val="minMax"/>
        </c:scaling>
        <c:axPos val="b"/>
        <c:title>
          <c:tx>
            <c:rich>
              <a:bodyPr/>
              <a:lstStyle/>
              <a:p>
                <a:pPr>
                  <a:defRPr/>
                </a:pPr>
                <a:r>
                  <a:rPr lang="en-US"/>
                  <a:t>PSI</a:t>
                </a:r>
                <a:r>
                  <a:rPr lang="en-US" baseline="0"/>
                  <a:t>  Center (&lt;400 corrected), row</a:t>
                </a:r>
                <a:endParaRPr lang="en-US"/>
              </a:p>
            </c:rich>
          </c:tx>
          <c:layout/>
        </c:title>
        <c:numFmt formatCode="General" sourceLinked="1"/>
        <c:tickLblPos val="nextTo"/>
        <c:crossAx val="224528256"/>
        <c:crosses val="autoZero"/>
        <c:crossBetween val="midCat"/>
      </c:valAx>
      <c:valAx>
        <c:axId val="224528256"/>
        <c:scaling>
          <c:orientation val="minMax"/>
          <c:max val="140"/>
          <c:min val="110"/>
        </c:scaling>
        <c:axPos val="l"/>
        <c:majorGridlines/>
        <c:title>
          <c:tx>
            <c:rich>
              <a:bodyPr rot="-5400000" vert="horz"/>
              <a:lstStyle/>
              <a:p>
                <a:pPr>
                  <a:defRPr/>
                </a:pPr>
                <a:r>
                  <a:rPr lang="en-US"/>
                  <a:t>Mean</a:t>
                </a:r>
                <a:r>
                  <a:rPr lang="en-US" baseline="0"/>
                  <a:t> Frame Luminance</a:t>
                </a:r>
                <a:endParaRPr lang="en-US"/>
              </a:p>
            </c:rich>
          </c:tx>
          <c:layout/>
        </c:title>
        <c:numFmt formatCode="General" sourceLinked="1"/>
        <c:tickLblPos val="nextTo"/>
        <c:crossAx val="224526336"/>
        <c:crosses val="autoZero"/>
        <c:crossBetween val="midCat"/>
      </c:valAx>
      <c:spPr>
        <a:ln>
          <a:solidFill>
            <a:schemeClr val="tx1"/>
          </a:solidFill>
        </a:ln>
      </c:spPr>
    </c:plotArea>
    <c:legend>
      <c:legendPos val="t"/>
      <c:layout>
        <c:manualLayout>
          <c:xMode val="edge"/>
          <c:yMode val="edge"/>
          <c:x val="0.12907518864254341"/>
          <c:y val="0.22895182887368426"/>
          <c:w val="0.77355530081906321"/>
          <c:h val="8.4492165123458515E-2"/>
        </c:manualLayout>
      </c:layout>
    </c:legend>
    <c:plotVisOnly val="1"/>
  </c:chart>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Avg.</a:t>
            </a:r>
            <a:r>
              <a:rPr lang="en-US" sz="1200" baseline="0"/>
              <a:t> Frame Luminance vs. PSI Center for Corrected Centers and Mov. Avg. PSI Widths</a:t>
            </a:r>
            <a:endParaRPr lang="en-US" sz="1200"/>
          </a:p>
        </c:rich>
      </c:tx>
      <c:layout/>
      <c:overlay val="1"/>
    </c:title>
    <c:plotArea>
      <c:layout>
        <c:manualLayout>
          <c:layoutTarget val="inner"/>
          <c:xMode val="edge"/>
          <c:yMode val="edge"/>
          <c:x val="0.11914281424266444"/>
          <c:y val="0.21074082794955187"/>
          <c:w val="0.82781427758320336"/>
          <c:h val="0.62548086120881263"/>
        </c:manualLayout>
      </c:layout>
      <c:scatterChart>
        <c:scatterStyle val="lineMarker"/>
        <c:ser>
          <c:idx val="0"/>
          <c:order val="0"/>
          <c:tx>
            <c:v>Mean RGB</c:v>
          </c:tx>
          <c:spPr>
            <a:ln w="28575">
              <a:noFill/>
            </a:ln>
          </c:spPr>
          <c:marker>
            <c:symbol val="diamond"/>
            <c:size val="7"/>
            <c:spPr>
              <a:solidFill>
                <a:srgbClr val="00B050"/>
              </a:solidFill>
            </c:spPr>
          </c:marker>
          <c:trendline>
            <c:trendlineType val="poly"/>
            <c:order val="4"/>
          </c:trendline>
          <c:xVal>
            <c:numRef>
              <c:f>'Comparison of stacks'!$J$73:$J$133</c:f>
              <c:numCache>
                <c:formatCode>General</c:formatCode>
                <c:ptCount val="61"/>
                <c:pt idx="0">
                  <c:v>1270</c:v>
                </c:pt>
                <c:pt idx="1">
                  <c:v>321</c:v>
                </c:pt>
                <c:pt idx="2">
                  <c:v>670</c:v>
                </c:pt>
                <c:pt idx="3">
                  <c:v>1040</c:v>
                </c:pt>
                <c:pt idx="4">
                  <c:v>84</c:v>
                </c:pt>
                <c:pt idx="5">
                  <c:v>420</c:v>
                </c:pt>
                <c:pt idx="6">
                  <c:v>800</c:v>
                </c:pt>
                <c:pt idx="7">
                  <c:v>1170</c:v>
                </c:pt>
                <c:pt idx="8">
                  <c:v>211</c:v>
                </c:pt>
                <c:pt idx="9">
                  <c:v>540</c:v>
                </c:pt>
                <c:pt idx="10">
                  <c:v>910</c:v>
                </c:pt>
                <c:pt idx="11">
                  <c:v>1270</c:v>
                </c:pt>
                <c:pt idx="12">
                  <c:v>317</c:v>
                </c:pt>
                <c:pt idx="13">
                  <c:v>660</c:v>
                </c:pt>
                <c:pt idx="14">
                  <c:v>1030</c:v>
                </c:pt>
                <c:pt idx="15">
                  <c:v>74</c:v>
                </c:pt>
                <c:pt idx="16">
                  <c:v>410</c:v>
                </c:pt>
                <c:pt idx="17">
                  <c:v>780</c:v>
                </c:pt>
                <c:pt idx="18">
                  <c:v>1160</c:v>
                </c:pt>
                <c:pt idx="19">
                  <c:v>204</c:v>
                </c:pt>
                <c:pt idx="20">
                  <c:v>540</c:v>
                </c:pt>
                <c:pt idx="21">
                  <c:v>920</c:v>
                </c:pt>
                <c:pt idx="22">
                  <c:v>1280</c:v>
                </c:pt>
                <c:pt idx="23">
                  <c:v>324</c:v>
                </c:pt>
                <c:pt idx="24">
                  <c:v>660</c:v>
                </c:pt>
                <c:pt idx="25">
                  <c:v>1030</c:v>
                </c:pt>
                <c:pt idx="26">
                  <c:v>74</c:v>
                </c:pt>
                <c:pt idx="27">
                  <c:v>410</c:v>
                </c:pt>
                <c:pt idx="28">
                  <c:v>800</c:v>
                </c:pt>
                <c:pt idx="29">
                  <c:v>1160</c:v>
                </c:pt>
                <c:pt idx="30">
                  <c:v>201</c:v>
                </c:pt>
                <c:pt idx="31">
                  <c:v>530</c:v>
                </c:pt>
                <c:pt idx="32">
                  <c:v>900</c:v>
                </c:pt>
                <c:pt idx="33">
                  <c:v>1270</c:v>
                </c:pt>
                <c:pt idx="34">
                  <c:v>314</c:v>
                </c:pt>
                <c:pt idx="35">
                  <c:v>650</c:v>
                </c:pt>
                <c:pt idx="36">
                  <c:v>1010</c:v>
                </c:pt>
                <c:pt idx="37">
                  <c:v>51</c:v>
                </c:pt>
                <c:pt idx="38">
                  <c:v>380</c:v>
                </c:pt>
                <c:pt idx="39">
                  <c:v>750</c:v>
                </c:pt>
                <c:pt idx="40">
                  <c:v>1130</c:v>
                </c:pt>
                <c:pt idx="41">
                  <c:v>174</c:v>
                </c:pt>
                <c:pt idx="42">
                  <c:v>510</c:v>
                </c:pt>
                <c:pt idx="43">
                  <c:v>880</c:v>
                </c:pt>
                <c:pt idx="44">
                  <c:v>1260</c:v>
                </c:pt>
                <c:pt idx="45">
                  <c:v>307</c:v>
                </c:pt>
                <c:pt idx="46">
                  <c:v>650</c:v>
                </c:pt>
                <c:pt idx="47">
                  <c:v>1030</c:v>
                </c:pt>
                <c:pt idx="48">
                  <c:v>71</c:v>
                </c:pt>
                <c:pt idx="49">
                  <c:v>400</c:v>
                </c:pt>
                <c:pt idx="50">
                  <c:v>770</c:v>
                </c:pt>
                <c:pt idx="51">
                  <c:v>1140</c:v>
                </c:pt>
                <c:pt idx="52">
                  <c:v>187</c:v>
                </c:pt>
                <c:pt idx="53">
                  <c:v>530</c:v>
                </c:pt>
                <c:pt idx="54">
                  <c:v>900</c:v>
                </c:pt>
                <c:pt idx="55">
                  <c:v>1270</c:v>
                </c:pt>
                <c:pt idx="56">
                  <c:v>321</c:v>
                </c:pt>
                <c:pt idx="57">
                  <c:v>670</c:v>
                </c:pt>
                <c:pt idx="58">
                  <c:v>1050</c:v>
                </c:pt>
                <c:pt idx="59">
                  <c:v>94</c:v>
                </c:pt>
                <c:pt idx="60">
                  <c:v>430</c:v>
                </c:pt>
              </c:numCache>
            </c:numRef>
          </c:xVal>
          <c:yVal>
            <c:numRef>
              <c:f>'Comparison of stacks'!$I$73:$I$133</c:f>
              <c:numCache>
                <c:formatCode>General</c:formatCode>
                <c:ptCount val="61"/>
                <c:pt idx="0">
                  <c:v>120.425</c:v>
                </c:pt>
                <c:pt idx="1">
                  <c:v>117.259</c:v>
                </c:pt>
                <c:pt idx="2">
                  <c:v>118.35899999999999</c:v>
                </c:pt>
                <c:pt idx="3">
                  <c:v>123.175</c:v>
                </c:pt>
                <c:pt idx="4">
                  <c:v>116.98099999999999</c:v>
                </c:pt>
                <c:pt idx="5">
                  <c:v>118.40900000000001</c:v>
                </c:pt>
                <c:pt idx="6">
                  <c:v>121.617</c:v>
                </c:pt>
                <c:pt idx="7">
                  <c:v>124.018</c:v>
                </c:pt>
                <c:pt idx="8">
                  <c:v>117.127</c:v>
                </c:pt>
                <c:pt idx="9">
                  <c:v>117.178</c:v>
                </c:pt>
                <c:pt idx="10">
                  <c:v>120.633</c:v>
                </c:pt>
                <c:pt idx="11">
                  <c:v>120.09</c:v>
                </c:pt>
                <c:pt idx="12">
                  <c:v>117.997</c:v>
                </c:pt>
                <c:pt idx="13">
                  <c:v>121.35299999999999</c:v>
                </c:pt>
                <c:pt idx="14">
                  <c:v>124.732</c:v>
                </c:pt>
                <c:pt idx="15">
                  <c:v>117.742</c:v>
                </c:pt>
                <c:pt idx="16">
                  <c:v>117.471</c:v>
                </c:pt>
                <c:pt idx="17">
                  <c:v>122.277</c:v>
                </c:pt>
                <c:pt idx="18">
                  <c:v>125.134</c:v>
                </c:pt>
                <c:pt idx="19">
                  <c:v>118.988</c:v>
                </c:pt>
                <c:pt idx="20">
                  <c:v>120.273</c:v>
                </c:pt>
                <c:pt idx="21">
                  <c:v>122.458</c:v>
                </c:pt>
                <c:pt idx="22">
                  <c:v>119.85899999999999</c:v>
                </c:pt>
                <c:pt idx="23">
                  <c:v>117.12</c:v>
                </c:pt>
                <c:pt idx="24">
                  <c:v>121.321</c:v>
                </c:pt>
                <c:pt idx="25">
                  <c:v>125.98</c:v>
                </c:pt>
                <c:pt idx="26">
                  <c:v>118.875</c:v>
                </c:pt>
                <c:pt idx="27">
                  <c:v>118.40600000000001</c:v>
                </c:pt>
                <c:pt idx="28">
                  <c:v>121.041</c:v>
                </c:pt>
                <c:pt idx="29">
                  <c:v>124.464</c:v>
                </c:pt>
                <c:pt idx="30">
                  <c:v>117.967</c:v>
                </c:pt>
                <c:pt idx="31">
                  <c:v>120.193</c:v>
                </c:pt>
                <c:pt idx="32">
                  <c:v>126.19499999999999</c:v>
                </c:pt>
                <c:pt idx="33">
                  <c:v>124.175</c:v>
                </c:pt>
                <c:pt idx="34">
                  <c:v>118.711</c:v>
                </c:pt>
                <c:pt idx="35">
                  <c:v>119.02800000000001</c:v>
                </c:pt>
                <c:pt idx="36">
                  <c:v>122.444</c:v>
                </c:pt>
                <c:pt idx="37">
                  <c:v>118.473</c:v>
                </c:pt>
                <c:pt idx="38">
                  <c:v>118.79600000000001</c:v>
                </c:pt>
                <c:pt idx="39">
                  <c:v>122.15900000000001</c:v>
                </c:pt>
                <c:pt idx="40">
                  <c:v>124.509</c:v>
                </c:pt>
                <c:pt idx="41">
                  <c:v>118.044</c:v>
                </c:pt>
                <c:pt idx="42">
                  <c:v>117.828</c:v>
                </c:pt>
                <c:pt idx="43">
                  <c:v>122.39700000000001</c:v>
                </c:pt>
                <c:pt idx="44">
                  <c:v>123.438</c:v>
                </c:pt>
                <c:pt idx="45">
                  <c:v>119.911</c:v>
                </c:pt>
                <c:pt idx="46">
                  <c:v>122.70699999999999</c:v>
                </c:pt>
                <c:pt idx="47">
                  <c:v>126.96299999999999</c:v>
                </c:pt>
                <c:pt idx="48">
                  <c:v>119.736</c:v>
                </c:pt>
                <c:pt idx="49">
                  <c:v>118.018</c:v>
                </c:pt>
                <c:pt idx="50">
                  <c:v>123.664</c:v>
                </c:pt>
                <c:pt idx="51">
                  <c:v>127.08799999999999</c:v>
                </c:pt>
                <c:pt idx="52">
                  <c:v>119.884</c:v>
                </c:pt>
                <c:pt idx="53">
                  <c:v>122.41500000000001</c:v>
                </c:pt>
                <c:pt idx="54">
                  <c:v>123.989</c:v>
                </c:pt>
                <c:pt idx="55">
                  <c:v>120.342</c:v>
                </c:pt>
                <c:pt idx="56">
                  <c:v>117.56699999999999</c:v>
                </c:pt>
                <c:pt idx="57">
                  <c:v>122.40600000000001</c:v>
                </c:pt>
                <c:pt idx="58">
                  <c:v>125.622</c:v>
                </c:pt>
                <c:pt idx="59">
                  <c:v>119.407</c:v>
                </c:pt>
                <c:pt idx="60">
                  <c:v>120.07299999999999</c:v>
                </c:pt>
              </c:numCache>
            </c:numRef>
          </c:yVal>
        </c:ser>
        <c:ser>
          <c:idx val="1"/>
          <c:order val="1"/>
          <c:tx>
            <c:v>Avg. of Means</c:v>
          </c:tx>
          <c:spPr>
            <a:ln w="28575">
              <a:solidFill>
                <a:srgbClr val="C00000"/>
              </a:solidFill>
            </a:ln>
          </c:spPr>
          <c:marker>
            <c:symbol val="none"/>
          </c:marker>
          <c:xVal>
            <c:numRef>
              <c:f>'Comparison of stacks'!$V$14:$V$15</c:f>
              <c:numCache>
                <c:formatCode>General</c:formatCode>
                <c:ptCount val="2"/>
                <c:pt idx="0">
                  <c:v>0</c:v>
                </c:pt>
                <c:pt idx="1">
                  <c:v>1300</c:v>
                </c:pt>
              </c:numCache>
            </c:numRef>
          </c:xVal>
          <c:yVal>
            <c:numRef>
              <c:f>'Comparison of stacks'!$W$14:$W$15</c:f>
              <c:numCache>
                <c:formatCode>General</c:formatCode>
                <c:ptCount val="2"/>
                <c:pt idx="0">
                  <c:v>121.13292968750002</c:v>
                </c:pt>
                <c:pt idx="1">
                  <c:v>121.13292968750002</c:v>
                </c:pt>
              </c:numCache>
            </c:numRef>
          </c:yVal>
        </c:ser>
        <c:axId val="224554368"/>
        <c:axId val="224577024"/>
      </c:scatterChart>
      <c:valAx>
        <c:axId val="224554368"/>
        <c:scaling>
          <c:orientation val="minMax"/>
        </c:scaling>
        <c:axPos val="b"/>
        <c:title>
          <c:tx>
            <c:rich>
              <a:bodyPr/>
              <a:lstStyle/>
              <a:p>
                <a:pPr>
                  <a:defRPr/>
                </a:pPr>
                <a:r>
                  <a:rPr lang="en-US"/>
                  <a:t>PSI</a:t>
                </a:r>
                <a:r>
                  <a:rPr lang="en-US" baseline="0"/>
                  <a:t>  Center (&lt;400 corrected), row</a:t>
                </a:r>
                <a:endParaRPr lang="en-US"/>
              </a:p>
            </c:rich>
          </c:tx>
          <c:layout/>
        </c:title>
        <c:numFmt formatCode="General" sourceLinked="1"/>
        <c:tickLblPos val="nextTo"/>
        <c:crossAx val="224577024"/>
        <c:crosses val="autoZero"/>
        <c:crossBetween val="midCat"/>
      </c:valAx>
      <c:valAx>
        <c:axId val="224577024"/>
        <c:scaling>
          <c:orientation val="minMax"/>
          <c:max val="140"/>
          <c:min val="110"/>
        </c:scaling>
        <c:axPos val="l"/>
        <c:majorGridlines/>
        <c:title>
          <c:tx>
            <c:rich>
              <a:bodyPr rot="-5400000" vert="horz"/>
              <a:lstStyle/>
              <a:p>
                <a:pPr>
                  <a:defRPr/>
                </a:pPr>
                <a:r>
                  <a:rPr lang="en-US"/>
                  <a:t>Mean</a:t>
                </a:r>
                <a:r>
                  <a:rPr lang="en-US" baseline="0"/>
                  <a:t> Frame Luminance</a:t>
                </a:r>
                <a:endParaRPr lang="en-US"/>
              </a:p>
            </c:rich>
          </c:tx>
          <c:layout/>
        </c:title>
        <c:numFmt formatCode="General" sourceLinked="1"/>
        <c:tickLblPos val="nextTo"/>
        <c:crossAx val="224554368"/>
        <c:crosses val="autoZero"/>
        <c:crossBetween val="midCat"/>
      </c:valAx>
      <c:spPr>
        <a:ln>
          <a:solidFill>
            <a:schemeClr val="tx1"/>
          </a:solidFill>
        </a:ln>
      </c:spPr>
    </c:plotArea>
    <c:legend>
      <c:legendPos val="t"/>
      <c:layout>
        <c:manualLayout>
          <c:xMode val="edge"/>
          <c:yMode val="edge"/>
          <c:x val="0.13700160816858098"/>
          <c:y val="0.23829680148077348"/>
          <c:w val="0.77355530081906321"/>
          <c:h val="8.4492165123458515E-2"/>
        </c:manualLayout>
      </c:layout>
    </c:legend>
    <c:plotVisOnly val="1"/>
  </c:chart>
  <c:printSettings>
    <c:headerFooter/>
    <c:pageMargins b="0.75000000000000056" l="0.70000000000000051" r="0.70000000000000051" t="0.75000000000000056" header="0.30000000000000027" footer="0.30000000000000027"/>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baseline="0"/>
              <a:t>Std. Dev. vs. PSI Center </a:t>
            </a:r>
            <a:endParaRPr lang="en-US" sz="1200"/>
          </a:p>
        </c:rich>
      </c:tx>
      <c:layout/>
      <c:overlay val="1"/>
    </c:title>
    <c:plotArea>
      <c:layout>
        <c:manualLayout>
          <c:layoutTarget val="inner"/>
          <c:xMode val="edge"/>
          <c:yMode val="edge"/>
          <c:x val="0.11914281424266444"/>
          <c:y val="0.14999858353761669"/>
          <c:w val="0.82781427758320336"/>
          <c:h val="0.68622304536469148"/>
        </c:manualLayout>
      </c:layout>
      <c:scatterChart>
        <c:scatterStyle val="lineMarker"/>
        <c:ser>
          <c:idx val="0"/>
          <c:order val="0"/>
          <c:tx>
            <c:strRef>
              <c:f>'Comparison of stacks'!$C$13</c:f>
              <c:strCache>
                <c:ptCount val="1"/>
                <c:pt idx="0">
                  <c:v>StdDev</c:v>
                </c:pt>
              </c:strCache>
            </c:strRef>
          </c:tx>
          <c:spPr>
            <a:ln w="28575">
              <a:noFill/>
            </a:ln>
          </c:spPr>
          <c:marker>
            <c:symbol val="diamond"/>
            <c:size val="7"/>
            <c:spPr>
              <a:solidFill>
                <a:srgbClr val="00B050"/>
              </a:solidFill>
            </c:spPr>
          </c:marker>
          <c:trendline>
            <c:trendlineType val="poly"/>
            <c:order val="4"/>
          </c:trendline>
          <c:xVal>
            <c:numRef>
              <c:f>'Comparison of stacks'!$J$15:$J$137</c:f>
              <c:numCache>
                <c:formatCode>General</c:formatCode>
                <c:ptCount val="123"/>
                <c:pt idx="0">
                  <c:v>210</c:v>
                </c:pt>
                <c:pt idx="1">
                  <c:v>570</c:v>
                </c:pt>
                <c:pt idx="2">
                  <c:v>950</c:v>
                </c:pt>
                <c:pt idx="3">
                  <c:v>1290</c:v>
                </c:pt>
                <c:pt idx="4">
                  <c:v>344</c:v>
                </c:pt>
                <c:pt idx="5">
                  <c:v>700</c:v>
                </c:pt>
                <c:pt idx="6">
                  <c:v>1070</c:v>
                </c:pt>
                <c:pt idx="7">
                  <c:v>111</c:v>
                </c:pt>
                <c:pt idx="8">
                  <c:v>440</c:v>
                </c:pt>
                <c:pt idx="9">
                  <c:v>810</c:v>
                </c:pt>
                <c:pt idx="10">
                  <c:v>1170</c:v>
                </c:pt>
                <c:pt idx="11">
                  <c:v>214</c:v>
                </c:pt>
                <c:pt idx="12">
                  <c:v>550</c:v>
                </c:pt>
                <c:pt idx="13">
                  <c:v>940</c:v>
                </c:pt>
                <c:pt idx="14">
                  <c:v>1290</c:v>
                </c:pt>
                <c:pt idx="15">
                  <c:v>344</c:v>
                </c:pt>
                <c:pt idx="16">
                  <c:v>700</c:v>
                </c:pt>
                <c:pt idx="17">
                  <c:v>1080</c:v>
                </c:pt>
                <c:pt idx="18">
                  <c:v>124</c:v>
                </c:pt>
                <c:pt idx="19">
                  <c:v>460</c:v>
                </c:pt>
                <c:pt idx="20">
                  <c:v>840</c:v>
                </c:pt>
                <c:pt idx="21">
                  <c:v>1180</c:v>
                </c:pt>
                <c:pt idx="22">
                  <c:v>221</c:v>
                </c:pt>
                <c:pt idx="23">
                  <c:v>550</c:v>
                </c:pt>
                <c:pt idx="24">
                  <c:v>930</c:v>
                </c:pt>
                <c:pt idx="25">
                  <c:v>1290</c:v>
                </c:pt>
                <c:pt idx="26">
                  <c:v>334</c:v>
                </c:pt>
                <c:pt idx="27">
                  <c:v>670</c:v>
                </c:pt>
                <c:pt idx="28">
                  <c:v>1020</c:v>
                </c:pt>
                <c:pt idx="29">
                  <c:v>61</c:v>
                </c:pt>
                <c:pt idx="30">
                  <c:v>400</c:v>
                </c:pt>
                <c:pt idx="31">
                  <c:v>770</c:v>
                </c:pt>
                <c:pt idx="32">
                  <c:v>1130</c:v>
                </c:pt>
                <c:pt idx="33">
                  <c:v>171</c:v>
                </c:pt>
                <c:pt idx="34">
                  <c:v>500</c:v>
                </c:pt>
                <c:pt idx="35">
                  <c:v>880</c:v>
                </c:pt>
                <c:pt idx="36">
                  <c:v>1240</c:v>
                </c:pt>
                <c:pt idx="37">
                  <c:v>281</c:v>
                </c:pt>
                <c:pt idx="38">
                  <c:v>610</c:v>
                </c:pt>
                <c:pt idx="39">
                  <c:v>980</c:v>
                </c:pt>
                <c:pt idx="40">
                  <c:v>24</c:v>
                </c:pt>
                <c:pt idx="41">
                  <c:v>365</c:v>
                </c:pt>
                <c:pt idx="42">
                  <c:v>730</c:v>
                </c:pt>
                <c:pt idx="43">
                  <c:v>1100</c:v>
                </c:pt>
                <c:pt idx="44">
                  <c:v>144</c:v>
                </c:pt>
                <c:pt idx="45">
                  <c:v>480</c:v>
                </c:pt>
                <c:pt idx="46">
                  <c:v>870</c:v>
                </c:pt>
                <c:pt idx="47">
                  <c:v>1240</c:v>
                </c:pt>
                <c:pt idx="48">
                  <c:v>284</c:v>
                </c:pt>
                <c:pt idx="49">
                  <c:v>620</c:v>
                </c:pt>
                <c:pt idx="50">
                  <c:v>1000</c:v>
                </c:pt>
                <c:pt idx="51">
                  <c:v>44</c:v>
                </c:pt>
                <c:pt idx="52">
                  <c:v>385</c:v>
                </c:pt>
                <c:pt idx="53">
                  <c:v>760</c:v>
                </c:pt>
                <c:pt idx="54">
                  <c:v>1120</c:v>
                </c:pt>
                <c:pt idx="55">
                  <c:v>167</c:v>
                </c:pt>
                <c:pt idx="56">
                  <c:v>510</c:v>
                </c:pt>
                <c:pt idx="57">
                  <c:v>890</c:v>
                </c:pt>
                <c:pt idx="58">
                  <c:v>1270</c:v>
                </c:pt>
                <c:pt idx="59">
                  <c:v>321</c:v>
                </c:pt>
                <c:pt idx="60">
                  <c:v>670</c:v>
                </c:pt>
                <c:pt idx="61">
                  <c:v>1040</c:v>
                </c:pt>
                <c:pt idx="62">
                  <c:v>84</c:v>
                </c:pt>
                <c:pt idx="63">
                  <c:v>420</c:v>
                </c:pt>
                <c:pt idx="64">
                  <c:v>800</c:v>
                </c:pt>
                <c:pt idx="65">
                  <c:v>1170</c:v>
                </c:pt>
                <c:pt idx="66">
                  <c:v>211</c:v>
                </c:pt>
                <c:pt idx="67">
                  <c:v>540</c:v>
                </c:pt>
                <c:pt idx="68">
                  <c:v>910</c:v>
                </c:pt>
                <c:pt idx="69">
                  <c:v>1270</c:v>
                </c:pt>
                <c:pt idx="70">
                  <c:v>317</c:v>
                </c:pt>
                <c:pt idx="71">
                  <c:v>660</c:v>
                </c:pt>
                <c:pt idx="72">
                  <c:v>1030</c:v>
                </c:pt>
                <c:pt idx="73">
                  <c:v>74</c:v>
                </c:pt>
                <c:pt idx="74">
                  <c:v>410</c:v>
                </c:pt>
                <c:pt idx="75">
                  <c:v>780</c:v>
                </c:pt>
                <c:pt idx="76">
                  <c:v>1160</c:v>
                </c:pt>
                <c:pt idx="77">
                  <c:v>204</c:v>
                </c:pt>
                <c:pt idx="78">
                  <c:v>540</c:v>
                </c:pt>
                <c:pt idx="79">
                  <c:v>920</c:v>
                </c:pt>
                <c:pt idx="80">
                  <c:v>1280</c:v>
                </c:pt>
                <c:pt idx="81">
                  <c:v>324</c:v>
                </c:pt>
                <c:pt idx="82">
                  <c:v>660</c:v>
                </c:pt>
                <c:pt idx="83">
                  <c:v>1030</c:v>
                </c:pt>
                <c:pt idx="84">
                  <c:v>74</c:v>
                </c:pt>
                <c:pt idx="85">
                  <c:v>410</c:v>
                </c:pt>
                <c:pt idx="86">
                  <c:v>800</c:v>
                </c:pt>
                <c:pt idx="87">
                  <c:v>1160</c:v>
                </c:pt>
                <c:pt idx="88">
                  <c:v>201</c:v>
                </c:pt>
                <c:pt idx="89">
                  <c:v>530</c:v>
                </c:pt>
                <c:pt idx="90">
                  <c:v>900</c:v>
                </c:pt>
                <c:pt idx="91">
                  <c:v>1270</c:v>
                </c:pt>
                <c:pt idx="92">
                  <c:v>314</c:v>
                </c:pt>
                <c:pt idx="93">
                  <c:v>650</c:v>
                </c:pt>
                <c:pt idx="94">
                  <c:v>1010</c:v>
                </c:pt>
                <c:pt idx="95">
                  <c:v>51</c:v>
                </c:pt>
                <c:pt idx="96">
                  <c:v>380</c:v>
                </c:pt>
                <c:pt idx="97">
                  <c:v>750</c:v>
                </c:pt>
                <c:pt idx="98">
                  <c:v>1130</c:v>
                </c:pt>
                <c:pt idx="99">
                  <c:v>174</c:v>
                </c:pt>
                <c:pt idx="100">
                  <c:v>510</c:v>
                </c:pt>
                <c:pt idx="101">
                  <c:v>880</c:v>
                </c:pt>
                <c:pt idx="102">
                  <c:v>1260</c:v>
                </c:pt>
                <c:pt idx="103">
                  <c:v>307</c:v>
                </c:pt>
                <c:pt idx="104">
                  <c:v>650</c:v>
                </c:pt>
                <c:pt idx="105">
                  <c:v>1030</c:v>
                </c:pt>
                <c:pt idx="106">
                  <c:v>71</c:v>
                </c:pt>
                <c:pt idx="107">
                  <c:v>400</c:v>
                </c:pt>
                <c:pt idx="108">
                  <c:v>770</c:v>
                </c:pt>
                <c:pt idx="109">
                  <c:v>1140</c:v>
                </c:pt>
                <c:pt idx="110">
                  <c:v>187</c:v>
                </c:pt>
                <c:pt idx="111">
                  <c:v>530</c:v>
                </c:pt>
                <c:pt idx="112">
                  <c:v>900</c:v>
                </c:pt>
                <c:pt idx="113">
                  <c:v>1270</c:v>
                </c:pt>
                <c:pt idx="114">
                  <c:v>321</c:v>
                </c:pt>
                <c:pt idx="115">
                  <c:v>670</c:v>
                </c:pt>
                <c:pt idx="116">
                  <c:v>1050</c:v>
                </c:pt>
                <c:pt idx="117">
                  <c:v>94</c:v>
                </c:pt>
                <c:pt idx="118">
                  <c:v>430</c:v>
                </c:pt>
                <c:pt idx="119">
                  <c:v>810</c:v>
                </c:pt>
                <c:pt idx="120">
                  <c:v>1180</c:v>
                </c:pt>
                <c:pt idx="121">
                  <c:v>227</c:v>
                </c:pt>
                <c:pt idx="122">
                  <c:v>570</c:v>
                </c:pt>
              </c:numCache>
            </c:numRef>
          </c:xVal>
          <c:yVal>
            <c:numRef>
              <c:f>'Comparison of stacks'!$C$15:$C$137</c:f>
              <c:numCache>
                <c:formatCode>General</c:formatCode>
                <c:ptCount val="123"/>
                <c:pt idx="0">
                  <c:v>5.3609999999999998</c:v>
                </c:pt>
                <c:pt idx="1">
                  <c:v>6.8120000000000003</c:v>
                </c:pt>
                <c:pt idx="2">
                  <c:v>8.7140000000000004</c:v>
                </c:pt>
                <c:pt idx="3">
                  <c:v>6.2080000000000002</c:v>
                </c:pt>
                <c:pt idx="4">
                  <c:v>5.3869999999999996</c:v>
                </c:pt>
                <c:pt idx="5">
                  <c:v>6.4859999999999998</c:v>
                </c:pt>
                <c:pt idx="6">
                  <c:v>6.7569999999999997</c:v>
                </c:pt>
                <c:pt idx="7">
                  <c:v>5.3209999999999997</c:v>
                </c:pt>
                <c:pt idx="8">
                  <c:v>6.2089999999999996</c:v>
                </c:pt>
                <c:pt idx="9">
                  <c:v>6.1120000000000001</c:v>
                </c:pt>
                <c:pt idx="10">
                  <c:v>6.2309999999999999</c:v>
                </c:pt>
                <c:pt idx="11">
                  <c:v>5.5549999999999997</c:v>
                </c:pt>
                <c:pt idx="12">
                  <c:v>6.1440000000000001</c:v>
                </c:pt>
                <c:pt idx="13">
                  <c:v>6.4560000000000004</c:v>
                </c:pt>
                <c:pt idx="14">
                  <c:v>6.0279999999999996</c:v>
                </c:pt>
                <c:pt idx="15">
                  <c:v>5.2409999999999997</c:v>
                </c:pt>
                <c:pt idx="16">
                  <c:v>6.0839999999999996</c:v>
                </c:pt>
                <c:pt idx="17">
                  <c:v>6.6660000000000004</c:v>
                </c:pt>
                <c:pt idx="18">
                  <c:v>5.1180000000000003</c:v>
                </c:pt>
                <c:pt idx="19">
                  <c:v>5.7690000000000001</c:v>
                </c:pt>
                <c:pt idx="20">
                  <c:v>6.4050000000000002</c:v>
                </c:pt>
                <c:pt idx="21">
                  <c:v>5.8730000000000002</c:v>
                </c:pt>
                <c:pt idx="22">
                  <c:v>4.7359999999999998</c:v>
                </c:pt>
                <c:pt idx="23">
                  <c:v>6.46</c:v>
                </c:pt>
                <c:pt idx="24">
                  <c:v>6.3559999999999999</c:v>
                </c:pt>
                <c:pt idx="25">
                  <c:v>6.1189999999999998</c:v>
                </c:pt>
                <c:pt idx="26">
                  <c:v>5.7130000000000001</c:v>
                </c:pt>
                <c:pt idx="27">
                  <c:v>6.3380000000000001</c:v>
                </c:pt>
                <c:pt idx="28">
                  <c:v>6.2910000000000004</c:v>
                </c:pt>
                <c:pt idx="29">
                  <c:v>6.3019999999999996</c:v>
                </c:pt>
                <c:pt idx="30">
                  <c:v>5.625</c:v>
                </c:pt>
                <c:pt idx="31">
                  <c:v>6.2350000000000003</c:v>
                </c:pt>
                <c:pt idx="32">
                  <c:v>6.84</c:v>
                </c:pt>
                <c:pt idx="33">
                  <c:v>4.96</c:v>
                </c:pt>
                <c:pt idx="34">
                  <c:v>6.093</c:v>
                </c:pt>
                <c:pt idx="35">
                  <c:v>6.7169999999999996</c:v>
                </c:pt>
                <c:pt idx="36">
                  <c:v>6.5519999999999996</c:v>
                </c:pt>
                <c:pt idx="37">
                  <c:v>4.7859999999999996</c:v>
                </c:pt>
                <c:pt idx="38">
                  <c:v>6.3639999999999999</c:v>
                </c:pt>
                <c:pt idx="39">
                  <c:v>6.6109999999999998</c:v>
                </c:pt>
                <c:pt idx="40">
                  <c:v>5.3540000000000001</c:v>
                </c:pt>
                <c:pt idx="41">
                  <c:v>5.984</c:v>
                </c:pt>
                <c:pt idx="42">
                  <c:v>6.157</c:v>
                </c:pt>
                <c:pt idx="43">
                  <c:v>6.2759999999999998</c:v>
                </c:pt>
                <c:pt idx="44">
                  <c:v>5.7130000000000001</c:v>
                </c:pt>
                <c:pt idx="45">
                  <c:v>6.0880000000000001</c:v>
                </c:pt>
                <c:pt idx="46">
                  <c:v>6.2789999999999999</c:v>
                </c:pt>
                <c:pt idx="47">
                  <c:v>6.0030000000000001</c:v>
                </c:pt>
                <c:pt idx="48">
                  <c:v>4.9009999999999998</c:v>
                </c:pt>
                <c:pt idx="49">
                  <c:v>6.3659999999999997</c:v>
                </c:pt>
                <c:pt idx="50">
                  <c:v>7.1779999999999999</c:v>
                </c:pt>
                <c:pt idx="51">
                  <c:v>5.1989999999999998</c:v>
                </c:pt>
                <c:pt idx="52">
                  <c:v>5.5060000000000002</c:v>
                </c:pt>
                <c:pt idx="53">
                  <c:v>6.4950000000000001</c:v>
                </c:pt>
                <c:pt idx="54">
                  <c:v>6.0309999999999997</c:v>
                </c:pt>
                <c:pt idx="55">
                  <c:v>4.7389999999999999</c:v>
                </c:pt>
                <c:pt idx="56">
                  <c:v>6.43</c:v>
                </c:pt>
                <c:pt idx="57">
                  <c:v>6.1740000000000004</c:v>
                </c:pt>
                <c:pt idx="58">
                  <c:v>5.7880000000000003</c:v>
                </c:pt>
                <c:pt idx="59">
                  <c:v>5.9029999999999996</c:v>
                </c:pt>
                <c:pt idx="60">
                  <c:v>6.0720000000000001</c:v>
                </c:pt>
                <c:pt idx="61">
                  <c:v>6.0780000000000003</c:v>
                </c:pt>
                <c:pt idx="62">
                  <c:v>5.6909999999999998</c:v>
                </c:pt>
                <c:pt idx="63">
                  <c:v>5.6849999999999996</c:v>
                </c:pt>
                <c:pt idx="64">
                  <c:v>6.0579999999999998</c:v>
                </c:pt>
                <c:pt idx="65">
                  <c:v>6.5090000000000003</c:v>
                </c:pt>
                <c:pt idx="66">
                  <c:v>4.7329999999999997</c:v>
                </c:pt>
                <c:pt idx="67">
                  <c:v>6.2160000000000002</c:v>
                </c:pt>
                <c:pt idx="68">
                  <c:v>6.8070000000000004</c:v>
                </c:pt>
                <c:pt idx="69">
                  <c:v>6.44</c:v>
                </c:pt>
                <c:pt idx="70">
                  <c:v>4.9720000000000004</c:v>
                </c:pt>
                <c:pt idx="71">
                  <c:v>6.45</c:v>
                </c:pt>
                <c:pt idx="72">
                  <c:v>6.3319999999999999</c:v>
                </c:pt>
                <c:pt idx="73">
                  <c:v>4.9610000000000003</c:v>
                </c:pt>
                <c:pt idx="74">
                  <c:v>6.016</c:v>
                </c:pt>
                <c:pt idx="75">
                  <c:v>5.9320000000000004</c:v>
                </c:pt>
                <c:pt idx="76">
                  <c:v>6.2480000000000002</c:v>
                </c:pt>
                <c:pt idx="77">
                  <c:v>5.4180000000000001</c:v>
                </c:pt>
                <c:pt idx="78">
                  <c:v>6.056</c:v>
                </c:pt>
                <c:pt idx="79">
                  <c:v>6.0750000000000002</c:v>
                </c:pt>
                <c:pt idx="80">
                  <c:v>6.3730000000000002</c:v>
                </c:pt>
                <c:pt idx="81">
                  <c:v>4.9539999999999997</c:v>
                </c:pt>
                <c:pt idx="82">
                  <c:v>6.0209999999999999</c:v>
                </c:pt>
                <c:pt idx="83">
                  <c:v>6.7539999999999996</c:v>
                </c:pt>
                <c:pt idx="84">
                  <c:v>4.99</c:v>
                </c:pt>
                <c:pt idx="85">
                  <c:v>5.5529999999999999</c:v>
                </c:pt>
                <c:pt idx="86">
                  <c:v>6.5209999999999999</c:v>
                </c:pt>
                <c:pt idx="87">
                  <c:v>6.0369999999999999</c:v>
                </c:pt>
                <c:pt idx="88">
                  <c:v>4.8209999999999997</c:v>
                </c:pt>
                <c:pt idx="89">
                  <c:v>6.4390000000000001</c:v>
                </c:pt>
                <c:pt idx="90">
                  <c:v>6.0640000000000001</c:v>
                </c:pt>
                <c:pt idx="91">
                  <c:v>6.4080000000000004</c:v>
                </c:pt>
                <c:pt idx="92">
                  <c:v>5.6779999999999999</c:v>
                </c:pt>
                <c:pt idx="93">
                  <c:v>6.4349999999999996</c:v>
                </c:pt>
                <c:pt idx="94">
                  <c:v>6.0469999999999997</c:v>
                </c:pt>
                <c:pt idx="95">
                  <c:v>5.9649999999999999</c:v>
                </c:pt>
                <c:pt idx="96">
                  <c:v>5.5419999999999998</c:v>
                </c:pt>
                <c:pt idx="97">
                  <c:v>5.835</c:v>
                </c:pt>
                <c:pt idx="98">
                  <c:v>6.4989999999999997</c:v>
                </c:pt>
                <c:pt idx="99">
                  <c:v>5</c:v>
                </c:pt>
                <c:pt idx="100">
                  <c:v>6.0090000000000003</c:v>
                </c:pt>
                <c:pt idx="101">
                  <c:v>6.8209999999999997</c:v>
                </c:pt>
                <c:pt idx="102">
                  <c:v>6.9180000000000001</c:v>
                </c:pt>
                <c:pt idx="103">
                  <c:v>5.0090000000000003</c:v>
                </c:pt>
                <c:pt idx="104">
                  <c:v>6.5259999999999998</c:v>
                </c:pt>
                <c:pt idx="105">
                  <c:v>6.5659999999999998</c:v>
                </c:pt>
                <c:pt idx="106">
                  <c:v>4.9980000000000002</c:v>
                </c:pt>
                <c:pt idx="107">
                  <c:v>6.1550000000000002</c:v>
                </c:pt>
                <c:pt idx="108">
                  <c:v>5.9980000000000002</c:v>
                </c:pt>
                <c:pt idx="109">
                  <c:v>6.3479999999999999</c:v>
                </c:pt>
                <c:pt idx="110">
                  <c:v>5.58</c:v>
                </c:pt>
                <c:pt idx="111">
                  <c:v>6.0090000000000003</c:v>
                </c:pt>
                <c:pt idx="112">
                  <c:v>6.1390000000000002</c:v>
                </c:pt>
                <c:pt idx="113">
                  <c:v>6.2619999999999996</c:v>
                </c:pt>
                <c:pt idx="114">
                  <c:v>5.0510000000000002</c:v>
                </c:pt>
                <c:pt idx="115">
                  <c:v>6.149</c:v>
                </c:pt>
                <c:pt idx="116">
                  <c:v>6.96</c:v>
                </c:pt>
                <c:pt idx="117">
                  <c:v>5.0250000000000004</c:v>
                </c:pt>
                <c:pt idx="118">
                  <c:v>5.867</c:v>
                </c:pt>
                <c:pt idx="119">
                  <c:v>6.5960000000000001</c:v>
                </c:pt>
                <c:pt idx="120">
                  <c:v>6.1159999999999997</c:v>
                </c:pt>
                <c:pt idx="121">
                  <c:v>4.8559999999999999</c:v>
                </c:pt>
                <c:pt idx="122">
                  <c:v>6.4039999999999999</c:v>
                </c:pt>
              </c:numCache>
            </c:numRef>
          </c:yVal>
        </c:ser>
        <c:ser>
          <c:idx val="1"/>
          <c:order val="1"/>
          <c:tx>
            <c:v>Avg. of Means</c:v>
          </c:tx>
          <c:spPr>
            <a:ln w="28575">
              <a:solidFill>
                <a:srgbClr val="C00000"/>
              </a:solidFill>
            </a:ln>
          </c:spPr>
          <c:marker>
            <c:symbol val="none"/>
          </c:marker>
          <c:xVal>
            <c:numRef>
              <c:f>'Comparison of stacks'!$V$14:$V$15</c:f>
              <c:numCache>
                <c:formatCode>General</c:formatCode>
                <c:ptCount val="2"/>
                <c:pt idx="0">
                  <c:v>0</c:v>
                </c:pt>
                <c:pt idx="1">
                  <c:v>1300</c:v>
                </c:pt>
              </c:numCache>
            </c:numRef>
          </c:xVal>
          <c:yVal>
            <c:numRef>
              <c:f>'Comparison of stacks'!$W$14:$W$15</c:f>
              <c:numCache>
                <c:formatCode>General</c:formatCode>
                <c:ptCount val="2"/>
                <c:pt idx="0">
                  <c:v>121.13292968750002</c:v>
                </c:pt>
                <c:pt idx="1">
                  <c:v>121.13292968750002</c:v>
                </c:pt>
              </c:numCache>
            </c:numRef>
          </c:yVal>
        </c:ser>
        <c:axId val="224599040"/>
        <c:axId val="224629888"/>
      </c:scatterChart>
      <c:valAx>
        <c:axId val="224599040"/>
        <c:scaling>
          <c:orientation val="minMax"/>
        </c:scaling>
        <c:axPos val="b"/>
        <c:title>
          <c:tx>
            <c:rich>
              <a:bodyPr/>
              <a:lstStyle/>
              <a:p>
                <a:pPr>
                  <a:defRPr/>
                </a:pPr>
                <a:r>
                  <a:rPr lang="en-US"/>
                  <a:t>PSI</a:t>
                </a:r>
                <a:r>
                  <a:rPr lang="en-US" baseline="0"/>
                  <a:t>  Center (&lt;400 corrected), row</a:t>
                </a:r>
                <a:endParaRPr lang="en-US"/>
              </a:p>
            </c:rich>
          </c:tx>
          <c:layout/>
        </c:title>
        <c:numFmt formatCode="General" sourceLinked="1"/>
        <c:tickLblPos val="nextTo"/>
        <c:crossAx val="224629888"/>
        <c:crosses val="autoZero"/>
        <c:crossBetween val="midCat"/>
      </c:valAx>
      <c:valAx>
        <c:axId val="224629888"/>
        <c:scaling>
          <c:orientation val="minMax"/>
          <c:max val="8"/>
          <c:min val="4"/>
        </c:scaling>
        <c:axPos val="l"/>
        <c:majorGridlines/>
        <c:title>
          <c:tx>
            <c:rich>
              <a:bodyPr rot="-5400000" vert="horz"/>
              <a:lstStyle/>
              <a:p>
                <a:pPr>
                  <a:defRPr/>
                </a:pPr>
                <a:r>
                  <a:rPr lang="en-US"/>
                  <a:t>Mean</a:t>
                </a:r>
                <a:r>
                  <a:rPr lang="en-US" baseline="0"/>
                  <a:t> Frame Luminance</a:t>
                </a:r>
                <a:endParaRPr lang="en-US"/>
              </a:p>
            </c:rich>
          </c:tx>
          <c:layout/>
        </c:title>
        <c:numFmt formatCode="General" sourceLinked="1"/>
        <c:tickLblPos val="nextTo"/>
        <c:crossAx val="224599040"/>
        <c:crosses val="autoZero"/>
        <c:crossBetween val="midCat"/>
      </c:valAx>
      <c:spPr>
        <a:ln>
          <a:solidFill>
            <a:schemeClr val="tx1"/>
          </a:solidFill>
        </a:ln>
      </c:spPr>
    </c:plotArea>
    <c:legend>
      <c:legendPos val="t"/>
      <c:legendEntry>
        <c:idx val="1"/>
        <c:delete val="1"/>
      </c:legendEntry>
      <c:layout>
        <c:manualLayout>
          <c:xMode val="edge"/>
          <c:yMode val="edge"/>
          <c:x val="0.12114876911650589"/>
          <c:y val="0.16353702062406023"/>
          <c:w val="0.77355530081906321"/>
          <c:h val="8.4492165123458557E-2"/>
        </c:manualLayout>
      </c:layout>
    </c:legend>
    <c:plotVisOnly val="1"/>
  </c:chart>
  <c:printSettings>
    <c:headerFooter/>
    <c:pageMargins b="0.75000000000000056" l="0.70000000000000051" r="0.70000000000000051" t="0.75000000000000056" header="0.30000000000000027" footer="0.30000000000000027"/>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7</xdr:col>
      <xdr:colOff>447675</xdr:colOff>
      <xdr:row>0</xdr:row>
      <xdr:rowOff>180975</xdr:rowOff>
    </xdr:from>
    <xdr:to>
      <xdr:col>12</xdr:col>
      <xdr:colOff>600075</xdr:colOff>
      <xdr:row>10</xdr:row>
      <xdr:rowOff>180975</xdr:rowOff>
    </xdr:to>
    <xdr:sp macro="" textlink="">
      <xdr:nvSpPr>
        <xdr:cNvPr id="2" name="TextBox 1"/>
        <xdr:cNvSpPr txBox="1"/>
      </xdr:nvSpPr>
      <xdr:spPr>
        <a:xfrm>
          <a:off x="4714875" y="180975"/>
          <a:ext cx="3200400"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Data</a:t>
          </a:r>
          <a:r>
            <a:rPr lang="en-US" sz="1100" baseline="0"/>
            <a:t> used the HBath..1_200.avi file and the ImageJ macro file </a:t>
          </a:r>
          <a:r>
            <a:rPr lang="en-US" sz="1100" i="1">
              <a:solidFill>
                <a:schemeClr val="dk1"/>
              </a:solidFill>
              <a:latin typeface="+mn-lt"/>
              <a:ea typeface="+mn-ea"/>
              <a:cs typeface="+mn-cs"/>
            </a:rPr>
            <a:t>Compute_avi_stack_images_std_dev and parameters.ijm</a:t>
          </a:r>
          <a:r>
            <a:rPr lang="en-US" sz="1100" i="0">
              <a:solidFill>
                <a:schemeClr val="dk1"/>
              </a:solidFill>
              <a:latin typeface="+mn-lt"/>
              <a:ea typeface="+mn-ea"/>
              <a:cs typeface="+mn-cs"/>
            </a:rPr>
            <a:t>,</a:t>
          </a:r>
          <a:r>
            <a:rPr lang="en-US" sz="1100" i="0" baseline="0">
              <a:solidFill>
                <a:schemeClr val="dk1"/>
              </a:solidFill>
              <a:latin typeface="+mn-lt"/>
              <a:ea typeface="+mn-ea"/>
              <a:cs typeface="+mn-cs"/>
            </a:rPr>
            <a:t> whic h</a:t>
          </a:r>
          <a:r>
            <a:rPr lang="en-US" sz="1100">
              <a:solidFill>
                <a:schemeClr val="dk1"/>
              </a:solidFill>
              <a:latin typeface="+mn-lt"/>
              <a:ea typeface="+mn-ea"/>
              <a:cs typeface="+mn-cs"/>
            </a:rPr>
            <a:t>is hardwired to run stack2.avi in avi_out and places an xls and csv file in avi_out that contains the mean, standard dev, min max and slice info. This data is completely fitted using</a:t>
          </a:r>
          <a:r>
            <a:rPr lang="en-US" sz="1100" baseline="0">
              <a:solidFill>
                <a:schemeClr val="dk1"/>
              </a:solidFill>
              <a:latin typeface="+mn-lt"/>
              <a:ea typeface="+mn-ea"/>
              <a:cs typeface="+mn-cs"/>
            </a:rPr>
            <a:t> PSIFilter 0.825, and correction for PSI Centers &lt;400.</a:t>
          </a:r>
          <a:endParaRPr lang="en-US" sz="1100">
            <a:solidFill>
              <a:schemeClr val="dk1"/>
            </a:solidFill>
            <a:latin typeface="+mn-lt"/>
            <a:ea typeface="+mn-ea"/>
            <a:cs typeface="+mn-cs"/>
          </a:endParaRPr>
        </a:p>
        <a:p>
          <a:r>
            <a:rPr lang="en-US" sz="1100">
              <a:solidFill>
                <a:schemeClr val="dk1"/>
              </a:solidFill>
              <a:latin typeface="+mn-lt"/>
              <a:ea typeface="+mn-ea"/>
              <a:cs typeface="+mn-cs"/>
            </a:rPr>
            <a:t>The intent is to use the data to look for any kind of trends  in the mean frame</a:t>
          </a:r>
          <a:r>
            <a:rPr lang="en-US" sz="1100" baseline="0">
              <a:solidFill>
                <a:schemeClr val="dk1"/>
              </a:solidFill>
              <a:latin typeface="+mn-lt"/>
              <a:ea typeface="+mn-ea"/>
              <a:cs typeface="+mn-cs"/>
            </a:rPr>
            <a:t> luminances between frames</a:t>
          </a:r>
          <a:r>
            <a:rPr lang="en-US" sz="1100">
              <a:solidFill>
                <a:schemeClr val="dk1"/>
              </a:solidFill>
              <a:latin typeface="+mn-lt"/>
              <a:ea typeface="+mn-ea"/>
              <a:cs typeface="+mn-cs"/>
            </a:rPr>
            <a: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1</xdr:row>
      <xdr:rowOff>57150</xdr:rowOff>
    </xdr:from>
    <xdr:to>
      <xdr:col>6</xdr:col>
      <xdr:colOff>523875</xdr:colOff>
      <xdr:row>5</xdr:row>
      <xdr:rowOff>57150</xdr:rowOff>
    </xdr:to>
    <xdr:sp macro="" textlink="">
      <xdr:nvSpPr>
        <xdr:cNvPr id="4" name="TextBox 3"/>
        <xdr:cNvSpPr txBox="1"/>
      </xdr:nvSpPr>
      <xdr:spPr>
        <a:xfrm>
          <a:off x="104775" y="247650"/>
          <a:ext cx="4076700"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Data is from the good region 0-1080 height and 240-1640</a:t>
          </a:r>
          <a:r>
            <a:rPr lang="en-US" sz="1100" baseline="0"/>
            <a:t> in width on  corrected data (stack2 type data) using a standard 1313 PSI width.</a:t>
          </a:r>
          <a:endParaRPr lang="en-US" sz="1100"/>
        </a:p>
      </xdr:txBody>
    </xdr:sp>
    <xdr:clientData/>
  </xdr:twoCellAnchor>
  <xdr:twoCellAnchor>
    <xdr:from>
      <xdr:col>14</xdr:col>
      <xdr:colOff>438151</xdr:colOff>
      <xdr:row>9</xdr:row>
      <xdr:rowOff>542925</xdr:rowOff>
    </xdr:from>
    <xdr:to>
      <xdr:col>22</xdr:col>
      <xdr:colOff>247651</xdr:colOff>
      <xdr:row>23</xdr:row>
      <xdr:rowOff>95249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24</xdr:row>
      <xdr:rowOff>38100</xdr:rowOff>
    </xdr:from>
    <xdr:to>
      <xdr:col>23</xdr:col>
      <xdr:colOff>400050</xdr:colOff>
      <xdr:row>38</xdr:row>
      <xdr:rowOff>114300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361950</xdr:colOff>
      <xdr:row>50</xdr:row>
      <xdr:rowOff>171450</xdr:rowOff>
    </xdr:from>
    <xdr:to>
      <xdr:col>25</xdr:col>
      <xdr:colOff>0</xdr:colOff>
      <xdr:row>65</xdr:row>
      <xdr:rowOff>57150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457200</xdr:colOff>
      <xdr:row>47</xdr:row>
      <xdr:rowOff>19050</xdr:rowOff>
    </xdr:from>
    <xdr:to>
      <xdr:col>21</xdr:col>
      <xdr:colOff>542925</xdr:colOff>
      <xdr:row>50</xdr:row>
      <xdr:rowOff>38100</xdr:rowOff>
    </xdr:to>
    <xdr:sp macro="" textlink="">
      <xdr:nvSpPr>
        <xdr:cNvPr id="9" name="TextBox 8"/>
        <xdr:cNvSpPr txBox="1"/>
      </xdr:nvSpPr>
      <xdr:spPr>
        <a:xfrm>
          <a:off x="9020175" y="8972550"/>
          <a:ext cx="258127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 the value</a:t>
          </a:r>
          <a:r>
            <a:rPr lang="en-US" sz="1100" baseline="0"/>
            <a:t> at 4 suggests a week correlation with a cycle of 4, but it is not that strong.</a:t>
          </a:r>
          <a:endParaRPr lang="en-US" sz="1100"/>
        </a:p>
      </xdr:txBody>
    </xdr:sp>
    <xdr:clientData/>
  </xdr:twoCellAnchor>
  <xdr:twoCellAnchor>
    <xdr:from>
      <xdr:col>17</xdr:col>
      <xdr:colOff>361950</xdr:colOff>
      <xdr:row>66</xdr:row>
      <xdr:rowOff>133350</xdr:rowOff>
    </xdr:from>
    <xdr:to>
      <xdr:col>25</xdr:col>
      <xdr:colOff>0</xdr:colOff>
      <xdr:row>81</xdr:row>
      <xdr:rowOff>19050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361950</xdr:colOff>
      <xdr:row>82</xdr:row>
      <xdr:rowOff>19051</xdr:rowOff>
    </xdr:from>
    <xdr:to>
      <xdr:col>24</xdr:col>
      <xdr:colOff>361950</xdr:colOff>
      <xdr:row>85</xdr:row>
      <xdr:rowOff>57151</xdr:rowOff>
    </xdr:to>
    <xdr:sp macro="" textlink="">
      <xdr:nvSpPr>
        <xdr:cNvPr id="11" name="TextBox 10"/>
        <xdr:cNvSpPr txBox="1"/>
      </xdr:nvSpPr>
      <xdr:spPr>
        <a:xfrm>
          <a:off x="8924925" y="16021051"/>
          <a:ext cx="432435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mean data is a bit difficult to interpret. It does suggest a period 4 cycle so that we see peaks at 4,</a:t>
          </a:r>
          <a:r>
            <a:rPr lang="en-US" sz="1100" baseline="0"/>
            <a:t> 7, 11, 15,18-19, and low correlations at 9, 13, 16-17</a:t>
          </a:r>
          <a:endParaRPr lang="en-US" sz="1100"/>
        </a:p>
      </xdr:txBody>
    </xdr:sp>
    <xdr:clientData/>
  </xdr:twoCellAnchor>
  <xdr:twoCellAnchor>
    <xdr:from>
      <xdr:col>7</xdr:col>
      <xdr:colOff>266700</xdr:colOff>
      <xdr:row>0</xdr:row>
      <xdr:rowOff>114300</xdr:rowOff>
    </xdr:from>
    <xdr:to>
      <xdr:col>15</xdr:col>
      <xdr:colOff>266700</xdr:colOff>
      <xdr:row>5</xdr:row>
      <xdr:rowOff>161925</xdr:rowOff>
    </xdr:to>
    <xdr:sp macro="" textlink="">
      <xdr:nvSpPr>
        <xdr:cNvPr id="12" name="TextBox 11"/>
        <xdr:cNvSpPr txBox="1"/>
      </xdr:nvSpPr>
      <xdr:spPr>
        <a:xfrm>
          <a:off x="4533900" y="114300"/>
          <a:ext cx="5514975"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There does appear to be a correlation</a:t>
          </a:r>
          <a:r>
            <a:rPr lang="en-US" sz="1100" baseline="0"/>
            <a:t> of mean , high, and low with a frequency of about 4. The 3, 4 cycle moving average shows that certainly 4 is better than three, but we have to be careful, of the change because  there is also an overall light change over time, dropping by around 4 RGB average units  by the 45th frame and becoming nearly constant at &lt;120&gt; rgb units.</a:t>
          </a:r>
          <a:endParaRPr lang="en-US" sz="1100"/>
        </a:p>
      </xdr:txBody>
    </xdr:sp>
    <xdr:clientData/>
  </xdr:twoCellAnchor>
  <xdr:twoCellAnchor>
    <xdr:from>
      <xdr:col>10</xdr:col>
      <xdr:colOff>200025</xdr:colOff>
      <xdr:row>6</xdr:row>
      <xdr:rowOff>85725</xdr:rowOff>
    </xdr:from>
    <xdr:to>
      <xdr:col>16</xdr:col>
      <xdr:colOff>476250</xdr:colOff>
      <xdr:row>18</xdr:row>
      <xdr:rowOff>161925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457200</xdr:colOff>
      <xdr:row>11</xdr:row>
      <xdr:rowOff>76200</xdr:rowOff>
    </xdr:from>
    <xdr:to>
      <xdr:col>19</xdr:col>
      <xdr:colOff>152400</xdr:colOff>
      <xdr:row>23</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305520</xdr:colOff>
      <xdr:row>1</xdr:row>
      <xdr:rowOff>107830</xdr:rowOff>
    </xdr:from>
    <xdr:to>
      <xdr:col>23</xdr:col>
      <xdr:colOff>458279</xdr:colOff>
      <xdr:row>8</xdr:row>
      <xdr:rowOff>180975</xdr:rowOff>
    </xdr:to>
    <xdr:sp macro="" textlink="">
      <xdr:nvSpPr>
        <xdr:cNvPr id="3" name="TextBox 2"/>
        <xdr:cNvSpPr txBox="1"/>
      </xdr:nvSpPr>
      <xdr:spPr>
        <a:xfrm>
          <a:off x="305520" y="107830"/>
          <a:ext cx="14386344" cy="1394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is a surprise.</a:t>
          </a:r>
          <a:r>
            <a:rPr lang="en-US" sz="1100" baseline="0"/>
            <a:t> After correcting the 0-400 PSI center values to get them in line, and simultaneously adjusting the widths between adjacent frames, and using the mov aver. of these new PSI widths, it turns out the std dev values are definitely worse in the modfied case.  The difference is  due to the lower minimum  luminance values coming out higher in the 1313 data. The high values are virtually unchanged . The spread in the corr. values ifor the min. is a lot less than for the locked width. This may mean I am looking at the wrong variable to determine the light variation. The std dev of the means is again higher in the corr frames.  So what to do? The problem is that the 1313 was derived by a lot of manual work and I know that the 0-400 values are definitely out of wack. The above  is really moot from a practical point of view.  Instead the plots starting at L39 point to the approach. The  mean luminance plot as a function of frame shows we have a  luminancec hange  as a function of time/frame.. We also see  what appears to be a  near regular pattern of mean as a function of  frames. The second plot shows what  drives the periodic pattern  - the PSI center position.  Even though there is a  spread in values , it iis clear that this  is unlikely to be a linear scatter pattern around the mean.; the first plot emphasizes that conclusion.</a:t>
          </a:r>
          <a:endParaRPr lang="en-US" sz="1100"/>
        </a:p>
      </xdr:txBody>
    </xdr:sp>
    <xdr:clientData/>
  </xdr:twoCellAnchor>
  <xdr:twoCellAnchor>
    <xdr:from>
      <xdr:col>11</xdr:col>
      <xdr:colOff>495300</xdr:colOff>
      <xdr:row>25</xdr:row>
      <xdr:rowOff>57150</xdr:rowOff>
    </xdr:from>
    <xdr:to>
      <xdr:col>21</xdr:col>
      <xdr:colOff>152400</xdr:colOff>
      <xdr:row>39</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114300</xdr:colOff>
      <xdr:row>41</xdr:row>
      <xdr:rowOff>66675</xdr:rowOff>
    </xdr:from>
    <xdr:to>
      <xdr:col>27</xdr:col>
      <xdr:colOff>419100</xdr:colOff>
      <xdr:row>55</xdr:row>
      <xdr:rowOff>142875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95250</xdr:colOff>
      <xdr:row>57</xdr:row>
      <xdr:rowOff>9525</xdr:rowOff>
    </xdr:from>
    <xdr:to>
      <xdr:col>27</xdr:col>
      <xdr:colOff>400050</xdr:colOff>
      <xdr:row>71</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72</xdr:row>
      <xdr:rowOff>19050</xdr:rowOff>
    </xdr:from>
    <xdr:to>
      <xdr:col>27</xdr:col>
      <xdr:colOff>304800</xdr:colOff>
      <xdr:row>86</xdr:row>
      <xdr:rowOff>95250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41</xdr:row>
      <xdr:rowOff>85725</xdr:rowOff>
    </xdr:from>
    <xdr:to>
      <xdr:col>18</xdr:col>
      <xdr:colOff>342900</xdr:colOff>
      <xdr:row>55</xdr:row>
      <xdr:rowOff>161925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85725</xdr:colOff>
      <xdr:row>57</xdr:row>
      <xdr:rowOff>95250</xdr:rowOff>
    </xdr:from>
    <xdr:to>
      <xdr:col>18</xdr:col>
      <xdr:colOff>390525</xdr:colOff>
      <xdr:row>71</xdr:row>
      <xdr:rowOff>171450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269575</xdr:colOff>
      <xdr:row>88</xdr:row>
      <xdr:rowOff>35943</xdr:rowOff>
    </xdr:from>
    <xdr:to>
      <xdr:col>18</xdr:col>
      <xdr:colOff>574375</xdr:colOff>
      <xdr:row>102</xdr:row>
      <xdr:rowOff>112142</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107830</xdr:colOff>
      <xdr:row>82</xdr:row>
      <xdr:rowOff>152760</xdr:rowOff>
    </xdr:from>
    <xdr:to>
      <xdr:col>15</xdr:col>
      <xdr:colOff>467264</xdr:colOff>
      <xdr:row>86</xdr:row>
      <xdr:rowOff>89858</xdr:rowOff>
    </xdr:to>
    <xdr:sp macro="" textlink="">
      <xdr:nvSpPr>
        <xdr:cNvPr id="11" name="TextBox 10"/>
        <xdr:cNvSpPr txBox="1"/>
      </xdr:nvSpPr>
      <xdr:spPr>
        <a:xfrm>
          <a:off x="6829245" y="16021769"/>
          <a:ext cx="3028231" cy="6919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a:t>
          </a:r>
          <a:r>
            <a:rPr lang="en-US" sz="1100" baseline="0"/>
            <a:t> correction is 121.133-y</a:t>
          </a:r>
          <a:endParaRPr lang="en-US" sz="1100"/>
        </a:p>
      </xdr:txBody>
    </xdr:sp>
    <xdr:clientData/>
  </xdr:twoCellAnchor>
  <xdr:twoCellAnchor>
    <xdr:from>
      <xdr:col>11</xdr:col>
      <xdr:colOff>296533</xdr:colOff>
      <xdr:row>103</xdr:row>
      <xdr:rowOff>134788</xdr:rowOff>
    </xdr:from>
    <xdr:to>
      <xdr:col>18</xdr:col>
      <xdr:colOff>601333</xdr:colOff>
      <xdr:row>118</xdr:row>
      <xdr:rowOff>22285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G137"/>
  <sheetViews>
    <sheetView workbookViewId="0">
      <selection activeCell="A2" sqref="A2:A127"/>
    </sheetView>
  </sheetViews>
  <sheetFormatPr defaultRowHeight="15"/>
  <sheetData>
    <row r="1" spans="1:6">
      <c r="A1" t="s">
        <v>0</v>
      </c>
      <c r="B1" t="s">
        <v>25</v>
      </c>
      <c r="C1" t="s">
        <v>26</v>
      </c>
      <c r="D1" t="s">
        <v>27</v>
      </c>
      <c r="E1" t="s">
        <v>28</v>
      </c>
      <c r="F1" t="s">
        <v>5</v>
      </c>
    </row>
    <row r="2" spans="1:6">
      <c r="A2">
        <v>134.982</v>
      </c>
      <c r="B2">
        <v>7.665</v>
      </c>
      <c r="C2">
        <v>78</v>
      </c>
      <c r="D2">
        <v>172</v>
      </c>
      <c r="E2">
        <v>135</v>
      </c>
      <c r="F2">
        <v>1</v>
      </c>
    </row>
    <row r="3" spans="1:6">
      <c r="A3">
        <v>127.09099999999999</v>
      </c>
      <c r="B3">
        <v>5.3609999999999998</v>
      </c>
      <c r="C3">
        <v>90</v>
      </c>
      <c r="D3">
        <v>158</v>
      </c>
      <c r="E3">
        <v>127</v>
      </c>
      <c r="F3">
        <v>2</v>
      </c>
    </row>
    <row r="4" spans="1:6">
      <c r="A4">
        <v>128.03100000000001</v>
      </c>
      <c r="B4">
        <v>6.8120000000000003</v>
      </c>
      <c r="C4">
        <v>78</v>
      </c>
      <c r="D4">
        <v>156</v>
      </c>
      <c r="E4">
        <v>128</v>
      </c>
      <c r="F4">
        <v>3</v>
      </c>
    </row>
    <row r="5" spans="1:6">
      <c r="A5">
        <v>131.99</v>
      </c>
      <c r="B5">
        <v>8.7140000000000004</v>
      </c>
      <c r="C5">
        <v>71</v>
      </c>
      <c r="D5">
        <v>168</v>
      </c>
      <c r="E5">
        <v>132</v>
      </c>
      <c r="F5">
        <v>4</v>
      </c>
    </row>
    <row r="6" spans="1:6">
      <c r="A6">
        <v>126.845</v>
      </c>
      <c r="B6">
        <v>6.2080000000000002</v>
      </c>
      <c r="C6">
        <v>87</v>
      </c>
      <c r="D6">
        <v>154</v>
      </c>
      <c r="E6">
        <v>127</v>
      </c>
      <c r="F6">
        <v>5</v>
      </c>
    </row>
    <row r="7" spans="1:6">
      <c r="A7">
        <v>125.04600000000001</v>
      </c>
      <c r="B7">
        <v>5.3869999999999996</v>
      </c>
      <c r="C7">
        <v>89</v>
      </c>
      <c r="D7">
        <v>157</v>
      </c>
      <c r="E7">
        <v>125</v>
      </c>
      <c r="F7">
        <v>6</v>
      </c>
    </row>
    <row r="8" spans="1:6">
      <c r="A8">
        <v>127.998</v>
      </c>
      <c r="B8">
        <v>6.4859999999999998</v>
      </c>
      <c r="C8">
        <v>80</v>
      </c>
      <c r="D8">
        <v>161</v>
      </c>
      <c r="E8">
        <v>129</v>
      </c>
      <c r="F8">
        <v>7</v>
      </c>
    </row>
    <row r="9" spans="1:6">
      <c r="A9">
        <v>130.18299999999999</v>
      </c>
      <c r="B9">
        <v>6.7569999999999997</v>
      </c>
      <c r="C9">
        <v>83</v>
      </c>
      <c r="D9">
        <v>156</v>
      </c>
      <c r="E9">
        <v>131</v>
      </c>
      <c r="F9">
        <v>8</v>
      </c>
    </row>
    <row r="10" spans="1:6">
      <c r="A10">
        <v>122.377</v>
      </c>
      <c r="B10">
        <v>5.3209999999999997</v>
      </c>
      <c r="C10">
        <v>89</v>
      </c>
      <c r="D10">
        <v>152</v>
      </c>
      <c r="E10">
        <v>122</v>
      </c>
      <c r="F10">
        <v>9</v>
      </c>
    </row>
    <row r="11" spans="1:6">
      <c r="A11">
        <v>122.068</v>
      </c>
      <c r="B11">
        <v>6.2089999999999996</v>
      </c>
      <c r="C11">
        <v>82</v>
      </c>
      <c r="D11">
        <v>160</v>
      </c>
      <c r="E11">
        <v>122</v>
      </c>
      <c r="F11">
        <v>10</v>
      </c>
    </row>
    <row r="12" spans="1:6">
      <c r="A12">
        <v>127.245</v>
      </c>
      <c r="B12">
        <v>6.1120000000000001</v>
      </c>
      <c r="C12">
        <v>85</v>
      </c>
      <c r="D12">
        <v>154</v>
      </c>
      <c r="E12">
        <v>128</v>
      </c>
      <c r="F12">
        <v>11</v>
      </c>
    </row>
    <row r="13" spans="1:6">
      <c r="A13">
        <v>128.374</v>
      </c>
      <c r="B13">
        <v>6.2309999999999999</v>
      </c>
      <c r="C13">
        <v>82</v>
      </c>
      <c r="D13">
        <v>158</v>
      </c>
      <c r="E13">
        <v>129</v>
      </c>
      <c r="F13">
        <v>12</v>
      </c>
    </row>
    <row r="14" spans="1:6">
      <c r="A14">
        <v>122.486</v>
      </c>
      <c r="B14">
        <v>5.5549999999999997</v>
      </c>
      <c r="C14">
        <v>88</v>
      </c>
      <c r="D14">
        <v>152</v>
      </c>
      <c r="E14">
        <v>122</v>
      </c>
      <c r="F14">
        <v>13</v>
      </c>
    </row>
    <row r="15" spans="1:6">
      <c r="A15">
        <v>125.25</v>
      </c>
      <c r="B15">
        <v>6.1440000000000001</v>
      </c>
      <c r="C15">
        <v>83</v>
      </c>
      <c r="D15">
        <v>157</v>
      </c>
      <c r="E15">
        <v>126</v>
      </c>
      <c r="F15">
        <v>14</v>
      </c>
    </row>
    <row r="16" spans="1:6">
      <c r="A16">
        <v>127.21899999999999</v>
      </c>
      <c r="B16">
        <v>6.4560000000000004</v>
      </c>
      <c r="C16">
        <v>80</v>
      </c>
      <c r="D16">
        <v>159</v>
      </c>
      <c r="E16">
        <v>128</v>
      </c>
      <c r="F16">
        <v>15</v>
      </c>
    </row>
    <row r="17" spans="1:6">
      <c r="A17">
        <v>121.663</v>
      </c>
      <c r="B17">
        <v>6.0279999999999996</v>
      </c>
      <c r="C17">
        <v>80</v>
      </c>
      <c r="D17">
        <v>158</v>
      </c>
      <c r="E17">
        <v>122</v>
      </c>
      <c r="F17">
        <v>16</v>
      </c>
    </row>
    <row r="18" spans="1:6">
      <c r="A18">
        <v>120.611</v>
      </c>
      <c r="B18">
        <v>5.2409999999999997</v>
      </c>
      <c r="C18">
        <v>81</v>
      </c>
      <c r="D18">
        <v>149</v>
      </c>
      <c r="E18">
        <v>121</v>
      </c>
      <c r="F18">
        <v>17</v>
      </c>
    </row>
    <row r="19" spans="1:6">
      <c r="A19">
        <v>124.529</v>
      </c>
      <c r="B19">
        <v>6.0839999999999996</v>
      </c>
      <c r="C19">
        <v>76</v>
      </c>
      <c r="D19">
        <v>151</v>
      </c>
      <c r="E19">
        <v>125</v>
      </c>
      <c r="F19">
        <v>18</v>
      </c>
    </row>
    <row r="20" spans="1:6">
      <c r="A20">
        <v>128.06899999999999</v>
      </c>
      <c r="B20">
        <v>6.6660000000000004</v>
      </c>
      <c r="C20">
        <v>80</v>
      </c>
      <c r="D20">
        <v>164</v>
      </c>
      <c r="E20">
        <v>129</v>
      </c>
      <c r="F20">
        <v>19</v>
      </c>
    </row>
    <row r="21" spans="1:6">
      <c r="A21">
        <v>121.886</v>
      </c>
      <c r="B21">
        <v>5.1180000000000003</v>
      </c>
      <c r="C21">
        <v>88</v>
      </c>
      <c r="D21">
        <v>160</v>
      </c>
      <c r="E21">
        <v>122</v>
      </c>
      <c r="F21">
        <v>20</v>
      </c>
    </row>
    <row r="22" spans="1:6">
      <c r="A22">
        <v>121.036</v>
      </c>
      <c r="B22">
        <v>5.7690000000000001</v>
      </c>
      <c r="C22">
        <v>87</v>
      </c>
      <c r="D22">
        <v>152</v>
      </c>
      <c r="E22">
        <v>121</v>
      </c>
      <c r="F22">
        <v>21</v>
      </c>
    </row>
    <row r="23" spans="1:6">
      <c r="A23">
        <v>124.85299999999999</v>
      </c>
      <c r="B23">
        <v>6.4050000000000002</v>
      </c>
      <c r="C23">
        <v>80</v>
      </c>
      <c r="D23">
        <v>160</v>
      </c>
      <c r="E23">
        <v>125</v>
      </c>
      <c r="F23">
        <v>22</v>
      </c>
    </row>
    <row r="24" spans="1:6">
      <c r="A24">
        <v>125.33199999999999</v>
      </c>
      <c r="B24">
        <v>5.8730000000000002</v>
      </c>
      <c r="C24">
        <v>80</v>
      </c>
      <c r="D24">
        <v>157</v>
      </c>
      <c r="E24">
        <v>126</v>
      </c>
      <c r="F24">
        <v>23</v>
      </c>
    </row>
    <row r="25" spans="1:6">
      <c r="A25">
        <v>119.658</v>
      </c>
      <c r="B25">
        <v>4.7359999999999998</v>
      </c>
      <c r="C25">
        <v>94</v>
      </c>
      <c r="D25">
        <v>149</v>
      </c>
      <c r="E25">
        <v>120</v>
      </c>
      <c r="F25">
        <v>24</v>
      </c>
    </row>
    <row r="26" spans="1:6">
      <c r="A26">
        <v>121.89</v>
      </c>
      <c r="B26">
        <v>6.46</v>
      </c>
      <c r="C26">
        <v>76</v>
      </c>
      <c r="D26">
        <v>156</v>
      </c>
      <c r="E26">
        <v>122</v>
      </c>
      <c r="F26">
        <v>25</v>
      </c>
    </row>
    <row r="27" spans="1:6">
      <c r="A27">
        <v>126.729</v>
      </c>
      <c r="B27">
        <v>6.3559999999999999</v>
      </c>
      <c r="C27">
        <v>77</v>
      </c>
      <c r="D27">
        <v>152</v>
      </c>
      <c r="E27">
        <v>128</v>
      </c>
      <c r="F27">
        <v>26</v>
      </c>
    </row>
    <row r="28" spans="1:6">
      <c r="A28">
        <v>124.926</v>
      </c>
      <c r="B28">
        <v>6.1189999999999998</v>
      </c>
      <c r="C28">
        <v>86</v>
      </c>
      <c r="D28">
        <v>157</v>
      </c>
      <c r="E28">
        <v>125</v>
      </c>
      <c r="F28">
        <v>27</v>
      </c>
    </row>
    <row r="29" spans="1:6">
      <c r="A29">
        <v>119.705</v>
      </c>
      <c r="B29">
        <v>5.7130000000000001</v>
      </c>
      <c r="C29">
        <v>83</v>
      </c>
      <c r="D29">
        <v>164</v>
      </c>
      <c r="E29">
        <v>120</v>
      </c>
      <c r="F29">
        <v>28</v>
      </c>
    </row>
    <row r="30" spans="1:6">
      <c r="A30">
        <v>120.943</v>
      </c>
      <c r="B30">
        <v>6.3380000000000001</v>
      </c>
      <c r="C30">
        <v>78</v>
      </c>
      <c r="D30">
        <v>151</v>
      </c>
      <c r="E30">
        <v>122</v>
      </c>
      <c r="F30">
        <v>29</v>
      </c>
    </row>
    <row r="31" spans="1:6">
      <c r="A31">
        <v>125.215</v>
      </c>
      <c r="B31">
        <v>6.2910000000000004</v>
      </c>
      <c r="C31">
        <v>78</v>
      </c>
      <c r="D31">
        <v>149</v>
      </c>
      <c r="E31">
        <v>126</v>
      </c>
      <c r="F31">
        <v>30</v>
      </c>
    </row>
    <row r="32" spans="1:6">
      <c r="A32">
        <v>120.294</v>
      </c>
      <c r="B32">
        <v>6.3019999999999996</v>
      </c>
      <c r="C32">
        <v>81</v>
      </c>
      <c r="D32">
        <v>152</v>
      </c>
      <c r="E32">
        <v>120</v>
      </c>
      <c r="F32">
        <v>31</v>
      </c>
    </row>
    <row r="33" spans="1:6">
      <c r="A33">
        <v>120.164</v>
      </c>
      <c r="B33">
        <v>5.625</v>
      </c>
      <c r="C33">
        <v>79</v>
      </c>
      <c r="D33">
        <v>154</v>
      </c>
      <c r="E33">
        <v>120</v>
      </c>
      <c r="F33">
        <v>32</v>
      </c>
    </row>
    <row r="34" spans="1:6">
      <c r="A34">
        <v>124.52800000000001</v>
      </c>
      <c r="B34">
        <v>6.2350000000000003</v>
      </c>
      <c r="C34">
        <v>74</v>
      </c>
      <c r="D34">
        <v>150</v>
      </c>
      <c r="E34">
        <v>125</v>
      </c>
      <c r="F34">
        <v>33</v>
      </c>
    </row>
    <row r="35" spans="1:6">
      <c r="A35">
        <v>127.911</v>
      </c>
      <c r="B35">
        <v>6.84</v>
      </c>
      <c r="C35">
        <v>78</v>
      </c>
      <c r="D35">
        <v>169</v>
      </c>
      <c r="E35">
        <v>128</v>
      </c>
      <c r="F35">
        <v>34</v>
      </c>
    </row>
    <row r="36" spans="1:6">
      <c r="A36">
        <v>119.925</v>
      </c>
      <c r="B36">
        <v>4.96</v>
      </c>
      <c r="C36">
        <v>90</v>
      </c>
      <c r="D36">
        <v>145</v>
      </c>
      <c r="E36">
        <v>120</v>
      </c>
      <c r="F36">
        <v>35</v>
      </c>
    </row>
    <row r="37" spans="1:6">
      <c r="A37">
        <v>120.17100000000001</v>
      </c>
      <c r="B37">
        <v>6.093</v>
      </c>
      <c r="C37">
        <v>79</v>
      </c>
      <c r="D37">
        <v>153</v>
      </c>
      <c r="E37">
        <v>120</v>
      </c>
      <c r="F37">
        <v>36</v>
      </c>
    </row>
    <row r="38" spans="1:6">
      <c r="A38">
        <v>126.664</v>
      </c>
      <c r="B38">
        <v>6.7169999999999996</v>
      </c>
      <c r="C38">
        <v>76</v>
      </c>
      <c r="D38">
        <v>156</v>
      </c>
      <c r="E38">
        <v>127</v>
      </c>
      <c r="F38">
        <v>37</v>
      </c>
    </row>
    <row r="39" spans="1:6">
      <c r="A39">
        <v>125.83799999999999</v>
      </c>
      <c r="B39">
        <v>6.5519999999999996</v>
      </c>
      <c r="C39">
        <v>84</v>
      </c>
      <c r="D39">
        <v>156</v>
      </c>
      <c r="E39">
        <v>126</v>
      </c>
      <c r="F39">
        <v>38</v>
      </c>
    </row>
    <row r="40" spans="1:6">
      <c r="A40">
        <v>120.776</v>
      </c>
      <c r="B40">
        <v>4.7859999999999996</v>
      </c>
      <c r="C40">
        <v>91</v>
      </c>
      <c r="D40">
        <v>148</v>
      </c>
      <c r="E40">
        <v>121</v>
      </c>
      <c r="F40">
        <v>39</v>
      </c>
    </row>
    <row r="41" spans="1:6">
      <c r="A41">
        <v>123.20699999999999</v>
      </c>
      <c r="B41">
        <v>6.3639999999999999</v>
      </c>
      <c r="C41">
        <v>77</v>
      </c>
      <c r="D41">
        <v>169</v>
      </c>
      <c r="E41">
        <v>124</v>
      </c>
      <c r="F41">
        <v>40</v>
      </c>
    </row>
    <row r="42" spans="1:6">
      <c r="A42">
        <v>127.08499999999999</v>
      </c>
      <c r="B42">
        <v>6.6109999999999998</v>
      </c>
      <c r="C42">
        <v>82</v>
      </c>
      <c r="D42">
        <v>151</v>
      </c>
      <c r="E42">
        <v>128</v>
      </c>
      <c r="F42">
        <v>41</v>
      </c>
    </row>
    <row r="43" spans="1:6">
      <c r="A43">
        <v>119.61</v>
      </c>
      <c r="B43">
        <v>5.3540000000000001</v>
      </c>
      <c r="C43">
        <v>80</v>
      </c>
      <c r="D43">
        <v>155</v>
      </c>
      <c r="E43">
        <v>120</v>
      </c>
      <c r="F43">
        <v>42</v>
      </c>
    </row>
    <row r="44" spans="1:6">
      <c r="A44">
        <v>119.07</v>
      </c>
      <c r="B44">
        <v>5.984</v>
      </c>
      <c r="C44">
        <v>79</v>
      </c>
      <c r="D44">
        <v>154</v>
      </c>
      <c r="E44">
        <v>119</v>
      </c>
      <c r="F44">
        <v>43</v>
      </c>
    </row>
    <row r="45" spans="1:6">
      <c r="A45">
        <v>123.282</v>
      </c>
      <c r="B45">
        <v>6.157</v>
      </c>
      <c r="C45">
        <v>80</v>
      </c>
      <c r="D45">
        <v>161</v>
      </c>
      <c r="E45">
        <v>124</v>
      </c>
      <c r="F45">
        <v>44</v>
      </c>
    </row>
    <row r="46" spans="1:6">
      <c r="A46">
        <v>127.821</v>
      </c>
      <c r="B46">
        <v>6.2759999999999998</v>
      </c>
      <c r="C46">
        <v>79</v>
      </c>
      <c r="D46">
        <v>152</v>
      </c>
      <c r="E46">
        <v>128</v>
      </c>
      <c r="F46">
        <v>45</v>
      </c>
    </row>
    <row r="47" spans="1:6">
      <c r="A47">
        <v>120.991</v>
      </c>
      <c r="B47">
        <v>5.7130000000000001</v>
      </c>
      <c r="C47">
        <v>81</v>
      </c>
      <c r="D47">
        <v>152</v>
      </c>
      <c r="E47">
        <v>121</v>
      </c>
      <c r="F47">
        <v>46</v>
      </c>
    </row>
    <row r="48" spans="1:6">
      <c r="A48">
        <v>122.111</v>
      </c>
      <c r="B48">
        <v>6.0880000000000001</v>
      </c>
      <c r="C48">
        <v>81</v>
      </c>
      <c r="D48">
        <v>153</v>
      </c>
      <c r="E48">
        <v>122</v>
      </c>
      <c r="F48">
        <v>47</v>
      </c>
    </row>
    <row r="49" spans="1:6">
      <c r="A49">
        <v>124.56399999999999</v>
      </c>
      <c r="B49">
        <v>6.2789999999999999</v>
      </c>
      <c r="C49">
        <v>75</v>
      </c>
      <c r="D49">
        <v>148</v>
      </c>
      <c r="E49">
        <v>125</v>
      </c>
      <c r="F49">
        <v>48</v>
      </c>
    </row>
    <row r="50" spans="1:6">
      <c r="A50">
        <v>120.627</v>
      </c>
      <c r="B50">
        <v>6.0030000000000001</v>
      </c>
      <c r="C50">
        <v>72</v>
      </c>
      <c r="D50">
        <v>157</v>
      </c>
      <c r="E50">
        <v>121</v>
      </c>
      <c r="F50">
        <v>49</v>
      </c>
    </row>
    <row r="51" spans="1:6">
      <c r="A51">
        <v>118.276</v>
      </c>
      <c r="B51">
        <v>4.9009999999999998</v>
      </c>
      <c r="C51">
        <v>88</v>
      </c>
      <c r="D51">
        <v>153</v>
      </c>
      <c r="E51">
        <v>118</v>
      </c>
      <c r="F51">
        <v>50</v>
      </c>
    </row>
    <row r="52" spans="1:6">
      <c r="A52">
        <v>121.518</v>
      </c>
      <c r="B52">
        <v>6.3659999999999997</v>
      </c>
      <c r="C52">
        <v>75</v>
      </c>
      <c r="D52">
        <v>155</v>
      </c>
      <c r="E52">
        <v>122</v>
      </c>
      <c r="F52">
        <v>51</v>
      </c>
    </row>
    <row r="53" spans="1:6">
      <c r="A53">
        <v>125.01900000000001</v>
      </c>
      <c r="B53">
        <v>7.1779999999999999</v>
      </c>
      <c r="C53">
        <v>71</v>
      </c>
      <c r="D53">
        <v>166</v>
      </c>
      <c r="E53">
        <v>126</v>
      </c>
      <c r="F53">
        <v>52</v>
      </c>
    </row>
    <row r="54" spans="1:6">
      <c r="A54">
        <v>119.85599999999999</v>
      </c>
      <c r="B54">
        <v>5.1989999999999998</v>
      </c>
      <c r="C54">
        <v>85</v>
      </c>
      <c r="D54">
        <v>148</v>
      </c>
      <c r="E54">
        <v>120</v>
      </c>
      <c r="F54">
        <v>53</v>
      </c>
    </row>
    <row r="55" spans="1:6">
      <c r="A55">
        <v>118.205</v>
      </c>
      <c r="B55">
        <v>5.5060000000000002</v>
      </c>
      <c r="C55">
        <v>83</v>
      </c>
      <c r="D55">
        <v>151</v>
      </c>
      <c r="E55">
        <v>118</v>
      </c>
      <c r="F55">
        <v>54</v>
      </c>
    </row>
    <row r="56" spans="1:6">
      <c r="A56">
        <v>119.661</v>
      </c>
      <c r="B56">
        <v>6.4950000000000001</v>
      </c>
      <c r="C56">
        <v>75</v>
      </c>
      <c r="D56">
        <v>152</v>
      </c>
      <c r="E56">
        <v>120</v>
      </c>
      <c r="F56">
        <v>55</v>
      </c>
    </row>
    <row r="57" spans="1:6">
      <c r="A57">
        <v>120.446</v>
      </c>
      <c r="B57">
        <v>6.0309999999999997</v>
      </c>
      <c r="C57">
        <v>78</v>
      </c>
      <c r="D57">
        <v>149</v>
      </c>
      <c r="E57">
        <v>121</v>
      </c>
      <c r="F57">
        <v>56</v>
      </c>
    </row>
    <row r="58" spans="1:6">
      <c r="A58">
        <v>116.04600000000001</v>
      </c>
      <c r="B58">
        <v>4.7389999999999999</v>
      </c>
      <c r="C58">
        <v>86</v>
      </c>
      <c r="D58">
        <v>143</v>
      </c>
      <c r="E58">
        <v>116</v>
      </c>
      <c r="F58">
        <v>57</v>
      </c>
    </row>
    <row r="59" spans="1:6">
      <c r="A59">
        <v>118.538</v>
      </c>
      <c r="B59">
        <v>6.43</v>
      </c>
      <c r="C59">
        <v>73</v>
      </c>
      <c r="D59">
        <v>154</v>
      </c>
      <c r="E59">
        <v>119</v>
      </c>
      <c r="F59">
        <v>58</v>
      </c>
    </row>
    <row r="60" spans="1:6">
      <c r="A60">
        <v>121.685</v>
      </c>
      <c r="B60">
        <v>6.1740000000000004</v>
      </c>
      <c r="C60">
        <v>78</v>
      </c>
      <c r="D60">
        <v>149</v>
      </c>
      <c r="E60">
        <v>122</v>
      </c>
      <c r="F60">
        <v>59</v>
      </c>
    </row>
    <row r="61" spans="1:6">
      <c r="A61">
        <v>120.425</v>
      </c>
      <c r="B61">
        <v>5.7880000000000003</v>
      </c>
      <c r="C61">
        <v>81</v>
      </c>
      <c r="D61">
        <v>148</v>
      </c>
      <c r="E61">
        <v>121</v>
      </c>
      <c r="F61">
        <v>60</v>
      </c>
    </row>
    <row r="62" spans="1:6">
      <c r="A62">
        <v>117.259</v>
      </c>
      <c r="B62">
        <v>5.9029999999999996</v>
      </c>
      <c r="C62">
        <v>75</v>
      </c>
      <c r="D62">
        <v>160</v>
      </c>
      <c r="E62">
        <v>117</v>
      </c>
      <c r="F62">
        <v>61</v>
      </c>
    </row>
    <row r="63" spans="1:6">
      <c r="A63">
        <v>118.35899999999999</v>
      </c>
      <c r="B63">
        <v>6.0720000000000001</v>
      </c>
      <c r="C63">
        <v>71</v>
      </c>
      <c r="D63">
        <v>147</v>
      </c>
      <c r="E63">
        <v>119</v>
      </c>
      <c r="F63">
        <v>62</v>
      </c>
    </row>
    <row r="64" spans="1:6">
      <c r="A64">
        <v>123.175</v>
      </c>
      <c r="B64">
        <v>6.0780000000000003</v>
      </c>
      <c r="C64">
        <v>78</v>
      </c>
      <c r="D64">
        <v>151</v>
      </c>
      <c r="E64">
        <v>124</v>
      </c>
      <c r="F64">
        <v>63</v>
      </c>
    </row>
    <row r="65" spans="1:6">
      <c r="A65">
        <v>116.98099999999999</v>
      </c>
      <c r="B65">
        <v>5.6909999999999998</v>
      </c>
      <c r="C65">
        <v>81</v>
      </c>
      <c r="D65">
        <v>158</v>
      </c>
      <c r="E65">
        <v>117</v>
      </c>
      <c r="F65">
        <v>64</v>
      </c>
    </row>
    <row r="66" spans="1:6">
      <c r="A66">
        <v>118.40900000000001</v>
      </c>
      <c r="B66">
        <v>5.6849999999999996</v>
      </c>
      <c r="C66">
        <v>78</v>
      </c>
      <c r="D66">
        <v>150</v>
      </c>
      <c r="E66">
        <v>119</v>
      </c>
      <c r="F66">
        <v>65</v>
      </c>
    </row>
    <row r="67" spans="1:6">
      <c r="A67">
        <v>121.617</v>
      </c>
      <c r="B67">
        <v>6.0579999999999998</v>
      </c>
      <c r="C67">
        <v>77</v>
      </c>
      <c r="D67">
        <v>146</v>
      </c>
      <c r="E67">
        <v>122</v>
      </c>
      <c r="F67">
        <v>66</v>
      </c>
    </row>
    <row r="68" spans="1:6">
      <c r="A68">
        <v>124.018</v>
      </c>
      <c r="B68">
        <v>6.5090000000000003</v>
      </c>
      <c r="C68">
        <v>77</v>
      </c>
      <c r="D68">
        <v>166</v>
      </c>
      <c r="E68">
        <v>124</v>
      </c>
      <c r="F68">
        <v>67</v>
      </c>
    </row>
    <row r="69" spans="1:6">
      <c r="A69">
        <v>117.127</v>
      </c>
      <c r="B69">
        <v>4.7329999999999997</v>
      </c>
      <c r="C69">
        <v>90</v>
      </c>
      <c r="D69">
        <v>144</v>
      </c>
      <c r="E69">
        <v>117</v>
      </c>
      <c r="F69">
        <v>68</v>
      </c>
    </row>
    <row r="70" spans="1:6">
      <c r="A70">
        <v>117.178</v>
      </c>
      <c r="B70">
        <v>6.2160000000000002</v>
      </c>
      <c r="C70">
        <v>80</v>
      </c>
      <c r="D70">
        <v>153</v>
      </c>
      <c r="E70">
        <v>117</v>
      </c>
      <c r="F70">
        <v>69</v>
      </c>
    </row>
    <row r="71" spans="1:6">
      <c r="A71">
        <v>120.633</v>
      </c>
      <c r="B71">
        <v>6.8070000000000004</v>
      </c>
      <c r="C71">
        <v>71</v>
      </c>
      <c r="D71">
        <v>152</v>
      </c>
      <c r="E71">
        <v>121</v>
      </c>
      <c r="F71">
        <v>70</v>
      </c>
    </row>
    <row r="72" spans="1:6">
      <c r="A72">
        <v>120.09</v>
      </c>
      <c r="B72">
        <v>6.44</v>
      </c>
      <c r="C72">
        <v>81</v>
      </c>
      <c r="D72">
        <v>153</v>
      </c>
      <c r="E72">
        <v>120</v>
      </c>
      <c r="F72">
        <v>71</v>
      </c>
    </row>
    <row r="73" spans="1:6">
      <c r="A73">
        <v>117.997</v>
      </c>
      <c r="B73">
        <v>4.9720000000000004</v>
      </c>
      <c r="C73">
        <v>86</v>
      </c>
      <c r="D73">
        <v>148</v>
      </c>
      <c r="E73">
        <v>118</v>
      </c>
      <c r="F73">
        <v>72</v>
      </c>
    </row>
    <row r="74" spans="1:6">
      <c r="A74">
        <v>121.35299999999999</v>
      </c>
      <c r="B74">
        <v>6.45</v>
      </c>
      <c r="C74">
        <v>77</v>
      </c>
      <c r="D74">
        <v>153</v>
      </c>
      <c r="E74">
        <v>122</v>
      </c>
      <c r="F74">
        <v>73</v>
      </c>
    </row>
    <row r="75" spans="1:6">
      <c r="A75">
        <v>124.732</v>
      </c>
      <c r="B75">
        <v>6.3319999999999999</v>
      </c>
      <c r="C75">
        <v>80</v>
      </c>
      <c r="D75">
        <v>151</v>
      </c>
      <c r="E75">
        <v>125</v>
      </c>
      <c r="F75">
        <v>74</v>
      </c>
    </row>
    <row r="76" spans="1:6">
      <c r="A76">
        <v>117.742</v>
      </c>
      <c r="B76">
        <v>4.9610000000000003</v>
      </c>
      <c r="C76">
        <v>88</v>
      </c>
      <c r="D76">
        <v>161</v>
      </c>
      <c r="E76">
        <v>118</v>
      </c>
      <c r="F76">
        <v>75</v>
      </c>
    </row>
    <row r="77" spans="1:6">
      <c r="A77">
        <v>117.471</v>
      </c>
      <c r="B77">
        <v>6.016</v>
      </c>
      <c r="C77">
        <v>81</v>
      </c>
      <c r="D77">
        <v>161</v>
      </c>
      <c r="E77">
        <v>118</v>
      </c>
      <c r="F77">
        <v>76</v>
      </c>
    </row>
    <row r="78" spans="1:6">
      <c r="A78">
        <v>122.277</v>
      </c>
      <c r="B78">
        <v>5.9320000000000004</v>
      </c>
      <c r="C78">
        <v>81</v>
      </c>
      <c r="D78">
        <v>147</v>
      </c>
      <c r="E78">
        <v>123</v>
      </c>
      <c r="F78">
        <v>77</v>
      </c>
    </row>
    <row r="79" spans="1:6">
      <c r="A79">
        <v>125.134</v>
      </c>
      <c r="B79">
        <v>6.2480000000000002</v>
      </c>
      <c r="C79">
        <v>81</v>
      </c>
      <c r="D79">
        <v>159</v>
      </c>
      <c r="E79">
        <v>125</v>
      </c>
      <c r="F79">
        <v>78</v>
      </c>
    </row>
    <row r="80" spans="1:6">
      <c r="A80">
        <v>118.988</v>
      </c>
      <c r="B80">
        <v>5.4180000000000001</v>
      </c>
      <c r="C80">
        <v>88</v>
      </c>
      <c r="D80">
        <v>152</v>
      </c>
      <c r="E80">
        <v>119</v>
      </c>
      <c r="F80">
        <v>79</v>
      </c>
    </row>
    <row r="81" spans="1:6">
      <c r="A81">
        <v>120.273</v>
      </c>
      <c r="B81">
        <v>6.056</v>
      </c>
      <c r="C81">
        <v>80</v>
      </c>
      <c r="D81">
        <v>152</v>
      </c>
      <c r="E81">
        <v>121</v>
      </c>
      <c r="F81">
        <v>80</v>
      </c>
    </row>
    <row r="82" spans="1:6">
      <c r="A82">
        <v>122.458</v>
      </c>
      <c r="B82">
        <v>6.0750000000000002</v>
      </c>
      <c r="C82">
        <v>74</v>
      </c>
      <c r="D82">
        <v>147</v>
      </c>
      <c r="E82">
        <v>123</v>
      </c>
      <c r="F82">
        <v>81</v>
      </c>
    </row>
    <row r="83" spans="1:6">
      <c r="A83">
        <v>119.85899999999999</v>
      </c>
      <c r="B83">
        <v>6.3730000000000002</v>
      </c>
      <c r="C83">
        <v>76</v>
      </c>
      <c r="D83">
        <v>156</v>
      </c>
      <c r="E83">
        <v>120</v>
      </c>
      <c r="F83">
        <v>82</v>
      </c>
    </row>
    <row r="84" spans="1:6">
      <c r="A84">
        <v>117.12</v>
      </c>
      <c r="B84">
        <v>4.9539999999999997</v>
      </c>
      <c r="C84">
        <v>85</v>
      </c>
      <c r="D84">
        <v>151</v>
      </c>
      <c r="E84">
        <v>117</v>
      </c>
      <c r="F84">
        <v>83</v>
      </c>
    </row>
    <row r="85" spans="1:6">
      <c r="A85">
        <v>121.321</v>
      </c>
      <c r="B85">
        <v>6.0209999999999999</v>
      </c>
      <c r="C85">
        <v>79</v>
      </c>
      <c r="D85">
        <v>153</v>
      </c>
      <c r="E85">
        <v>122</v>
      </c>
      <c r="F85">
        <v>84</v>
      </c>
    </row>
    <row r="86" spans="1:6">
      <c r="A86">
        <v>125.98</v>
      </c>
      <c r="B86">
        <v>6.7539999999999996</v>
      </c>
      <c r="C86">
        <v>75</v>
      </c>
      <c r="D86">
        <v>159</v>
      </c>
      <c r="E86">
        <v>127</v>
      </c>
      <c r="F86">
        <v>85</v>
      </c>
    </row>
    <row r="87" spans="1:6">
      <c r="A87">
        <v>118.875</v>
      </c>
      <c r="B87">
        <v>4.99</v>
      </c>
      <c r="C87">
        <v>88</v>
      </c>
      <c r="D87">
        <v>146</v>
      </c>
      <c r="E87">
        <v>119</v>
      </c>
      <c r="F87">
        <v>86</v>
      </c>
    </row>
    <row r="88" spans="1:6">
      <c r="A88">
        <v>118.40600000000001</v>
      </c>
      <c r="B88">
        <v>5.5529999999999999</v>
      </c>
      <c r="C88">
        <v>81</v>
      </c>
      <c r="D88">
        <v>152</v>
      </c>
      <c r="E88">
        <v>118</v>
      </c>
      <c r="F88">
        <v>87</v>
      </c>
    </row>
    <row r="89" spans="1:6">
      <c r="A89">
        <v>121.041</v>
      </c>
      <c r="B89">
        <v>6.5209999999999999</v>
      </c>
      <c r="C89">
        <v>65</v>
      </c>
      <c r="D89">
        <v>149</v>
      </c>
      <c r="E89">
        <v>122</v>
      </c>
      <c r="F89">
        <v>88</v>
      </c>
    </row>
    <row r="90" spans="1:6">
      <c r="A90">
        <v>124.464</v>
      </c>
      <c r="B90">
        <v>6.0369999999999999</v>
      </c>
      <c r="C90">
        <v>81</v>
      </c>
      <c r="D90">
        <v>151</v>
      </c>
      <c r="E90">
        <v>125</v>
      </c>
      <c r="F90">
        <v>89</v>
      </c>
    </row>
    <row r="91" spans="1:6">
      <c r="A91">
        <v>117.967</v>
      </c>
      <c r="B91">
        <v>4.8209999999999997</v>
      </c>
      <c r="C91">
        <v>90</v>
      </c>
      <c r="D91">
        <v>145</v>
      </c>
      <c r="E91">
        <v>118</v>
      </c>
      <c r="F91">
        <v>90</v>
      </c>
    </row>
    <row r="92" spans="1:6">
      <c r="A92">
        <v>120.193</v>
      </c>
      <c r="B92">
        <v>6.4390000000000001</v>
      </c>
      <c r="C92">
        <v>76</v>
      </c>
      <c r="D92">
        <v>163</v>
      </c>
      <c r="E92">
        <v>120</v>
      </c>
      <c r="F92">
        <v>91</v>
      </c>
    </row>
    <row r="93" spans="1:6">
      <c r="A93">
        <v>126.19499999999999</v>
      </c>
      <c r="B93">
        <v>6.0640000000000001</v>
      </c>
      <c r="C93">
        <v>82</v>
      </c>
      <c r="D93">
        <v>154</v>
      </c>
      <c r="E93">
        <v>127</v>
      </c>
      <c r="F93">
        <v>92</v>
      </c>
    </row>
    <row r="94" spans="1:6">
      <c r="A94">
        <v>124.175</v>
      </c>
      <c r="B94">
        <v>6.4080000000000004</v>
      </c>
      <c r="C94">
        <v>83</v>
      </c>
      <c r="D94">
        <v>150</v>
      </c>
      <c r="E94">
        <v>125</v>
      </c>
      <c r="F94">
        <v>93</v>
      </c>
    </row>
    <row r="95" spans="1:6">
      <c r="A95">
        <v>118.711</v>
      </c>
      <c r="B95">
        <v>5.6779999999999999</v>
      </c>
      <c r="C95">
        <v>82</v>
      </c>
      <c r="D95">
        <v>157</v>
      </c>
      <c r="E95">
        <v>119</v>
      </c>
      <c r="F95">
        <v>94</v>
      </c>
    </row>
    <row r="96" spans="1:6">
      <c r="A96">
        <v>119.02800000000001</v>
      </c>
      <c r="B96">
        <v>6.4349999999999996</v>
      </c>
      <c r="C96">
        <v>81</v>
      </c>
      <c r="D96">
        <v>152</v>
      </c>
      <c r="E96">
        <v>119</v>
      </c>
      <c r="F96">
        <v>95</v>
      </c>
    </row>
    <row r="97" spans="1:6">
      <c r="A97">
        <v>122.444</v>
      </c>
      <c r="B97">
        <v>6.0469999999999997</v>
      </c>
      <c r="C97">
        <v>77</v>
      </c>
      <c r="D97">
        <v>156</v>
      </c>
      <c r="E97">
        <v>123</v>
      </c>
      <c r="F97">
        <v>96</v>
      </c>
    </row>
    <row r="98" spans="1:6">
      <c r="A98">
        <v>118.473</v>
      </c>
      <c r="B98">
        <v>5.9649999999999999</v>
      </c>
      <c r="C98">
        <v>85</v>
      </c>
      <c r="D98">
        <v>151</v>
      </c>
      <c r="E98">
        <v>118</v>
      </c>
      <c r="F98">
        <v>97</v>
      </c>
    </row>
    <row r="99" spans="1:6">
      <c r="A99">
        <v>118.79600000000001</v>
      </c>
      <c r="B99">
        <v>5.5419999999999998</v>
      </c>
      <c r="C99">
        <v>83</v>
      </c>
      <c r="D99">
        <v>148</v>
      </c>
      <c r="E99">
        <v>119</v>
      </c>
      <c r="F99">
        <v>98</v>
      </c>
    </row>
    <row r="100" spans="1:6">
      <c r="A100">
        <v>122.15900000000001</v>
      </c>
      <c r="B100">
        <v>5.835</v>
      </c>
      <c r="C100">
        <v>76</v>
      </c>
      <c r="D100">
        <v>144</v>
      </c>
      <c r="E100">
        <v>123</v>
      </c>
      <c r="F100">
        <v>99</v>
      </c>
    </row>
    <row r="101" spans="1:6">
      <c r="A101">
        <v>124.509</v>
      </c>
      <c r="B101">
        <v>6.4989999999999997</v>
      </c>
      <c r="C101">
        <v>79</v>
      </c>
      <c r="D101">
        <v>157</v>
      </c>
      <c r="E101">
        <v>125</v>
      </c>
      <c r="F101">
        <v>100</v>
      </c>
    </row>
    <row r="102" spans="1:6">
      <c r="A102">
        <v>118.044</v>
      </c>
      <c r="B102">
        <v>5</v>
      </c>
      <c r="C102">
        <v>90</v>
      </c>
      <c r="D102">
        <v>143</v>
      </c>
      <c r="E102">
        <v>118</v>
      </c>
      <c r="F102">
        <v>101</v>
      </c>
    </row>
    <row r="103" spans="1:6">
      <c r="A103">
        <v>117.828</v>
      </c>
      <c r="B103">
        <v>6.0090000000000003</v>
      </c>
      <c r="C103">
        <v>80</v>
      </c>
      <c r="D103">
        <v>152</v>
      </c>
      <c r="E103">
        <v>118</v>
      </c>
      <c r="F103">
        <v>102</v>
      </c>
    </row>
    <row r="104" spans="1:6">
      <c r="A104">
        <v>122.39700000000001</v>
      </c>
      <c r="B104">
        <v>6.8209999999999997</v>
      </c>
      <c r="C104">
        <v>76</v>
      </c>
      <c r="D104">
        <v>157</v>
      </c>
      <c r="E104">
        <v>123</v>
      </c>
      <c r="F104">
        <v>103</v>
      </c>
    </row>
    <row r="105" spans="1:6">
      <c r="A105">
        <v>123.438</v>
      </c>
      <c r="B105">
        <v>6.9180000000000001</v>
      </c>
      <c r="C105">
        <v>83</v>
      </c>
      <c r="D105">
        <v>148</v>
      </c>
      <c r="E105">
        <v>124</v>
      </c>
      <c r="F105">
        <v>104</v>
      </c>
    </row>
    <row r="106" spans="1:6">
      <c r="A106">
        <v>119.911</v>
      </c>
      <c r="B106">
        <v>5.0090000000000003</v>
      </c>
      <c r="C106">
        <v>86</v>
      </c>
      <c r="D106">
        <v>155</v>
      </c>
      <c r="E106">
        <v>120</v>
      </c>
      <c r="F106">
        <v>105</v>
      </c>
    </row>
    <row r="107" spans="1:6">
      <c r="A107">
        <v>122.70699999999999</v>
      </c>
      <c r="B107">
        <v>6.5259999999999998</v>
      </c>
      <c r="C107">
        <v>77</v>
      </c>
      <c r="D107">
        <v>159</v>
      </c>
      <c r="E107">
        <v>123</v>
      </c>
      <c r="F107">
        <v>106</v>
      </c>
    </row>
    <row r="108" spans="1:6">
      <c r="A108">
        <v>126.96299999999999</v>
      </c>
      <c r="B108">
        <v>6.5659999999999998</v>
      </c>
      <c r="C108">
        <v>81</v>
      </c>
      <c r="D108">
        <v>163</v>
      </c>
      <c r="E108">
        <v>128</v>
      </c>
      <c r="F108">
        <v>107</v>
      </c>
    </row>
    <row r="109" spans="1:6">
      <c r="A109">
        <v>119.736</v>
      </c>
      <c r="B109">
        <v>4.9980000000000002</v>
      </c>
      <c r="C109">
        <v>87</v>
      </c>
      <c r="D109">
        <v>154</v>
      </c>
      <c r="E109">
        <v>120</v>
      </c>
      <c r="F109">
        <v>108</v>
      </c>
    </row>
    <row r="110" spans="1:6">
      <c r="A110">
        <v>118.018</v>
      </c>
      <c r="B110">
        <v>6.1550000000000002</v>
      </c>
      <c r="C110">
        <v>75</v>
      </c>
      <c r="D110">
        <v>160</v>
      </c>
      <c r="E110">
        <v>118</v>
      </c>
      <c r="F110">
        <v>109</v>
      </c>
    </row>
    <row r="111" spans="1:6">
      <c r="A111">
        <v>123.664</v>
      </c>
      <c r="B111">
        <v>5.9980000000000002</v>
      </c>
      <c r="C111">
        <v>78</v>
      </c>
      <c r="D111">
        <v>153</v>
      </c>
      <c r="E111">
        <v>124</v>
      </c>
      <c r="F111">
        <v>110</v>
      </c>
    </row>
    <row r="112" spans="1:6">
      <c r="A112">
        <v>127.08799999999999</v>
      </c>
      <c r="B112">
        <v>6.3479999999999999</v>
      </c>
      <c r="C112">
        <v>78</v>
      </c>
      <c r="D112">
        <v>156</v>
      </c>
      <c r="E112">
        <v>128</v>
      </c>
      <c r="F112">
        <v>111</v>
      </c>
    </row>
    <row r="113" spans="1:6">
      <c r="A113">
        <v>119.884</v>
      </c>
      <c r="B113">
        <v>5.58</v>
      </c>
      <c r="C113">
        <v>81</v>
      </c>
      <c r="D113">
        <v>161</v>
      </c>
      <c r="E113">
        <v>120</v>
      </c>
      <c r="F113">
        <v>112</v>
      </c>
    </row>
    <row r="114" spans="1:6">
      <c r="A114">
        <v>122.41500000000001</v>
      </c>
      <c r="B114">
        <v>6.0090000000000003</v>
      </c>
      <c r="C114">
        <v>85</v>
      </c>
      <c r="D114">
        <v>160</v>
      </c>
      <c r="E114">
        <v>123</v>
      </c>
      <c r="F114">
        <v>113</v>
      </c>
    </row>
    <row r="115" spans="1:6">
      <c r="A115">
        <v>123.989</v>
      </c>
      <c r="B115">
        <v>6.1390000000000002</v>
      </c>
      <c r="C115">
        <v>75</v>
      </c>
      <c r="D115">
        <v>163</v>
      </c>
      <c r="E115">
        <v>125</v>
      </c>
      <c r="F115">
        <v>114</v>
      </c>
    </row>
    <row r="116" spans="1:6">
      <c r="A116">
        <v>120.342</v>
      </c>
      <c r="B116">
        <v>6.2619999999999996</v>
      </c>
      <c r="C116">
        <v>81</v>
      </c>
      <c r="D116">
        <v>160</v>
      </c>
      <c r="E116">
        <v>120</v>
      </c>
      <c r="F116">
        <v>115</v>
      </c>
    </row>
    <row r="117" spans="1:6">
      <c r="A117">
        <v>117.56699999999999</v>
      </c>
      <c r="B117">
        <v>5.0510000000000002</v>
      </c>
      <c r="C117">
        <v>83</v>
      </c>
      <c r="D117">
        <v>146</v>
      </c>
      <c r="E117">
        <v>118</v>
      </c>
      <c r="F117">
        <v>116</v>
      </c>
    </row>
    <row r="118" spans="1:6">
      <c r="A118">
        <v>122.40600000000001</v>
      </c>
      <c r="B118">
        <v>6.149</v>
      </c>
      <c r="C118">
        <v>81</v>
      </c>
      <c r="D118">
        <v>149</v>
      </c>
      <c r="E118">
        <v>123</v>
      </c>
      <c r="F118">
        <v>117</v>
      </c>
    </row>
    <row r="119" spans="1:6">
      <c r="A119">
        <v>125.622</v>
      </c>
      <c r="B119">
        <v>6.96</v>
      </c>
      <c r="C119">
        <v>74</v>
      </c>
      <c r="D119">
        <v>164</v>
      </c>
      <c r="E119">
        <v>126</v>
      </c>
      <c r="F119">
        <v>118</v>
      </c>
    </row>
    <row r="120" spans="1:6">
      <c r="A120">
        <v>119.407</v>
      </c>
      <c r="B120">
        <v>5.0250000000000004</v>
      </c>
      <c r="C120">
        <v>85</v>
      </c>
      <c r="D120">
        <v>152</v>
      </c>
      <c r="E120">
        <v>120</v>
      </c>
      <c r="F120">
        <v>119</v>
      </c>
    </row>
    <row r="121" spans="1:6">
      <c r="A121">
        <v>120.07299999999999</v>
      </c>
      <c r="B121">
        <v>5.867</v>
      </c>
      <c r="C121">
        <v>81</v>
      </c>
      <c r="D121">
        <v>150</v>
      </c>
      <c r="E121">
        <v>120</v>
      </c>
      <c r="F121">
        <v>120</v>
      </c>
    </row>
    <row r="122" spans="1:6">
      <c r="A122">
        <v>122.45699999999999</v>
      </c>
      <c r="B122">
        <v>6.5960000000000001</v>
      </c>
      <c r="C122">
        <v>69</v>
      </c>
      <c r="D122">
        <v>159</v>
      </c>
      <c r="E122">
        <v>123</v>
      </c>
      <c r="F122">
        <v>121</v>
      </c>
    </row>
    <row r="123" spans="1:6">
      <c r="A123">
        <v>122.5</v>
      </c>
      <c r="B123">
        <v>6.1159999999999997</v>
      </c>
      <c r="C123">
        <v>80</v>
      </c>
      <c r="D123">
        <v>156</v>
      </c>
      <c r="E123">
        <v>123</v>
      </c>
      <c r="F123">
        <v>122</v>
      </c>
    </row>
    <row r="124" spans="1:6">
      <c r="A124">
        <v>118.02200000000001</v>
      </c>
      <c r="B124">
        <v>4.8559999999999999</v>
      </c>
      <c r="C124">
        <v>88</v>
      </c>
      <c r="D124">
        <v>147</v>
      </c>
      <c r="E124">
        <v>118</v>
      </c>
      <c r="F124">
        <v>123</v>
      </c>
    </row>
    <row r="125" spans="1:6">
      <c r="A125">
        <v>121.04900000000001</v>
      </c>
      <c r="B125">
        <v>6.4039999999999999</v>
      </c>
      <c r="C125">
        <v>73</v>
      </c>
      <c r="D125">
        <v>169</v>
      </c>
      <c r="E125">
        <v>121</v>
      </c>
      <c r="F125">
        <v>124</v>
      </c>
    </row>
    <row r="126" spans="1:6">
      <c r="A126">
        <v>123.82</v>
      </c>
      <c r="B126">
        <v>7.6189999999999998</v>
      </c>
      <c r="C126">
        <v>80</v>
      </c>
      <c r="D126">
        <v>157</v>
      </c>
      <c r="E126">
        <v>124</v>
      </c>
      <c r="F126">
        <v>125</v>
      </c>
    </row>
    <row r="127" spans="1:6">
      <c r="A127">
        <v>121.04</v>
      </c>
      <c r="B127">
        <v>5.5369999999999999</v>
      </c>
      <c r="C127">
        <v>84</v>
      </c>
      <c r="D127">
        <v>149</v>
      </c>
      <c r="E127">
        <v>121</v>
      </c>
      <c r="F127">
        <v>126</v>
      </c>
    </row>
    <row r="128" spans="1:6">
      <c r="A128">
        <v>118.242</v>
      </c>
      <c r="B128">
        <v>6.1289999999999996</v>
      </c>
      <c r="C128">
        <v>76</v>
      </c>
      <c r="D128">
        <v>157</v>
      </c>
      <c r="E128">
        <v>118</v>
      </c>
      <c r="F128">
        <v>127</v>
      </c>
    </row>
    <row r="129" spans="1:7">
      <c r="A129">
        <v>123.086</v>
      </c>
      <c r="B129">
        <v>6.7160000000000002</v>
      </c>
      <c r="C129">
        <v>80</v>
      </c>
      <c r="D129">
        <v>151</v>
      </c>
      <c r="E129">
        <v>123</v>
      </c>
      <c r="F129">
        <v>128</v>
      </c>
      <c r="G129" t="s">
        <v>15</v>
      </c>
    </row>
    <row r="130" spans="1:7">
      <c r="A130">
        <v>116.259</v>
      </c>
      <c r="B130">
        <v>10.022</v>
      </c>
      <c r="C130">
        <v>68</v>
      </c>
      <c r="D130">
        <v>149</v>
      </c>
      <c r="E130">
        <v>119</v>
      </c>
      <c r="F130">
        <v>129</v>
      </c>
      <c r="G130" t="s">
        <v>15</v>
      </c>
    </row>
    <row r="131" spans="1:7">
      <c r="A131">
        <v>211.13200000000001</v>
      </c>
      <c r="B131">
        <v>57.341000000000001</v>
      </c>
      <c r="C131">
        <v>78</v>
      </c>
      <c r="D131">
        <v>255</v>
      </c>
      <c r="E131">
        <v>255</v>
      </c>
      <c r="F131">
        <v>130</v>
      </c>
      <c r="G131" t="s">
        <v>15</v>
      </c>
    </row>
    <row r="132" spans="1:7">
      <c r="A132">
        <v>237.71799999999999</v>
      </c>
      <c r="B132">
        <v>39.698</v>
      </c>
      <c r="C132">
        <v>94</v>
      </c>
      <c r="D132">
        <v>255</v>
      </c>
      <c r="E132">
        <v>255</v>
      </c>
      <c r="F132">
        <v>131</v>
      </c>
      <c r="G132" t="s">
        <v>15</v>
      </c>
    </row>
    <row r="133" spans="1:7">
      <c r="A133">
        <v>223.13800000000001</v>
      </c>
      <c r="B133">
        <v>47.460999999999999</v>
      </c>
      <c r="C133">
        <v>51</v>
      </c>
      <c r="D133">
        <v>255</v>
      </c>
      <c r="E133">
        <v>254</v>
      </c>
      <c r="F133">
        <v>132</v>
      </c>
      <c r="G133" t="s">
        <v>15</v>
      </c>
    </row>
    <row r="134" spans="1:7">
      <c r="A134">
        <v>225.37299999999999</v>
      </c>
      <c r="B134">
        <v>39.86</v>
      </c>
      <c r="C134">
        <v>80</v>
      </c>
      <c r="D134">
        <v>255</v>
      </c>
      <c r="E134">
        <v>253</v>
      </c>
      <c r="F134">
        <v>133</v>
      </c>
      <c r="G134" t="s">
        <v>15</v>
      </c>
    </row>
    <row r="135" spans="1:7">
      <c r="A135">
        <v>153.453</v>
      </c>
      <c r="B135">
        <v>66.637</v>
      </c>
      <c r="C135">
        <v>22</v>
      </c>
      <c r="D135">
        <v>255</v>
      </c>
      <c r="E135">
        <v>134</v>
      </c>
      <c r="F135">
        <v>134</v>
      </c>
      <c r="G135" t="s">
        <v>15</v>
      </c>
    </row>
    <row r="136" spans="1:7">
      <c r="A136">
        <v>146.46299999999999</v>
      </c>
      <c r="B136">
        <v>58.365000000000002</v>
      </c>
      <c r="C136">
        <v>16</v>
      </c>
      <c r="D136">
        <v>255</v>
      </c>
      <c r="E136">
        <v>135</v>
      </c>
      <c r="F136">
        <v>135</v>
      </c>
      <c r="G136" t="s">
        <v>15</v>
      </c>
    </row>
    <row r="137" spans="1:7">
      <c r="A137">
        <v>152.346</v>
      </c>
      <c r="B137">
        <v>54.613999999999997</v>
      </c>
      <c r="C137">
        <v>16</v>
      </c>
      <c r="D137">
        <v>255</v>
      </c>
      <c r="E137">
        <v>152</v>
      </c>
      <c r="F137">
        <v>136</v>
      </c>
      <c r="G137"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7:U137"/>
  <sheetViews>
    <sheetView topLeftCell="H31" workbookViewId="0">
      <selection activeCell="O54" sqref="O54"/>
    </sheetView>
  </sheetViews>
  <sheetFormatPr defaultRowHeight="15"/>
  <cols>
    <col min="14" max="14" width="12.140625" bestFit="1" customWidth="1"/>
    <col min="15" max="15" width="15.7109375" customWidth="1"/>
    <col min="19" max="19" width="10.42578125" customWidth="1"/>
    <col min="20" max="20" width="8.7109375" customWidth="1"/>
  </cols>
  <sheetData>
    <row r="7" spans="1:14">
      <c r="A7" t="s">
        <v>16</v>
      </c>
      <c r="B7">
        <f>COUNTA($B$11:$B$1000)+ROW($B$11)-1</f>
        <v>137</v>
      </c>
    </row>
    <row r="8" spans="1:14">
      <c r="B8" s="5">
        <f>AVERAGE(B11:B146)</f>
        <v>122.1272440944882</v>
      </c>
    </row>
    <row r="9" spans="1:14">
      <c r="A9" t="s">
        <v>17</v>
      </c>
      <c r="B9">
        <f>STDEV(B11:B146)</f>
        <v>3.5136930888278859</v>
      </c>
      <c r="H9">
        <f>STDEV(H11:H146)</f>
        <v>2.1540960799390088</v>
      </c>
      <c r="I9">
        <f>STDEV(I11:I146)</f>
        <v>2.3101356346078954</v>
      </c>
    </row>
    <row r="10" spans="1:14" ht="45">
      <c r="A10" t="s">
        <v>5</v>
      </c>
      <c r="B10" t="s">
        <v>0</v>
      </c>
      <c r="C10" t="s">
        <v>3</v>
      </c>
      <c r="D10" t="s">
        <v>2</v>
      </c>
      <c r="E10" t="s">
        <v>4</v>
      </c>
      <c r="F10" t="s">
        <v>1</v>
      </c>
      <c r="G10" s="4" t="s">
        <v>12</v>
      </c>
      <c r="H10" s="4" t="s">
        <v>19</v>
      </c>
      <c r="I10" s="4" t="s">
        <v>18</v>
      </c>
      <c r="J10" s="4"/>
      <c r="K10" s="4"/>
      <c r="L10" s="4"/>
      <c r="M10" s="4"/>
      <c r="N10" s="4"/>
    </row>
    <row r="11" spans="1:14">
      <c r="A11">
        <v>1</v>
      </c>
      <c r="B11">
        <v>134.982</v>
      </c>
      <c r="C11">
        <v>172</v>
      </c>
      <c r="D11">
        <v>78</v>
      </c>
      <c r="E11">
        <v>135</v>
      </c>
      <c r="F11">
        <v>7.665</v>
      </c>
      <c r="G11">
        <f t="shared" ref="G11:G42" ca="1" si="0">CORREL(OFFSET($B$11, 0, 0, $B$7, 1 ),OFFSET($B$11, A11, 0,$B$7, 1 ))</f>
        <v>0.33502899902238009</v>
      </c>
      <c r="H11">
        <f>AVERAGE(B11:B14)</f>
        <v>130.52350000000001</v>
      </c>
      <c r="I11">
        <f>AVERAGE(B11:B13)</f>
        <v>130.03466666666665</v>
      </c>
    </row>
    <row r="12" spans="1:14">
      <c r="A12">
        <v>2</v>
      </c>
      <c r="B12">
        <v>127.09099999999999</v>
      </c>
      <c r="C12">
        <v>158</v>
      </c>
      <c r="D12">
        <v>90</v>
      </c>
      <c r="E12">
        <v>127</v>
      </c>
      <c r="F12">
        <v>5.3609999999999998</v>
      </c>
      <c r="G12">
        <f t="shared" ca="1" si="0"/>
        <v>-7.8686390204803003E-2</v>
      </c>
      <c r="H12">
        <f t="shared" ref="H12:H75" si="1">AVERAGE(B12:B15)</f>
        <v>128.48925</v>
      </c>
      <c r="I12">
        <f t="shared" ref="I12:I75" si="2">AVERAGE(B12:B14)</f>
        <v>129.03733333333335</v>
      </c>
    </row>
    <row r="13" spans="1:14">
      <c r="A13">
        <v>3</v>
      </c>
      <c r="B13">
        <v>128.03100000000001</v>
      </c>
      <c r="C13">
        <v>156</v>
      </c>
      <c r="D13">
        <v>78</v>
      </c>
      <c r="E13">
        <v>128</v>
      </c>
      <c r="F13">
        <v>6.8120000000000003</v>
      </c>
      <c r="G13">
        <f t="shared" ca="1" si="0"/>
        <v>0.50141892158386736</v>
      </c>
      <c r="H13">
        <f t="shared" si="1"/>
        <v>127.97799999999999</v>
      </c>
      <c r="I13">
        <f t="shared" si="2"/>
        <v>128.95533333333333</v>
      </c>
    </row>
    <row r="14" spans="1:14">
      <c r="A14">
        <v>4</v>
      </c>
      <c r="B14">
        <v>131.99</v>
      </c>
      <c r="C14">
        <v>168</v>
      </c>
      <c r="D14">
        <v>71</v>
      </c>
      <c r="E14">
        <v>132</v>
      </c>
      <c r="F14">
        <v>8.7140000000000004</v>
      </c>
      <c r="G14">
        <f t="shared" ca="1" si="0"/>
        <v>0.71456505447805929</v>
      </c>
      <c r="H14">
        <f t="shared" si="1"/>
        <v>127.96975</v>
      </c>
      <c r="I14">
        <f t="shared" si="2"/>
        <v>127.96033333333334</v>
      </c>
    </row>
    <row r="15" spans="1:14">
      <c r="A15">
        <v>5</v>
      </c>
      <c r="B15">
        <v>126.845</v>
      </c>
      <c r="C15">
        <v>154</v>
      </c>
      <c r="D15">
        <v>87</v>
      </c>
      <c r="E15">
        <v>127</v>
      </c>
      <c r="F15">
        <v>6.2080000000000002</v>
      </c>
      <c r="G15">
        <f t="shared" ca="1" si="0"/>
        <v>-1.7084703120724083E-2</v>
      </c>
      <c r="H15">
        <f t="shared" si="1"/>
        <v>127.518</v>
      </c>
      <c r="I15">
        <f t="shared" si="2"/>
        <v>126.62966666666667</v>
      </c>
    </row>
    <row r="16" spans="1:14">
      <c r="A16">
        <v>6</v>
      </c>
      <c r="B16">
        <v>125.04600000000001</v>
      </c>
      <c r="C16">
        <v>157</v>
      </c>
      <c r="D16">
        <v>89</v>
      </c>
      <c r="E16">
        <v>125</v>
      </c>
      <c r="F16">
        <v>5.3869999999999996</v>
      </c>
      <c r="G16">
        <f t="shared" ca="1" si="0"/>
        <v>3.7589506719693154E-2</v>
      </c>
      <c r="H16">
        <f t="shared" si="1"/>
        <v>126.401</v>
      </c>
      <c r="I16">
        <f t="shared" si="2"/>
        <v>127.74233333333332</v>
      </c>
    </row>
    <row r="17" spans="1:9">
      <c r="A17">
        <v>7</v>
      </c>
      <c r="B17">
        <v>127.998</v>
      </c>
      <c r="C17">
        <v>161</v>
      </c>
      <c r="D17">
        <v>80</v>
      </c>
      <c r="E17">
        <v>129</v>
      </c>
      <c r="F17">
        <v>6.4859999999999998</v>
      </c>
      <c r="G17">
        <f t="shared" ca="1" si="0"/>
        <v>0.78249517983664241</v>
      </c>
      <c r="H17">
        <f t="shared" si="1"/>
        <v>125.65649999999999</v>
      </c>
      <c r="I17">
        <f t="shared" si="2"/>
        <v>126.85266666666666</v>
      </c>
    </row>
    <row r="18" spans="1:9">
      <c r="A18">
        <v>8</v>
      </c>
      <c r="B18">
        <v>130.18299999999999</v>
      </c>
      <c r="C18">
        <v>156</v>
      </c>
      <c r="D18">
        <v>83</v>
      </c>
      <c r="E18">
        <v>131</v>
      </c>
      <c r="F18">
        <v>6.7569999999999997</v>
      </c>
      <c r="G18">
        <f t="shared" ca="1" si="0"/>
        <v>0.4348382642806346</v>
      </c>
      <c r="H18">
        <f t="shared" si="1"/>
        <v>125.46825</v>
      </c>
      <c r="I18">
        <f t="shared" si="2"/>
        <v>124.87599999999999</v>
      </c>
    </row>
    <row r="19" spans="1:9">
      <c r="A19">
        <v>9</v>
      </c>
      <c r="B19">
        <v>122.377</v>
      </c>
      <c r="C19">
        <v>152</v>
      </c>
      <c r="D19">
        <v>89</v>
      </c>
      <c r="E19">
        <v>122</v>
      </c>
      <c r="F19">
        <v>5.3209999999999997</v>
      </c>
      <c r="G19">
        <f t="shared" ca="1" si="0"/>
        <v>-0.27109766138526903</v>
      </c>
      <c r="H19">
        <f t="shared" si="1"/>
        <v>125.01599999999999</v>
      </c>
      <c r="I19">
        <f t="shared" si="2"/>
        <v>123.89666666666666</v>
      </c>
    </row>
    <row r="20" spans="1:9">
      <c r="A20">
        <v>10</v>
      </c>
      <c r="B20">
        <v>122.068</v>
      </c>
      <c r="C20">
        <v>160</v>
      </c>
      <c r="D20">
        <v>82</v>
      </c>
      <c r="E20">
        <v>122</v>
      </c>
      <c r="F20">
        <v>6.2089999999999996</v>
      </c>
      <c r="G20">
        <f t="shared" ca="1" si="0"/>
        <v>0.11017284383501567</v>
      </c>
      <c r="H20">
        <f t="shared" si="1"/>
        <v>125.04325</v>
      </c>
      <c r="I20">
        <f t="shared" si="2"/>
        <v>125.89566666666667</v>
      </c>
    </row>
    <row r="21" spans="1:9">
      <c r="A21">
        <v>11</v>
      </c>
      <c r="B21">
        <v>127.245</v>
      </c>
      <c r="C21">
        <v>154</v>
      </c>
      <c r="D21">
        <v>85</v>
      </c>
      <c r="E21">
        <v>128</v>
      </c>
      <c r="F21">
        <v>6.1120000000000001</v>
      </c>
      <c r="G21">
        <f t="shared" ca="1" si="0"/>
        <v>0.75302455401769108</v>
      </c>
      <c r="H21">
        <f t="shared" si="1"/>
        <v>125.83875</v>
      </c>
      <c r="I21">
        <f t="shared" si="2"/>
        <v>126.03500000000001</v>
      </c>
    </row>
    <row r="22" spans="1:9">
      <c r="A22">
        <v>12</v>
      </c>
      <c r="B22">
        <v>128.374</v>
      </c>
      <c r="C22">
        <v>158</v>
      </c>
      <c r="D22">
        <v>82</v>
      </c>
      <c r="E22">
        <v>129</v>
      </c>
      <c r="F22">
        <v>6.2309999999999999</v>
      </c>
      <c r="G22">
        <f t="shared" ca="1" si="0"/>
        <v>0.12171091809796311</v>
      </c>
      <c r="H22">
        <f t="shared" si="1"/>
        <v>125.83225</v>
      </c>
      <c r="I22">
        <f t="shared" si="2"/>
        <v>125.37</v>
      </c>
    </row>
    <row r="23" spans="1:9">
      <c r="A23">
        <v>13</v>
      </c>
      <c r="B23">
        <v>122.486</v>
      </c>
      <c r="C23">
        <v>152</v>
      </c>
      <c r="D23">
        <v>88</v>
      </c>
      <c r="E23">
        <v>122</v>
      </c>
      <c r="F23">
        <v>5.5549999999999997</v>
      </c>
      <c r="G23">
        <f t="shared" ca="1" si="0"/>
        <v>-0.19369525165535861</v>
      </c>
      <c r="H23">
        <f t="shared" si="1"/>
        <v>124.1545</v>
      </c>
      <c r="I23">
        <f t="shared" si="2"/>
        <v>124.985</v>
      </c>
    </row>
    <row r="24" spans="1:9">
      <c r="A24">
        <v>14</v>
      </c>
      <c r="B24">
        <v>125.25</v>
      </c>
      <c r="C24">
        <v>157</v>
      </c>
      <c r="D24">
        <v>83</v>
      </c>
      <c r="E24">
        <v>126</v>
      </c>
      <c r="F24">
        <v>6.1440000000000001</v>
      </c>
      <c r="G24">
        <f t="shared" ca="1" si="0"/>
        <v>0.41865667938755435</v>
      </c>
      <c r="H24">
        <f t="shared" si="1"/>
        <v>123.68575</v>
      </c>
      <c r="I24">
        <f t="shared" si="2"/>
        <v>124.71066666666667</v>
      </c>
    </row>
    <row r="25" spans="1:9">
      <c r="A25">
        <v>15</v>
      </c>
      <c r="B25">
        <v>127.21899999999999</v>
      </c>
      <c r="C25">
        <v>159</v>
      </c>
      <c r="D25">
        <v>80</v>
      </c>
      <c r="E25">
        <v>128</v>
      </c>
      <c r="F25">
        <v>6.4560000000000004</v>
      </c>
      <c r="G25">
        <f t="shared" ca="1" si="0"/>
        <v>0.58733340341679086</v>
      </c>
      <c r="H25">
        <f t="shared" si="1"/>
        <v>123.5055</v>
      </c>
      <c r="I25">
        <f t="shared" si="2"/>
        <v>123.16433333333333</v>
      </c>
    </row>
    <row r="26" spans="1:9">
      <c r="A26">
        <v>16</v>
      </c>
      <c r="B26">
        <v>121.663</v>
      </c>
      <c r="C26">
        <v>158</v>
      </c>
      <c r="D26">
        <v>80</v>
      </c>
      <c r="E26">
        <v>122</v>
      </c>
      <c r="F26">
        <v>6.0279999999999996</v>
      </c>
      <c r="G26">
        <f t="shared" ca="1" si="0"/>
        <v>-0.22801364236784419</v>
      </c>
      <c r="H26">
        <f t="shared" si="1"/>
        <v>123.71799999999999</v>
      </c>
      <c r="I26">
        <f t="shared" si="2"/>
        <v>122.26766666666667</v>
      </c>
    </row>
    <row r="27" spans="1:9">
      <c r="A27">
        <v>17</v>
      </c>
      <c r="B27">
        <v>120.611</v>
      </c>
      <c r="C27">
        <v>149</v>
      </c>
      <c r="D27">
        <v>81</v>
      </c>
      <c r="E27">
        <v>121</v>
      </c>
      <c r="F27">
        <v>5.2409999999999997</v>
      </c>
      <c r="G27">
        <f t="shared" ca="1" si="0"/>
        <v>-0.21284660274052672</v>
      </c>
      <c r="H27">
        <f t="shared" si="1"/>
        <v>123.77374999999998</v>
      </c>
      <c r="I27">
        <f t="shared" si="2"/>
        <v>124.40299999999998</v>
      </c>
    </row>
    <row r="28" spans="1:9">
      <c r="A28">
        <v>18</v>
      </c>
      <c r="B28">
        <v>124.529</v>
      </c>
      <c r="C28">
        <v>151</v>
      </c>
      <c r="D28">
        <v>76</v>
      </c>
      <c r="E28">
        <v>125</v>
      </c>
      <c r="F28">
        <v>6.0839999999999996</v>
      </c>
      <c r="G28">
        <f t="shared" ca="1" si="0"/>
        <v>0.57988617153822752</v>
      </c>
      <c r="H28">
        <f t="shared" si="1"/>
        <v>123.88</v>
      </c>
      <c r="I28">
        <f t="shared" si="2"/>
        <v>124.82799999999999</v>
      </c>
    </row>
    <row r="29" spans="1:9">
      <c r="A29">
        <v>19</v>
      </c>
      <c r="B29">
        <v>128.06899999999999</v>
      </c>
      <c r="C29">
        <v>164</v>
      </c>
      <c r="D29">
        <v>80</v>
      </c>
      <c r="E29">
        <v>129</v>
      </c>
      <c r="F29">
        <v>6.6660000000000004</v>
      </c>
      <c r="G29">
        <f t="shared" ca="1" si="0"/>
        <v>0.36245547931850414</v>
      </c>
      <c r="H29">
        <f t="shared" si="1"/>
        <v>123.961</v>
      </c>
      <c r="I29">
        <f t="shared" si="2"/>
        <v>123.66366666666666</v>
      </c>
    </row>
    <row r="30" spans="1:9">
      <c r="A30">
        <v>20</v>
      </c>
      <c r="B30">
        <v>121.886</v>
      </c>
      <c r="C30">
        <v>160</v>
      </c>
      <c r="D30">
        <v>88</v>
      </c>
      <c r="E30">
        <v>122</v>
      </c>
      <c r="F30">
        <v>5.1180000000000003</v>
      </c>
      <c r="G30">
        <f t="shared" ca="1" si="0"/>
        <v>-0.27770690640553486</v>
      </c>
      <c r="H30">
        <f t="shared" si="1"/>
        <v>123.27674999999999</v>
      </c>
      <c r="I30">
        <f t="shared" si="2"/>
        <v>122.59166666666665</v>
      </c>
    </row>
    <row r="31" spans="1:9">
      <c r="A31">
        <v>21</v>
      </c>
      <c r="B31">
        <v>121.036</v>
      </c>
      <c r="C31">
        <v>152</v>
      </c>
      <c r="D31">
        <v>87</v>
      </c>
      <c r="E31">
        <v>121</v>
      </c>
      <c r="F31">
        <v>5.7690000000000001</v>
      </c>
      <c r="G31">
        <f t="shared" ca="1" si="0"/>
        <v>4.2214992732180927E-2</v>
      </c>
      <c r="H31">
        <f t="shared" si="1"/>
        <v>122.71975</v>
      </c>
      <c r="I31">
        <f t="shared" si="2"/>
        <v>123.74033333333334</v>
      </c>
    </row>
    <row r="32" spans="1:9">
      <c r="A32">
        <v>22</v>
      </c>
      <c r="B32">
        <v>124.85299999999999</v>
      </c>
      <c r="C32">
        <v>160</v>
      </c>
      <c r="D32">
        <v>80</v>
      </c>
      <c r="E32">
        <v>125</v>
      </c>
      <c r="F32">
        <v>6.4050000000000002</v>
      </c>
      <c r="G32">
        <f t="shared" ca="1" si="0"/>
        <v>0.61919473516616275</v>
      </c>
      <c r="H32">
        <f t="shared" si="1"/>
        <v>122.93325</v>
      </c>
      <c r="I32">
        <f t="shared" si="2"/>
        <v>123.28100000000001</v>
      </c>
    </row>
    <row r="33" spans="1:21">
      <c r="A33">
        <v>23</v>
      </c>
      <c r="B33">
        <v>125.33199999999999</v>
      </c>
      <c r="C33">
        <v>157</v>
      </c>
      <c r="D33">
        <v>80</v>
      </c>
      <c r="E33">
        <v>126</v>
      </c>
      <c r="F33">
        <v>5.8730000000000002</v>
      </c>
      <c r="G33">
        <f t="shared" ca="1" si="0"/>
        <v>-5.0100240988818538E-2</v>
      </c>
      <c r="H33">
        <f t="shared" si="1"/>
        <v>123.40225</v>
      </c>
      <c r="I33">
        <f t="shared" si="2"/>
        <v>122.29333333333334</v>
      </c>
    </row>
    <row r="34" spans="1:21">
      <c r="A34">
        <v>24</v>
      </c>
      <c r="B34">
        <v>119.658</v>
      </c>
      <c r="C34">
        <v>149</v>
      </c>
      <c r="D34">
        <v>94</v>
      </c>
      <c r="E34">
        <v>120</v>
      </c>
      <c r="F34">
        <v>4.7359999999999998</v>
      </c>
      <c r="G34">
        <f t="shared" ca="1" si="0"/>
        <v>-0.37475718362644084</v>
      </c>
      <c r="H34">
        <f t="shared" si="1"/>
        <v>123.30074999999999</v>
      </c>
      <c r="I34">
        <f t="shared" si="2"/>
        <v>122.759</v>
      </c>
    </row>
    <row r="35" spans="1:21">
      <c r="A35">
        <v>25</v>
      </c>
      <c r="B35">
        <v>121.89</v>
      </c>
      <c r="C35">
        <v>156</v>
      </c>
      <c r="D35">
        <v>76</v>
      </c>
      <c r="E35">
        <v>122</v>
      </c>
      <c r="F35">
        <v>6.46</v>
      </c>
      <c r="G35">
        <f t="shared" ca="1" si="0"/>
        <v>0.30293099785630789</v>
      </c>
      <c r="H35">
        <f t="shared" si="1"/>
        <v>123.3125</v>
      </c>
      <c r="I35">
        <f t="shared" si="2"/>
        <v>124.515</v>
      </c>
    </row>
    <row r="36" spans="1:21">
      <c r="A36">
        <v>26</v>
      </c>
      <c r="B36">
        <v>126.729</v>
      </c>
      <c r="C36">
        <v>152</v>
      </c>
      <c r="D36">
        <v>77</v>
      </c>
      <c r="E36">
        <v>128</v>
      </c>
      <c r="F36">
        <v>6.3559999999999999</v>
      </c>
      <c r="G36">
        <f t="shared" ca="1" si="0"/>
        <v>0.61873224326611787</v>
      </c>
      <c r="H36">
        <f t="shared" si="1"/>
        <v>123.07575</v>
      </c>
      <c r="I36">
        <f t="shared" si="2"/>
        <v>123.78666666666668</v>
      </c>
    </row>
    <row r="37" spans="1:21">
      <c r="A37">
        <v>27</v>
      </c>
      <c r="B37">
        <v>124.926</v>
      </c>
      <c r="C37">
        <v>157</v>
      </c>
      <c r="D37">
        <v>86</v>
      </c>
      <c r="E37">
        <v>125</v>
      </c>
      <c r="F37">
        <v>6.1189999999999998</v>
      </c>
      <c r="G37">
        <f t="shared" ca="1" si="0"/>
        <v>-0.18544016106718997</v>
      </c>
      <c r="H37">
        <f t="shared" si="1"/>
        <v>122.69725</v>
      </c>
      <c r="I37">
        <f t="shared" si="2"/>
        <v>121.858</v>
      </c>
    </row>
    <row r="38" spans="1:21">
      <c r="A38">
        <v>28</v>
      </c>
      <c r="B38">
        <v>119.705</v>
      </c>
      <c r="C38">
        <v>164</v>
      </c>
      <c r="D38">
        <v>83</v>
      </c>
      <c r="E38">
        <v>120</v>
      </c>
      <c r="F38">
        <v>5.7130000000000001</v>
      </c>
      <c r="G38">
        <f t="shared" ca="1" si="0"/>
        <v>-0.24065020272488205</v>
      </c>
      <c r="H38">
        <f t="shared" si="1"/>
        <v>121.53925</v>
      </c>
      <c r="I38">
        <f t="shared" si="2"/>
        <v>121.95433333333334</v>
      </c>
    </row>
    <row r="39" spans="1:21">
      <c r="A39">
        <v>29</v>
      </c>
      <c r="B39">
        <v>120.943</v>
      </c>
      <c r="C39">
        <v>151</v>
      </c>
      <c r="D39">
        <v>78</v>
      </c>
      <c r="E39">
        <v>122</v>
      </c>
      <c r="F39">
        <v>6.3380000000000001</v>
      </c>
      <c r="G39">
        <f t="shared" ca="1" si="0"/>
        <v>0.48237440569981255</v>
      </c>
      <c r="H39">
        <f t="shared" si="1"/>
        <v>121.654</v>
      </c>
      <c r="I39">
        <f t="shared" si="2"/>
        <v>122.15066666666667</v>
      </c>
    </row>
    <row r="40" spans="1:21">
      <c r="A40">
        <v>30</v>
      </c>
      <c r="B40">
        <v>125.215</v>
      </c>
      <c r="C40">
        <v>149</v>
      </c>
      <c r="D40">
        <v>78</v>
      </c>
      <c r="E40">
        <v>126</v>
      </c>
      <c r="F40">
        <v>6.2910000000000004</v>
      </c>
      <c r="G40">
        <f t="shared" ca="1" si="0"/>
        <v>0.23874211982586863</v>
      </c>
      <c r="H40">
        <f t="shared" si="1"/>
        <v>122.55025000000001</v>
      </c>
      <c r="I40">
        <f t="shared" si="2"/>
        <v>121.89100000000001</v>
      </c>
    </row>
    <row r="41" spans="1:21">
      <c r="A41">
        <v>31</v>
      </c>
      <c r="B41">
        <v>120.294</v>
      </c>
      <c r="C41">
        <v>152</v>
      </c>
      <c r="D41">
        <v>81</v>
      </c>
      <c r="E41">
        <v>120</v>
      </c>
      <c r="F41">
        <v>6.3019999999999996</v>
      </c>
      <c r="G41">
        <f t="shared" ca="1" si="0"/>
        <v>-0.36091497544198176</v>
      </c>
      <c r="H41">
        <f t="shared" si="1"/>
        <v>123.22425</v>
      </c>
      <c r="I41">
        <f t="shared" si="2"/>
        <v>121.66199999999999</v>
      </c>
      <c r="P41" t="str">
        <f>ADDRESS(ROW(F12)-1,COLUMN(F11)) &amp; ":" &amp; ADDRESS(COUNTA($F$11:$F$1000) + ROW(F11)-(ROW(F12) -ROW($F$11))-1,COLUMN(F11),4)</f>
        <v>$F$11:F136</v>
      </c>
      <c r="S41" t="s">
        <v>8</v>
      </c>
      <c r="T41">
        <f>COUNTA($F$11:$F$1000)+ROW(F11)-1</f>
        <v>137</v>
      </c>
      <c r="U41" t="s">
        <v>13</v>
      </c>
    </row>
    <row r="42" spans="1:21">
      <c r="A42">
        <v>32</v>
      </c>
      <c r="B42">
        <v>120.164</v>
      </c>
      <c r="C42">
        <v>154</v>
      </c>
      <c r="D42">
        <v>79</v>
      </c>
      <c r="E42">
        <v>120</v>
      </c>
      <c r="F42">
        <v>5.625</v>
      </c>
      <c r="G42">
        <f t="shared" ca="1" si="0"/>
        <v>5.0814119556698567E-2</v>
      </c>
      <c r="H42">
        <f t="shared" si="1"/>
        <v>123.13200000000001</v>
      </c>
      <c r="I42">
        <f t="shared" si="2"/>
        <v>124.20100000000001</v>
      </c>
      <c r="O42" s="1"/>
      <c r="P42" t="str">
        <f>ADDRESS(ROW(F12),COLUMN(F11),4) &amp; ":" &amp; ADDRESS(ROW(F11)+COUNTA($F$11:$F$1000)-1,COLUMN(F11))</f>
        <v>F12:$F$137</v>
      </c>
      <c r="S42" s="3" t="s">
        <v>10</v>
      </c>
    </row>
    <row r="43" spans="1:21">
      <c r="A43">
        <v>33</v>
      </c>
      <c r="B43">
        <v>124.52800000000001</v>
      </c>
      <c r="C43">
        <v>150</v>
      </c>
      <c r="D43">
        <v>74</v>
      </c>
      <c r="E43">
        <v>125</v>
      </c>
      <c r="F43">
        <v>6.2350000000000003</v>
      </c>
      <c r="G43">
        <f t="shared" ref="G43:G74" ca="1" si="3">CORREL(OFFSET($B$11, 0, 0, $B$7, 1 ),OFFSET($B$11, A43, 0,$B$7, 1 ))</f>
        <v>0.71778863552964534</v>
      </c>
      <c r="H43">
        <f t="shared" si="1"/>
        <v>123.13375000000001</v>
      </c>
      <c r="I43">
        <f t="shared" si="2"/>
        <v>124.12133333333334</v>
      </c>
      <c r="N43" t="s">
        <v>6</v>
      </c>
      <c r="S43" s="2" t="e">
        <f ca="1">CORREL(OFFSET($F$11, 0, 0, COUNTA($F$11:$F$1000)+ROW(F11)-1-A11, 1 ),OFFSET($F$11, A11, 0, COUNTA($F$11:$F$1000)+ROW(F11)-1-A11, 1 ))</f>
        <v>#NUM!</v>
      </c>
      <c r="T43" t="s">
        <v>14</v>
      </c>
    </row>
    <row r="44" spans="1:21">
      <c r="A44">
        <v>34</v>
      </c>
      <c r="B44">
        <v>127.911</v>
      </c>
      <c r="C44">
        <v>169</v>
      </c>
      <c r="D44">
        <v>78</v>
      </c>
      <c r="E44">
        <v>128</v>
      </c>
      <c r="F44">
        <v>6.84</v>
      </c>
      <c r="G44">
        <f t="shared" ca="1" si="3"/>
        <v>9.2088410745648705E-3</v>
      </c>
      <c r="H44">
        <f t="shared" si="1"/>
        <v>123.66775</v>
      </c>
      <c r="I44">
        <f t="shared" si="2"/>
        <v>122.669</v>
      </c>
      <c r="M44">
        <v>1</v>
      </c>
      <c r="N44">
        <f>CORREL(F12:$F$146,$F$11:F145)</f>
        <v>-0.19525195233546511</v>
      </c>
      <c r="O44">
        <f ca="1">CORREL(OFFSET($F$11, 0, 0, $T$41, 1 ),OFFSET($F$11,A11, 0,$T$41, 1 ))</f>
        <v>-0.19525195233546511</v>
      </c>
      <c r="R44" s="2"/>
      <c r="S44">
        <f ca="1">CORREL(OFFSET($F$11, 0, 0, 146-A11, 1 ),OFFSET($F$11, A11, 0, 146-A11, 1 ))</f>
        <v>-0.19525195233546511</v>
      </c>
      <c r="T44" t="s">
        <v>7</v>
      </c>
    </row>
    <row r="45" spans="1:21">
      <c r="A45">
        <v>35</v>
      </c>
      <c r="B45">
        <v>119.925</v>
      </c>
      <c r="C45">
        <v>145</v>
      </c>
      <c r="D45">
        <v>90</v>
      </c>
      <c r="E45">
        <v>120</v>
      </c>
      <c r="F45">
        <v>4.96</v>
      </c>
      <c r="G45">
        <f t="shared" ca="1" si="3"/>
        <v>-0.40866368583812779</v>
      </c>
      <c r="H45">
        <f t="shared" si="1"/>
        <v>123.14949999999999</v>
      </c>
      <c r="I45">
        <f t="shared" si="2"/>
        <v>122.25333333333333</v>
      </c>
      <c r="M45">
        <v>2</v>
      </c>
      <c r="N45">
        <f>CORREL(F13:$F$146,$F$11:F144)</f>
        <v>-0.44625441288527712</v>
      </c>
      <c r="O45">
        <f t="shared" ref="O45:O100" ca="1" si="4">CORREL(OFFSET($F$11, 0, 0, $T$41, 1 ),OFFSET($F$11,A12, 0,$T$41, 1 ))</f>
        <v>-0.44625441288527712</v>
      </c>
      <c r="S45">
        <f ca="1">CORREL(OFFSET($F$11, 0, 0, $T$41, 1 ),OFFSET($F$11, A11, 0, T41, 1 ))</f>
        <v>-0.19525195233546511</v>
      </c>
      <c r="T45" t="s">
        <v>9</v>
      </c>
    </row>
    <row r="46" spans="1:21">
      <c r="A46">
        <v>36</v>
      </c>
      <c r="B46">
        <v>120.17100000000001</v>
      </c>
      <c r="C46">
        <v>153</v>
      </c>
      <c r="D46">
        <v>79</v>
      </c>
      <c r="E46">
        <v>120</v>
      </c>
      <c r="F46">
        <v>6.093</v>
      </c>
      <c r="G46">
        <f t="shared" ca="1" si="3"/>
        <v>0.21687081243148945</v>
      </c>
      <c r="H46">
        <f t="shared" si="1"/>
        <v>123.36225</v>
      </c>
      <c r="I46">
        <f t="shared" si="2"/>
        <v>124.22433333333333</v>
      </c>
      <c r="M46">
        <v>3</v>
      </c>
      <c r="N46">
        <f>CORREL(F14:$F$146,$F$11:F143)</f>
        <v>0.36025902044567659</v>
      </c>
      <c r="O46">
        <f t="shared" ca="1" si="4"/>
        <v>0.36025902044567659</v>
      </c>
      <c r="S46" t="s">
        <v>11</v>
      </c>
    </row>
    <row r="47" spans="1:21">
      <c r="A47">
        <v>37</v>
      </c>
      <c r="B47">
        <v>126.664</v>
      </c>
      <c r="C47">
        <v>156</v>
      </c>
      <c r="D47">
        <v>76</v>
      </c>
      <c r="E47">
        <v>127</v>
      </c>
      <c r="F47">
        <v>6.7169999999999996</v>
      </c>
      <c r="G47">
        <f t="shared" ca="1" si="3"/>
        <v>0.47544275322296764</v>
      </c>
      <c r="H47">
        <f t="shared" si="1"/>
        <v>124.12125</v>
      </c>
      <c r="I47">
        <f t="shared" si="2"/>
        <v>124.426</v>
      </c>
      <c r="M47">
        <v>4</v>
      </c>
      <c r="N47">
        <f>CORREL(F15:$F$146,$F$11:F142)</f>
        <v>0.43568115953692244</v>
      </c>
      <c r="O47" s="9">
        <f t="shared" ca="1" si="4"/>
        <v>0.43568115953692244</v>
      </c>
    </row>
    <row r="48" spans="1:21">
      <c r="A48">
        <v>38</v>
      </c>
      <c r="B48">
        <v>125.83799999999999</v>
      </c>
      <c r="C48">
        <v>156</v>
      </c>
      <c r="D48">
        <v>84</v>
      </c>
      <c r="E48">
        <v>126</v>
      </c>
      <c r="F48">
        <v>6.5519999999999996</v>
      </c>
      <c r="G48">
        <f t="shared" ca="1" si="3"/>
        <v>-0.29083838762644687</v>
      </c>
      <c r="H48">
        <f t="shared" si="1"/>
        <v>124.22649999999999</v>
      </c>
      <c r="I48">
        <f t="shared" si="2"/>
        <v>123.27366666666666</v>
      </c>
      <c r="M48">
        <v>5</v>
      </c>
      <c r="N48">
        <f>CORREL(F16:$F$146,$F$11:F141)</f>
        <v>-0.45590227296493385</v>
      </c>
      <c r="O48">
        <f t="shared" ca="1" si="4"/>
        <v>-0.45590227296493385</v>
      </c>
    </row>
    <row r="49" spans="1:15">
      <c r="A49">
        <v>39</v>
      </c>
      <c r="B49">
        <v>120.776</v>
      </c>
      <c r="C49">
        <v>148</v>
      </c>
      <c r="D49">
        <v>91</v>
      </c>
      <c r="E49">
        <v>121</v>
      </c>
      <c r="F49">
        <v>4.7859999999999996</v>
      </c>
      <c r="G49">
        <f t="shared" ca="1" si="3"/>
        <v>-0.21611236344114976</v>
      </c>
      <c r="H49">
        <f t="shared" si="1"/>
        <v>122.6695</v>
      </c>
      <c r="I49">
        <f t="shared" si="2"/>
        <v>123.68933333333332</v>
      </c>
      <c r="M49">
        <v>6</v>
      </c>
      <c r="N49">
        <f>CORREL(F17:$F$146,$F$11:F140)</f>
        <v>-0.20660297044883572</v>
      </c>
      <c r="O49">
        <f t="shared" ca="1" si="4"/>
        <v>-0.20660297044883572</v>
      </c>
    </row>
    <row r="50" spans="1:15">
      <c r="A50">
        <v>40</v>
      </c>
      <c r="B50">
        <v>123.20699999999999</v>
      </c>
      <c r="C50">
        <v>169</v>
      </c>
      <c r="D50">
        <v>77</v>
      </c>
      <c r="E50">
        <v>124</v>
      </c>
      <c r="F50">
        <v>6.3639999999999999</v>
      </c>
      <c r="G50">
        <f t="shared" ca="1" si="3"/>
        <v>0.53071186933184655</v>
      </c>
      <c r="H50">
        <f t="shared" si="1"/>
        <v>122.24299999999999</v>
      </c>
      <c r="I50">
        <f t="shared" si="2"/>
        <v>123.30066666666666</v>
      </c>
      <c r="M50">
        <v>7</v>
      </c>
      <c r="N50">
        <f>CORREL(F18:$F$146,$F$11:F139)</f>
        <v>0.46833458482342466</v>
      </c>
      <c r="O50" s="9">
        <f t="shared" ca="1" si="4"/>
        <v>0.46833458482342466</v>
      </c>
    </row>
    <row r="51" spans="1:15">
      <c r="A51">
        <v>41</v>
      </c>
      <c r="B51">
        <v>127.08499999999999</v>
      </c>
      <c r="C51">
        <v>151</v>
      </c>
      <c r="D51">
        <v>82</v>
      </c>
      <c r="E51">
        <v>128</v>
      </c>
      <c r="F51">
        <v>6.6109999999999998</v>
      </c>
      <c r="G51">
        <f t="shared" ca="1" si="3"/>
        <v>0.19272471886133599</v>
      </c>
      <c r="H51">
        <f t="shared" si="1"/>
        <v>122.26174999999999</v>
      </c>
      <c r="I51">
        <f t="shared" si="2"/>
        <v>121.92166666666667</v>
      </c>
      <c r="M51">
        <v>8</v>
      </c>
      <c r="N51">
        <f>CORREL(F19:$F$146,$F$11:F138)</f>
        <v>2.4920427251169924E-2</v>
      </c>
      <c r="O51">
        <f t="shared" ca="1" si="4"/>
        <v>2.4920427251169924E-2</v>
      </c>
    </row>
    <row r="52" spans="1:15">
      <c r="A52">
        <v>42</v>
      </c>
      <c r="B52">
        <v>119.61</v>
      </c>
      <c r="C52">
        <v>155</v>
      </c>
      <c r="D52">
        <v>80</v>
      </c>
      <c r="E52">
        <v>120</v>
      </c>
      <c r="F52">
        <v>5.3540000000000001</v>
      </c>
      <c r="G52">
        <f t="shared" ca="1" si="3"/>
        <v>-0.50919378100233037</v>
      </c>
      <c r="H52">
        <f t="shared" si="1"/>
        <v>122.44575</v>
      </c>
      <c r="I52">
        <f t="shared" si="2"/>
        <v>120.654</v>
      </c>
      <c r="M52">
        <v>9</v>
      </c>
      <c r="N52">
        <f>CORREL(F20:$F$146,$F$11:F137)</f>
        <v>-0.25657402755752057</v>
      </c>
      <c r="O52">
        <f t="shared" ca="1" si="4"/>
        <v>-0.25657402755752057</v>
      </c>
    </row>
    <row r="53" spans="1:15">
      <c r="A53">
        <v>43</v>
      </c>
      <c r="B53">
        <v>119.07</v>
      </c>
      <c r="C53">
        <v>154</v>
      </c>
      <c r="D53">
        <v>79</v>
      </c>
      <c r="E53">
        <v>119</v>
      </c>
      <c r="F53">
        <v>5.984</v>
      </c>
      <c r="G53">
        <f t="shared" ca="1" si="3"/>
        <v>-0.13944860203038387</v>
      </c>
      <c r="H53">
        <f t="shared" si="1"/>
        <v>122.791</v>
      </c>
      <c r="I53">
        <f t="shared" si="2"/>
        <v>123.39100000000001</v>
      </c>
      <c r="M53">
        <v>10</v>
      </c>
      <c r="N53">
        <f>CORREL(F21:$F$146,$F$11:F136)</f>
        <v>-0.1930938558815079</v>
      </c>
      <c r="O53">
        <f t="shared" ca="1" si="4"/>
        <v>-0.1930938558815079</v>
      </c>
    </row>
    <row r="54" spans="1:15">
      <c r="A54">
        <v>44</v>
      </c>
      <c r="B54">
        <v>123.282</v>
      </c>
      <c r="C54">
        <v>161</v>
      </c>
      <c r="D54">
        <v>80</v>
      </c>
      <c r="E54">
        <v>124</v>
      </c>
      <c r="F54">
        <v>6.157</v>
      </c>
      <c r="G54">
        <f t="shared" ca="1" si="3"/>
        <v>0.52084747161380096</v>
      </c>
      <c r="H54">
        <f t="shared" si="1"/>
        <v>123.55125</v>
      </c>
      <c r="I54">
        <f t="shared" si="2"/>
        <v>124.03133333333334</v>
      </c>
      <c r="M54">
        <v>11</v>
      </c>
      <c r="N54">
        <f>CORREL(F22:$F$146,$F$11:F135)</f>
        <v>0.56505275141958922</v>
      </c>
      <c r="O54" s="9">
        <f t="shared" ca="1" si="4"/>
        <v>0.56505275141958922</v>
      </c>
    </row>
    <row r="55" spans="1:15">
      <c r="A55">
        <v>45</v>
      </c>
      <c r="B55">
        <v>127.821</v>
      </c>
      <c r="C55">
        <v>152</v>
      </c>
      <c r="D55">
        <v>79</v>
      </c>
      <c r="E55">
        <v>128</v>
      </c>
      <c r="F55">
        <v>6.2759999999999998</v>
      </c>
      <c r="G55">
        <f t="shared" ca="1" si="3"/>
        <v>-0.14248382693362183</v>
      </c>
      <c r="H55">
        <f t="shared" si="1"/>
        <v>123.87174999999999</v>
      </c>
      <c r="I55">
        <f t="shared" si="2"/>
        <v>123.64100000000001</v>
      </c>
      <c r="M55">
        <v>12</v>
      </c>
      <c r="N55">
        <f>CORREL(F23:$F$146,$F$11:F134)</f>
        <v>-7.6801843162923225E-2</v>
      </c>
      <c r="O55">
        <f t="shared" ca="1" si="4"/>
        <v>-7.6801843162923225E-2</v>
      </c>
    </row>
    <row r="56" spans="1:15">
      <c r="A56">
        <v>46</v>
      </c>
      <c r="B56">
        <v>120.991</v>
      </c>
      <c r="C56">
        <v>152</v>
      </c>
      <c r="D56">
        <v>81</v>
      </c>
      <c r="E56">
        <v>121</v>
      </c>
      <c r="F56">
        <v>5.7130000000000001</v>
      </c>
      <c r="G56">
        <f t="shared" ca="1" si="3"/>
        <v>-0.46403611490712499</v>
      </c>
      <c r="H56">
        <f t="shared" si="1"/>
        <v>122.07325</v>
      </c>
      <c r="I56">
        <f t="shared" si="2"/>
        <v>122.55533333333334</v>
      </c>
      <c r="M56">
        <v>13</v>
      </c>
      <c r="N56">
        <f>CORREL(F24:$F$146,$F$11:F133)</f>
        <v>-0.47571460199279358</v>
      </c>
      <c r="O56">
        <f t="shared" ca="1" si="4"/>
        <v>-0.47571460199279358</v>
      </c>
    </row>
    <row r="57" spans="1:15">
      <c r="A57">
        <v>47</v>
      </c>
      <c r="B57">
        <v>122.111</v>
      </c>
      <c r="C57">
        <v>153</v>
      </c>
      <c r="D57">
        <v>81</v>
      </c>
      <c r="E57">
        <v>122</v>
      </c>
      <c r="F57">
        <v>6.0880000000000001</v>
      </c>
      <c r="G57">
        <f t="shared" ca="1" si="3"/>
        <v>0.13639627750795622</v>
      </c>
      <c r="H57">
        <f t="shared" si="1"/>
        <v>121.39450000000001</v>
      </c>
      <c r="I57">
        <f t="shared" si="2"/>
        <v>122.43400000000001</v>
      </c>
      <c r="M57">
        <v>14</v>
      </c>
      <c r="N57">
        <f>CORREL(F25:$F$146,$F$11:F132)</f>
        <v>0.10016967501846011</v>
      </c>
      <c r="O57">
        <f t="shared" ca="1" si="4"/>
        <v>0.10016967501846011</v>
      </c>
    </row>
    <row r="58" spans="1:15">
      <c r="A58">
        <v>48</v>
      </c>
      <c r="B58">
        <v>124.56399999999999</v>
      </c>
      <c r="C58">
        <v>148</v>
      </c>
      <c r="D58">
        <v>75</v>
      </c>
      <c r="E58">
        <v>125</v>
      </c>
      <c r="F58">
        <v>6.2789999999999999</v>
      </c>
      <c r="G58">
        <f t="shared" ca="1" si="3"/>
        <v>0.28602112316871503</v>
      </c>
      <c r="H58">
        <f t="shared" si="1"/>
        <v>121.24625</v>
      </c>
      <c r="I58">
        <f t="shared" si="2"/>
        <v>121.15566666666666</v>
      </c>
      <c r="M58">
        <v>15</v>
      </c>
      <c r="N58">
        <f>CORREL(F26:$F$146,$F$11:F131)</f>
        <v>0.57914431624999041</v>
      </c>
      <c r="O58" s="9">
        <f t="shared" ca="1" si="4"/>
        <v>0.57914431624999041</v>
      </c>
    </row>
    <row r="59" spans="1:15">
      <c r="A59">
        <v>49</v>
      </c>
      <c r="B59">
        <v>120.627</v>
      </c>
      <c r="C59">
        <v>157</v>
      </c>
      <c r="D59">
        <v>72</v>
      </c>
      <c r="E59">
        <v>121</v>
      </c>
      <c r="F59">
        <v>6.0030000000000001</v>
      </c>
      <c r="G59">
        <f t="shared" ca="1" si="3"/>
        <v>-0.54394722342661062</v>
      </c>
      <c r="H59">
        <f t="shared" si="1"/>
        <v>121.36</v>
      </c>
      <c r="I59">
        <f t="shared" si="2"/>
        <v>120.14033333333333</v>
      </c>
      <c r="M59">
        <v>16</v>
      </c>
      <c r="N59">
        <f>CORREL(F27:$F$146,$F$11:F130)</f>
        <v>-0.4455932489728136</v>
      </c>
      <c r="O59">
        <f t="shared" ca="1" si="4"/>
        <v>-0.4455932489728136</v>
      </c>
    </row>
    <row r="60" spans="1:15">
      <c r="A60">
        <v>50</v>
      </c>
      <c r="B60">
        <v>118.276</v>
      </c>
      <c r="C60">
        <v>153</v>
      </c>
      <c r="D60">
        <v>88</v>
      </c>
      <c r="E60">
        <v>118</v>
      </c>
      <c r="F60">
        <v>4.9009999999999998</v>
      </c>
      <c r="G60">
        <f t="shared" ca="1" si="3"/>
        <v>-0.51222296416670277</v>
      </c>
      <c r="H60">
        <f t="shared" si="1"/>
        <v>121.16725</v>
      </c>
      <c r="I60">
        <f t="shared" si="2"/>
        <v>121.60433333333333</v>
      </c>
      <c r="M60">
        <v>17</v>
      </c>
      <c r="N60">
        <f>CORREL(F28:$F$146,$F$11:F129)</f>
        <v>-0.42971859400563833</v>
      </c>
      <c r="O60">
        <f t="shared" ca="1" si="4"/>
        <v>-0.42971859400563833</v>
      </c>
    </row>
    <row r="61" spans="1:15">
      <c r="A61">
        <v>51</v>
      </c>
      <c r="B61">
        <v>121.518</v>
      </c>
      <c r="C61">
        <v>155</v>
      </c>
      <c r="D61">
        <v>75</v>
      </c>
      <c r="E61">
        <v>122</v>
      </c>
      <c r="F61">
        <v>6.3659999999999997</v>
      </c>
      <c r="G61">
        <f t="shared" ca="1" si="3"/>
        <v>0.26283314970911464</v>
      </c>
      <c r="H61">
        <f t="shared" si="1"/>
        <v>121.1495</v>
      </c>
      <c r="I61">
        <f t="shared" si="2"/>
        <v>122.13100000000001</v>
      </c>
      <c r="M61">
        <v>18</v>
      </c>
      <c r="N61">
        <f>CORREL(F29:$F$146,$F$11:F128)</f>
        <v>0.62032232086466299</v>
      </c>
      <c r="O61" s="9">
        <f t="shared" ca="1" si="4"/>
        <v>0.62032232086466299</v>
      </c>
    </row>
    <row r="62" spans="1:15">
      <c r="A62">
        <v>52</v>
      </c>
      <c r="B62">
        <v>125.01900000000001</v>
      </c>
      <c r="C62">
        <v>166</v>
      </c>
      <c r="D62">
        <v>71</v>
      </c>
      <c r="E62">
        <v>126</v>
      </c>
      <c r="F62">
        <v>7.1779999999999999</v>
      </c>
      <c r="G62">
        <f t="shared" ca="1" si="3"/>
        <v>2.7498085546500385E-2</v>
      </c>
      <c r="H62">
        <f t="shared" si="1"/>
        <v>120.68525</v>
      </c>
      <c r="I62">
        <f t="shared" si="2"/>
        <v>121.02666666666666</v>
      </c>
      <c r="M62">
        <v>19</v>
      </c>
      <c r="N62">
        <f>CORREL(F30:$F$146,$F$11:F127)</f>
        <v>3.2776565981277136E-2</v>
      </c>
      <c r="O62">
        <f t="shared" ca="1" si="4"/>
        <v>3.2776565981277136E-2</v>
      </c>
    </row>
    <row r="63" spans="1:15">
      <c r="A63">
        <v>53</v>
      </c>
      <c r="B63">
        <v>119.85599999999999</v>
      </c>
      <c r="C63">
        <v>148</v>
      </c>
      <c r="D63">
        <v>85</v>
      </c>
      <c r="E63">
        <v>120</v>
      </c>
      <c r="F63">
        <v>5.1989999999999998</v>
      </c>
      <c r="G63">
        <f t="shared" ca="1" si="3"/>
        <v>-0.61552720466552924</v>
      </c>
      <c r="H63">
        <f t="shared" si="1"/>
        <v>119.542</v>
      </c>
      <c r="I63">
        <f t="shared" si="2"/>
        <v>119.24066666666666</v>
      </c>
      <c r="M63">
        <v>20</v>
      </c>
      <c r="N63">
        <f>CORREL(F31:$F$146,$F$11:F126)</f>
        <v>-0.53269744815436704</v>
      </c>
      <c r="O63">
        <f t="shared" ca="1" si="4"/>
        <v>-0.53269744815436704</v>
      </c>
    </row>
    <row r="64" spans="1:15">
      <c r="A64">
        <v>54</v>
      </c>
      <c r="B64">
        <v>118.205</v>
      </c>
      <c r="C64">
        <v>151</v>
      </c>
      <c r="D64">
        <v>83</v>
      </c>
      <c r="E64">
        <v>118</v>
      </c>
      <c r="F64">
        <v>5.5060000000000002</v>
      </c>
      <c r="G64">
        <f t="shared" ca="1" si="3"/>
        <v>-0.27958957965258024</v>
      </c>
      <c r="H64">
        <f t="shared" si="1"/>
        <v>118.5895</v>
      </c>
      <c r="I64">
        <f t="shared" si="2"/>
        <v>119.43733333333334</v>
      </c>
      <c r="M64">
        <v>21</v>
      </c>
      <c r="N64">
        <f>CORREL(F32:$F$146,$F$11:F125)</f>
        <v>1.9418351229263185E-2</v>
      </c>
      <c r="O64">
        <f t="shared" ca="1" si="4"/>
        <v>1.9418351229263185E-2</v>
      </c>
    </row>
    <row r="65" spans="1:15">
      <c r="A65">
        <v>55</v>
      </c>
      <c r="B65">
        <v>119.661</v>
      </c>
      <c r="C65">
        <v>152</v>
      </c>
      <c r="D65">
        <v>75</v>
      </c>
      <c r="E65">
        <v>120</v>
      </c>
      <c r="F65">
        <v>6.4950000000000001</v>
      </c>
      <c r="G65">
        <f t="shared" ca="1" si="3"/>
        <v>0.31053802822147969</v>
      </c>
      <c r="H65">
        <f t="shared" si="1"/>
        <v>118.67275000000001</v>
      </c>
      <c r="I65">
        <f t="shared" si="2"/>
        <v>118.71766666666667</v>
      </c>
      <c r="M65">
        <v>22</v>
      </c>
      <c r="N65">
        <f>CORREL(F33:$F$146,$F$11:F124)</f>
        <v>0.53483678619909614</v>
      </c>
      <c r="O65" s="9">
        <f t="shared" ca="1" si="4"/>
        <v>0.53483678619909614</v>
      </c>
    </row>
    <row r="66" spans="1:15">
      <c r="A66">
        <v>56</v>
      </c>
      <c r="B66">
        <v>120.446</v>
      </c>
      <c r="C66">
        <v>149</v>
      </c>
      <c r="D66">
        <v>78</v>
      </c>
      <c r="E66">
        <v>121</v>
      </c>
      <c r="F66">
        <v>6.0309999999999997</v>
      </c>
      <c r="G66">
        <f t="shared" ca="1" si="3"/>
        <v>-0.35039144184686438</v>
      </c>
      <c r="H66">
        <f t="shared" si="1"/>
        <v>119.17875000000001</v>
      </c>
      <c r="I66">
        <f t="shared" si="2"/>
        <v>118.34333333333335</v>
      </c>
      <c r="M66">
        <v>23</v>
      </c>
      <c r="N66">
        <f>CORREL(F34:$F$146,$F$11:F123)</f>
        <v>-0.23451861210449146</v>
      </c>
      <c r="O66">
        <f t="shared" ca="1" si="4"/>
        <v>-0.23451861210449146</v>
      </c>
    </row>
    <row r="67" spans="1:15">
      <c r="A67">
        <v>57</v>
      </c>
      <c r="B67">
        <v>116.04600000000001</v>
      </c>
      <c r="C67">
        <v>143</v>
      </c>
      <c r="D67">
        <v>86</v>
      </c>
      <c r="E67">
        <v>116</v>
      </c>
      <c r="F67">
        <v>4.7389999999999999</v>
      </c>
      <c r="G67">
        <f t="shared" ca="1" si="3"/>
        <v>-0.66643215346791418</v>
      </c>
      <c r="H67">
        <f t="shared" si="1"/>
        <v>119.1735</v>
      </c>
      <c r="I67">
        <f t="shared" si="2"/>
        <v>118.75633333333333</v>
      </c>
      <c r="M67">
        <v>24</v>
      </c>
      <c r="N67">
        <f>CORREL(F35:$F$146,$F$11:F122)</f>
        <v>-0.23458615459340795</v>
      </c>
      <c r="O67">
        <f t="shared" ca="1" si="4"/>
        <v>-0.23458615459340795</v>
      </c>
    </row>
    <row r="68" spans="1:15">
      <c r="A68">
        <v>58</v>
      </c>
      <c r="B68">
        <v>118.538</v>
      </c>
      <c r="C68">
        <v>154</v>
      </c>
      <c r="D68">
        <v>73</v>
      </c>
      <c r="E68">
        <v>119</v>
      </c>
      <c r="F68">
        <v>6.43</v>
      </c>
      <c r="G68">
        <f t="shared" ca="1" si="3"/>
        <v>2.7252692656210328E-2</v>
      </c>
      <c r="H68">
        <f t="shared" si="1"/>
        <v>119.47675000000001</v>
      </c>
      <c r="I68">
        <f t="shared" si="2"/>
        <v>120.21600000000001</v>
      </c>
      <c r="M68">
        <v>25</v>
      </c>
      <c r="N68">
        <f>CORREL(F36:$F$146,$F$11:F121)</f>
        <v>0.10056758983855289</v>
      </c>
      <c r="O68">
        <f t="shared" ca="1" si="4"/>
        <v>0.10056758983855289</v>
      </c>
    </row>
    <row r="69" spans="1:15">
      <c r="A69">
        <v>59</v>
      </c>
      <c r="B69">
        <v>121.685</v>
      </c>
      <c r="C69">
        <v>149</v>
      </c>
      <c r="D69">
        <v>78</v>
      </c>
      <c r="E69">
        <v>122</v>
      </c>
      <c r="F69">
        <v>6.1740000000000004</v>
      </c>
      <c r="G69">
        <f t="shared" ca="1" si="3"/>
        <v>0.35792311473797211</v>
      </c>
      <c r="H69">
        <f t="shared" si="1"/>
        <v>119.432</v>
      </c>
      <c r="I69">
        <f t="shared" si="2"/>
        <v>119.78966666666668</v>
      </c>
      <c r="M69">
        <v>26</v>
      </c>
      <c r="N69">
        <f>CORREL(F37:$F$146,$F$11:F120)</f>
        <v>0.3874417335269561</v>
      </c>
      <c r="O69">
        <f t="shared" ca="1" si="4"/>
        <v>0.3874417335269561</v>
      </c>
    </row>
    <row r="70" spans="1:15">
      <c r="A70">
        <v>60</v>
      </c>
      <c r="B70">
        <v>120.425</v>
      </c>
      <c r="C70">
        <v>148</v>
      </c>
      <c r="D70">
        <v>81</v>
      </c>
      <c r="E70">
        <v>121</v>
      </c>
      <c r="F70">
        <v>5.7880000000000003</v>
      </c>
      <c r="G70">
        <f t="shared" ca="1" si="3"/>
        <v>-0.44518575303135471</v>
      </c>
      <c r="H70">
        <f t="shared" si="1"/>
        <v>119.8045</v>
      </c>
      <c r="I70">
        <f t="shared" si="2"/>
        <v>118.681</v>
      </c>
      <c r="M70">
        <v>27</v>
      </c>
      <c r="N70">
        <f>CORREL(F38:$F$146,$F$11:F119)</f>
        <v>-0.17305136290018905</v>
      </c>
      <c r="O70">
        <f t="shared" ca="1" si="4"/>
        <v>-0.17305136290018905</v>
      </c>
    </row>
    <row r="71" spans="1:15">
      <c r="A71">
        <v>61</v>
      </c>
      <c r="B71">
        <v>117.259</v>
      </c>
      <c r="C71">
        <v>160</v>
      </c>
      <c r="D71">
        <v>75</v>
      </c>
      <c r="E71">
        <v>117</v>
      </c>
      <c r="F71">
        <v>5.9029999999999996</v>
      </c>
      <c r="G71">
        <f t="shared" ca="1" si="3"/>
        <v>-0.49086395405528566</v>
      </c>
      <c r="H71">
        <f t="shared" si="1"/>
        <v>118.9435</v>
      </c>
      <c r="I71">
        <f t="shared" si="2"/>
        <v>119.59766666666667</v>
      </c>
      <c r="M71">
        <v>28</v>
      </c>
      <c r="N71">
        <f>CORREL(F39:$F$146,$F$11:F118)</f>
        <v>-0.39665174402306602</v>
      </c>
      <c r="O71">
        <f t="shared" ca="1" si="4"/>
        <v>-0.39665174402306602</v>
      </c>
    </row>
    <row r="72" spans="1:15">
      <c r="A72">
        <v>62</v>
      </c>
      <c r="B72">
        <v>118.35899999999999</v>
      </c>
      <c r="C72">
        <v>147</v>
      </c>
      <c r="D72">
        <v>71</v>
      </c>
      <c r="E72">
        <v>119</v>
      </c>
      <c r="F72">
        <v>6.0720000000000001</v>
      </c>
      <c r="G72">
        <f t="shared" ca="1" si="3"/>
        <v>0.27265154665484836</v>
      </c>
      <c r="H72">
        <f t="shared" si="1"/>
        <v>119.23099999999999</v>
      </c>
      <c r="I72">
        <f t="shared" si="2"/>
        <v>119.505</v>
      </c>
      <c r="M72">
        <v>29</v>
      </c>
      <c r="N72">
        <f>CORREL(F40:$F$146,$F$11:F117)</f>
        <v>0.34664789542622576</v>
      </c>
      <c r="O72">
        <f t="shared" ca="1" si="4"/>
        <v>0.34664789542622576</v>
      </c>
    </row>
    <row r="73" spans="1:15">
      <c r="A73">
        <v>63</v>
      </c>
      <c r="B73">
        <v>123.175</v>
      </c>
      <c r="C73">
        <v>151</v>
      </c>
      <c r="D73">
        <v>78</v>
      </c>
      <c r="E73">
        <v>124</v>
      </c>
      <c r="F73">
        <v>6.0780000000000003</v>
      </c>
      <c r="G73">
        <f t="shared" ca="1" si="3"/>
        <v>1.5578514307727807E-2</v>
      </c>
      <c r="H73">
        <f t="shared" si="1"/>
        <v>120.0455</v>
      </c>
      <c r="I73">
        <f t="shared" si="2"/>
        <v>119.52166666666666</v>
      </c>
      <c r="M73">
        <v>30</v>
      </c>
      <c r="N73">
        <f>CORREL(F41:$F$146,$F$11:F116)</f>
        <v>0.35621658790648808</v>
      </c>
      <c r="O73">
        <f t="shared" ca="1" si="4"/>
        <v>0.35621658790648808</v>
      </c>
    </row>
    <row r="74" spans="1:15">
      <c r="A74">
        <v>64</v>
      </c>
      <c r="B74">
        <v>116.98099999999999</v>
      </c>
      <c r="C74">
        <v>158</v>
      </c>
      <c r="D74">
        <v>81</v>
      </c>
      <c r="E74">
        <v>117</v>
      </c>
      <c r="F74">
        <v>5.6909999999999998</v>
      </c>
      <c r="G74">
        <f t="shared" ca="1" si="3"/>
        <v>-0.61452929767705244</v>
      </c>
      <c r="H74">
        <f t="shared" si="1"/>
        <v>120.25624999999999</v>
      </c>
      <c r="I74">
        <f t="shared" si="2"/>
        <v>119.00233333333334</v>
      </c>
      <c r="M74">
        <v>31</v>
      </c>
      <c r="N74">
        <f>CORREL(F42:$F$146,$F$11:F115)</f>
        <v>-0.49425247599999672</v>
      </c>
      <c r="O74">
        <f t="shared" ca="1" si="4"/>
        <v>-0.49425247599999672</v>
      </c>
    </row>
    <row r="75" spans="1:15">
      <c r="A75">
        <v>65</v>
      </c>
      <c r="B75">
        <v>118.40900000000001</v>
      </c>
      <c r="C75">
        <v>150</v>
      </c>
      <c r="D75">
        <v>78</v>
      </c>
      <c r="E75">
        <v>119</v>
      </c>
      <c r="F75">
        <v>5.6849999999999996</v>
      </c>
      <c r="G75">
        <f t="shared" ref="G75:G106" ca="1" si="5">CORREL(OFFSET($B$11, 0, 0, $B$7, 1 ),OFFSET($B$11, A75, 0,$B$7, 1 ))</f>
        <v>-0.15587949692241732</v>
      </c>
      <c r="H75">
        <f t="shared" si="1"/>
        <v>120.29275</v>
      </c>
      <c r="I75">
        <f t="shared" si="2"/>
        <v>121.348</v>
      </c>
      <c r="M75">
        <v>32</v>
      </c>
      <c r="N75">
        <f>CORREL(F43:$F$146,$F$11:F114)</f>
        <v>-0.23222494377026662</v>
      </c>
      <c r="O75">
        <f t="shared" ca="1" si="4"/>
        <v>-0.23222494377026662</v>
      </c>
    </row>
    <row r="76" spans="1:15">
      <c r="A76">
        <v>66</v>
      </c>
      <c r="B76">
        <v>121.617</v>
      </c>
      <c r="C76">
        <v>146</v>
      </c>
      <c r="D76">
        <v>77</v>
      </c>
      <c r="E76">
        <v>122</v>
      </c>
      <c r="F76">
        <v>6.0579999999999998</v>
      </c>
      <c r="G76">
        <f t="shared" ca="1" si="5"/>
        <v>0.56082578357161306</v>
      </c>
      <c r="H76">
        <f t="shared" ref="H76:H137" si="6">AVERAGE(B76:B79)</f>
        <v>119.985</v>
      </c>
      <c r="I76">
        <f t="shared" ref="I76:I137" si="7">AVERAGE(B76:B78)</f>
        <v>120.92066666666666</v>
      </c>
      <c r="M76">
        <v>33</v>
      </c>
      <c r="N76">
        <f>CORREL(F44:$F$146,$F$11:F113)</f>
        <v>0.82917047851703118</v>
      </c>
      <c r="O76">
        <f t="shared" ca="1" si="4"/>
        <v>0.82917047851703118</v>
      </c>
    </row>
    <row r="77" spans="1:15">
      <c r="A77">
        <v>67</v>
      </c>
      <c r="B77">
        <v>124.018</v>
      </c>
      <c r="C77">
        <v>166</v>
      </c>
      <c r="D77">
        <v>77</v>
      </c>
      <c r="E77">
        <v>124</v>
      </c>
      <c r="F77">
        <v>6.5090000000000003</v>
      </c>
      <c r="G77">
        <f t="shared" ca="1" si="5"/>
        <v>-0.17098810516226581</v>
      </c>
      <c r="H77">
        <f t="shared" si="6"/>
        <v>119.73899999999999</v>
      </c>
      <c r="I77">
        <f t="shared" si="7"/>
        <v>119.44099999999999</v>
      </c>
      <c r="M77">
        <v>34</v>
      </c>
      <c r="N77">
        <f>CORREL(F45:$F$146,$F$11:F112)</f>
        <v>-0.18291290603288002</v>
      </c>
      <c r="O77">
        <f t="shared" ca="1" si="4"/>
        <v>-0.18291290603288002</v>
      </c>
    </row>
    <row r="78" spans="1:15">
      <c r="A78">
        <v>68</v>
      </c>
      <c r="B78">
        <v>117.127</v>
      </c>
      <c r="C78">
        <v>144</v>
      </c>
      <c r="D78">
        <v>90</v>
      </c>
      <c r="E78">
        <v>117</v>
      </c>
      <c r="F78">
        <v>4.7329999999999997</v>
      </c>
      <c r="G78">
        <f t="shared" ca="1" si="5"/>
        <v>-0.63408463448397734</v>
      </c>
      <c r="H78">
        <f t="shared" si="6"/>
        <v>118.75700000000001</v>
      </c>
      <c r="I78">
        <f t="shared" si="7"/>
        <v>118.31266666666666</v>
      </c>
      <c r="M78">
        <v>35</v>
      </c>
      <c r="N78">
        <f>CORREL(F46:$F$146,$F$11:F111)</f>
        <v>-0.54109427621162287</v>
      </c>
      <c r="O78">
        <f t="shared" ca="1" si="4"/>
        <v>-0.54109427621162287</v>
      </c>
    </row>
    <row r="79" spans="1:15">
      <c r="A79">
        <v>69</v>
      </c>
      <c r="B79">
        <v>117.178</v>
      </c>
      <c r="C79">
        <v>153</v>
      </c>
      <c r="D79">
        <v>80</v>
      </c>
      <c r="E79">
        <v>117</v>
      </c>
      <c r="F79">
        <v>6.2160000000000002</v>
      </c>
      <c r="G79">
        <f t="shared" ca="1" si="5"/>
        <v>5.8119739070733457E-2</v>
      </c>
      <c r="H79">
        <f t="shared" si="6"/>
        <v>118.97449999999999</v>
      </c>
      <c r="I79">
        <f t="shared" si="7"/>
        <v>119.30033333333331</v>
      </c>
      <c r="M79">
        <v>36</v>
      </c>
      <c r="N79">
        <f>CORREL(F47:$F$146,$F$11:F110)</f>
        <v>0.28417927169392265</v>
      </c>
      <c r="O79">
        <f t="shared" ca="1" si="4"/>
        <v>0.28417927169392265</v>
      </c>
    </row>
    <row r="80" spans="1:15">
      <c r="A80">
        <v>70</v>
      </c>
      <c r="B80">
        <v>120.633</v>
      </c>
      <c r="C80">
        <v>152</v>
      </c>
      <c r="D80">
        <v>71</v>
      </c>
      <c r="E80">
        <v>121</v>
      </c>
      <c r="F80">
        <v>6.8070000000000004</v>
      </c>
      <c r="G80">
        <f t="shared" ca="1" si="5"/>
        <v>0.40701248454284672</v>
      </c>
      <c r="H80">
        <f t="shared" si="6"/>
        <v>120.01825000000001</v>
      </c>
      <c r="I80">
        <f t="shared" si="7"/>
        <v>119.57333333333334</v>
      </c>
      <c r="M80">
        <v>37</v>
      </c>
      <c r="N80">
        <f>CORREL(F48:$F$146,$F$11:F109)</f>
        <v>0.44304621427890406</v>
      </c>
      <c r="O80">
        <f t="shared" ca="1" si="4"/>
        <v>0.44304621427890406</v>
      </c>
    </row>
    <row r="81" spans="1:15">
      <c r="A81">
        <v>71</v>
      </c>
      <c r="B81">
        <v>120.09</v>
      </c>
      <c r="C81">
        <v>153</v>
      </c>
      <c r="D81">
        <v>81</v>
      </c>
      <c r="E81">
        <v>120</v>
      </c>
      <c r="F81">
        <v>6.44</v>
      </c>
      <c r="G81">
        <f t="shared" ca="1" si="5"/>
        <v>-0.40965393707299635</v>
      </c>
      <c r="H81">
        <f t="shared" si="6"/>
        <v>121.04300000000001</v>
      </c>
      <c r="I81">
        <f t="shared" si="7"/>
        <v>119.81333333333333</v>
      </c>
      <c r="M81">
        <v>38</v>
      </c>
      <c r="N81">
        <f>CORREL(F49:$F$146,$F$11:F108)</f>
        <v>-0.48163461222584497</v>
      </c>
      <c r="O81">
        <f t="shared" ca="1" si="4"/>
        <v>-0.48163461222584497</v>
      </c>
    </row>
    <row r="82" spans="1:15">
      <c r="A82">
        <v>72</v>
      </c>
      <c r="B82">
        <v>117.997</v>
      </c>
      <c r="C82">
        <v>148</v>
      </c>
      <c r="D82">
        <v>86</v>
      </c>
      <c r="E82">
        <v>118</v>
      </c>
      <c r="F82">
        <v>4.9720000000000004</v>
      </c>
      <c r="G82">
        <f t="shared" ca="1" si="5"/>
        <v>-0.33047768028686542</v>
      </c>
      <c r="H82">
        <f t="shared" si="6"/>
        <v>120.456</v>
      </c>
      <c r="I82">
        <f t="shared" si="7"/>
        <v>121.36066666666666</v>
      </c>
      <c r="M82">
        <v>39</v>
      </c>
      <c r="N82">
        <f>CORREL(F50:$F$146,$F$11:F107)</f>
        <v>-0.22322609207466673</v>
      </c>
      <c r="O82">
        <f t="shared" ca="1" si="4"/>
        <v>-0.22322609207466673</v>
      </c>
    </row>
    <row r="83" spans="1:15">
      <c r="A83">
        <v>73</v>
      </c>
      <c r="B83">
        <v>121.35299999999999</v>
      </c>
      <c r="C83">
        <v>153</v>
      </c>
      <c r="D83">
        <v>77</v>
      </c>
      <c r="E83">
        <v>122</v>
      </c>
      <c r="F83">
        <v>6.45</v>
      </c>
      <c r="G83">
        <f t="shared" ca="1" si="5"/>
        <v>0.52948606292781186</v>
      </c>
      <c r="H83">
        <f t="shared" si="6"/>
        <v>120.3245</v>
      </c>
      <c r="I83">
        <f t="shared" si="7"/>
        <v>121.27566666666667</v>
      </c>
      <c r="M83">
        <v>40</v>
      </c>
      <c r="N83">
        <f>CORREL(F51:$F$146,$F$11:F106)</f>
        <v>0.45577430159491755</v>
      </c>
      <c r="O83">
        <f t="shared" ca="1" si="4"/>
        <v>0.45577430159491755</v>
      </c>
    </row>
    <row r="84" spans="1:15">
      <c r="A84">
        <v>74</v>
      </c>
      <c r="B84">
        <v>124.732</v>
      </c>
      <c r="C84">
        <v>151</v>
      </c>
      <c r="D84">
        <v>80</v>
      </c>
      <c r="E84">
        <v>125</v>
      </c>
      <c r="F84">
        <v>6.3319999999999999</v>
      </c>
      <c r="G84">
        <f t="shared" ca="1" si="5"/>
        <v>0.17003030500046137</v>
      </c>
      <c r="H84">
        <f t="shared" si="6"/>
        <v>120.55549999999999</v>
      </c>
      <c r="I84">
        <f t="shared" si="7"/>
        <v>119.98166666666667</v>
      </c>
      <c r="M84">
        <v>41</v>
      </c>
      <c r="N84">
        <f>CORREL(F52:$F$146,$F$11:F105)</f>
        <v>3.2405145350485075E-2</v>
      </c>
      <c r="O84">
        <f t="shared" ca="1" si="4"/>
        <v>3.2405145350485075E-2</v>
      </c>
    </row>
    <row r="85" spans="1:15">
      <c r="A85">
        <v>75</v>
      </c>
      <c r="B85">
        <v>117.742</v>
      </c>
      <c r="C85">
        <v>161</v>
      </c>
      <c r="D85">
        <v>88</v>
      </c>
      <c r="E85">
        <v>118</v>
      </c>
      <c r="F85">
        <v>4.9610000000000003</v>
      </c>
      <c r="G85">
        <f t="shared" ca="1" si="5"/>
        <v>-0.63617762178868342</v>
      </c>
      <c r="H85">
        <f t="shared" si="6"/>
        <v>120.65600000000001</v>
      </c>
      <c r="I85">
        <f t="shared" si="7"/>
        <v>119.16333333333334</v>
      </c>
      <c r="M85">
        <v>42</v>
      </c>
      <c r="N85">
        <f>CORREL(F53:$F$146,$F$11:F104)</f>
        <v>-0.26715042642686837</v>
      </c>
      <c r="O85">
        <f t="shared" ca="1" si="4"/>
        <v>-0.26715042642686837</v>
      </c>
    </row>
    <row r="86" spans="1:15">
      <c r="A86">
        <v>76</v>
      </c>
      <c r="B86">
        <v>117.471</v>
      </c>
      <c r="C86">
        <v>161</v>
      </c>
      <c r="D86">
        <v>81</v>
      </c>
      <c r="E86">
        <v>118</v>
      </c>
      <c r="F86">
        <v>6.016</v>
      </c>
      <c r="G86">
        <f t="shared" ca="1" si="5"/>
        <v>-0.18413712412159775</v>
      </c>
      <c r="H86">
        <f t="shared" si="6"/>
        <v>120.9675</v>
      </c>
      <c r="I86">
        <f t="shared" si="7"/>
        <v>121.62733333333334</v>
      </c>
      <c r="M86">
        <v>43</v>
      </c>
      <c r="N86">
        <f>CORREL(F54:$F$146,$F$11:F103)</f>
        <v>-0.17361844886966885</v>
      </c>
      <c r="O86">
        <f t="shared" ca="1" si="4"/>
        <v>-0.17361844886966885</v>
      </c>
    </row>
    <row r="87" spans="1:15">
      <c r="A87">
        <v>77</v>
      </c>
      <c r="B87">
        <v>122.277</v>
      </c>
      <c r="C87">
        <v>147</v>
      </c>
      <c r="D87">
        <v>81</v>
      </c>
      <c r="E87">
        <v>123</v>
      </c>
      <c r="F87">
        <v>5.9320000000000004</v>
      </c>
      <c r="G87">
        <f t="shared" ca="1" si="5"/>
        <v>0.5772482088081462</v>
      </c>
      <c r="H87">
        <f t="shared" si="6"/>
        <v>121.66800000000001</v>
      </c>
      <c r="I87">
        <f t="shared" si="7"/>
        <v>122.133</v>
      </c>
      <c r="M87">
        <v>44</v>
      </c>
      <c r="N87">
        <f>CORREL(F55:$F$146,$F$11:F102)</f>
        <v>0.52312241787566394</v>
      </c>
      <c r="O87">
        <f t="shared" ca="1" si="4"/>
        <v>0.52312241787566394</v>
      </c>
    </row>
    <row r="88" spans="1:15">
      <c r="A88">
        <v>78</v>
      </c>
      <c r="B88">
        <v>125.134</v>
      </c>
      <c r="C88">
        <v>159</v>
      </c>
      <c r="D88">
        <v>81</v>
      </c>
      <c r="E88">
        <v>125</v>
      </c>
      <c r="F88">
        <v>6.2480000000000002</v>
      </c>
      <c r="G88">
        <f t="shared" ca="1" si="5"/>
        <v>-0.15529704736065764</v>
      </c>
      <c r="H88">
        <f t="shared" si="6"/>
        <v>121.71324999999999</v>
      </c>
      <c r="I88">
        <f t="shared" si="7"/>
        <v>121.46499999999999</v>
      </c>
      <c r="M88">
        <v>45</v>
      </c>
      <c r="N88">
        <f>CORREL(F56:$F$146,$F$11:F101)</f>
        <v>-5.3134047443272943E-2</v>
      </c>
      <c r="O88">
        <f t="shared" ca="1" si="4"/>
        <v>-5.3134047443272943E-2</v>
      </c>
    </row>
    <row r="89" spans="1:15">
      <c r="A89">
        <v>79</v>
      </c>
      <c r="B89">
        <v>118.988</v>
      </c>
      <c r="C89">
        <v>152</v>
      </c>
      <c r="D89">
        <v>88</v>
      </c>
      <c r="E89">
        <v>119</v>
      </c>
      <c r="F89">
        <v>5.4180000000000001</v>
      </c>
      <c r="G89">
        <f t="shared" ca="1" si="5"/>
        <v>-0.53143834681789515</v>
      </c>
      <c r="H89">
        <f t="shared" si="6"/>
        <v>120.39449999999999</v>
      </c>
      <c r="I89">
        <f t="shared" si="7"/>
        <v>120.57299999999999</v>
      </c>
      <c r="M89">
        <v>46</v>
      </c>
      <c r="N89">
        <f>CORREL(F57:$F$146,$F$11:F100)</f>
        <v>-0.5081455841600987</v>
      </c>
      <c r="O89">
        <f t="shared" ca="1" si="4"/>
        <v>-0.5081455841600987</v>
      </c>
    </row>
    <row r="90" spans="1:15">
      <c r="A90">
        <v>80</v>
      </c>
      <c r="B90">
        <v>120.273</v>
      </c>
      <c r="C90">
        <v>152</v>
      </c>
      <c r="D90">
        <v>80</v>
      </c>
      <c r="E90">
        <v>121</v>
      </c>
      <c r="F90">
        <v>6.056</v>
      </c>
      <c r="G90">
        <f t="shared" ca="1" si="5"/>
        <v>0.19275632950995375</v>
      </c>
      <c r="H90">
        <f t="shared" si="6"/>
        <v>119.92749999999999</v>
      </c>
      <c r="I90">
        <f t="shared" si="7"/>
        <v>120.86333333333333</v>
      </c>
      <c r="M90">
        <v>47</v>
      </c>
      <c r="N90">
        <f>CORREL(F58:$F$146,$F$11:F99)</f>
        <v>8.582672395172819E-2</v>
      </c>
      <c r="O90">
        <f t="shared" ca="1" si="4"/>
        <v>8.582672395172819E-2</v>
      </c>
    </row>
    <row r="91" spans="1:15">
      <c r="A91">
        <v>81</v>
      </c>
      <c r="B91">
        <v>122.458</v>
      </c>
      <c r="C91">
        <v>147</v>
      </c>
      <c r="D91">
        <v>74</v>
      </c>
      <c r="E91">
        <v>123</v>
      </c>
      <c r="F91">
        <v>6.0750000000000002</v>
      </c>
      <c r="G91">
        <f t="shared" ca="1" si="5"/>
        <v>0.40730587813987229</v>
      </c>
      <c r="H91">
        <f t="shared" si="6"/>
        <v>120.18950000000001</v>
      </c>
      <c r="I91">
        <f t="shared" si="7"/>
        <v>119.81233333333334</v>
      </c>
      <c r="M91">
        <v>48</v>
      </c>
      <c r="N91">
        <f>CORREL(F59:$F$146,$F$11:F98)</f>
        <v>0.59856194982978428</v>
      </c>
      <c r="O91">
        <f t="shared" ca="1" si="4"/>
        <v>0.59856194982978428</v>
      </c>
    </row>
    <row r="92" spans="1:15">
      <c r="A92">
        <v>82</v>
      </c>
      <c r="B92">
        <v>119.85899999999999</v>
      </c>
      <c r="C92">
        <v>156</v>
      </c>
      <c r="D92">
        <v>76</v>
      </c>
      <c r="E92">
        <v>120</v>
      </c>
      <c r="F92">
        <v>6.3730000000000002</v>
      </c>
      <c r="G92">
        <f t="shared" ca="1" si="5"/>
        <v>-0.51498188597348571</v>
      </c>
      <c r="H92">
        <f t="shared" si="6"/>
        <v>121.07</v>
      </c>
      <c r="I92">
        <f t="shared" si="7"/>
        <v>119.43333333333332</v>
      </c>
      <c r="M92">
        <v>49</v>
      </c>
      <c r="N92">
        <f>CORREL(F60:$F$146,$F$11:F97)</f>
        <v>-0.44316692979827199</v>
      </c>
      <c r="O92">
        <f t="shared" ca="1" si="4"/>
        <v>-0.44316692979827199</v>
      </c>
    </row>
    <row r="93" spans="1:15">
      <c r="A93">
        <v>83</v>
      </c>
      <c r="B93">
        <v>117.12</v>
      </c>
      <c r="C93">
        <v>151</v>
      </c>
      <c r="D93">
        <v>85</v>
      </c>
      <c r="E93">
        <v>117</v>
      </c>
      <c r="F93">
        <v>4.9539999999999997</v>
      </c>
      <c r="G93">
        <f t="shared" ca="1" si="5"/>
        <v>-0.44164848253949973</v>
      </c>
      <c r="H93">
        <f t="shared" si="6"/>
        <v>120.824</v>
      </c>
      <c r="I93">
        <f t="shared" si="7"/>
        <v>121.47366666666666</v>
      </c>
      <c r="M93">
        <v>50</v>
      </c>
      <c r="N93">
        <f>CORREL(F61:$F$146,$F$11:F96)</f>
        <v>-0.45106327332799573</v>
      </c>
      <c r="O93">
        <f t="shared" ca="1" si="4"/>
        <v>-0.45106327332799573</v>
      </c>
    </row>
    <row r="94" spans="1:15">
      <c r="A94">
        <v>84</v>
      </c>
      <c r="B94">
        <v>121.321</v>
      </c>
      <c r="C94">
        <v>153</v>
      </c>
      <c r="D94">
        <v>79</v>
      </c>
      <c r="E94">
        <v>122</v>
      </c>
      <c r="F94">
        <v>6.0209999999999999</v>
      </c>
      <c r="G94">
        <f t="shared" ca="1" si="5"/>
        <v>0.4512462612543639</v>
      </c>
      <c r="H94">
        <f t="shared" si="6"/>
        <v>121.1455</v>
      </c>
      <c r="I94">
        <f t="shared" si="7"/>
        <v>122.05866666666667</v>
      </c>
      <c r="M94">
        <v>51</v>
      </c>
      <c r="N94">
        <f>CORREL(F62:$F$146,$F$11:F95)</f>
        <v>0.63846960314612111</v>
      </c>
      <c r="O94">
        <f t="shared" ca="1" si="4"/>
        <v>0.63846960314612111</v>
      </c>
    </row>
    <row r="95" spans="1:15">
      <c r="A95">
        <v>85</v>
      </c>
      <c r="B95">
        <v>125.98</v>
      </c>
      <c r="C95">
        <v>159</v>
      </c>
      <c r="D95">
        <v>75</v>
      </c>
      <c r="E95">
        <v>127</v>
      </c>
      <c r="F95">
        <v>6.7539999999999996</v>
      </c>
      <c r="G95">
        <f t="shared" ca="1" si="5"/>
        <v>0.20631854783822196</v>
      </c>
      <c r="H95">
        <f t="shared" si="6"/>
        <v>121.07550000000001</v>
      </c>
      <c r="I95">
        <f t="shared" si="7"/>
        <v>121.087</v>
      </c>
      <c r="M95">
        <v>52</v>
      </c>
      <c r="N95">
        <f>CORREL(F63:$F$146,$F$11:F94)</f>
        <v>5.4447507896024726E-2</v>
      </c>
      <c r="O95">
        <f t="shared" ca="1" si="4"/>
        <v>5.4447507896024726E-2</v>
      </c>
    </row>
    <row r="96" spans="1:15">
      <c r="A96">
        <v>86</v>
      </c>
      <c r="B96">
        <v>118.875</v>
      </c>
      <c r="C96">
        <v>146</v>
      </c>
      <c r="D96">
        <v>88</v>
      </c>
      <c r="E96">
        <v>119</v>
      </c>
      <c r="F96">
        <v>4.99</v>
      </c>
      <c r="G96">
        <f t="shared" ca="1" si="5"/>
        <v>-0.51443817183982099</v>
      </c>
      <c r="H96">
        <f t="shared" si="6"/>
        <v>120.6965</v>
      </c>
      <c r="I96">
        <f t="shared" si="7"/>
        <v>119.44066666666667</v>
      </c>
      <c r="M96">
        <v>53</v>
      </c>
      <c r="N96">
        <f>CORREL(F64:$F$146,$F$11:F93)</f>
        <v>-0.57136569695216166</v>
      </c>
      <c r="O96">
        <f t="shared" ca="1" si="4"/>
        <v>-0.57136569695216166</v>
      </c>
    </row>
    <row r="97" spans="1:15">
      <c r="A97">
        <v>87</v>
      </c>
      <c r="B97">
        <v>118.40600000000001</v>
      </c>
      <c r="C97">
        <v>152</v>
      </c>
      <c r="D97">
        <v>81</v>
      </c>
      <c r="E97">
        <v>118</v>
      </c>
      <c r="F97">
        <v>5.5529999999999999</v>
      </c>
      <c r="G97">
        <f t="shared" ca="1" si="5"/>
        <v>-0.12431700473177099</v>
      </c>
      <c r="H97">
        <f t="shared" si="6"/>
        <v>120.4695</v>
      </c>
      <c r="I97">
        <f t="shared" si="7"/>
        <v>121.30366666666667</v>
      </c>
      <c r="M97">
        <v>54</v>
      </c>
      <c r="N97">
        <f>CORREL(F65:$F$146,$F$11:F92)</f>
        <v>6.2460976291698273E-3</v>
      </c>
      <c r="O97">
        <f t="shared" ca="1" si="4"/>
        <v>6.2460976291698273E-3</v>
      </c>
    </row>
    <row r="98" spans="1:15">
      <c r="A98">
        <v>88</v>
      </c>
      <c r="B98">
        <v>121.041</v>
      </c>
      <c r="C98">
        <v>149</v>
      </c>
      <c r="D98">
        <v>65</v>
      </c>
      <c r="E98">
        <v>122</v>
      </c>
      <c r="F98">
        <v>6.5209999999999999</v>
      </c>
      <c r="G98">
        <f t="shared" ca="1" si="5"/>
        <v>0.54865431299535949</v>
      </c>
      <c r="H98">
        <f t="shared" si="6"/>
        <v>120.91624999999999</v>
      </c>
      <c r="I98">
        <f t="shared" si="7"/>
        <v>121.15733333333333</v>
      </c>
      <c r="M98">
        <v>55</v>
      </c>
      <c r="N98">
        <f>CORREL(F66:$F$146,$F$11:F91)</f>
        <v>0.52643155990023438</v>
      </c>
      <c r="O98">
        <f t="shared" ca="1" si="4"/>
        <v>0.52643155990023438</v>
      </c>
    </row>
    <row r="99" spans="1:15">
      <c r="A99">
        <v>89</v>
      </c>
      <c r="B99">
        <v>124.464</v>
      </c>
      <c r="C99">
        <v>151</v>
      </c>
      <c r="D99">
        <v>81</v>
      </c>
      <c r="E99">
        <v>125</v>
      </c>
      <c r="F99">
        <v>6.0369999999999999</v>
      </c>
      <c r="G99">
        <f t="shared" ca="1" si="5"/>
        <v>-0.20079095697886978</v>
      </c>
      <c r="H99">
        <f t="shared" si="6"/>
        <v>122.20474999999999</v>
      </c>
      <c r="I99">
        <f t="shared" si="7"/>
        <v>120.87466666666666</v>
      </c>
      <c r="M99">
        <v>56</v>
      </c>
      <c r="N99">
        <f>CORREL(F67:$F$146,$F$11:F90)</f>
        <v>-0.27027399866697904</v>
      </c>
      <c r="O99">
        <f t="shared" ca="1" si="4"/>
        <v>-0.27027399866697904</v>
      </c>
    </row>
    <row r="100" spans="1:15">
      <c r="A100">
        <v>90</v>
      </c>
      <c r="B100">
        <v>117.967</v>
      </c>
      <c r="C100">
        <v>145</v>
      </c>
      <c r="D100">
        <v>90</v>
      </c>
      <c r="E100">
        <v>118</v>
      </c>
      <c r="F100">
        <v>4.8209999999999997</v>
      </c>
      <c r="G100">
        <f t="shared" ca="1" si="5"/>
        <v>-0.5455646933810393</v>
      </c>
      <c r="H100">
        <f t="shared" si="6"/>
        <v>122.13250000000001</v>
      </c>
      <c r="I100">
        <f t="shared" si="7"/>
        <v>121.45166666666667</v>
      </c>
      <c r="M100">
        <v>57</v>
      </c>
      <c r="N100">
        <f>CORREL(F68:$F$146,$F$11:F89)</f>
        <v>-0.24490490001560353</v>
      </c>
      <c r="O100">
        <f t="shared" ca="1" si="4"/>
        <v>-0.24490490001560353</v>
      </c>
    </row>
    <row r="101" spans="1:15">
      <c r="A101">
        <v>91</v>
      </c>
      <c r="B101">
        <v>120.193</v>
      </c>
      <c r="C101">
        <v>163</v>
      </c>
      <c r="D101">
        <v>76</v>
      </c>
      <c r="E101">
        <v>120</v>
      </c>
      <c r="F101">
        <v>6.4390000000000001</v>
      </c>
      <c r="G101">
        <f t="shared" ca="1" si="5"/>
        <v>0.21821873370603323</v>
      </c>
      <c r="H101">
        <f t="shared" si="6"/>
        <v>122.3185</v>
      </c>
      <c r="I101">
        <f t="shared" si="7"/>
        <v>123.521</v>
      </c>
    </row>
    <row r="102" spans="1:15">
      <c r="A102">
        <v>92</v>
      </c>
      <c r="B102">
        <v>126.19499999999999</v>
      </c>
      <c r="C102">
        <v>154</v>
      </c>
      <c r="D102">
        <v>82</v>
      </c>
      <c r="E102">
        <v>127</v>
      </c>
      <c r="F102">
        <v>6.0640000000000001</v>
      </c>
      <c r="G102">
        <f t="shared" ca="1" si="5"/>
        <v>0.51654315918915694</v>
      </c>
      <c r="H102">
        <f t="shared" si="6"/>
        <v>122.02725000000001</v>
      </c>
      <c r="I102">
        <f t="shared" si="7"/>
        <v>123.027</v>
      </c>
    </row>
    <row r="103" spans="1:15">
      <c r="A103">
        <v>93</v>
      </c>
      <c r="B103">
        <v>124.175</v>
      </c>
      <c r="C103">
        <v>150</v>
      </c>
      <c r="D103">
        <v>83</v>
      </c>
      <c r="E103">
        <v>125</v>
      </c>
      <c r="F103">
        <v>6.4080000000000004</v>
      </c>
      <c r="G103">
        <f t="shared" ca="1" si="5"/>
        <v>-0.41284568419478029</v>
      </c>
      <c r="H103">
        <f t="shared" si="6"/>
        <v>121.0895</v>
      </c>
      <c r="I103">
        <f t="shared" si="7"/>
        <v>120.63799999999999</v>
      </c>
    </row>
    <row r="104" spans="1:15">
      <c r="A104">
        <v>94</v>
      </c>
      <c r="B104">
        <v>118.711</v>
      </c>
      <c r="C104">
        <v>157</v>
      </c>
      <c r="D104">
        <v>82</v>
      </c>
      <c r="E104">
        <v>119</v>
      </c>
      <c r="F104">
        <v>5.6779999999999999</v>
      </c>
      <c r="G104">
        <f t="shared" ca="1" si="5"/>
        <v>-0.49253319910032056</v>
      </c>
      <c r="H104">
        <f t="shared" si="6"/>
        <v>119.664</v>
      </c>
      <c r="I104">
        <f t="shared" si="7"/>
        <v>120.06099999999999</v>
      </c>
    </row>
    <row r="105" spans="1:15">
      <c r="A105">
        <v>95</v>
      </c>
      <c r="B105">
        <v>119.02800000000001</v>
      </c>
      <c r="C105">
        <v>152</v>
      </c>
      <c r="D105">
        <v>81</v>
      </c>
      <c r="E105">
        <v>119</v>
      </c>
      <c r="F105">
        <v>6.4349999999999996</v>
      </c>
      <c r="G105">
        <f t="shared" ca="1" si="5"/>
        <v>0.31636102301744784</v>
      </c>
      <c r="H105">
        <f t="shared" si="6"/>
        <v>119.68525</v>
      </c>
      <c r="I105">
        <f t="shared" si="7"/>
        <v>119.98166666666667</v>
      </c>
    </row>
    <row r="106" spans="1:15">
      <c r="A106">
        <v>96</v>
      </c>
      <c r="B106">
        <v>122.444</v>
      </c>
      <c r="C106">
        <v>156</v>
      </c>
      <c r="D106">
        <v>77</v>
      </c>
      <c r="E106">
        <v>123</v>
      </c>
      <c r="F106">
        <v>6.0469999999999997</v>
      </c>
      <c r="G106">
        <f t="shared" ca="1" si="5"/>
        <v>0.13399054823489898</v>
      </c>
      <c r="H106">
        <f t="shared" si="6"/>
        <v>120.468</v>
      </c>
      <c r="I106">
        <f t="shared" si="7"/>
        <v>119.90433333333334</v>
      </c>
    </row>
    <row r="107" spans="1:15">
      <c r="A107">
        <v>97</v>
      </c>
      <c r="B107">
        <v>118.473</v>
      </c>
      <c r="C107">
        <v>151</v>
      </c>
      <c r="D107">
        <v>85</v>
      </c>
      <c r="E107">
        <v>118</v>
      </c>
      <c r="F107">
        <v>5.9649999999999999</v>
      </c>
      <c r="G107">
        <f t="shared" ref="G107:G137" ca="1" si="8">CORREL(OFFSET($B$11, 0, 0, $B$7, 1 ),OFFSET($B$11, A107, 0,$B$7, 1 ))</f>
        <v>-0.55975534350961043</v>
      </c>
      <c r="H107">
        <f t="shared" si="6"/>
        <v>120.98425</v>
      </c>
      <c r="I107">
        <f t="shared" si="7"/>
        <v>119.80933333333333</v>
      </c>
    </row>
    <row r="108" spans="1:15">
      <c r="A108">
        <v>98</v>
      </c>
      <c r="B108">
        <v>118.79600000000001</v>
      </c>
      <c r="C108">
        <v>148</v>
      </c>
      <c r="D108">
        <v>83</v>
      </c>
      <c r="E108">
        <v>119</v>
      </c>
      <c r="F108">
        <v>5.5419999999999998</v>
      </c>
      <c r="G108">
        <f t="shared" ca="1" si="8"/>
        <v>-8.7050324311330279E-2</v>
      </c>
      <c r="H108">
        <f t="shared" si="6"/>
        <v>120.877</v>
      </c>
      <c r="I108">
        <f t="shared" si="7"/>
        <v>121.82133333333333</v>
      </c>
    </row>
    <row r="109" spans="1:15">
      <c r="A109">
        <v>99</v>
      </c>
      <c r="B109">
        <v>122.15900000000001</v>
      </c>
      <c r="C109">
        <v>144</v>
      </c>
      <c r="D109">
        <v>76</v>
      </c>
      <c r="E109">
        <v>123</v>
      </c>
      <c r="F109">
        <v>5.835</v>
      </c>
      <c r="G109">
        <f t="shared" ca="1" si="8"/>
        <v>0.67760526429589474</v>
      </c>
      <c r="H109">
        <f t="shared" si="6"/>
        <v>120.63499999999999</v>
      </c>
      <c r="I109">
        <f t="shared" si="7"/>
        <v>121.57066666666667</v>
      </c>
    </row>
    <row r="110" spans="1:15">
      <c r="A110">
        <v>100</v>
      </c>
      <c r="B110">
        <v>124.509</v>
      </c>
      <c r="C110">
        <v>157</v>
      </c>
      <c r="D110">
        <v>79</v>
      </c>
      <c r="E110">
        <v>125</v>
      </c>
      <c r="F110">
        <v>6.4989999999999997</v>
      </c>
      <c r="G110">
        <f t="shared" ca="1" si="8"/>
        <v>-7.7806637984588242E-2</v>
      </c>
      <c r="H110">
        <f t="shared" si="6"/>
        <v>120.69449999999999</v>
      </c>
      <c r="I110">
        <f t="shared" si="7"/>
        <v>120.127</v>
      </c>
    </row>
    <row r="111" spans="1:15">
      <c r="A111">
        <v>101</v>
      </c>
      <c r="B111">
        <v>118.044</v>
      </c>
      <c r="C111">
        <v>143</v>
      </c>
      <c r="D111">
        <v>90</v>
      </c>
      <c r="E111">
        <v>118</v>
      </c>
      <c r="F111">
        <v>5</v>
      </c>
      <c r="G111">
        <f t="shared" ca="1" si="8"/>
        <v>-0.58494360115317945</v>
      </c>
      <c r="H111">
        <f t="shared" si="6"/>
        <v>120.42675</v>
      </c>
      <c r="I111">
        <f t="shared" si="7"/>
        <v>119.423</v>
      </c>
    </row>
    <row r="112" spans="1:15">
      <c r="A112">
        <v>102</v>
      </c>
      <c r="B112">
        <v>117.828</v>
      </c>
      <c r="C112">
        <v>152</v>
      </c>
      <c r="D112">
        <v>80</v>
      </c>
      <c r="E112">
        <v>118</v>
      </c>
      <c r="F112">
        <v>6.0090000000000003</v>
      </c>
      <c r="G112">
        <f t="shared" ca="1" si="8"/>
        <v>0.2179742586066922</v>
      </c>
      <c r="H112">
        <f t="shared" si="6"/>
        <v>120.8935</v>
      </c>
      <c r="I112">
        <f t="shared" si="7"/>
        <v>121.221</v>
      </c>
    </row>
    <row r="113" spans="1:9">
      <c r="A113">
        <v>103</v>
      </c>
      <c r="B113">
        <v>122.39700000000001</v>
      </c>
      <c r="C113">
        <v>157</v>
      </c>
      <c r="D113">
        <v>76</v>
      </c>
      <c r="E113">
        <v>123</v>
      </c>
      <c r="F113">
        <v>6.8209999999999997</v>
      </c>
      <c r="G113">
        <f t="shared" ca="1" si="8"/>
        <v>0.65720536043130051</v>
      </c>
      <c r="H113">
        <f t="shared" si="6"/>
        <v>122.11324999999999</v>
      </c>
      <c r="I113">
        <f t="shared" si="7"/>
        <v>121.91533333333332</v>
      </c>
    </row>
    <row r="114" spans="1:9">
      <c r="A114">
        <v>104</v>
      </c>
      <c r="B114">
        <v>123.438</v>
      </c>
      <c r="C114">
        <v>148</v>
      </c>
      <c r="D114">
        <v>83</v>
      </c>
      <c r="E114">
        <v>124</v>
      </c>
      <c r="F114">
        <v>6.9180000000000001</v>
      </c>
      <c r="G114">
        <f t="shared" ca="1" si="8"/>
        <v>-0.27260283222645715</v>
      </c>
      <c r="H114">
        <f t="shared" si="6"/>
        <v>123.25475</v>
      </c>
      <c r="I114">
        <f t="shared" si="7"/>
        <v>122.01866666666666</v>
      </c>
    </row>
    <row r="115" spans="1:9">
      <c r="A115">
        <v>105</v>
      </c>
      <c r="B115">
        <v>119.911</v>
      </c>
      <c r="C115">
        <v>155</v>
      </c>
      <c r="D115">
        <v>86</v>
      </c>
      <c r="E115">
        <v>120</v>
      </c>
      <c r="F115">
        <v>5.0090000000000003</v>
      </c>
      <c r="G115">
        <f t="shared" ca="1" si="8"/>
        <v>-0.18750156929991973</v>
      </c>
      <c r="H115">
        <f t="shared" si="6"/>
        <v>122.32925</v>
      </c>
      <c r="I115">
        <f t="shared" si="7"/>
        <v>123.19366666666667</v>
      </c>
    </row>
    <row r="116" spans="1:9">
      <c r="A116">
        <v>106</v>
      </c>
      <c r="B116">
        <v>122.70699999999999</v>
      </c>
      <c r="C116">
        <v>159</v>
      </c>
      <c r="D116">
        <v>77</v>
      </c>
      <c r="E116">
        <v>123</v>
      </c>
      <c r="F116">
        <v>6.5259999999999998</v>
      </c>
      <c r="G116">
        <f t="shared" ca="1" si="8"/>
        <v>0.69044862362511283</v>
      </c>
      <c r="H116">
        <f t="shared" si="6"/>
        <v>121.85599999999999</v>
      </c>
      <c r="I116">
        <f t="shared" si="7"/>
        <v>123.13533333333334</v>
      </c>
    </row>
    <row r="117" spans="1:9">
      <c r="A117">
        <v>107</v>
      </c>
      <c r="B117">
        <v>126.96299999999999</v>
      </c>
      <c r="C117">
        <v>163</v>
      </c>
      <c r="D117">
        <v>81</v>
      </c>
      <c r="E117">
        <v>128</v>
      </c>
      <c r="F117">
        <v>6.5659999999999998</v>
      </c>
      <c r="G117">
        <f t="shared" ca="1" si="8"/>
        <v>0.31820798683264095</v>
      </c>
      <c r="H117">
        <f t="shared" si="6"/>
        <v>122.09524999999999</v>
      </c>
      <c r="I117">
        <f t="shared" si="7"/>
        <v>121.57233333333333</v>
      </c>
    </row>
    <row r="118" spans="1:9">
      <c r="A118">
        <v>108</v>
      </c>
      <c r="B118">
        <v>119.736</v>
      </c>
      <c r="C118">
        <v>154</v>
      </c>
      <c r="D118">
        <v>87</v>
      </c>
      <c r="E118">
        <v>120</v>
      </c>
      <c r="F118">
        <v>4.9980000000000002</v>
      </c>
      <c r="G118">
        <f t="shared" ca="1" si="8"/>
        <v>-0.54808290277359561</v>
      </c>
      <c r="H118">
        <f t="shared" si="6"/>
        <v>122.12649999999999</v>
      </c>
      <c r="I118">
        <f t="shared" si="7"/>
        <v>120.47266666666667</v>
      </c>
    </row>
    <row r="119" spans="1:9">
      <c r="A119">
        <v>109</v>
      </c>
      <c r="B119">
        <v>118.018</v>
      </c>
      <c r="C119">
        <v>160</v>
      </c>
      <c r="D119">
        <v>75</v>
      </c>
      <c r="E119">
        <v>118</v>
      </c>
      <c r="F119">
        <v>6.1550000000000002</v>
      </c>
      <c r="G119">
        <f t="shared" ca="1" si="8"/>
        <v>9.2368592401448554E-2</v>
      </c>
      <c r="H119">
        <f t="shared" si="6"/>
        <v>122.1635</v>
      </c>
      <c r="I119">
        <f t="shared" si="7"/>
        <v>122.92333333333333</v>
      </c>
    </row>
    <row r="120" spans="1:9">
      <c r="A120">
        <v>110</v>
      </c>
      <c r="B120">
        <v>123.664</v>
      </c>
      <c r="C120">
        <v>153</v>
      </c>
      <c r="D120">
        <v>78</v>
      </c>
      <c r="E120">
        <v>124</v>
      </c>
      <c r="F120">
        <v>5.9980000000000002</v>
      </c>
      <c r="G120">
        <f t="shared" ca="1" si="8"/>
        <v>0.84424377360609715</v>
      </c>
      <c r="H120">
        <f t="shared" si="6"/>
        <v>123.26275000000001</v>
      </c>
      <c r="I120">
        <f t="shared" si="7"/>
        <v>123.54533333333335</v>
      </c>
    </row>
    <row r="121" spans="1:9">
      <c r="A121">
        <v>111</v>
      </c>
      <c r="B121">
        <v>127.08799999999999</v>
      </c>
      <c r="C121">
        <v>156</v>
      </c>
      <c r="D121">
        <v>78</v>
      </c>
      <c r="E121">
        <v>128</v>
      </c>
      <c r="F121">
        <v>6.3479999999999999</v>
      </c>
      <c r="G121">
        <f t="shared" ca="1" si="8"/>
        <v>-6.4061516402444826E-2</v>
      </c>
      <c r="H121">
        <f t="shared" si="6"/>
        <v>123.34399999999999</v>
      </c>
      <c r="I121">
        <f t="shared" si="7"/>
        <v>123.129</v>
      </c>
    </row>
    <row r="122" spans="1:9">
      <c r="A122">
        <v>112</v>
      </c>
      <c r="B122">
        <v>119.884</v>
      </c>
      <c r="C122">
        <v>161</v>
      </c>
      <c r="D122">
        <v>81</v>
      </c>
      <c r="E122">
        <v>120</v>
      </c>
      <c r="F122">
        <v>5.58</v>
      </c>
      <c r="G122">
        <f t="shared" ca="1" si="8"/>
        <v>-0.41812203158309208</v>
      </c>
      <c r="H122">
        <f t="shared" si="6"/>
        <v>121.6575</v>
      </c>
      <c r="I122">
        <f t="shared" si="7"/>
        <v>122.096</v>
      </c>
    </row>
    <row r="123" spans="1:9">
      <c r="A123">
        <v>113</v>
      </c>
      <c r="B123">
        <v>122.41500000000001</v>
      </c>
      <c r="C123">
        <v>160</v>
      </c>
      <c r="D123">
        <v>85</v>
      </c>
      <c r="E123">
        <v>123</v>
      </c>
      <c r="F123">
        <v>6.0090000000000003</v>
      </c>
      <c r="G123">
        <f t="shared" ca="1" si="8"/>
        <v>0.42638104320261755</v>
      </c>
      <c r="H123">
        <f t="shared" si="6"/>
        <v>121.07825</v>
      </c>
      <c r="I123">
        <f t="shared" si="7"/>
        <v>122.24866666666667</v>
      </c>
    </row>
    <row r="124" spans="1:9">
      <c r="A124">
        <v>114</v>
      </c>
      <c r="B124">
        <v>123.989</v>
      </c>
      <c r="C124">
        <v>163</v>
      </c>
      <c r="D124">
        <v>75</v>
      </c>
      <c r="E124">
        <v>125</v>
      </c>
      <c r="F124">
        <v>6.1390000000000002</v>
      </c>
      <c r="G124">
        <f t="shared" ca="1" si="8"/>
        <v>0.50162456020536395</v>
      </c>
      <c r="H124">
        <f t="shared" si="6"/>
        <v>121.07600000000001</v>
      </c>
      <c r="I124">
        <f t="shared" si="7"/>
        <v>120.63266666666668</v>
      </c>
    </row>
    <row r="125" spans="1:9">
      <c r="A125">
        <v>115</v>
      </c>
      <c r="B125">
        <v>120.342</v>
      </c>
      <c r="C125">
        <v>160</v>
      </c>
      <c r="D125">
        <v>81</v>
      </c>
      <c r="E125">
        <v>120</v>
      </c>
      <c r="F125">
        <v>6.2619999999999996</v>
      </c>
      <c r="G125">
        <f t="shared" ca="1" si="8"/>
        <v>-0.59577433244416889</v>
      </c>
      <c r="H125">
        <f t="shared" si="6"/>
        <v>121.48425</v>
      </c>
      <c r="I125">
        <f t="shared" si="7"/>
        <v>120.105</v>
      </c>
    </row>
    <row r="126" spans="1:9">
      <c r="A126">
        <v>116</v>
      </c>
      <c r="B126">
        <v>117.56699999999999</v>
      </c>
      <c r="C126">
        <v>146</v>
      </c>
      <c r="D126">
        <v>83</v>
      </c>
      <c r="E126">
        <v>118</v>
      </c>
      <c r="F126">
        <v>5.0510000000000002</v>
      </c>
      <c r="G126">
        <f t="shared" ca="1" si="8"/>
        <v>-0.18824901349097151</v>
      </c>
      <c r="H126">
        <f t="shared" si="6"/>
        <v>121.2505</v>
      </c>
      <c r="I126">
        <f t="shared" si="7"/>
        <v>121.86500000000001</v>
      </c>
    </row>
    <row r="127" spans="1:9">
      <c r="A127">
        <v>117</v>
      </c>
      <c r="B127">
        <v>122.40600000000001</v>
      </c>
      <c r="C127">
        <v>149</v>
      </c>
      <c r="D127">
        <v>81</v>
      </c>
      <c r="E127">
        <v>123</v>
      </c>
      <c r="F127">
        <v>6.149</v>
      </c>
      <c r="G127">
        <f t="shared" ca="1" si="8"/>
        <v>0.79096054362793722</v>
      </c>
      <c r="H127">
        <f t="shared" si="6"/>
        <v>121.877</v>
      </c>
      <c r="I127">
        <f t="shared" si="7"/>
        <v>122.47833333333334</v>
      </c>
    </row>
    <row r="128" spans="1:9">
      <c r="A128">
        <v>118</v>
      </c>
      <c r="B128">
        <v>125.622</v>
      </c>
      <c r="C128">
        <v>164</v>
      </c>
      <c r="D128">
        <v>74</v>
      </c>
      <c r="E128">
        <v>126</v>
      </c>
      <c r="F128">
        <v>6.96</v>
      </c>
      <c r="G128">
        <f t="shared" ca="1" si="8"/>
        <v>0.25839476518920851</v>
      </c>
      <c r="H128">
        <f t="shared" si="6"/>
        <v>121.88974999999999</v>
      </c>
      <c r="I128">
        <f t="shared" si="7"/>
        <v>121.70066666666666</v>
      </c>
    </row>
    <row r="129" spans="1:9">
      <c r="A129">
        <v>119</v>
      </c>
      <c r="B129">
        <v>119.407</v>
      </c>
      <c r="C129">
        <v>152</v>
      </c>
      <c r="D129">
        <v>85</v>
      </c>
      <c r="E129">
        <v>120</v>
      </c>
      <c r="F129">
        <v>5.0250000000000004</v>
      </c>
      <c r="G129">
        <f t="shared" ca="1" si="8"/>
        <v>-0.7199990592002542</v>
      </c>
      <c r="H129">
        <f t="shared" si="6"/>
        <v>121.10925</v>
      </c>
      <c r="I129">
        <f t="shared" si="7"/>
        <v>120.64566666666667</v>
      </c>
    </row>
    <row r="130" spans="1:9">
      <c r="A130">
        <v>120</v>
      </c>
      <c r="B130">
        <v>120.07299999999999</v>
      </c>
      <c r="C130">
        <v>150</v>
      </c>
      <c r="D130">
        <v>81</v>
      </c>
      <c r="E130">
        <v>120</v>
      </c>
      <c r="F130">
        <v>5.867</v>
      </c>
      <c r="G130">
        <f t="shared" ca="1" si="8"/>
        <v>0.12058743418309244</v>
      </c>
      <c r="H130">
        <f t="shared" si="6"/>
        <v>120.76299999999999</v>
      </c>
      <c r="I130">
        <f t="shared" si="7"/>
        <v>121.67666666666666</v>
      </c>
    </row>
    <row r="131" spans="1:9">
      <c r="A131">
        <v>121</v>
      </c>
      <c r="B131">
        <v>122.45699999999999</v>
      </c>
      <c r="C131">
        <v>159</v>
      </c>
      <c r="D131">
        <v>69</v>
      </c>
      <c r="E131">
        <v>123</v>
      </c>
      <c r="F131">
        <v>6.5960000000000001</v>
      </c>
      <c r="G131">
        <f t="shared" ca="1" si="8"/>
        <v>0.79012779722454785</v>
      </c>
      <c r="H131">
        <f t="shared" si="6"/>
        <v>121.00700000000001</v>
      </c>
      <c r="I131">
        <f t="shared" si="7"/>
        <v>120.99299999999999</v>
      </c>
    </row>
    <row r="132" spans="1:9">
      <c r="A132">
        <v>122</v>
      </c>
      <c r="B132">
        <v>122.5</v>
      </c>
      <c r="C132">
        <v>156</v>
      </c>
      <c r="D132">
        <v>80</v>
      </c>
      <c r="E132">
        <v>123</v>
      </c>
      <c r="F132">
        <v>6.1159999999999997</v>
      </c>
      <c r="G132">
        <f t="shared" ca="1" si="8"/>
        <v>-0.36245719199277326</v>
      </c>
      <c r="H132">
        <f t="shared" si="6"/>
        <v>121.34775</v>
      </c>
      <c r="I132">
        <f t="shared" si="7"/>
        <v>120.52366666666667</v>
      </c>
    </row>
    <row r="133" spans="1:9">
      <c r="A133">
        <v>123</v>
      </c>
      <c r="B133">
        <v>118.02200000000001</v>
      </c>
      <c r="C133">
        <v>147</v>
      </c>
      <c r="D133">
        <v>88</v>
      </c>
      <c r="E133">
        <v>118</v>
      </c>
      <c r="F133">
        <v>4.8559999999999999</v>
      </c>
      <c r="G133">
        <f t="shared" ca="1" si="8"/>
        <v>-0.54524323173328537</v>
      </c>
      <c r="H133">
        <f t="shared" si="6"/>
        <v>120.98275000000001</v>
      </c>
      <c r="I133">
        <f t="shared" si="7"/>
        <v>120.96366666666667</v>
      </c>
    </row>
    <row r="134" spans="1:9">
      <c r="A134">
        <v>124</v>
      </c>
      <c r="B134">
        <v>121.04900000000001</v>
      </c>
      <c r="C134">
        <v>169</v>
      </c>
      <c r="D134">
        <v>73</v>
      </c>
      <c r="E134">
        <v>121</v>
      </c>
      <c r="F134">
        <v>6.4039999999999999</v>
      </c>
      <c r="G134">
        <f t="shared" ca="1" si="8"/>
        <v>0.80523637537299042</v>
      </c>
      <c r="H134">
        <f t="shared" si="6"/>
        <v>121.03775</v>
      </c>
      <c r="I134">
        <f t="shared" si="7"/>
        <v>121.96966666666667</v>
      </c>
    </row>
    <row r="135" spans="1:9">
      <c r="A135">
        <v>125</v>
      </c>
      <c r="B135">
        <v>123.82</v>
      </c>
      <c r="C135">
        <v>157</v>
      </c>
      <c r="D135">
        <v>80</v>
      </c>
      <c r="E135">
        <v>124</v>
      </c>
      <c r="F135">
        <v>7.6189999999999998</v>
      </c>
      <c r="G135">
        <f t="shared" ca="1" si="8"/>
        <v>1</v>
      </c>
      <c r="H135">
        <f t="shared" si="6"/>
        <v>121.03400000000001</v>
      </c>
      <c r="I135">
        <f t="shared" si="7"/>
        <v>121.03400000000001</v>
      </c>
    </row>
    <row r="136" spans="1:9">
      <c r="A136">
        <v>126</v>
      </c>
      <c r="B136">
        <v>121.04</v>
      </c>
      <c r="C136">
        <v>149</v>
      </c>
      <c r="D136">
        <v>86</v>
      </c>
      <c r="E136">
        <v>121</v>
      </c>
      <c r="F136">
        <v>5.5369999999999999</v>
      </c>
      <c r="G136" t="e">
        <f t="shared" ca="1" si="8"/>
        <v>#DIV/0!</v>
      </c>
      <c r="H136">
        <f t="shared" si="6"/>
        <v>119.64100000000001</v>
      </c>
      <c r="I136">
        <f t="shared" si="7"/>
        <v>119.64100000000001</v>
      </c>
    </row>
    <row r="137" spans="1:9">
      <c r="A137">
        <v>127</v>
      </c>
      <c r="B137">
        <v>118.242</v>
      </c>
      <c r="C137">
        <v>157</v>
      </c>
      <c r="D137">
        <v>76</v>
      </c>
      <c r="E137">
        <v>113</v>
      </c>
      <c r="F137">
        <v>6.1289999999999996</v>
      </c>
      <c r="G137" t="e">
        <f t="shared" ca="1" si="8"/>
        <v>#DIV/0!</v>
      </c>
      <c r="H137">
        <f t="shared" si="6"/>
        <v>118.242</v>
      </c>
      <c r="I137">
        <f t="shared" si="7"/>
        <v>118.242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4"/>
  <dimension ref="A1:W141"/>
  <sheetViews>
    <sheetView tabSelected="1" zoomScale="106" zoomScaleNormal="106" workbookViewId="0">
      <selection activeCell="K103" sqref="K103"/>
    </sheetView>
  </sheetViews>
  <sheetFormatPr defaultRowHeight="15"/>
  <cols>
    <col min="12" max="12" width="12.5703125" bestFit="1" customWidth="1"/>
  </cols>
  <sheetData>
    <row r="1" spans="1:23">
      <c r="A1" s="3" t="s">
        <v>24</v>
      </c>
    </row>
    <row r="10" spans="1:23">
      <c r="I10">
        <f>AVERAGE(I14:I141)</f>
        <v>122.08003906250001</v>
      </c>
    </row>
    <row r="11" spans="1:23">
      <c r="B11">
        <f>STDEV(B14:B141)</f>
        <v>0.58083472295801808</v>
      </c>
      <c r="C11">
        <f>STDEV(C14:C141)</f>
        <v>0.66514803204064898</v>
      </c>
      <c r="D11">
        <f t="shared" ref="D11:G11" si="0">STDEV(D14:D141)</f>
        <v>7.1867960113981821</v>
      </c>
      <c r="E11">
        <f t="shared" si="0"/>
        <v>7.5646817149711527</v>
      </c>
      <c r="F11">
        <f t="shared" si="0"/>
        <v>6.9845821137094237</v>
      </c>
      <c r="G11">
        <f t="shared" si="0"/>
        <v>4.6378638405991399</v>
      </c>
      <c r="H11">
        <f>STDEV(H13:H140)</f>
        <v>6.3777286071319823</v>
      </c>
      <c r="I11">
        <f>STDEV(I13:I139)</f>
        <v>3.5104256211525895</v>
      </c>
    </row>
    <row r="12" spans="1:23" ht="45">
      <c r="B12" s="4" t="s">
        <v>20</v>
      </c>
      <c r="C12" s="4" t="s">
        <v>21</v>
      </c>
      <c r="D12" s="4" t="s">
        <v>20</v>
      </c>
      <c r="E12" s="4" t="s">
        <v>21</v>
      </c>
      <c r="F12" s="4" t="s">
        <v>20</v>
      </c>
      <c r="G12" s="4" t="s">
        <v>21</v>
      </c>
      <c r="H12" s="4" t="s">
        <v>20</v>
      </c>
      <c r="I12" s="4" t="s">
        <v>21</v>
      </c>
      <c r="J12" s="4" t="s">
        <v>22</v>
      </c>
    </row>
    <row r="13" spans="1:23">
      <c r="A13" t="s">
        <v>5</v>
      </c>
      <c r="B13" t="s">
        <v>1</v>
      </c>
      <c r="C13" t="s">
        <v>1</v>
      </c>
      <c r="D13" t="s">
        <v>3</v>
      </c>
      <c r="E13" t="s">
        <v>3</v>
      </c>
      <c r="F13" t="s">
        <v>2</v>
      </c>
      <c r="G13" t="s">
        <v>2</v>
      </c>
      <c r="H13" t="s">
        <v>0</v>
      </c>
      <c r="I13" t="s">
        <v>0</v>
      </c>
    </row>
    <row r="14" spans="1:23">
      <c r="A14">
        <v>1</v>
      </c>
      <c r="B14">
        <v>6.093</v>
      </c>
      <c r="C14">
        <v>7.665</v>
      </c>
      <c r="D14">
        <v>167</v>
      </c>
      <c r="E14">
        <v>168</v>
      </c>
      <c r="F14">
        <v>95</v>
      </c>
      <c r="G14">
        <v>77</v>
      </c>
      <c r="H14">
        <v>137.88999999999999</v>
      </c>
      <c r="I14">
        <v>134.982</v>
      </c>
      <c r="V14">
        <v>0</v>
      </c>
      <c r="W14">
        <v>121.13292968750002</v>
      </c>
    </row>
    <row r="15" spans="1:23">
      <c r="A15">
        <v>2</v>
      </c>
      <c r="B15">
        <v>5.2830000000000004</v>
      </c>
      <c r="C15">
        <v>5.3609999999999998</v>
      </c>
      <c r="D15">
        <v>146</v>
      </c>
      <c r="E15">
        <v>146</v>
      </c>
      <c r="F15">
        <v>80</v>
      </c>
      <c r="G15">
        <v>86</v>
      </c>
      <c r="H15">
        <v>118.059</v>
      </c>
      <c r="I15">
        <v>127.09099999999999</v>
      </c>
      <c r="J15">
        <v>210</v>
      </c>
      <c r="V15">
        <v>1300</v>
      </c>
      <c r="W15">
        <v>121.13292968750002</v>
      </c>
    </row>
    <row r="16" spans="1:23">
      <c r="A16">
        <v>3</v>
      </c>
      <c r="B16">
        <v>7.141</v>
      </c>
      <c r="C16">
        <v>6.8120000000000003</v>
      </c>
      <c r="D16">
        <v>156</v>
      </c>
      <c r="E16">
        <v>156</v>
      </c>
      <c r="F16">
        <v>70</v>
      </c>
      <c r="G16">
        <v>70</v>
      </c>
      <c r="H16">
        <v>126.45399999999999</v>
      </c>
      <c r="I16">
        <v>128.03100000000001</v>
      </c>
      <c r="J16">
        <v>570</v>
      </c>
    </row>
    <row r="17" spans="1:10">
      <c r="A17">
        <v>4</v>
      </c>
      <c r="B17">
        <v>5.8029999999999999</v>
      </c>
      <c r="C17">
        <v>8.7140000000000004</v>
      </c>
      <c r="D17">
        <v>165</v>
      </c>
      <c r="E17">
        <v>163</v>
      </c>
      <c r="F17">
        <v>76</v>
      </c>
      <c r="G17">
        <v>73</v>
      </c>
      <c r="H17">
        <v>134.01300000000001</v>
      </c>
      <c r="I17">
        <v>131.99</v>
      </c>
      <c r="J17">
        <v>950</v>
      </c>
    </row>
    <row r="18" spans="1:10">
      <c r="A18">
        <v>5</v>
      </c>
      <c r="B18">
        <v>5.7160000000000002</v>
      </c>
      <c r="C18">
        <v>6.2080000000000002</v>
      </c>
      <c r="D18">
        <v>156</v>
      </c>
      <c r="E18">
        <v>159</v>
      </c>
      <c r="F18">
        <v>92</v>
      </c>
      <c r="G18">
        <v>87</v>
      </c>
      <c r="H18">
        <v>127.836</v>
      </c>
      <c r="I18">
        <v>126.845</v>
      </c>
      <c r="J18">
        <v>1290</v>
      </c>
    </row>
    <row r="19" spans="1:10">
      <c r="A19">
        <v>6</v>
      </c>
      <c r="B19">
        <v>5.5730000000000004</v>
      </c>
      <c r="C19">
        <v>5.3869999999999996</v>
      </c>
      <c r="D19">
        <v>156</v>
      </c>
      <c r="E19">
        <v>156</v>
      </c>
      <c r="F19">
        <v>88</v>
      </c>
      <c r="G19">
        <v>83</v>
      </c>
      <c r="H19">
        <v>119.73</v>
      </c>
      <c r="I19">
        <v>125.04600000000001</v>
      </c>
      <c r="J19">
        <v>344</v>
      </c>
    </row>
    <row r="20" spans="1:10">
      <c r="A20">
        <v>7</v>
      </c>
      <c r="B20">
        <v>6.5369999999999999</v>
      </c>
      <c r="C20">
        <v>6.4859999999999998</v>
      </c>
      <c r="D20">
        <v>167</v>
      </c>
      <c r="E20">
        <v>167</v>
      </c>
      <c r="F20">
        <v>96</v>
      </c>
      <c r="G20">
        <v>83</v>
      </c>
      <c r="H20">
        <v>130.58099999999999</v>
      </c>
      <c r="I20">
        <v>127.998</v>
      </c>
      <c r="J20">
        <v>700</v>
      </c>
    </row>
    <row r="21" spans="1:10">
      <c r="A21">
        <v>8</v>
      </c>
      <c r="B21">
        <v>5.4950000000000001</v>
      </c>
      <c r="C21">
        <v>6.7569999999999997</v>
      </c>
      <c r="D21">
        <v>157</v>
      </c>
      <c r="E21">
        <v>163</v>
      </c>
      <c r="F21">
        <v>98</v>
      </c>
      <c r="G21">
        <v>82</v>
      </c>
      <c r="H21">
        <v>131.441</v>
      </c>
      <c r="I21">
        <v>130.18299999999999</v>
      </c>
      <c r="J21">
        <v>1070</v>
      </c>
    </row>
    <row r="22" spans="1:10">
      <c r="A22">
        <v>9</v>
      </c>
      <c r="B22">
        <v>5.0170000000000003</v>
      </c>
      <c r="C22">
        <v>5.3209999999999997</v>
      </c>
      <c r="D22">
        <v>148</v>
      </c>
      <c r="E22">
        <v>150</v>
      </c>
      <c r="F22">
        <v>86</v>
      </c>
      <c r="G22">
        <v>89</v>
      </c>
      <c r="H22">
        <v>122.4</v>
      </c>
      <c r="I22">
        <v>122.377</v>
      </c>
      <c r="J22">
        <v>111</v>
      </c>
    </row>
    <row r="23" spans="1:10">
      <c r="A23">
        <v>10</v>
      </c>
      <c r="B23">
        <v>6.819</v>
      </c>
      <c r="C23">
        <v>6.2089999999999996</v>
      </c>
      <c r="D23">
        <v>156</v>
      </c>
      <c r="E23">
        <v>158</v>
      </c>
      <c r="F23">
        <v>86</v>
      </c>
      <c r="G23">
        <v>80</v>
      </c>
      <c r="H23">
        <v>119.73099999999999</v>
      </c>
      <c r="I23">
        <v>122.068</v>
      </c>
      <c r="J23">
        <v>440</v>
      </c>
    </row>
    <row r="24" spans="1:10">
      <c r="A24">
        <v>11</v>
      </c>
      <c r="B24">
        <v>5.52</v>
      </c>
      <c r="C24">
        <v>6.1120000000000001</v>
      </c>
      <c r="D24">
        <v>158</v>
      </c>
      <c r="E24">
        <v>156</v>
      </c>
      <c r="F24">
        <v>96</v>
      </c>
      <c r="G24">
        <v>86</v>
      </c>
      <c r="H24">
        <v>131.32400000000001</v>
      </c>
      <c r="I24">
        <v>127.245</v>
      </c>
      <c r="J24">
        <v>810</v>
      </c>
    </row>
    <row r="25" spans="1:10">
      <c r="A25">
        <v>12</v>
      </c>
      <c r="B25">
        <v>5.2320000000000002</v>
      </c>
      <c r="C25">
        <v>6.2309999999999999</v>
      </c>
      <c r="D25">
        <v>158</v>
      </c>
      <c r="E25">
        <v>158</v>
      </c>
      <c r="F25">
        <v>98</v>
      </c>
      <c r="G25">
        <v>81</v>
      </c>
      <c r="H25">
        <v>130.90700000000001</v>
      </c>
      <c r="I25">
        <v>128.374</v>
      </c>
      <c r="J25">
        <v>1170</v>
      </c>
    </row>
    <row r="26" spans="1:10">
      <c r="A26">
        <v>13</v>
      </c>
      <c r="B26">
        <v>5.4660000000000002</v>
      </c>
      <c r="C26">
        <v>5.5549999999999997</v>
      </c>
      <c r="D26">
        <v>147</v>
      </c>
      <c r="E26">
        <v>147</v>
      </c>
      <c r="F26">
        <v>79</v>
      </c>
      <c r="G26">
        <v>83</v>
      </c>
      <c r="H26">
        <v>114.604</v>
      </c>
      <c r="I26">
        <v>122.486</v>
      </c>
      <c r="J26">
        <v>214</v>
      </c>
    </row>
    <row r="27" spans="1:10">
      <c r="A27">
        <v>14</v>
      </c>
      <c r="B27">
        <v>5.9829999999999997</v>
      </c>
      <c r="C27">
        <v>6.1440000000000001</v>
      </c>
      <c r="D27">
        <v>156</v>
      </c>
      <c r="E27">
        <v>154</v>
      </c>
      <c r="F27">
        <v>94</v>
      </c>
      <c r="G27">
        <v>82</v>
      </c>
      <c r="H27">
        <v>122.758</v>
      </c>
      <c r="I27">
        <v>125.25</v>
      </c>
      <c r="J27">
        <v>550</v>
      </c>
    </row>
    <row r="28" spans="1:10">
      <c r="A28">
        <v>15</v>
      </c>
      <c r="B28">
        <v>5.1929999999999996</v>
      </c>
      <c r="C28">
        <v>6.4560000000000004</v>
      </c>
      <c r="D28">
        <v>155</v>
      </c>
      <c r="E28">
        <v>155</v>
      </c>
      <c r="F28">
        <v>98</v>
      </c>
      <c r="G28">
        <v>79</v>
      </c>
      <c r="H28">
        <v>128.602</v>
      </c>
      <c r="I28">
        <v>127.21899999999999</v>
      </c>
      <c r="J28">
        <v>940</v>
      </c>
    </row>
    <row r="29" spans="1:10">
      <c r="A29">
        <v>16</v>
      </c>
      <c r="B29">
        <v>5.633</v>
      </c>
      <c r="C29">
        <v>6.0279999999999996</v>
      </c>
      <c r="D29">
        <v>158</v>
      </c>
      <c r="E29">
        <v>160</v>
      </c>
      <c r="F29">
        <v>85</v>
      </c>
      <c r="G29">
        <v>81</v>
      </c>
      <c r="H29">
        <v>122.79900000000001</v>
      </c>
      <c r="I29">
        <v>121.663</v>
      </c>
      <c r="J29">
        <v>1290</v>
      </c>
    </row>
    <row r="30" spans="1:10">
      <c r="A30">
        <v>17</v>
      </c>
      <c r="B30">
        <v>5.9640000000000004</v>
      </c>
      <c r="C30">
        <v>5.2409999999999997</v>
      </c>
      <c r="D30">
        <v>147</v>
      </c>
      <c r="E30">
        <v>147</v>
      </c>
      <c r="F30">
        <v>73</v>
      </c>
      <c r="G30">
        <v>73</v>
      </c>
      <c r="H30">
        <v>114.413</v>
      </c>
      <c r="I30">
        <v>120.611</v>
      </c>
      <c r="J30">
        <v>344</v>
      </c>
    </row>
    <row r="31" spans="1:10">
      <c r="A31">
        <v>18</v>
      </c>
      <c r="B31">
        <v>5.8239999999999998</v>
      </c>
      <c r="C31">
        <v>6.0839999999999996</v>
      </c>
      <c r="D31">
        <v>161</v>
      </c>
      <c r="E31">
        <v>151</v>
      </c>
      <c r="F31">
        <v>87</v>
      </c>
      <c r="G31">
        <v>79</v>
      </c>
      <c r="H31">
        <v>126.801</v>
      </c>
      <c r="I31">
        <v>124.529</v>
      </c>
      <c r="J31">
        <v>700</v>
      </c>
    </row>
    <row r="32" spans="1:10">
      <c r="A32">
        <v>19</v>
      </c>
      <c r="B32">
        <v>5.6779999999999999</v>
      </c>
      <c r="C32">
        <v>6.6660000000000004</v>
      </c>
      <c r="D32">
        <v>166</v>
      </c>
      <c r="E32">
        <v>164</v>
      </c>
      <c r="F32">
        <v>86</v>
      </c>
      <c r="G32">
        <v>77</v>
      </c>
      <c r="H32">
        <v>129.41</v>
      </c>
      <c r="I32">
        <v>128.06899999999999</v>
      </c>
      <c r="J32">
        <v>1080</v>
      </c>
    </row>
    <row r="33" spans="1:10">
      <c r="A33">
        <v>20</v>
      </c>
      <c r="B33">
        <v>5.3410000000000002</v>
      </c>
      <c r="C33">
        <v>5.1180000000000003</v>
      </c>
      <c r="D33">
        <v>157</v>
      </c>
      <c r="E33">
        <v>157</v>
      </c>
      <c r="F33">
        <v>88</v>
      </c>
      <c r="G33">
        <v>86</v>
      </c>
      <c r="H33">
        <v>119.411</v>
      </c>
      <c r="I33">
        <v>121.886</v>
      </c>
      <c r="J33">
        <v>124</v>
      </c>
    </row>
    <row r="34" spans="1:10">
      <c r="A34">
        <v>21</v>
      </c>
      <c r="B34">
        <v>5.9779999999999998</v>
      </c>
      <c r="C34">
        <v>5.7690000000000001</v>
      </c>
      <c r="D34">
        <v>149</v>
      </c>
      <c r="E34">
        <v>149</v>
      </c>
      <c r="F34">
        <v>88</v>
      </c>
      <c r="G34">
        <v>82</v>
      </c>
      <c r="H34">
        <v>118.64400000000001</v>
      </c>
      <c r="I34">
        <v>121.036</v>
      </c>
      <c r="J34">
        <v>460</v>
      </c>
    </row>
    <row r="35" spans="1:10">
      <c r="A35">
        <v>22</v>
      </c>
      <c r="B35">
        <v>6.9080000000000004</v>
      </c>
      <c r="C35">
        <v>6.4050000000000002</v>
      </c>
      <c r="D35">
        <v>163</v>
      </c>
      <c r="E35">
        <v>163</v>
      </c>
      <c r="F35">
        <v>85</v>
      </c>
      <c r="G35">
        <v>80</v>
      </c>
      <c r="H35">
        <v>128.43</v>
      </c>
      <c r="I35">
        <v>124.85299999999999</v>
      </c>
      <c r="J35">
        <v>840</v>
      </c>
    </row>
    <row r="36" spans="1:10">
      <c r="A36">
        <v>23</v>
      </c>
      <c r="B36">
        <v>4.9589999999999996</v>
      </c>
      <c r="C36">
        <v>5.8730000000000002</v>
      </c>
      <c r="D36">
        <v>153</v>
      </c>
      <c r="E36">
        <v>159</v>
      </c>
      <c r="F36">
        <v>91</v>
      </c>
      <c r="G36">
        <v>80</v>
      </c>
      <c r="H36">
        <v>127.655</v>
      </c>
      <c r="I36">
        <v>125.33199999999999</v>
      </c>
      <c r="J36">
        <v>1180</v>
      </c>
    </row>
    <row r="37" spans="1:10">
      <c r="A37">
        <v>24</v>
      </c>
      <c r="B37">
        <v>5.5830000000000002</v>
      </c>
      <c r="C37">
        <v>4.7359999999999998</v>
      </c>
      <c r="D37">
        <v>140</v>
      </c>
      <c r="E37">
        <v>140</v>
      </c>
      <c r="F37">
        <v>76</v>
      </c>
      <c r="G37">
        <v>83</v>
      </c>
      <c r="H37">
        <v>110.943</v>
      </c>
      <c r="I37">
        <v>119.658</v>
      </c>
      <c r="J37">
        <v>221</v>
      </c>
    </row>
    <row r="38" spans="1:10">
      <c r="A38">
        <v>25</v>
      </c>
      <c r="B38">
        <v>6.4470000000000001</v>
      </c>
      <c r="C38">
        <v>6.46</v>
      </c>
      <c r="D38">
        <v>155</v>
      </c>
      <c r="E38">
        <v>153</v>
      </c>
      <c r="F38">
        <v>82</v>
      </c>
      <c r="G38">
        <v>71</v>
      </c>
      <c r="H38">
        <v>118.27500000000001</v>
      </c>
      <c r="I38">
        <v>121.89</v>
      </c>
      <c r="J38">
        <v>550</v>
      </c>
    </row>
    <row r="39" spans="1:10">
      <c r="A39">
        <v>26</v>
      </c>
      <c r="B39">
        <v>5.8129999999999997</v>
      </c>
      <c r="C39">
        <v>6.3559999999999999</v>
      </c>
      <c r="D39">
        <v>159</v>
      </c>
      <c r="E39">
        <v>158</v>
      </c>
      <c r="F39">
        <v>85</v>
      </c>
      <c r="G39">
        <v>81</v>
      </c>
      <c r="H39">
        <v>128.113</v>
      </c>
      <c r="I39">
        <v>126.729</v>
      </c>
      <c r="J39">
        <v>930</v>
      </c>
    </row>
    <row r="40" spans="1:10">
      <c r="A40">
        <v>27</v>
      </c>
      <c r="B40">
        <v>5.399</v>
      </c>
      <c r="C40">
        <v>6.1189999999999998</v>
      </c>
      <c r="D40">
        <v>149</v>
      </c>
      <c r="E40">
        <v>160</v>
      </c>
      <c r="F40">
        <v>89</v>
      </c>
      <c r="G40">
        <v>85</v>
      </c>
      <c r="H40">
        <v>122.786</v>
      </c>
      <c r="I40">
        <v>124.926</v>
      </c>
      <c r="J40">
        <v>1290</v>
      </c>
    </row>
    <row r="41" spans="1:10">
      <c r="A41">
        <v>28</v>
      </c>
      <c r="B41">
        <v>6.28</v>
      </c>
      <c r="C41">
        <v>5.7130000000000001</v>
      </c>
      <c r="D41">
        <v>149</v>
      </c>
      <c r="E41">
        <v>159</v>
      </c>
      <c r="F41">
        <v>74</v>
      </c>
      <c r="G41">
        <v>76</v>
      </c>
      <c r="H41">
        <v>112.595</v>
      </c>
      <c r="I41">
        <v>119.705</v>
      </c>
      <c r="J41">
        <v>334</v>
      </c>
    </row>
    <row r="42" spans="1:10">
      <c r="A42">
        <v>29</v>
      </c>
      <c r="B42">
        <v>6.5019999999999998</v>
      </c>
      <c r="C42">
        <v>6.3380000000000001</v>
      </c>
      <c r="D42">
        <v>152</v>
      </c>
      <c r="E42">
        <v>152</v>
      </c>
      <c r="F42">
        <v>91</v>
      </c>
      <c r="G42">
        <v>76</v>
      </c>
      <c r="H42">
        <v>121.964</v>
      </c>
      <c r="I42">
        <v>120.943</v>
      </c>
      <c r="J42">
        <v>670</v>
      </c>
    </row>
    <row r="43" spans="1:10">
      <c r="A43">
        <v>30</v>
      </c>
      <c r="B43">
        <v>5.133</v>
      </c>
      <c r="C43">
        <v>6.2910000000000004</v>
      </c>
      <c r="D43">
        <v>152</v>
      </c>
      <c r="E43">
        <v>156</v>
      </c>
      <c r="F43">
        <v>91</v>
      </c>
      <c r="G43">
        <v>78</v>
      </c>
      <c r="H43">
        <v>126.76600000000001</v>
      </c>
      <c r="I43">
        <v>125.215</v>
      </c>
      <c r="J43">
        <v>1020</v>
      </c>
    </row>
    <row r="44" spans="1:10">
      <c r="A44">
        <v>31</v>
      </c>
      <c r="B44">
        <v>6.5990000000000002</v>
      </c>
      <c r="C44">
        <v>6.3019999999999996</v>
      </c>
      <c r="D44">
        <v>161</v>
      </c>
      <c r="E44">
        <v>155</v>
      </c>
      <c r="F44">
        <v>80</v>
      </c>
      <c r="G44">
        <v>81</v>
      </c>
      <c r="H44">
        <v>121.66</v>
      </c>
      <c r="I44">
        <v>120.294</v>
      </c>
      <c r="J44">
        <v>61</v>
      </c>
    </row>
    <row r="45" spans="1:10">
      <c r="A45">
        <v>32</v>
      </c>
      <c r="B45">
        <v>6.1760000000000002</v>
      </c>
      <c r="C45">
        <v>5.625</v>
      </c>
      <c r="D45">
        <v>156</v>
      </c>
      <c r="E45">
        <v>156</v>
      </c>
      <c r="F45">
        <v>80</v>
      </c>
      <c r="G45">
        <v>76</v>
      </c>
      <c r="H45">
        <v>117.42100000000001</v>
      </c>
      <c r="I45">
        <v>120.164</v>
      </c>
      <c r="J45">
        <v>400</v>
      </c>
    </row>
    <row r="46" spans="1:10">
      <c r="A46">
        <v>33</v>
      </c>
      <c r="B46">
        <v>6.048</v>
      </c>
      <c r="C46">
        <v>6.2350000000000003</v>
      </c>
      <c r="D46">
        <v>162</v>
      </c>
      <c r="E46">
        <v>153</v>
      </c>
      <c r="F46">
        <v>94</v>
      </c>
      <c r="G46">
        <v>80</v>
      </c>
      <c r="H46">
        <v>128.97499999999999</v>
      </c>
      <c r="I46">
        <v>124.52800000000001</v>
      </c>
      <c r="J46">
        <v>770</v>
      </c>
    </row>
    <row r="47" spans="1:10">
      <c r="A47">
        <v>34</v>
      </c>
      <c r="B47">
        <v>5.5309999999999997</v>
      </c>
      <c r="C47">
        <v>6.84</v>
      </c>
      <c r="D47">
        <v>160</v>
      </c>
      <c r="E47">
        <v>175</v>
      </c>
      <c r="F47">
        <v>92</v>
      </c>
      <c r="G47">
        <v>78</v>
      </c>
      <c r="H47">
        <v>130.10400000000001</v>
      </c>
      <c r="I47">
        <v>127.911</v>
      </c>
      <c r="J47">
        <v>1130</v>
      </c>
    </row>
    <row r="48" spans="1:10">
      <c r="A48">
        <v>35</v>
      </c>
      <c r="B48">
        <v>4.7469999999999999</v>
      </c>
      <c r="C48">
        <v>4.96</v>
      </c>
      <c r="D48">
        <v>144</v>
      </c>
      <c r="E48">
        <v>139</v>
      </c>
      <c r="F48">
        <v>75</v>
      </c>
      <c r="G48">
        <v>85</v>
      </c>
      <c r="H48">
        <v>114.408</v>
      </c>
      <c r="I48">
        <v>119.925</v>
      </c>
      <c r="J48">
        <v>171</v>
      </c>
    </row>
    <row r="49" spans="1:10">
      <c r="A49">
        <v>36</v>
      </c>
      <c r="B49">
        <v>6.444</v>
      </c>
      <c r="C49">
        <v>6.093</v>
      </c>
      <c r="D49">
        <v>150</v>
      </c>
      <c r="E49">
        <v>150</v>
      </c>
      <c r="F49">
        <v>88</v>
      </c>
      <c r="G49">
        <v>79</v>
      </c>
      <c r="H49">
        <v>118.006</v>
      </c>
      <c r="I49">
        <v>120.17100000000001</v>
      </c>
      <c r="J49">
        <v>500</v>
      </c>
    </row>
    <row r="50" spans="1:10">
      <c r="A50">
        <v>37</v>
      </c>
      <c r="B50">
        <v>6.1509999999999998</v>
      </c>
      <c r="C50">
        <v>6.7169999999999996</v>
      </c>
      <c r="D50">
        <v>162</v>
      </c>
      <c r="E50">
        <v>161</v>
      </c>
      <c r="F50">
        <v>90</v>
      </c>
      <c r="G50">
        <v>78</v>
      </c>
      <c r="H50">
        <v>129.661</v>
      </c>
      <c r="I50">
        <v>126.664</v>
      </c>
      <c r="J50">
        <v>880</v>
      </c>
    </row>
    <row r="51" spans="1:10">
      <c r="A51">
        <v>38</v>
      </c>
      <c r="B51">
        <v>5.6459999999999999</v>
      </c>
      <c r="C51">
        <v>6.5519999999999996</v>
      </c>
      <c r="D51">
        <v>155</v>
      </c>
      <c r="E51">
        <v>154</v>
      </c>
      <c r="F51">
        <v>88</v>
      </c>
      <c r="G51">
        <v>83</v>
      </c>
      <c r="H51">
        <v>126.688</v>
      </c>
      <c r="I51">
        <v>125.83799999999999</v>
      </c>
      <c r="J51">
        <v>1240</v>
      </c>
    </row>
    <row r="52" spans="1:10">
      <c r="A52">
        <v>39</v>
      </c>
      <c r="B52">
        <v>5.2560000000000002</v>
      </c>
      <c r="C52">
        <v>4.7859999999999996</v>
      </c>
      <c r="D52">
        <v>143</v>
      </c>
      <c r="E52">
        <v>143</v>
      </c>
      <c r="F52">
        <v>79</v>
      </c>
      <c r="G52">
        <v>78</v>
      </c>
      <c r="H52">
        <v>111.56</v>
      </c>
      <c r="I52">
        <v>120.776</v>
      </c>
      <c r="J52">
        <v>281</v>
      </c>
    </row>
    <row r="53" spans="1:10">
      <c r="A53">
        <v>40</v>
      </c>
      <c r="B53">
        <v>5.9130000000000003</v>
      </c>
      <c r="C53">
        <v>6.3639999999999999</v>
      </c>
      <c r="D53">
        <v>161</v>
      </c>
      <c r="E53">
        <v>168</v>
      </c>
      <c r="F53">
        <v>90</v>
      </c>
      <c r="G53">
        <v>77</v>
      </c>
      <c r="H53">
        <v>122.54300000000001</v>
      </c>
      <c r="I53">
        <v>123.20699999999999</v>
      </c>
      <c r="J53">
        <v>610</v>
      </c>
    </row>
    <row r="54" spans="1:10">
      <c r="A54">
        <v>41</v>
      </c>
      <c r="B54">
        <v>6.5590000000000002</v>
      </c>
      <c r="C54">
        <v>6.6109999999999998</v>
      </c>
      <c r="D54">
        <v>157</v>
      </c>
      <c r="E54">
        <v>157</v>
      </c>
      <c r="F54">
        <v>95</v>
      </c>
      <c r="G54">
        <v>79</v>
      </c>
      <c r="H54">
        <v>127.739</v>
      </c>
      <c r="I54">
        <v>127.08499999999999</v>
      </c>
      <c r="J54">
        <v>980</v>
      </c>
    </row>
    <row r="55" spans="1:10">
      <c r="A55">
        <v>42</v>
      </c>
      <c r="B55">
        <v>5.0229999999999997</v>
      </c>
      <c r="C55">
        <v>5.3540000000000001</v>
      </c>
      <c r="D55">
        <v>156</v>
      </c>
      <c r="E55">
        <v>156</v>
      </c>
      <c r="F55">
        <v>82</v>
      </c>
      <c r="G55">
        <v>81</v>
      </c>
      <c r="H55">
        <v>121.277</v>
      </c>
      <c r="I55">
        <v>119.61</v>
      </c>
      <c r="J55">
        <v>24</v>
      </c>
    </row>
    <row r="56" spans="1:10">
      <c r="A56">
        <v>43</v>
      </c>
      <c r="B56">
        <v>6.7850000000000001</v>
      </c>
      <c r="C56">
        <v>5.984</v>
      </c>
      <c r="D56">
        <v>151</v>
      </c>
      <c r="E56">
        <v>150</v>
      </c>
      <c r="F56">
        <v>79</v>
      </c>
      <c r="G56">
        <v>73</v>
      </c>
      <c r="H56">
        <v>114.56100000000001</v>
      </c>
      <c r="I56">
        <v>119.07</v>
      </c>
      <c r="J56">
        <v>365</v>
      </c>
    </row>
    <row r="57" spans="1:10">
      <c r="A57">
        <v>44</v>
      </c>
      <c r="B57">
        <v>5.673</v>
      </c>
      <c r="C57">
        <v>6.157</v>
      </c>
      <c r="D57">
        <v>159</v>
      </c>
      <c r="E57">
        <v>159</v>
      </c>
      <c r="F57">
        <v>91</v>
      </c>
      <c r="G57">
        <v>80</v>
      </c>
      <c r="H57">
        <v>126.654</v>
      </c>
      <c r="I57">
        <v>123.282</v>
      </c>
      <c r="J57">
        <v>730</v>
      </c>
    </row>
    <row r="58" spans="1:10">
      <c r="A58">
        <v>45</v>
      </c>
      <c r="B58">
        <v>4.9660000000000002</v>
      </c>
      <c r="C58">
        <v>6.2759999999999998</v>
      </c>
      <c r="D58">
        <v>164</v>
      </c>
      <c r="E58">
        <v>156</v>
      </c>
      <c r="F58">
        <v>89</v>
      </c>
      <c r="G58">
        <v>81</v>
      </c>
      <c r="H58">
        <v>129.83500000000001</v>
      </c>
      <c r="I58">
        <v>127.821</v>
      </c>
      <c r="J58">
        <v>1100</v>
      </c>
    </row>
    <row r="59" spans="1:10">
      <c r="A59">
        <v>46</v>
      </c>
      <c r="B59">
        <v>5.6470000000000002</v>
      </c>
      <c r="C59">
        <v>5.7130000000000001</v>
      </c>
      <c r="D59">
        <v>150</v>
      </c>
      <c r="E59">
        <v>150</v>
      </c>
      <c r="F59">
        <v>79</v>
      </c>
      <c r="G59">
        <v>79</v>
      </c>
      <c r="H59">
        <v>117.07599999999999</v>
      </c>
      <c r="I59">
        <v>120.991</v>
      </c>
      <c r="J59">
        <v>144</v>
      </c>
    </row>
    <row r="60" spans="1:10">
      <c r="A60">
        <v>47</v>
      </c>
      <c r="B60">
        <v>5.6609999999999996</v>
      </c>
      <c r="C60">
        <v>6.0880000000000001</v>
      </c>
      <c r="D60">
        <v>151</v>
      </c>
      <c r="E60">
        <v>152</v>
      </c>
      <c r="F60">
        <v>85</v>
      </c>
      <c r="G60">
        <v>79</v>
      </c>
      <c r="H60">
        <v>119.273</v>
      </c>
      <c r="I60">
        <v>122.111</v>
      </c>
      <c r="J60">
        <v>480</v>
      </c>
    </row>
    <row r="61" spans="1:10">
      <c r="A61">
        <v>48</v>
      </c>
      <c r="B61">
        <v>6.4539999999999997</v>
      </c>
      <c r="C61">
        <v>6.2789999999999999</v>
      </c>
      <c r="D61">
        <v>156</v>
      </c>
      <c r="E61">
        <v>156</v>
      </c>
      <c r="F61">
        <v>78</v>
      </c>
      <c r="G61">
        <v>77</v>
      </c>
      <c r="H61">
        <v>127.553</v>
      </c>
      <c r="I61">
        <v>124.56399999999999</v>
      </c>
      <c r="J61">
        <v>870</v>
      </c>
    </row>
    <row r="62" spans="1:10">
      <c r="A62">
        <v>49</v>
      </c>
      <c r="B62">
        <v>5.8339999999999996</v>
      </c>
      <c r="C62">
        <v>6.0030000000000001</v>
      </c>
      <c r="D62">
        <v>155</v>
      </c>
      <c r="E62">
        <v>156</v>
      </c>
      <c r="F62">
        <v>86</v>
      </c>
      <c r="G62">
        <v>69</v>
      </c>
      <c r="H62">
        <v>121.889</v>
      </c>
      <c r="I62">
        <v>120.627</v>
      </c>
      <c r="J62">
        <v>1240</v>
      </c>
    </row>
    <row r="63" spans="1:10">
      <c r="A63">
        <v>50</v>
      </c>
      <c r="B63">
        <v>5.2649999999999997</v>
      </c>
      <c r="C63">
        <v>4.9009999999999998</v>
      </c>
      <c r="D63">
        <v>149</v>
      </c>
      <c r="E63">
        <v>149</v>
      </c>
      <c r="F63">
        <v>78</v>
      </c>
      <c r="G63">
        <v>76</v>
      </c>
      <c r="H63">
        <v>109.438</v>
      </c>
      <c r="I63">
        <v>118.276</v>
      </c>
      <c r="J63">
        <v>284</v>
      </c>
    </row>
    <row r="64" spans="1:10">
      <c r="A64">
        <v>51</v>
      </c>
      <c r="B64">
        <v>5.694</v>
      </c>
      <c r="C64">
        <v>6.3659999999999997</v>
      </c>
      <c r="D64">
        <v>156</v>
      </c>
      <c r="E64">
        <v>156</v>
      </c>
      <c r="F64">
        <v>81</v>
      </c>
      <c r="G64">
        <v>73</v>
      </c>
      <c r="H64">
        <v>121.861</v>
      </c>
      <c r="I64">
        <v>121.518</v>
      </c>
      <c r="J64">
        <v>620</v>
      </c>
    </row>
    <row r="65" spans="1:13">
      <c r="A65">
        <v>52</v>
      </c>
      <c r="B65">
        <v>6.0529999999999999</v>
      </c>
      <c r="C65">
        <v>7.1779999999999999</v>
      </c>
      <c r="D65">
        <v>169</v>
      </c>
      <c r="E65">
        <v>174</v>
      </c>
      <c r="F65">
        <v>82</v>
      </c>
      <c r="G65">
        <v>69</v>
      </c>
      <c r="H65">
        <v>125.721</v>
      </c>
      <c r="I65">
        <v>125.01900000000001</v>
      </c>
      <c r="J65">
        <v>1000</v>
      </c>
    </row>
    <row r="66" spans="1:13">
      <c r="A66">
        <v>53</v>
      </c>
      <c r="B66">
        <v>4.9960000000000004</v>
      </c>
      <c r="C66">
        <v>5.1989999999999998</v>
      </c>
      <c r="D66">
        <v>146</v>
      </c>
      <c r="E66">
        <v>145</v>
      </c>
      <c r="F66">
        <v>85</v>
      </c>
      <c r="G66">
        <v>83</v>
      </c>
      <c r="H66">
        <v>120.952</v>
      </c>
      <c r="I66">
        <v>119.85599999999999</v>
      </c>
      <c r="J66">
        <v>44</v>
      </c>
    </row>
    <row r="67" spans="1:13">
      <c r="A67">
        <v>54</v>
      </c>
      <c r="B67">
        <v>5.3570000000000002</v>
      </c>
      <c r="C67">
        <v>5.5060000000000002</v>
      </c>
      <c r="D67">
        <v>145</v>
      </c>
      <c r="E67">
        <v>148</v>
      </c>
      <c r="F67">
        <v>76</v>
      </c>
      <c r="G67">
        <v>79</v>
      </c>
      <c r="H67">
        <v>114.113</v>
      </c>
      <c r="I67">
        <v>118.205</v>
      </c>
      <c r="J67">
        <v>385</v>
      </c>
    </row>
    <row r="68" spans="1:13">
      <c r="A68">
        <v>55</v>
      </c>
      <c r="B68">
        <v>7.0060000000000002</v>
      </c>
      <c r="C68">
        <v>6.4950000000000001</v>
      </c>
      <c r="D68">
        <v>159</v>
      </c>
      <c r="E68">
        <v>159</v>
      </c>
      <c r="F68">
        <v>86</v>
      </c>
      <c r="G68">
        <v>76</v>
      </c>
      <c r="H68">
        <v>123.68300000000001</v>
      </c>
      <c r="I68">
        <v>119.661</v>
      </c>
      <c r="J68">
        <v>760</v>
      </c>
    </row>
    <row r="69" spans="1:13">
      <c r="A69">
        <v>56</v>
      </c>
      <c r="B69">
        <v>5.09</v>
      </c>
      <c r="C69">
        <v>6.0309999999999997</v>
      </c>
      <c r="D69">
        <v>152</v>
      </c>
      <c r="E69">
        <v>154</v>
      </c>
      <c r="F69">
        <v>89</v>
      </c>
      <c r="G69">
        <v>77</v>
      </c>
      <c r="H69">
        <v>122.86799999999999</v>
      </c>
      <c r="I69">
        <v>120.446</v>
      </c>
      <c r="J69">
        <v>1120</v>
      </c>
    </row>
    <row r="70" spans="1:13">
      <c r="A70">
        <v>57</v>
      </c>
      <c r="B70">
        <v>5.5259999999999998</v>
      </c>
      <c r="C70">
        <v>4.7389999999999999</v>
      </c>
      <c r="D70">
        <v>140</v>
      </c>
      <c r="E70">
        <v>137</v>
      </c>
      <c r="F70">
        <v>80</v>
      </c>
      <c r="G70">
        <v>79</v>
      </c>
      <c r="H70">
        <v>109.1</v>
      </c>
      <c r="I70">
        <v>116.04600000000001</v>
      </c>
      <c r="J70">
        <v>167</v>
      </c>
    </row>
    <row r="71" spans="1:13">
      <c r="A71">
        <v>58</v>
      </c>
      <c r="B71">
        <v>6.194</v>
      </c>
      <c r="C71">
        <v>6.43</v>
      </c>
      <c r="D71">
        <v>150</v>
      </c>
      <c r="E71">
        <v>153</v>
      </c>
      <c r="F71">
        <v>79</v>
      </c>
      <c r="G71">
        <v>71</v>
      </c>
      <c r="H71">
        <v>115.312</v>
      </c>
      <c r="I71">
        <v>118.538</v>
      </c>
      <c r="J71">
        <v>510</v>
      </c>
    </row>
    <row r="72" spans="1:13">
      <c r="A72">
        <v>59</v>
      </c>
      <c r="B72">
        <v>5.8170000000000002</v>
      </c>
      <c r="C72">
        <v>6.1740000000000004</v>
      </c>
      <c r="D72">
        <v>156</v>
      </c>
      <c r="E72">
        <v>156</v>
      </c>
      <c r="F72">
        <v>89</v>
      </c>
      <c r="G72">
        <v>78</v>
      </c>
      <c r="H72">
        <v>124.259</v>
      </c>
      <c r="I72">
        <v>121.685</v>
      </c>
      <c r="J72">
        <v>890</v>
      </c>
    </row>
    <row r="73" spans="1:13">
      <c r="A73">
        <v>60</v>
      </c>
      <c r="B73">
        <v>5.0510000000000002</v>
      </c>
      <c r="C73">
        <v>5.7880000000000003</v>
      </c>
      <c r="D73">
        <v>148</v>
      </c>
      <c r="E73">
        <v>151</v>
      </c>
      <c r="F73">
        <v>76</v>
      </c>
      <c r="G73">
        <v>80</v>
      </c>
      <c r="H73">
        <v>119.598</v>
      </c>
      <c r="I73">
        <v>120.425</v>
      </c>
      <c r="J73">
        <v>1270</v>
      </c>
    </row>
    <row r="74" spans="1:13">
      <c r="A74">
        <v>61</v>
      </c>
      <c r="B74">
        <v>5.7110000000000003</v>
      </c>
      <c r="C74">
        <v>5.9029999999999996</v>
      </c>
      <c r="D74">
        <v>158</v>
      </c>
      <c r="E74">
        <v>158</v>
      </c>
      <c r="F74">
        <v>67</v>
      </c>
      <c r="G74">
        <v>67</v>
      </c>
      <c r="H74">
        <v>110.23099999999999</v>
      </c>
      <c r="I74">
        <v>117.259</v>
      </c>
      <c r="J74">
        <v>321</v>
      </c>
    </row>
    <row r="75" spans="1:13">
      <c r="A75">
        <v>62</v>
      </c>
      <c r="B75">
        <v>6.3559999999999999</v>
      </c>
      <c r="C75">
        <v>6.0720000000000001</v>
      </c>
      <c r="D75">
        <v>158</v>
      </c>
      <c r="E75">
        <v>150</v>
      </c>
      <c r="F75">
        <v>93</v>
      </c>
      <c r="G75">
        <v>70</v>
      </c>
      <c r="H75">
        <v>120.732</v>
      </c>
      <c r="I75">
        <v>118.35899999999999</v>
      </c>
      <c r="J75">
        <v>670</v>
      </c>
    </row>
    <row r="76" spans="1:13" ht="15.75">
      <c r="A76">
        <v>63</v>
      </c>
      <c r="B76">
        <v>4.9059999999999997</v>
      </c>
      <c r="C76">
        <v>6.0780000000000003</v>
      </c>
      <c r="D76">
        <v>153</v>
      </c>
      <c r="E76">
        <v>155</v>
      </c>
      <c r="F76">
        <v>90</v>
      </c>
      <c r="G76">
        <v>79</v>
      </c>
      <c r="H76">
        <v>125.069</v>
      </c>
      <c r="I76">
        <v>123.175</v>
      </c>
      <c r="J76">
        <v>1040</v>
      </c>
      <c r="L76" s="6" t="s">
        <v>23</v>
      </c>
    </row>
    <row r="77" spans="1:13">
      <c r="A77">
        <v>64</v>
      </c>
      <c r="B77">
        <v>6.1079999999999997</v>
      </c>
      <c r="C77">
        <v>5.6909999999999998</v>
      </c>
      <c r="D77">
        <v>160</v>
      </c>
      <c r="E77">
        <v>160</v>
      </c>
      <c r="F77">
        <v>82</v>
      </c>
      <c r="G77">
        <v>84</v>
      </c>
      <c r="H77">
        <v>117.499</v>
      </c>
      <c r="I77">
        <v>116.98099999999999</v>
      </c>
      <c r="J77">
        <v>84</v>
      </c>
    </row>
    <row r="78" spans="1:13">
      <c r="A78">
        <v>65</v>
      </c>
      <c r="B78">
        <v>5.9189999999999996</v>
      </c>
      <c r="C78">
        <v>5.6849999999999996</v>
      </c>
      <c r="D78">
        <v>148</v>
      </c>
      <c r="E78">
        <v>149</v>
      </c>
      <c r="F78">
        <v>84</v>
      </c>
      <c r="G78">
        <v>76</v>
      </c>
      <c r="H78">
        <v>115.529</v>
      </c>
      <c r="I78">
        <v>118.40900000000001</v>
      </c>
      <c r="J78">
        <v>420</v>
      </c>
      <c r="L78" s="7">
        <v>5.74692E-11</v>
      </c>
      <c r="M78" s="8">
        <v>4</v>
      </c>
    </row>
    <row r="79" spans="1:13">
      <c r="A79">
        <v>66</v>
      </c>
      <c r="B79">
        <v>6.3479999999999999</v>
      </c>
      <c r="C79">
        <v>6.0579999999999998</v>
      </c>
      <c r="D79">
        <v>156</v>
      </c>
      <c r="E79">
        <v>150</v>
      </c>
      <c r="F79">
        <v>96</v>
      </c>
      <c r="G79">
        <v>80</v>
      </c>
      <c r="H79">
        <v>126.452</v>
      </c>
      <c r="I79">
        <v>121.617</v>
      </c>
      <c r="J79">
        <v>800</v>
      </c>
      <c r="L79" s="7">
        <v>-2.365324265E-7</v>
      </c>
      <c r="M79" s="8">
        <v>3</v>
      </c>
    </row>
    <row r="80" spans="1:13">
      <c r="A80">
        <v>67</v>
      </c>
      <c r="B80">
        <v>5.6260000000000003</v>
      </c>
      <c r="C80">
        <v>6.5090000000000003</v>
      </c>
      <c r="D80">
        <v>171</v>
      </c>
      <c r="E80">
        <v>170</v>
      </c>
      <c r="F80">
        <v>88</v>
      </c>
      <c r="G80">
        <v>78</v>
      </c>
      <c r="H80">
        <v>125.991</v>
      </c>
      <c r="I80">
        <v>124.018</v>
      </c>
      <c r="J80">
        <v>1170</v>
      </c>
      <c r="L80">
        <v>2.9894157562019999E-4</v>
      </c>
      <c r="M80" s="8">
        <v>2</v>
      </c>
    </row>
    <row r="81" spans="1:13">
      <c r="A81">
        <v>68</v>
      </c>
      <c r="B81">
        <v>4.8380000000000001</v>
      </c>
      <c r="C81">
        <v>4.7329999999999997</v>
      </c>
      <c r="D81">
        <v>137</v>
      </c>
      <c r="E81">
        <v>137</v>
      </c>
      <c r="F81">
        <v>78</v>
      </c>
      <c r="G81">
        <v>80</v>
      </c>
      <c r="H81">
        <v>109.123</v>
      </c>
      <c r="I81">
        <v>117.127</v>
      </c>
      <c r="J81">
        <v>211</v>
      </c>
      <c r="L81">
        <v>-0.117250046702221</v>
      </c>
      <c r="M81" s="8">
        <v>1</v>
      </c>
    </row>
    <row r="82" spans="1:13">
      <c r="A82">
        <v>69</v>
      </c>
      <c r="B82">
        <v>6.6680000000000001</v>
      </c>
      <c r="C82">
        <v>6.2160000000000002</v>
      </c>
      <c r="D82">
        <v>150</v>
      </c>
      <c r="E82">
        <v>150</v>
      </c>
      <c r="F82">
        <v>83</v>
      </c>
      <c r="G82">
        <v>76</v>
      </c>
      <c r="H82">
        <v>114.41500000000001</v>
      </c>
      <c r="I82">
        <v>117.178</v>
      </c>
      <c r="J82">
        <v>540</v>
      </c>
      <c r="L82">
        <v>126.278736433473</v>
      </c>
      <c r="M82" s="8">
        <v>0</v>
      </c>
    </row>
    <row r="83" spans="1:13">
      <c r="A83">
        <v>70</v>
      </c>
      <c r="B83">
        <v>5.8879999999999999</v>
      </c>
      <c r="C83">
        <v>6.8070000000000004</v>
      </c>
      <c r="D83">
        <v>157</v>
      </c>
      <c r="E83">
        <v>154</v>
      </c>
      <c r="F83">
        <v>87</v>
      </c>
      <c r="G83">
        <v>73</v>
      </c>
      <c r="H83">
        <v>123.38200000000001</v>
      </c>
      <c r="I83">
        <v>120.633</v>
      </c>
      <c r="J83">
        <v>910</v>
      </c>
    </row>
    <row r="84" spans="1:13">
      <c r="A84">
        <v>71</v>
      </c>
      <c r="B84">
        <v>5.5</v>
      </c>
      <c r="C84">
        <v>6.44</v>
      </c>
      <c r="D84">
        <v>150</v>
      </c>
      <c r="E84">
        <v>151</v>
      </c>
      <c r="F84">
        <v>86</v>
      </c>
      <c r="G84">
        <v>80</v>
      </c>
      <c r="H84">
        <v>119.419</v>
      </c>
      <c r="I84">
        <v>120.09</v>
      </c>
      <c r="J84">
        <v>1270</v>
      </c>
    </row>
    <row r="85" spans="1:13">
      <c r="A85">
        <v>72</v>
      </c>
      <c r="B85">
        <v>5.6609999999999996</v>
      </c>
      <c r="C85">
        <v>4.9720000000000004</v>
      </c>
      <c r="D85">
        <v>140</v>
      </c>
      <c r="E85">
        <v>142</v>
      </c>
      <c r="F85">
        <v>76</v>
      </c>
      <c r="G85">
        <v>77</v>
      </c>
      <c r="H85">
        <v>110.935</v>
      </c>
      <c r="I85">
        <v>117.997</v>
      </c>
      <c r="J85">
        <v>317</v>
      </c>
    </row>
    <row r="86" spans="1:13">
      <c r="A86">
        <v>73</v>
      </c>
      <c r="B86">
        <v>6.2050000000000001</v>
      </c>
      <c r="C86">
        <v>6.45</v>
      </c>
      <c r="D86">
        <v>159</v>
      </c>
      <c r="E86">
        <v>156</v>
      </c>
      <c r="F86">
        <v>90</v>
      </c>
      <c r="G86">
        <v>77</v>
      </c>
      <c r="H86">
        <v>123.34</v>
      </c>
      <c r="I86">
        <v>121.35299999999999</v>
      </c>
      <c r="J86">
        <v>660</v>
      </c>
    </row>
    <row r="87" spans="1:13">
      <c r="A87">
        <v>74</v>
      </c>
      <c r="B87">
        <v>5.4</v>
      </c>
      <c r="C87">
        <v>6.3319999999999999</v>
      </c>
      <c r="D87">
        <v>153</v>
      </c>
      <c r="E87">
        <v>159</v>
      </c>
      <c r="F87">
        <v>91</v>
      </c>
      <c r="G87">
        <v>80</v>
      </c>
      <c r="H87">
        <v>126.30200000000001</v>
      </c>
      <c r="I87">
        <v>124.732</v>
      </c>
      <c r="J87">
        <v>1030</v>
      </c>
    </row>
    <row r="88" spans="1:13">
      <c r="A88">
        <v>75</v>
      </c>
      <c r="B88">
        <v>4.8150000000000004</v>
      </c>
      <c r="C88">
        <v>4.9610000000000003</v>
      </c>
      <c r="D88">
        <v>146</v>
      </c>
      <c r="E88">
        <v>161</v>
      </c>
      <c r="F88">
        <v>81</v>
      </c>
      <c r="G88">
        <v>88</v>
      </c>
      <c r="H88">
        <v>118.791</v>
      </c>
      <c r="I88">
        <v>117.742</v>
      </c>
      <c r="J88">
        <v>74</v>
      </c>
    </row>
    <row r="89" spans="1:13">
      <c r="A89">
        <v>76</v>
      </c>
      <c r="B89">
        <v>6.1580000000000004</v>
      </c>
      <c r="C89">
        <v>6.016</v>
      </c>
      <c r="D89">
        <v>154</v>
      </c>
      <c r="E89">
        <v>158</v>
      </c>
      <c r="F89">
        <v>84</v>
      </c>
      <c r="G89">
        <v>77</v>
      </c>
      <c r="H89">
        <v>114.473</v>
      </c>
      <c r="I89">
        <v>117.471</v>
      </c>
      <c r="J89">
        <v>410</v>
      </c>
    </row>
    <row r="90" spans="1:13">
      <c r="A90">
        <v>77</v>
      </c>
      <c r="B90">
        <v>5.6040000000000001</v>
      </c>
      <c r="C90">
        <v>5.9320000000000004</v>
      </c>
      <c r="D90">
        <v>155</v>
      </c>
      <c r="E90">
        <v>151</v>
      </c>
      <c r="F90">
        <v>96</v>
      </c>
      <c r="G90">
        <v>84</v>
      </c>
      <c r="H90">
        <v>126.661</v>
      </c>
      <c r="I90">
        <v>122.277</v>
      </c>
      <c r="J90">
        <v>780</v>
      </c>
    </row>
    <row r="91" spans="1:13">
      <c r="A91">
        <v>78</v>
      </c>
      <c r="B91">
        <v>5.218</v>
      </c>
      <c r="C91">
        <v>6.2480000000000002</v>
      </c>
      <c r="D91">
        <v>160</v>
      </c>
      <c r="E91">
        <v>164</v>
      </c>
      <c r="F91">
        <v>92</v>
      </c>
      <c r="G91">
        <v>81</v>
      </c>
      <c r="H91">
        <v>127.57299999999999</v>
      </c>
      <c r="I91">
        <v>125.134</v>
      </c>
      <c r="J91">
        <v>1160</v>
      </c>
    </row>
    <row r="92" spans="1:13">
      <c r="A92">
        <v>79</v>
      </c>
      <c r="B92">
        <v>5.8470000000000004</v>
      </c>
      <c r="C92">
        <v>5.4180000000000001</v>
      </c>
      <c r="D92">
        <v>147</v>
      </c>
      <c r="E92">
        <v>147</v>
      </c>
      <c r="F92">
        <v>76</v>
      </c>
      <c r="G92">
        <v>76</v>
      </c>
      <c r="H92">
        <v>111.029</v>
      </c>
      <c r="I92">
        <v>118.988</v>
      </c>
      <c r="J92">
        <v>204</v>
      </c>
    </row>
    <row r="93" spans="1:13">
      <c r="A93">
        <v>80</v>
      </c>
      <c r="B93">
        <v>5.9390000000000001</v>
      </c>
      <c r="C93">
        <v>6.056</v>
      </c>
      <c r="D93">
        <v>148</v>
      </c>
      <c r="E93">
        <v>147</v>
      </c>
      <c r="F93">
        <v>81</v>
      </c>
      <c r="G93">
        <v>77</v>
      </c>
      <c r="H93">
        <v>116.729</v>
      </c>
      <c r="I93">
        <v>120.273</v>
      </c>
      <c r="J93">
        <v>540</v>
      </c>
    </row>
    <row r="94" spans="1:13">
      <c r="A94">
        <v>81</v>
      </c>
      <c r="B94">
        <v>6.6520000000000001</v>
      </c>
      <c r="C94">
        <v>6.0750000000000002</v>
      </c>
      <c r="D94">
        <v>159</v>
      </c>
      <c r="E94">
        <v>153</v>
      </c>
      <c r="F94">
        <v>91</v>
      </c>
      <c r="G94">
        <v>77</v>
      </c>
      <c r="H94">
        <v>124.794</v>
      </c>
      <c r="I94">
        <v>122.458</v>
      </c>
      <c r="J94">
        <v>920</v>
      </c>
    </row>
    <row r="95" spans="1:13">
      <c r="A95">
        <v>82</v>
      </c>
      <c r="B95">
        <v>5.8289999999999997</v>
      </c>
      <c r="C95">
        <v>6.3730000000000002</v>
      </c>
      <c r="D95">
        <v>155</v>
      </c>
      <c r="E95">
        <v>156</v>
      </c>
      <c r="F95">
        <v>78</v>
      </c>
      <c r="G95">
        <v>74</v>
      </c>
      <c r="H95">
        <v>119.47799999999999</v>
      </c>
      <c r="I95">
        <v>119.85899999999999</v>
      </c>
      <c r="J95">
        <v>1280</v>
      </c>
    </row>
    <row r="96" spans="1:13">
      <c r="A96">
        <v>83</v>
      </c>
      <c r="B96">
        <v>5.6970000000000001</v>
      </c>
      <c r="C96">
        <v>4.9539999999999997</v>
      </c>
      <c r="D96">
        <v>146</v>
      </c>
      <c r="E96">
        <v>146</v>
      </c>
      <c r="F96">
        <v>79</v>
      </c>
      <c r="G96">
        <v>77</v>
      </c>
      <c r="H96">
        <v>110.301</v>
      </c>
      <c r="I96">
        <v>117.12</v>
      </c>
      <c r="J96">
        <v>324</v>
      </c>
    </row>
    <row r="97" spans="1:10">
      <c r="A97">
        <v>84</v>
      </c>
      <c r="B97">
        <v>5.87</v>
      </c>
      <c r="C97">
        <v>6.0209999999999999</v>
      </c>
      <c r="D97">
        <v>154</v>
      </c>
      <c r="E97">
        <v>155</v>
      </c>
      <c r="F97">
        <v>91</v>
      </c>
      <c r="G97">
        <v>81</v>
      </c>
      <c r="H97">
        <v>123.405</v>
      </c>
      <c r="I97">
        <v>121.321</v>
      </c>
      <c r="J97">
        <v>660</v>
      </c>
    </row>
    <row r="98" spans="1:10">
      <c r="A98">
        <v>85</v>
      </c>
      <c r="B98">
        <v>5.7469999999999999</v>
      </c>
      <c r="C98">
        <v>6.7539999999999996</v>
      </c>
      <c r="D98">
        <v>162</v>
      </c>
      <c r="E98">
        <v>166</v>
      </c>
      <c r="F98">
        <v>89</v>
      </c>
      <c r="G98">
        <v>75</v>
      </c>
      <c r="H98">
        <v>127.524</v>
      </c>
      <c r="I98">
        <v>125.98</v>
      </c>
      <c r="J98">
        <v>1030</v>
      </c>
    </row>
    <row r="99" spans="1:10">
      <c r="A99">
        <v>86</v>
      </c>
      <c r="B99">
        <v>5.1020000000000003</v>
      </c>
      <c r="C99">
        <v>4.99</v>
      </c>
      <c r="D99">
        <v>145</v>
      </c>
      <c r="E99">
        <v>145</v>
      </c>
      <c r="F99">
        <v>85</v>
      </c>
      <c r="G99">
        <v>87</v>
      </c>
      <c r="H99">
        <v>119.747</v>
      </c>
      <c r="I99">
        <v>118.875</v>
      </c>
      <c r="J99">
        <v>74</v>
      </c>
    </row>
    <row r="100" spans="1:10">
      <c r="A100">
        <v>87</v>
      </c>
      <c r="B100">
        <v>5.694</v>
      </c>
      <c r="C100">
        <v>5.5529999999999999</v>
      </c>
      <c r="D100">
        <v>145</v>
      </c>
      <c r="E100">
        <v>150</v>
      </c>
      <c r="F100">
        <v>88</v>
      </c>
      <c r="G100">
        <v>79</v>
      </c>
      <c r="H100">
        <v>115.373</v>
      </c>
      <c r="I100">
        <v>118.40600000000001</v>
      </c>
      <c r="J100">
        <v>410</v>
      </c>
    </row>
    <row r="101" spans="1:10">
      <c r="A101">
        <v>88</v>
      </c>
      <c r="B101">
        <v>7.3440000000000003</v>
      </c>
      <c r="C101">
        <v>6.5209999999999999</v>
      </c>
      <c r="D101">
        <v>160</v>
      </c>
      <c r="E101">
        <v>158</v>
      </c>
      <c r="F101">
        <v>87</v>
      </c>
      <c r="G101">
        <v>66</v>
      </c>
      <c r="H101">
        <v>125.711</v>
      </c>
      <c r="I101">
        <v>121.041</v>
      </c>
      <c r="J101">
        <v>800</v>
      </c>
    </row>
    <row r="102" spans="1:10">
      <c r="A102">
        <v>89</v>
      </c>
      <c r="B102">
        <v>4.9180000000000001</v>
      </c>
      <c r="C102">
        <v>6.0369999999999999</v>
      </c>
      <c r="D102">
        <v>152</v>
      </c>
      <c r="E102">
        <v>153</v>
      </c>
      <c r="F102">
        <v>93</v>
      </c>
      <c r="G102">
        <v>81</v>
      </c>
      <c r="H102">
        <v>126.70699999999999</v>
      </c>
      <c r="I102">
        <v>124.464</v>
      </c>
      <c r="J102">
        <v>1160</v>
      </c>
    </row>
    <row r="103" spans="1:10">
      <c r="A103">
        <v>90</v>
      </c>
      <c r="B103">
        <v>5.899</v>
      </c>
      <c r="C103">
        <v>4.8209999999999997</v>
      </c>
      <c r="D103">
        <v>138</v>
      </c>
      <c r="E103">
        <v>138</v>
      </c>
      <c r="F103">
        <v>78</v>
      </c>
      <c r="G103">
        <v>78</v>
      </c>
      <c r="H103">
        <v>110.202</v>
      </c>
      <c r="I103">
        <v>117.967</v>
      </c>
      <c r="J103">
        <v>201</v>
      </c>
    </row>
    <row r="104" spans="1:10">
      <c r="A104">
        <v>91</v>
      </c>
      <c r="B104">
        <v>6.4569999999999999</v>
      </c>
      <c r="C104">
        <v>6.4390000000000001</v>
      </c>
      <c r="D104">
        <v>156</v>
      </c>
      <c r="E104">
        <v>162</v>
      </c>
      <c r="F104">
        <v>82</v>
      </c>
      <c r="G104">
        <v>74</v>
      </c>
      <c r="H104">
        <v>117.063</v>
      </c>
      <c r="I104">
        <v>120.193</v>
      </c>
      <c r="J104">
        <v>530</v>
      </c>
    </row>
    <row r="105" spans="1:10">
      <c r="A105">
        <v>92</v>
      </c>
      <c r="B105">
        <v>6.0140000000000002</v>
      </c>
      <c r="C105">
        <v>6.0640000000000001</v>
      </c>
      <c r="D105">
        <v>158</v>
      </c>
      <c r="E105">
        <v>158</v>
      </c>
      <c r="F105">
        <v>93</v>
      </c>
      <c r="G105">
        <v>83</v>
      </c>
      <c r="H105">
        <v>128.78</v>
      </c>
      <c r="I105">
        <v>126.19499999999999</v>
      </c>
      <c r="J105">
        <v>900</v>
      </c>
    </row>
    <row r="106" spans="1:10">
      <c r="A106">
        <v>93</v>
      </c>
      <c r="B106">
        <v>5.0430000000000001</v>
      </c>
      <c r="C106">
        <v>6.4080000000000004</v>
      </c>
      <c r="D106">
        <v>151</v>
      </c>
      <c r="E106">
        <v>152</v>
      </c>
      <c r="F106">
        <v>86</v>
      </c>
      <c r="G106">
        <v>81</v>
      </c>
      <c r="H106">
        <v>123.55500000000001</v>
      </c>
      <c r="I106">
        <v>124.175</v>
      </c>
      <c r="J106">
        <v>1270</v>
      </c>
    </row>
    <row r="107" spans="1:10">
      <c r="A107">
        <v>94</v>
      </c>
      <c r="B107">
        <v>5.8120000000000003</v>
      </c>
      <c r="C107">
        <v>5.6779999999999999</v>
      </c>
      <c r="D107">
        <v>150</v>
      </c>
      <c r="E107">
        <v>153</v>
      </c>
      <c r="F107">
        <v>73</v>
      </c>
      <c r="G107">
        <v>71</v>
      </c>
      <c r="H107">
        <v>111.069</v>
      </c>
      <c r="I107">
        <v>118.711</v>
      </c>
      <c r="J107">
        <v>314</v>
      </c>
    </row>
    <row r="108" spans="1:10">
      <c r="A108">
        <v>95</v>
      </c>
      <c r="B108">
        <v>7.0609999999999999</v>
      </c>
      <c r="C108">
        <v>6.4349999999999996</v>
      </c>
      <c r="D108">
        <v>150</v>
      </c>
      <c r="E108">
        <v>153</v>
      </c>
      <c r="F108">
        <v>89</v>
      </c>
      <c r="G108">
        <v>77</v>
      </c>
      <c r="H108">
        <v>120.504</v>
      </c>
      <c r="I108">
        <v>119.02800000000001</v>
      </c>
      <c r="J108">
        <v>650</v>
      </c>
    </row>
    <row r="109" spans="1:10">
      <c r="A109">
        <v>96</v>
      </c>
      <c r="B109">
        <v>4.8410000000000002</v>
      </c>
      <c r="C109">
        <v>6.0469999999999997</v>
      </c>
      <c r="D109">
        <v>159</v>
      </c>
      <c r="E109">
        <v>161</v>
      </c>
      <c r="F109">
        <v>95</v>
      </c>
      <c r="G109">
        <v>78</v>
      </c>
      <c r="H109">
        <v>123.22799999999999</v>
      </c>
      <c r="I109">
        <v>122.444</v>
      </c>
      <c r="J109">
        <v>1010</v>
      </c>
    </row>
    <row r="110" spans="1:10">
      <c r="A110">
        <v>97</v>
      </c>
      <c r="B110">
        <v>6.3959999999999999</v>
      </c>
      <c r="C110">
        <v>5.9649999999999999</v>
      </c>
      <c r="D110">
        <v>154</v>
      </c>
      <c r="E110">
        <v>156</v>
      </c>
      <c r="F110">
        <v>76</v>
      </c>
      <c r="G110">
        <v>86</v>
      </c>
      <c r="H110">
        <v>119.59699999999999</v>
      </c>
      <c r="I110">
        <v>118.473</v>
      </c>
      <c r="J110">
        <v>51</v>
      </c>
    </row>
    <row r="111" spans="1:10">
      <c r="A111">
        <v>98</v>
      </c>
      <c r="B111">
        <v>5.2910000000000004</v>
      </c>
      <c r="C111">
        <v>5.5419999999999998</v>
      </c>
      <c r="D111">
        <v>145</v>
      </c>
      <c r="E111">
        <v>145</v>
      </c>
      <c r="F111">
        <v>82</v>
      </c>
      <c r="G111">
        <v>78</v>
      </c>
      <c r="H111">
        <v>114.426</v>
      </c>
      <c r="I111">
        <v>118.79600000000001</v>
      </c>
      <c r="J111">
        <v>380</v>
      </c>
    </row>
    <row r="112" spans="1:10">
      <c r="A112">
        <v>99</v>
      </c>
      <c r="B112">
        <v>6.2149999999999999</v>
      </c>
      <c r="C112">
        <v>5.835</v>
      </c>
      <c r="D112">
        <v>154</v>
      </c>
      <c r="E112">
        <v>150</v>
      </c>
      <c r="F112">
        <v>96</v>
      </c>
      <c r="G112">
        <v>79</v>
      </c>
      <c r="H112">
        <v>126.45099999999999</v>
      </c>
      <c r="I112">
        <v>122.15900000000001</v>
      </c>
      <c r="J112">
        <v>750</v>
      </c>
    </row>
    <row r="113" spans="1:10">
      <c r="A113">
        <v>100</v>
      </c>
      <c r="B113">
        <v>5.5119999999999996</v>
      </c>
      <c r="C113">
        <v>6.4989999999999997</v>
      </c>
      <c r="D113">
        <v>160</v>
      </c>
      <c r="E113">
        <v>164</v>
      </c>
      <c r="F113">
        <v>88</v>
      </c>
      <c r="G113">
        <v>78</v>
      </c>
      <c r="H113">
        <v>126.081</v>
      </c>
      <c r="I113">
        <v>124.509</v>
      </c>
      <c r="J113">
        <v>1130</v>
      </c>
    </row>
    <row r="114" spans="1:10">
      <c r="A114">
        <v>101</v>
      </c>
      <c r="B114">
        <v>4.8170000000000002</v>
      </c>
      <c r="C114">
        <v>5</v>
      </c>
      <c r="D114">
        <v>137</v>
      </c>
      <c r="E114">
        <v>138</v>
      </c>
      <c r="F114">
        <v>77</v>
      </c>
      <c r="G114">
        <v>83</v>
      </c>
      <c r="H114">
        <v>110.99299999999999</v>
      </c>
      <c r="I114">
        <v>118.044</v>
      </c>
      <c r="J114">
        <v>174</v>
      </c>
    </row>
    <row r="115" spans="1:10">
      <c r="A115">
        <v>102</v>
      </c>
      <c r="B115">
        <v>6.2859999999999996</v>
      </c>
      <c r="C115">
        <v>6.0090000000000003</v>
      </c>
      <c r="D115">
        <v>147</v>
      </c>
      <c r="E115">
        <v>149</v>
      </c>
      <c r="F115">
        <v>87</v>
      </c>
      <c r="G115">
        <v>78</v>
      </c>
      <c r="H115">
        <v>115.255</v>
      </c>
      <c r="I115">
        <v>117.828</v>
      </c>
      <c r="J115">
        <v>510</v>
      </c>
    </row>
    <row r="116" spans="1:10">
      <c r="A116">
        <v>103</v>
      </c>
      <c r="B116">
        <v>5.7709999999999999</v>
      </c>
      <c r="C116">
        <v>6.8209999999999997</v>
      </c>
      <c r="D116">
        <v>164</v>
      </c>
      <c r="E116">
        <v>164</v>
      </c>
      <c r="F116">
        <v>89</v>
      </c>
      <c r="G116">
        <v>76</v>
      </c>
      <c r="H116">
        <v>125.08</v>
      </c>
      <c r="I116">
        <v>122.39700000000001</v>
      </c>
      <c r="J116">
        <v>880</v>
      </c>
    </row>
    <row r="117" spans="1:10">
      <c r="A117">
        <v>104</v>
      </c>
      <c r="B117">
        <v>5.8929999999999998</v>
      </c>
      <c r="C117">
        <v>6.9180000000000001</v>
      </c>
      <c r="D117">
        <v>151</v>
      </c>
      <c r="E117">
        <v>149</v>
      </c>
      <c r="F117">
        <v>92</v>
      </c>
      <c r="G117">
        <v>82</v>
      </c>
      <c r="H117">
        <v>123.123</v>
      </c>
      <c r="I117">
        <v>123.438</v>
      </c>
      <c r="J117">
        <v>1260</v>
      </c>
    </row>
    <row r="118" spans="1:10">
      <c r="A118">
        <v>105</v>
      </c>
      <c r="B118">
        <v>4.9969999999999999</v>
      </c>
      <c r="C118">
        <v>5.0090000000000003</v>
      </c>
      <c r="D118">
        <v>151</v>
      </c>
      <c r="E118">
        <v>151</v>
      </c>
      <c r="F118">
        <v>78</v>
      </c>
      <c r="G118">
        <v>77</v>
      </c>
      <c r="H118">
        <v>112.047</v>
      </c>
      <c r="I118">
        <v>119.911</v>
      </c>
      <c r="J118">
        <v>307</v>
      </c>
    </row>
    <row r="119" spans="1:10">
      <c r="A119">
        <v>106</v>
      </c>
      <c r="B119">
        <v>6.51</v>
      </c>
      <c r="C119">
        <v>6.5259999999999998</v>
      </c>
      <c r="D119">
        <v>160</v>
      </c>
      <c r="E119">
        <v>157</v>
      </c>
      <c r="F119">
        <v>91</v>
      </c>
      <c r="G119">
        <v>76</v>
      </c>
      <c r="H119">
        <v>124.706</v>
      </c>
      <c r="I119">
        <v>122.70699999999999</v>
      </c>
      <c r="J119">
        <v>650</v>
      </c>
    </row>
    <row r="120" spans="1:10">
      <c r="A120">
        <v>107</v>
      </c>
      <c r="B120">
        <v>5.2779999999999996</v>
      </c>
      <c r="C120">
        <v>6.5659999999999998</v>
      </c>
      <c r="D120">
        <v>163</v>
      </c>
      <c r="E120">
        <v>169</v>
      </c>
      <c r="F120">
        <v>97</v>
      </c>
      <c r="G120">
        <v>81</v>
      </c>
      <c r="H120">
        <v>127.53700000000001</v>
      </c>
      <c r="I120">
        <v>126.96299999999999</v>
      </c>
      <c r="J120">
        <v>1030</v>
      </c>
    </row>
    <row r="121" spans="1:10">
      <c r="A121">
        <v>108</v>
      </c>
      <c r="B121">
        <v>5.2110000000000003</v>
      </c>
      <c r="C121">
        <v>4.9980000000000002</v>
      </c>
      <c r="D121">
        <v>156</v>
      </c>
      <c r="E121">
        <v>156</v>
      </c>
      <c r="F121">
        <v>86</v>
      </c>
      <c r="G121">
        <v>89</v>
      </c>
      <c r="H121">
        <v>120.68300000000001</v>
      </c>
      <c r="I121">
        <v>119.736</v>
      </c>
      <c r="J121">
        <v>71</v>
      </c>
    </row>
    <row r="122" spans="1:10">
      <c r="A122">
        <v>109</v>
      </c>
      <c r="B122">
        <v>6.609</v>
      </c>
      <c r="C122">
        <v>6.1550000000000002</v>
      </c>
      <c r="D122">
        <v>158</v>
      </c>
      <c r="E122">
        <v>158</v>
      </c>
      <c r="F122">
        <v>81</v>
      </c>
      <c r="G122">
        <v>72</v>
      </c>
      <c r="H122">
        <v>114.979</v>
      </c>
      <c r="I122">
        <v>118.018</v>
      </c>
      <c r="J122">
        <v>400</v>
      </c>
    </row>
    <row r="123" spans="1:10">
      <c r="A123">
        <v>110</v>
      </c>
      <c r="B123">
        <v>5.452</v>
      </c>
      <c r="C123">
        <v>5.9980000000000002</v>
      </c>
      <c r="D123">
        <v>155</v>
      </c>
      <c r="E123">
        <v>155</v>
      </c>
      <c r="F123">
        <v>98</v>
      </c>
      <c r="G123">
        <v>79</v>
      </c>
      <c r="H123">
        <v>127.60299999999999</v>
      </c>
      <c r="I123">
        <v>123.664</v>
      </c>
      <c r="J123">
        <v>770</v>
      </c>
    </row>
    <row r="124" spans="1:10">
      <c r="A124">
        <v>111</v>
      </c>
      <c r="B124">
        <v>5.0839999999999996</v>
      </c>
      <c r="C124">
        <v>6.3479999999999999</v>
      </c>
      <c r="D124">
        <v>159</v>
      </c>
      <c r="E124">
        <v>162</v>
      </c>
      <c r="F124">
        <v>96</v>
      </c>
      <c r="G124">
        <v>79</v>
      </c>
      <c r="H124">
        <v>128.89400000000001</v>
      </c>
      <c r="I124">
        <v>127.08799999999999</v>
      </c>
      <c r="J124">
        <v>1140</v>
      </c>
    </row>
    <row r="125" spans="1:10">
      <c r="A125">
        <v>112</v>
      </c>
      <c r="B125">
        <v>6.1639999999999997</v>
      </c>
      <c r="C125">
        <v>5.58</v>
      </c>
      <c r="D125">
        <v>154</v>
      </c>
      <c r="E125">
        <v>154</v>
      </c>
      <c r="F125">
        <v>69</v>
      </c>
      <c r="G125">
        <v>69</v>
      </c>
      <c r="H125">
        <v>112.536</v>
      </c>
      <c r="I125">
        <v>119.884</v>
      </c>
      <c r="J125">
        <v>187</v>
      </c>
    </row>
    <row r="126" spans="1:10">
      <c r="A126">
        <v>113</v>
      </c>
      <c r="B126">
        <v>5.56</v>
      </c>
      <c r="C126">
        <v>6.0090000000000003</v>
      </c>
      <c r="D126">
        <v>157</v>
      </c>
      <c r="E126">
        <v>157</v>
      </c>
      <c r="F126">
        <v>83</v>
      </c>
      <c r="G126">
        <v>79</v>
      </c>
      <c r="H126">
        <v>118.33199999999999</v>
      </c>
      <c r="I126">
        <v>122.41500000000001</v>
      </c>
      <c r="J126">
        <v>530</v>
      </c>
    </row>
    <row r="127" spans="1:10">
      <c r="A127">
        <v>114</v>
      </c>
      <c r="B127">
        <v>5.7210000000000001</v>
      </c>
      <c r="C127">
        <v>6.1390000000000002</v>
      </c>
      <c r="D127">
        <v>168</v>
      </c>
      <c r="E127">
        <v>168</v>
      </c>
      <c r="F127">
        <v>92</v>
      </c>
      <c r="G127">
        <v>76</v>
      </c>
      <c r="H127">
        <v>126.193</v>
      </c>
      <c r="I127">
        <v>123.989</v>
      </c>
      <c r="J127">
        <v>900</v>
      </c>
    </row>
    <row r="128" spans="1:10">
      <c r="A128">
        <v>115</v>
      </c>
      <c r="B128">
        <v>5.8819999999999997</v>
      </c>
      <c r="C128">
        <v>6.2619999999999996</v>
      </c>
      <c r="D128">
        <v>160</v>
      </c>
      <c r="E128">
        <v>160</v>
      </c>
      <c r="F128">
        <v>81</v>
      </c>
      <c r="G128">
        <v>79</v>
      </c>
      <c r="H128">
        <v>120.077</v>
      </c>
      <c r="I128">
        <v>120.342</v>
      </c>
      <c r="J128">
        <v>1270</v>
      </c>
    </row>
    <row r="129" spans="1:10">
      <c r="A129">
        <v>116</v>
      </c>
      <c r="B129">
        <v>5.7510000000000003</v>
      </c>
      <c r="C129">
        <v>5.0510000000000002</v>
      </c>
      <c r="D129">
        <v>143</v>
      </c>
      <c r="E129">
        <v>141</v>
      </c>
      <c r="F129">
        <v>81</v>
      </c>
      <c r="G129">
        <v>75</v>
      </c>
      <c r="H129">
        <v>111.17400000000001</v>
      </c>
      <c r="I129">
        <v>117.56699999999999</v>
      </c>
      <c r="J129">
        <v>321</v>
      </c>
    </row>
    <row r="130" spans="1:10">
      <c r="A130">
        <v>117</v>
      </c>
      <c r="B130">
        <v>5.9269999999999996</v>
      </c>
      <c r="C130">
        <v>6.149</v>
      </c>
      <c r="D130">
        <v>166</v>
      </c>
      <c r="E130">
        <v>152</v>
      </c>
      <c r="F130">
        <v>88</v>
      </c>
      <c r="G130">
        <v>80</v>
      </c>
      <c r="H130">
        <v>124.82599999999999</v>
      </c>
      <c r="I130">
        <v>122.40600000000001</v>
      </c>
      <c r="J130">
        <v>670</v>
      </c>
    </row>
    <row r="131" spans="1:10">
      <c r="A131">
        <v>118</v>
      </c>
      <c r="B131">
        <v>5.6340000000000003</v>
      </c>
      <c r="C131">
        <v>6.96</v>
      </c>
      <c r="D131">
        <v>164</v>
      </c>
      <c r="E131">
        <v>168</v>
      </c>
      <c r="F131">
        <v>92</v>
      </c>
      <c r="G131">
        <v>75</v>
      </c>
      <c r="H131">
        <v>126.767</v>
      </c>
      <c r="I131">
        <v>125.622</v>
      </c>
      <c r="J131">
        <v>1050</v>
      </c>
    </row>
    <row r="132" spans="1:10">
      <c r="A132">
        <v>119</v>
      </c>
      <c r="B132">
        <v>5.1479999999999997</v>
      </c>
      <c r="C132">
        <v>5.0250000000000004</v>
      </c>
      <c r="D132">
        <v>149</v>
      </c>
      <c r="E132">
        <v>149</v>
      </c>
      <c r="F132">
        <v>84</v>
      </c>
      <c r="G132">
        <v>84</v>
      </c>
      <c r="H132">
        <v>119.691</v>
      </c>
      <c r="I132">
        <v>119.407</v>
      </c>
      <c r="J132">
        <v>94</v>
      </c>
    </row>
    <row r="133" spans="1:10">
      <c r="A133">
        <v>120</v>
      </c>
      <c r="B133">
        <v>5.3090000000000002</v>
      </c>
      <c r="C133">
        <v>5.867</v>
      </c>
      <c r="D133">
        <v>147</v>
      </c>
      <c r="E133">
        <v>147</v>
      </c>
      <c r="F133">
        <v>87</v>
      </c>
      <c r="G133">
        <v>79</v>
      </c>
      <c r="H133">
        <v>116.79600000000001</v>
      </c>
      <c r="I133">
        <v>120.07299999999999</v>
      </c>
      <c r="J133">
        <v>430</v>
      </c>
    </row>
    <row r="134" spans="1:10">
      <c r="A134">
        <v>121</v>
      </c>
      <c r="B134">
        <v>6.8079999999999998</v>
      </c>
      <c r="C134">
        <v>6.5960000000000001</v>
      </c>
      <c r="D134">
        <v>164</v>
      </c>
      <c r="E134">
        <v>164</v>
      </c>
      <c r="F134">
        <v>80</v>
      </c>
      <c r="G134">
        <v>72</v>
      </c>
      <c r="H134">
        <v>126.651</v>
      </c>
      <c r="I134">
        <v>122.45699999999999</v>
      </c>
      <c r="J134">
        <v>810</v>
      </c>
    </row>
    <row r="135" spans="1:10">
      <c r="A135">
        <v>122</v>
      </c>
      <c r="B135">
        <v>5.14</v>
      </c>
      <c r="C135">
        <v>6.1159999999999997</v>
      </c>
      <c r="D135">
        <v>153</v>
      </c>
      <c r="E135">
        <v>161</v>
      </c>
      <c r="F135">
        <v>90</v>
      </c>
      <c r="G135">
        <v>78</v>
      </c>
      <c r="H135">
        <v>124.798</v>
      </c>
      <c r="I135">
        <v>122.5</v>
      </c>
      <c r="J135">
        <v>1180</v>
      </c>
    </row>
    <row r="136" spans="1:10">
      <c r="A136">
        <v>123</v>
      </c>
      <c r="B136">
        <v>5.8659999999999997</v>
      </c>
      <c r="C136">
        <v>4.8559999999999999</v>
      </c>
      <c r="D136">
        <v>135</v>
      </c>
      <c r="E136">
        <v>140</v>
      </c>
      <c r="F136">
        <v>73</v>
      </c>
      <c r="G136">
        <v>74</v>
      </c>
      <c r="H136">
        <v>107.911</v>
      </c>
      <c r="I136">
        <v>118.02200000000001</v>
      </c>
      <c r="J136">
        <v>227</v>
      </c>
    </row>
    <row r="137" spans="1:10">
      <c r="A137">
        <v>124</v>
      </c>
      <c r="B137">
        <v>6.4260000000000002</v>
      </c>
      <c r="C137">
        <v>6.4039999999999999</v>
      </c>
      <c r="D137">
        <v>166</v>
      </c>
      <c r="E137">
        <v>166</v>
      </c>
      <c r="F137">
        <v>84</v>
      </c>
      <c r="G137">
        <v>67</v>
      </c>
      <c r="H137">
        <v>118.374</v>
      </c>
      <c r="I137">
        <v>121.04900000000001</v>
      </c>
      <c r="J137">
        <v>570</v>
      </c>
    </row>
    <row r="138" spans="1:10">
      <c r="A138">
        <v>125</v>
      </c>
      <c r="B138">
        <v>4.915</v>
      </c>
      <c r="C138">
        <v>7.6189999999999998</v>
      </c>
      <c r="D138">
        <v>156</v>
      </c>
      <c r="E138">
        <v>153</v>
      </c>
      <c r="F138">
        <v>95</v>
      </c>
      <c r="G138">
        <v>80</v>
      </c>
      <c r="H138">
        <v>125.967</v>
      </c>
      <c r="I138">
        <v>123.82</v>
      </c>
      <c r="J138">
        <v>940</v>
      </c>
    </row>
    <row r="139" spans="1:10">
      <c r="A139">
        <v>126</v>
      </c>
      <c r="B139">
        <v>5.0890000000000004</v>
      </c>
      <c r="C139">
        <v>5.5369999999999999</v>
      </c>
      <c r="D139">
        <v>151</v>
      </c>
      <c r="E139">
        <v>151</v>
      </c>
      <c r="F139">
        <v>86</v>
      </c>
      <c r="G139">
        <v>85</v>
      </c>
      <c r="H139">
        <v>121.10299999999999</v>
      </c>
      <c r="I139">
        <v>121.04</v>
      </c>
      <c r="J139">
        <v>1290</v>
      </c>
    </row>
    <row r="140" spans="1:10">
      <c r="A140">
        <v>127</v>
      </c>
      <c r="B140">
        <v>6.1040000000000001</v>
      </c>
      <c r="C140">
        <v>6.1289999999999996</v>
      </c>
      <c r="D140">
        <v>154</v>
      </c>
      <c r="E140">
        <v>155</v>
      </c>
      <c r="F140">
        <v>76</v>
      </c>
      <c r="G140">
        <v>71</v>
      </c>
      <c r="H140">
        <v>113.011</v>
      </c>
      <c r="I140">
        <v>112.39</v>
      </c>
      <c r="J140">
        <v>351</v>
      </c>
    </row>
    <row r="141" spans="1:10">
      <c r="A141">
        <v>128</v>
      </c>
      <c r="B141">
        <v>6.7160000000000002</v>
      </c>
      <c r="C141">
        <v>7.6319999999999997</v>
      </c>
      <c r="D141">
        <v>151</v>
      </c>
      <c r="E141">
        <v>151</v>
      </c>
      <c r="F141">
        <v>80</v>
      </c>
      <c r="G141">
        <v>73</v>
      </c>
      <c r="H141">
        <v>123.086</v>
      </c>
      <c r="I141">
        <v>121.937</v>
      </c>
      <c r="J141">
        <v>720</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stack2.avi</vt:lpstr>
      <vt:lpstr>Analysis</vt:lpstr>
      <vt:lpstr>Comparison of stacks</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2014-06-13T15:30:32Z</dcterms:created>
  <dcterms:modified xsi:type="dcterms:W3CDTF">2015-03-12T17:57:21Z</dcterms:modified>
</cp:coreProperties>
</file>