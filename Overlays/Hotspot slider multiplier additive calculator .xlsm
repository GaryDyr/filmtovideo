
<file path=[Content_Types].xml><?xml version="1.0" encoding="utf-8"?>
<Types xmlns="http://schemas.openxmlformats.org/package/2006/content-types">
  <Override PartName="/xl/charts/chart6.xml" ContentType="application/vnd.openxmlformats-officedocument.drawingml.chart+xml"/>
  <Default Extension="png" ContentType="image/png"/>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360" yWindow="135" windowWidth="15180" windowHeight="8580"/>
  </bookViews>
  <sheets>
    <sheet name="Notes" sheetId="3" r:id="rId1"/>
    <sheet name="Sheet1" sheetId="1" r:id="rId2"/>
    <sheet name="Main Data" sheetId="13" r:id="rId3"/>
    <sheet name="888&amp;mask data" sheetId="4" r:id="rId4"/>
    <sheet name="Regression" sheetId="16" r:id="rId5"/>
    <sheet name="Sheet2" sheetId="2" r:id="rId6"/>
  </sheets>
  <calcPr calcId="125725"/>
</workbook>
</file>

<file path=xl/calcChain.xml><?xml version="1.0" encoding="utf-8"?>
<calcChain xmlns="http://schemas.openxmlformats.org/spreadsheetml/2006/main">
  <c r="F12" i="4"/>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11"/>
  <c r="G12"/>
  <c r="H12"/>
  <c r="G13"/>
  <c r="H13"/>
  <c r="G14"/>
  <c r="H14"/>
  <c r="G15"/>
  <c r="H15"/>
  <c r="G16"/>
  <c r="H16"/>
  <c r="G17"/>
  <c r="H17"/>
  <c r="G18"/>
  <c r="H18"/>
  <c r="G19"/>
  <c r="H19"/>
  <c r="G20"/>
  <c r="H20"/>
  <c r="G21"/>
  <c r="H21"/>
  <c r="G22"/>
  <c r="H22"/>
  <c r="G23"/>
  <c r="H23"/>
  <c r="G24"/>
  <c r="H24"/>
  <c r="G25"/>
  <c r="H25"/>
  <c r="G26"/>
  <c r="H26"/>
  <c r="G27"/>
  <c r="H27"/>
  <c r="G28"/>
  <c r="H28"/>
  <c r="G29"/>
  <c r="H29"/>
  <c r="G30"/>
  <c r="H30"/>
  <c r="G31"/>
  <c r="H31"/>
  <c r="G32"/>
  <c r="H32"/>
  <c r="G33"/>
  <c r="H33"/>
  <c r="G34"/>
  <c r="H34"/>
  <c r="G35"/>
  <c r="H35"/>
  <c r="G36"/>
  <c r="H36"/>
  <c r="G37"/>
  <c r="H37"/>
  <c r="G38"/>
  <c r="H38"/>
  <c r="G39"/>
  <c r="H39"/>
  <c r="G40"/>
  <c r="H40"/>
  <c r="G41"/>
  <c r="H41"/>
  <c r="G42"/>
  <c r="H42"/>
  <c r="G43"/>
  <c r="H43"/>
  <c r="G44"/>
  <c r="H44"/>
  <c r="G45"/>
  <c r="H45"/>
  <c r="G46"/>
  <c r="H46"/>
  <c r="G47"/>
  <c r="H47"/>
  <c r="G48"/>
  <c r="H48"/>
  <c r="G49"/>
  <c r="H49"/>
  <c r="G50"/>
  <c r="H50"/>
  <c r="G51"/>
  <c r="H51"/>
  <c r="G52"/>
  <c r="H52"/>
  <c r="G53"/>
  <c r="H53"/>
  <c r="G54"/>
  <c r="H54"/>
  <c r="G55"/>
  <c r="H55"/>
  <c r="G56"/>
  <c r="H56"/>
  <c r="G57"/>
  <c r="H57"/>
  <c r="G58"/>
  <c r="H58"/>
  <c r="G59"/>
  <c r="H59"/>
  <c r="G60"/>
  <c r="H60"/>
  <c r="G61"/>
  <c r="H61"/>
  <c r="G62"/>
  <c r="H62"/>
  <c r="G63"/>
  <c r="H63"/>
  <c r="G64"/>
  <c r="H64"/>
  <c r="H11"/>
  <c r="G11"/>
  <c r="R22" i="13"/>
  <c r="S22"/>
  <c r="T22"/>
  <c r="U22"/>
  <c r="R23"/>
  <c r="S23"/>
  <c r="T23"/>
  <c r="U23"/>
  <c r="R24"/>
  <c r="S24"/>
  <c r="T24"/>
  <c r="U24"/>
  <c r="R25"/>
  <c r="S25"/>
  <c r="T25"/>
  <c r="U25"/>
  <c r="R26"/>
  <c r="S26"/>
  <c r="T26"/>
  <c r="U26"/>
  <c r="R27"/>
  <c r="S27"/>
  <c r="T27"/>
  <c r="U27"/>
  <c r="R28"/>
  <c r="S28"/>
  <c r="T28"/>
  <c r="U28"/>
  <c r="R29"/>
  <c r="S29"/>
  <c r="T29"/>
  <c r="U29"/>
  <c r="R30"/>
  <c r="S30"/>
  <c r="T30"/>
  <c r="U30"/>
  <c r="R31"/>
  <c r="S31"/>
  <c r="T31"/>
  <c r="U31"/>
  <c r="R32"/>
  <c r="S32"/>
  <c r="T32"/>
  <c r="U32"/>
  <c r="R33"/>
  <c r="S33"/>
  <c r="T33"/>
  <c r="U33"/>
  <c r="R34"/>
  <c r="S34"/>
  <c r="T34"/>
  <c r="U34"/>
  <c r="R35"/>
  <c r="S35"/>
  <c r="T35"/>
  <c r="U35"/>
  <c r="R36"/>
  <c r="S36"/>
  <c r="T36"/>
  <c r="U36"/>
  <c r="R37"/>
  <c r="S37"/>
  <c r="T37"/>
  <c r="U37"/>
  <c r="R38"/>
  <c r="S38"/>
  <c r="T38"/>
  <c r="U38"/>
  <c r="R39"/>
  <c r="S39"/>
  <c r="T39"/>
  <c r="U39"/>
  <c r="R40"/>
  <c r="S40"/>
  <c r="T40"/>
  <c r="U40"/>
  <c r="R41"/>
  <c r="S41"/>
  <c r="T41"/>
  <c r="U41"/>
  <c r="R42"/>
  <c r="S42"/>
  <c r="T42"/>
  <c r="U42"/>
  <c r="R43"/>
  <c r="S43"/>
  <c r="T43"/>
  <c r="U43"/>
  <c r="R44"/>
  <c r="S44"/>
  <c r="T44"/>
  <c r="U44"/>
  <c r="R45"/>
  <c r="S45"/>
  <c r="T45"/>
  <c r="U45"/>
  <c r="R46"/>
  <c r="S46"/>
  <c r="T46"/>
  <c r="U46"/>
  <c r="R47"/>
  <c r="S47"/>
  <c r="T47"/>
  <c r="U47"/>
  <c r="R48"/>
  <c r="S48"/>
  <c r="T48"/>
  <c r="U48"/>
  <c r="R49"/>
  <c r="S49"/>
  <c r="T49"/>
  <c r="U49"/>
  <c r="R50"/>
  <c r="S50"/>
  <c r="T50"/>
  <c r="U50"/>
  <c r="R51"/>
  <c r="S51"/>
  <c r="T51"/>
  <c r="U51"/>
  <c r="R52"/>
  <c r="S52"/>
  <c r="T52"/>
  <c r="U52"/>
  <c r="R53"/>
  <c r="S53"/>
  <c r="T53"/>
  <c r="U53"/>
  <c r="R54"/>
  <c r="S54"/>
  <c r="T54"/>
  <c r="U54"/>
  <c r="R55"/>
  <c r="S55"/>
  <c r="T55"/>
  <c r="U55"/>
  <c r="R56"/>
  <c r="S56"/>
  <c r="T56"/>
  <c r="U56"/>
  <c r="R57"/>
  <c r="S57"/>
  <c r="T57"/>
  <c r="U57"/>
  <c r="R58"/>
  <c r="S58"/>
  <c r="T58"/>
  <c r="U58"/>
  <c r="R59"/>
  <c r="S59"/>
  <c r="T59"/>
  <c r="U59"/>
  <c r="R60"/>
  <c r="S60"/>
  <c r="T60"/>
  <c r="U60"/>
  <c r="R61"/>
  <c r="S61"/>
  <c r="T61"/>
  <c r="U61"/>
  <c r="R62"/>
  <c r="S62"/>
  <c r="T62"/>
  <c r="U62"/>
  <c r="R63"/>
  <c r="S63"/>
  <c r="T63"/>
  <c r="U63"/>
  <c r="R64"/>
  <c r="S64"/>
  <c r="T64"/>
  <c r="U64"/>
  <c r="R65"/>
  <c r="S65"/>
  <c r="T65"/>
  <c r="U65"/>
  <c r="R66"/>
  <c r="S66"/>
  <c r="T66"/>
  <c r="U66"/>
  <c r="R67"/>
  <c r="S67"/>
  <c r="T67"/>
  <c r="U67"/>
  <c r="R68"/>
  <c r="S68"/>
  <c r="T68"/>
  <c r="U68"/>
  <c r="R69"/>
  <c r="S69"/>
  <c r="T69"/>
  <c r="U69"/>
  <c r="R70"/>
  <c r="S70"/>
  <c r="T70"/>
  <c r="U70"/>
  <c r="R71"/>
  <c r="S71"/>
  <c r="T71"/>
  <c r="U71"/>
  <c r="R72"/>
  <c r="S72"/>
  <c r="T72"/>
  <c r="U72"/>
  <c r="R73"/>
  <c r="S73"/>
  <c r="T73"/>
  <c r="U73"/>
  <c r="R74"/>
  <c r="S74"/>
  <c r="T74"/>
  <c r="U74"/>
  <c r="U21"/>
  <c r="T21"/>
  <c r="S21"/>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537"/>
  <c r="P538"/>
  <c r="P539"/>
  <c r="P540"/>
  <c r="P541"/>
  <c r="P542"/>
  <c r="P543"/>
  <c r="P544"/>
  <c r="P545"/>
  <c r="P546"/>
  <c r="P547"/>
  <c r="P548"/>
  <c r="P549"/>
  <c r="P550"/>
  <c r="P551"/>
  <c r="P552"/>
  <c r="P553"/>
  <c r="P554"/>
  <c r="P555"/>
  <c r="P556"/>
  <c r="P557"/>
  <c r="P558"/>
  <c r="P559"/>
  <c r="P560"/>
  <c r="P561"/>
  <c r="P562"/>
  <c r="P563"/>
  <c r="P564"/>
  <c r="P565"/>
  <c r="P566"/>
  <c r="P567"/>
  <c r="P568"/>
  <c r="P569"/>
  <c r="P570"/>
  <c r="P571"/>
  <c r="P572"/>
  <c r="P573"/>
  <c r="P574"/>
  <c r="P575"/>
  <c r="P576"/>
  <c r="P577"/>
  <c r="P578"/>
  <c r="P579"/>
  <c r="P580"/>
  <c r="P581"/>
  <c r="P582"/>
  <c r="P583"/>
  <c r="P584"/>
  <c r="P585"/>
  <c r="P586"/>
  <c r="P587"/>
  <c r="P588"/>
  <c r="P589"/>
  <c r="P590"/>
  <c r="P591"/>
  <c r="P592"/>
  <c r="P593"/>
  <c r="P594"/>
  <c r="P595"/>
  <c r="P596"/>
  <c r="P597"/>
  <c r="P598"/>
  <c r="P599"/>
  <c r="P600"/>
  <c r="P601"/>
  <c r="P602"/>
  <c r="P603"/>
  <c r="P604"/>
  <c r="P605"/>
  <c r="P606"/>
  <c r="P607"/>
  <c r="P608"/>
  <c r="P609"/>
  <c r="P610"/>
  <c r="P611"/>
  <c r="P612"/>
  <c r="P613"/>
  <c r="P614"/>
  <c r="P615"/>
  <c r="P616"/>
  <c r="P617"/>
  <c r="P618"/>
  <c r="P619"/>
  <c r="P620"/>
  <c r="P621"/>
  <c r="P622"/>
  <c r="P623"/>
  <c r="P624"/>
  <c r="P625"/>
  <c r="P626"/>
  <c r="P627"/>
  <c r="P628"/>
  <c r="P629"/>
  <c r="P630"/>
  <c r="P631"/>
  <c r="P632"/>
  <c r="P633"/>
  <c r="P634"/>
  <c r="P635"/>
  <c r="P636"/>
  <c r="P637"/>
  <c r="P638"/>
  <c r="P639"/>
  <c r="P640"/>
  <c r="P641"/>
  <c r="P642"/>
  <c r="P643"/>
  <c r="P644"/>
  <c r="P645"/>
  <c r="P646"/>
  <c r="P647"/>
  <c r="P648"/>
  <c r="P649"/>
  <c r="P650"/>
  <c r="P651"/>
  <c r="P652"/>
  <c r="P653"/>
  <c r="P654"/>
  <c r="P655"/>
  <c r="P656"/>
  <c r="P657"/>
  <c r="P658"/>
  <c r="P659"/>
  <c r="P660"/>
  <c r="P661"/>
  <c r="P662"/>
  <c r="P663"/>
  <c r="P664"/>
  <c r="P665"/>
  <c r="P666"/>
  <c r="P667"/>
  <c r="P668"/>
  <c r="P669"/>
  <c r="P670"/>
  <c r="P671"/>
  <c r="P672"/>
  <c r="P673"/>
  <c r="P674"/>
  <c r="P675"/>
  <c r="P676"/>
  <c r="P677"/>
  <c r="P678"/>
  <c r="P679"/>
  <c r="P680"/>
  <c r="P681"/>
  <c r="P682"/>
  <c r="P683"/>
  <c r="P684"/>
  <c r="P685"/>
  <c r="P686"/>
  <c r="P687"/>
  <c r="P688"/>
  <c r="P689"/>
  <c r="P690"/>
  <c r="P691"/>
  <c r="P692"/>
  <c r="P693"/>
  <c r="P694"/>
  <c r="P695"/>
  <c r="P696"/>
  <c r="P697"/>
  <c r="P698"/>
  <c r="P699"/>
  <c r="P700"/>
  <c r="P701"/>
  <c r="P702"/>
  <c r="P703"/>
  <c r="P704"/>
  <c r="P705"/>
  <c r="P706"/>
  <c r="P707"/>
  <c r="P708"/>
  <c r="P709"/>
  <c r="P710"/>
  <c r="P711"/>
  <c r="P712"/>
  <c r="P713"/>
  <c r="P714"/>
  <c r="P715"/>
  <c r="P716"/>
  <c r="P717"/>
  <c r="P718"/>
  <c r="P719"/>
  <c r="P720"/>
  <c r="P721"/>
  <c r="P722"/>
  <c r="P723"/>
  <c r="P724"/>
  <c r="P725"/>
  <c r="P726"/>
  <c r="P727"/>
  <c r="P728"/>
  <c r="P729"/>
  <c r="P730"/>
  <c r="P731"/>
  <c r="P732"/>
  <c r="P733"/>
  <c r="P734"/>
  <c r="P735"/>
  <c r="P736"/>
  <c r="P737"/>
  <c r="P738"/>
  <c r="P739"/>
  <c r="P740"/>
  <c r="P741"/>
  <c r="P742"/>
  <c r="P743"/>
  <c r="P744"/>
  <c r="P745"/>
  <c r="P746"/>
  <c r="P747"/>
  <c r="P748"/>
  <c r="P749"/>
  <c r="P750"/>
  <c r="P751"/>
  <c r="P752"/>
  <c r="P753"/>
  <c r="P754"/>
  <c r="P755"/>
  <c r="P756"/>
  <c r="P757"/>
  <c r="P758"/>
  <c r="P759"/>
  <c r="P760"/>
  <c r="P761"/>
  <c r="P762"/>
  <c r="P763"/>
  <c r="P764"/>
  <c r="P765"/>
  <c r="P766"/>
  <c r="P767"/>
  <c r="P768"/>
  <c r="P769"/>
  <c r="P770"/>
  <c r="P771"/>
  <c r="P772"/>
  <c r="P773"/>
  <c r="P774"/>
  <c r="P775"/>
  <c r="P776"/>
  <c r="P777"/>
  <c r="P778"/>
  <c r="P779"/>
  <c r="P780"/>
  <c r="P781"/>
  <c r="P782"/>
  <c r="P783"/>
  <c r="P784"/>
  <c r="P785"/>
  <c r="P786"/>
  <c r="P787"/>
  <c r="P788"/>
  <c r="P789"/>
  <c r="P790"/>
  <c r="P791"/>
  <c r="P792"/>
  <c r="P793"/>
  <c r="P794"/>
  <c r="P795"/>
  <c r="P796"/>
  <c r="P797"/>
  <c r="P798"/>
  <c r="P799"/>
  <c r="P800"/>
  <c r="P801"/>
  <c r="P802"/>
  <c r="P803"/>
  <c r="P804"/>
  <c r="P805"/>
  <c r="P806"/>
  <c r="P807"/>
  <c r="P808"/>
  <c r="P809"/>
  <c r="P810"/>
  <c r="P811"/>
  <c r="P812"/>
  <c r="P813"/>
  <c r="P814"/>
  <c r="P815"/>
  <c r="P816"/>
  <c r="P817"/>
  <c r="P818"/>
  <c r="P819"/>
  <c r="P820"/>
  <c r="P821"/>
  <c r="P822"/>
  <c r="P823"/>
  <c r="P824"/>
  <c r="P825"/>
  <c r="P826"/>
  <c r="P827"/>
  <c r="P828"/>
  <c r="P829"/>
  <c r="P830"/>
  <c r="P831"/>
  <c r="P832"/>
  <c r="P833"/>
  <c r="P834"/>
  <c r="P835"/>
  <c r="P836"/>
  <c r="P837"/>
  <c r="P838"/>
  <c r="P839"/>
  <c r="P840"/>
  <c r="P841"/>
  <c r="P842"/>
  <c r="P843"/>
  <c r="P844"/>
  <c r="P845"/>
  <c r="P846"/>
  <c r="P847"/>
  <c r="P848"/>
  <c r="P849"/>
  <c r="P850"/>
  <c r="P851"/>
  <c r="P852"/>
  <c r="P853"/>
  <c r="P854"/>
  <c r="P855"/>
  <c r="P856"/>
  <c r="P857"/>
  <c r="P858"/>
  <c r="P859"/>
  <c r="P860"/>
  <c r="P861"/>
  <c r="P862"/>
  <c r="P863"/>
  <c r="P864"/>
  <c r="P865"/>
  <c r="P866"/>
  <c r="P867"/>
  <c r="P868"/>
  <c r="P869"/>
  <c r="P870"/>
  <c r="P871"/>
  <c r="P872"/>
  <c r="P873"/>
  <c r="P874"/>
  <c r="P875"/>
  <c r="P876"/>
  <c r="P877"/>
  <c r="P878"/>
  <c r="P879"/>
  <c r="P880"/>
  <c r="P881"/>
  <c r="P882"/>
  <c r="P883"/>
  <c r="P884"/>
  <c r="P885"/>
  <c r="P886"/>
  <c r="P887"/>
  <c r="P888"/>
  <c r="P889"/>
  <c r="P890"/>
  <c r="P891"/>
  <c r="P892"/>
  <c r="P893"/>
  <c r="P894"/>
  <c r="P895"/>
  <c r="P896"/>
  <c r="P897"/>
  <c r="P898"/>
  <c r="P899"/>
  <c r="P900"/>
  <c r="P901"/>
  <c r="P902"/>
  <c r="P903"/>
  <c r="P904"/>
  <c r="P905"/>
  <c r="P906"/>
  <c r="P907"/>
  <c r="P908"/>
  <c r="P909"/>
  <c r="P910"/>
  <c r="P911"/>
  <c r="P912"/>
  <c r="P913"/>
  <c r="P914"/>
  <c r="P915"/>
  <c r="P916"/>
  <c r="P917"/>
  <c r="P918"/>
  <c r="P919"/>
  <c r="P920"/>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994"/>
  <c r="P995"/>
  <c r="P996"/>
  <c r="P997"/>
  <c r="P998"/>
  <c r="P999"/>
  <c r="P1000"/>
  <c r="P1001"/>
  <c r="P1002"/>
  <c r="P1003"/>
  <c r="P1004"/>
  <c r="P1005"/>
  <c r="P1006"/>
  <c r="P1007"/>
  <c r="P1008"/>
  <c r="P1009"/>
  <c r="P1010"/>
  <c r="P1011"/>
  <c r="P1012"/>
  <c r="P1013"/>
  <c r="P1014"/>
  <c r="P1015"/>
  <c r="P1016"/>
  <c r="P1017"/>
  <c r="P1018"/>
  <c r="P1019"/>
  <c r="P1020"/>
  <c r="P1021"/>
  <c r="P1022"/>
  <c r="P1023"/>
  <c r="P1024"/>
  <c r="P1025"/>
  <c r="P1026"/>
  <c r="P1027"/>
  <c r="P1028"/>
  <c r="P1029"/>
  <c r="P1030"/>
  <c r="P1031"/>
  <c r="P1032"/>
  <c r="P1033"/>
  <c r="P1034"/>
  <c r="P1035"/>
  <c r="P1036"/>
  <c r="P1037"/>
  <c r="P1038"/>
  <c r="P1039"/>
  <c r="P1040"/>
  <c r="P1041"/>
  <c r="P1042"/>
  <c r="P1043"/>
  <c r="P1044"/>
  <c r="P1045"/>
  <c r="P1046"/>
  <c r="P1047"/>
  <c r="P1048"/>
  <c r="P1049"/>
  <c r="P1050"/>
  <c r="P1051"/>
  <c r="P1052"/>
  <c r="P1053"/>
  <c r="P1054"/>
  <c r="P1055"/>
  <c r="P1056"/>
  <c r="P1057"/>
  <c r="P1058"/>
  <c r="P1059"/>
  <c r="P1060"/>
  <c r="P1061"/>
  <c r="P1062"/>
  <c r="P1063"/>
  <c r="P1064"/>
  <c r="P1065"/>
  <c r="P1066"/>
  <c r="P1067"/>
  <c r="P1068"/>
  <c r="P1069"/>
  <c r="P1070"/>
  <c r="P1071"/>
  <c r="P1072"/>
  <c r="P1073"/>
  <c r="P1074"/>
  <c r="P1075"/>
  <c r="P1076"/>
  <c r="P1077"/>
  <c r="P1078"/>
  <c r="P1079"/>
  <c r="P1080"/>
  <c r="P1081"/>
  <c r="P1082"/>
  <c r="P1083"/>
  <c r="P1084"/>
  <c r="P1085"/>
  <c r="P1086"/>
  <c r="P1087"/>
  <c r="P1088"/>
  <c r="P1089"/>
  <c r="P1090"/>
  <c r="P1091"/>
  <c r="P1092"/>
  <c r="P1093"/>
  <c r="P1094"/>
  <c r="P1095"/>
  <c r="P1096"/>
  <c r="P1097"/>
  <c r="P1098"/>
  <c r="P1099"/>
  <c r="P1100"/>
  <c r="P1101"/>
  <c r="P1102"/>
  <c r="P1103"/>
  <c r="P1104"/>
  <c r="P1105"/>
  <c r="P1106"/>
  <c r="P1107"/>
  <c r="P1108"/>
  <c r="P1109"/>
  <c r="P1110"/>
  <c r="P1111"/>
  <c r="P1112"/>
  <c r="P1113"/>
  <c r="P1114"/>
  <c r="P1115"/>
  <c r="P1116"/>
  <c r="P1117"/>
  <c r="P1118"/>
  <c r="P1119"/>
  <c r="P1120"/>
  <c r="P1121"/>
  <c r="P1122"/>
  <c r="P1123"/>
  <c r="P1124"/>
  <c r="P1125"/>
  <c r="P1126"/>
  <c r="P1127"/>
  <c r="P1128"/>
  <c r="P1129"/>
  <c r="P1130"/>
  <c r="P1131"/>
  <c r="P1132"/>
  <c r="P1133"/>
  <c r="P1134"/>
  <c r="P1135"/>
  <c r="P1136"/>
  <c r="P1137"/>
  <c r="P1138"/>
  <c r="P1139"/>
  <c r="P1140"/>
  <c r="P1141"/>
  <c r="P1142"/>
  <c r="P1143"/>
  <c r="P1144"/>
  <c r="P1145"/>
  <c r="P1146"/>
  <c r="P1147"/>
  <c r="P1148"/>
  <c r="P1149"/>
  <c r="P1150"/>
  <c r="P1151"/>
  <c r="P1152"/>
  <c r="P1153"/>
  <c r="P1154"/>
  <c r="P1155"/>
  <c r="P1156"/>
  <c r="P1157"/>
  <c r="P1158"/>
  <c r="P1159"/>
  <c r="P1160"/>
  <c r="P1161"/>
  <c r="P1162"/>
  <c r="P1163"/>
  <c r="P1164"/>
  <c r="P1165"/>
  <c r="P1166"/>
  <c r="P1167"/>
  <c r="P1168"/>
  <c r="P1169"/>
  <c r="P1170"/>
  <c r="P1171"/>
  <c r="P1172"/>
  <c r="P1173"/>
  <c r="P1174"/>
  <c r="P1175"/>
  <c r="P1176"/>
  <c r="P1177"/>
  <c r="P1178"/>
  <c r="P1179"/>
  <c r="P1180"/>
  <c r="P1181"/>
  <c r="P1182"/>
  <c r="P1183"/>
  <c r="P1184"/>
  <c r="P1185"/>
  <c r="P1186"/>
  <c r="P1187"/>
  <c r="P1188"/>
  <c r="P1189"/>
  <c r="P1190"/>
  <c r="P1191"/>
  <c r="P1192"/>
  <c r="P1193"/>
  <c r="P1194"/>
  <c r="P1195"/>
  <c r="P1196"/>
  <c r="P1197"/>
  <c r="P1198"/>
  <c r="P1199"/>
  <c r="P1200"/>
  <c r="P1201"/>
  <c r="P1202"/>
  <c r="P1203"/>
  <c r="P1204"/>
  <c r="P1205"/>
  <c r="P1206"/>
  <c r="P1207"/>
  <c r="P1208"/>
  <c r="P1209"/>
  <c r="P1210"/>
  <c r="P1211"/>
  <c r="P1212"/>
  <c r="P1213"/>
  <c r="P1214"/>
  <c r="P1215"/>
  <c r="P1216"/>
  <c r="P1217"/>
  <c r="P1218"/>
  <c r="P1219"/>
  <c r="P1220"/>
  <c r="P1221"/>
  <c r="P1222"/>
  <c r="P1223"/>
  <c r="P1224"/>
  <c r="P1225"/>
  <c r="P1226"/>
  <c r="P1227"/>
  <c r="P1228"/>
  <c r="P1229"/>
  <c r="P1230"/>
  <c r="P1231"/>
  <c r="P1232"/>
  <c r="P1233"/>
  <c r="P1234"/>
  <c r="P1235"/>
  <c r="P1236"/>
  <c r="P1237"/>
  <c r="P1238"/>
  <c r="P1239"/>
  <c r="P1240"/>
  <c r="P1241"/>
  <c r="P1242"/>
  <c r="P1243"/>
  <c r="P1244"/>
  <c r="P1245"/>
  <c r="P1246"/>
  <c r="P1247"/>
  <c r="P1248"/>
  <c r="P1249"/>
  <c r="P1250"/>
  <c r="P1251"/>
  <c r="P1252"/>
  <c r="P1253"/>
  <c r="P1254"/>
  <c r="P1255"/>
  <c r="P1256"/>
  <c r="P1257"/>
  <c r="P1258"/>
  <c r="P1259"/>
  <c r="P1260"/>
  <c r="P1261"/>
  <c r="P1262"/>
  <c r="P1263"/>
  <c r="P1264"/>
  <c r="P1265"/>
  <c r="P1266"/>
  <c r="P1267"/>
  <c r="P1268"/>
  <c r="P1269"/>
  <c r="P1270"/>
  <c r="P1271"/>
  <c r="P1272"/>
  <c r="P1273"/>
  <c r="P1274"/>
  <c r="P1275"/>
  <c r="P1276"/>
  <c r="P1277"/>
  <c r="P1278"/>
  <c r="P1279"/>
  <c r="P1280"/>
  <c r="P1281"/>
  <c r="P1282"/>
  <c r="P1283"/>
  <c r="P1284"/>
  <c r="P1285"/>
  <c r="P1286"/>
  <c r="P1287"/>
  <c r="P1288"/>
  <c r="P1289"/>
  <c r="P1290"/>
  <c r="P1291"/>
  <c r="P1292"/>
  <c r="P1293"/>
  <c r="P1294"/>
  <c r="P1295"/>
  <c r="P1296"/>
  <c r="P1297"/>
  <c r="P1298"/>
  <c r="P1299"/>
  <c r="P1300"/>
  <c r="P1301"/>
  <c r="P1302"/>
  <c r="P1303"/>
  <c r="P1304"/>
  <c r="P1305"/>
  <c r="P1306"/>
  <c r="P1307"/>
  <c r="P1308"/>
  <c r="P1309"/>
  <c r="P1310"/>
  <c r="P1311"/>
  <c r="P1312"/>
  <c r="P1313"/>
  <c r="P1314"/>
  <c r="P1315"/>
  <c r="P1316"/>
  <c r="P1317"/>
  <c r="P1318"/>
  <c r="P1319"/>
  <c r="P1320"/>
  <c r="P1321"/>
  <c r="P1322"/>
  <c r="P1323"/>
  <c r="P1324"/>
  <c r="P1325"/>
  <c r="P1326"/>
  <c r="P1327"/>
  <c r="P1328"/>
  <c r="P1329"/>
  <c r="P1330"/>
  <c r="P1331"/>
  <c r="P1332"/>
  <c r="P1333"/>
  <c r="P1334"/>
  <c r="P1335"/>
  <c r="P1336"/>
  <c r="P1337"/>
  <c r="P1338"/>
  <c r="P1339"/>
  <c r="P1340"/>
  <c r="P1341"/>
  <c r="P1342"/>
  <c r="P1343"/>
  <c r="P1344"/>
  <c r="P1345"/>
  <c r="P1346"/>
  <c r="P1347"/>
  <c r="P1348"/>
  <c r="P1349"/>
  <c r="P1350"/>
  <c r="P1351"/>
  <c r="P1352"/>
  <c r="P1353"/>
  <c r="P1354"/>
  <c r="P1355"/>
  <c r="P1356"/>
  <c r="P1357"/>
  <c r="P1358"/>
  <c r="P1359"/>
  <c r="P1360"/>
  <c r="P1361"/>
  <c r="P1362"/>
  <c r="P1383" l="1"/>
  <c r="P1382"/>
  <c r="P1381"/>
  <c r="P1380"/>
  <c r="P1379"/>
  <c r="P1378"/>
  <c r="P1377"/>
  <c r="P1376"/>
  <c r="P1375"/>
  <c r="P1374"/>
  <c r="P1373"/>
  <c r="P1372"/>
  <c r="P1371"/>
  <c r="P1370"/>
  <c r="P1369"/>
  <c r="P1368"/>
  <c r="P1367"/>
  <c r="P1366"/>
  <c r="P1365"/>
  <c r="P1364"/>
  <c r="P1363"/>
  <c r="A1382"/>
  <c r="K1381"/>
  <c r="A1381"/>
  <c r="K1380"/>
  <c r="A1380"/>
  <c r="K1379"/>
  <c r="A1379"/>
  <c r="K1378"/>
  <c r="A1378"/>
  <c r="K1377"/>
  <c r="A1377"/>
  <c r="K1376"/>
  <c r="A1376"/>
  <c r="K1375"/>
  <c r="A1375"/>
  <c r="K1374"/>
  <c r="A1374"/>
  <c r="K1373"/>
  <c r="A1373"/>
  <c r="K1372"/>
  <c r="A1372"/>
  <c r="K1371"/>
  <c r="A1371"/>
  <c r="K1370"/>
  <c r="A1370"/>
  <c r="K1369"/>
  <c r="A1369"/>
  <c r="K1368"/>
  <c r="A1368"/>
  <c r="K1367"/>
  <c r="A1367"/>
  <c r="K1366"/>
  <c r="A1366"/>
  <c r="K1365"/>
  <c r="A1365"/>
  <c r="K1364"/>
  <c r="A1364"/>
  <c r="K1363"/>
  <c r="A1363"/>
  <c r="K1362"/>
  <c r="A1362"/>
  <c r="K1361"/>
  <c r="A1361"/>
  <c r="K1360"/>
  <c r="A1360"/>
  <c r="K1359"/>
  <c r="A1359"/>
  <c r="K1358"/>
  <c r="A1358"/>
  <c r="K1357"/>
  <c r="A1357"/>
  <c r="K1356"/>
  <c r="A1356"/>
  <c r="K1355"/>
  <c r="A1355"/>
  <c r="K1354"/>
  <c r="A1354"/>
  <c r="K1353"/>
  <c r="A1353"/>
  <c r="K1352"/>
  <c r="A1352"/>
  <c r="K1351"/>
  <c r="A1351"/>
  <c r="K1350"/>
  <c r="A1350"/>
  <c r="K1349"/>
  <c r="A1349"/>
  <c r="K1348"/>
  <c r="A1348"/>
  <c r="K1347"/>
  <c r="A1347"/>
  <c r="K1346"/>
  <c r="A1346"/>
  <c r="K1345"/>
  <c r="A1345"/>
  <c r="K1344"/>
  <c r="A1344"/>
  <c r="K1343"/>
  <c r="A1343"/>
  <c r="K1342"/>
  <c r="A1342"/>
  <c r="K1341"/>
  <c r="A1341"/>
  <c r="K1340"/>
  <c r="A1340"/>
  <c r="K1339"/>
  <c r="A1339"/>
  <c r="K1338"/>
  <c r="A1338"/>
  <c r="K1337"/>
  <c r="A1337"/>
  <c r="K1336"/>
  <c r="A1336"/>
  <c r="K1335"/>
  <c r="A1335"/>
  <c r="K1334"/>
  <c r="A1334"/>
  <c r="K1333"/>
  <c r="A1333"/>
  <c r="K1332"/>
  <c r="A1332"/>
  <c r="K1331"/>
  <c r="A1331"/>
  <c r="K1330"/>
  <c r="A1330"/>
  <c r="K1329"/>
  <c r="A1329"/>
  <c r="K1328"/>
  <c r="A1328"/>
  <c r="K1327"/>
  <c r="A1327"/>
  <c r="K1326"/>
  <c r="A1326"/>
  <c r="K1325"/>
  <c r="A1325"/>
  <c r="K1324"/>
  <c r="A1324"/>
  <c r="K1323"/>
  <c r="A1323"/>
  <c r="K1322"/>
  <c r="A1322"/>
  <c r="K1321"/>
  <c r="A1321"/>
  <c r="K1320"/>
  <c r="A1320"/>
  <c r="K1319"/>
  <c r="A1319"/>
  <c r="K1318"/>
  <c r="A1318"/>
  <c r="K1317"/>
  <c r="A1317"/>
  <c r="K1316"/>
  <c r="A1316"/>
  <c r="K1315"/>
  <c r="A1315"/>
  <c r="K1314"/>
  <c r="A1314"/>
  <c r="K1313"/>
  <c r="A1313"/>
  <c r="K1312"/>
  <c r="A1312"/>
  <c r="K1311"/>
  <c r="A1311"/>
  <c r="K1310"/>
  <c r="A1310"/>
  <c r="K1309"/>
  <c r="A1309"/>
  <c r="K1308"/>
  <c r="A1308"/>
  <c r="K1307"/>
  <c r="A1307"/>
  <c r="K1306"/>
  <c r="A1306"/>
  <c r="K1305"/>
  <c r="A1305"/>
  <c r="K1304"/>
  <c r="A1304"/>
  <c r="K1303"/>
  <c r="A1303"/>
  <c r="K1302"/>
  <c r="A1302"/>
  <c r="K1301"/>
  <c r="A1301"/>
  <c r="K1300"/>
  <c r="A1300"/>
  <c r="K1299"/>
  <c r="A1299"/>
  <c r="K1298"/>
  <c r="A1298"/>
  <c r="K1297"/>
  <c r="A1297"/>
  <c r="K1296"/>
  <c r="A1296"/>
  <c r="K1295"/>
  <c r="A1295"/>
  <c r="K1294"/>
  <c r="A1294"/>
  <c r="K1293"/>
  <c r="A1293"/>
  <c r="K1292"/>
  <c r="A1292"/>
  <c r="K1291"/>
  <c r="A1291"/>
  <c r="K1290"/>
  <c r="A1290"/>
  <c r="K1289"/>
  <c r="A1289"/>
  <c r="K1288"/>
  <c r="A1288"/>
  <c r="K1287"/>
  <c r="A1287"/>
  <c r="K1286"/>
  <c r="A1286"/>
  <c r="K1285"/>
  <c r="A1285"/>
  <c r="K1284"/>
  <c r="A1284"/>
  <c r="K1283"/>
  <c r="A1283"/>
  <c r="K1282"/>
  <c r="A1282"/>
  <c r="K1281"/>
  <c r="A1281"/>
  <c r="K1280"/>
  <c r="A1280"/>
  <c r="K1279"/>
  <c r="A1279"/>
  <c r="K1278"/>
  <c r="A1278"/>
  <c r="K1277"/>
  <c r="A1277"/>
  <c r="K1276"/>
  <c r="A1276"/>
  <c r="K1275"/>
  <c r="A1275"/>
  <c r="K1274"/>
  <c r="A1274"/>
  <c r="K1273"/>
  <c r="A1273"/>
  <c r="K1272"/>
  <c r="A1272"/>
  <c r="K1271"/>
  <c r="A1271"/>
  <c r="K1270"/>
  <c r="A1270"/>
  <c r="K1269"/>
  <c r="A1269"/>
  <c r="K1268"/>
  <c r="A1268"/>
  <c r="K1267"/>
  <c r="A1267"/>
  <c r="K1266"/>
  <c r="A1266"/>
  <c r="K1265"/>
  <c r="A1265"/>
  <c r="K1264"/>
  <c r="A1264"/>
  <c r="K1263"/>
  <c r="A1263"/>
  <c r="K1262"/>
  <c r="A1262"/>
  <c r="K1261"/>
  <c r="A1261"/>
  <c r="K1260"/>
  <c r="A1260"/>
  <c r="K1259"/>
  <c r="A1259"/>
  <c r="K1258"/>
  <c r="A1258"/>
  <c r="K1257"/>
  <c r="A1257"/>
  <c r="K1256"/>
  <c r="A1256"/>
  <c r="K1255"/>
  <c r="A1255"/>
  <c r="K1254"/>
  <c r="A1254"/>
  <c r="K1253"/>
  <c r="A1253"/>
  <c r="K1252"/>
  <c r="A1252"/>
  <c r="K1251"/>
  <c r="A1251"/>
  <c r="K1250"/>
  <c r="A1250"/>
  <c r="K1249"/>
  <c r="A1249"/>
  <c r="K1248"/>
  <c r="A1248"/>
  <c r="K1247"/>
  <c r="A1247"/>
  <c r="K1246"/>
  <c r="A1246"/>
  <c r="K1245"/>
  <c r="A1245"/>
  <c r="K1244"/>
  <c r="A1244"/>
  <c r="K1243"/>
  <c r="A1243"/>
  <c r="K1242"/>
  <c r="A1242"/>
  <c r="K1241"/>
  <c r="A1241"/>
  <c r="K1240"/>
  <c r="A1240"/>
  <c r="K1239"/>
  <c r="A1239"/>
  <c r="K1238"/>
  <c r="A1238"/>
  <c r="K1237"/>
  <c r="A1237"/>
  <c r="K1236"/>
  <c r="A1236"/>
  <c r="K1235"/>
  <c r="A1235"/>
  <c r="K1234"/>
  <c r="A1234"/>
  <c r="K1233"/>
  <c r="A1233"/>
  <c r="K1232"/>
  <c r="A1232"/>
  <c r="K1231"/>
  <c r="A1231"/>
  <c r="K1230"/>
  <c r="A1230"/>
  <c r="K1229"/>
  <c r="A1229"/>
  <c r="K1228"/>
  <c r="A1228"/>
  <c r="K1227"/>
  <c r="A1227"/>
  <c r="K1226"/>
  <c r="A1226"/>
  <c r="K1225"/>
  <c r="A1225"/>
  <c r="K1224"/>
  <c r="A1224"/>
  <c r="K1223"/>
  <c r="A1223"/>
  <c r="K1222"/>
  <c r="A1222"/>
  <c r="K1221"/>
  <c r="A1221"/>
  <c r="K1220"/>
  <c r="A1220"/>
  <c r="K1219"/>
  <c r="A1219"/>
  <c r="K1218"/>
  <c r="A1218"/>
  <c r="K1217"/>
  <c r="A1217"/>
  <c r="K1216"/>
  <c r="A1216"/>
  <c r="K1215"/>
  <c r="A1215"/>
  <c r="K1214"/>
  <c r="A1214"/>
  <c r="K1213"/>
  <c r="A1213"/>
  <c r="K1212"/>
  <c r="A1212"/>
  <c r="K1211"/>
  <c r="A1211"/>
  <c r="K1210"/>
  <c r="A1210"/>
  <c r="K1209"/>
  <c r="A1209"/>
  <c r="K1208"/>
  <c r="A1208"/>
  <c r="K1207"/>
  <c r="A1207"/>
  <c r="K1206"/>
  <c r="A1206"/>
  <c r="K1205"/>
  <c r="A1205"/>
  <c r="K1204"/>
  <c r="A1204"/>
  <c r="K1203"/>
  <c r="A1203"/>
  <c r="K1202"/>
  <c r="A1202"/>
  <c r="K1201"/>
  <c r="A1201"/>
  <c r="K1200"/>
  <c r="A1200"/>
  <c r="K1199"/>
  <c r="A1199"/>
  <c r="K1198"/>
  <c r="A1198"/>
  <c r="K1197"/>
  <c r="A1197"/>
  <c r="K1196"/>
  <c r="A1196"/>
  <c r="K1195"/>
  <c r="A1195"/>
  <c r="K1194"/>
  <c r="A1194"/>
  <c r="K1193"/>
  <c r="A1193"/>
  <c r="K1192"/>
  <c r="A1192"/>
  <c r="K1191"/>
  <c r="A1191"/>
  <c r="K1190"/>
  <c r="A1190"/>
  <c r="K1189"/>
  <c r="A1189"/>
  <c r="K1188"/>
  <c r="A1188"/>
  <c r="K1187"/>
  <c r="A1187"/>
  <c r="K1186"/>
  <c r="A1186"/>
  <c r="K1185"/>
  <c r="A1185"/>
  <c r="K1184"/>
  <c r="A1184"/>
  <c r="K1183"/>
  <c r="A1183"/>
  <c r="K1182"/>
  <c r="A1182"/>
  <c r="K1181"/>
  <c r="A1181"/>
  <c r="K1180"/>
  <c r="A1180"/>
  <c r="K1179"/>
  <c r="A1179"/>
  <c r="K1178"/>
  <c r="A1178"/>
  <c r="K1177"/>
  <c r="A1177"/>
  <c r="K1176"/>
  <c r="A1176"/>
  <c r="K1175"/>
  <c r="A1175"/>
  <c r="K1174"/>
  <c r="A1174"/>
  <c r="K1173"/>
  <c r="A1173"/>
  <c r="K1172"/>
  <c r="A1172"/>
  <c r="K1171"/>
  <c r="A1171"/>
  <c r="K1170"/>
  <c r="A1170"/>
  <c r="K1169"/>
  <c r="A1169"/>
  <c r="K1168"/>
  <c r="A1168"/>
  <c r="K1167"/>
  <c r="A1167"/>
  <c r="K1166"/>
  <c r="A1166"/>
  <c r="K1165"/>
  <c r="A1165"/>
  <c r="K1164"/>
  <c r="A1164"/>
  <c r="K1163"/>
  <c r="A1163"/>
  <c r="K1162"/>
  <c r="A1162"/>
  <c r="K1161"/>
  <c r="A1161"/>
  <c r="K1160"/>
  <c r="A1160"/>
  <c r="K1159"/>
  <c r="A1159"/>
  <c r="K1158"/>
  <c r="A1158"/>
  <c r="K1157"/>
  <c r="A1157"/>
  <c r="K1156"/>
  <c r="A1156"/>
  <c r="K1155"/>
  <c r="A1155"/>
  <c r="K1154"/>
  <c r="A1154"/>
  <c r="K1153"/>
  <c r="A1153"/>
  <c r="K1152"/>
  <c r="A1152"/>
  <c r="K1151"/>
  <c r="A1151"/>
  <c r="K1150"/>
  <c r="A1150"/>
  <c r="K1149"/>
  <c r="A1149"/>
  <c r="K1148"/>
  <c r="A1148"/>
  <c r="K1147"/>
  <c r="A1147"/>
  <c r="K1146"/>
  <c r="A1146"/>
  <c r="K1145"/>
  <c r="A1145"/>
  <c r="K1144"/>
  <c r="A1144"/>
  <c r="K1143"/>
  <c r="A1143"/>
  <c r="K1142"/>
  <c r="A1142"/>
  <c r="K1141"/>
  <c r="A1141"/>
  <c r="K1140"/>
  <c r="A1140"/>
  <c r="K1139"/>
  <c r="A1139"/>
  <c r="K1138"/>
  <c r="A1138"/>
  <c r="K1137"/>
  <c r="A1137"/>
  <c r="K1136"/>
  <c r="A1136"/>
  <c r="K1135"/>
  <c r="A1135"/>
  <c r="K1134"/>
  <c r="A1134"/>
  <c r="K1133"/>
  <c r="A1133"/>
  <c r="K1132"/>
  <c r="A1132"/>
  <c r="K1131"/>
  <c r="A1131"/>
  <c r="K1130"/>
  <c r="A1130"/>
  <c r="K1129"/>
  <c r="A1129"/>
  <c r="K1128"/>
  <c r="A1128"/>
  <c r="K1127"/>
  <c r="A1127"/>
  <c r="K1126"/>
  <c r="A1126"/>
  <c r="K1125"/>
  <c r="A1125"/>
  <c r="K1124"/>
  <c r="A1124"/>
  <c r="K1123"/>
  <c r="A1123"/>
  <c r="K1122"/>
  <c r="A1122"/>
  <c r="K1121"/>
  <c r="A1121"/>
  <c r="K1120"/>
  <c r="A1120"/>
  <c r="K1119"/>
  <c r="A1119"/>
  <c r="K1118"/>
  <c r="A1118"/>
  <c r="K1117"/>
  <c r="A1117"/>
  <c r="K1116"/>
  <c r="A1116"/>
  <c r="K1115"/>
  <c r="A1115"/>
  <c r="K1114"/>
  <c r="A1114"/>
  <c r="K1113"/>
  <c r="A1113"/>
  <c r="K1112"/>
  <c r="A1112"/>
  <c r="K1111"/>
  <c r="A1111"/>
  <c r="K1110"/>
  <c r="A1110"/>
  <c r="K1109"/>
  <c r="A1109"/>
  <c r="K1108"/>
  <c r="A1108"/>
  <c r="K1107"/>
  <c r="A1107"/>
  <c r="K1106"/>
  <c r="A1106"/>
  <c r="K1105"/>
  <c r="A1105"/>
  <c r="K1104"/>
  <c r="A1104"/>
  <c r="K1103"/>
  <c r="A1103"/>
  <c r="K1102"/>
  <c r="A1102"/>
  <c r="K1101"/>
  <c r="A1101"/>
  <c r="K1100"/>
  <c r="A1100"/>
  <c r="K1099"/>
  <c r="A1099"/>
  <c r="K1098"/>
  <c r="A1098"/>
  <c r="K1097"/>
  <c r="A1097"/>
  <c r="K1096"/>
  <c r="A1096"/>
  <c r="K1095"/>
  <c r="A1095"/>
  <c r="K1094"/>
  <c r="A1094"/>
  <c r="K1093"/>
  <c r="A1093"/>
  <c r="K1092"/>
  <c r="A1092"/>
  <c r="K1091"/>
  <c r="A1091"/>
  <c r="K1090"/>
  <c r="A1090"/>
  <c r="K1089"/>
  <c r="A1089"/>
  <c r="K1088"/>
  <c r="A1088"/>
  <c r="K1087"/>
  <c r="A1087"/>
  <c r="K1086"/>
  <c r="A1086"/>
  <c r="K1085"/>
  <c r="A1085"/>
  <c r="K1084"/>
  <c r="A1084"/>
  <c r="K1083"/>
  <c r="A1083"/>
  <c r="K1082"/>
  <c r="A1082"/>
  <c r="K1081"/>
  <c r="A1081"/>
  <c r="K1080"/>
  <c r="A1080"/>
  <c r="K1079"/>
  <c r="A1079"/>
  <c r="K1078"/>
  <c r="A1078"/>
  <c r="K1077"/>
  <c r="A1077"/>
  <c r="K1076"/>
  <c r="A1076"/>
  <c r="K1075"/>
  <c r="A1075"/>
  <c r="K1074"/>
  <c r="A1074"/>
  <c r="K1073"/>
  <c r="A1073"/>
  <c r="K1072"/>
  <c r="A1072"/>
  <c r="K1071"/>
  <c r="A1071"/>
  <c r="K1070"/>
  <c r="A1070"/>
  <c r="K1069"/>
  <c r="A1069"/>
  <c r="K1068"/>
  <c r="A1068"/>
  <c r="K1067"/>
  <c r="A1067"/>
  <c r="K1066"/>
  <c r="A1066"/>
  <c r="K1065"/>
  <c r="A1065"/>
  <c r="K1064"/>
  <c r="A1064"/>
  <c r="K1063"/>
  <c r="A1063"/>
  <c r="K1062"/>
  <c r="A1062"/>
  <c r="K1061"/>
  <c r="A1061"/>
  <c r="K1060"/>
  <c r="A1060"/>
  <c r="K1059"/>
  <c r="A1059"/>
  <c r="K1058"/>
  <c r="A1058"/>
  <c r="K1057"/>
  <c r="A1057"/>
  <c r="K1056"/>
  <c r="A1056"/>
  <c r="K1055"/>
  <c r="A1055"/>
  <c r="K1054"/>
  <c r="A1054"/>
  <c r="K1053"/>
  <c r="A1053"/>
  <c r="K1052"/>
  <c r="A1052"/>
  <c r="K1051"/>
  <c r="A1051"/>
  <c r="K1050"/>
  <c r="A1050"/>
  <c r="K1049"/>
  <c r="A1049"/>
  <c r="K1048"/>
  <c r="A1048"/>
  <c r="K1047"/>
  <c r="A1047"/>
  <c r="K1046"/>
  <c r="A1046"/>
  <c r="K1045"/>
  <c r="A1045"/>
  <c r="K1044"/>
  <c r="A1044"/>
  <c r="K1043"/>
  <c r="A1043"/>
  <c r="K1042"/>
  <c r="A1042"/>
  <c r="K1041"/>
  <c r="A1041"/>
  <c r="K1040"/>
  <c r="A1040"/>
  <c r="K1039"/>
  <c r="A1039"/>
  <c r="K1038"/>
  <c r="A1038"/>
  <c r="K1037"/>
  <c r="A1037"/>
  <c r="K1036"/>
  <c r="A1036"/>
  <c r="K1035"/>
  <c r="A1035"/>
  <c r="K1034"/>
  <c r="A1034"/>
  <c r="K1033"/>
  <c r="A1033"/>
  <c r="K1032"/>
  <c r="A1032"/>
  <c r="K1031"/>
  <c r="A1031"/>
  <c r="K1030"/>
  <c r="A1030"/>
  <c r="K1029"/>
  <c r="A1029"/>
  <c r="K1028"/>
  <c r="A1028"/>
  <c r="K1027"/>
  <c r="A1027"/>
  <c r="K1026"/>
  <c r="A1026"/>
  <c r="K1025"/>
  <c r="A1025"/>
  <c r="K1024"/>
  <c r="A1024"/>
  <c r="K1023"/>
  <c r="A1023"/>
  <c r="K1022"/>
  <c r="A1022"/>
  <c r="K1021"/>
  <c r="A1021"/>
  <c r="K1020"/>
  <c r="A1020"/>
  <c r="K1019"/>
  <c r="A1019"/>
  <c r="K1018"/>
  <c r="A1018"/>
  <c r="K1017"/>
  <c r="A1017"/>
  <c r="K1016"/>
  <c r="A1016"/>
  <c r="K1015"/>
  <c r="A1015"/>
  <c r="K1014"/>
  <c r="A1014"/>
  <c r="K1013"/>
  <c r="A1013"/>
  <c r="K1012"/>
  <c r="A1012"/>
  <c r="K1011"/>
  <c r="A1011"/>
  <c r="K1010"/>
  <c r="A1010"/>
  <c r="K1009"/>
  <c r="A1009"/>
  <c r="K1008"/>
  <c r="A1008"/>
  <c r="K1007"/>
  <c r="A1007"/>
  <c r="K1006"/>
  <c r="A1006"/>
  <c r="K1005"/>
  <c r="A1005"/>
  <c r="K1004"/>
  <c r="A1004"/>
  <c r="K1003"/>
  <c r="A1003"/>
  <c r="K1002"/>
  <c r="A1002"/>
  <c r="K1001"/>
  <c r="A1001"/>
  <c r="K1000"/>
  <c r="A1000"/>
  <c r="K999"/>
  <c r="A999"/>
  <c r="K998"/>
  <c r="A998"/>
  <c r="K997"/>
  <c r="A997"/>
  <c r="K996"/>
  <c r="A996"/>
  <c r="K995"/>
  <c r="A995"/>
  <c r="K994"/>
  <c r="A994"/>
  <c r="K993"/>
  <c r="A993"/>
  <c r="K992"/>
  <c r="A992"/>
  <c r="K991"/>
  <c r="A991"/>
  <c r="K990"/>
  <c r="A990"/>
  <c r="K989"/>
  <c r="A989"/>
  <c r="K988"/>
  <c r="A988"/>
  <c r="K987"/>
  <c r="A987"/>
  <c r="K986"/>
  <c r="A986"/>
  <c r="K985"/>
  <c r="A985"/>
  <c r="K984"/>
  <c r="A984"/>
  <c r="K983"/>
  <c r="A983"/>
  <c r="K982"/>
  <c r="A982"/>
  <c r="K981"/>
  <c r="A981"/>
  <c r="K980"/>
  <c r="A980"/>
  <c r="K979"/>
  <c r="A979"/>
  <c r="K978"/>
  <c r="A978"/>
  <c r="K977"/>
  <c r="A977"/>
  <c r="K976"/>
  <c r="A976"/>
  <c r="K975"/>
  <c r="A975"/>
  <c r="K974"/>
  <c r="A974"/>
  <c r="K973"/>
  <c r="A973"/>
  <c r="K972"/>
  <c r="A972"/>
  <c r="K971"/>
  <c r="A971"/>
  <c r="K970"/>
  <c r="A970"/>
  <c r="K969"/>
  <c r="A969"/>
  <c r="K968"/>
  <c r="A968"/>
  <c r="K967"/>
  <c r="A967"/>
  <c r="K966"/>
  <c r="A966"/>
  <c r="K965"/>
  <c r="A965"/>
  <c r="K964"/>
  <c r="A964"/>
  <c r="K963"/>
  <c r="A963"/>
  <c r="K962"/>
  <c r="A962"/>
  <c r="K961"/>
  <c r="A961"/>
  <c r="K960"/>
  <c r="A960"/>
  <c r="K959"/>
  <c r="A959"/>
  <c r="K958"/>
  <c r="A958"/>
  <c r="K957"/>
  <c r="A957"/>
  <c r="K956"/>
  <c r="A956"/>
  <c r="K955"/>
  <c r="A955"/>
  <c r="K954"/>
  <c r="A954"/>
  <c r="K953"/>
  <c r="A953"/>
  <c r="K952"/>
  <c r="A952"/>
  <c r="K951"/>
  <c r="A951"/>
  <c r="K950"/>
  <c r="A950"/>
  <c r="K949"/>
  <c r="A949"/>
  <c r="K948"/>
  <c r="A948"/>
  <c r="K947"/>
  <c r="A947"/>
  <c r="K946"/>
  <c r="A946"/>
  <c r="K945"/>
  <c r="A945"/>
  <c r="K944"/>
  <c r="A944"/>
  <c r="K943"/>
  <c r="A943"/>
  <c r="K942"/>
  <c r="A942"/>
  <c r="K941"/>
  <c r="A941"/>
  <c r="K940"/>
  <c r="A940"/>
  <c r="K939"/>
  <c r="A939"/>
  <c r="K938"/>
  <c r="A938"/>
  <c r="K937"/>
  <c r="A937"/>
  <c r="K936"/>
  <c r="A936"/>
  <c r="K935"/>
  <c r="A935"/>
  <c r="K934"/>
  <c r="A934"/>
  <c r="K933"/>
  <c r="A933"/>
  <c r="K932"/>
  <c r="A932"/>
  <c r="K931"/>
  <c r="A931"/>
  <c r="K930"/>
  <c r="A930"/>
  <c r="K929"/>
  <c r="A929"/>
  <c r="K928"/>
  <c r="A928"/>
  <c r="K927"/>
  <c r="A927"/>
  <c r="K926"/>
  <c r="A926"/>
  <c r="K925"/>
  <c r="A925"/>
  <c r="K924"/>
  <c r="A924"/>
  <c r="K923"/>
  <c r="A923"/>
  <c r="K922"/>
  <c r="A922"/>
  <c r="K921"/>
  <c r="A921"/>
  <c r="K920"/>
  <c r="A920"/>
  <c r="K919"/>
  <c r="A919"/>
  <c r="K918"/>
  <c r="A918"/>
  <c r="K917"/>
  <c r="A917"/>
  <c r="K916"/>
  <c r="A916"/>
  <c r="K915"/>
  <c r="A915"/>
  <c r="K914"/>
  <c r="A914"/>
  <c r="K913"/>
  <c r="A913"/>
  <c r="K912"/>
  <c r="A912"/>
  <c r="K911"/>
  <c r="A911"/>
  <c r="K910"/>
  <c r="A910"/>
  <c r="K909"/>
  <c r="A909"/>
  <c r="K908"/>
  <c r="A908"/>
  <c r="K907"/>
  <c r="A907"/>
  <c r="K906"/>
  <c r="A906"/>
  <c r="K905"/>
  <c r="A905"/>
  <c r="K904"/>
  <c r="A904"/>
  <c r="K903"/>
  <c r="A903"/>
  <c r="K902"/>
  <c r="A902"/>
  <c r="K901"/>
  <c r="A901"/>
  <c r="K900"/>
  <c r="A900"/>
  <c r="K899"/>
  <c r="A899"/>
  <c r="K898"/>
  <c r="A898"/>
  <c r="K897"/>
  <c r="A897"/>
  <c r="K896"/>
  <c r="A896"/>
  <c r="K895"/>
  <c r="A895"/>
  <c r="K894"/>
  <c r="A894"/>
  <c r="K893"/>
  <c r="A893"/>
  <c r="K892"/>
  <c r="A892"/>
  <c r="K891"/>
  <c r="A891"/>
  <c r="K890"/>
  <c r="A890"/>
  <c r="K889"/>
  <c r="A889"/>
  <c r="K888"/>
  <c r="A888"/>
  <c r="K887"/>
  <c r="A887"/>
  <c r="K886"/>
  <c r="A886"/>
  <c r="K885"/>
  <c r="A885"/>
  <c r="K884"/>
  <c r="A884"/>
  <c r="K883"/>
  <c r="A883"/>
  <c r="K882"/>
  <c r="A882"/>
  <c r="K881"/>
  <c r="A881"/>
  <c r="K880"/>
  <c r="A880"/>
  <c r="K879"/>
  <c r="A879"/>
  <c r="K878"/>
  <c r="A878"/>
  <c r="K877"/>
  <c r="A877"/>
  <c r="K876"/>
  <c r="A876"/>
  <c r="K875"/>
  <c r="A875"/>
  <c r="K874"/>
  <c r="A874"/>
  <c r="K873"/>
  <c r="A873"/>
  <c r="K872"/>
  <c r="A872"/>
  <c r="K871"/>
  <c r="A871"/>
  <c r="K870"/>
  <c r="A870"/>
  <c r="K869"/>
  <c r="A869"/>
  <c r="K868"/>
  <c r="A868"/>
  <c r="K867"/>
  <c r="A867"/>
  <c r="K866"/>
  <c r="A866"/>
  <c r="K865"/>
  <c r="A865"/>
  <c r="K864"/>
  <c r="A864"/>
  <c r="K863"/>
  <c r="A863"/>
  <c r="K862"/>
  <c r="A862"/>
  <c r="K861"/>
  <c r="A861"/>
  <c r="K860"/>
  <c r="A860"/>
  <c r="K859"/>
  <c r="A859"/>
  <c r="K858"/>
  <c r="A858"/>
  <c r="K857"/>
  <c r="A857"/>
  <c r="K856"/>
  <c r="A856"/>
  <c r="K855"/>
  <c r="A855"/>
  <c r="K854"/>
  <c r="A854"/>
  <c r="K853"/>
  <c r="A853"/>
  <c r="K852"/>
  <c r="A852"/>
  <c r="K851"/>
  <c r="A851"/>
  <c r="K850"/>
  <c r="A850"/>
  <c r="K849"/>
  <c r="A849"/>
  <c r="K848"/>
  <c r="A848"/>
  <c r="K847"/>
  <c r="A847"/>
  <c r="K846"/>
  <c r="A846"/>
  <c r="K845"/>
  <c r="A845"/>
  <c r="K844"/>
  <c r="A844"/>
  <c r="K843"/>
  <c r="A843"/>
  <c r="K842"/>
  <c r="A842"/>
  <c r="K841"/>
  <c r="A841"/>
  <c r="K840"/>
  <c r="A840"/>
  <c r="K839"/>
  <c r="A839"/>
  <c r="K838"/>
  <c r="A838"/>
  <c r="K837"/>
  <c r="A837"/>
  <c r="K836"/>
  <c r="A836"/>
  <c r="K835"/>
  <c r="A835"/>
  <c r="K834"/>
  <c r="A834"/>
  <c r="K833"/>
  <c r="A833"/>
  <c r="K832"/>
  <c r="A832"/>
  <c r="K831"/>
  <c r="A831"/>
  <c r="K830"/>
  <c r="A830"/>
  <c r="K829"/>
  <c r="A829"/>
  <c r="K828"/>
  <c r="A828"/>
  <c r="K827"/>
  <c r="A827"/>
  <c r="K826"/>
  <c r="A826"/>
  <c r="K825"/>
  <c r="A825"/>
  <c r="K824"/>
  <c r="A824"/>
  <c r="K823"/>
  <c r="A823"/>
  <c r="K822"/>
  <c r="A822"/>
  <c r="K821"/>
  <c r="A821"/>
  <c r="K820"/>
  <c r="A820"/>
  <c r="K819"/>
  <c r="A819"/>
  <c r="K818"/>
  <c r="A818"/>
  <c r="K817"/>
  <c r="A817"/>
  <c r="K816"/>
  <c r="A816"/>
  <c r="K815"/>
  <c r="A815"/>
  <c r="K814"/>
  <c r="A814"/>
  <c r="K813"/>
  <c r="A813"/>
  <c r="K812"/>
  <c r="A812"/>
  <c r="K811"/>
  <c r="A811"/>
  <c r="K810"/>
  <c r="A810"/>
  <c r="K809"/>
  <c r="A809"/>
  <c r="K808"/>
  <c r="A808"/>
  <c r="K807"/>
  <c r="A807"/>
  <c r="K806"/>
  <c r="A806"/>
  <c r="K805"/>
  <c r="A805"/>
  <c r="K804"/>
  <c r="A804"/>
  <c r="K803"/>
  <c r="A803"/>
  <c r="K802"/>
  <c r="A802"/>
  <c r="K801"/>
  <c r="A801"/>
  <c r="K800"/>
  <c r="A800"/>
  <c r="K799"/>
  <c r="A799"/>
  <c r="K798"/>
  <c r="A798"/>
  <c r="K797"/>
  <c r="A797"/>
  <c r="K796"/>
  <c r="A796"/>
  <c r="K795"/>
  <c r="A795"/>
  <c r="K794"/>
  <c r="A794"/>
  <c r="K793"/>
  <c r="A793"/>
  <c r="K792"/>
  <c r="A792"/>
  <c r="K791"/>
  <c r="A791"/>
  <c r="K790"/>
  <c r="A790"/>
  <c r="K789"/>
  <c r="A789"/>
  <c r="K788"/>
  <c r="A788"/>
  <c r="K787"/>
  <c r="A787"/>
  <c r="K786"/>
  <c r="A786"/>
  <c r="K785"/>
  <c r="A785"/>
  <c r="K784"/>
  <c r="A784"/>
  <c r="K783"/>
  <c r="A783"/>
  <c r="K782"/>
  <c r="A782"/>
  <c r="K781"/>
  <c r="A781"/>
  <c r="K780"/>
  <c r="A780"/>
  <c r="K779"/>
  <c r="A779"/>
  <c r="K778"/>
  <c r="A778"/>
  <c r="K777"/>
  <c r="A777"/>
  <c r="K776"/>
  <c r="A776"/>
  <c r="K775"/>
  <c r="A775"/>
  <c r="K774"/>
  <c r="A774"/>
  <c r="K773"/>
  <c r="A773"/>
  <c r="K772"/>
  <c r="A772"/>
  <c r="K771"/>
  <c r="A771"/>
  <c r="K770"/>
  <c r="A770"/>
  <c r="K769"/>
  <c r="A769"/>
  <c r="K768"/>
  <c r="A768"/>
  <c r="K767"/>
  <c r="A767"/>
  <c r="K766"/>
  <c r="A766"/>
  <c r="K765"/>
  <c r="A765"/>
  <c r="K764"/>
  <c r="A764"/>
  <c r="K763"/>
  <c r="A763"/>
  <c r="K762"/>
  <c r="A762"/>
  <c r="K761"/>
  <c r="A761"/>
  <c r="K760"/>
  <c r="A760"/>
  <c r="K759"/>
  <c r="A759"/>
  <c r="K758"/>
  <c r="A758"/>
  <c r="K757"/>
  <c r="A757"/>
  <c r="K756"/>
  <c r="A756"/>
  <c r="K755"/>
  <c r="A755"/>
  <c r="K754"/>
  <c r="A754"/>
  <c r="K753"/>
  <c r="A753"/>
  <c r="K752"/>
  <c r="A752"/>
  <c r="K751"/>
  <c r="A751"/>
  <c r="K750"/>
  <c r="A750"/>
  <c r="K749"/>
  <c r="A749"/>
  <c r="K748"/>
  <c r="A748"/>
  <c r="K747"/>
  <c r="A747"/>
  <c r="K746"/>
  <c r="A746"/>
  <c r="K745"/>
  <c r="A745"/>
  <c r="K744"/>
  <c r="A744"/>
  <c r="K743"/>
  <c r="A743"/>
  <c r="K742"/>
  <c r="A742"/>
  <c r="K741"/>
  <c r="A741"/>
  <c r="K740"/>
  <c r="A740"/>
  <c r="K739"/>
  <c r="A739"/>
  <c r="K738"/>
  <c r="A738"/>
  <c r="K737"/>
  <c r="A737"/>
  <c r="K736"/>
  <c r="A736"/>
  <c r="K735"/>
  <c r="A735"/>
  <c r="K734"/>
  <c r="A734"/>
  <c r="K733"/>
  <c r="A733"/>
  <c r="K732"/>
  <c r="A732"/>
  <c r="K731"/>
  <c r="A731"/>
  <c r="K730"/>
  <c r="A730"/>
  <c r="K729"/>
  <c r="A729"/>
  <c r="K728"/>
  <c r="A728"/>
  <c r="K727"/>
  <c r="A727"/>
  <c r="K726"/>
  <c r="A726"/>
  <c r="K725"/>
  <c r="A725"/>
  <c r="K724"/>
  <c r="A724"/>
  <c r="K723"/>
  <c r="A723"/>
  <c r="K722"/>
  <c r="A722"/>
  <c r="K721"/>
  <c r="A721"/>
  <c r="K720"/>
  <c r="A720"/>
  <c r="K719"/>
  <c r="A719"/>
  <c r="K718"/>
  <c r="A718"/>
  <c r="K717"/>
  <c r="A717"/>
  <c r="K716"/>
  <c r="A716"/>
  <c r="K715"/>
  <c r="A715"/>
  <c r="K714"/>
  <c r="A714"/>
  <c r="K713"/>
  <c r="A713"/>
  <c r="K712"/>
  <c r="A712"/>
  <c r="K711"/>
  <c r="A711"/>
  <c r="K710"/>
  <c r="A710"/>
  <c r="K709"/>
  <c r="A709"/>
  <c r="K708"/>
  <c r="A708"/>
  <c r="K707"/>
  <c r="A707"/>
  <c r="K706"/>
  <c r="A706"/>
  <c r="K705"/>
  <c r="A705"/>
  <c r="K704"/>
  <c r="A704"/>
  <c r="K703"/>
  <c r="A703"/>
  <c r="K702"/>
  <c r="A702"/>
  <c r="K701"/>
  <c r="A701"/>
  <c r="K700"/>
  <c r="A700"/>
  <c r="K699"/>
  <c r="A699"/>
  <c r="K698"/>
  <c r="A698"/>
  <c r="K697"/>
  <c r="A697"/>
  <c r="K696"/>
  <c r="A696"/>
  <c r="K695"/>
  <c r="A695"/>
  <c r="K694"/>
  <c r="A694"/>
  <c r="K693"/>
  <c r="A693"/>
  <c r="K692"/>
  <c r="A692"/>
  <c r="K691"/>
  <c r="A691"/>
  <c r="K690"/>
  <c r="A690"/>
  <c r="K689"/>
  <c r="A689"/>
  <c r="K688"/>
  <c r="A688"/>
  <c r="K687"/>
  <c r="A687"/>
  <c r="K686"/>
  <c r="A686"/>
  <c r="K685"/>
  <c r="A685"/>
  <c r="K684"/>
  <c r="A684"/>
  <c r="K683"/>
  <c r="A683"/>
  <c r="K682"/>
  <c r="A682"/>
  <c r="K681"/>
  <c r="A681"/>
  <c r="K680"/>
  <c r="A680"/>
  <c r="K679"/>
  <c r="A679"/>
  <c r="K678"/>
  <c r="A678"/>
  <c r="K677"/>
  <c r="A677"/>
  <c r="K676"/>
  <c r="A676"/>
  <c r="K675"/>
  <c r="A675"/>
  <c r="K674"/>
  <c r="A674"/>
  <c r="K673"/>
  <c r="A673"/>
  <c r="K672"/>
  <c r="A672"/>
  <c r="K671"/>
  <c r="A671"/>
  <c r="K670"/>
  <c r="A670"/>
  <c r="K669"/>
  <c r="A669"/>
  <c r="K668"/>
  <c r="A668"/>
  <c r="K667"/>
  <c r="A667"/>
  <c r="K666"/>
  <c r="A666"/>
  <c r="K665"/>
  <c r="A665"/>
  <c r="K664"/>
  <c r="A664"/>
  <c r="K663"/>
  <c r="A663"/>
  <c r="K662"/>
  <c r="A662"/>
  <c r="K661"/>
  <c r="A661"/>
  <c r="K660"/>
  <c r="A660"/>
  <c r="K659"/>
  <c r="A659"/>
  <c r="K658"/>
  <c r="A658"/>
  <c r="K657"/>
  <c r="A657"/>
  <c r="K656"/>
  <c r="A656"/>
  <c r="K655"/>
  <c r="A655"/>
  <c r="K654"/>
  <c r="A654"/>
  <c r="K653"/>
  <c r="A653"/>
  <c r="K652"/>
  <c r="A652"/>
  <c r="K651"/>
  <c r="A651"/>
  <c r="K650"/>
  <c r="A650"/>
  <c r="K649"/>
  <c r="A649"/>
  <c r="K648"/>
  <c r="A648"/>
  <c r="K647"/>
  <c r="A647"/>
  <c r="K646"/>
  <c r="A646"/>
  <c r="K645"/>
  <c r="A645"/>
  <c r="K644"/>
  <c r="A644"/>
  <c r="K643"/>
  <c r="A643"/>
  <c r="K642"/>
  <c r="A642"/>
  <c r="K641"/>
  <c r="A641"/>
  <c r="K640"/>
  <c r="A640"/>
  <c r="K639"/>
  <c r="A639"/>
  <c r="K638"/>
  <c r="A638"/>
  <c r="K637"/>
  <c r="A637"/>
  <c r="K636"/>
  <c r="A636"/>
  <c r="K635"/>
  <c r="A635"/>
  <c r="K634"/>
  <c r="A634"/>
  <c r="K633"/>
  <c r="A633"/>
  <c r="K632"/>
  <c r="A632"/>
  <c r="K631"/>
  <c r="A631"/>
  <c r="K630"/>
  <c r="A630"/>
  <c r="K629"/>
  <c r="A629"/>
  <c r="K628"/>
  <c r="A628"/>
  <c r="K627"/>
  <c r="A627"/>
  <c r="K626"/>
  <c r="A626"/>
  <c r="K625"/>
  <c r="A625"/>
  <c r="K624"/>
  <c r="A624"/>
  <c r="K623"/>
  <c r="A623"/>
  <c r="K622"/>
  <c r="A622"/>
  <c r="K621"/>
  <c r="A621"/>
  <c r="K620"/>
  <c r="A620"/>
  <c r="K619"/>
  <c r="A619"/>
  <c r="K618"/>
  <c r="A618"/>
  <c r="K617"/>
  <c r="A617"/>
  <c r="K616"/>
  <c r="A616"/>
  <c r="K615"/>
  <c r="A615"/>
  <c r="K614"/>
  <c r="A614"/>
  <c r="K613"/>
  <c r="A613"/>
  <c r="K612"/>
  <c r="A612"/>
  <c r="K611"/>
  <c r="A611"/>
  <c r="K610"/>
  <c r="A610"/>
  <c r="K609"/>
  <c r="A609"/>
  <c r="K608"/>
  <c r="A608"/>
  <c r="K607"/>
  <c r="A607"/>
  <c r="K606"/>
  <c r="A606"/>
  <c r="K605"/>
  <c r="A605"/>
  <c r="K604"/>
  <c r="A604"/>
  <c r="K603"/>
  <c r="A603"/>
  <c r="K602"/>
  <c r="A602"/>
  <c r="K601"/>
  <c r="A601"/>
  <c r="K600"/>
  <c r="A600"/>
  <c r="K599"/>
  <c r="A599"/>
  <c r="K598"/>
  <c r="A598"/>
  <c r="K597"/>
  <c r="A597"/>
  <c r="K596"/>
  <c r="A596"/>
  <c r="K595"/>
  <c r="A595"/>
  <c r="K594"/>
  <c r="A594"/>
  <c r="K593"/>
  <c r="A593"/>
  <c r="K592"/>
  <c r="A592"/>
  <c r="K591"/>
  <c r="A591"/>
  <c r="K590"/>
  <c r="A590"/>
  <c r="K589"/>
  <c r="A589"/>
  <c r="K588"/>
  <c r="A588"/>
  <c r="K587"/>
  <c r="A587"/>
  <c r="K586"/>
  <c r="A586"/>
  <c r="K585"/>
  <c r="A585"/>
  <c r="K584"/>
  <c r="A584"/>
  <c r="K583"/>
  <c r="A583"/>
  <c r="K582"/>
  <c r="A582"/>
  <c r="K581"/>
  <c r="A581"/>
  <c r="K580"/>
  <c r="A580"/>
  <c r="K579"/>
  <c r="A579"/>
  <c r="K578"/>
  <c r="A578"/>
  <c r="K577"/>
  <c r="A577"/>
  <c r="K576"/>
  <c r="A576"/>
  <c r="K575"/>
  <c r="A575"/>
  <c r="K574"/>
  <c r="A574"/>
  <c r="K573"/>
  <c r="A573"/>
  <c r="K572"/>
  <c r="A572"/>
  <c r="K571"/>
  <c r="A571"/>
  <c r="K570"/>
  <c r="A570"/>
  <c r="K569"/>
  <c r="A569"/>
  <c r="K568"/>
  <c r="A568"/>
  <c r="K567"/>
  <c r="A567"/>
  <c r="K566"/>
  <c r="A566"/>
  <c r="K565"/>
  <c r="A565"/>
  <c r="K564"/>
  <c r="A564"/>
  <c r="K563"/>
  <c r="A563"/>
  <c r="K562"/>
  <c r="A562"/>
  <c r="K561"/>
  <c r="A561"/>
  <c r="K560"/>
  <c r="A560"/>
  <c r="K559"/>
  <c r="A559"/>
  <c r="K558"/>
  <c r="A558"/>
  <c r="K557"/>
  <c r="A557"/>
  <c r="K556"/>
  <c r="A556"/>
  <c r="K555"/>
  <c r="A555"/>
  <c r="K554"/>
  <c r="A554"/>
  <c r="K553"/>
  <c r="A553"/>
  <c r="K552"/>
  <c r="A552"/>
  <c r="K551"/>
  <c r="A551"/>
  <c r="K550"/>
  <c r="A550"/>
  <c r="K549"/>
  <c r="A549"/>
  <c r="K548"/>
  <c r="A548"/>
  <c r="K547"/>
  <c r="A547"/>
  <c r="K546"/>
  <c r="A546"/>
  <c r="K545"/>
  <c r="A545"/>
  <c r="K544"/>
  <c r="A544"/>
  <c r="K543"/>
  <c r="A543"/>
  <c r="K542"/>
  <c r="A542"/>
  <c r="K541"/>
  <c r="A541"/>
  <c r="K540"/>
  <c r="A540"/>
  <c r="K539"/>
  <c r="A539"/>
  <c r="K538"/>
  <c r="A538"/>
  <c r="K537"/>
  <c r="A537"/>
  <c r="K536"/>
  <c r="A536"/>
  <c r="K535"/>
  <c r="A535"/>
  <c r="K534"/>
  <c r="A534"/>
  <c r="K533"/>
  <c r="A533"/>
  <c r="K532"/>
  <c r="A532"/>
  <c r="K531"/>
  <c r="A531"/>
  <c r="K530"/>
  <c r="A530"/>
  <c r="K529"/>
  <c r="A529"/>
  <c r="K528"/>
  <c r="A528"/>
  <c r="K527"/>
  <c r="A527"/>
  <c r="K526"/>
  <c r="A526"/>
  <c r="K525"/>
  <c r="A525"/>
  <c r="K524"/>
  <c r="A524"/>
  <c r="K523"/>
  <c r="A523"/>
  <c r="K522"/>
  <c r="A522"/>
  <c r="K521"/>
  <c r="A521"/>
  <c r="K520"/>
  <c r="A520"/>
  <c r="K519"/>
  <c r="A519"/>
  <c r="K518"/>
  <c r="A518"/>
  <c r="K517"/>
  <c r="A517"/>
  <c r="K516"/>
  <c r="A516"/>
  <c r="K515"/>
  <c r="A515"/>
  <c r="K514"/>
  <c r="A514"/>
  <c r="K513"/>
  <c r="A513"/>
  <c r="K512"/>
  <c r="A512"/>
  <c r="K511"/>
  <c r="A511"/>
  <c r="K510"/>
  <c r="A510"/>
  <c r="K509"/>
  <c r="A509"/>
  <c r="K508"/>
  <c r="A508"/>
  <c r="K507"/>
  <c r="A507"/>
  <c r="K506"/>
  <c r="A506"/>
  <c r="K505"/>
  <c r="A505"/>
  <c r="K504"/>
  <c r="A504"/>
  <c r="K503"/>
  <c r="A503"/>
  <c r="K502"/>
  <c r="A502"/>
  <c r="K501"/>
  <c r="A501"/>
  <c r="K500"/>
  <c r="A500"/>
  <c r="K499"/>
  <c r="A499"/>
  <c r="K498"/>
  <c r="A498"/>
  <c r="K497"/>
  <c r="A497"/>
  <c r="K496"/>
  <c r="A496"/>
  <c r="K495"/>
  <c r="A495"/>
  <c r="K494"/>
  <c r="A494"/>
  <c r="K493"/>
  <c r="A493"/>
  <c r="K492"/>
  <c r="A492"/>
  <c r="K491"/>
  <c r="A491"/>
  <c r="K490"/>
  <c r="A490"/>
  <c r="K489"/>
  <c r="A489"/>
  <c r="K488"/>
  <c r="A488"/>
  <c r="K487"/>
  <c r="A487"/>
  <c r="K486"/>
  <c r="A486"/>
  <c r="K485"/>
  <c r="A485"/>
  <c r="K484"/>
  <c r="A484"/>
  <c r="K483"/>
  <c r="A483"/>
  <c r="K482"/>
  <c r="A482"/>
  <c r="K481"/>
  <c r="A481"/>
  <c r="K480"/>
  <c r="A480"/>
  <c r="K479"/>
  <c r="A479"/>
  <c r="K478"/>
  <c r="A478"/>
  <c r="K477"/>
  <c r="A477"/>
  <c r="K476"/>
  <c r="A476"/>
  <c r="K475"/>
  <c r="A475"/>
  <c r="K474"/>
  <c r="A474"/>
  <c r="K473"/>
  <c r="A473"/>
  <c r="K472"/>
  <c r="A472"/>
  <c r="K471"/>
  <c r="A471"/>
  <c r="K470"/>
  <c r="A470"/>
  <c r="K469"/>
  <c r="A469"/>
  <c r="K468"/>
  <c r="A468"/>
  <c r="K467"/>
  <c r="A467"/>
  <c r="K466"/>
  <c r="A466"/>
  <c r="K465"/>
  <c r="A465"/>
  <c r="K464"/>
  <c r="A464"/>
  <c r="K463"/>
  <c r="A463"/>
  <c r="K462"/>
  <c r="A462"/>
  <c r="K461"/>
  <c r="A461"/>
  <c r="K460"/>
  <c r="A460"/>
  <c r="K459"/>
  <c r="A459"/>
  <c r="K458"/>
  <c r="A458"/>
  <c r="K457"/>
  <c r="A457"/>
  <c r="K456"/>
  <c r="A456"/>
  <c r="K455"/>
  <c r="A455"/>
  <c r="K454"/>
  <c r="A454"/>
  <c r="K453"/>
  <c r="A453"/>
  <c r="K452"/>
  <c r="A452"/>
  <c r="K451"/>
  <c r="A451"/>
  <c r="K450"/>
  <c r="A450"/>
  <c r="K449"/>
  <c r="A449"/>
  <c r="K448"/>
  <c r="A448"/>
  <c r="K447"/>
  <c r="A447"/>
  <c r="K446"/>
  <c r="A446"/>
  <c r="K445"/>
  <c r="A445"/>
  <c r="K444"/>
  <c r="A444"/>
  <c r="K443"/>
  <c r="A443"/>
  <c r="K442"/>
  <c r="A442"/>
  <c r="K441"/>
  <c r="A441"/>
  <c r="K440"/>
  <c r="A440"/>
  <c r="K439"/>
  <c r="A439"/>
  <c r="K438"/>
  <c r="A438"/>
  <c r="K437"/>
  <c r="A437"/>
  <c r="K436"/>
  <c r="A436"/>
  <c r="K435"/>
  <c r="A435"/>
  <c r="K434"/>
  <c r="A434"/>
  <c r="K433"/>
  <c r="A433"/>
  <c r="K432"/>
  <c r="A432"/>
  <c r="K431"/>
  <c r="A431"/>
  <c r="K430"/>
  <c r="A430"/>
  <c r="K429"/>
  <c r="A429"/>
  <c r="K428"/>
  <c r="A428"/>
  <c r="K427"/>
  <c r="A427"/>
  <c r="K426"/>
  <c r="A426"/>
  <c r="K425"/>
  <c r="A425"/>
  <c r="K424"/>
  <c r="A424"/>
  <c r="K423"/>
  <c r="A423"/>
  <c r="K422"/>
  <c r="A422"/>
  <c r="K421"/>
  <c r="A421"/>
  <c r="K420"/>
  <c r="A420"/>
  <c r="K419"/>
  <c r="A419"/>
  <c r="K418"/>
  <c r="A418"/>
  <c r="K417"/>
  <c r="A417"/>
  <c r="K416"/>
  <c r="A416"/>
  <c r="K415"/>
  <c r="A415"/>
  <c r="K414"/>
  <c r="A414"/>
  <c r="K413"/>
  <c r="A413"/>
  <c r="K412"/>
  <c r="A412"/>
  <c r="K411"/>
  <c r="A411"/>
  <c r="K410"/>
  <c r="A410"/>
  <c r="K409"/>
  <c r="A409"/>
  <c r="K408"/>
  <c r="A408"/>
  <c r="K407"/>
  <c r="A407"/>
  <c r="K406"/>
  <c r="A406"/>
  <c r="K405"/>
  <c r="A405"/>
  <c r="K404"/>
  <c r="A404"/>
  <c r="K403"/>
  <c r="A403"/>
  <c r="K402"/>
  <c r="A402"/>
  <c r="K401"/>
  <c r="A401"/>
  <c r="K400"/>
  <c r="A400"/>
  <c r="K399"/>
  <c r="A399"/>
  <c r="K398"/>
  <c r="A398"/>
  <c r="K397"/>
  <c r="A397"/>
  <c r="K396"/>
  <c r="A396"/>
  <c r="K395"/>
  <c r="A395"/>
  <c r="K394"/>
  <c r="A394"/>
  <c r="K393"/>
  <c r="A393"/>
  <c r="K392"/>
  <c r="A392"/>
  <c r="K391"/>
  <c r="A391"/>
  <c r="K390"/>
  <c r="A390"/>
  <c r="K389"/>
  <c r="A389"/>
  <c r="K388"/>
  <c r="A388"/>
  <c r="K387"/>
  <c r="A387"/>
  <c r="K386"/>
  <c r="A386"/>
  <c r="K385"/>
  <c r="A385"/>
  <c r="K384"/>
  <c r="A384"/>
  <c r="K383"/>
  <c r="A383"/>
  <c r="K382"/>
  <c r="A382"/>
  <c r="K381"/>
  <c r="A381"/>
  <c r="K380"/>
  <c r="A380"/>
  <c r="K379"/>
  <c r="A379"/>
  <c r="K378"/>
  <c r="A378"/>
  <c r="K377"/>
  <c r="A377"/>
  <c r="K376"/>
  <c r="A376"/>
  <c r="K375"/>
  <c r="A375"/>
  <c r="K374"/>
  <c r="A374"/>
  <c r="K373"/>
  <c r="A373"/>
  <c r="K372"/>
  <c r="A372"/>
  <c r="K371"/>
  <c r="A371"/>
  <c r="K370"/>
  <c r="A370"/>
  <c r="K369"/>
  <c r="A369"/>
  <c r="K368"/>
  <c r="A368"/>
  <c r="K367"/>
  <c r="A367"/>
  <c r="K366"/>
  <c r="A366"/>
  <c r="K365"/>
  <c r="A365"/>
  <c r="K364"/>
  <c r="A364"/>
  <c r="K363"/>
  <c r="A363"/>
  <c r="K362"/>
  <c r="A362"/>
  <c r="K361"/>
  <c r="A361"/>
  <c r="K360"/>
  <c r="A360"/>
  <c r="K359"/>
  <c r="A359"/>
  <c r="K358"/>
  <c r="A358"/>
  <c r="K357"/>
  <c r="A357"/>
  <c r="K356"/>
  <c r="A356"/>
  <c r="K355"/>
  <c r="A355"/>
  <c r="K354"/>
  <c r="A354"/>
  <c r="K353"/>
  <c r="A353"/>
  <c r="K352"/>
  <c r="A352"/>
  <c r="K351"/>
  <c r="A351"/>
  <c r="K350"/>
  <c r="A350"/>
  <c r="K349"/>
  <c r="A349"/>
  <c r="K348"/>
  <c r="A348"/>
  <c r="K347"/>
  <c r="A347"/>
  <c r="K346"/>
  <c r="A346"/>
  <c r="K345"/>
  <c r="A345"/>
  <c r="K344"/>
  <c r="A344"/>
  <c r="K343"/>
  <c r="A343"/>
  <c r="K342"/>
  <c r="A342"/>
  <c r="K341"/>
  <c r="A341"/>
  <c r="K340"/>
  <c r="A340"/>
  <c r="K339"/>
  <c r="A339"/>
  <c r="K338"/>
  <c r="A338"/>
  <c r="K337"/>
  <c r="A337"/>
  <c r="K336"/>
  <c r="A336"/>
  <c r="K335"/>
  <c r="A335"/>
  <c r="K334"/>
  <c r="A334"/>
  <c r="K333"/>
  <c r="A333"/>
  <c r="K332"/>
  <c r="A332"/>
  <c r="K331"/>
  <c r="A331"/>
  <c r="K330"/>
  <c r="A330"/>
  <c r="K329"/>
  <c r="A329"/>
  <c r="K328"/>
  <c r="A328"/>
  <c r="K327"/>
  <c r="A327"/>
  <c r="K326"/>
  <c r="A326"/>
  <c r="K325"/>
  <c r="A325"/>
  <c r="K324"/>
  <c r="A324"/>
  <c r="K323"/>
  <c r="A323"/>
  <c r="K322"/>
  <c r="A322"/>
  <c r="K321"/>
  <c r="A321"/>
  <c r="K320"/>
  <c r="A320"/>
  <c r="K319"/>
  <c r="A319"/>
  <c r="K318"/>
  <c r="A318"/>
  <c r="K317"/>
  <c r="A317"/>
  <c r="K316"/>
  <c r="A316"/>
  <c r="K315"/>
  <c r="A315"/>
  <c r="K314"/>
  <c r="A314"/>
  <c r="K313"/>
  <c r="A313"/>
  <c r="K312"/>
  <c r="A312"/>
  <c r="K311"/>
  <c r="A311"/>
  <c r="K310"/>
  <c r="A310"/>
  <c r="K309"/>
  <c r="A309"/>
  <c r="K308"/>
  <c r="A308"/>
  <c r="K307"/>
  <c r="A307"/>
  <c r="K306"/>
  <c r="A306"/>
  <c r="K305"/>
  <c r="A305"/>
  <c r="K304"/>
  <c r="A304"/>
  <c r="K303"/>
  <c r="A303"/>
  <c r="K302"/>
  <c r="A302"/>
  <c r="K301"/>
  <c r="A301"/>
  <c r="K300"/>
  <c r="A300"/>
  <c r="K299"/>
  <c r="A299"/>
  <c r="K298"/>
  <c r="A298"/>
  <c r="K297"/>
  <c r="A297"/>
  <c r="K296"/>
  <c r="A296"/>
  <c r="K295"/>
  <c r="A295"/>
  <c r="K294"/>
  <c r="A294"/>
  <c r="K293"/>
  <c r="A293"/>
  <c r="K292"/>
  <c r="A292"/>
  <c r="K291"/>
  <c r="A291"/>
  <c r="K290"/>
  <c r="A290"/>
  <c r="K289"/>
  <c r="A289"/>
  <c r="K288"/>
  <c r="A288"/>
  <c r="K287"/>
  <c r="A287"/>
  <c r="K286"/>
  <c r="A286"/>
  <c r="K285"/>
  <c r="A285"/>
  <c r="K284"/>
  <c r="A284"/>
  <c r="K283"/>
  <c r="A283"/>
  <c r="K282"/>
  <c r="A282"/>
  <c r="K281"/>
  <c r="A281"/>
  <c r="K280"/>
  <c r="A280"/>
  <c r="K279"/>
  <c r="A279"/>
  <c r="K278"/>
  <c r="A278"/>
  <c r="K277"/>
  <c r="A277"/>
  <c r="K276"/>
  <c r="A276"/>
  <c r="K275"/>
  <c r="A275"/>
  <c r="K274"/>
  <c r="A274"/>
  <c r="K273"/>
  <c r="A273"/>
  <c r="K272"/>
  <c r="A272"/>
  <c r="K271"/>
  <c r="A271"/>
  <c r="K270"/>
  <c r="A270"/>
  <c r="K269"/>
  <c r="A269"/>
  <c r="K268"/>
  <c r="A268"/>
  <c r="K267"/>
  <c r="A267"/>
  <c r="K266"/>
  <c r="A266"/>
  <c r="K265"/>
  <c r="A265"/>
  <c r="K264"/>
  <c r="A264"/>
  <c r="K263"/>
  <c r="A263"/>
  <c r="K262"/>
  <c r="A262"/>
  <c r="K261"/>
  <c r="A261"/>
  <c r="K260"/>
  <c r="A260"/>
  <c r="K259"/>
  <c r="A259"/>
  <c r="K258"/>
  <c r="A258"/>
  <c r="K257"/>
  <c r="A257"/>
  <c r="K256"/>
  <c r="A256"/>
  <c r="K255"/>
  <c r="A255"/>
  <c r="K254"/>
  <c r="A254"/>
  <c r="K253"/>
  <c r="A253"/>
  <c r="K252"/>
  <c r="A252"/>
  <c r="K251"/>
  <c r="A251"/>
  <c r="K250"/>
  <c r="A250"/>
  <c r="K249"/>
  <c r="A249"/>
  <c r="K248"/>
  <c r="A248"/>
  <c r="K247"/>
  <c r="A247"/>
  <c r="K246"/>
  <c r="A246"/>
  <c r="K245"/>
  <c r="A245"/>
  <c r="K244"/>
  <c r="A244"/>
  <c r="K243"/>
  <c r="A243"/>
  <c r="K242"/>
  <c r="A242"/>
  <c r="K241"/>
  <c r="A241"/>
  <c r="K240"/>
  <c r="A240"/>
  <c r="K239"/>
  <c r="A239"/>
  <c r="K238"/>
  <c r="A238"/>
  <c r="K237"/>
  <c r="A237"/>
  <c r="K236"/>
  <c r="A236"/>
  <c r="K235"/>
  <c r="A235"/>
  <c r="K234"/>
  <c r="A234"/>
  <c r="K233"/>
  <c r="A233"/>
  <c r="K232"/>
  <c r="A232"/>
  <c r="K231"/>
  <c r="A231"/>
  <c r="K230"/>
  <c r="A230"/>
  <c r="K229"/>
  <c r="A229"/>
  <c r="K228"/>
  <c r="A228"/>
  <c r="K227"/>
  <c r="A227"/>
  <c r="K226"/>
  <c r="A226"/>
  <c r="K225"/>
  <c r="A225"/>
  <c r="K224"/>
  <c r="A224"/>
  <c r="K223"/>
  <c r="A223"/>
  <c r="K222"/>
  <c r="A222"/>
  <c r="K221"/>
  <c r="A221"/>
  <c r="K220"/>
  <c r="A220"/>
  <c r="K219"/>
  <c r="A219"/>
  <c r="K218"/>
  <c r="A218"/>
  <c r="K217"/>
  <c r="A217"/>
  <c r="K216"/>
  <c r="A216"/>
  <c r="K215"/>
  <c r="A215"/>
  <c r="K214"/>
  <c r="A214"/>
  <c r="K213"/>
  <c r="A213"/>
  <c r="K212"/>
  <c r="A212"/>
  <c r="K211"/>
  <c r="A211"/>
  <c r="K210"/>
  <c r="A210"/>
  <c r="K209"/>
  <c r="A209"/>
  <c r="K208"/>
  <c r="A208"/>
  <c r="K207"/>
  <c r="A207"/>
  <c r="K206"/>
  <c r="A206"/>
  <c r="K205"/>
  <c r="A205"/>
  <c r="K204"/>
  <c r="A204"/>
  <c r="K203"/>
  <c r="A203"/>
  <c r="K202"/>
  <c r="A202"/>
  <c r="K201"/>
  <c r="A201"/>
  <c r="K200"/>
  <c r="A200"/>
  <c r="K199"/>
  <c r="A199"/>
  <c r="K198"/>
  <c r="A198"/>
  <c r="K197"/>
  <c r="A197"/>
  <c r="K196"/>
  <c r="A196"/>
  <c r="K195"/>
  <c r="A195"/>
  <c r="K194"/>
  <c r="A194"/>
  <c r="K193"/>
  <c r="A193"/>
  <c r="K192"/>
  <c r="A192"/>
  <c r="K191"/>
  <c r="A191"/>
  <c r="K190"/>
  <c r="A190"/>
  <c r="K189"/>
  <c r="A189"/>
  <c r="K188"/>
  <c r="A188"/>
  <c r="K187"/>
  <c r="A187"/>
  <c r="K186"/>
  <c r="A186"/>
  <c r="K185"/>
  <c r="A185"/>
  <c r="K184"/>
  <c r="A184"/>
  <c r="K183"/>
  <c r="A183"/>
  <c r="K182"/>
  <c r="A182"/>
  <c r="K181"/>
  <c r="A181"/>
  <c r="K180"/>
  <c r="A180"/>
  <c r="K179"/>
  <c r="A179"/>
  <c r="K178"/>
  <c r="A178"/>
  <c r="K177"/>
  <c r="A177"/>
  <c r="K176"/>
  <c r="A176"/>
  <c r="K175"/>
  <c r="A175"/>
  <c r="K174"/>
  <c r="A174"/>
  <c r="K173"/>
  <c r="A173"/>
  <c r="K172"/>
  <c r="A172"/>
  <c r="K171"/>
  <c r="A171"/>
  <c r="K170"/>
  <c r="A170"/>
  <c r="K169"/>
  <c r="A169"/>
  <c r="K168"/>
  <c r="A168"/>
  <c r="K167"/>
  <c r="A167"/>
  <c r="K166"/>
  <c r="A166"/>
  <c r="K165"/>
  <c r="A165"/>
  <c r="K164"/>
  <c r="A164"/>
  <c r="K163"/>
  <c r="A163"/>
  <c r="K162"/>
  <c r="A162"/>
  <c r="K161"/>
  <c r="A161"/>
  <c r="K160"/>
  <c r="A160"/>
  <c r="K159"/>
  <c r="A159"/>
  <c r="K158"/>
  <c r="A158"/>
  <c r="K157"/>
  <c r="A157"/>
  <c r="K156"/>
  <c r="A156"/>
  <c r="K155"/>
  <c r="A155"/>
  <c r="K154"/>
  <c r="A154"/>
  <c r="K153"/>
  <c r="A153"/>
  <c r="K152"/>
  <c r="A152"/>
  <c r="K151"/>
  <c r="A151"/>
  <c r="K150"/>
  <c r="A150"/>
  <c r="K149"/>
  <c r="A149"/>
  <c r="K148"/>
  <c r="A148"/>
  <c r="K147"/>
  <c r="A147"/>
  <c r="K146"/>
  <c r="A146"/>
  <c r="K145"/>
  <c r="A145"/>
  <c r="K144"/>
  <c r="A144"/>
  <c r="K143"/>
  <c r="A143"/>
  <c r="K142"/>
  <c r="A142"/>
  <c r="K141"/>
  <c r="A141"/>
  <c r="K140"/>
  <c r="A140"/>
  <c r="K139"/>
  <c r="A139"/>
  <c r="K138"/>
  <c r="A138"/>
  <c r="K137"/>
  <c r="A137"/>
  <c r="K136"/>
  <c r="A136"/>
  <c r="K135"/>
  <c r="A135"/>
  <c r="K134"/>
  <c r="A134"/>
  <c r="K133"/>
  <c r="A133"/>
  <c r="K132"/>
  <c r="A132"/>
  <c r="K131"/>
  <c r="A131"/>
  <c r="K130"/>
  <c r="A130"/>
  <c r="K129"/>
  <c r="A129"/>
  <c r="K128"/>
  <c r="A128"/>
  <c r="K127"/>
  <c r="A127"/>
  <c r="K126"/>
  <c r="A126"/>
  <c r="K125"/>
  <c r="A125"/>
  <c r="K124"/>
  <c r="A124"/>
  <c r="K123"/>
  <c r="A123"/>
  <c r="K122"/>
  <c r="A122"/>
  <c r="K121"/>
  <c r="A121"/>
  <c r="K120"/>
  <c r="A120"/>
  <c r="K119"/>
  <c r="A119"/>
  <c r="K118"/>
  <c r="A118"/>
  <c r="K117"/>
  <c r="A117"/>
  <c r="K116"/>
  <c r="A116"/>
  <c r="K115"/>
  <c r="A115"/>
  <c r="K114"/>
  <c r="A114"/>
  <c r="K113"/>
  <c r="A113"/>
  <c r="K112"/>
  <c r="A112"/>
  <c r="K111"/>
  <c r="A111"/>
  <c r="K110"/>
  <c r="A110"/>
  <c r="K109"/>
  <c r="A109"/>
  <c r="K108"/>
  <c r="A108"/>
  <c r="K107"/>
  <c r="A107"/>
  <c r="K106"/>
  <c r="A106"/>
  <c r="K105"/>
  <c r="A105"/>
  <c r="K104"/>
  <c r="A104"/>
  <c r="K103"/>
  <c r="A103"/>
  <c r="K102"/>
  <c r="A102"/>
  <c r="K101"/>
  <c r="A101"/>
  <c r="K100"/>
  <c r="A100"/>
  <c r="K99"/>
  <c r="A99"/>
  <c r="K98"/>
  <c r="A98"/>
  <c r="K97"/>
  <c r="A97"/>
  <c r="K96"/>
  <c r="A96"/>
  <c r="K95"/>
  <c r="A95"/>
  <c r="K94"/>
  <c r="A94"/>
  <c r="K93"/>
  <c r="A93"/>
  <c r="K92"/>
  <c r="A92"/>
  <c r="K91"/>
  <c r="A91"/>
  <c r="K90"/>
  <c r="A90"/>
  <c r="K89"/>
  <c r="A89"/>
  <c r="K88"/>
  <c r="A88"/>
  <c r="K87"/>
  <c r="A87"/>
  <c r="K86"/>
  <c r="A86"/>
  <c r="K85"/>
  <c r="A85"/>
  <c r="K84"/>
  <c r="A84"/>
  <c r="K83"/>
  <c r="A83"/>
  <c r="K82"/>
  <c r="A82"/>
  <c r="K81"/>
  <c r="A81"/>
  <c r="K80"/>
  <c r="A80"/>
  <c r="K79"/>
  <c r="A79"/>
  <c r="K78"/>
  <c r="A78"/>
  <c r="K77"/>
  <c r="A77"/>
  <c r="K76"/>
  <c r="A76"/>
  <c r="K75"/>
  <c r="A75"/>
  <c r="K74"/>
  <c r="A74"/>
  <c r="K73"/>
  <c r="A73"/>
  <c r="K72"/>
  <c r="A72"/>
  <c r="K71"/>
  <c r="A71"/>
  <c r="K70"/>
  <c r="A70"/>
  <c r="K69"/>
  <c r="A69"/>
  <c r="K68"/>
  <c r="A68"/>
  <c r="K67"/>
  <c r="A67"/>
  <c r="K66"/>
  <c r="A66"/>
  <c r="K65"/>
  <c r="A65"/>
  <c r="K64"/>
  <c r="A64"/>
  <c r="K63"/>
  <c r="A63"/>
  <c r="K62"/>
  <c r="A62"/>
  <c r="K61"/>
  <c r="A61"/>
  <c r="K60"/>
  <c r="A60"/>
  <c r="K59"/>
  <c r="A59"/>
  <c r="K58"/>
  <c r="A58"/>
  <c r="K57"/>
  <c r="A57"/>
  <c r="K56"/>
  <c r="A56"/>
  <c r="K55"/>
  <c r="A55"/>
  <c r="K54"/>
  <c r="A54"/>
  <c r="K53"/>
  <c r="A53"/>
  <c r="K52"/>
  <c r="A52"/>
  <c r="K51"/>
  <c r="A51"/>
  <c r="K50"/>
  <c r="A50"/>
  <c r="K49"/>
  <c r="A49"/>
  <c r="K48"/>
  <c r="A48"/>
  <c r="K47"/>
  <c r="A47"/>
  <c r="K46"/>
  <c r="A46"/>
  <c r="K45"/>
  <c r="A45"/>
  <c r="K44"/>
  <c r="A44"/>
  <c r="K43"/>
  <c r="A43"/>
  <c r="K42"/>
  <c r="A42"/>
  <c r="K41"/>
  <c r="A41"/>
  <c r="K40"/>
  <c r="A40"/>
  <c r="K39"/>
  <c r="A39"/>
  <c r="K38"/>
  <c r="A38"/>
  <c r="K37"/>
  <c r="A37"/>
  <c r="K36"/>
  <c r="A36"/>
  <c r="K35"/>
  <c r="A35"/>
  <c r="K34"/>
  <c r="A34"/>
  <c r="K33"/>
  <c r="A33"/>
  <c r="K32"/>
  <c r="A32"/>
  <c r="K31"/>
  <c r="A31"/>
  <c r="K30"/>
  <c r="A30"/>
  <c r="K29"/>
  <c r="A29"/>
  <c r="K28"/>
  <c r="A28"/>
  <c r="K27"/>
  <c r="A27"/>
  <c r="K26"/>
  <c r="A26"/>
  <c r="K25"/>
  <c r="A25"/>
  <c r="K24"/>
  <c r="A24"/>
  <c r="K23"/>
  <c r="A23"/>
  <c r="K22"/>
  <c r="A22"/>
  <c r="K21"/>
  <c r="K1382" s="1"/>
  <c r="A21"/>
  <c r="R21" s="1"/>
  <c r="X18"/>
  <c r="G4"/>
  <c r="F4"/>
  <c r="L3"/>
  <c r="L38" i="2"/>
  <c r="L40" s="1"/>
  <c r="L37"/>
  <c r="L36"/>
  <c r="D22"/>
  <c r="D27"/>
  <c r="D26"/>
  <c r="D21"/>
  <c r="A6"/>
  <c r="A7"/>
  <c r="A8"/>
  <c r="A5"/>
  <c r="E48" i="1"/>
  <c r="D48"/>
  <c r="A48"/>
  <c r="E47"/>
  <c r="D47"/>
  <c r="A47"/>
  <c r="E46"/>
  <c r="D46"/>
  <c r="A46"/>
  <c r="E45"/>
  <c r="D45"/>
  <c r="A45"/>
  <c r="E44"/>
  <c r="D44"/>
  <c r="A44"/>
  <c r="D40"/>
  <c r="E40"/>
  <c r="D41"/>
  <c r="E41"/>
  <c r="D42"/>
  <c r="E42"/>
  <c r="D43"/>
  <c r="E43"/>
  <c r="E39"/>
  <c r="D39"/>
  <c r="A39"/>
  <c r="A43"/>
  <c r="A42"/>
  <c r="A41"/>
  <c r="A40"/>
  <c r="E38"/>
  <c r="D38"/>
  <c r="A38"/>
  <c r="E37"/>
  <c r="D37"/>
  <c r="A37"/>
  <c r="E36"/>
  <c r="D36"/>
  <c r="A36"/>
  <c r="E35"/>
  <c r="D35"/>
  <c r="A35"/>
  <c r="E34"/>
  <c r="D34"/>
  <c r="A34"/>
  <c r="E33"/>
  <c r="D33"/>
  <c r="A33"/>
  <c r="E32"/>
  <c r="D32"/>
  <c r="A32"/>
  <c r="E31"/>
  <c r="D31"/>
  <c r="A31"/>
  <c r="E30"/>
  <c r="D30"/>
  <c r="A30"/>
  <c r="E29"/>
  <c r="D29"/>
  <c r="A29"/>
  <c r="D5"/>
  <c r="A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4"/>
  <c r="E4"/>
  <c r="A28"/>
  <c r="A27"/>
  <c r="A26"/>
  <c r="A25"/>
  <c r="A24"/>
  <c r="A23"/>
  <c r="A22"/>
  <c r="A21"/>
  <c r="A20"/>
  <c r="A19"/>
  <c r="A18"/>
  <c r="A17"/>
  <c r="A16"/>
  <c r="A15"/>
  <c r="A14"/>
  <c r="A13"/>
  <c r="A12"/>
  <c r="A11"/>
  <c r="A10"/>
  <c r="A9"/>
  <c r="A8"/>
  <c r="A7"/>
  <c r="A6"/>
  <c r="A4"/>
  <c r="L39" i="2" l="1"/>
</calcChain>
</file>

<file path=xl/sharedStrings.xml><?xml version="1.0" encoding="utf-8"?>
<sst xmlns="http://schemas.openxmlformats.org/spreadsheetml/2006/main" count="210" uniqueCount="160">
  <si>
    <t>Mask Value</t>
  </si>
  <si>
    <t>Multiplier</t>
  </si>
  <si>
    <t>Adder</t>
  </si>
  <si>
    <t>mult</t>
  </si>
  <si>
    <t>add</t>
  </si>
  <si>
    <t>slider Position 0-&gt;1000</t>
  </si>
  <si>
    <t>Original src Pixel</t>
  </si>
  <si>
    <t>Final src Pixel</t>
  </si>
  <si>
    <t>Max value for multiplier!!!!!</t>
  </si>
  <si>
    <t>Very small numbers!!!!!</t>
  </si>
  <si>
    <t>Single formula version of Sheet 1</t>
  </si>
  <si>
    <t>Simplifies the column output.</t>
  </si>
  <si>
    <t xml:space="preserve">We can set two limit eqns on this to predict limits and get </t>
  </si>
  <si>
    <t>if multiplier = 0</t>
  </si>
  <si>
    <t>if Adder = 0</t>
  </si>
  <si>
    <t>Mx &lt;= (rf-r0)/(r0*m)</t>
  </si>
  <si>
    <t>r0m &gt; 0 only</t>
  </si>
  <si>
    <t>Maximum Adder = 10^5*(rf-f0)/m^2</t>
  </si>
  <si>
    <t>rf</t>
  </si>
  <si>
    <t xml:space="preserve">r0 </t>
  </si>
  <si>
    <t>m</t>
  </si>
  <si>
    <t>max adder</t>
  </si>
  <si>
    <t>Pf=final rgb  value on video frame; Po=starting value on video frame; Mask=rgb value on mask;</t>
  </si>
  <si>
    <t>Multiplier = position of slider pointer for mult; Adder position of slider pointer for Additive.</t>
  </si>
  <si>
    <t>r below refers to red channel</t>
  </si>
  <si>
    <t>The idea in this workbook is to try and predict how well Donald Graft's equations for the HotSpot filter work in the multiplicative and additive modes.</t>
  </si>
  <si>
    <t>It took quite a while to understand what he was doing and although his works, he is not using the standard definitions for these.</t>
  </si>
  <si>
    <t>Equation =</t>
  </si>
  <si>
    <t>Pf = Po + P0*(Multiplier/40000)*Mask + (Adder/100000)*Mask^2</t>
  </si>
  <si>
    <t xml:space="preserve">Maximum hotspot value = </t>
  </si>
  <si>
    <t>position</t>
  </si>
  <si>
    <t>lower rt</t>
  </si>
  <si>
    <t>upper rt</t>
  </si>
  <si>
    <t>target Pf</t>
  </si>
  <si>
    <t>max</t>
  </si>
  <si>
    <t>min</t>
  </si>
  <si>
    <t>so range for mask in reverse will be 0 to 93 (max - min)?</t>
  </si>
  <si>
    <t>Pf = Po + Po*(Multiplier/40000)*Mask + (Adder/100000)*Mask^2</t>
  </si>
  <si>
    <t>Po i=video frame original Pixel value; Pf=final; Mask=pixel value of mask</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</si>
  <si>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</si>
  <si>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</si>
  <si>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</si>
  <si>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</si>
  <si>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</si>
  <si>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</si>
  <si>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</si>
  <si>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</si>
  <si>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</si>
  <si>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</si>
  <si>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</si>
  <si>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</si>
  <si>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</si>
  <si>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</si>
  <si>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</si>
  <si>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</si>
  <si>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</si>
  <si>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</si>
  <si>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</si>
  <si>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</si>
  <si>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</si>
  <si>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</si>
  <si>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</si>
  <si>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</si>
  <si>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</si>
  <si>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X Variable 2</t>
  </si>
  <si>
    <t>RESIDUAL OUTPUT</t>
  </si>
  <si>
    <t>Observation</t>
  </si>
  <si>
    <t>Predicted Y</t>
  </si>
  <si>
    <t>Residuals</t>
  </si>
  <si>
    <t>Po* Mask/40000</t>
  </si>
  <si>
    <t>Mask^2/100000</t>
  </si>
  <si>
    <t>Step by Step how to:</t>
  </si>
  <si>
    <t>Find the useful  x and y ranges of the video frame. This operation is a tradeoff between eliminating the darkest edges that still contain some useful visual information, but also create a very steep luminace gradient that is hard to remove and can end up causing artifact luminance distortions in the rest of the frame.  It is better to lose some of the video frame edge than try and recover the luminance information from really dark areas. (if you are uncertain about how much to leave out, you can decide what is appropriate by iteratively using hte regression method below with and without the edge information.)</t>
  </si>
  <si>
    <t>Developing the mask and the slider multiplier and adder values.</t>
  </si>
  <si>
    <t>Once the regression is performed the two factors can directly be read off the information that is indicated as the x coefficients, along with the fitting statistics.</t>
  </si>
  <si>
    <t>DID IT WORK?????</t>
  </si>
  <si>
    <t>Note that this analysis does not have to be done, and one could just play with the sliders to find a satisfactory set of values, but keep in mind that the equation used by Graft is non linear and therefore can take some time to find the best values. This analysis itself takes time to set up and run but provides a starting point more quickly.</t>
  </si>
  <si>
    <t>Note the input range is measured from the hotspot to the darkest edge which was lower rt</t>
  </si>
  <si>
    <t>The output is then adjusted to maintain 0 at the hotspot and the rt corner value as 255-110.</t>
  </si>
  <si>
    <t>Using ImageJ the region that fit the usable video portoin was outlined for the 1/15th s data.</t>
  </si>
  <si>
    <t>The region is bounded by x = 230 and x=1670 and y = 30 and y = 1064</t>
  </si>
  <si>
    <t xml:space="preserve"> </t>
  </si>
  <si>
    <t>Area</t>
  </si>
  <si>
    <t>Mean</t>
  </si>
  <si>
    <t>Mode</t>
  </si>
  <si>
    <t>Min</t>
  </si>
  <si>
    <t>Max</t>
  </si>
  <si>
    <t>X</t>
  </si>
  <si>
    <t>Y</t>
  </si>
  <si>
    <t>XM</t>
  </si>
  <si>
    <t>YM</t>
  </si>
  <si>
    <t>Median</t>
  </si>
  <si>
    <t>Skew</t>
  </si>
  <si>
    <t>The minimum is actually in the lower corner of what is considered the useful rectangle area.</t>
  </si>
  <si>
    <t>the full dynamic reange is thus 163 to 53 or inverted is 0 to 110 range for x = 230-1670 and y = 30 - 1064</t>
  </si>
  <si>
    <t xml:space="preserve">Max = </t>
  </si>
  <si>
    <t xml:space="preserve">mIn = </t>
  </si>
  <si>
    <t xml:space="preserve">full Range </t>
  </si>
  <si>
    <t>from 255</t>
  </si>
  <si>
    <t>This will end up as input parameters in contrast enhancer</t>
  </si>
  <si>
    <t xml:space="preserve">form 0 </t>
  </si>
  <si>
    <t>this is min/max target range of mask to achieve adjust output enhancement slider</t>
  </si>
  <si>
    <t>Data for ImageJ lines drawn from max (hotspot to upper/lower rt (x=1920 corner)</t>
  </si>
  <si>
    <t>NaN</t>
  </si>
  <si>
    <t>Maximum @</t>
  </si>
  <si>
    <t>lines starts at x,y given here</t>
  </si>
  <si>
    <t>Below info gives the max and min along the lines; area/length are the length of line and angle is used to calc the absolute frame position of the point.</t>
  </si>
  <si>
    <t>lower rt line</t>
  </si>
  <si>
    <t>Angle</t>
  </si>
  <si>
    <t>Length</t>
  </si>
  <si>
    <t>upper lft line</t>
  </si>
  <si>
    <t>The below info was generated by shooting lines from 680,565 to 1920,0 or 1920,1080, See Sheet 2 for staright across data.</t>
  </si>
  <si>
    <t xml:space="preserve">major falloff limits x = 230 and 1670; can't use the RGB values to define because of vignette brightness diff on left &amp; right </t>
  </si>
  <si>
    <t>Position calc using line angle &amp; cos is not perfect, but mostly works.</t>
  </si>
  <si>
    <t>Every 20th value starting at point 21 (first point)</t>
  </si>
  <si>
    <t>433 data low left (low X) side probably has some shutter showing in it.</t>
  </si>
  <si>
    <t>362 lower x values might suffer from same problem, but not to the same extent.</t>
  </si>
  <si>
    <t>most common value</t>
  </si>
  <si>
    <t>888 lower rt</t>
  </si>
  <si>
    <t>888 upper rt</t>
  </si>
  <si>
    <t>433 lower rt</t>
  </si>
  <si>
    <t>362 upper rt</t>
  </si>
  <si>
    <t>dif up 888-362</t>
  </si>
  <si>
    <t>test</t>
  </si>
  <si>
    <t>grey 100</t>
  </si>
  <si>
    <t>grey 107</t>
  </si>
  <si>
    <t>grey 150</t>
  </si>
  <si>
    <t>grey 157</t>
  </si>
  <si>
    <t>can see slight dif, but not much</t>
  </si>
  <si>
    <t>test-888</t>
  </si>
  <si>
    <t>Setting the contrast enhancement is a bit strange. Not sure what I am doing. For example a good range was Input 113-255. The output side ended up as 0-143. This was close to the 145 difference when I subtracted 255 from the full range of 163-53 = 110. Whether this makes sense I am not sure. However, in the end I did bracket in amount of contrast enhancement. Whether this relationships always hold is not clear. The line had nearly a zero slope across the entire range. Of course, the average value of the difference was high because the mask image was not intended to be the same as the 888 image. I was only looking for the difference.</t>
  </si>
  <si>
    <t>this is for range 680-1670 in 888</t>
  </si>
  <si>
    <t>from the 888 xlsm file using usable rectangale in ImageJ</t>
  </si>
  <si>
    <t>We know that the 1/100 s file is 11.1 units higher than 1/15s so max to correct video will be be 173.</t>
  </si>
  <si>
    <t>Mask</t>
  </si>
  <si>
    <t>888 profile data taking every 20 pt on the diagonals from near max hotspot to 1670; see Sheet3</t>
  </si>
  <si>
    <t>from contr enhanc. 24 bit map inverted Mask</t>
  </si>
  <si>
    <t xml:space="preserve">Same for mask data, but only showing </t>
  </si>
  <si>
    <t>bmp mask lower rt</t>
  </si>
  <si>
    <t>Index</t>
  </si>
  <si>
    <t>Indes</t>
  </si>
  <si>
    <t xml:space="preserve">see Overlays\Proj Leader 888 vignette falloff profiles.xlsm </t>
  </si>
  <si>
    <t>Generating the Data for calculating the Multiplier and Additive Sliders</t>
  </si>
  <si>
    <t xml:space="preserve">Using the ImageJ rectangle area tool, section out the chosen range and use Analyze|Measure to find the maximum and minium luminance values.  </t>
  </si>
  <si>
    <t>Finding the mask values</t>
  </si>
  <si>
    <r>
      <t>Although it is possible to use all the points in the file, you can also used a subset of the values taken every nth point. Evrey 20 point turned out to be convenient number of points to use. The data that was used here is a subset of the hotspot position at x,y: 680,565 to x= 1920 lower or upper right corners. The subset is created on sheet 3 using an interesting method in the</t>
    </r>
    <r>
      <rPr>
        <i/>
        <sz val="11"/>
        <color theme="1"/>
        <rFont val="Calibri"/>
        <family val="2"/>
        <scheme val="minor"/>
      </rPr>
      <t xml:space="preserve"> \Overlays\Proj Leader 888 vignette falloff profiles.xlsm </t>
    </r>
    <r>
      <rPr>
        <sz val="11"/>
        <color theme="1"/>
        <rFont val="Calibri"/>
        <family val="2"/>
        <scheme val="minor"/>
      </rPr>
      <t>file. The operation is: OFFSET( Sheet1!$C$21,(ROW(C21)-21)*20,0), where 21 represents the first row of the range and we sweep this down unitl the *20 is exhausted.</t>
    </r>
  </si>
  <si>
    <t>As an initial test for goodness of fit, the final 24 bit png or bmp image was inverted and saved. This was brought into ImageJ and a line run from 680,565 to the lowre rt edge (darkest region in that corner) this was placed in Sheet 3 and the difference between 888 and this test mask calculated. the range was very close.</t>
  </si>
  <si>
    <t>Calculating the Multiplier and Additive Slider Values MAYBE.</t>
  </si>
  <si>
    <t>This was not what really was best???? M around 500 and A around 600 seemed best.</t>
  </si>
  <si>
    <t>Isolate where the maximum and minimum pixel values are on the video frame. This is done by eye, drawing small areas on the image and repeatedly using Analysis|Measure to isolate the hotspot and coldspot area. You do not need to exactly find the hotspot or coldspot, but you should be reasonably close. This information will be used for determining the starting values for the multiplicative and additve sliders on Donald Graft' Hotspot filter. MAYBE</t>
  </si>
  <si>
    <t>In ImageJ, switch to the line tool and shoot a line from the maximum luminence point (hotspot) through the portion of the video frame that represents the steepest dark gradient (follows the darkest path) of the vignette to the edge of the  frame. (Note that in this work here, I shot to the right corners, not the edge of the useful video area around (1670,30) This was definitely above the mimimum pixel value close to 1670,30 (lower right point). Note that the minimum may be wrong if there are a lot of dust spots. If this is a problem manually figure out where the darkest pixel is. (This will most likely be near the edge of the video frame. Use Analyze|Plot Profile to generate the pixel values along the curve. Copy the profile to this Excel spreadsheet.</t>
  </si>
  <si>
    <r>
      <t>To get a mask profile curve to compare against the 1/15s profile curve, I brought 888 in to Corel Photo Paint did Image|Transform|Invert to invert the image and converted it to Image|Color Mode|Greyscale 16. I then used Image</t>
    </r>
    <r>
      <rPr>
        <i/>
        <sz val="11"/>
        <color theme="1"/>
        <rFont val="Calibri"/>
        <family val="2"/>
        <scheme val="minor"/>
      </rPr>
      <t>|Adjust|Contrast Equilization...</t>
    </r>
    <r>
      <rPr>
        <sz val="11"/>
        <color theme="1"/>
        <rFont val="Calibri"/>
        <family val="2"/>
        <scheme val="minor"/>
      </rPr>
      <t xml:space="preserve"> filter and adjusted top and bottom sliders to values shown on Sheet 2 representing something relationship to the end values???  See proj leader 888 vignette fall off.xlsm for the values of the four corners. From Analyze|Measure I got the min and max within the defined area (in same xls file.) Once the contrast enhancement was set (see next) I changed the image back to 24 bit with Image|Color Mode|RGB 24 bit. Saving this file then is the correct maks to use for the Hotspot filter...I hope. However, in order to figure out the best contrast enhancment values, I again inverted the image to produce a positive image. This was saved as a png file, brought into ImageJ and a line drawn from x,y: 680,565 to the lower rt corner (1920,0). I then took the profile plot and copied the profile to Sheet 3 in this file or to the proj leader file (duplicate worksheets and pasted the results in and took the difference between the 888 values and the pasted image data and plotted the range 680-1670. Once I had this set up, I only needed to paste each enhancement modificaiton to immediately see the data. The results are great.</t>
    </r>
  </si>
  <si>
    <t>To test the predictive values to a first order extent, a multivariate regression analysis was used based on a summary of the equations used in the Hotspot filter.</t>
  </si>
  <si>
    <t xml:space="preserve">The equation to minimize is: Pf = Po + Po*(Multiplier/40000)*Mask + (Adder/100000)*Mask^2; Pf is the final or hotspot luminace value on the mask image to which all points will be corrected; Po is the starting pixel color value of the mask to which we will apply the correction; Mask  are the luminence  values found directly from the 24 bit mask that will correspond fairly closely to the 888 file position data. These were generated as usual using ImageJ to shoot a line from 680,565 to the 1080,1920 position, and move the profile info to this file Thus, this mask data will exactly match up with the original 1/15s data and the mask data </t>
  </si>
  <si>
    <t>To continue with the analysis, every 20th point was taken and transferred from Main Data to 888&amp;mask data.</t>
  </si>
  <si>
    <t>lower rt Pf-Po</t>
  </si>
  <si>
    <t>From the regression stuff the "best" answer appears M=268; A=658 starting with a target  (uniform white) value of 173, which is 1/15 s value of 163 plus ~10 (should be 11.1) to bring up to 1/100 data. The fit was very good.</t>
  </si>
  <si>
    <t xml:space="preserve">To find the slider values, a multivariate regression analysis was be used. For this analysis the above equation is split into three terms and calculate using this Excel workbook. A column of (Pf-Po ) values  (Y values) were generated, where Pf is the final desired value for all pixels in the frame, and Po are the values found along the luminance profile. In the next two adjacent columns, the value of Po*Mask/40000 is and (Mask^2)/100000 are calculated, respectively. The Excel Analysis Pack Regression plugin was then used to determine the values of the additive and multiplicatvie sliders. Note that to do a multivariate regression analysis, the y values are the (Pf-Po) values and the remaning two adjacent columns are both chosen for the x values and must be adjacent to one another. </t>
  </si>
  <si>
    <t>lower rt (Po)</t>
  </si>
  <si>
    <t>upper rt not used</t>
  </si>
</sst>
</file>

<file path=xl/styles.xml><?xml version="1.0" encoding="utf-8"?>
<styleSheet xmlns="http://schemas.openxmlformats.org/spreadsheetml/2006/main">
  <fonts count="7">
    <font>
      <sz val="11"/>
      <color theme="1"/>
      <name val="Calibri"/>
      <family val="2"/>
      <scheme val="minor"/>
    </font>
    <font>
      <b/>
      <sz val="11"/>
      <color theme="1"/>
      <name val="Calibri"/>
      <family val="2"/>
      <scheme val="minor"/>
    </font>
    <font>
      <i/>
      <sz val="11"/>
      <color theme="1"/>
      <name val="Calibri"/>
      <family val="2"/>
      <scheme val="minor"/>
    </font>
    <font>
      <b/>
      <sz val="10"/>
      <color theme="1"/>
      <name val="Arial"/>
      <family val="2"/>
    </font>
    <font>
      <b/>
      <sz val="10"/>
      <color rgb="FF7030A0"/>
      <name val="Arial"/>
      <family val="2"/>
    </font>
    <font>
      <sz val="10"/>
      <color rgb="FF000000"/>
      <name val="Consolas"/>
      <family val="3"/>
    </font>
    <font>
      <sz val="10"/>
      <color rgb="FFFF0000"/>
      <name val="Arial"/>
      <family val="2"/>
    </font>
  </fonts>
  <fills count="6">
    <fill>
      <patternFill patternType="none"/>
    </fill>
    <fill>
      <patternFill patternType="gray125"/>
    </fill>
    <fill>
      <patternFill patternType="solid">
        <fgColor rgb="FF646464"/>
        <bgColor indexed="64"/>
      </patternFill>
    </fill>
    <fill>
      <patternFill patternType="solid">
        <fgColor rgb="FF6B6B6B"/>
        <bgColor indexed="64"/>
      </patternFill>
    </fill>
    <fill>
      <patternFill patternType="solid">
        <fgColor rgb="FF969696"/>
        <bgColor indexed="64"/>
      </patternFill>
    </fill>
    <fill>
      <patternFill patternType="solid">
        <fgColor rgb="FF9D9D9D"/>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26">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0" borderId="0" xfId="0" applyFill="1" applyBorder="1" applyAlignment="1"/>
    <xf numFmtId="0" fontId="0" fillId="0" borderId="1" xfId="0" applyFill="1" applyBorder="1" applyAlignment="1"/>
    <xf numFmtId="0" fontId="2" fillId="0" borderId="2" xfId="0" applyFont="1" applyFill="1" applyBorder="1" applyAlignment="1">
      <alignment horizontal="center"/>
    </xf>
    <xf numFmtId="0" fontId="2" fillId="0" borderId="2" xfId="0" applyFont="1" applyFill="1" applyBorder="1" applyAlignment="1">
      <alignment horizontal="centerContinuous"/>
    </xf>
    <xf numFmtId="0" fontId="0" fillId="0" borderId="0" xfId="0" applyBorder="1"/>
    <xf numFmtId="0" fontId="2" fillId="0" borderId="0" xfId="0" applyFont="1" applyFill="1" applyBorder="1" applyAlignment="1">
      <alignment horizontal="centerContinuous"/>
    </xf>
    <xf numFmtId="0" fontId="2" fillId="0" borderId="0" xfId="0" applyFont="1" applyFill="1" applyBorder="1" applyAlignment="1">
      <alignment horizontal="center"/>
    </xf>
    <xf numFmtId="0" fontId="0" fillId="0" borderId="0" xfId="0" applyAlignment="1">
      <alignment vertical="center" wrapText="1"/>
    </xf>
    <xf numFmtId="0" fontId="3" fillId="0" borderId="0" xfId="0" applyFont="1"/>
    <xf numFmtId="0" fontId="4" fillId="0" borderId="0" xfId="0" applyFont="1"/>
    <xf numFmtId="0" fontId="5" fillId="0" borderId="0" xfId="0" applyFont="1" applyAlignment="1">
      <alignment horizontal="left"/>
    </xf>
    <xf numFmtId="0" fontId="6" fillId="0" borderId="0" xfId="0" applyFont="1"/>
    <xf numFmtId="2" fontId="5" fillId="0" borderId="0" xfId="0" applyNumberFormat="1" applyFont="1" applyAlignment="1">
      <alignment horizontal="left"/>
    </xf>
    <xf numFmtId="2" fontId="0" fillId="0" borderId="0" xfId="0" applyNumberFormat="1"/>
    <xf numFmtId="0" fontId="5" fillId="2" borderId="0" xfId="0" applyFont="1" applyFill="1" applyAlignment="1">
      <alignment horizontal="left"/>
    </xf>
    <xf numFmtId="0" fontId="5" fillId="3" borderId="0" xfId="0" applyFont="1" applyFill="1" applyAlignment="1">
      <alignment horizontal="left"/>
    </xf>
    <xf numFmtId="0" fontId="5" fillId="4" borderId="0" xfId="0" applyFont="1" applyFill="1" applyAlignment="1">
      <alignment horizontal="left"/>
    </xf>
    <xf numFmtId="0" fontId="0" fillId="5" borderId="0" xfId="0" applyFill="1"/>
    <xf numFmtId="0" fontId="0" fillId="0" borderId="0" xfId="0" applyAlignment="1">
      <alignment horizontal="left" vertical="top" wrapText="1"/>
    </xf>
    <xf numFmtId="0" fontId="1" fillId="0" borderId="0" xfId="0" applyFont="1" applyAlignment="1">
      <alignment horizontal="left" wrapText="1"/>
    </xf>
    <xf numFmtId="0" fontId="0" fillId="0" borderId="0" xfId="0" applyAlignment="1">
      <alignment horizontal="center" wrapText="1"/>
    </xf>
    <xf numFmtId="0" fontId="1" fillId="0" borderId="0" xfId="0" applyFont="1" applyAlignment="1">
      <alignment horizontal="center"/>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smoothMarker"/>
        <c:ser>
          <c:idx val="0"/>
          <c:order val="0"/>
          <c:marker>
            <c:symbol val="none"/>
          </c:marker>
          <c:trendline>
            <c:trendlineType val="linear"/>
          </c:trendline>
          <c:trendline>
            <c:trendlineType val="linear"/>
            <c:dispEq val="1"/>
            <c:trendlineLbl>
              <c:numFmt formatCode="General" sourceLinked="0"/>
            </c:trendlineLbl>
          </c:trendline>
          <c:xVal>
            <c:numRef>
              <c:f>Sheet1!$F$39:$F$43</c:f>
              <c:numCache>
                <c:formatCode>General</c:formatCode>
                <c:ptCount val="5"/>
                <c:pt idx="0">
                  <c:v>200</c:v>
                </c:pt>
                <c:pt idx="1">
                  <c:v>150</c:v>
                </c:pt>
                <c:pt idx="2">
                  <c:v>100</c:v>
                </c:pt>
                <c:pt idx="3">
                  <c:v>50</c:v>
                </c:pt>
                <c:pt idx="4">
                  <c:v>0</c:v>
                </c:pt>
              </c:numCache>
            </c:numRef>
          </c:xVal>
          <c:yVal>
            <c:numRef>
              <c:f>Sheet1!$G$39:$G$43</c:f>
              <c:numCache>
                <c:formatCode>General</c:formatCode>
                <c:ptCount val="5"/>
                <c:pt idx="0">
                  <c:v>0</c:v>
                </c:pt>
                <c:pt idx="1">
                  <c:v>125</c:v>
                </c:pt>
                <c:pt idx="2">
                  <c:v>250</c:v>
                </c:pt>
                <c:pt idx="3">
                  <c:v>375</c:v>
                </c:pt>
                <c:pt idx="4">
                  <c:v>500</c:v>
                </c:pt>
              </c:numCache>
            </c:numRef>
          </c:yVal>
          <c:smooth val="1"/>
        </c:ser>
        <c:axId val="143064448"/>
        <c:axId val="87934080"/>
      </c:scatterChart>
      <c:valAx>
        <c:axId val="143064448"/>
        <c:scaling>
          <c:orientation val="minMax"/>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934080"/>
        <c:crosses val="autoZero"/>
        <c:crossBetween val="midCat"/>
      </c:valAx>
      <c:valAx>
        <c:axId val="87934080"/>
        <c:scaling>
          <c:orientation val="minMax"/>
        </c:scaling>
        <c:axPos val="l"/>
        <c:majorGridlines/>
        <c:numFmt formatCode="General" sourceLinked="1"/>
        <c:tickLblPos val="nextTo"/>
        <c:crossAx val="143064448"/>
        <c:crosses val="autoZero"/>
        <c:crossBetween val="midCat"/>
      </c:valAx>
    </c:plotArea>
    <c:legend>
      <c:legendPos val="r"/>
    </c:legend>
    <c:plotVisOnly val="1"/>
    <c:dispBlanksAs val="gap"/>
  </c:chart>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test-888</a:t>
            </a:r>
          </a:p>
        </c:rich>
      </c:tx>
      <c:layout>
        <c:manualLayout>
          <c:xMode val="edge"/>
          <c:yMode val="edge"/>
          <c:x val="0.39828799285974303"/>
          <c:y val="2.782609203717305E-2"/>
        </c:manualLayout>
      </c:layout>
    </c:title>
    <c:plotArea>
      <c:layout>
        <c:manualLayout>
          <c:layoutTarget val="inner"/>
          <c:xMode val="edge"/>
          <c:yMode val="edge"/>
          <c:x val="9.8635966595046878E-2"/>
          <c:y val="0.14888127789684416"/>
          <c:w val="0.8028484426539334"/>
          <c:h val="0.64334982719496558"/>
        </c:manualLayout>
      </c:layout>
      <c:scatterChart>
        <c:scatterStyle val="smoothMarker"/>
        <c:ser>
          <c:idx val="0"/>
          <c:order val="0"/>
          <c:tx>
            <c:strRef>
              <c:f>'Main Data'!$P$20</c:f>
              <c:strCache>
                <c:ptCount val="1"/>
                <c:pt idx="0">
                  <c:v>test-888</c:v>
                </c:pt>
              </c:strCache>
            </c:strRef>
          </c:tx>
          <c:marker>
            <c:symbol val="none"/>
          </c:marker>
          <c:trendline>
            <c:name>Linaer Fit</c:name>
            <c:trendlineType val="linear"/>
            <c:dispEq val="1"/>
            <c:trendlineLbl>
              <c:layout>
                <c:manualLayout>
                  <c:x val="-1.0983310874119041E-2"/>
                  <c:y val="0.18186286556893591"/>
                </c:manualLayout>
              </c:layout>
              <c:numFmt formatCode="General" sourceLinked="0"/>
            </c:trendlineLbl>
          </c:trendline>
          <c:xVal>
            <c:numRef>
              <c:f>'Main Data'!$A$21:$A$1090</c:f>
              <c:numCache>
                <c:formatCode>General</c:formatCode>
                <c:ptCount val="1070"/>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numCache>
            </c:numRef>
          </c:xVal>
          <c:yVal>
            <c:numRef>
              <c:f>'Main Data'!$P$21:$P$1090</c:f>
              <c:numCache>
                <c:formatCode>General</c:formatCode>
                <c:ptCount val="1070"/>
                <c:pt idx="0">
                  <c:v>104.333328247</c:v>
                </c:pt>
                <c:pt idx="1">
                  <c:v>107.08399963400001</c:v>
                </c:pt>
                <c:pt idx="2">
                  <c:v>108.19097900400001</c:v>
                </c:pt>
                <c:pt idx="3">
                  <c:v>106.19940185499999</c:v>
                </c:pt>
                <c:pt idx="4">
                  <c:v>106.919433594</c:v>
                </c:pt>
                <c:pt idx="5">
                  <c:v>111.57211303700001</c:v>
                </c:pt>
                <c:pt idx="6">
                  <c:v>111.27540588400001</c:v>
                </c:pt>
                <c:pt idx="7">
                  <c:v>105.22538757300001</c:v>
                </c:pt>
                <c:pt idx="8">
                  <c:v>102.23585510300001</c:v>
                </c:pt>
                <c:pt idx="9">
                  <c:v>106.46578979500001</c:v>
                </c:pt>
                <c:pt idx="10">
                  <c:v>107.67507934599999</c:v>
                </c:pt>
                <c:pt idx="11">
                  <c:v>104.164550781</c:v>
                </c:pt>
                <c:pt idx="12">
                  <c:v>103.08749389600001</c:v>
                </c:pt>
                <c:pt idx="13">
                  <c:v>104.32844543499999</c:v>
                </c:pt>
                <c:pt idx="14">
                  <c:v>103.602096558</c:v>
                </c:pt>
                <c:pt idx="15">
                  <c:v>107.84332275400001</c:v>
                </c:pt>
                <c:pt idx="16">
                  <c:v>107.11544799800001</c:v>
                </c:pt>
                <c:pt idx="17">
                  <c:v>102.912017822</c:v>
                </c:pt>
                <c:pt idx="18">
                  <c:v>103.18214416500001</c:v>
                </c:pt>
                <c:pt idx="19">
                  <c:v>105.35377502399999</c:v>
                </c:pt>
                <c:pt idx="20">
                  <c:v>105.09176635700001</c:v>
                </c:pt>
                <c:pt idx="21">
                  <c:v>104.29655456499998</c:v>
                </c:pt>
                <c:pt idx="22">
                  <c:v>104.56625366200001</c:v>
                </c:pt>
                <c:pt idx="23">
                  <c:v>104.210372925</c:v>
                </c:pt>
                <c:pt idx="24">
                  <c:v>104.235473633</c:v>
                </c:pt>
                <c:pt idx="25">
                  <c:v>104.93243408199999</c:v>
                </c:pt>
                <c:pt idx="26">
                  <c:v>103.54014587399999</c:v>
                </c:pt>
                <c:pt idx="27">
                  <c:v>104.71881103499999</c:v>
                </c:pt>
                <c:pt idx="28">
                  <c:v>105.74766540499999</c:v>
                </c:pt>
                <c:pt idx="29">
                  <c:v>104.48236084000001</c:v>
                </c:pt>
                <c:pt idx="30">
                  <c:v>102.16012573200001</c:v>
                </c:pt>
                <c:pt idx="31">
                  <c:v>102.74197387699999</c:v>
                </c:pt>
                <c:pt idx="32">
                  <c:v>103.56820678700001</c:v>
                </c:pt>
                <c:pt idx="33">
                  <c:v>104.02996826200001</c:v>
                </c:pt>
                <c:pt idx="34">
                  <c:v>105.745559692</c:v>
                </c:pt>
                <c:pt idx="35">
                  <c:v>103.640136719</c:v>
                </c:pt>
                <c:pt idx="36">
                  <c:v>104.72901916500001</c:v>
                </c:pt>
                <c:pt idx="37">
                  <c:v>106.54063415499999</c:v>
                </c:pt>
                <c:pt idx="38">
                  <c:v>104.532714844</c:v>
                </c:pt>
                <c:pt idx="39">
                  <c:v>104.08648681599999</c:v>
                </c:pt>
                <c:pt idx="40">
                  <c:v>105.22682189899999</c:v>
                </c:pt>
                <c:pt idx="41">
                  <c:v>104.827926636</c:v>
                </c:pt>
                <c:pt idx="42">
                  <c:v>102.85195922899999</c:v>
                </c:pt>
                <c:pt idx="43">
                  <c:v>101.91976928700001</c:v>
                </c:pt>
                <c:pt idx="44">
                  <c:v>101.96543884299999</c:v>
                </c:pt>
                <c:pt idx="45">
                  <c:v>103.693069458</c:v>
                </c:pt>
                <c:pt idx="46">
                  <c:v>103.810836792</c:v>
                </c:pt>
                <c:pt idx="47">
                  <c:v>103.58706665</c:v>
                </c:pt>
                <c:pt idx="48">
                  <c:v>103.84909057600001</c:v>
                </c:pt>
                <c:pt idx="49">
                  <c:v>103.86207580600001</c:v>
                </c:pt>
                <c:pt idx="50">
                  <c:v>104.02645874000001</c:v>
                </c:pt>
                <c:pt idx="51">
                  <c:v>104.57643127399999</c:v>
                </c:pt>
                <c:pt idx="52">
                  <c:v>104.738372803</c:v>
                </c:pt>
                <c:pt idx="53">
                  <c:v>103.36593627900001</c:v>
                </c:pt>
                <c:pt idx="54">
                  <c:v>105.38365173299999</c:v>
                </c:pt>
                <c:pt idx="55">
                  <c:v>103.88690185499999</c:v>
                </c:pt>
                <c:pt idx="56">
                  <c:v>105.53120422399999</c:v>
                </c:pt>
                <c:pt idx="57">
                  <c:v>104.654220581</c:v>
                </c:pt>
                <c:pt idx="58">
                  <c:v>103.096832275</c:v>
                </c:pt>
                <c:pt idx="59">
                  <c:v>104.130249023</c:v>
                </c:pt>
                <c:pt idx="60">
                  <c:v>101.13543701200001</c:v>
                </c:pt>
                <c:pt idx="61">
                  <c:v>103.16551208499999</c:v>
                </c:pt>
                <c:pt idx="62">
                  <c:v>106.72035217300001</c:v>
                </c:pt>
                <c:pt idx="63">
                  <c:v>105.26802063</c:v>
                </c:pt>
                <c:pt idx="64">
                  <c:v>104.34832763700001</c:v>
                </c:pt>
                <c:pt idx="65">
                  <c:v>106.03256225600001</c:v>
                </c:pt>
                <c:pt idx="66">
                  <c:v>110.00807189899999</c:v>
                </c:pt>
                <c:pt idx="67">
                  <c:v>104.12274169899999</c:v>
                </c:pt>
                <c:pt idx="68">
                  <c:v>100.16522216800001</c:v>
                </c:pt>
                <c:pt idx="69">
                  <c:v>101.61854553200001</c:v>
                </c:pt>
                <c:pt idx="70">
                  <c:v>107.85198974599999</c:v>
                </c:pt>
                <c:pt idx="71">
                  <c:v>105.89924621599999</c:v>
                </c:pt>
                <c:pt idx="72">
                  <c:v>103.442825317</c:v>
                </c:pt>
                <c:pt idx="73">
                  <c:v>104.32577514600001</c:v>
                </c:pt>
                <c:pt idx="74">
                  <c:v>109.154586792</c:v>
                </c:pt>
                <c:pt idx="75">
                  <c:v>105.39605712900001</c:v>
                </c:pt>
                <c:pt idx="76">
                  <c:v>104.51573181200001</c:v>
                </c:pt>
                <c:pt idx="77">
                  <c:v>100.85293579099999</c:v>
                </c:pt>
                <c:pt idx="78">
                  <c:v>97.268188476999995</c:v>
                </c:pt>
                <c:pt idx="79">
                  <c:v>100.87982177699999</c:v>
                </c:pt>
                <c:pt idx="80">
                  <c:v>103.06663513199999</c:v>
                </c:pt>
                <c:pt idx="81">
                  <c:v>102.79539489699999</c:v>
                </c:pt>
                <c:pt idx="82">
                  <c:v>99.603469848999993</c:v>
                </c:pt>
                <c:pt idx="83">
                  <c:v>100.71157836899999</c:v>
                </c:pt>
                <c:pt idx="84">
                  <c:v>102.661178589</c:v>
                </c:pt>
                <c:pt idx="85">
                  <c:v>100.915740967</c:v>
                </c:pt>
                <c:pt idx="86">
                  <c:v>99.517105103000006</c:v>
                </c:pt>
                <c:pt idx="87">
                  <c:v>99.130233765000014</c:v>
                </c:pt>
                <c:pt idx="88">
                  <c:v>99.371200562000013</c:v>
                </c:pt>
                <c:pt idx="89">
                  <c:v>100.13462829599999</c:v>
                </c:pt>
                <c:pt idx="90">
                  <c:v>102.29977417000001</c:v>
                </c:pt>
                <c:pt idx="91">
                  <c:v>102.947387695</c:v>
                </c:pt>
                <c:pt idx="92">
                  <c:v>105.79525756800001</c:v>
                </c:pt>
                <c:pt idx="93">
                  <c:v>108.240890503</c:v>
                </c:pt>
                <c:pt idx="94">
                  <c:v>103.42678832999999</c:v>
                </c:pt>
                <c:pt idx="95">
                  <c:v>103.084518433</c:v>
                </c:pt>
                <c:pt idx="96">
                  <c:v>101.67298889200001</c:v>
                </c:pt>
                <c:pt idx="97">
                  <c:v>106.19422912599998</c:v>
                </c:pt>
                <c:pt idx="98">
                  <c:v>104.837036133</c:v>
                </c:pt>
                <c:pt idx="99">
                  <c:v>103.29510497999999</c:v>
                </c:pt>
                <c:pt idx="100">
                  <c:v>103.46209716800001</c:v>
                </c:pt>
                <c:pt idx="101">
                  <c:v>103.271972656</c:v>
                </c:pt>
                <c:pt idx="102">
                  <c:v>102.976516723</c:v>
                </c:pt>
                <c:pt idx="103">
                  <c:v>102.711791992</c:v>
                </c:pt>
                <c:pt idx="104">
                  <c:v>102.480667114</c:v>
                </c:pt>
                <c:pt idx="105">
                  <c:v>103.29391479500001</c:v>
                </c:pt>
                <c:pt idx="106">
                  <c:v>104.839599609</c:v>
                </c:pt>
                <c:pt idx="107">
                  <c:v>104.480636597</c:v>
                </c:pt>
                <c:pt idx="108">
                  <c:v>103.23051452600001</c:v>
                </c:pt>
                <c:pt idx="109">
                  <c:v>105.41490173299999</c:v>
                </c:pt>
                <c:pt idx="110">
                  <c:v>106.340011597</c:v>
                </c:pt>
                <c:pt idx="111">
                  <c:v>105.01715087900001</c:v>
                </c:pt>
                <c:pt idx="112">
                  <c:v>105.32192993199999</c:v>
                </c:pt>
                <c:pt idx="113">
                  <c:v>105.55181884800001</c:v>
                </c:pt>
                <c:pt idx="114">
                  <c:v>104.95492553700001</c:v>
                </c:pt>
                <c:pt idx="115">
                  <c:v>103.95614624000001</c:v>
                </c:pt>
                <c:pt idx="116">
                  <c:v>103.52322387699999</c:v>
                </c:pt>
                <c:pt idx="117">
                  <c:v>103.98379516599999</c:v>
                </c:pt>
                <c:pt idx="118">
                  <c:v>103.68107605</c:v>
                </c:pt>
                <c:pt idx="119">
                  <c:v>101.79771423299999</c:v>
                </c:pt>
                <c:pt idx="120">
                  <c:v>103.45780944800001</c:v>
                </c:pt>
                <c:pt idx="121">
                  <c:v>104.11798095699999</c:v>
                </c:pt>
                <c:pt idx="122">
                  <c:v>104.700973511</c:v>
                </c:pt>
                <c:pt idx="123">
                  <c:v>105.24079895</c:v>
                </c:pt>
                <c:pt idx="124">
                  <c:v>104.69924926799999</c:v>
                </c:pt>
                <c:pt idx="125">
                  <c:v>104.704620361</c:v>
                </c:pt>
                <c:pt idx="126">
                  <c:v>103.27070617699999</c:v>
                </c:pt>
                <c:pt idx="127">
                  <c:v>102.98983764600001</c:v>
                </c:pt>
                <c:pt idx="128">
                  <c:v>102.68551635700001</c:v>
                </c:pt>
                <c:pt idx="129">
                  <c:v>104.67491149899999</c:v>
                </c:pt>
                <c:pt idx="130">
                  <c:v>107.25172424300001</c:v>
                </c:pt>
                <c:pt idx="131">
                  <c:v>104.648712158</c:v>
                </c:pt>
                <c:pt idx="132">
                  <c:v>103.03341674800001</c:v>
                </c:pt>
                <c:pt idx="133">
                  <c:v>105.05516052199999</c:v>
                </c:pt>
                <c:pt idx="134">
                  <c:v>106.60377502399999</c:v>
                </c:pt>
                <c:pt idx="135">
                  <c:v>107.083496094</c:v>
                </c:pt>
                <c:pt idx="136">
                  <c:v>103.34025573700001</c:v>
                </c:pt>
                <c:pt idx="137">
                  <c:v>104.63633727999999</c:v>
                </c:pt>
                <c:pt idx="138">
                  <c:v>105.38816833499999</c:v>
                </c:pt>
                <c:pt idx="139">
                  <c:v>105.36666870100001</c:v>
                </c:pt>
                <c:pt idx="140">
                  <c:v>103.36390685999999</c:v>
                </c:pt>
                <c:pt idx="141">
                  <c:v>102.134399414</c:v>
                </c:pt>
                <c:pt idx="142">
                  <c:v>103.77166747999999</c:v>
                </c:pt>
                <c:pt idx="143">
                  <c:v>103.72253418</c:v>
                </c:pt>
                <c:pt idx="144">
                  <c:v>104.337814331</c:v>
                </c:pt>
                <c:pt idx="145">
                  <c:v>104.881958008</c:v>
                </c:pt>
                <c:pt idx="146">
                  <c:v>105.734283447</c:v>
                </c:pt>
                <c:pt idx="147">
                  <c:v>107.24749755900001</c:v>
                </c:pt>
                <c:pt idx="148">
                  <c:v>105.15228271500001</c:v>
                </c:pt>
                <c:pt idx="149">
                  <c:v>104.55555725100001</c:v>
                </c:pt>
                <c:pt idx="150">
                  <c:v>104.93287658700001</c:v>
                </c:pt>
                <c:pt idx="151">
                  <c:v>105.31021118199999</c:v>
                </c:pt>
                <c:pt idx="152">
                  <c:v>105.83609008799999</c:v>
                </c:pt>
                <c:pt idx="153">
                  <c:v>106.29544067399999</c:v>
                </c:pt>
                <c:pt idx="154">
                  <c:v>105.37351989699999</c:v>
                </c:pt>
                <c:pt idx="155">
                  <c:v>105.333328247</c:v>
                </c:pt>
                <c:pt idx="156">
                  <c:v>105.333328247</c:v>
                </c:pt>
                <c:pt idx="157">
                  <c:v>105.15524292000001</c:v>
                </c:pt>
                <c:pt idx="158">
                  <c:v>104.666671753</c:v>
                </c:pt>
                <c:pt idx="159">
                  <c:v>104.666671753</c:v>
                </c:pt>
                <c:pt idx="160">
                  <c:v>104.293823242</c:v>
                </c:pt>
                <c:pt idx="161">
                  <c:v>103.878448486</c:v>
                </c:pt>
                <c:pt idx="162">
                  <c:v>103.50335693400001</c:v>
                </c:pt>
                <c:pt idx="163">
                  <c:v>104.006469727</c:v>
                </c:pt>
                <c:pt idx="164">
                  <c:v>104.509567261</c:v>
                </c:pt>
                <c:pt idx="165">
                  <c:v>104.40716552699999</c:v>
                </c:pt>
                <c:pt idx="166">
                  <c:v>106.10658264200001</c:v>
                </c:pt>
                <c:pt idx="167">
                  <c:v>105.00527954099999</c:v>
                </c:pt>
                <c:pt idx="168">
                  <c:v>104.379180908</c:v>
                </c:pt>
                <c:pt idx="169">
                  <c:v>104.52253723199999</c:v>
                </c:pt>
                <c:pt idx="170">
                  <c:v>104.77415466299999</c:v>
                </c:pt>
                <c:pt idx="171">
                  <c:v>106.90379333499999</c:v>
                </c:pt>
                <c:pt idx="172">
                  <c:v>106.64553832999999</c:v>
                </c:pt>
                <c:pt idx="173">
                  <c:v>103.273513794</c:v>
                </c:pt>
                <c:pt idx="174">
                  <c:v>103.905319214</c:v>
                </c:pt>
                <c:pt idx="175">
                  <c:v>104.669311523</c:v>
                </c:pt>
                <c:pt idx="176">
                  <c:v>105.07681274399999</c:v>
                </c:pt>
                <c:pt idx="177">
                  <c:v>105.454147339</c:v>
                </c:pt>
                <c:pt idx="178">
                  <c:v>104.94918823200001</c:v>
                </c:pt>
                <c:pt idx="179">
                  <c:v>105.066894531</c:v>
                </c:pt>
                <c:pt idx="180">
                  <c:v>105.33692932100001</c:v>
                </c:pt>
                <c:pt idx="181">
                  <c:v>105.03652954099999</c:v>
                </c:pt>
                <c:pt idx="182">
                  <c:v>105.79933166500001</c:v>
                </c:pt>
                <c:pt idx="183">
                  <c:v>105.451293945</c:v>
                </c:pt>
                <c:pt idx="184">
                  <c:v>104.65359497099999</c:v>
                </c:pt>
                <c:pt idx="185">
                  <c:v>105.86949157699999</c:v>
                </c:pt>
                <c:pt idx="186">
                  <c:v>106.51676940900001</c:v>
                </c:pt>
                <c:pt idx="187">
                  <c:v>106.784957886</c:v>
                </c:pt>
                <c:pt idx="188">
                  <c:v>105.96343994099999</c:v>
                </c:pt>
                <c:pt idx="189">
                  <c:v>103.22817993199999</c:v>
                </c:pt>
                <c:pt idx="190">
                  <c:v>103.102416992</c:v>
                </c:pt>
                <c:pt idx="191">
                  <c:v>108.85401916500001</c:v>
                </c:pt>
                <c:pt idx="192">
                  <c:v>105.62176513700001</c:v>
                </c:pt>
                <c:pt idx="193">
                  <c:v>104.101898194</c:v>
                </c:pt>
                <c:pt idx="194">
                  <c:v>104.34452819800001</c:v>
                </c:pt>
                <c:pt idx="195">
                  <c:v>103.458618164</c:v>
                </c:pt>
                <c:pt idx="196">
                  <c:v>100.53822326700001</c:v>
                </c:pt>
                <c:pt idx="197">
                  <c:v>99.34678649899999</c:v>
                </c:pt>
                <c:pt idx="198">
                  <c:v>102.53321838400001</c:v>
                </c:pt>
                <c:pt idx="199">
                  <c:v>104.407150269</c:v>
                </c:pt>
                <c:pt idx="200">
                  <c:v>101.95777893100001</c:v>
                </c:pt>
                <c:pt idx="201">
                  <c:v>100.115722656</c:v>
                </c:pt>
                <c:pt idx="202">
                  <c:v>101.57135009800001</c:v>
                </c:pt>
                <c:pt idx="203">
                  <c:v>104.84410095199999</c:v>
                </c:pt>
                <c:pt idx="204">
                  <c:v>102.89114379899999</c:v>
                </c:pt>
                <c:pt idx="205">
                  <c:v>99.532836914000001</c:v>
                </c:pt>
                <c:pt idx="206">
                  <c:v>101.042526245</c:v>
                </c:pt>
                <c:pt idx="207">
                  <c:v>103.08633422899999</c:v>
                </c:pt>
                <c:pt idx="208">
                  <c:v>102.55735778799999</c:v>
                </c:pt>
                <c:pt idx="209">
                  <c:v>102.70005798299999</c:v>
                </c:pt>
                <c:pt idx="210">
                  <c:v>105.06935119600001</c:v>
                </c:pt>
                <c:pt idx="211">
                  <c:v>106.372848511</c:v>
                </c:pt>
                <c:pt idx="212">
                  <c:v>106.62937927199999</c:v>
                </c:pt>
                <c:pt idx="213">
                  <c:v>105.337799072</c:v>
                </c:pt>
                <c:pt idx="214">
                  <c:v>104.526519775</c:v>
                </c:pt>
                <c:pt idx="215">
                  <c:v>104.78697204599999</c:v>
                </c:pt>
                <c:pt idx="216">
                  <c:v>103.006713867</c:v>
                </c:pt>
                <c:pt idx="217">
                  <c:v>100.35395813</c:v>
                </c:pt>
                <c:pt idx="218">
                  <c:v>102.29606628400001</c:v>
                </c:pt>
                <c:pt idx="219">
                  <c:v>104.20954895</c:v>
                </c:pt>
                <c:pt idx="220">
                  <c:v>103.18063354500001</c:v>
                </c:pt>
                <c:pt idx="221">
                  <c:v>101.23541259800001</c:v>
                </c:pt>
                <c:pt idx="222">
                  <c:v>101.324020386</c:v>
                </c:pt>
                <c:pt idx="223">
                  <c:v>103.369628906</c:v>
                </c:pt>
                <c:pt idx="224">
                  <c:v>105.07655334500001</c:v>
                </c:pt>
                <c:pt idx="225">
                  <c:v>106.22138977099999</c:v>
                </c:pt>
                <c:pt idx="226">
                  <c:v>105.5262146</c:v>
                </c:pt>
                <c:pt idx="227">
                  <c:v>103.20706176799999</c:v>
                </c:pt>
                <c:pt idx="228">
                  <c:v>102.53768920900001</c:v>
                </c:pt>
                <c:pt idx="229">
                  <c:v>104.167800903</c:v>
                </c:pt>
                <c:pt idx="230">
                  <c:v>104.35346984899999</c:v>
                </c:pt>
                <c:pt idx="231">
                  <c:v>105.22811889600001</c:v>
                </c:pt>
                <c:pt idx="232">
                  <c:v>107.36978149399999</c:v>
                </c:pt>
                <c:pt idx="233">
                  <c:v>108.80947875999999</c:v>
                </c:pt>
                <c:pt idx="234">
                  <c:v>106.63470459000001</c:v>
                </c:pt>
                <c:pt idx="235">
                  <c:v>106.96063232399999</c:v>
                </c:pt>
                <c:pt idx="236">
                  <c:v>106.17897033700001</c:v>
                </c:pt>
                <c:pt idx="237">
                  <c:v>104.82997131299999</c:v>
                </c:pt>
                <c:pt idx="238">
                  <c:v>104.76286315900001</c:v>
                </c:pt>
                <c:pt idx="239">
                  <c:v>105.402053833</c:v>
                </c:pt>
                <c:pt idx="240">
                  <c:v>105.98013305699999</c:v>
                </c:pt>
                <c:pt idx="241">
                  <c:v>102.74472045900001</c:v>
                </c:pt>
                <c:pt idx="242">
                  <c:v>103.70095825199999</c:v>
                </c:pt>
                <c:pt idx="243">
                  <c:v>107.23312377900001</c:v>
                </c:pt>
                <c:pt idx="244">
                  <c:v>106.99815368700001</c:v>
                </c:pt>
                <c:pt idx="245">
                  <c:v>104.26174926799999</c:v>
                </c:pt>
                <c:pt idx="246">
                  <c:v>103.45761108400001</c:v>
                </c:pt>
                <c:pt idx="247">
                  <c:v>103.517379761</c:v>
                </c:pt>
                <c:pt idx="248">
                  <c:v>105.50637817399999</c:v>
                </c:pt>
                <c:pt idx="249">
                  <c:v>105.73306274399999</c:v>
                </c:pt>
                <c:pt idx="250">
                  <c:v>103.60797119099999</c:v>
                </c:pt>
                <c:pt idx="251">
                  <c:v>105.14466857900001</c:v>
                </c:pt>
                <c:pt idx="252">
                  <c:v>104.87911987300001</c:v>
                </c:pt>
                <c:pt idx="253">
                  <c:v>102.73434448200001</c:v>
                </c:pt>
                <c:pt idx="254">
                  <c:v>104.21434020999999</c:v>
                </c:pt>
                <c:pt idx="255">
                  <c:v>104.200149536</c:v>
                </c:pt>
                <c:pt idx="256">
                  <c:v>101.681274414</c:v>
                </c:pt>
                <c:pt idx="257">
                  <c:v>98.481369018999999</c:v>
                </c:pt>
                <c:pt idx="258">
                  <c:v>101.56011962900001</c:v>
                </c:pt>
                <c:pt idx="259">
                  <c:v>103.41838073700001</c:v>
                </c:pt>
                <c:pt idx="260">
                  <c:v>103.262741089</c:v>
                </c:pt>
                <c:pt idx="261">
                  <c:v>105.23036193799999</c:v>
                </c:pt>
                <c:pt idx="262">
                  <c:v>105.22196960400001</c:v>
                </c:pt>
                <c:pt idx="263">
                  <c:v>104.739044189</c:v>
                </c:pt>
                <c:pt idx="264">
                  <c:v>104.88412475600001</c:v>
                </c:pt>
                <c:pt idx="265">
                  <c:v>104.894729614</c:v>
                </c:pt>
                <c:pt idx="266">
                  <c:v>102.80453491200001</c:v>
                </c:pt>
                <c:pt idx="267">
                  <c:v>103.091552734</c:v>
                </c:pt>
                <c:pt idx="268">
                  <c:v>105.08302307100001</c:v>
                </c:pt>
                <c:pt idx="269">
                  <c:v>105.07557678200001</c:v>
                </c:pt>
                <c:pt idx="270">
                  <c:v>102.868011475</c:v>
                </c:pt>
                <c:pt idx="271">
                  <c:v>102.66494750999999</c:v>
                </c:pt>
                <c:pt idx="272">
                  <c:v>102.414230347</c:v>
                </c:pt>
                <c:pt idx="273">
                  <c:v>101.677856445</c:v>
                </c:pt>
                <c:pt idx="274">
                  <c:v>103.026901245</c:v>
                </c:pt>
                <c:pt idx="275">
                  <c:v>103.943069458</c:v>
                </c:pt>
                <c:pt idx="276">
                  <c:v>104.458251953</c:v>
                </c:pt>
                <c:pt idx="277">
                  <c:v>105.66079711899999</c:v>
                </c:pt>
                <c:pt idx="278">
                  <c:v>106.68357849099999</c:v>
                </c:pt>
                <c:pt idx="279">
                  <c:v>104.537185669</c:v>
                </c:pt>
                <c:pt idx="280">
                  <c:v>104.31488037099999</c:v>
                </c:pt>
                <c:pt idx="281">
                  <c:v>105.977783203</c:v>
                </c:pt>
                <c:pt idx="282">
                  <c:v>106</c:v>
                </c:pt>
                <c:pt idx="283">
                  <c:v>105.91575622600001</c:v>
                </c:pt>
                <c:pt idx="284">
                  <c:v>105.08518981899999</c:v>
                </c:pt>
                <c:pt idx="285">
                  <c:v>105.43458557100001</c:v>
                </c:pt>
                <c:pt idx="286">
                  <c:v>103.83012390100001</c:v>
                </c:pt>
                <c:pt idx="287">
                  <c:v>103.06533813500002</c:v>
                </c:pt>
                <c:pt idx="288">
                  <c:v>101.70381164600002</c:v>
                </c:pt>
                <c:pt idx="289">
                  <c:v>101.55470275900001</c:v>
                </c:pt>
                <c:pt idx="290">
                  <c:v>102.650680542</c:v>
                </c:pt>
                <c:pt idx="291">
                  <c:v>104.358718872</c:v>
                </c:pt>
                <c:pt idx="292">
                  <c:v>103.355957031</c:v>
                </c:pt>
                <c:pt idx="293">
                  <c:v>104.452514648</c:v>
                </c:pt>
                <c:pt idx="294">
                  <c:v>104.39941406200001</c:v>
                </c:pt>
                <c:pt idx="295">
                  <c:v>101.24937439000001</c:v>
                </c:pt>
                <c:pt idx="296">
                  <c:v>103.25819397000001</c:v>
                </c:pt>
                <c:pt idx="297">
                  <c:v>100.48672485399999</c:v>
                </c:pt>
                <c:pt idx="298">
                  <c:v>101.037033081</c:v>
                </c:pt>
                <c:pt idx="299">
                  <c:v>101.71165466299999</c:v>
                </c:pt>
                <c:pt idx="300">
                  <c:v>102.864471436</c:v>
                </c:pt>
                <c:pt idx="301">
                  <c:v>104.318817139</c:v>
                </c:pt>
                <c:pt idx="302">
                  <c:v>105.876876831</c:v>
                </c:pt>
                <c:pt idx="303">
                  <c:v>102.71803283700001</c:v>
                </c:pt>
                <c:pt idx="304">
                  <c:v>103.00868225100001</c:v>
                </c:pt>
                <c:pt idx="305">
                  <c:v>106.94073486299999</c:v>
                </c:pt>
                <c:pt idx="306">
                  <c:v>107.19296264600001</c:v>
                </c:pt>
                <c:pt idx="307">
                  <c:v>104.15194702100001</c:v>
                </c:pt>
                <c:pt idx="308">
                  <c:v>102.25674438499999</c:v>
                </c:pt>
                <c:pt idx="309">
                  <c:v>103.89718627900001</c:v>
                </c:pt>
                <c:pt idx="310">
                  <c:v>103.42803955100001</c:v>
                </c:pt>
                <c:pt idx="311">
                  <c:v>101.75740051299999</c:v>
                </c:pt>
                <c:pt idx="312">
                  <c:v>100.194747925</c:v>
                </c:pt>
                <c:pt idx="313">
                  <c:v>100.40467834500001</c:v>
                </c:pt>
                <c:pt idx="314">
                  <c:v>101.85426330600001</c:v>
                </c:pt>
                <c:pt idx="315">
                  <c:v>102.96241760300001</c:v>
                </c:pt>
                <c:pt idx="316">
                  <c:v>104.93016052199999</c:v>
                </c:pt>
                <c:pt idx="317">
                  <c:v>105.20404052699999</c:v>
                </c:pt>
                <c:pt idx="318">
                  <c:v>105.04742431599999</c:v>
                </c:pt>
                <c:pt idx="319">
                  <c:v>104.89216613799999</c:v>
                </c:pt>
                <c:pt idx="320">
                  <c:v>103.9737854</c:v>
                </c:pt>
                <c:pt idx="321">
                  <c:v>106.16156005900001</c:v>
                </c:pt>
                <c:pt idx="322">
                  <c:v>106.56185913100001</c:v>
                </c:pt>
                <c:pt idx="323">
                  <c:v>108.40621948200001</c:v>
                </c:pt>
                <c:pt idx="324">
                  <c:v>105.27821350100001</c:v>
                </c:pt>
                <c:pt idx="325">
                  <c:v>103.29460144000001</c:v>
                </c:pt>
                <c:pt idx="326">
                  <c:v>105.48622131299999</c:v>
                </c:pt>
                <c:pt idx="327">
                  <c:v>107.955368042</c:v>
                </c:pt>
                <c:pt idx="328">
                  <c:v>107.23869323700001</c:v>
                </c:pt>
                <c:pt idx="329">
                  <c:v>105.637084961</c:v>
                </c:pt>
                <c:pt idx="330">
                  <c:v>104.71453857399999</c:v>
                </c:pt>
                <c:pt idx="331">
                  <c:v>104.769241333</c:v>
                </c:pt>
                <c:pt idx="332">
                  <c:v>105.66094970699999</c:v>
                </c:pt>
                <c:pt idx="333">
                  <c:v>105.44110107399999</c:v>
                </c:pt>
                <c:pt idx="334">
                  <c:v>105.62144470199999</c:v>
                </c:pt>
                <c:pt idx="335">
                  <c:v>103.610397339</c:v>
                </c:pt>
                <c:pt idx="336">
                  <c:v>102.22892761200001</c:v>
                </c:pt>
                <c:pt idx="337">
                  <c:v>103.45492553700001</c:v>
                </c:pt>
                <c:pt idx="338">
                  <c:v>102.81486511200001</c:v>
                </c:pt>
                <c:pt idx="339">
                  <c:v>103.55043029800001</c:v>
                </c:pt>
                <c:pt idx="340">
                  <c:v>103.958984375</c:v>
                </c:pt>
                <c:pt idx="341">
                  <c:v>103.78352355999999</c:v>
                </c:pt>
                <c:pt idx="342">
                  <c:v>104.43002319300001</c:v>
                </c:pt>
                <c:pt idx="343">
                  <c:v>104.53659057600001</c:v>
                </c:pt>
                <c:pt idx="344">
                  <c:v>104.60055542000001</c:v>
                </c:pt>
                <c:pt idx="345">
                  <c:v>104.75074768100001</c:v>
                </c:pt>
                <c:pt idx="346">
                  <c:v>104.666671753</c:v>
                </c:pt>
                <c:pt idx="347">
                  <c:v>105.23654174800001</c:v>
                </c:pt>
                <c:pt idx="348">
                  <c:v>106.24497985799999</c:v>
                </c:pt>
                <c:pt idx="349">
                  <c:v>105.11296081500001</c:v>
                </c:pt>
                <c:pt idx="350">
                  <c:v>104.87149047899999</c:v>
                </c:pt>
                <c:pt idx="351">
                  <c:v>105.799957275</c:v>
                </c:pt>
                <c:pt idx="352">
                  <c:v>105.12400817899999</c:v>
                </c:pt>
                <c:pt idx="353">
                  <c:v>103.71762085</c:v>
                </c:pt>
                <c:pt idx="354">
                  <c:v>103.73191833499999</c:v>
                </c:pt>
                <c:pt idx="355">
                  <c:v>105.42285156200001</c:v>
                </c:pt>
                <c:pt idx="356">
                  <c:v>108.48524475100001</c:v>
                </c:pt>
                <c:pt idx="357">
                  <c:v>106.61297607399999</c:v>
                </c:pt>
                <c:pt idx="358">
                  <c:v>103.598114014</c:v>
                </c:pt>
                <c:pt idx="359">
                  <c:v>101.902633667</c:v>
                </c:pt>
                <c:pt idx="360">
                  <c:v>102.51014709500001</c:v>
                </c:pt>
                <c:pt idx="361">
                  <c:v>104.2137146</c:v>
                </c:pt>
                <c:pt idx="362">
                  <c:v>104.71444702100001</c:v>
                </c:pt>
                <c:pt idx="363">
                  <c:v>105.70066833499999</c:v>
                </c:pt>
                <c:pt idx="364">
                  <c:v>108.711349488</c:v>
                </c:pt>
                <c:pt idx="365">
                  <c:v>108.71990966800001</c:v>
                </c:pt>
                <c:pt idx="366">
                  <c:v>103.992950439</c:v>
                </c:pt>
                <c:pt idx="367">
                  <c:v>103.95280456500001</c:v>
                </c:pt>
                <c:pt idx="368">
                  <c:v>104.901809692</c:v>
                </c:pt>
                <c:pt idx="369">
                  <c:v>103.75332641599999</c:v>
                </c:pt>
                <c:pt idx="370">
                  <c:v>104.62362670900001</c:v>
                </c:pt>
                <c:pt idx="371">
                  <c:v>105.284957886</c:v>
                </c:pt>
                <c:pt idx="372">
                  <c:v>105.49676513700001</c:v>
                </c:pt>
                <c:pt idx="373">
                  <c:v>105.24835205100001</c:v>
                </c:pt>
                <c:pt idx="374">
                  <c:v>103.25308227599999</c:v>
                </c:pt>
                <c:pt idx="375">
                  <c:v>102.8150177</c:v>
                </c:pt>
                <c:pt idx="376">
                  <c:v>103.81871032699999</c:v>
                </c:pt>
                <c:pt idx="377">
                  <c:v>105.70391845699999</c:v>
                </c:pt>
                <c:pt idx="378">
                  <c:v>104.83221435499999</c:v>
                </c:pt>
                <c:pt idx="379">
                  <c:v>104.97695922899999</c:v>
                </c:pt>
                <c:pt idx="380">
                  <c:v>103.560348511</c:v>
                </c:pt>
                <c:pt idx="381">
                  <c:v>103.279541016</c:v>
                </c:pt>
                <c:pt idx="382">
                  <c:v>105.92808532699999</c:v>
                </c:pt>
                <c:pt idx="383">
                  <c:v>105.08869934099999</c:v>
                </c:pt>
                <c:pt idx="384">
                  <c:v>106.03672790499999</c:v>
                </c:pt>
                <c:pt idx="385">
                  <c:v>106.91056823700001</c:v>
                </c:pt>
                <c:pt idx="386">
                  <c:v>103.85458374000001</c:v>
                </c:pt>
                <c:pt idx="387">
                  <c:v>103.36431884800001</c:v>
                </c:pt>
                <c:pt idx="388">
                  <c:v>105.319458008</c:v>
                </c:pt>
                <c:pt idx="389">
                  <c:v>104.47756957999999</c:v>
                </c:pt>
                <c:pt idx="390">
                  <c:v>102.07472229000001</c:v>
                </c:pt>
                <c:pt idx="391">
                  <c:v>101.67338562</c:v>
                </c:pt>
                <c:pt idx="392">
                  <c:v>104.61444091800001</c:v>
                </c:pt>
                <c:pt idx="393">
                  <c:v>109.42770385700001</c:v>
                </c:pt>
                <c:pt idx="394">
                  <c:v>105.96443176299999</c:v>
                </c:pt>
                <c:pt idx="395">
                  <c:v>104.72801208499999</c:v>
                </c:pt>
                <c:pt idx="396">
                  <c:v>100.42729187</c:v>
                </c:pt>
                <c:pt idx="397">
                  <c:v>100.39239502000001</c:v>
                </c:pt>
                <c:pt idx="398">
                  <c:v>103.38063049300001</c:v>
                </c:pt>
                <c:pt idx="399">
                  <c:v>104.59893798799999</c:v>
                </c:pt>
                <c:pt idx="400">
                  <c:v>103.69519043</c:v>
                </c:pt>
                <c:pt idx="401">
                  <c:v>103.4193573</c:v>
                </c:pt>
                <c:pt idx="402">
                  <c:v>103.33131408700001</c:v>
                </c:pt>
                <c:pt idx="403">
                  <c:v>103.45066833499999</c:v>
                </c:pt>
                <c:pt idx="404">
                  <c:v>104.67755127000001</c:v>
                </c:pt>
                <c:pt idx="405">
                  <c:v>108.433319092</c:v>
                </c:pt>
                <c:pt idx="406">
                  <c:v>107.154785156</c:v>
                </c:pt>
                <c:pt idx="407">
                  <c:v>104.56312560999999</c:v>
                </c:pt>
                <c:pt idx="408">
                  <c:v>105.569747925</c:v>
                </c:pt>
                <c:pt idx="409">
                  <c:v>105.60281372099999</c:v>
                </c:pt>
                <c:pt idx="410">
                  <c:v>105.31217956500001</c:v>
                </c:pt>
                <c:pt idx="411">
                  <c:v>104.258636475</c:v>
                </c:pt>
                <c:pt idx="412">
                  <c:v>103.453323364</c:v>
                </c:pt>
                <c:pt idx="413">
                  <c:v>103.22496032699999</c:v>
                </c:pt>
                <c:pt idx="414">
                  <c:v>102.62272644000001</c:v>
                </c:pt>
                <c:pt idx="415">
                  <c:v>99.943679809999992</c:v>
                </c:pt>
                <c:pt idx="416">
                  <c:v>98.502777100000003</c:v>
                </c:pt>
                <c:pt idx="417">
                  <c:v>103.911254883</c:v>
                </c:pt>
                <c:pt idx="418">
                  <c:v>104.553100586</c:v>
                </c:pt>
                <c:pt idx="419">
                  <c:v>105.06738281200001</c:v>
                </c:pt>
                <c:pt idx="420">
                  <c:v>103.101074219</c:v>
                </c:pt>
                <c:pt idx="421">
                  <c:v>101.701171875</c:v>
                </c:pt>
                <c:pt idx="422">
                  <c:v>102.76783752399999</c:v>
                </c:pt>
                <c:pt idx="423">
                  <c:v>104.340042114</c:v>
                </c:pt>
                <c:pt idx="424">
                  <c:v>105.36863708499999</c:v>
                </c:pt>
                <c:pt idx="425">
                  <c:v>105.12913513199999</c:v>
                </c:pt>
                <c:pt idx="426">
                  <c:v>103.92523193400001</c:v>
                </c:pt>
                <c:pt idx="427">
                  <c:v>104.43516540499999</c:v>
                </c:pt>
                <c:pt idx="428">
                  <c:v>105.90528869600001</c:v>
                </c:pt>
                <c:pt idx="429">
                  <c:v>105.74148559599999</c:v>
                </c:pt>
                <c:pt idx="430">
                  <c:v>104.873535156</c:v>
                </c:pt>
                <c:pt idx="431">
                  <c:v>105.05728149399999</c:v>
                </c:pt>
                <c:pt idx="432">
                  <c:v>105.491500855</c:v>
                </c:pt>
                <c:pt idx="433">
                  <c:v>101.53358459500001</c:v>
                </c:pt>
                <c:pt idx="434">
                  <c:v>101.686447144</c:v>
                </c:pt>
                <c:pt idx="435">
                  <c:v>102.77180480999999</c:v>
                </c:pt>
                <c:pt idx="436">
                  <c:v>104.23114013700001</c:v>
                </c:pt>
                <c:pt idx="437">
                  <c:v>104.15510559099999</c:v>
                </c:pt>
                <c:pt idx="438">
                  <c:v>103.14064025900001</c:v>
                </c:pt>
                <c:pt idx="439">
                  <c:v>102.25468444800001</c:v>
                </c:pt>
                <c:pt idx="440">
                  <c:v>102.15049743700001</c:v>
                </c:pt>
                <c:pt idx="441">
                  <c:v>104.21803283700001</c:v>
                </c:pt>
                <c:pt idx="442">
                  <c:v>105.99217224099999</c:v>
                </c:pt>
                <c:pt idx="443">
                  <c:v>103.50932312</c:v>
                </c:pt>
                <c:pt idx="444">
                  <c:v>103.11663818400001</c:v>
                </c:pt>
                <c:pt idx="445">
                  <c:v>102.469284058</c:v>
                </c:pt>
                <c:pt idx="446">
                  <c:v>105.667205811</c:v>
                </c:pt>
                <c:pt idx="447">
                  <c:v>101.66665649399999</c:v>
                </c:pt>
                <c:pt idx="448">
                  <c:v>98.732467651000007</c:v>
                </c:pt>
                <c:pt idx="449">
                  <c:v>106.16874694800001</c:v>
                </c:pt>
                <c:pt idx="450">
                  <c:v>105.273529053</c:v>
                </c:pt>
                <c:pt idx="451">
                  <c:v>102.982055664</c:v>
                </c:pt>
                <c:pt idx="452">
                  <c:v>103.78358459500001</c:v>
                </c:pt>
                <c:pt idx="453">
                  <c:v>104.254440308</c:v>
                </c:pt>
                <c:pt idx="454">
                  <c:v>103.72215270999999</c:v>
                </c:pt>
                <c:pt idx="455">
                  <c:v>103.792037964</c:v>
                </c:pt>
                <c:pt idx="456">
                  <c:v>103.79376220699999</c:v>
                </c:pt>
                <c:pt idx="457">
                  <c:v>103.90411377000001</c:v>
                </c:pt>
                <c:pt idx="458">
                  <c:v>100.89028930699999</c:v>
                </c:pt>
                <c:pt idx="459">
                  <c:v>102.995849609</c:v>
                </c:pt>
                <c:pt idx="460">
                  <c:v>107.9114151</c:v>
                </c:pt>
                <c:pt idx="461">
                  <c:v>103.07342529300001</c:v>
                </c:pt>
                <c:pt idx="462">
                  <c:v>103.43550109899999</c:v>
                </c:pt>
                <c:pt idx="463">
                  <c:v>104.908203125</c:v>
                </c:pt>
                <c:pt idx="464">
                  <c:v>104.98495483399998</c:v>
                </c:pt>
                <c:pt idx="465">
                  <c:v>104.23089599599999</c:v>
                </c:pt>
                <c:pt idx="466">
                  <c:v>103.776046753</c:v>
                </c:pt>
                <c:pt idx="467">
                  <c:v>104.2759552</c:v>
                </c:pt>
                <c:pt idx="468">
                  <c:v>104.21896362300001</c:v>
                </c:pt>
                <c:pt idx="469">
                  <c:v>102.82215881299999</c:v>
                </c:pt>
                <c:pt idx="470">
                  <c:v>104.51914977999999</c:v>
                </c:pt>
                <c:pt idx="471">
                  <c:v>103.90498352099999</c:v>
                </c:pt>
                <c:pt idx="472">
                  <c:v>103.501296997</c:v>
                </c:pt>
                <c:pt idx="473">
                  <c:v>102.94300842300001</c:v>
                </c:pt>
                <c:pt idx="474">
                  <c:v>103.22686767600001</c:v>
                </c:pt>
                <c:pt idx="475">
                  <c:v>101.69947814899999</c:v>
                </c:pt>
                <c:pt idx="476">
                  <c:v>102.09056091299999</c:v>
                </c:pt>
                <c:pt idx="477">
                  <c:v>106.266578674</c:v>
                </c:pt>
                <c:pt idx="478">
                  <c:v>106.106140137</c:v>
                </c:pt>
                <c:pt idx="479">
                  <c:v>105.409713745</c:v>
                </c:pt>
                <c:pt idx="480">
                  <c:v>104.08724975600001</c:v>
                </c:pt>
                <c:pt idx="481">
                  <c:v>102.49607849099999</c:v>
                </c:pt>
                <c:pt idx="482">
                  <c:v>103.18252563499999</c:v>
                </c:pt>
                <c:pt idx="483">
                  <c:v>102.94032287600001</c:v>
                </c:pt>
                <c:pt idx="484">
                  <c:v>104.624099731</c:v>
                </c:pt>
                <c:pt idx="485">
                  <c:v>103.58282470699999</c:v>
                </c:pt>
                <c:pt idx="486">
                  <c:v>103.14759826700001</c:v>
                </c:pt>
                <c:pt idx="487">
                  <c:v>103.87896728499999</c:v>
                </c:pt>
                <c:pt idx="488">
                  <c:v>109.355209351</c:v>
                </c:pt>
                <c:pt idx="489">
                  <c:v>104.18682861299999</c:v>
                </c:pt>
                <c:pt idx="490">
                  <c:v>102.66671752900001</c:v>
                </c:pt>
                <c:pt idx="491">
                  <c:v>103.151855469</c:v>
                </c:pt>
                <c:pt idx="492">
                  <c:v>104.209838867</c:v>
                </c:pt>
                <c:pt idx="493">
                  <c:v>105.326873779</c:v>
                </c:pt>
                <c:pt idx="494">
                  <c:v>105.77005004900001</c:v>
                </c:pt>
                <c:pt idx="495">
                  <c:v>104.052368164</c:v>
                </c:pt>
                <c:pt idx="496">
                  <c:v>103.801712036</c:v>
                </c:pt>
                <c:pt idx="497">
                  <c:v>105.08426666299999</c:v>
                </c:pt>
                <c:pt idx="498">
                  <c:v>106.018188477</c:v>
                </c:pt>
                <c:pt idx="499">
                  <c:v>105.298156738</c:v>
                </c:pt>
                <c:pt idx="500">
                  <c:v>103.059524536</c:v>
                </c:pt>
                <c:pt idx="501">
                  <c:v>103.803268433</c:v>
                </c:pt>
                <c:pt idx="502">
                  <c:v>105.49269104</c:v>
                </c:pt>
                <c:pt idx="503">
                  <c:v>106.669914246</c:v>
                </c:pt>
                <c:pt idx="504">
                  <c:v>105.416107178</c:v>
                </c:pt>
                <c:pt idx="505">
                  <c:v>105</c:v>
                </c:pt>
                <c:pt idx="506">
                  <c:v>106.28858947800001</c:v>
                </c:pt>
                <c:pt idx="507">
                  <c:v>106.94171905499999</c:v>
                </c:pt>
                <c:pt idx="508">
                  <c:v>105.778770447</c:v>
                </c:pt>
                <c:pt idx="509">
                  <c:v>104.66666412399999</c:v>
                </c:pt>
                <c:pt idx="510">
                  <c:v>105.364646912</c:v>
                </c:pt>
                <c:pt idx="511">
                  <c:v>105.71370697000002</c:v>
                </c:pt>
                <c:pt idx="512">
                  <c:v>102.86088562</c:v>
                </c:pt>
                <c:pt idx="513">
                  <c:v>106.29854583700001</c:v>
                </c:pt>
                <c:pt idx="514">
                  <c:v>104.93082428</c:v>
                </c:pt>
                <c:pt idx="515">
                  <c:v>107.617279053</c:v>
                </c:pt>
                <c:pt idx="516">
                  <c:v>107.497756958</c:v>
                </c:pt>
                <c:pt idx="517">
                  <c:v>105.62760162399999</c:v>
                </c:pt>
                <c:pt idx="518">
                  <c:v>106.158241272</c:v>
                </c:pt>
                <c:pt idx="519">
                  <c:v>106.061828613</c:v>
                </c:pt>
                <c:pt idx="520">
                  <c:v>107.53758239699999</c:v>
                </c:pt>
                <c:pt idx="521">
                  <c:v>105.432991028</c:v>
                </c:pt>
                <c:pt idx="522">
                  <c:v>102.52313232399999</c:v>
                </c:pt>
                <c:pt idx="523">
                  <c:v>104.704734802</c:v>
                </c:pt>
                <c:pt idx="524">
                  <c:v>105.65126800500001</c:v>
                </c:pt>
                <c:pt idx="525">
                  <c:v>105.69774627699999</c:v>
                </c:pt>
                <c:pt idx="526">
                  <c:v>108.62409210200001</c:v>
                </c:pt>
                <c:pt idx="527">
                  <c:v>106.65176391599999</c:v>
                </c:pt>
                <c:pt idx="528">
                  <c:v>102.975341797</c:v>
                </c:pt>
                <c:pt idx="529">
                  <c:v>105.129196167</c:v>
                </c:pt>
                <c:pt idx="530">
                  <c:v>105.009941101</c:v>
                </c:pt>
                <c:pt idx="531">
                  <c:v>105.773475647</c:v>
                </c:pt>
                <c:pt idx="532">
                  <c:v>104.870918274</c:v>
                </c:pt>
                <c:pt idx="533">
                  <c:v>105.192131042</c:v>
                </c:pt>
                <c:pt idx="534">
                  <c:v>104.09346771200001</c:v>
                </c:pt>
                <c:pt idx="535">
                  <c:v>104.33854675199998</c:v>
                </c:pt>
                <c:pt idx="536">
                  <c:v>105.704154968</c:v>
                </c:pt>
                <c:pt idx="537">
                  <c:v>105.00550842299999</c:v>
                </c:pt>
                <c:pt idx="538">
                  <c:v>104.2421875</c:v>
                </c:pt>
                <c:pt idx="539">
                  <c:v>105.988143921</c:v>
                </c:pt>
                <c:pt idx="540">
                  <c:v>103.643196106</c:v>
                </c:pt>
                <c:pt idx="541">
                  <c:v>101.783737183</c:v>
                </c:pt>
                <c:pt idx="542">
                  <c:v>104.323287964</c:v>
                </c:pt>
                <c:pt idx="543">
                  <c:v>107.952407837</c:v>
                </c:pt>
                <c:pt idx="544">
                  <c:v>105.45661163299999</c:v>
                </c:pt>
                <c:pt idx="545">
                  <c:v>101.69139099099999</c:v>
                </c:pt>
                <c:pt idx="546">
                  <c:v>104.331100464</c:v>
                </c:pt>
                <c:pt idx="547">
                  <c:v>105.30657959</c:v>
                </c:pt>
                <c:pt idx="548">
                  <c:v>105.490211487</c:v>
                </c:pt>
                <c:pt idx="549">
                  <c:v>105.896713257</c:v>
                </c:pt>
                <c:pt idx="550">
                  <c:v>104.744384766</c:v>
                </c:pt>
                <c:pt idx="551">
                  <c:v>104.664627075</c:v>
                </c:pt>
                <c:pt idx="552">
                  <c:v>106.17146301299999</c:v>
                </c:pt>
                <c:pt idx="553">
                  <c:v>106.541908264</c:v>
                </c:pt>
                <c:pt idx="554">
                  <c:v>106.25395202599999</c:v>
                </c:pt>
                <c:pt idx="555">
                  <c:v>104.88405609100001</c:v>
                </c:pt>
                <c:pt idx="556">
                  <c:v>106.09969329800001</c:v>
                </c:pt>
                <c:pt idx="557">
                  <c:v>104.971458435</c:v>
                </c:pt>
                <c:pt idx="558">
                  <c:v>104.330284119</c:v>
                </c:pt>
                <c:pt idx="559">
                  <c:v>107.13617706300001</c:v>
                </c:pt>
                <c:pt idx="560">
                  <c:v>107.046707153</c:v>
                </c:pt>
                <c:pt idx="561">
                  <c:v>102.78679657000001</c:v>
                </c:pt>
                <c:pt idx="562">
                  <c:v>104.541946411</c:v>
                </c:pt>
                <c:pt idx="563">
                  <c:v>105.65663146999999</c:v>
                </c:pt>
                <c:pt idx="564">
                  <c:v>103.937927246</c:v>
                </c:pt>
                <c:pt idx="565">
                  <c:v>103.989440918</c:v>
                </c:pt>
                <c:pt idx="566">
                  <c:v>102.427398682</c:v>
                </c:pt>
                <c:pt idx="567">
                  <c:v>100.85344696</c:v>
                </c:pt>
                <c:pt idx="568">
                  <c:v>103.647186279</c:v>
                </c:pt>
                <c:pt idx="569">
                  <c:v>107.603515625</c:v>
                </c:pt>
                <c:pt idx="570">
                  <c:v>105.390007019</c:v>
                </c:pt>
                <c:pt idx="571">
                  <c:v>99.191665648999987</c:v>
                </c:pt>
                <c:pt idx="572">
                  <c:v>103.15811920199999</c:v>
                </c:pt>
                <c:pt idx="573">
                  <c:v>106.042877197</c:v>
                </c:pt>
                <c:pt idx="574">
                  <c:v>106.336433411</c:v>
                </c:pt>
                <c:pt idx="575">
                  <c:v>105.71747589100001</c:v>
                </c:pt>
                <c:pt idx="576">
                  <c:v>106.201805115</c:v>
                </c:pt>
                <c:pt idx="577">
                  <c:v>107.675682068</c:v>
                </c:pt>
                <c:pt idx="578">
                  <c:v>107.262123108</c:v>
                </c:pt>
                <c:pt idx="579">
                  <c:v>105.52021026600001</c:v>
                </c:pt>
                <c:pt idx="580">
                  <c:v>105.738250732</c:v>
                </c:pt>
                <c:pt idx="581">
                  <c:v>105.426696777</c:v>
                </c:pt>
                <c:pt idx="582">
                  <c:v>107.376747131</c:v>
                </c:pt>
                <c:pt idx="583">
                  <c:v>104.236930847</c:v>
                </c:pt>
                <c:pt idx="584">
                  <c:v>105.08857727100001</c:v>
                </c:pt>
                <c:pt idx="585">
                  <c:v>107.42434692400001</c:v>
                </c:pt>
                <c:pt idx="586">
                  <c:v>106.27342224100001</c:v>
                </c:pt>
                <c:pt idx="587">
                  <c:v>104.519081116</c:v>
                </c:pt>
                <c:pt idx="588">
                  <c:v>105.911437988</c:v>
                </c:pt>
                <c:pt idx="589">
                  <c:v>105.50286102299999</c:v>
                </c:pt>
                <c:pt idx="590">
                  <c:v>103.29142761200001</c:v>
                </c:pt>
                <c:pt idx="591">
                  <c:v>103.194473266</c:v>
                </c:pt>
                <c:pt idx="592">
                  <c:v>104.57044982899998</c:v>
                </c:pt>
                <c:pt idx="593">
                  <c:v>105.87422180199999</c:v>
                </c:pt>
                <c:pt idx="594">
                  <c:v>107.18089294399999</c:v>
                </c:pt>
                <c:pt idx="595">
                  <c:v>105.66812133800001</c:v>
                </c:pt>
                <c:pt idx="596">
                  <c:v>103.96295929</c:v>
                </c:pt>
                <c:pt idx="597">
                  <c:v>103.015396118</c:v>
                </c:pt>
                <c:pt idx="598">
                  <c:v>103.65574646</c:v>
                </c:pt>
                <c:pt idx="599">
                  <c:v>104.857872009</c:v>
                </c:pt>
                <c:pt idx="600">
                  <c:v>105.098152161</c:v>
                </c:pt>
                <c:pt idx="601">
                  <c:v>105.539390564</c:v>
                </c:pt>
                <c:pt idx="602">
                  <c:v>105.20829772899999</c:v>
                </c:pt>
                <c:pt idx="603">
                  <c:v>105.67289733899999</c:v>
                </c:pt>
                <c:pt idx="604">
                  <c:v>107.277404785</c:v>
                </c:pt>
                <c:pt idx="605">
                  <c:v>105.98329925500001</c:v>
                </c:pt>
                <c:pt idx="606">
                  <c:v>106.400840759</c:v>
                </c:pt>
                <c:pt idx="607">
                  <c:v>108.700508118</c:v>
                </c:pt>
                <c:pt idx="608">
                  <c:v>104.410087585</c:v>
                </c:pt>
                <c:pt idx="609">
                  <c:v>105.008712769</c:v>
                </c:pt>
                <c:pt idx="610">
                  <c:v>104.06711578399999</c:v>
                </c:pt>
                <c:pt idx="611">
                  <c:v>105.872436523</c:v>
                </c:pt>
                <c:pt idx="612">
                  <c:v>109.429618835</c:v>
                </c:pt>
                <c:pt idx="613">
                  <c:v>105.35700225799999</c:v>
                </c:pt>
                <c:pt idx="614">
                  <c:v>101.93718719499999</c:v>
                </c:pt>
                <c:pt idx="615">
                  <c:v>104.52011108400001</c:v>
                </c:pt>
                <c:pt idx="616">
                  <c:v>107.905792236</c:v>
                </c:pt>
                <c:pt idx="617">
                  <c:v>109.075950623</c:v>
                </c:pt>
                <c:pt idx="618">
                  <c:v>105.981529236</c:v>
                </c:pt>
                <c:pt idx="619">
                  <c:v>106.06794738799999</c:v>
                </c:pt>
                <c:pt idx="620">
                  <c:v>106.83013153100001</c:v>
                </c:pt>
                <c:pt idx="621">
                  <c:v>105.007522583</c:v>
                </c:pt>
                <c:pt idx="622">
                  <c:v>106.91474151600001</c:v>
                </c:pt>
                <c:pt idx="623">
                  <c:v>106.981086731</c:v>
                </c:pt>
                <c:pt idx="624">
                  <c:v>107.248138428</c:v>
                </c:pt>
                <c:pt idx="625">
                  <c:v>107.750434875</c:v>
                </c:pt>
                <c:pt idx="626">
                  <c:v>107.50425720200001</c:v>
                </c:pt>
                <c:pt idx="627">
                  <c:v>109.06910705600001</c:v>
                </c:pt>
                <c:pt idx="628">
                  <c:v>106.96989440900001</c:v>
                </c:pt>
                <c:pt idx="629">
                  <c:v>105.509460449</c:v>
                </c:pt>
                <c:pt idx="630">
                  <c:v>107.607299805</c:v>
                </c:pt>
                <c:pt idx="631">
                  <c:v>105.14610290500001</c:v>
                </c:pt>
                <c:pt idx="632">
                  <c:v>102.87594604500001</c:v>
                </c:pt>
                <c:pt idx="633">
                  <c:v>105.92262268100001</c:v>
                </c:pt>
                <c:pt idx="634">
                  <c:v>110.83271026600001</c:v>
                </c:pt>
                <c:pt idx="635">
                  <c:v>108.774963379</c:v>
                </c:pt>
                <c:pt idx="636">
                  <c:v>104.070930481</c:v>
                </c:pt>
                <c:pt idx="637">
                  <c:v>106.15406036399999</c:v>
                </c:pt>
                <c:pt idx="638">
                  <c:v>105.47463989299999</c:v>
                </c:pt>
                <c:pt idx="639">
                  <c:v>104.814544678</c:v>
                </c:pt>
                <c:pt idx="640">
                  <c:v>104.98856353799999</c:v>
                </c:pt>
                <c:pt idx="641">
                  <c:v>102.999137878</c:v>
                </c:pt>
                <c:pt idx="642">
                  <c:v>102.296302795</c:v>
                </c:pt>
                <c:pt idx="643">
                  <c:v>102.418411255</c:v>
                </c:pt>
                <c:pt idx="644">
                  <c:v>103.36985015899999</c:v>
                </c:pt>
                <c:pt idx="645">
                  <c:v>106.281288147</c:v>
                </c:pt>
                <c:pt idx="646">
                  <c:v>107.733978271</c:v>
                </c:pt>
                <c:pt idx="647">
                  <c:v>104.252410889</c:v>
                </c:pt>
                <c:pt idx="648">
                  <c:v>105.439094543</c:v>
                </c:pt>
                <c:pt idx="649">
                  <c:v>106.314712524</c:v>
                </c:pt>
                <c:pt idx="650">
                  <c:v>104.79177093500002</c:v>
                </c:pt>
                <c:pt idx="651">
                  <c:v>103.824783325</c:v>
                </c:pt>
                <c:pt idx="652">
                  <c:v>108.21273803699999</c:v>
                </c:pt>
                <c:pt idx="653">
                  <c:v>112.329879761</c:v>
                </c:pt>
                <c:pt idx="654">
                  <c:v>106.95407104500001</c:v>
                </c:pt>
                <c:pt idx="655">
                  <c:v>103.692428589</c:v>
                </c:pt>
                <c:pt idx="656">
                  <c:v>103.637947083</c:v>
                </c:pt>
                <c:pt idx="657">
                  <c:v>105.349937439</c:v>
                </c:pt>
                <c:pt idx="658">
                  <c:v>106.94913482699999</c:v>
                </c:pt>
                <c:pt idx="659">
                  <c:v>107.514602661</c:v>
                </c:pt>
                <c:pt idx="660">
                  <c:v>107.512901306</c:v>
                </c:pt>
                <c:pt idx="661">
                  <c:v>106.02891540500001</c:v>
                </c:pt>
                <c:pt idx="662">
                  <c:v>102.242652893</c:v>
                </c:pt>
                <c:pt idx="663">
                  <c:v>102.29434967</c:v>
                </c:pt>
                <c:pt idx="664">
                  <c:v>103.10974884100001</c:v>
                </c:pt>
                <c:pt idx="665">
                  <c:v>104.153892517</c:v>
                </c:pt>
                <c:pt idx="666">
                  <c:v>104.90973663299999</c:v>
                </c:pt>
                <c:pt idx="667">
                  <c:v>105.633750916</c:v>
                </c:pt>
                <c:pt idx="668">
                  <c:v>104.39706420900001</c:v>
                </c:pt>
                <c:pt idx="669">
                  <c:v>105.88530731199999</c:v>
                </c:pt>
                <c:pt idx="670">
                  <c:v>107.16917419399999</c:v>
                </c:pt>
                <c:pt idx="671">
                  <c:v>105.01742553699999</c:v>
                </c:pt>
                <c:pt idx="672">
                  <c:v>104.10730743400001</c:v>
                </c:pt>
                <c:pt idx="673">
                  <c:v>105.85087585399999</c:v>
                </c:pt>
                <c:pt idx="674">
                  <c:v>105.196113586</c:v>
                </c:pt>
                <c:pt idx="675">
                  <c:v>104.34998321499999</c:v>
                </c:pt>
                <c:pt idx="676">
                  <c:v>106.84813690199999</c:v>
                </c:pt>
                <c:pt idx="677">
                  <c:v>104.48802947999999</c:v>
                </c:pt>
                <c:pt idx="678">
                  <c:v>107.83949279799999</c:v>
                </c:pt>
                <c:pt idx="679">
                  <c:v>105.815376282</c:v>
                </c:pt>
                <c:pt idx="680">
                  <c:v>101.675010681</c:v>
                </c:pt>
                <c:pt idx="681">
                  <c:v>100.980461121</c:v>
                </c:pt>
                <c:pt idx="682">
                  <c:v>103.68486785899999</c:v>
                </c:pt>
                <c:pt idx="683">
                  <c:v>105.992370605</c:v>
                </c:pt>
                <c:pt idx="684">
                  <c:v>103.973258972</c:v>
                </c:pt>
                <c:pt idx="685">
                  <c:v>103.014625549</c:v>
                </c:pt>
                <c:pt idx="686">
                  <c:v>105.008178711</c:v>
                </c:pt>
                <c:pt idx="687">
                  <c:v>107.20344543500001</c:v>
                </c:pt>
                <c:pt idx="688">
                  <c:v>103.31771087600001</c:v>
                </c:pt>
                <c:pt idx="689">
                  <c:v>103.19711303699999</c:v>
                </c:pt>
                <c:pt idx="690">
                  <c:v>105.457855225</c:v>
                </c:pt>
                <c:pt idx="691">
                  <c:v>106.40805053699999</c:v>
                </c:pt>
                <c:pt idx="692">
                  <c:v>108.13865661599999</c:v>
                </c:pt>
                <c:pt idx="693">
                  <c:v>104.20681762700001</c:v>
                </c:pt>
                <c:pt idx="694">
                  <c:v>106.62551116900001</c:v>
                </c:pt>
                <c:pt idx="695">
                  <c:v>106.237724304</c:v>
                </c:pt>
                <c:pt idx="696">
                  <c:v>102.532333374</c:v>
                </c:pt>
                <c:pt idx="697">
                  <c:v>104.413871765</c:v>
                </c:pt>
                <c:pt idx="698">
                  <c:v>106.910453796</c:v>
                </c:pt>
                <c:pt idx="699">
                  <c:v>104.182701111</c:v>
                </c:pt>
                <c:pt idx="700">
                  <c:v>102.982032776</c:v>
                </c:pt>
                <c:pt idx="701">
                  <c:v>103.702560425</c:v>
                </c:pt>
                <c:pt idx="702">
                  <c:v>105.079689026</c:v>
                </c:pt>
                <c:pt idx="703">
                  <c:v>104.824508667</c:v>
                </c:pt>
                <c:pt idx="704">
                  <c:v>104.51171875</c:v>
                </c:pt>
                <c:pt idx="705">
                  <c:v>101.52200317400001</c:v>
                </c:pt>
                <c:pt idx="706">
                  <c:v>101.160598755</c:v>
                </c:pt>
                <c:pt idx="707">
                  <c:v>106.086791992</c:v>
                </c:pt>
                <c:pt idx="708">
                  <c:v>103.49002075200001</c:v>
                </c:pt>
                <c:pt idx="709">
                  <c:v>103.626396179</c:v>
                </c:pt>
                <c:pt idx="710">
                  <c:v>106.23638916</c:v>
                </c:pt>
                <c:pt idx="711">
                  <c:v>106.14781189</c:v>
                </c:pt>
                <c:pt idx="712">
                  <c:v>107.442474365</c:v>
                </c:pt>
                <c:pt idx="713">
                  <c:v>108.486228943</c:v>
                </c:pt>
                <c:pt idx="714">
                  <c:v>105.952102662</c:v>
                </c:pt>
                <c:pt idx="715">
                  <c:v>105.009727478</c:v>
                </c:pt>
                <c:pt idx="716">
                  <c:v>106.641639709</c:v>
                </c:pt>
                <c:pt idx="717">
                  <c:v>108.09032440199999</c:v>
                </c:pt>
                <c:pt idx="718">
                  <c:v>107.66718292199999</c:v>
                </c:pt>
                <c:pt idx="719">
                  <c:v>105.897911072</c:v>
                </c:pt>
                <c:pt idx="720">
                  <c:v>105.936149597</c:v>
                </c:pt>
                <c:pt idx="721">
                  <c:v>106.092552185</c:v>
                </c:pt>
                <c:pt idx="722">
                  <c:v>105.843025208</c:v>
                </c:pt>
                <c:pt idx="723">
                  <c:v>105.66255188</c:v>
                </c:pt>
                <c:pt idx="724">
                  <c:v>105.69689178500001</c:v>
                </c:pt>
                <c:pt idx="725">
                  <c:v>106.188171387</c:v>
                </c:pt>
                <c:pt idx="726">
                  <c:v>106.290527344</c:v>
                </c:pt>
                <c:pt idx="727">
                  <c:v>104.972351074</c:v>
                </c:pt>
                <c:pt idx="728">
                  <c:v>104.008010864</c:v>
                </c:pt>
                <c:pt idx="729">
                  <c:v>106.2215271</c:v>
                </c:pt>
                <c:pt idx="730">
                  <c:v>105.055381775</c:v>
                </c:pt>
                <c:pt idx="731">
                  <c:v>103.04566192599999</c:v>
                </c:pt>
                <c:pt idx="732">
                  <c:v>102.639129639</c:v>
                </c:pt>
                <c:pt idx="733">
                  <c:v>101.77803039600001</c:v>
                </c:pt>
                <c:pt idx="734">
                  <c:v>102.10144805900001</c:v>
                </c:pt>
                <c:pt idx="735">
                  <c:v>104.441566467</c:v>
                </c:pt>
                <c:pt idx="736">
                  <c:v>103.291542053</c:v>
                </c:pt>
                <c:pt idx="737">
                  <c:v>100.79927063</c:v>
                </c:pt>
                <c:pt idx="738">
                  <c:v>100.899536133</c:v>
                </c:pt>
                <c:pt idx="739">
                  <c:v>102.943466187</c:v>
                </c:pt>
                <c:pt idx="740">
                  <c:v>103.78123474100001</c:v>
                </c:pt>
                <c:pt idx="741">
                  <c:v>103.376296997</c:v>
                </c:pt>
                <c:pt idx="742">
                  <c:v>104.85154724100001</c:v>
                </c:pt>
                <c:pt idx="743">
                  <c:v>106.415786743</c:v>
                </c:pt>
                <c:pt idx="744">
                  <c:v>103.014854431</c:v>
                </c:pt>
                <c:pt idx="745">
                  <c:v>103.068885803</c:v>
                </c:pt>
                <c:pt idx="746">
                  <c:v>102.821777344</c:v>
                </c:pt>
                <c:pt idx="747">
                  <c:v>106.37968444800001</c:v>
                </c:pt>
                <c:pt idx="748">
                  <c:v>108.020484924</c:v>
                </c:pt>
                <c:pt idx="749">
                  <c:v>104.789657593</c:v>
                </c:pt>
                <c:pt idx="750">
                  <c:v>103.07233429</c:v>
                </c:pt>
                <c:pt idx="751">
                  <c:v>103.01541137700001</c:v>
                </c:pt>
                <c:pt idx="752">
                  <c:v>104.42626190199999</c:v>
                </c:pt>
                <c:pt idx="753">
                  <c:v>102.83165741000001</c:v>
                </c:pt>
                <c:pt idx="754">
                  <c:v>100.50100707999999</c:v>
                </c:pt>
                <c:pt idx="755">
                  <c:v>102.09201812800001</c:v>
                </c:pt>
                <c:pt idx="756">
                  <c:v>103.11743163999999</c:v>
                </c:pt>
                <c:pt idx="757">
                  <c:v>103.66666412399999</c:v>
                </c:pt>
                <c:pt idx="758">
                  <c:v>103.683731079</c:v>
                </c:pt>
                <c:pt idx="759">
                  <c:v>104.44092559800001</c:v>
                </c:pt>
                <c:pt idx="760">
                  <c:v>104.929229736</c:v>
                </c:pt>
                <c:pt idx="761">
                  <c:v>106.03434753400001</c:v>
                </c:pt>
                <c:pt idx="762">
                  <c:v>106.398506165</c:v>
                </c:pt>
                <c:pt idx="763">
                  <c:v>103.180084228</c:v>
                </c:pt>
                <c:pt idx="764">
                  <c:v>104.02997589100001</c:v>
                </c:pt>
                <c:pt idx="765">
                  <c:v>105.71759796100001</c:v>
                </c:pt>
                <c:pt idx="766">
                  <c:v>105.191833496</c:v>
                </c:pt>
                <c:pt idx="767">
                  <c:v>103.91364288299999</c:v>
                </c:pt>
                <c:pt idx="768">
                  <c:v>106.03372192400001</c:v>
                </c:pt>
                <c:pt idx="769">
                  <c:v>104.63667297400001</c:v>
                </c:pt>
                <c:pt idx="770">
                  <c:v>103.99370575</c:v>
                </c:pt>
                <c:pt idx="771">
                  <c:v>111.083389282</c:v>
                </c:pt>
                <c:pt idx="772">
                  <c:v>103.508636475</c:v>
                </c:pt>
                <c:pt idx="773">
                  <c:v>103.200141907</c:v>
                </c:pt>
                <c:pt idx="774">
                  <c:v>102.50838470399999</c:v>
                </c:pt>
                <c:pt idx="775">
                  <c:v>103.093528748</c:v>
                </c:pt>
                <c:pt idx="776">
                  <c:v>102.031188965</c:v>
                </c:pt>
                <c:pt idx="777">
                  <c:v>102.426544189</c:v>
                </c:pt>
                <c:pt idx="778">
                  <c:v>104.330513</c:v>
                </c:pt>
                <c:pt idx="779">
                  <c:v>107.467880249</c:v>
                </c:pt>
                <c:pt idx="780">
                  <c:v>105.830368042</c:v>
                </c:pt>
                <c:pt idx="781">
                  <c:v>101.86803436300001</c:v>
                </c:pt>
                <c:pt idx="782">
                  <c:v>103.495033264</c:v>
                </c:pt>
                <c:pt idx="783">
                  <c:v>106.41771697999999</c:v>
                </c:pt>
                <c:pt idx="784">
                  <c:v>106.103416443</c:v>
                </c:pt>
                <c:pt idx="785">
                  <c:v>104.906044006</c:v>
                </c:pt>
                <c:pt idx="786">
                  <c:v>103.053688049</c:v>
                </c:pt>
                <c:pt idx="787">
                  <c:v>106.449775696</c:v>
                </c:pt>
                <c:pt idx="788">
                  <c:v>105.31397247300001</c:v>
                </c:pt>
                <c:pt idx="789">
                  <c:v>103.748214722</c:v>
                </c:pt>
                <c:pt idx="790">
                  <c:v>103.41454315199999</c:v>
                </c:pt>
                <c:pt idx="791">
                  <c:v>102.670166016</c:v>
                </c:pt>
                <c:pt idx="792">
                  <c:v>100.87826538100001</c:v>
                </c:pt>
                <c:pt idx="793">
                  <c:v>101.13285827599999</c:v>
                </c:pt>
                <c:pt idx="794">
                  <c:v>103.792739868</c:v>
                </c:pt>
                <c:pt idx="795">
                  <c:v>104.357391357</c:v>
                </c:pt>
                <c:pt idx="796">
                  <c:v>102.657051086</c:v>
                </c:pt>
                <c:pt idx="797">
                  <c:v>102.663673401</c:v>
                </c:pt>
                <c:pt idx="798">
                  <c:v>102.810638428</c:v>
                </c:pt>
                <c:pt idx="799">
                  <c:v>104.691665649</c:v>
                </c:pt>
                <c:pt idx="800">
                  <c:v>102.014900208</c:v>
                </c:pt>
                <c:pt idx="801">
                  <c:v>106.014892578</c:v>
                </c:pt>
                <c:pt idx="802">
                  <c:v>104.475708008</c:v>
                </c:pt>
                <c:pt idx="803">
                  <c:v>103.70866393999999</c:v>
                </c:pt>
                <c:pt idx="804">
                  <c:v>105.63246917699999</c:v>
                </c:pt>
                <c:pt idx="805">
                  <c:v>105.223686218</c:v>
                </c:pt>
                <c:pt idx="806">
                  <c:v>104.66113281200001</c:v>
                </c:pt>
                <c:pt idx="807">
                  <c:v>103.066604614</c:v>
                </c:pt>
                <c:pt idx="808">
                  <c:v>102.230735779</c:v>
                </c:pt>
                <c:pt idx="809">
                  <c:v>105.612266541</c:v>
                </c:pt>
                <c:pt idx="810">
                  <c:v>105.715026855</c:v>
                </c:pt>
                <c:pt idx="811">
                  <c:v>101.385383606</c:v>
                </c:pt>
                <c:pt idx="812">
                  <c:v>101.527038574</c:v>
                </c:pt>
                <c:pt idx="813">
                  <c:v>104.15213012700001</c:v>
                </c:pt>
                <c:pt idx="814">
                  <c:v>102.098670959</c:v>
                </c:pt>
                <c:pt idx="815">
                  <c:v>108.97691345200001</c:v>
                </c:pt>
                <c:pt idx="816">
                  <c:v>106.97032928500001</c:v>
                </c:pt>
                <c:pt idx="817">
                  <c:v>102.43476867699999</c:v>
                </c:pt>
                <c:pt idx="818">
                  <c:v>102.544364929</c:v>
                </c:pt>
                <c:pt idx="819">
                  <c:v>104.796417236</c:v>
                </c:pt>
                <c:pt idx="820">
                  <c:v>105.69811248800001</c:v>
                </c:pt>
                <c:pt idx="821">
                  <c:v>104.885322571</c:v>
                </c:pt>
                <c:pt idx="822">
                  <c:v>104.69351196300001</c:v>
                </c:pt>
                <c:pt idx="823">
                  <c:v>105.609008789</c:v>
                </c:pt>
                <c:pt idx="824">
                  <c:v>106.630088806</c:v>
                </c:pt>
                <c:pt idx="825">
                  <c:v>105.478744507</c:v>
                </c:pt>
                <c:pt idx="826">
                  <c:v>103.66616821300001</c:v>
                </c:pt>
                <c:pt idx="827">
                  <c:v>102.725959778</c:v>
                </c:pt>
                <c:pt idx="828">
                  <c:v>101.79418182400001</c:v>
                </c:pt>
                <c:pt idx="829">
                  <c:v>104.37113952599999</c:v>
                </c:pt>
                <c:pt idx="830">
                  <c:v>104.717346191</c:v>
                </c:pt>
                <c:pt idx="831">
                  <c:v>105.671577454</c:v>
                </c:pt>
                <c:pt idx="832">
                  <c:v>107.116592407</c:v>
                </c:pt>
                <c:pt idx="833">
                  <c:v>106.381080627</c:v>
                </c:pt>
                <c:pt idx="834">
                  <c:v>104.380821228</c:v>
                </c:pt>
                <c:pt idx="835">
                  <c:v>103.708580017</c:v>
                </c:pt>
                <c:pt idx="836">
                  <c:v>105.597480774</c:v>
                </c:pt>
                <c:pt idx="837">
                  <c:v>106.937866211</c:v>
                </c:pt>
                <c:pt idx="838">
                  <c:v>105.46681213399999</c:v>
                </c:pt>
                <c:pt idx="839">
                  <c:v>103.277412415</c:v>
                </c:pt>
                <c:pt idx="840">
                  <c:v>103.379173279</c:v>
                </c:pt>
                <c:pt idx="841">
                  <c:v>103.02772521999999</c:v>
                </c:pt>
                <c:pt idx="842">
                  <c:v>106.091369629</c:v>
                </c:pt>
                <c:pt idx="843">
                  <c:v>106.315391541</c:v>
                </c:pt>
                <c:pt idx="844">
                  <c:v>105.48004913299999</c:v>
                </c:pt>
                <c:pt idx="845">
                  <c:v>107.428489685</c:v>
                </c:pt>
                <c:pt idx="846">
                  <c:v>106.889907837</c:v>
                </c:pt>
                <c:pt idx="847">
                  <c:v>105.45121765099999</c:v>
                </c:pt>
                <c:pt idx="848">
                  <c:v>104.872810364</c:v>
                </c:pt>
                <c:pt idx="849">
                  <c:v>104.81185150100001</c:v>
                </c:pt>
                <c:pt idx="850">
                  <c:v>104.650688171</c:v>
                </c:pt>
                <c:pt idx="851">
                  <c:v>102.36114502</c:v>
                </c:pt>
                <c:pt idx="852">
                  <c:v>101.9948349</c:v>
                </c:pt>
                <c:pt idx="853">
                  <c:v>104.63981628400001</c:v>
                </c:pt>
                <c:pt idx="854">
                  <c:v>104.560241699</c:v>
                </c:pt>
                <c:pt idx="855">
                  <c:v>107.482513428</c:v>
                </c:pt>
                <c:pt idx="856">
                  <c:v>109.125801086</c:v>
                </c:pt>
                <c:pt idx="857">
                  <c:v>106.771522522</c:v>
                </c:pt>
                <c:pt idx="858">
                  <c:v>105.495903015</c:v>
                </c:pt>
                <c:pt idx="859">
                  <c:v>104.242546082</c:v>
                </c:pt>
                <c:pt idx="860">
                  <c:v>104.178970337</c:v>
                </c:pt>
                <c:pt idx="861">
                  <c:v>105.466133118</c:v>
                </c:pt>
                <c:pt idx="862">
                  <c:v>105.580413818</c:v>
                </c:pt>
                <c:pt idx="863">
                  <c:v>104.83773803700001</c:v>
                </c:pt>
                <c:pt idx="864">
                  <c:v>104.351234436</c:v>
                </c:pt>
                <c:pt idx="865">
                  <c:v>104.885131836</c:v>
                </c:pt>
                <c:pt idx="866">
                  <c:v>104.88838958700001</c:v>
                </c:pt>
                <c:pt idx="867">
                  <c:v>105.756896973</c:v>
                </c:pt>
                <c:pt idx="868">
                  <c:v>106.015159607</c:v>
                </c:pt>
                <c:pt idx="869">
                  <c:v>106.266716003</c:v>
                </c:pt>
                <c:pt idx="870">
                  <c:v>105.962493896</c:v>
                </c:pt>
                <c:pt idx="871">
                  <c:v>105.78175354</c:v>
                </c:pt>
                <c:pt idx="872">
                  <c:v>104.965232849</c:v>
                </c:pt>
                <c:pt idx="873">
                  <c:v>104.93959808300001</c:v>
                </c:pt>
                <c:pt idx="874">
                  <c:v>104.852394104</c:v>
                </c:pt>
                <c:pt idx="875">
                  <c:v>104.554260254</c:v>
                </c:pt>
                <c:pt idx="876">
                  <c:v>105.04566955600001</c:v>
                </c:pt>
                <c:pt idx="877">
                  <c:v>108.569824219</c:v>
                </c:pt>
                <c:pt idx="878">
                  <c:v>111.700881958</c:v>
                </c:pt>
                <c:pt idx="879">
                  <c:v>103.359306335</c:v>
                </c:pt>
                <c:pt idx="880">
                  <c:v>104.815208435</c:v>
                </c:pt>
                <c:pt idx="881">
                  <c:v>107.289230347</c:v>
                </c:pt>
                <c:pt idx="882">
                  <c:v>104.10340118400001</c:v>
                </c:pt>
                <c:pt idx="883">
                  <c:v>102.06033325200001</c:v>
                </c:pt>
                <c:pt idx="884">
                  <c:v>104.873504639</c:v>
                </c:pt>
                <c:pt idx="885">
                  <c:v>104.933631897</c:v>
                </c:pt>
                <c:pt idx="886">
                  <c:v>104.20632171599999</c:v>
                </c:pt>
                <c:pt idx="887">
                  <c:v>101.85979461699999</c:v>
                </c:pt>
                <c:pt idx="888">
                  <c:v>101.481750488</c:v>
                </c:pt>
                <c:pt idx="889">
                  <c:v>103.023628235</c:v>
                </c:pt>
                <c:pt idx="890">
                  <c:v>103.327888489</c:v>
                </c:pt>
                <c:pt idx="891">
                  <c:v>104.62431335399999</c:v>
                </c:pt>
                <c:pt idx="892">
                  <c:v>105.192390442</c:v>
                </c:pt>
                <c:pt idx="893">
                  <c:v>99.869232178000004</c:v>
                </c:pt>
                <c:pt idx="894">
                  <c:v>102</c:v>
                </c:pt>
                <c:pt idx="895">
                  <c:v>104.84919738799999</c:v>
                </c:pt>
                <c:pt idx="896">
                  <c:v>103.95132446300001</c:v>
                </c:pt>
                <c:pt idx="897">
                  <c:v>105.84608459499999</c:v>
                </c:pt>
                <c:pt idx="898">
                  <c:v>104.303733826</c:v>
                </c:pt>
                <c:pt idx="899">
                  <c:v>102.595825195</c:v>
                </c:pt>
                <c:pt idx="900">
                  <c:v>100.247032166</c:v>
                </c:pt>
                <c:pt idx="901">
                  <c:v>98.838958739999995</c:v>
                </c:pt>
                <c:pt idx="902">
                  <c:v>102.473251343</c:v>
                </c:pt>
                <c:pt idx="903">
                  <c:v>105.054725647</c:v>
                </c:pt>
                <c:pt idx="904">
                  <c:v>104.39064025899999</c:v>
                </c:pt>
                <c:pt idx="905">
                  <c:v>103.457618713</c:v>
                </c:pt>
                <c:pt idx="906">
                  <c:v>100.77921295199999</c:v>
                </c:pt>
                <c:pt idx="907">
                  <c:v>103.287605286</c:v>
                </c:pt>
                <c:pt idx="908">
                  <c:v>105.159065247</c:v>
                </c:pt>
                <c:pt idx="909">
                  <c:v>105.173225403</c:v>
                </c:pt>
                <c:pt idx="910">
                  <c:v>106.90414428699999</c:v>
                </c:pt>
                <c:pt idx="911">
                  <c:v>109.073921204</c:v>
                </c:pt>
                <c:pt idx="912">
                  <c:v>108.705078125</c:v>
                </c:pt>
                <c:pt idx="913">
                  <c:v>104.90847778300001</c:v>
                </c:pt>
                <c:pt idx="914">
                  <c:v>101.82081604</c:v>
                </c:pt>
                <c:pt idx="915">
                  <c:v>104.154922485</c:v>
                </c:pt>
                <c:pt idx="916">
                  <c:v>104.751052856</c:v>
                </c:pt>
                <c:pt idx="917">
                  <c:v>103.829147339</c:v>
                </c:pt>
                <c:pt idx="918">
                  <c:v>105.39755249</c:v>
                </c:pt>
                <c:pt idx="919">
                  <c:v>104.510055542</c:v>
                </c:pt>
                <c:pt idx="920">
                  <c:v>99.149696349999999</c:v>
                </c:pt>
                <c:pt idx="921">
                  <c:v>99.469070435000006</c:v>
                </c:pt>
                <c:pt idx="922">
                  <c:v>103.040771484</c:v>
                </c:pt>
                <c:pt idx="923">
                  <c:v>106.82699585</c:v>
                </c:pt>
                <c:pt idx="924">
                  <c:v>104.657714844</c:v>
                </c:pt>
                <c:pt idx="925">
                  <c:v>103.07618713399999</c:v>
                </c:pt>
                <c:pt idx="926">
                  <c:v>104.82225036600001</c:v>
                </c:pt>
                <c:pt idx="927">
                  <c:v>106.078033447</c:v>
                </c:pt>
                <c:pt idx="928">
                  <c:v>107.102119446</c:v>
                </c:pt>
                <c:pt idx="929">
                  <c:v>107.470199585</c:v>
                </c:pt>
                <c:pt idx="930">
                  <c:v>104.46157074</c:v>
                </c:pt>
                <c:pt idx="931">
                  <c:v>101.25696563699999</c:v>
                </c:pt>
                <c:pt idx="932">
                  <c:v>104.00852203399999</c:v>
                </c:pt>
                <c:pt idx="933">
                  <c:v>104.51822662399999</c:v>
                </c:pt>
                <c:pt idx="934">
                  <c:v>101.818351746</c:v>
                </c:pt>
                <c:pt idx="935">
                  <c:v>104.326210022</c:v>
                </c:pt>
                <c:pt idx="936">
                  <c:v>104.358978271</c:v>
                </c:pt>
                <c:pt idx="937">
                  <c:v>104.31804657000001</c:v>
                </c:pt>
                <c:pt idx="938">
                  <c:v>103.60303497300001</c:v>
                </c:pt>
                <c:pt idx="939">
                  <c:v>103.214614868</c:v>
                </c:pt>
                <c:pt idx="940">
                  <c:v>103.714393616</c:v>
                </c:pt>
                <c:pt idx="941">
                  <c:v>103.98409271200001</c:v>
                </c:pt>
                <c:pt idx="942">
                  <c:v>104.317337036</c:v>
                </c:pt>
                <c:pt idx="943">
                  <c:v>104.409988403</c:v>
                </c:pt>
                <c:pt idx="944">
                  <c:v>105.95545196499999</c:v>
                </c:pt>
                <c:pt idx="945">
                  <c:v>107.51990508999999</c:v>
                </c:pt>
                <c:pt idx="946">
                  <c:v>107.326011658</c:v>
                </c:pt>
                <c:pt idx="947">
                  <c:v>106.18334961000001</c:v>
                </c:pt>
                <c:pt idx="948">
                  <c:v>103.609550477</c:v>
                </c:pt>
                <c:pt idx="949">
                  <c:v>105.72486114500001</c:v>
                </c:pt>
                <c:pt idx="950">
                  <c:v>108.28076934800001</c:v>
                </c:pt>
                <c:pt idx="951">
                  <c:v>106.787353516</c:v>
                </c:pt>
                <c:pt idx="952">
                  <c:v>105.295166016</c:v>
                </c:pt>
                <c:pt idx="953">
                  <c:v>103.378074646</c:v>
                </c:pt>
                <c:pt idx="954">
                  <c:v>103.71222686800002</c:v>
                </c:pt>
                <c:pt idx="955">
                  <c:v>104.857887268</c:v>
                </c:pt>
                <c:pt idx="956">
                  <c:v>105.32862854</c:v>
                </c:pt>
                <c:pt idx="957">
                  <c:v>105.459953308</c:v>
                </c:pt>
                <c:pt idx="958">
                  <c:v>103.499603271</c:v>
                </c:pt>
                <c:pt idx="959">
                  <c:v>102.839782715</c:v>
                </c:pt>
                <c:pt idx="960">
                  <c:v>104.103057861</c:v>
                </c:pt>
                <c:pt idx="961">
                  <c:v>109.574943542</c:v>
                </c:pt>
                <c:pt idx="962">
                  <c:v>106.03662109299999</c:v>
                </c:pt>
                <c:pt idx="963">
                  <c:v>103.98644256599999</c:v>
                </c:pt>
                <c:pt idx="964">
                  <c:v>103.514968873</c:v>
                </c:pt>
                <c:pt idx="965">
                  <c:v>107.263473511</c:v>
                </c:pt>
                <c:pt idx="966">
                  <c:v>106.796417236</c:v>
                </c:pt>
                <c:pt idx="967">
                  <c:v>106.145889282</c:v>
                </c:pt>
                <c:pt idx="968">
                  <c:v>105.403312683</c:v>
                </c:pt>
                <c:pt idx="969">
                  <c:v>104.020500183</c:v>
                </c:pt>
                <c:pt idx="970">
                  <c:v>104.726661682</c:v>
                </c:pt>
                <c:pt idx="971">
                  <c:v>104.66722869900001</c:v>
                </c:pt>
                <c:pt idx="972">
                  <c:v>102.05086517400001</c:v>
                </c:pt>
                <c:pt idx="973">
                  <c:v>102.70160675</c:v>
                </c:pt>
                <c:pt idx="974">
                  <c:v>102.461174011</c:v>
                </c:pt>
                <c:pt idx="975">
                  <c:v>103.798820496</c:v>
                </c:pt>
                <c:pt idx="976">
                  <c:v>104.84954834</c:v>
                </c:pt>
                <c:pt idx="977">
                  <c:v>103.58803558300001</c:v>
                </c:pt>
                <c:pt idx="978">
                  <c:v>104.77676391599999</c:v>
                </c:pt>
                <c:pt idx="979">
                  <c:v>103.39759063699999</c:v>
                </c:pt>
                <c:pt idx="980">
                  <c:v>103.208953857</c:v>
                </c:pt>
                <c:pt idx="981">
                  <c:v>103.249824524</c:v>
                </c:pt>
                <c:pt idx="982">
                  <c:v>102.627349854</c:v>
                </c:pt>
                <c:pt idx="983">
                  <c:v>101.437141418</c:v>
                </c:pt>
                <c:pt idx="984">
                  <c:v>105.231918335</c:v>
                </c:pt>
                <c:pt idx="985">
                  <c:v>108.566802979</c:v>
                </c:pt>
                <c:pt idx="986">
                  <c:v>107.23474883999999</c:v>
                </c:pt>
                <c:pt idx="987">
                  <c:v>106.52793884300002</c:v>
                </c:pt>
                <c:pt idx="988">
                  <c:v>104.604011536</c:v>
                </c:pt>
                <c:pt idx="989">
                  <c:v>105.95429229699999</c:v>
                </c:pt>
                <c:pt idx="990">
                  <c:v>105.623550415</c:v>
                </c:pt>
                <c:pt idx="991">
                  <c:v>105.20397186300001</c:v>
                </c:pt>
                <c:pt idx="992">
                  <c:v>106.072509766</c:v>
                </c:pt>
                <c:pt idx="993">
                  <c:v>105.744064331</c:v>
                </c:pt>
                <c:pt idx="994">
                  <c:v>105.211425781</c:v>
                </c:pt>
                <c:pt idx="995">
                  <c:v>108.013595581</c:v>
                </c:pt>
                <c:pt idx="996">
                  <c:v>106.916290283</c:v>
                </c:pt>
                <c:pt idx="997">
                  <c:v>105.658538818</c:v>
                </c:pt>
                <c:pt idx="998">
                  <c:v>105.67017364500001</c:v>
                </c:pt>
                <c:pt idx="999">
                  <c:v>106.391876221</c:v>
                </c:pt>
                <c:pt idx="1000">
                  <c:v>104.47101592999999</c:v>
                </c:pt>
                <c:pt idx="1001">
                  <c:v>107.52083587600001</c:v>
                </c:pt>
                <c:pt idx="1002">
                  <c:v>106.00550842299999</c:v>
                </c:pt>
                <c:pt idx="1003">
                  <c:v>100.422050476</c:v>
                </c:pt>
                <c:pt idx="1004">
                  <c:v>106.90792083700001</c:v>
                </c:pt>
                <c:pt idx="1005">
                  <c:v>107.793029785</c:v>
                </c:pt>
                <c:pt idx="1006">
                  <c:v>106.762153625</c:v>
                </c:pt>
                <c:pt idx="1007">
                  <c:v>103.97837066699999</c:v>
                </c:pt>
                <c:pt idx="1008">
                  <c:v>105.651908875</c:v>
                </c:pt>
                <c:pt idx="1009">
                  <c:v>104.193824768</c:v>
                </c:pt>
                <c:pt idx="1010">
                  <c:v>102.20375824</c:v>
                </c:pt>
                <c:pt idx="1011">
                  <c:v>104.047706604</c:v>
                </c:pt>
                <c:pt idx="1012">
                  <c:v>103.296417236</c:v>
                </c:pt>
                <c:pt idx="1013">
                  <c:v>99.576042174999998</c:v>
                </c:pt>
                <c:pt idx="1014">
                  <c:v>100.741523743</c:v>
                </c:pt>
                <c:pt idx="1015">
                  <c:v>104.55685424800001</c:v>
                </c:pt>
                <c:pt idx="1016">
                  <c:v>104.223716736</c:v>
                </c:pt>
                <c:pt idx="1017">
                  <c:v>105.478340149</c:v>
                </c:pt>
                <c:pt idx="1018">
                  <c:v>104.440948486</c:v>
                </c:pt>
                <c:pt idx="1019">
                  <c:v>104.438072205</c:v>
                </c:pt>
                <c:pt idx="1020">
                  <c:v>106.03268432599999</c:v>
                </c:pt>
                <c:pt idx="1021">
                  <c:v>106.825378418</c:v>
                </c:pt>
                <c:pt idx="1022">
                  <c:v>106.197608948</c:v>
                </c:pt>
                <c:pt idx="1023">
                  <c:v>104.573127747</c:v>
                </c:pt>
                <c:pt idx="1024">
                  <c:v>105.357978821</c:v>
                </c:pt>
                <c:pt idx="1025">
                  <c:v>106.980430603</c:v>
                </c:pt>
                <c:pt idx="1026">
                  <c:v>107.29520416299999</c:v>
                </c:pt>
                <c:pt idx="1027">
                  <c:v>105.73059845</c:v>
                </c:pt>
                <c:pt idx="1028">
                  <c:v>102.662513733</c:v>
                </c:pt>
                <c:pt idx="1029">
                  <c:v>101.247436523</c:v>
                </c:pt>
                <c:pt idx="1030">
                  <c:v>106.13155365</c:v>
                </c:pt>
                <c:pt idx="1031">
                  <c:v>108.00920105</c:v>
                </c:pt>
                <c:pt idx="1032">
                  <c:v>106.476425171</c:v>
                </c:pt>
                <c:pt idx="1033">
                  <c:v>109.099609375</c:v>
                </c:pt>
                <c:pt idx="1034">
                  <c:v>109.85893249499999</c:v>
                </c:pt>
                <c:pt idx="1035">
                  <c:v>105.667198181</c:v>
                </c:pt>
                <c:pt idx="1036">
                  <c:v>105.14818572999999</c:v>
                </c:pt>
                <c:pt idx="1037">
                  <c:v>106.529022217</c:v>
                </c:pt>
                <c:pt idx="1038">
                  <c:v>104.69896698000001</c:v>
                </c:pt>
                <c:pt idx="1039">
                  <c:v>103.880455017</c:v>
                </c:pt>
                <c:pt idx="1040">
                  <c:v>106.908126831</c:v>
                </c:pt>
                <c:pt idx="1041">
                  <c:v>107.573028564</c:v>
                </c:pt>
                <c:pt idx="1042">
                  <c:v>104.384132385</c:v>
                </c:pt>
                <c:pt idx="1043">
                  <c:v>103.03704071</c:v>
                </c:pt>
                <c:pt idx="1044">
                  <c:v>105.14094543500001</c:v>
                </c:pt>
                <c:pt idx="1045">
                  <c:v>105.15705871599999</c:v>
                </c:pt>
                <c:pt idx="1046">
                  <c:v>104.09644317599999</c:v>
                </c:pt>
                <c:pt idx="1047">
                  <c:v>105.031356812</c:v>
                </c:pt>
                <c:pt idx="1048">
                  <c:v>105.657600403</c:v>
                </c:pt>
                <c:pt idx="1049">
                  <c:v>107.17271423299999</c:v>
                </c:pt>
                <c:pt idx="1050">
                  <c:v>107.749336243</c:v>
                </c:pt>
                <c:pt idx="1051">
                  <c:v>107.81059265099999</c:v>
                </c:pt>
                <c:pt idx="1052">
                  <c:v>108.17314147899999</c:v>
                </c:pt>
                <c:pt idx="1053">
                  <c:v>106.093856812</c:v>
                </c:pt>
                <c:pt idx="1054">
                  <c:v>104.36598205599999</c:v>
                </c:pt>
                <c:pt idx="1055">
                  <c:v>103.023696899</c:v>
                </c:pt>
                <c:pt idx="1056">
                  <c:v>101.591667175</c:v>
                </c:pt>
                <c:pt idx="1057">
                  <c:v>104.245643616</c:v>
                </c:pt>
                <c:pt idx="1058">
                  <c:v>104.39218139700002</c:v>
                </c:pt>
                <c:pt idx="1059">
                  <c:v>101.695701599</c:v>
                </c:pt>
                <c:pt idx="1060">
                  <c:v>103.667861938</c:v>
                </c:pt>
                <c:pt idx="1061">
                  <c:v>106.489562988</c:v>
                </c:pt>
                <c:pt idx="1062">
                  <c:v>107.641921997</c:v>
                </c:pt>
                <c:pt idx="1063">
                  <c:v>107.0936203</c:v>
                </c:pt>
                <c:pt idx="1064">
                  <c:v>106.095481873</c:v>
                </c:pt>
                <c:pt idx="1065">
                  <c:v>107.1275177</c:v>
                </c:pt>
                <c:pt idx="1066">
                  <c:v>108.532974243</c:v>
                </c:pt>
                <c:pt idx="1067">
                  <c:v>107.264167786</c:v>
                </c:pt>
                <c:pt idx="1068">
                  <c:v>104.669204712</c:v>
                </c:pt>
                <c:pt idx="1069">
                  <c:v>103.584846497</c:v>
                </c:pt>
              </c:numCache>
            </c:numRef>
          </c:yVal>
          <c:smooth val="1"/>
        </c:ser>
        <c:axId val="88718336"/>
        <c:axId val="140792960"/>
      </c:scatterChart>
      <c:valAx>
        <c:axId val="88718336"/>
        <c:scaling>
          <c:orientation val="minMax"/>
          <c:max val="1800"/>
          <c:min val="600"/>
        </c:scaling>
        <c:axPos val="b"/>
        <c:title>
          <c:tx>
            <c:rich>
              <a:bodyPr/>
              <a:lstStyle/>
              <a:p>
                <a:pPr>
                  <a:defRPr/>
                </a:pPr>
                <a:r>
                  <a:rPr lang="en-US"/>
                  <a:t>Horiz.</a:t>
                </a:r>
                <a:r>
                  <a:rPr lang="en-US" baseline="0"/>
                  <a:t> Position</a:t>
                </a:r>
                <a:endParaRPr lang="en-US"/>
              </a:p>
            </c:rich>
          </c:tx>
        </c:title>
        <c:numFmt formatCode="General" sourceLinked="1"/>
        <c:tickLblPos val="nextTo"/>
        <c:crossAx val="140792960"/>
        <c:crosses val="autoZero"/>
        <c:crossBetween val="midCat"/>
      </c:valAx>
      <c:valAx>
        <c:axId val="140792960"/>
        <c:scaling>
          <c:orientation val="minMax"/>
          <c:max val="120"/>
          <c:min val="90"/>
        </c:scaling>
        <c:axPos val="l"/>
        <c:majorGridlines/>
        <c:numFmt formatCode="General" sourceLinked="1"/>
        <c:tickLblPos val="nextTo"/>
        <c:crossAx val="88718336"/>
        <c:crosses val="autoZero"/>
        <c:crossBetween val="midCat"/>
      </c:valAx>
      <c:spPr>
        <a:ln>
          <a:solidFill>
            <a:schemeClr val="tx1"/>
          </a:solidFill>
        </a:ln>
      </c:spPr>
    </c:plotArea>
    <c:legend>
      <c:legendPos val="r"/>
      <c:layout>
        <c:manualLayout>
          <c:xMode val="edge"/>
          <c:yMode val="edge"/>
          <c:x val="0.69168792466065254"/>
          <c:y val="0.17523908481125053"/>
          <c:w val="0.1876361751735546"/>
          <c:h val="0.16772560405808132"/>
        </c:manualLayout>
      </c:layout>
    </c:legend>
    <c:plotVisOnly val="1"/>
  </c:chart>
  <c:spPr>
    <a:ln>
      <a:solidFill>
        <a:schemeClr val="tx1"/>
      </a:solidFill>
    </a:ln>
  </c:spPr>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Residual Plot</a:t>
            </a:r>
          </a:p>
        </c:rich>
      </c:tx>
    </c:title>
    <c:plotArea>
      <c:layout/>
      <c:scatterChart>
        <c:scatterStyle val="lineMarker"/>
        <c:ser>
          <c:idx val="0"/>
          <c:order val="0"/>
          <c:spPr>
            <a:ln w="28575">
              <a:noFill/>
            </a:ln>
          </c:spPr>
          <c:xVal>
            <c:numRef>
              <c:f>'888&amp;mask data'!$G$11:$G$64</c:f>
              <c:numCache>
                <c:formatCode>General</c:formatCode>
                <c:ptCount val="54"/>
                <c:pt idx="0">
                  <c:v>3.7416667938249999E-3</c:v>
                </c:pt>
                <c:pt idx="1">
                  <c:v>0</c:v>
                </c:pt>
                <c:pt idx="2">
                  <c:v>3.7193294525250005E-3</c:v>
                </c:pt>
                <c:pt idx="3">
                  <c:v>3.8216140746999997E-3</c:v>
                </c:pt>
                <c:pt idx="4">
                  <c:v>7.4966682434000004E-3</c:v>
                </c:pt>
                <c:pt idx="5">
                  <c:v>3.7634475707999998E-3</c:v>
                </c:pt>
                <c:pt idx="6">
                  <c:v>1.0588053267842776E-2</c:v>
                </c:pt>
                <c:pt idx="7">
                  <c:v>1.4763609314000002E-2</c:v>
                </c:pt>
                <c:pt idx="8">
                  <c:v>1.46706176758E-2</c:v>
                </c:pt>
                <c:pt idx="9">
                  <c:v>1.8082883834874997E-2</c:v>
                </c:pt>
                <c:pt idx="10">
                  <c:v>2.2056333160349998E-2</c:v>
                </c:pt>
                <c:pt idx="11">
                  <c:v>2.5343389129624999E-2</c:v>
                </c:pt>
                <c:pt idx="12">
                  <c:v>2.4853476715025E-2</c:v>
                </c:pt>
                <c:pt idx="13">
                  <c:v>2.8747451782199999E-2</c:v>
                </c:pt>
                <c:pt idx="14">
                  <c:v>3.5171279907250004E-2</c:v>
                </c:pt>
                <c:pt idx="15">
                  <c:v>3.8812270355099994E-2</c:v>
                </c:pt>
                <c:pt idx="16">
                  <c:v>4.1707864380000001E-2</c:v>
                </c:pt>
                <c:pt idx="17">
                  <c:v>4.17123046875E-2</c:v>
                </c:pt>
                <c:pt idx="18">
                  <c:v>4.5334202194124998E-2</c:v>
                </c:pt>
                <c:pt idx="19">
                  <c:v>5.1164869308375001E-2</c:v>
                </c:pt>
                <c:pt idx="20">
                  <c:v>5.707954406725E-2</c:v>
                </c:pt>
                <c:pt idx="21">
                  <c:v>6.0254516601449995E-2</c:v>
                </c:pt>
                <c:pt idx="22">
                  <c:v>6.3578513717424998E-2</c:v>
                </c:pt>
                <c:pt idx="23">
                  <c:v>6.3544292449999998E-2</c:v>
                </c:pt>
                <c:pt idx="24">
                  <c:v>7.0902012634199985E-2</c:v>
                </c:pt>
                <c:pt idx="25">
                  <c:v>7.4140773391800002E-2</c:v>
                </c:pt>
                <c:pt idx="26">
                  <c:v>7.4077450561799998E-2</c:v>
                </c:pt>
                <c:pt idx="27">
                  <c:v>7.8973002433750009E-2</c:v>
                </c:pt>
                <c:pt idx="28">
                  <c:v>8.1245499974647709E-2</c:v>
                </c:pt>
                <c:pt idx="29">
                  <c:v>8.4883224487599995E-2</c:v>
                </c:pt>
                <c:pt idx="30">
                  <c:v>8.7653839683275003E-2</c:v>
                </c:pt>
                <c:pt idx="31">
                  <c:v>9.0806648063474993E-2</c:v>
                </c:pt>
                <c:pt idx="32">
                  <c:v>9.6534435081150005E-2</c:v>
                </c:pt>
                <c:pt idx="33">
                  <c:v>9.6464033889899992E-2</c:v>
                </c:pt>
                <c:pt idx="34">
                  <c:v>0.1055924903871</c:v>
                </c:pt>
                <c:pt idx="35">
                  <c:v>0.10831706886280001</c:v>
                </c:pt>
                <c:pt idx="36">
                  <c:v>0.10906385040300001</c:v>
                </c:pt>
                <c:pt idx="37">
                  <c:v>0.11297423439047499</c:v>
                </c:pt>
                <c:pt idx="38">
                  <c:v>0.11510107803380001</c:v>
                </c:pt>
                <c:pt idx="39">
                  <c:v>0.11719083595274998</c:v>
                </c:pt>
                <c:pt idx="40">
                  <c:v>0.12453249225560001</c:v>
                </c:pt>
                <c:pt idx="41">
                  <c:v>0.1228698122022</c:v>
                </c:pt>
                <c:pt idx="42">
                  <c:v>0.12702603340124999</c:v>
                </c:pt>
                <c:pt idx="43">
                  <c:v>0.12846733856190001</c:v>
                </c:pt>
                <c:pt idx="44">
                  <c:v>0.13185870819100001</c:v>
                </c:pt>
                <c:pt idx="45">
                  <c:v>0.13929797916345002</c:v>
                </c:pt>
                <c:pt idx="46">
                  <c:v>0.14465125064885001</c:v>
                </c:pt>
                <c:pt idx="47">
                  <c:v>0.13839268989520001</c:v>
                </c:pt>
                <c:pt idx="48">
                  <c:v>0.13903510742239999</c:v>
                </c:pt>
                <c:pt idx="49">
                  <c:v>0.14202500228952503</c:v>
                </c:pt>
                <c:pt idx="50">
                  <c:v>0.14029927291900002</c:v>
                </c:pt>
                <c:pt idx="51">
                  <c:v>0.13854116821320001</c:v>
                </c:pt>
                <c:pt idx="52">
                  <c:v>0.13697455902110001</c:v>
                </c:pt>
                <c:pt idx="53">
                  <c:v>0.14266427612400001</c:v>
                </c:pt>
              </c:numCache>
            </c:numRef>
          </c:xVal>
          <c:yVal>
            <c:numRef>
              <c:f>Regression!$C$26:$C$79</c:f>
              <c:numCache>
                <c:formatCode>General</c:formatCode>
                <c:ptCount val="54"/>
                <c:pt idx="0">
                  <c:v>0.30868537755978309</c:v>
                </c:pt>
                <c:pt idx="1">
                  <c:v>1.0756525690068841</c:v>
                </c:pt>
                <c:pt idx="2">
                  <c:v>1.2081606031988272</c:v>
                </c:pt>
                <c:pt idx="3">
                  <c:v>-2.9106144280204553</c:v>
                </c:pt>
                <c:pt idx="4">
                  <c:v>-0.98325178539415958</c:v>
                </c:pt>
                <c:pt idx="5">
                  <c:v>-0.56837823628139361</c:v>
                </c:pt>
                <c:pt idx="6">
                  <c:v>-0.75885617983827203</c:v>
                </c:pt>
                <c:pt idx="7">
                  <c:v>-0.71081267534988868</c:v>
                </c:pt>
                <c:pt idx="8">
                  <c:v>0.24400534217780034</c:v>
                </c:pt>
                <c:pt idx="9">
                  <c:v>1.3142137695134508</c:v>
                </c:pt>
                <c:pt idx="10">
                  <c:v>-2.2012540843907118</c:v>
                </c:pt>
                <c:pt idx="11">
                  <c:v>-0.94405621563949182</c:v>
                </c:pt>
                <c:pt idx="12">
                  <c:v>1.9866338057976201</c:v>
                </c:pt>
                <c:pt idx="13">
                  <c:v>-0.87208205201862299</c:v>
                </c:pt>
                <c:pt idx="14">
                  <c:v>0.22326645787919119</c:v>
                </c:pt>
                <c:pt idx="15">
                  <c:v>-1.3401537283618765</c:v>
                </c:pt>
                <c:pt idx="16">
                  <c:v>-0.15739024339802654</c:v>
                </c:pt>
                <c:pt idx="17">
                  <c:v>-0.1733803099197786</c:v>
                </c:pt>
                <c:pt idx="18">
                  <c:v>-1.7564043934545026</c:v>
                </c:pt>
                <c:pt idx="19">
                  <c:v>-0.63559660349149993</c:v>
                </c:pt>
                <c:pt idx="20">
                  <c:v>-0.50522083753571678</c:v>
                </c:pt>
                <c:pt idx="21">
                  <c:v>-1.1795654966108984</c:v>
                </c:pt>
                <c:pt idx="22">
                  <c:v>-2.2634212298933818</c:v>
                </c:pt>
                <c:pt idx="23">
                  <c:v>4.2503491214020386</c:v>
                </c:pt>
                <c:pt idx="24">
                  <c:v>-9.6147916770789266E-2</c:v>
                </c:pt>
                <c:pt idx="25">
                  <c:v>-1.2869038468761005</c:v>
                </c:pt>
                <c:pt idx="26">
                  <c:v>3.8992229659640074</c:v>
                </c:pt>
                <c:pt idx="27">
                  <c:v>-0.62814385086722524</c:v>
                </c:pt>
                <c:pt idx="28">
                  <c:v>2.8699523238618951</c:v>
                </c:pt>
                <c:pt idx="29">
                  <c:v>1.8392891743466322</c:v>
                </c:pt>
                <c:pt idx="30">
                  <c:v>1.082656610121596</c:v>
                </c:pt>
                <c:pt idx="31">
                  <c:v>3.1817157418618578</c:v>
                </c:pt>
                <c:pt idx="32">
                  <c:v>0.96511380683285353</c:v>
                </c:pt>
                <c:pt idx="33">
                  <c:v>4.0679743516967761</c:v>
                </c:pt>
                <c:pt idx="34">
                  <c:v>-3.1344587130172386</c:v>
                </c:pt>
                <c:pt idx="35">
                  <c:v>-1.5297022130068996</c:v>
                </c:pt>
                <c:pt idx="36">
                  <c:v>2.1991939363107988</c:v>
                </c:pt>
                <c:pt idx="37">
                  <c:v>-0.53519627451606766</c:v>
                </c:pt>
                <c:pt idx="38">
                  <c:v>0.93915506596066223</c:v>
                </c:pt>
                <c:pt idx="39">
                  <c:v>2.1240040085616698</c:v>
                </c:pt>
                <c:pt idx="40">
                  <c:v>-2.8667020957776685</c:v>
                </c:pt>
                <c:pt idx="41">
                  <c:v>1.9999088497972082</c:v>
                </c:pt>
                <c:pt idx="42">
                  <c:v>-1.0826343668657614</c:v>
                </c:pt>
                <c:pt idx="43">
                  <c:v>-9.499960684678399E-3</c:v>
                </c:pt>
                <c:pt idx="44">
                  <c:v>0.87944546252498412</c:v>
                </c:pt>
                <c:pt idx="45">
                  <c:v>-5.4234908480394353</c:v>
                </c:pt>
                <c:pt idx="46">
                  <c:v>-7.0593432302864869</c:v>
                </c:pt>
                <c:pt idx="47">
                  <c:v>-0.62409668964482989</c:v>
                </c:pt>
                <c:pt idx="48">
                  <c:v>-6.3626036668324559E-2</c:v>
                </c:pt>
                <c:pt idx="49">
                  <c:v>-1.34120315305519</c:v>
                </c:pt>
                <c:pt idx="50">
                  <c:v>0.49574984402650557</c:v>
                </c:pt>
                <c:pt idx="51">
                  <c:v>2.8478438123719485</c:v>
                </c:pt>
                <c:pt idx="52">
                  <c:v>4.2521259014812927</c:v>
                </c:pt>
                <c:pt idx="53">
                  <c:v>-0.61273120658012203</c:v>
                </c:pt>
              </c:numCache>
            </c:numRef>
          </c:yVal>
        </c:ser>
        <c:axId val="89095552"/>
        <c:axId val="89126400"/>
      </c:scatterChart>
      <c:valAx>
        <c:axId val="89095552"/>
        <c:scaling>
          <c:orientation val="minMax"/>
        </c:scaling>
        <c:axPos val="b"/>
        <c:title>
          <c:tx>
            <c:rich>
              <a:bodyPr/>
              <a:lstStyle/>
              <a:p>
                <a:pPr>
                  <a:defRPr/>
                </a:pPr>
                <a:r>
                  <a:rPr lang="en-US"/>
                  <a:t>X Variable 1</a:t>
                </a:r>
              </a:p>
            </c:rich>
          </c:tx>
        </c:title>
        <c:numFmt formatCode="General" sourceLinked="1"/>
        <c:tickLblPos val="nextTo"/>
        <c:crossAx val="89126400"/>
        <c:crosses val="autoZero"/>
        <c:crossBetween val="midCat"/>
      </c:valAx>
      <c:valAx>
        <c:axId val="89126400"/>
        <c:scaling>
          <c:orientation val="minMax"/>
        </c:scaling>
        <c:axPos val="l"/>
        <c:title>
          <c:tx>
            <c:rich>
              <a:bodyPr/>
              <a:lstStyle/>
              <a:p>
                <a:pPr>
                  <a:defRPr/>
                </a:pPr>
                <a:r>
                  <a:rPr lang="en-US"/>
                  <a:t>Residuals</a:t>
                </a:r>
              </a:p>
            </c:rich>
          </c:tx>
        </c:title>
        <c:numFmt formatCode="General" sourceLinked="1"/>
        <c:tickLblPos val="nextTo"/>
        <c:crossAx val="89095552"/>
        <c:crosses val="autoZero"/>
        <c:crossBetween val="midCat"/>
      </c:valAx>
    </c:plotArea>
    <c:plotVisOnly val="1"/>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2  Residual Plot</a:t>
            </a:r>
          </a:p>
        </c:rich>
      </c:tx>
    </c:title>
    <c:plotArea>
      <c:layout/>
      <c:scatterChart>
        <c:scatterStyle val="lineMarker"/>
        <c:ser>
          <c:idx val="0"/>
          <c:order val="0"/>
          <c:spPr>
            <a:ln w="28575">
              <a:noFill/>
            </a:ln>
          </c:spPr>
          <c:xVal>
            <c:numRef>
              <c:f>'888&amp;mask data'!$H$11:$H$64</c:f>
              <c:numCache>
                <c:formatCode>General</c:formatCode>
                <c:ptCount val="54"/>
                <c:pt idx="0">
                  <c:v>1.0000000000000001E-5</c:v>
                </c:pt>
                <c:pt idx="1">
                  <c:v>0</c:v>
                </c:pt>
                <c:pt idx="2">
                  <c:v>1.0000000000000001E-5</c:v>
                </c:pt>
                <c:pt idx="3">
                  <c:v>1.0000000000000001E-5</c:v>
                </c:pt>
                <c:pt idx="4">
                  <c:v>4.0000000000000003E-5</c:v>
                </c:pt>
                <c:pt idx="5">
                  <c:v>1.0000000000000001E-5</c:v>
                </c:pt>
                <c:pt idx="6">
                  <c:v>8.0952420798489336E-5</c:v>
                </c:pt>
                <c:pt idx="7">
                  <c:v>1.6000000000000001E-4</c:v>
                </c:pt>
                <c:pt idx="8">
                  <c:v>1.6000000000000001E-4</c:v>
                </c:pt>
                <c:pt idx="9">
                  <c:v>2.5000000000000001E-4</c:v>
                </c:pt>
                <c:pt idx="10">
                  <c:v>3.6000000000000002E-4</c:v>
                </c:pt>
                <c:pt idx="11">
                  <c:v>4.8999999999999998E-4</c:v>
                </c:pt>
                <c:pt idx="12">
                  <c:v>4.8999999999999998E-4</c:v>
                </c:pt>
                <c:pt idx="13">
                  <c:v>6.4000000000000005E-4</c:v>
                </c:pt>
                <c:pt idx="14">
                  <c:v>1E-3</c:v>
                </c:pt>
                <c:pt idx="15">
                  <c:v>1.2099999999999999E-3</c:v>
                </c:pt>
                <c:pt idx="16">
                  <c:v>1.4400000000000001E-3</c:v>
                </c:pt>
                <c:pt idx="17">
                  <c:v>1.4400000000000001E-3</c:v>
                </c:pt>
                <c:pt idx="18">
                  <c:v>1.6900000000000001E-3</c:v>
                </c:pt>
                <c:pt idx="19">
                  <c:v>2.2499999999999998E-3</c:v>
                </c:pt>
                <c:pt idx="20">
                  <c:v>2.8900000000000002E-3</c:v>
                </c:pt>
                <c:pt idx="21">
                  <c:v>3.2399999999999998E-3</c:v>
                </c:pt>
                <c:pt idx="22">
                  <c:v>3.6099999999999999E-3</c:v>
                </c:pt>
                <c:pt idx="23">
                  <c:v>4.0000000000000001E-3</c:v>
                </c:pt>
                <c:pt idx="24">
                  <c:v>4.8399999999999997E-3</c:v>
                </c:pt>
                <c:pt idx="25">
                  <c:v>5.2900000000000004E-3</c:v>
                </c:pt>
                <c:pt idx="26">
                  <c:v>5.7600000000000004E-3</c:v>
                </c:pt>
                <c:pt idx="27">
                  <c:v>6.2500000000000003E-3</c:v>
                </c:pt>
                <c:pt idx="28">
                  <c:v>7.1344310477234442E-3</c:v>
                </c:pt>
                <c:pt idx="29">
                  <c:v>7.8399999999999997E-3</c:v>
                </c:pt>
                <c:pt idx="30">
                  <c:v>8.4100000000000008E-3</c:v>
                </c:pt>
                <c:pt idx="31">
                  <c:v>9.6100000000000005E-3</c:v>
                </c:pt>
                <c:pt idx="32">
                  <c:v>1.089E-2</c:v>
                </c:pt>
                <c:pt idx="33">
                  <c:v>1.1560000000000001E-2</c:v>
                </c:pt>
                <c:pt idx="34">
                  <c:v>1.2959999999999999E-2</c:v>
                </c:pt>
                <c:pt idx="35">
                  <c:v>1.444E-2</c:v>
                </c:pt>
                <c:pt idx="36">
                  <c:v>1.6E-2</c:v>
                </c:pt>
                <c:pt idx="37">
                  <c:v>1.6809999999999999E-2</c:v>
                </c:pt>
                <c:pt idx="38">
                  <c:v>1.8489999999999999E-2</c:v>
                </c:pt>
                <c:pt idx="39">
                  <c:v>2.0250000000000001E-2</c:v>
                </c:pt>
                <c:pt idx="40">
                  <c:v>2.2089999999999999E-2</c:v>
                </c:pt>
                <c:pt idx="41">
                  <c:v>2.401E-2</c:v>
                </c:pt>
                <c:pt idx="42">
                  <c:v>2.5000000000000001E-2</c:v>
                </c:pt>
                <c:pt idx="43">
                  <c:v>2.7040000000000002E-2</c:v>
                </c:pt>
                <c:pt idx="44">
                  <c:v>3.1359999999999999E-2</c:v>
                </c:pt>
                <c:pt idx="45">
                  <c:v>3.2489999999999998E-2</c:v>
                </c:pt>
                <c:pt idx="46">
                  <c:v>3.721E-2</c:v>
                </c:pt>
                <c:pt idx="47">
                  <c:v>3.8440000000000002E-2</c:v>
                </c:pt>
                <c:pt idx="48">
                  <c:v>4.0960000000000003E-2</c:v>
                </c:pt>
                <c:pt idx="49">
                  <c:v>4.4889999999999999E-2</c:v>
                </c:pt>
                <c:pt idx="50">
                  <c:v>4.6240000000000003E-2</c:v>
                </c:pt>
                <c:pt idx="51">
                  <c:v>5.1839999999999997E-2</c:v>
                </c:pt>
                <c:pt idx="52">
                  <c:v>5.7759999999999999E-2</c:v>
                </c:pt>
                <c:pt idx="53">
                  <c:v>6.4000000000000001E-2</c:v>
                </c:pt>
              </c:numCache>
            </c:numRef>
          </c:xVal>
          <c:yVal>
            <c:numRef>
              <c:f>Regression!$C$26:$C$79</c:f>
              <c:numCache>
                <c:formatCode>General</c:formatCode>
                <c:ptCount val="54"/>
                <c:pt idx="0">
                  <c:v>0.30868537755978309</c:v>
                </c:pt>
                <c:pt idx="1">
                  <c:v>1.0756525690068841</c:v>
                </c:pt>
                <c:pt idx="2">
                  <c:v>1.2081606031988272</c:v>
                </c:pt>
                <c:pt idx="3">
                  <c:v>-2.9106144280204553</c:v>
                </c:pt>
                <c:pt idx="4">
                  <c:v>-0.98325178539415958</c:v>
                </c:pt>
                <c:pt idx="5">
                  <c:v>-0.56837823628139361</c:v>
                </c:pt>
                <c:pt idx="6">
                  <c:v>-0.75885617983827203</c:v>
                </c:pt>
                <c:pt idx="7">
                  <c:v>-0.71081267534988868</c:v>
                </c:pt>
                <c:pt idx="8">
                  <c:v>0.24400534217780034</c:v>
                </c:pt>
                <c:pt idx="9">
                  <c:v>1.3142137695134508</c:v>
                </c:pt>
                <c:pt idx="10">
                  <c:v>-2.2012540843907118</c:v>
                </c:pt>
                <c:pt idx="11">
                  <c:v>-0.94405621563949182</c:v>
                </c:pt>
                <c:pt idx="12">
                  <c:v>1.9866338057976201</c:v>
                </c:pt>
                <c:pt idx="13">
                  <c:v>-0.87208205201862299</c:v>
                </c:pt>
                <c:pt idx="14">
                  <c:v>0.22326645787919119</c:v>
                </c:pt>
                <c:pt idx="15">
                  <c:v>-1.3401537283618765</c:v>
                </c:pt>
                <c:pt idx="16">
                  <c:v>-0.15739024339802654</c:v>
                </c:pt>
                <c:pt idx="17">
                  <c:v>-0.1733803099197786</c:v>
                </c:pt>
                <c:pt idx="18">
                  <c:v>-1.7564043934545026</c:v>
                </c:pt>
                <c:pt idx="19">
                  <c:v>-0.63559660349149993</c:v>
                </c:pt>
                <c:pt idx="20">
                  <c:v>-0.50522083753571678</c:v>
                </c:pt>
                <c:pt idx="21">
                  <c:v>-1.1795654966108984</c:v>
                </c:pt>
                <c:pt idx="22">
                  <c:v>-2.2634212298933818</c:v>
                </c:pt>
                <c:pt idx="23">
                  <c:v>4.2503491214020386</c:v>
                </c:pt>
                <c:pt idx="24">
                  <c:v>-9.6147916770789266E-2</c:v>
                </c:pt>
                <c:pt idx="25">
                  <c:v>-1.2869038468761005</c:v>
                </c:pt>
                <c:pt idx="26">
                  <c:v>3.8992229659640074</c:v>
                </c:pt>
                <c:pt idx="27">
                  <c:v>-0.62814385086722524</c:v>
                </c:pt>
                <c:pt idx="28">
                  <c:v>2.8699523238618951</c:v>
                </c:pt>
                <c:pt idx="29">
                  <c:v>1.8392891743466322</c:v>
                </c:pt>
                <c:pt idx="30">
                  <c:v>1.082656610121596</c:v>
                </c:pt>
                <c:pt idx="31">
                  <c:v>3.1817157418618578</c:v>
                </c:pt>
                <c:pt idx="32">
                  <c:v>0.96511380683285353</c:v>
                </c:pt>
                <c:pt idx="33">
                  <c:v>4.0679743516967761</c:v>
                </c:pt>
                <c:pt idx="34">
                  <c:v>-3.1344587130172386</c:v>
                </c:pt>
                <c:pt idx="35">
                  <c:v>-1.5297022130068996</c:v>
                </c:pt>
                <c:pt idx="36">
                  <c:v>2.1991939363107988</c:v>
                </c:pt>
                <c:pt idx="37">
                  <c:v>-0.53519627451606766</c:v>
                </c:pt>
                <c:pt idx="38">
                  <c:v>0.93915506596066223</c:v>
                </c:pt>
                <c:pt idx="39">
                  <c:v>2.1240040085616698</c:v>
                </c:pt>
                <c:pt idx="40">
                  <c:v>-2.8667020957776685</c:v>
                </c:pt>
                <c:pt idx="41">
                  <c:v>1.9999088497972082</c:v>
                </c:pt>
                <c:pt idx="42">
                  <c:v>-1.0826343668657614</c:v>
                </c:pt>
                <c:pt idx="43">
                  <c:v>-9.499960684678399E-3</c:v>
                </c:pt>
                <c:pt idx="44">
                  <c:v>0.87944546252498412</c:v>
                </c:pt>
                <c:pt idx="45">
                  <c:v>-5.4234908480394353</c:v>
                </c:pt>
                <c:pt idx="46">
                  <c:v>-7.0593432302864869</c:v>
                </c:pt>
                <c:pt idx="47">
                  <c:v>-0.62409668964482989</c:v>
                </c:pt>
                <c:pt idx="48">
                  <c:v>-6.3626036668324559E-2</c:v>
                </c:pt>
                <c:pt idx="49">
                  <c:v>-1.34120315305519</c:v>
                </c:pt>
                <c:pt idx="50">
                  <c:v>0.49574984402650557</c:v>
                </c:pt>
                <c:pt idx="51">
                  <c:v>2.8478438123719485</c:v>
                </c:pt>
                <c:pt idx="52">
                  <c:v>4.2521259014812927</c:v>
                </c:pt>
                <c:pt idx="53">
                  <c:v>-0.61273120658012203</c:v>
                </c:pt>
              </c:numCache>
            </c:numRef>
          </c:yVal>
        </c:ser>
        <c:axId val="88814720"/>
        <c:axId val="88816640"/>
      </c:scatterChart>
      <c:valAx>
        <c:axId val="88814720"/>
        <c:scaling>
          <c:orientation val="minMax"/>
        </c:scaling>
        <c:axPos val="b"/>
        <c:title>
          <c:tx>
            <c:rich>
              <a:bodyPr/>
              <a:lstStyle/>
              <a:p>
                <a:pPr>
                  <a:defRPr/>
                </a:pPr>
                <a:r>
                  <a:rPr lang="en-US"/>
                  <a:t>X Variable 2</a:t>
                </a:r>
              </a:p>
            </c:rich>
          </c:tx>
        </c:title>
        <c:numFmt formatCode="General" sourceLinked="1"/>
        <c:tickLblPos val="nextTo"/>
        <c:crossAx val="88816640"/>
        <c:crosses val="autoZero"/>
        <c:crossBetween val="midCat"/>
      </c:valAx>
      <c:valAx>
        <c:axId val="88816640"/>
        <c:scaling>
          <c:orientation val="minMax"/>
        </c:scaling>
        <c:axPos val="l"/>
        <c:title>
          <c:tx>
            <c:rich>
              <a:bodyPr/>
              <a:lstStyle/>
              <a:p>
                <a:pPr>
                  <a:defRPr/>
                </a:pPr>
                <a:r>
                  <a:rPr lang="en-US"/>
                  <a:t>Residuals</a:t>
                </a:r>
              </a:p>
            </c:rich>
          </c:tx>
        </c:title>
        <c:numFmt formatCode="General" sourceLinked="1"/>
        <c:tickLblPos val="nextTo"/>
        <c:crossAx val="88814720"/>
        <c:crosses val="autoZero"/>
        <c:crossBetween val="midCat"/>
      </c:valAx>
    </c:plotArea>
    <c:plotVisOnly val="1"/>
  </c:chart>
  <c:printSettings>
    <c:headerFooter/>
    <c:pageMargins b="0.75000000000000033" l="0.70000000000000029" r="0.70000000000000029" t="0.75000000000000033" header="0.30000000000000016" footer="0.3000000000000001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Line Fit  Plot</a:t>
            </a:r>
          </a:p>
        </c:rich>
      </c:tx>
    </c:title>
    <c:plotArea>
      <c:layout/>
      <c:scatterChart>
        <c:scatterStyle val="lineMarker"/>
        <c:ser>
          <c:idx val="0"/>
          <c:order val="0"/>
          <c:tx>
            <c:v>Y</c:v>
          </c:tx>
          <c:spPr>
            <a:ln w="28575">
              <a:noFill/>
            </a:ln>
          </c:spPr>
          <c:xVal>
            <c:numRef>
              <c:f>'888&amp;mask data'!$G$11:$G$64</c:f>
              <c:numCache>
                <c:formatCode>General</c:formatCode>
                <c:ptCount val="54"/>
                <c:pt idx="0">
                  <c:v>3.7416667938249999E-3</c:v>
                </c:pt>
                <c:pt idx="1">
                  <c:v>0</c:v>
                </c:pt>
                <c:pt idx="2">
                  <c:v>3.7193294525250005E-3</c:v>
                </c:pt>
                <c:pt idx="3">
                  <c:v>3.8216140746999997E-3</c:v>
                </c:pt>
                <c:pt idx="4">
                  <c:v>7.4966682434000004E-3</c:v>
                </c:pt>
                <c:pt idx="5">
                  <c:v>3.7634475707999998E-3</c:v>
                </c:pt>
                <c:pt idx="6">
                  <c:v>1.0588053267842776E-2</c:v>
                </c:pt>
                <c:pt idx="7">
                  <c:v>1.4763609314000002E-2</c:v>
                </c:pt>
                <c:pt idx="8">
                  <c:v>1.46706176758E-2</c:v>
                </c:pt>
                <c:pt idx="9">
                  <c:v>1.8082883834874997E-2</c:v>
                </c:pt>
                <c:pt idx="10">
                  <c:v>2.2056333160349998E-2</c:v>
                </c:pt>
                <c:pt idx="11">
                  <c:v>2.5343389129624999E-2</c:v>
                </c:pt>
                <c:pt idx="12">
                  <c:v>2.4853476715025E-2</c:v>
                </c:pt>
                <c:pt idx="13">
                  <c:v>2.8747451782199999E-2</c:v>
                </c:pt>
                <c:pt idx="14">
                  <c:v>3.5171279907250004E-2</c:v>
                </c:pt>
                <c:pt idx="15">
                  <c:v>3.8812270355099994E-2</c:v>
                </c:pt>
                <c:pt idx="16">
                  <c:v>4.1707864380000001E-2</c:v>
                </c:pt>
                <c:pt idx="17">
                  <c:v>4.17123046875E-2</c:v>
                </c:pt>
                <c:pt idx="18">
                  <c:v>4.5334202194124998E-2</c:v>
                </c:pt>
                <c:pt idx="19">
                  <c:v>5.1164869308375001E-2</c:v>
                </c:pt>
                <c:pt idx="20">
                  <c:v>5.707954406725E-2</c:v>
                </c:pt>
                <c:pt idx="21">
                  <c:v>6.0254516601449995E-2</c:v>
                </c:pt>
                <c:pt idx="22">
                  <c:v>6.3578513717424998E-2</c:v>
                </c:pt>
                <c:pt idx="23">
                  <c:v>6.3544292449999998E-2</c:v>
                </c:pt>
                <c:pt idx="24">
                  <c:v>7.0902012634199985E-2</c:v>
                </c:pt>
                <c:pt idx="25">
                  <c:v>7.4140773391800002E-2</c:v>
                </c:pt>
                <c:pt idx="26">
                  <c:v>7.4077450561799998E-2</c:v>
                </c:pt>
                <c:pt idx="27">
                  <c:v>7.8973002433750009E-2</c:v>
                </c:pt>
                <c:pt idx="28">
                  <c:v>8.1245499974647709E-2</c:v>
                </c:pt>
                <c:pt idx="29">
                  <c:v>8.4883224487599995E-2</c:v>
                </c:pt>
                <c:pt idx="30">
                  <c:v>8.7653839683275003E-2</c:v>
                </c:pt>
                <c:pt idx="31">
                  <c:v>9.0806648063474993E-2</c:v>
                </c:pt>
                <c:pt idx="32">
                  <c:v>9.6534435081150005E-2</c:v>
                </c:pt>
                <c:pt idx="33">
                  <c:v>9.6464033889899992E-2</c:v>
                </c:pt>
                <c:pt idx="34">
                  <c:v>0.1055924903871</c:v>
                </c:pt>
                <c:pt idx="35">
                  <c:v>0.10831706886280001</c:v>
                </c:pt>
                <c:pt idx="36">
                  <c:v>0.10906385040300001</c:v>
                </c:pt>
                <c:pt idx="37">
                  <c:v>0.11297423439047499</c:v>
                </c:pt>
                <c:pt idx="38">
                  <c:v>0.11510107803380001</c:v>
                </c:pt>
                <c:pt idx="39">
                  <c:v>0.11719083595274998</c:v>
                </c:pt>
                <c:pt idx="40">
                  <c:v>0.12453249225560001</c:v>
                </c:pt>
                <c:pt idx="41">
                  <c:v>0.1228698122022</c:v>
                </c:pt>
                <c:pt idx="42">
                  <c:v>0.12702603340124999</c:v>
                </c:pt>
                <c:pt idx="43">
                  <c:v>0.12846733856190001</c:v>
                </c:pt>
                <c:pt idx="44">
                  <c:v>0.13185870819100001</c:v>
                </c:pt>
                <c:pt idx="45">
                  <c:v>0.13929797916345002</c:v>
                </c:pt>
                <c:pt idx="46">
                  <c:v>0.14465125064885001</c:v>
                </c:pt>
                <c:pt idx="47">
                  <c:v>0.13839268989520001</c:v>
                </c:pt>
                <c:pt idx="48">
                  <c:v>0.13903510742239999</c:v>
                </c:pt>
                <c:pt idx="49">
                  <c:v>0.14202500228952503</c:v>
                </c:pt>
                <c:pt idx="50">
                  <c:v>0.14029927291900002</c:v>
                </c:pt>
                <c:pt idx="51">
                  <c:v>0.13854116821320001</c:v>
                </c:pt>
                <c:pt idx="52">
                  <c:v>0.13697455902110001</c:v>
                </c:pt>
                <c:pt idx="53">
                  <c:v>0.14266427612400001</c:v>
                </c:pt>
              </c:numCache>
            </c:numRef>
          </c:xVal>
          <c:yVal>
            <c:numRef>
              <c:f>'888&amp;mask data'!$F$11:$F$64</c:f>
              <c:numCache>
                <c:formatCode>General</c:formatCode>
                <c:ptCount val="54"/>
                <c:pt idx="0">
                  <c:v>23.333328246999997</c:v>
                </c:pt>
                <c:pt idx="1">
                  <c:v>23.091766357000012</c:v>
                </c:pt>
                <c:pt idx="2">
                  <c:v>24.226821898999987</c:v>
                </c:pt>
                <c:pt idx="3">
                  <c:v>20.135437012000011</c:v>
                </c:pt>
                <c:pt idx="4">
                  <c:v>23.066635131999988</c:v>
                </c:pt>
                <c:pt idx="5">
                  <c:v>22.462097168000014</c:v>
                </c:pt>
                <c:pt idx="6">
                  <c:v>24.14576721200001</c:v>
                </c:pt>
                <c:pt idx="7">
                  <c:v>25.363906859999986</c:v>
                </c:pt>
                <c:pt idx="8">
                  <c:v>26.293823242000002</c:v>
                </c:pt>
                <c:pt idx="9">
                  <c:v>28.336929321000014</c:v>
                </c:pt>
                <c:pt idx="10">
                  <c:v>25.957778931000007</c:v>
                </c:pt>
                <c:pt idx="11">
                  <c:v>28.180633545000006</c:v>
                </c:pt>
                <c:pt idx="12">
                  <c:v>30.980133056999989</c:v>
                </c:pt>
                <c:pt idx="13">
                  <c:v>29.262741089000002</c:v>
                </c:pt>
                <c:pt idx="14">
                  <c:v>32.314880370999987</c:v>
                </c:pt>
                <c:pt idx="15">
                  <c:v>31.864471436000002</c:v>
                </c:pt>
                <c:pt idx="16">
                  <c:v>33.973785399999997</c:v>
                </c:pt>
                <c:pt idx="17">
                  <c:v>33.958984375</c:v>
                </c:pt>
                <c:pt idx="18">
                  <c:v>33.510147095000008</c:v>
                </c:pt>
                <c:pt idx="19">
                  <c:v>36.560348511000001</c:v>
                </c:pt>
                <c:pt idx="20">
                  <c:v>38.695190429999997</c:v>
                </c:pt>
                <c:pt idx="21">
                  <c:v>39.101074218999997</c:v>
                </c:pt>
                <c:pt idx="22">
                  <c:v>39.150497437000013</c:v>
                </c:pt>
                <c:pt idx="23">
                  <c:v>45.911415099999999</c:v>
                </c:pt>
                <c:pt idx="24">
                  <c:v>44.087249756000006</c:v>
                </c:pt>
                <c:pt idx="25">
                  <c:v>44.059524535999998</c:v>
                </c:pt>
                <c:pt idx="26">
                  <c:v>49.537582396999994</c:v>
                </c:pt>
                <c:pt idx="27">
                  <c:v>46.643196106000005</c:v>
                </c:pt>
                <c:pt idx="28">
                  <c:v>51.331085204999994</c:v>
                </c:pt>
                <c:pt idx="29">
                  <c:v>51.738250731999997</c:v>
                </c:pt>
                <c:pt idx="30">
                  <c:v>52.098152161000002</c:v>
                </c:pt>
                <c:pt idx="31">
                  <c:v>55.830131531000006</c:v>
                </c:pt>
                <c:pt idx="32">
                  <c:v>55.988563537999994</c:v>
                </c:pt>
                <c:pt idx="33">
                  <c:v>59.512901306000003</c:v>
                </c:pt>
                <c:pt idx="34">
                  <c:v>55.675010681000003</c:v>
                </c:pt>
                <c:pt idx="35">
                  <c:v>58.982032775999997</c:v>
                </c:pt>
                <c:pt idx="36">
                  <c:v>63.936149596999996</c:v>
                </c:pt>
                <c:pt idx="37">
                  <c:v>62.781234741000006</c:v>
                </c:pt>
                <c:pt idx="38">
                  <c:v>65.929229735999996</c:v>
                </c:pt>
                <c:pt idx="39">
                  <c:v>68.830368042000003</c:v>
                </c:pt>
                <c:pt idx="40">
                  <c:v>67.014900208</c:v>
                </c:pt>
                <c:pt idx="41">
                  <c:v>72.698112488000007</c:v>
                </c:pt>
                <c:pt idx="42">
                  <c:v>71.379173279</c:v>
                </c:pt>
                <c:pt idx="43">
                  <c:v>74.178970336999996</c:v>
                </c:pt>
                <c:pt idx="44">
                  <c:v>78.815208435000002</c:v>
                </c:pt>
                <c:pt idx="45">
                  <c:v>75.247032165999997</c:v>
                </c:pt>
                <c:pt idx="46">
                  <c:v>78.146720885999997</c:v>
                </c:pt>
                <c:pt idx="47">
                  <c:v>83.714393615999995</c:v>
                </c:pt>
                <c:pt idx="48">
                  <c:v>86.103057860999996</c:v>
                </c:pt>
                <c:pt idx="49">
                  <c:v>88.208953856999997</c:v>
                </c:pt>
                <c:pt idx="50">
                  <c:v>90.471015929999993</c:v>
                </c:pt>
                <c:pt idx="51">
                  <c:v>96.032684325999995</c:v>
                </c:pt>
                <c:pt idx="52">
                  <c:v>100.908126831</c:v>
                </c:pt>
                <c:pt idx="53">
                  <c:v>101.667861938</c:v>
                </c:pt>
              </c:numCache>
            </c:numRef>
          </c:yVal>
        </c:ser>
        <c:ser>
          <c:idx val="1"/>
          <c:order val="1"/>
          <c:tx>
            <c:v>Predicted Y</c:v>
          </c:tx>
          <c:spPr>
            <a:ln w="28575">
              <a:noFill/>
            </a:ln>
          </c:spPr>
          <c:xVal>
            <c:numRef>
              <c:f>'888&amp;mask data'!$G$11:$G$64</c:f>
              <c:numCache>
                <c:formatCode>General</c:formatCode>
                <c:ptCount val="54"/>
                <c:pt idx="0">
                  <c:v>3.7416667938249999E-3</c:v>
                </c:pt>
                <c:pt idx="1">
                  <c:v>0</c:v>
                </c:pt>
                <c:pt idx="2">
                  <c:v>3.7193294525250005E-3</c:v>
                </c:pt>
                <c:pt idx="3">
                  <c:v>3.8216140746999997E-3</c:v>
                </c:pt>
                <c:pt idx="4">
                  <c:v>7.4966682434000004E-3</c:v>
                </c:pt>
                <c:pt idx="5">
                  <c:v>3.7634475707999998E-3</c:v>
                </c:pt>
                <c:pt idx="6">
                  <c:v>1.0588053267842776E-2</c:v>
                </c:pt>
                <c:pt idx="7">
                  <c:v>1.4763609314000002E-2</c:v>
                </c:pt>
                <c:pt idx="8">
                  <c:v>1.46706176758E-2</c:v>
                </c:pt>
                <c:pt idx="9">
                  <c:v>1.8082883834874997E-2</c:v>
                </c:pt>
                <c:pt idx="10">
                  <c:v>2.2056333160349998E-2</c:v>
                </c:pt>
                <c:pt idx="11">
                  <c:v>2.5343389129624999E-2</c:v>
                </c:pt>
                <c:pt idx="12">
                  <c:v>2.4853476715025E-2</c:v>
                </c:pt>
                <c:pt idx="13">
                  <c:v>2.8747451782199999E-2</c:v>
                </c:pt>
                <c:pt idx="14">
                  <c:v>3.5171279907250004E-2</c:v>
                </c:pt>
                <c:pt idx="15">
                  <c:v>3.8812270355099994E-2</c:v>
                </c:pt>
                <c:pt idx="16">
                  <c:v>4.1707864380000001E-2</c:v>
                </c:pt>
                <c:pt idx="17">
                  <c:v>4.17123046875E-2</c:v>
                </c:pt>
                <c:pt idx="18">
                  <c:v>4.5334202194124998E-2</c:v>
                </c:pt>
                <c:pt idx="19">
                  <c:v>5.1164869308375001E-2</c:v>
                </c:pt>
                <c:pt idx="20">
                  <c:v>5.707954406725E-2</c:v>
                </c:pt>
                <c:pt idx="21">
                  <c:v>6.0254516601449995E-2</c:v>
                </c:pt>
                <c:pt idx="22">
                  <c:v>6.3578513717424998E-2</c:v>
                </c:pt>
                <c:pt idx="23">
                  <c:v>6.3544292449999998E-2</c:v>
                </c:pt>
                <c:pt idx="24">
                  <c:v>7.0902012634199985E-2</c:v>
                </c:pt>
                <c:pt idx="25">
                  <c:v>7.4140773391800002E-2</c:v>
                </c:pt>
                <c:pt idx="26">
                  <c:v>7.4077450561799998E-2</c:v>
                </c:pt>
                <c:pt idx="27">
                  <c:v>7.8973002433750009E-2</c:v>
                </c:pt>
                <c:pt idx="28">
                  <c:v>8.1245499974647709E-2</c:v>
                </c:pt>
                <c:pt idx="29">
                  <c:v>8.4883224487599995E-2</c:v>
                </c:pt>
                <c:pt idx="30">
                  <c:v>8.7653839683275003E-2</c:v>
                </c:pt>
                <c:pt idx="31">
                  <c:v>9.0806648063474993E-2</c:v>
                </c:pt>
                <c:pt idx="32">
                  <c:v>9.6534435081150005E-2</c:v>
                </c:pt>
                <c:pt idx="33">
                  <c:v>9.6464033889899992E-2</c:v>
                </c:pt>
                <c:pt idx="34">
                  <c:v>0.1055924903871</c:v>
                </c:pt>
                <c:pt idx="35">
                  <c:v>0.10831706886280001</c:v>
                </c:pt>
                <c:pt idx="36">
                  <c:v>0.10906385040300001</c:v>
                </c:pt>
                <c:pt idx="37">
                  <c:v>0.11297423439047499</c:v>
                </c:pt>
                <c:pt idx="38">
                  <c:v>0.11510107803380001</c:v>
                </c:pt>
                <c:pt idx="39">
                  <c:v>0.11719083595274998</c:v>
                </c:pt>
                <c:pt idx="40">
                  <c:v>0.12453249225560001</c:v>
                </c:pt>
                <c:pt idx="41">
                  <c:v>0.1228698122022</c:v>
                </c:pt>
                <c:pt idx="42">
                  <c:v>0.12702603340124999</c:v>
                </c:pt>
                <c:pt idx="43">
                  <c:v>0.12846733856190001</c:v>
                </c:pt>
                <c:pt idx="44">
                  <c:v>0.13185870819100001</c:v>
                </c:pt>
                <c:pt idx="45">
                  <c:v>0.13929797916345002</c:v>
                </c:pt>
                <c:pt idx="46">
                  <c:v>0.14465125064885001</c:v>
                </c:pt>
                <c:pt idx="47">
                  <c:v>0.13839268989520001</c:v>
                </c:pt>
                <c:pt idx="48">
                  <c:v>0.13903510742239999</c:v>
                </c:pt>
                <c:pt idx="49">
                  <c:v>0.14202500228952503</c:v>
                </c:pt>
                <c:pt idx="50">
                  <c:v>0.14029927291900002</c:v>
                </c:pt>
                <c:pt idx="51">
                  <c:v>0.13854116821320001</c:v>
                </c:pt>
                <c:pt idx="52">
                  <c:v>0.13697455902110001</c:v>
                </c:pt>
                <c:pt idx="53">
                  <c:v>0.14266427612400001</c:v>
                </c:pt>
              </c:numCache>
            </c:numRef>
          </c:xVal>
          <c:yVal>
            <c:numRef>
              <c:f>Regression!$B$26:$B$79</c:f>
              <c:numCache>
                <c:formatCode>General</c:formatCode>
                <c:ptCount val="54"/>
                <c:pt idx="0">
                  <c:v>23.024642869440214</c:v>
                </c:pt>
                <c:pt idx="1">
                  <c:v>22.016113787993127</c:v>
                </c:pt>
                <c:pt idx="2">
                  <c:v>23.018661295801159</c:v>
                </c:pt>
                <c:pt idx="3">
                  <c:v>23.046051440020467</c:v>
                </c:pt>
                <c:pt idx="4">
                  <c:v>24.049886917394147</c:v>
                </c:pt>
                <c:pt idx="5">
                  <c:v>23.030475404281407</c:v>
                </c:pt>
                <c:pt idx="6">
                  <c:v>24.904623391838282</c:v>
                </c:pt>
                <c:pt idx="7">
                  <c:v>26.074719535349875</c:v>
                </c:pt>
                <c:pt idx="8">
                  <c:v>26.049817899822202</c:v>
                </c:pt>
                <c:pt idx="9">
                  <c:v>27.022715551486563</c:v>
                </c:pt>
                <c:pt idx="10">
                  <c:v>28.159033015390719</c:v>
                </c:pt>
                <c:pt idx="11">
                  <c:v>29.124689760639498</c:v>
                </c:pt>
                <c:pt idx="12">
                  <c:v>28.993499251202369</c:v>
                </c:pt>
                <c:pt idx="13">
                  <c:v>30.134823141018625</c:v>
                </c:pt>
                <c:pt idx="14">
                  <c:v>32.091613913120796</c:v>
                </c:pt>
                <c:pt idx="15">
                  <c:v>33.204625164361879</c:v>
                </c:pt>
                <c:pt idx="16">
                  <c:v>34.131175643398024</c:v>
                </c:pt>
                <c:pt idx="17">
                  <c:v>34.132364684919779</c:v>
                </c:pt>
                <c:pt idx="18">
                  <c:v>35.26655148845451</c:v>
                </c:pt>
                <c:pt idx="19">
                  <c:v>37.195945114491501</c:v>
                </c:pt>
                <c:pt idx="20">
                  <c:v>39.200411267535713</c:v>
                </c:pt>
                <c:pt idx="21">
                  <c:v>40.280639715610896</c:v>
                </c:pt>
                <c:pt idx="22">
                  <c:v>41.413918666893395</c:v>
                </c:pt>
                <c:pt idx="23">
                  <c:v>41.661065978597961</c:v>
                </c:pt>
                <c:pt idx="24">
                  <c:v>44.183397672770795</c:v>
                </c:pt>
                <c:pt idx="25">
                  <c:v>45.346428382876098</c:v>
                </c:pt>
                <c:pt idx="26">
                  <c:v>45.638359431035987</c:v>
                </c:pt>
                <c:pt idx="27">
                  <c:v>47.27133995686723</c:v>
                </c:pt>
                <c:pt idx="28">
                  <c:v>48.461132881138099</c:v>
                </c:pt>
                <c:pt idx="29">
                  <c:v>49.898961557653365</c:v>
                </c:pt>
                <c:pt idx="30">
                  <c:v>51.015495550878406</c:v>
                </c:pt>
                <c:pt idx="31">
                  <c:v>52.648415789138149</c:v>
                </c:pt>
                <c:pt idx="32">
                  <c:v>55.02344973116714</c:v>
                </c:pt>
                <c:pt idx="33">
                  <c:v>55.444926954303227</c:v>
                </c:pt>
                <c:pt idx="34">
                  <c:v>58.809469394017242</c:v>
                </c:pt>
                <c:pt idx="35">
                  <c:v>60.511734989006897</c:v>
                </c:pt>
                <c:pt idx="36">
                  <c:v>61.736955660689198</c:v>
                </c:pt>
                <c:pt idx="37">
                  <c:v>63.316431015516073</c:v>
                </c:pt>
                <c:pt idx="38">
                  <c:v>64.990074670039334</c:v>
                </c:pt>
                <c:pt idx="39">
                  <c:v>66.706364033438334</c:v>
                </c:pt>
                <c:pt idx="40">
                  <c:v>69.881602303777669</c:v>
                </c:pt>
                <c:pt idx="41">
                  <c:v>70.698203638202799</c:v>
                </c:pt>
                <c:pt idx="42">
                  <c:v>72.461807645865761</c:v>
                </c:pt>
                <c:pt idx="43">
                  <c:v>74.188470297684674</c:v>
                </c:pt>
                <c:pt idx="44">
                  <c:v>77.935762972475018</c:v>
                </c:pt>
                <c:pt idx="45">
                  <c:v>80.670523014039432</c:v>
                </c:pt>
                <c:pt idx="46">
                  <c:v>85.206064116286484</c:v>
                </c:pt>
                <c:pt idx="47">
                  <c:v>84.338490305644825</c:v>
                </c:pt>
                <c:pt idx="48">
                  <c:v>86.166683897668321</c:v>
                </c:pt>
                <c:pt idx="49">
                  <c:v>89.550157010055187</c:v>
                </c:pt>
                <c:pt idx="50">
                  <c:v>89.975266085973487</c:v>
                </c:pt>
                <c:pt idx="51">
                  <c:v>93.184840513628046</c:v>
                </c:pt>
                <c:pt idx="52">
                  <c:v>96.656000929518711</c:v>
                </c:pt>
                <c:pt idx="53">
                  <c:v>102.28059314458012</c:v>
                </c:pt>
              </c:numCache>
            </c:numRef>
          </c:yVal>
        </c:ser>
        <c:axId val="88849792"/>
        <c:axId val="88868352"/>
      </c:scatterChart>
      <c:valAx>
        <c:axId val="88849792"/>
        <c:scaling>
          <c:orientation val="minMax"/>
        </c:scaling>
        <c:axPos val="b"/>
        <c:title>
          <c:tx>
            <c:rich>
              <a:bodyPr/>
              <a:lstStyle/>
              <a:p>
                <a:pPr>
                  <a:defRPr/>
                </a:pPr>
                <a:r>
                  <a:rPr lang="en-US"/>
                  <a:t>X Variable 1</a:t>
                </a:r>
              </a:p>
            </c:rich>
          </c:tx>
        </c:title>
        <c:numFmt formatCode="General" sourceLinked="1"/>
        <c:tickLblPos val="nextTo"/>
        <c:crossAx val="88868352"/>
        <c:crosses val="autoZero"/>
        <c:crossBetween val="midCat"/>
      </c:valAx>
      <c:valAx>
        <c:axId val="88868352"/>
        <c:scaling>
          <c:orientation val="minMax"/>
        </c:scaling>
        <c:axPos val="l"/>
        <c:title>
          <c:tx>
            <c:rich>
              <a:bodyPr/>
              <a:lstStyle/>
              <a:p>
                <a:pPr>
                  <a:defRPr/>
                </a:pPr>
                <a:r>
                  <a:rPr lang="en-US"/>
                  <a:t>Y</a:t>
                </a:r>
              </a:p>
            </c:rich>
          </c:tx>
        </c:title>
        <c:numFmt formatCode="General" sourceLinked="1"/>
        <c:tickLblPos val="nextTo"/>
        <c:crossAx val="88849792"/>
        <c:crosses val="autoZero"/>
        <c:crossBetween val="midCat"/>
      </c:valAx>
    </c:plotArea>
    <c:legend>
      <c:legendPos val="r"/>
    </c:legend>
    <c:plotVisOnly val="1"/>
  </c:chart>
  <c:printSettings>
    <c:headerFooter/>
    <c:pageMargins b="0.75000000000000033" l="0.70000000000000029" r="0.70000000000000029" t="0.75000000000000033" header="0.30000000000000016" footer="0.3000000000000001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2 Line Fit  Plot</a:t>
            </a:r>
          </a:p>
        </c:rich>
      </c:tx>
    </c:title>
    <c:plotArea>
      <c:layout/>
      <c:scatterChart>
        <c:scatterStyle val="lineMarker"/>
        <c:ser>
          <c:idx val="0"/>
          <c:order val="0"/>
          <c:tx>
            <c:v>Y</c:v>
          </c:tx>
          <c:spPr>
            <a:ln w="28575">
              <a:noFill/>
            </a:ln>
          </c:spPr>
          <c:xVal>
            <c:numRef>
              <c:f>'888&amp;mask data'!$H$11:$H$64</c:f>
              <c:numCache>
                <c:formatCode>General</c:formatCode>
                <c:ptCount val="54"/>
                <c:pt idx="0">
                  <c:v>1.0000000000000001E-5</c:v>
                </c:pt>
                <c:pt idx="1">
                  <c:v>0</c:v>
                </c:pt>
                <c:pt idx="2">
                  <c:v>1.0000000000000001E-5</c:v>
                </c:pt>
                <c:pt idx="3">
                  <c:v>1.0000000000000001E-5</c:v>
                </c:pt>
                <c:pt idx="4">
                  <c:v>4.0000000000000003E-5</c:v>
                </c:pt>
                <c:pt idx="5">
                  <c:v>1.0000000000000001E-5</c:v>
                </c:pt>
                <c:pt idx="6">
                  <c:v>8.0952420798489336E-5</c:v>
                </c:pt>
                <c:pt idx="7">
                  <c:v>1.6000000000000001E-4</c:v>
                </c:pt>
                <c:pt idx="8">
                  <c:v>1.6000000000000001E-4</c:v>
                </c:pt>
                <c:pt idx="9">
                  <c:v>2.5000000000000001E-4</c:v>
                </c:pt>
                <c:pt idx="10">
                  <c:v>3.6000000000000002E-4</c:v>
                </c:pt>
                <c:pt idx="11">
                  <c:v>4.8999999999999998E-4</c:v>
                </c:pt>
                <c:pt idx="12">
                  <c:v>4.8999999999999998E-4</c:v>
                </c:pt>
                <c:pt idx="13">
                  <c:v>6.4000000000000005E-4</c:v>
                </c:pt>
                <c:pt idx="14">
                  <c:v>1E-3</c:v>
                </c:pt>
                <c:pt idx="15">
                  <c:v>1.2099999999999999E-3</c:v>
                </c:pt>
                <c:pt idx="16">
                  <c:v>1.4400000000000001E-3</c:v>
                </c:pt>
                <c:pt idx="17">
                  <c:v>1.4400000000000001E-3</c:v>
                </c:pt>
                <c:pt idx="18">
                  <c:v>1.6900000000000001E-3</c:v>
                </c:pt>
                <c:pt idx="19">
                  <c:v>2.2499999999999998E-3</c:v>
                </c:pt>
                <c:pt idx="20">
                  <c:v>2.8900000000000002E-3</c:v>
                </c:pt>
                <c:pt idx="21">
                  <c:v>3.2399999999999998E-3</c:v>
                </c:pt>
                <c:pt idx="22">
                  <c:v>3.6099999999999999E-3</c:v>
                </c:pt>
                <c:pt idx="23">
                  <c:v>4.0000000000000001E-3</c:v>
                </c:pt>
                <c:pt idx="24">
                  <c:v>4.8399999999999997E-3</c:v>
                </c:pt>
                <c:pt idx="25">
                  <c:v>5.2900000000000004E-3</c:v>
                </c:pt>
                <c:pt idx="26">
                  <c:v>5.7600000000000004E-3</c:v>
                </c:pt>
                <c:pt idx="27">
                  <c:v>6.2500000000000003E-3</c:v>
                </c:pt>
                <c:pt idx="28">
                  <c:v>7.1344310477234442E-3</c:v>
                </c:pt>
                <c:pt idx="29">
                  <c:v>7.8399999999999997E-3</c:v>
                </c:pt>
                <c:pt idx="30">
                  <c:v>8.4100000000000008E-3</c:v>
                </c:pt>
                <c:pt idx="31">
                  <c:v>9.6100000000000005E-3</c:v>
                </c:pt>
                <c:pt idx="32">
                  <c:v>1.089E-2</c:v>
                </c:pt>
                <c:pt idx="33">
                  <c:v>1.1560000000000001E-2</c:v>
                </c:pt>
                <c:pt idx="34">
                  <c:v>1.2959999999999999E-2</c:v>
                </c:pt>
                <c:pt idx="35">
                  <c:v>1.444E-2</c:v>
                </c:pt>
                <c:pt idx="36">
                  <c:v>1.6E-2</c:v>
                </c:pt>
                <c:pt idx="37">
                  <c:v>1.6809999999999999E-2</c:v>
                </c:pt>
                <c:pt idx="38">
                  <c:v>1.8489999999999999E-2</c:v>
                </c:pt>
                <c:pt idx="39">
                  <c:v>2.0250000000000001E-2</c:v>
                </c:pt>
                <c:pt idx="40">
                  <c:v>2.2089999999999999E-2</c:v>
                </c:pt>
                <c:pt idx="41">
                  <c:v>2.401E-2</c:v>
                </c:pt>
                <c:pt idx="42">
                  <c:v>2.5000000000000001E-2</c:v>
                </c:pt>
                <c:pt idx="43">
                  <c:v>2.7040000000000002E-2</c:v>
                </c:pt>
                <c:pt idx="44">
                  <c:v>3.1359999999999999E-2</c:v>
                </c:pt>
                <c:pt idx="45">
                  <c:v>3.2489999999999998E-2</c:v>
                </c:pt>
                <c:pt idx="46">
                  <c:v>3.721E-2</c:v>
                </c:pt>
                <c:pt idx="47">
                  <c:v>3.8440000000000002E-2</c:v>
                </c:pt>
                <c:pt idx="48">
                  <c:v>4.0960000000000003E-2</c:v>
                </c:pt>
                <c:pt idx="49">
                  <c:v>4.4889999999999999E-2</c:v>
                </c:pt>
                <c:pt idx="50">
                  <c:v>4.6240000000000003E-2</c:v>
                </c:pt>
                <c:pt idx="51">
                  <c:v>5.1839999999999997E-2</c:v>
                </c:pt>
                <c:pt idx="52">
                  <c:v>5.7759999999999999E-2</c:v>
                </c:pt>
                <c:pt idx="53">
                  <c:v>6.4000000000000001E-2</c:v>
                </c:pt>
              </c:numCache>
            </c:numRef>
          </c:xVal>
          <c:yVal>
            <c:numRef>
              <c:f>'888&amp;mask data'!$F$11:$F$64</c:f>
              <c:numCache>
                <c:formatCode>General</c:formatCode>
                <c:ptCount val="54"/>
                <c:pt idx="0">
                  <c:v>23.333328246999997</c:v>
                </c:pt>
                <c:pt idx="1">
                  <c:v>23.091766357000012</c:v>
                </c:pt>
                <c:pt idx="2">
                  <c:v>24.226821898999987</c:v>
                </c:pt>
                <c:pt idx="3">
                  <c:v>20.135437012000011</c:v>
                </c:pt>
                <c:pt idx="4">
                  <c:v>23.066635131999988</c:v>
                </c:pt>
                <c:pt idx="5">
                  <c:v>22.462097168000014</c:v>
                </c:pt>
                <c:pt idx="6">
                  <c:v>24.14576721200001</c:v>
                </c:pt>
                <c:pt idx="7">
                  <c:v>25.363906859999986</c:v>
                </c:pt>
                <c:pt idx="8">
                  <c:v>26.293823242000002</c:v>
                </c:pt>
                <c:pt idx="9">
                  <c:v>28.336929321000014</c:v>
                </c:pt>
                <c:pt idx="10">
                  <c:v>25.957778931000007</c:v>
                </c:pt>
                <c:pt idx="11">
                  <c:v>28.180633545000006</c:v>
                </c:pt>
                <c:pt idx="12">
                  <c:v>30.980133056999989</c:v>
                </c:pt>
                <c:pt idx="13">
                  <c:v>29.262741089000002</c:v>
                </c:pt>
                <c:pt idx="14">
                  <c:v>32.314880370999987</c:v>
                </c:pt>
                <c:pt idx="15">
                  <c:v>31.864471436000002</c:v>
                </c:pt>
                <c:pt idx="16">
                  <c:v>33.973785399999997</c:v>
                </c:pt>
                <c:pt idx="17">
                  <c:v>33.958984375</c:v>
                </c:pt>
                <c:pt idx="18">
                  <c:v>33.510147095000008</c:v>
                </c:pt>
                <c:pt idx="19">
                  <c:v>36.560348511000001</c:v>
                </c:pt>
                <c:pt idx="20">
                  <c:v>38.695190429999997</c:v>
                </c:pt>
                <c:pt idx="21">
                  <c:v>39.101074218999997</c:v>
                </c:pt>
                <c:pt idx="22">
                  <c:v>39.150497437000013</c:v>
                </c:pt>
                <c:pt idx="23">
                  <c:v>45.911415099999999</c:v>
                </c:pt>
                <c:pt idx="24">
                  <c:v>44.087249756000006</c:v>
                </c:pt>
                <c:pt idx="25">
                  <c:v>44.059524535999998</c:v>
                </c:pt>
                <c:pt idx="26">
                  <c:v>49.537582396999994</c:v>
                </c:pt>
                <c:pt idx="27">
                  <c:v>46.643196106000005</c:v>
                </c:pt>
                <c:pt idx="28">
                  <c:v>51.331085204999994</c:v>
                </c:pt>
                <c:pt idx="29">
                  <c:v>51.738250731999997</c:v>
                </c:pt>
                <c:pt idx="30">
                  <c:v>52.098152161000002</c:v>
                </c:pt>
                <c:pt idx="31">
                  <c:v>55.830131531000006</c:v>
                </c:pt>
                <c:pt idx="32">
                  <c:v>55.988563537999994</c:v>
                </c:pt>
                <c:pt idx="33">
                  <c:v>59.512901306000003</c:v>
                </c:pt>
                <c:pt idx="34">
                  <c:v>55.675010681000003</c:v>
                </c:pt>
                <c:pt idx="35">
                  <c:v>58.982032775999997</c:v>
                </c:pt>
                <c:pt idx="36">
                  <c:v>63.936149596999996</c:v>
                </c:pt>
                <c:pt idx="37">
                  <c:v>62.781234741000006</c:v>
                </c:pt>
                <c:pt idx="38">
                  <c:v>65.929229735999996</c:v>
                </c:pt>
                <c:pt idx="39">
                  <c:v>68.830368042000003</c:v>
                </c:pt>
                <c:pt idx="40">
                  <c:v>67.014900208</c:v>
                </c:pt>
                <c:pt idx="41">
                  <c:v>72.698112488000007</c:v>
                </c:pt>
                <c:pt idx="42">
                  <c:v>71.379173279</c:v>
                </c:pt>
                <c:pt idx="43">
                  <c:v>74.178970336999996</c:v>
                </c:pt>
                <c:pt idx="44">
                  <c:v>78.815208435000002</c:v>
                </c:pt>
                <c:pt idx="45">
                  <c:v>75.247032165999997</c:v>
                </c:pt>
                <c:pt idx="46">
                  <c:v>78.146720885999997</c:v>
                </c:pt>
                <c:pt idx="47">
                  <c:v>83.714393615999995</c:v>
                </c:pt>
                <c:pt idx="48">
                  <c:v>86.103057860999996</c:v>
                </c:pt>
                <c:pt idx="49">
                  <c:v>88.208953856999997</c:v>
                </c:pt>
                <c:pt idx="50">
                  <c:v>90.471015929999993</c:v>
                </c:pt>
                <c:pt idx="51">
                  <c:v>96.032684325999995</c:v>
                </c:pt>
                <c:pt idx="52">
                  <c:v>100.908126831</c:v>
                </c:pt>
                <c:pt idx="53">
                  <c:v>101.667861938</c:v>
                </c:pt>
              </c:numCache>
            </c:numRef>
          </c:yVal>
        </c:ser>
        <c:ser>
          <c:idx val="1"/>
          <c:order val="1"/>
          <c:tx>
            <c:v>Predicted Y</c:v>
          </c:tx>
          <c:spPr>
            <a:ln w="28575">
              <a:noFill/>
            </a:ln>
          </c:spPr>
          <c:xVal>
            <c:numRef>
              <c:f>'888&amp;mask data'!$H$11:$H$64</c:f>
              <c:numCache>
                <c:formatCode>General</c:formatCode>
                <c:ptCount val="54"/>
                <c:pt idx="0">
                  <c:v>1.0000000000000001E-5</c:v>
                </c:pt>
                <c:pt idx="1">
                  <c:v>0</c:v>
                </c:pt>
                <c:pt idx="2">
                  <c:v>1.0000000000000001E-5</c:v>
                </c:pt>
                <c:pt idx="3">
                  <c:v>1.0000000000000001E-5</c:v>
                </c:pt>
                <c:pt idx="4">
                  <c:v>4.0000000000000003E-5</c:v>
                </c:pt>
                <c:pt idx="5">
                  <c:v>1.0000000000000001E-5</c:v>
                </c:pt>
                <c:pt idx="6">
                  <c:v>8.0952420798489336E-5</c:v>
                </c:pt>
                <c:pt idx="7">
                  <c:v>1.6000000000000001E-4</c:v>
                </c:pt>
                <c:pt idx="8">
                  <c:v>1.6000000000000001E-4</c:v>
                </c:pt>
                <c:pt idx="9">
                  <c:v>2.5000000000000001E-4</c:v>
                </c:pt>
                <c:pt idx="10">
                  <c:v>3.6000000000000002E-4</c:v>
                </c:pt>
                <c:pt idx="11">
                  <c:v>4.8999999999999998E-4</c:v>
                </c:pt>
                <c:pt idx="12">
                  <c:v>4.8999999999999998E-4</c:v>
                </c:pt>
                <c:pt idx="13">
                  <c:v>6.4000000000000005E-4</c:v>
                </c:pt>
                <c:pt idx="14">
                  <c:v>1E-3</c:v>
                </c:pt>
                <c:pt idx="15">
                  <c:v>1.2099999999999999E-3</c:v>
                </c:pt>
                <c:pt idx="16">
                  <c:v>1.4400000000000001E-3</c:v>
                </c:pt>
                <c:pt idx="17">
                  <c:v>1.4400000000000001E-3</c:v>
                </c:pt>
                <c:pt idx="18">
                  <c:v>1.6900000000000001E-3</c:v>
                </c:pt>
                <c:pt idx="19">
                  <c:v>2.2499999999999998E-3</c:v>
                </c:pt>
                <c:pt idx="20">
                  <c:v>2.8900000000000002E-3</c:v>
                </c:pt>
                <c:pt idx="21">
                  <c:v>3.2399999999999998E-3</c:v>
                </c:pt>
                <c:pt idx="22">
                  <c:v>3.6099999999999999E-3</c:v>
                </c:pt>
                <c:pt idx="23">
                  <c:v>4.0000000000000001E-3</c:v>
                </c:pt>
                <c:pt idx="24">
                  <c:v>4.8399999999999997E-3</c:v>
                </c:pt>
                <c:pt idx="25">
                  <c:v>5.2900000000000004E-3</c:v>
                </c:pt>
                <c:pt idx="26">
                  <c:v>5.7600000000000004E-3</c:v>
                </c:pt>
                <c:pt idx="27">
                  <c:v>6.2500000000000003E-3</c:v>
                </c:pt>
                <c:pt idx="28">
                  <c:v>7.1344310477234442E-3</c:v>
                </c:pt>
                <c:pt idx="29">
                  <c:v>7.8399999999999997E-3</c:v>
                </c:pt>
                <c:pt idx="30">
                  <c:v>8.4100000000000008E-3</c:v>
                </c:pt>
                <c:pt idx="31">
                  <c:v>9.6100000000000005E-3</c:v>
                </c:pt>
                <c:pt idx="32">
                  <c:v>1.089E-2</c:v>
                </c:pt>
                <c:pt idx="33">
                  <c:v>1.1560000000000001E-2</c:v>
                </c:pt>
                <c:pt idx="34">
                  <c:v>1.2959999999999999E-2</c:v>
                </c:pt>
                <c:pt idx="35">
                  <c:v>1.444E-2</c:v>
                </c:pt>
                <c:pt idx="36">
                  <c:v>1.6E-2</c:v>
                </c:pt>
                <c:pt idx="37">
                  <c:v>1.6809999999999999E-2</c:v>
                </c:pt>
                <c:pt idx="38">
                  <c:v>1.8489999999999999E-2</c:v>
                </c:pt>
                <c:pt idx="39">
                  <c:v>2.0250000000000001E-2</c:v>
                </c:pt>
                <c:pt idx="40">
                  <c:v>2.2089999999999999E-2</c:v>
                </c:pt>
                <c:pt idx="41">
                  <c:v>2.401E-2</c:v>
                </c:pt>
                <c:pt idx="42">
                  <c:v>2.5000000000000001E-2</c:v>
                </c:pt>
                <c:pt idx="43">
                  <c:v>2.7040000000000002E-2</c:v>
                </c:pt>
                <c:pt idx="44">
                  <c:v>3.1359999999999999E-2</c:v>
                </c:pt>
                <c:pt idx="45">
                  <c:v>3.2489999999999998E-2</c:v>
                </c:pt>
                <c:pt idx="46">
                  <c:v>3.721E-2</c:v>
                </c:pt>
                <c:pt idx="47">
                  <c:v>3.8440000000000002E-2</c:v>
                </c:pt>
                <c:pt idx="48">
                  <c:v>4.0960000000000003E-2</c:v>
                </c:pt>
                <c:pt idx="49">
                  <c:v>4.4889999999999999E-2</c:v>
                </c:pt>
                <c:pt idx="50">
                  <c:v>4.6240000000000003E-2</c:v>
                </c:pt>
                <c:pt idx="51">
                  <c:v>5.1839999999999997E-2</c:v>
                </c:pt>
                <c:pt idx="52">
                  <c:v>5.7759999999999999E-2</c:v>
                </c:pt>
                <c:pt idx="53">
                  <c:v>6.4000000000000001E-2</c:v>
                </c:pt>
              </c:numCache>
            </c:numRef>
          </c:xVal>
          <c:yVal>
            <c:numRef>
              <c:f>Regression!$B$26:$B$79</c:f>
              <c:numCache>
                <c:formatCode>General</c:formatCode>
                <c:ptCount val="54"/>
                <c:pt idx="0">
                  <c:v>23.024642869440214</c:v>
                </c:pt>
                <c:pt idx="1">
                  <c:v>22.016113787993127</c:v>
                </c:pt>
                <c:pt idx="2">
                  <c:v>23.018661295801159</c:v>
                </c:pt>
                <c:pt idx="3">
                  <c:v>23.046051440020467</c:v>
                </c:pt>
                <c:pt idx="4">
                  <c:v>24.049886917394147</c:v>
                </c:pt>
                <c:pt idx="5">
                  <c:v>23.030475404281407</c:v>
                </c:pt>
                <c:pt idx="6">
                  <c:v>24.904623391838282</c:v>
                </c:pt>
                <c:pt idx="7">
                  <c:v>26.074719535349875</c:v>
                </c:pt>
                <c:pt idx="8">
                  <c:v>26.049817899822202</c:v>
                </c:pt>
                <c:pt idx="9">
                  <c:v>27.022715551486563</c:v>
                </c:pt>
                <c:pt idx="10">
                  <c:v>28.159033015390719</c:v>
                </c:pt>
                <c:pt idx="11">
                  <c:v>29.124689760639498</c:v>
                </c:pt>
                <c:pt idx="12">
                  <c:v>28.993499251202369</c:v>
                </c:pt>
                <c:pt idx="13">
                  <c:v>30.134823141018625</c:v>
                </c:pt>
                <c:pt idx="14">
                  <c:v>32.091613913120796</c:v>
                </c:pt>
                <c:pt idx="15">
                  <c:v>33.204625164361879</c:v>
                </c:pt>
                <c:pt idx="16">
                  <c:v>34.131175643398024</c:v>
                </c:pt>
                <c:pt idx="17">
                  <c:v>34.132364684919779</c:v>
                </c:pt>
                <c:pt idx="18">
                  <c:v>35.26655148845451</c:v>
                </c:pt>
                <c:pt idx="19">
                  <c:v>37.195945114491501</c:v>
                </c:pt>
                <c:pt idx="20">
                  <c:v>39.200411267535713</c:v>
                </c:pt>
                <c:pt idx="21">
                  <c:v>40.280639715610896</c:v>
                </c:pt>
                <c:pt idx="22">
                  <c:v>41.413918666893395</c:v>
                </c:pt>
                <c:pt idx="23">
                  <c:v>41.661065978597961</c:v>
                </c:pt>
                <c:pt idx="24">
                  <c:v>44.183397672770795</c:v>
                </c:pt>
                <c:pt idx="25">
                  <c:v>45.346428382876098</c:v>
                </c:pt>
                <c:pt idx="26">
                  <c:v>45.638359431035987</c:v>
                </c:pt>
                <c:pt idx="27">
                  <c:v>47.27133995686723</c:v>
                </c:pt>
                <c:pt idx="28">
                  <c:v>48.461132881138099</c:v>
                </c:pt>
                <c:pt idx="29">
                  <c:v>49.898961557653365</c:v>
                </c:pt>
                <c:pt idx="30">
                  <c:v>51.015495550878406</c:v>
                </c:pt>
                <c:pt idx="31">
                  <c:v>52.648415789138149</c:v>
                </c:pt>
                <c:pt idx="32">
                  <c:v>55.02344973116714</c:v>
                </c:pt>
                <c:pt idx="33">
                  <c:v>55.444926954303227</c:v>
                </c:pt>
                <c:pt idx="34">
                  <c:v>58.809469394017242</c:v>
                </c:pt>
                <c:pt idx="35">
                  <c:v>60.511734989006897</c:v>
                </c:pt>
                <c:pt idx="36">
                  <c:v>61.736955660689198</c:v>
                </c:pt>
                <c:pt idx="37">
                  <c:v>63.316431015516073</c:v>
                </c:pt>
                <c:pt idx="38">
                  <c:v>64.990074670039334</c:v>
                </c:pt>
                <c:pt idx="39">
                  <c:v>66.706364033438334</c:v>
                </c:pt>
                <c:pt idx="40">
                  <c:v>69.881602303777669</c:v>
                </c:pt>
                <c:pt idx="41">
                  <c:v>70.698203638202799</c:v>
                </c:pt>
                <c:pt idx="42">
                  <c:v>72.461807645865761</c:v>
                </c:pt>
                <c:pt idx="43">
                  <c:v>74.188470297684674</c:v>
                </c:pt>
                <c:pt idx="44">
                  <c:v>77.935762972475018</c:v>
                </c:pt>
                <c:pt idx="45">
                  <c:v>80.670523014039432</c:v>
                </c:pt>
                <c:pt idx="46">
                  <c:v>85.206064116286484</c:v>
                </c:pt>
                <c:pt idx="47">
                  <c:v>84.338490305644825</c:v>
                </c:pt>
                <c:pt idx="48">
                  <c:v>86.166683897668321</c:v>
                </c:pt>
                <c:pt idx="49">
                  <c:v>89.550157010055187</c:v>
                </c:pt>
                <c:pt idx="50">
                  <c:v>89.975266085973487</c:v>
                </c:pt>
                <c:pt idx="51">
                  <c:v>93.184840513628046</c:v>
                </c:pt>
                <c:pt idx="52">
                  <c:v>96.656000929518711</c:v>
                </c:pt>
                <c:pt idx="53">
                  <c:v>102.28059314458012</c:v>
                </c:pt>
              </c:numCache>
            </c:numRef>
          </c:yVal>
        </c:ser>
        <c:axId val="88897792"/>
        <c:axId val="88908160"/>
      </c:scatterChart>
      <c:valAx>
        <c:axId val="88897792"/>
        <c:scaling>
          <c:orientation val="minMax"/>
        </c:scaling>
        <c:axPos val="b"/>
        <c:title>
          <c:tx>
            <c:rich>
              <a:bodyPr/>
              <a:lstStyle/>
              <a:p>
                <a:pPr>
                  <a:defRPr/>
                </a:pPr>
                <a:r>
                  <a:rPr lang="en-US"/>
                  <a:t>X Variable 2</a:t>
                </a:r>
              </a:p>
            </c:rich>
          </c:tx>
        </c:title>
        <c:numFmt formatCode="General" sourceLinked="1"/>
        <c:tickLblPos val="nextTo"/>
        <c:crossAx val="88908160"/>
        <c:crosses val="autoZero"/>
        <c:crossBetween val="midCat"/>
      </c:valAx>
      <c:valAx>
        <c:axId val="88908160"/>
        <c:scaling>
          <c:orientation val="minMax"/>
        </c:scaling>
        <c:axPos val="l"/>
        <c:title>
          <c:tx>
            <c:rich>
              <a:bodyPr/>
              <a:lstStyle/>
              <a:p>
                <a:pPr>
                  <a:defRPr/>
                </a:pPr>
                <a:r>
                  <a:rPr lang="en-US"/>
                  <a:t>Y</a:t>
                </a:r>
              </a:p>
            </c:rich>
          </c:tx>
        </c:title>
        <c:numFmt formatCode="General" sourceLinked="1"/>
        <c:tickLblPos val="nextTo"/>
        <c:crossAx val="88897792"/>
        <c:crosses val="autoZero"/>
        <c:crossBetween val="midCat"/>
      </c:valAx>
    </c:plotArea>
    <c:legend>
      <c:legendPos val="r"/>
    </c:legend>
    <c:plotVisOnly val="1"/>
  </c:chart>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381000</xdr:colOff>
      <xdr:row>4</xdr:row>
      <xdr:rowOff>85725</xdr:rowOff>
    </xdr:from>
    <xdr:to>
      <xdr:col>15</xdr:col>
      <xdr:colOff>76200</xdr:colOff>
      <xdr:row>18</xdr:row>
      <xdr:rowOff>161925</xdr:rowOff>
    </xdr:to>
    <xdr:graphicFrame macro="">
      <xdr:nvGraphicFramePr>
        <xdr:cNvPr id="113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247650</xdr:colOff>
      <xdr:row>1</xdr:row>
      <xdr:rowOff>171450</xdr:rowOff>
    </xdr:from>
    <xdr:to>
      <xdr:col>13</xdr:col>
      <xdr:colOff>85725</xdr:colOff>
      <xdr:row>3</xdr:row>
      <xdr:rowOff>85725</xdr:rowOff>
    </xdr:to>
    <xdr:sp macro="" textlink="">
      <xdr:nvSpPr>
        <xdr:cNvPr id="3" name="TextBox 2"/>
        <xdr:cNvSpPr txBox="1"/>
      </xdr:nvSpPr>
      <xdr:spPr>
        <a:xfrm>
          <a:off x="5467350" y="361950"/>
          <a:ext cx="2886075"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equation predicts how to get 150 rgb value from a 100 rgb value fo any given  combination</a:t>
          </a:r>
          <a:endParaRPr lang="en-US" sz="1100"/>
        </a:p>
      </xdr:txBody>
    </xdr:sp>
    <xdr:clientData/>
  </xdr:twoCellAnchor>
  <xdr:twoCellAnchor>
    <xdr:from>
      <xdr:col>8</xdr:col>
      <xdr:colOff>361950</xdr:colOff>
      <xdr:row>20</xdr:row>
      <xdr:rowOff>66675</xdr:rowOff>
    </xdr:from>
    <xdr:to>
      <xdr:col>11</xdr:col>
      <xdr:colOff>314325</xdr:colOff>
      <xdr:row>23</xdr:row>
      <xdr:rowOff>180975</xdr:rowOff>
    </xdr:to>
    <xdr:sp macro="" textlink="">
      <xdr:nvSpPr>
        <xdr:cNvPr id="4" name="TextBox 3"/>
        <xdr:cNvSpPr txBox="1"/>
      </xdr:nvSpPr>
      <xdr:spPr>
        <a:xfrm>
          <a:off x="5581650" y="4419600"/>
          <a:ext cx="178117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Sheet2 contains a single formula version.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372070</xdr:colOff>
      <xdr:row>2</xdr:row>
      <xdr:rowOff>29766</xdr:rowOff>
    </xdr:from>
    <xdr:to>
      <xdr:col>20</xdr:col>
      <xdr:colOff>0</xdr:colOff>
      <xdr:row>11</xdr:row>
      <xdr:rowOff>29766</xdr:rowOff>
    </xdr:to>
    <xdr:sp macro="" textlink="">
      <xdr:nvSpPr>
        <xdr:cNvPr id="2" name="TextBox 1"/>
        <xdr:cNvSpPr txBox="1"/>
      </xdr:nvSpPr>
      <xdr:spPr>
        <a:xfrm>
          <a:off x="8423672" y="416719"/>
          <a:ext cx="3170039" cy="17412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Sheet copied from \Overlays\Proj Leader 888 vignette falloff profiles.xlsm.</a:t>
          </a:r>
          <a:r>
            <a:rPr lang="en-US" sz="1100" baseline="0"/>
            <a:t>  All values in the 888-Test should be at the 104 level, but we see a general rise, which mean the there is not enough lightness added to the mask. It should be darker at edges.</a:t>
          </a:r>
          <a:endParaRPr lang="en-US" sz="1100"/>
        </a:p>
      </xdr:txBody>
    </xdr:sp>
    <xdr:clientData/>
  </xdr:twoCellAnchor>
  <xdr:twoCellAnchor>
    <xdr:from>
      <xdr:col>20</xdr:col>
      <xdr:colOff>583081</xdr:colOff>
      <xdr:row>27</xdr:row>
      <xdr:rowOff>104180</xdr:rowOff>
    </xdr:from>
    <xdr:to>
      <xdr:col>28</xdr:col>
      <xdr:colOff>267484</xdr:colOff>
      <xdr:row>41</xdr:row>
      <xdr:rowOff>133945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391438</xdr:colOff>
      <xdr:row>11</xdr:row>
      <xdr:rowOff>91336</xdr:rowOff>
    </xdr:from>
    <xdr:to>
      <xdr:col>19</xdr:col>
      <xdr:colOff>521918</xdr:colOff>
      <xdr:row>15</xdr:row>
      <xdr:rowOff>39144</xdr:rowOff>
    </xdr:to>
    <xdr:sp macro="" textlink="">
      <xdr:nvSpPr>
        <xdr:cNvPr id="4" name="TextBox 3"/>
        <xdr:cNvSpPr txBox="1"/>
      </xdr:nvSpPr>
      <xdr:spPr>
        <a:xfrm>
          <a:off x="9707671" y="2244247"/>
          <a:ext cx="2622637" cy="73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regression worksheet for mask</a:t>
          </a:r>
          <a:r>
            <a:rPr lang="en-US" sz="1100" baseline="0"/>
            <a:t> test</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561975</xdr:colOff>
      <xdr:row>2</xdr:row>
      <xdr:rowOff>152401</xdr:rowOff>
    </xdr:from>
    <xdr:to>
      <xdr:col>15</xdr:col>
      <xdr:colOff>561975</xdr:colOff>
      <xdr:row>12</xdr:row>
      <xdr:rowOff>161926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85725</xdr:colOff>
      <xdr:row>2</xdr:row>
      <xdr:rowOff>66675</xdr:rowOff>
    </xdr:from>
    <xdr:to>
      <xdr:col>22</xdr:col>
      <xdr:colOff>85725</xdr:colOff>
      <xdr:row>12</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476250</xdr:colOff>
      <xdr:row>14</xdr:row>
      <xdr:rowOff>85726</xdr:rowOff>
    </xdr:from>
    <xdr:to>
      <xdr:col>15</xdr:col>
      <xdr:colOff>476250</xdr:colOff>
      <xdr:row>24</xdr:row>
      <xdr:rowOff>85726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95250</xdr:colOff>
      <xdr:row>14</xdr:row>
      <xdr:rowOff>19050</xdr:rowOff>
    </xdr:from>
    <xdr:to>
      <xdr:col>22</xdr:col>
      <xdr:colOff>95250</xdr:colOff>
      <xdr:row>24</xdr:row>
      <xdr:rowOff>28575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443630</xdr:colOff>
      <xdr:row>4</xdr:row>
      <xdr:rowOff>130480</xdr:rowOff>
    </xdr:from>
    <xdr:to>
      <xdr:col>17</xdr:col>
      <xdr:colOff>116126</xdr:colOff>
      <xdr:row>23</xdr:row>
      <xdr:rowOff>58586</xdr:rowOff>
    </xdr:to>
    <xdr:pic>
      <xdr:nvPicPr>
        <xdr:cNvPr id="6164"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6093390" y="1096028"/>
          <a:ext cx="4578524" cy="364677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sheetPr codeName="Sheet1"/>
  <dimension ref="A1:B27"/>
  <sheetViews>
    <sheetView tabSelected="1" workbookViewId="0">
      <selection activeCell="A20" sqref="A20"/>
    </sheetView>
  </sheetViews>
  <sheetFormatPr defaultRowHeight="15"/>
  <cols>
    <col min="1" max="1" width="81" style="1" customWidth="1"/>
    <col min="2" max="2" width="65.7109375" customWidth="1"/>
  </cols>
  <sheetData>
    <row r="1" spans="1:2">
      <c r="A1" s="3" t="s">
        <v>73</v>
      </c>
    </row>
    <row r="2" spans="1:2" ht="30">
      <c r="A2" s="1" t="s">
        <v>25</v>
      </c>
    </row>
    <row r="3" spans="1:2" ht="30">
      <c r="A3" s="1" t="s">
        <v>26</v>
      </c>
    </row>
    <row r="4" spans="1:2" ht="141" customHeight="1">
      <c r="A4" s="1" t="s">
        <v>145</v>
      </c>
      <c r="B4" s="1" t="s">
        <v>76</v>
      </c>
    </row>
    <row r="6" spans="1:2" ht="45">
      <c r="A6" s="1" t="s">
        <v>156</v>
      </c>
      <c r="B6" s="1" t="s">
        <v>148</v>
      </c>
    </row>
    <row r="8" spans="1:2">
      <c r="A8" s="3" t="s">
        <v>71</v>
      </c>
    </row>
    <row r="9" spans="1:2" ht="114" customHeight="1">
      <c r="A9" s="1" t="s">
        <v>72</v>
      </c>
    </row>
    <row r="10" spans="1:2" ht="48.75" customHeight="1">
      <c r="A10" s="1" t="s">
        <v>143</v>
      </c>
    </row>
    <row r="11" spans="1:2" ht="110.25" customHeight="1">
      <c r="A11" s="1" t="s">
        <v>149</v>
      </c>
    </row>
    <row r="12" spans="1:2" ht="150.75" customHeight="1">
      <c r="A12" s="1" t="s">
        <v>150</v>
      </c>
    </row>
    <row r="13" spans="1:2" ht="20.25" customHeight="1">
      <c r="A13" s="3" t="s">
        <v>144</v>
      </c>
    </row>
    <row r="14" spans="1:2" ht="255.75" customHeight="1">
      <c r="A14" s="1" t="s">
        <v>151</v>
      </c>
    </row>
    <row r="15" spans="1:2" ht="136.5" customHeight="1">
      <c r="A15" s="1" t="s">
        <v>130</v>
      </c>
    </row>
    <row r="16" spans="1:2" ht="77.25" customHeight="1">
      <c r="A16" s="22" t="s">
        <v>146</v>
      </c>
    </row>
    <row r="17" spans="1:2" ht="40.5" customHeight="1">
      <c r="A17" s="1" t="s">
        <v>154</v>
      </c>
    </row>
    <row r="18" spans="1:2" ht="30" customHeight="1">
      <c r="A18" s="23" t="s">
        <v>147</v>
      </c>
    </row>
    <row r="19" spans="1:2" ht="48" customHeight="1">
      <c r="A19" s="1" t="s">
        <v>152</v>
      </c>
    </row>
    <row r="20" spans="1:2" ht="123" customHeight="1">
      <c r="A20" s="1" t="s">
        <v>153</v>
      </c>
    </row>
    <row r="21" spans="1:2" ht="141.75" customHeight="1">
      <c r="A21" s="1" t="s">
        <v>157</v>
      </c>
    </row>
    <row r="22" spans="1:2" ht="37.5" customHeight="1">
      <c r="A22" s="1" t="s">
        <v>74</v>
      </c>
    </row>
    <row r="24" spans="1:2" ht="89.25" customHeight="1">
      <c r="A24" s="1" t="s">
        <v>75</v>
      </c>
    </row>
    <row r="27" spans="1:2">
      <c r="B27" s="1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2:K48"/>
  <sheetViews>
    <sheetView zoomScale="78" zoomScaleNormal="78" workbookViewId="0">
      <selection activeCell="D4" sqref="D4"/>
    </sheetView>
  </sheetViews>
  <sheetFormatPr defaultRowHeight="15"/>
  <cols>
    <col min="1" max="1" width="8.5703125" customWidth="1"/>
    <col min="4" max="4" width="10" customWidth="1"/>
    <col min="5" max="5" width="10.42578125" customWidth="1"/>
    <col min="6" max="6" width="12.7109375" customWidth="1"/>
  </cols>
  <sheetData>
    <row r="2" spans="1:7" ht="45" customHeight="1">
      <c r="F2" s="24" t="s">
        <v>5</v>
      </c>
      <c r="G2" s="24"/>
    </row>
    <row r="3" spans="1:7" ht="27.75" customHeight="1">
      <c r="A3" s="1" t="s">
        <v>7</v>
      </c>
      <c r="B3" s="1" t="s">
        <v>6</v>
      </c>
      <c r="C3" s="1" t="s">
        <v>0</v>
      </c>
      <c r="D3" s="1" t="s">
        <v>3</v>
      </c>
      <c r="E3" s="1" t="s">
        <v>4</v>
      </c>
      <c r="F3" s="1" t="s">
        <v>1</v>
      </c>
      <c r="G3" s="1" t="s">
        <v>2</v>
      </c>
    </row>
    <row r="4" spans="1:7">
      <c r="A4">
        <f>IF((B4*D4+E4)&gt;255,(B4*D4+E4)*255/(B4*D4+E4),B4*D4+E4)</f>
        <v>254.99999999999997</v>
      </c>
      <c r="B4">
        <v>255</v>
      </c>
      <c r="C4">
        <v>255</v>
      </c>
      <c r="D4">
        <f>1+C4*(F4/40000)</f>
        <v>1.06375</v>
      </c>
      <c r="E4">
        <f>(G4/100000)*C4*C4</f>
        <v>0</v>
      </c>
      <c r="F4">
        <v>10</v>
      </c>
      <c r="G4">
        <v>0</v>
      </c>
    </row>
    <row r="5" spans="1:7">
      <c r="A5">
        <f t="shared" ref="A5:A28" si="0">IF((B5*D5+E5)&gt;255,(B5*D5+E5)*255/(B5*D5+E5),B5*D5+E5)</f>
        <v>255</v>
      </c>
      <c r="B5">
        <v>255</v>
      </c>
      <c r="C5">
        <v>255</v>
      </c>
      <c r="D5">
        <f t="shared" ref="D5:D28" si="1">1+C5*(F5/40000)</f>
        <v>2.59375</v>
      </c>
      <c r="E5">
        <f t="shared" ref="E5:E28" si="2">(G5/100000)*C5*C5</f>
        <v>0</v>
      </c>
      <c r="F5">
        <v>250</v>
      </c>
      <c r="G5">
        <v>0</v>
      </c>
    </row>
    <row r="6" spans="1:7">
      <c r="A6">
        <f t="shared" si="0"/>
        <v>255</v>
      </c>
      <c r="B6">
        <v>255</v>
      </c>
      <c r="C6">
        <v>255</v>
      </c>
      <c r="D6">
        <f t="shared" si="1"/>
        <v>4.1875</v>
      </c>
      <c r="E6">
        <f t="shared" si="2"/>
        <v>0</v>
      </c>
      <c r="F6">
        <v>500</v>
      </c>
      <c r="G6">
        <v>0</v>
      </c>
    </row>
    <row r="7" spans="1:7">
      <c r="A7">
        <f t="shared" si="0"/>
        <v>255</v>
      </c>
      <c r="B7">
        <v>255</v>
      </c>
      <c r="C7">
        <v>255</v>
      </c>
      <c r="D7">
        <f t="shared" si="1"/>
        <v>5.78125</v>
      </c>
      <c r="E7">
        <f t="shared" si="2"/>
        <v>0</v>
      </c>
      <c r="F7">
        <v>750</v>
      </c>
      <c r="G7">
        <v>0</v>
      </c>
    </row>
    <row r="8" spans="1:7">
      <c r="A8">
        <f t="shared" si="0"/>
        <v>255</v>
      </c>
      <c r="B8">
        <v>255</v>
      </c>
      <c r="C8">
        <v>255</v>
      </c>
      <c r="D8">
        <f t="shared" si="1"/>
        <v>7.375</v>
      </c>
      <c r="E8">
        <f t="shared" si="2"/>
        <v>0</v>
      </c>
      <c r="F8">
        <v>1000</v>
      </c>
      <c r="G8">
        <v>0</v>
      </c>
    </row>
    <row r="9" spans="1:7">
      <c r="A9">
        <f t="shared" si="0"/>
        <v>0</v>
      </c>
      <c r="B9">
        <v>0</v>
      </c>
      <c r="C9">
        <v>0</v>
      </c>
      <c r="D9">
        <f t="shared" si="1"/>
        <v>1</v>
      </c>
      <c r="E9">
        <f t="shared" si="2"/>
        <v>0</v>
      </c>
      <c r="F9">
        <v>10</v>
      </c>
      <c r="G9">
        <v>0</v>
      </c>
    </row>
    <row r="10" spans="1:7">
      <c r="A10">
        <f t="shared" si="0"/>
        <v>0</v>
      </c>
      <c r="B10">
        <v>0</v>
      </c>
      <c r="C10">
        <v>0</v>
      </c>
      <c r="D10">
        <f t="shared" si="1"/>
        <v>1</v>
      </c>
      <c r="E10">
        <f t="shared" si="2"/>
        <v>0</v>
      </c>
      <c r="F10">
        <v>250</v>
      </c>
      <c r="G10">
        <v>0</v>
      </c>
    </row>
    <row r="11" spans="1:7">
      <c r="A11">
        <f t="shared" si="0"/>
        <v>0</v>
      </c>
      <c r="B11">
        <v>0</v>
      </c>
      <c r="C11">
        <v>0</v>
      </c>
      <c r="D11">
        <f t="shared" si="1"/>
        <v>1</v>
      </c>
      <c r="E11">
        <f t="shared" si="2"/>
        <v>0</v>
      </c>
      <c r="F11">
        <v>500</v>
      </c>
      <c r="G11">
        <v>0</v>
      </c>
    </row>
    <row r="12" spans="1:7">
      <c r="A12">
        <f t="shared" si="0"/>
        <v>0</v>
      </c>
      <c r="B12">
        <v>0</v>
      </c>
      <c r="C12">
        <v>0</v>
      </c>
      <c r="D12">
        <f t="shared" si="1"/>
        <v>1</v>
      </c>
      <c r="E12">
        <f t="shared" si="2"/>
        <v>0</v>
      </c>
      <c r="F12">
        <v>750</v>
      </c>
      <c r="G12">
        <v>0</v>
      </c>
    </row>
    <row r="13" spans="1:7">
      <c r="A13">
        <f t="shared" si="0"/>
        <v>0</v>
      </c>
      <c r="B13">
        <v>0</v>
      </c>
      <c r="C13">
        <v>0</v>
      </c>
      <c r="D13">
        <f t="shared" si="1"/>
        <v>1</v>
      </c>
      <c r="E13">
        <f t="shared" si="2"/>
        <v>0</v>
      </c>
      <c r="F13">
        <v>1000</v>
      </c>
      <c r="G13">
        <v>0</v>
      </c>
    </row>
    <row r="14" spans="1:7">
      <c r="A14">
        <f t="shared" si="0"/>
        <v>106.375</v>
      </c>
      <c r="B14">
        <v>100</v>
      </c>
      <c r="C14">
        <v>255</v>
      </c>
      <c r="D14">
        <f t="shared" si="1"/>
        <v>1.06375</v>
      </c>
      <c r="E14">
        <f t="shared" si="2"/>
        <v>0</v>
      </c>
      <c r="F14">
        <v>10</v>
      </c>
      <c r="G14">
        <v>0</v>
      </c>
    </row>
    <row r="15" spans="1:7">
      <c r="A15">
        <f t="shared" si="0"/>
        <v>255</v>
      </c>
      <c r="B15">
        <v>100</v>
      </c>
      <c r="C15">
        <v>255</v>
      </c>
      <c r="D15">
        <f t="shared" si="1"/>
        <v>2.59375</v>
      </c>
      <c r="E15">
        <f t="shared" si="2"/>
        <v>0</v>
      </c>
      <c r="F15">
        <v>250</v>
      </c>
      <c r="G15">
        <v>0</v>
      </c>
    </row>
    <row r="16" spans="1:7">
      <c r="A16">
        <f t="shared" si="0"/>
        <v>255</v>
      </c>
      <c r="B16">
        <v>100</v>
      </c>
      <c r="C16">
        <v>255</v>
      </c>
      <c r="D16">
        <f t="shared" si="1"/>
        <v>4.1875</v>
      </c>
      <c r="E16">
        <f t="shared" si="2"/>
        <v>0</v>
      </c>
      <c r="F16">
        <v>500</v>
      </c>
      <c r="G16">
        <v>0</v>
      </c>
    </row>
    <row r="17" spans="1:7">
      <c r="A17">
        <f t="shared" si="0"/>
        <v>255</v>
      </c>
      <c r="B17">
        <v>100</v>
      </c>
      <c r="C17">
        <v>255</v>
      </c>
      <c r="D17">
        <f t="shared" si="1"/>
        <v>5.78125</v>
      </c>
      <c r="E17">
        <f t="shared" si="2"/>
        <v>0</v>
      </c>
      <c r="F17">
        <v>750</v>
      </c>
      <c r="G17">
        <v>0</v>
      </c>
    </row>
    <row r="18" spans="1:7">
      <c r="A18">
        <f t="shared" si="0"/>
        <v>255</v>
      </c>
      <c r="B18">
        <v>100</v>
      </c>
      <c r="C18">
        <v>255</v>
      </c>
      <c r="D18">
        <f t="shared" si="1"/>
        <v>7.375</v>
      </c>
      <c r="E18">
        <f t="shared" si="2"/>
        <v>0</v>
      </c>
      <c r="F18">
        <v>1000</v>
      </c>
      <c r="G18">
        <v>0</v>
      </c>
    </row>
    <row r="19" spans="1:7">
      <c r="A19">
        <f t="shared" si="0"/>
        <v>100</v>
      </c>
      <c r="B19">
        <v>100</v>
      </c>
      <c r="C19">
        <v>0</v>
      </c>
      <c r="D19">
        <f t="shared" si="1"/>
        <v>1</v>
      </c>
      <c r="E19">
        <f t="shared" si="2"/>
        <v>0</v>
      </c>
      <c r="F19">
        <v>10</v>
      </c>
      <c r="G19">
        <v>0</v>
      </c>
    </row>
    <row r="20" spans="1:7">
      <c r="A20">
        <f t="shared" si="0"/>
        <v>100</v>
      </c>
      <c r="B20">
        <v>100</v>
      </c>
      <c r="C20">
        <v>0</v>
      </c>
      <c r="D20">
        <f t="shared" si="1"/>
        <v>1</v>
      </c>
      <c r="E20">
        <f t="shared" si="2"/>
        <v>0</v>
      </c>
      <c r="F20">
        <v>250</v>
      </c>
      <c r="G20">
        <v>0</v>
      </c>
    </row>
    <row r="21" spans="1:7">
      <c r="A21">
        <f t="shared" si="0"/>
        <v>100</v>
      </c>
      <c r="B21">
        <v>100</v>
      </c>
      <c r="C21">
        <v>0</v>
      </c>
      <c r="D21">
        <f t="shared" si="1"/>
        <v>1</v>
      </c>
      <c r="E21">
        <f t="shared" si="2"/>
        <v>0</v>
      </c>
      <c r="F21">
        <v>500</v>
      </c>
      <c r="G21">
        <v>0</v>
      </c>
    </row>
    <row r="22" spans="1:7">
      <c r="A22">
        <f t="shared" si="0"/>
        <v>100</v>
      </c>
      <c r="B22">
        <v>100</v>
      </c>
      <c r="C22">
        <v>0</v>
      </c>
      <c r="D22">
        <f t="shared" si="1"/>
        <v>1</v>
      </c>
      <c r="E22">
        <f t="shared" si="2"/>
        <v>0</v>
      </c>
      <c r="F22">
        <v>750</v>
      </c>
      <c r="G22">
        <v>0</v>
      </c>
    </row>
    <row r="23" spans="1:7">
      <c r="A23">
        <f t="shared" si="0"/>
        <v>100</v>
      </c>
      <c r="B23">
        <v>100</v>
      </c>
      <c r="C23">
        <v>0</v>
      </c>
      <c r="D23">
        <f t="shared" si="1"/>
        <v>1</v>
      </c>
      <c r="E23">
        <f t="shared" si="2"/>
        <v>0</v>
      </c>
      <c r="F23">
        <v>1000</v>
      </c>
      <c r="G23">
        <v>0</v>
      </c>
    </row>
    <row r="24" spans="1:7">
      <c r="A24">
        <f t="shared" si="0"/>
        <v>102.49999999999999</v>
      </c>
      <c r="B24">
        <v>100</v>
      </c>
      <c r="C24">
        <v>100</v>
      </c>
      <c r="D24">
        <f t="shared" si="1"/>
        <v>1.0249999999999999</v>
      </c>
      <c r="E24">
        <f t="shared" si="2"/>
        <v>0</v>
      </c>
      <c r="F24">
        <v>10</v>
      </c>
      <c r="G24">
        <v>0</v>
      </c>
    </row>
    <row r="25" spans="1:7">
      <c r="A25">
        <f t="shared" si="0"/>
        <v>162.5</v>
      </c>
      <c r="B25">
        <v>100</v>
      </c>
      <c r="C25">
        <v>100</v>
      </c>
      <c r="D25">
        <f t="shared" si="1"/>
        <v>1.625</v>
      </c>
      <c r="E25">
        <f t="shared" si="2"/>
        <v>0</v>
      </c>
      <c r="F25">
        <v>250</v>
      </c>
      <c r="G25">
        <v>0</v>
      </c>
    </row>
    <row r="26" spans="1:7">
      <c r="A26">
        <f t="shared" si="0"/>
        <v>225</v>
      </c>
      <c r="B26">
        <v>100</v>
      </c>
      <c r="C26">
        <v>100</v>
      </c>
      <c r="D26">
        <f t="shared" si="1"/>
        <v>2.25</v>
      </c>
      <c r="E26">
        <f t="shared" si="2"/>
        <v>0</v>
      </c>
      <c r="F26">
        <v>500</v>
      </c>
      <c r="G26">
        <v>0</v>
      </c>
    </row>
    <row r="27" spans="1:7">
      <c r="A27">
        <f t="shared" si="0"/>
        <v>255</v>
      </c>
      <c r="B27">
        <v>100</v>
      </c>
      <c r="C27">
        <v>100</v>
      </c>
      <c r="D27">
        <f t="shared" si="1"/>
        <v>2.875</v>
      </c>
      <c r="E27">
        <f t="shared" si="2"/>
        <v>0</v>
      </c>
      <c r="F27">
        <v>750</v>
      </c>
      <c r="G27">
        <v>0</v>
      </c>
    </row>
    <row r="28" spans="1:7">
      <c r="A28">
        <f t="shared" si="0"/>
        <v>255</v>
      </c>
      <c r="B28">
        <v>100</v>
      </c>
      <c r="C28">
        <v>100</v>
      </c>
      <c r="D28">
        <f t="shared" si="1"/>
        <v>3.5</v>
      </c>
      <c r="E28">
        <f t="shared" si="2"/>
        <v>0</v>
      </c>
      <c r="F28">
        <v>1000</v>
      </c>
      <c r="G28">
        <v>0</v>
      </c>
    </row>
    <row r="29" spans="1:7">
      <c r="A29">
        <f t="shared" ref="A29:A39" si="3">IF((B29*D29+E29)&gt;255,(B29*D29+E29)*255/(B29*D29+E29),B29*D29+E29)</f>
        <v>110</v>
      </c>
      <c r="B29">
        <v>100</v>
      </c>
      <c r="C29">
        <v>100</v>
      </c>
      <c r="D29">
        <f t="shared" ref="D29:D39" si="4">1+C29*(F29/40000)</f>
        <v>1</v>
      </c>
      <c r="E29">
        <f t="shared" ref="E29:E39" si="5">(G29/100000)*C29*C29</f>
        <v>10</v>
      </c>
      <c r="F29">
        <v>0</v>
      </c>
      <c r="G29">
        <v>100</v>
      </c>
    </row>
    <row r="30" spans="1:7">
      <c r="A30">
        <f t="shared" si="3"/>
        <v>110</v>
      </c>
      <c r="B30">
        <v>100</v>
      </c>
      <c r="C30">
        <v>100</v>
      </c>
      <c r="D30">
        <f t="shared" si="4"/>
        <v>1</v>
      </c>
      <c r="E30">
        <f t="shared" si="5"/>
        <v>10</v>
      </c>
      <c r="F30">
        <v>0</v>
      </c>
      <c r="G30">
        <v>100</v>
      </c>
    </row>
    <row r="31" spans="1:7">
      <c r="A31">
        <f t="shared" si="3"/>
        <v>110</v>
      </c>
      <c r="B31">
        <v>100</v>
      </c>
      <c r="C31">
        <v>100</v>
      </c>
      <c r="D31">
        <f t="shared" si="4"/>
        <v>1</v>
      </c>
      <c r="E31">
        <f t="shared" si="5"/>
        <v>10</v>
      </c>
      <c r="F31">
        <v>0</v>
      </c>
      <c r="G31">
        <v>100</v>
      </c>
    </row>
    <row r="32" spans="1:7">
      <c r="A32">
        <f t="shared" si="3"/>
        <v>110</v>
      </c>
      <c r="B32">
        <v>100</v>
      </c>
      <c r="C32">
        <v>100</v>
      </c>
      <c r="D32">
        <f t="shared" si="4"/>
        <v>1</v>
      </c>
      <c r="E32">
        <f t="shared" si="5"/>
        <v>10</v>
      </c>
      <c r="F32">
        <v>0</v>
      </c>
      <c r="G32">
        <v>100</v>
      </c>
    </row>
    <row r="33" spans="1:11">
      <c r="A33">
        <f t="shared" si="3"/>
        <v>110</v>
      </c>
      <c r="B33">
        <v>100</v>
      </c>
      <c r="C33">
        <v>100</v>
      </c>
      <c r="D33">
        <f t="shared" si="4"/>
        <v>1</v>
      </c>
      <c r="E33">
        <f t="shared" si="5"/>
        <v>10</v>
      </c>
      <c r="F33">
        <v>0</v>
      </c>
      <c r="G33">
        <v>100</v>
      </c>
    </row>
    <row r="34" spans="1:11">
      <c r="A34">
        <f t="shared" si="3"/>
        <v>112.49999999999999</v>
      </c>
      <c r="B34">
        <v>100</v>
      </c>
      <c r="C34">
        <v>100</v>
      </c>
      <c r="D34">
        <f t="shared" si="4"/>
        <v>1.0249999999999999</v>
      </c>
      <c r="E34">
        <f t="shared" si="5"/>
        <v>10</v>
      </c>
      <c r="F34">
        <v>10</v>
      </c>
      <c r="G34">
        <v>100</v>
      </c>
    </row>
    <row r="35" spans="1:11">
      <c r="A35">
        <f t="shared" si="3"/>
        <v>172.5</v>
      </c>
      <c r="B35">
        <v>100</v>
      </c>
      <c r="C35">
        <v>100</v>
      </c>
      <c r="D35">
        <f t="shared" si="4"/>
        <v>1.625</v>
      </c>
      <c r="E35">
        <f t="shared" si="5"/>
        <v>10</v>
      </c>
      <c r="F35">
        <v>250</v>
      </c>
      <c r="G35">
        <v>100</v>
      </c>
    </row>
    <row r="36" spans="1:11">
      <c r="A36">
        <f t="shared" si="3"/>
        <v>235</v>
      </c>
      <c r="B36">
        <v>100</v>
      </c>
      <c r="C36">
        <v>100</v>
      </c>
      <c r="D36">
        <f t="shared" si="4"/>
        <v>2.25</v>
      </c>
      <c r="E36">
        <f t="shared" si="5"/>
        <v>10</v>
      </c>
      <c r="F36">
        <v>500</v>
      </c>
      <c r="G36">
        <v>100</v>
      </c>
    </row>
    <row r="37" spans="1:11">
      <c r="A37">
        <f t="shared" si="3"/>
        <v>255</v>
      </c>
      <c r="B37">
        <v>100</v>
      </c>
      <c r="C37">
        <v>100</v>
      </c>
      <c r="D37">
        <f t="shared" si="4"/>
        <v>2.875</v>
      </c>
      <c r="E37">
        <f t="shared" si="5"/>
        <v>10</v>
      </c>
      <c r="F37">
        <v>750</v>
      </c>
      <c r="G37">
        <v>100</v>
      </c>
    </row>
    <row r="38" spans="1:11">
      <c r="A38">
        <f t="shared" si="3"/>
        <v>255</v>
      </c>
      <c r="B38">
        <v>100</v>
      </c>
      <c r="C38">
        <v>100</v>
      </c>
      <c r="D38">
        <f t="shared" si="4"/>
        <v>3.5</v>
      </c>
      <c r="E38">
        <f t="shared" si="5"/>
        <v>10</v>
      </c>
      <c r="F38">
        <v>1000</v>
      </c>
      <c r="G38">
        <v>100</v>
      </c>
    </row>
    <row r="39" spans="1:11">
      <c r="A39">
        <f t="shared" si="3"/>
        <v>150</v>
      </c>
      <c r="B39">
        <v>100</v>
      </c>
      <c r="C39">
        <v>100</v>
      </c>
      <c r="D39">
        <f t="shared" si="4"/>
        <v>1.5</v>
      </c>
      <c r="E39">
        <f t="shared" si="5"/>
        <v>0</v>
      </c>
      <c r="F39">
        <v>200</v>
      </c>
      <c r="G39">
        <v>0</v>
      </c>
      <c r="H39" t="s">
        <v>8</v>
      </c>
    </row>
    <row r="40" spans="1:11">
      <c r="A40">
        <f t="shared" ref="A40:A48" si="6">IF((B40*D40+E40)&gt;255,(B40*D40+E40)*255/(B40*D40+E40),B40*D40+E40)</f>
        <v>150</v>
      </c>
      <c r="B40">
        <v>100</v>
      </c>
      <c r="C40">
        <v>100</v>
      </c>
      <c r="D40">
        <f t="shared" ref="D40:D48" si="7">1+C40*(F40/40000)</f>
        <v>1.375</v>
      </c>
      <c r="E40">
        <f t="shared" ref="E40:E48" si="8">(G40/100000)*C40*C40</f>
        <v>12.5</v>
      </c>
      <c r="F40">
        <v>150</v>
      </c>
      <c r="G40">
        <v>125</v>
      </c>
    </row>
    <row r="41" spans="1:11">
      <c r="A41">
        <f t="shared" si="6"/>
        <v>150</v>
      </c>
      <c r="B41">
        <v>100</v>
      </c>
      <c r="C41">
        <v>100</v>
      </c>
      <c r="D41">
        <f t="shared" si="7"/>
        <v>1.25</v>
      </c>
      <c r="E41">
        <f t="shared" si="8"/>
        <v>25</v>
      </c>
      <c r="F41">
        <v>100</v>
      </c>
      <c r="G41">
        <v>250</v>
      </c>
    </row>
    <row r="42" spans="1:11">
      <c r="A42">
        <f t="shared" si="6"/>
        <v>150</v>
      </c>
      <c r="B42">
        <v>100</v>
      </c>
      <c r="C42">
        <v>100</v>
      </c>
      <c r="D42">
        <f t="shared" si="7"/>
        <v>1.125</v>
      </c>
      <c r="E42">
        <f t="shared" si="8"/>
        <v>37.5</v>
      </c>
      <c r="F42">
        <v>50</v>
      </c>
      <c r="G42">
        <v>375</v>
      </c>
    </row>
    <row r="43" spans="1:11">
      <c r="A43">
        <f t="shared" si="6"/>
        <v>150</v>
      </c>
      <c r="B43">
        <v>100</v>
      </c>
      <c r="C43">
        <v>100</v>
      </c>
      <c r="D43">
        <f t="shared" si="7"/>
        <v>1</v>
      </c>
      <c r="E43">
        <f t="shared" si="8"/>
        <v>50</v>
      </c>
      <c r="F43">
        <v>0</v>
      </c>
      <c r="G43">
        <v>500</v>
      </c>
    </row>
    <row r="44" spans="1:11">
      <c r="A44">
        <f t="shared" si="6"/>
        <v>150.4135</v>
      </c>
      <c r="B44">
        <v>100</v>
      </c>
      <c r="C44">
        <v>255</v>
      </c>
      <c r="D44">
        <f t="shared" si="7"/>
        <v>1.4781249999999999</v>
      </c>
      <c r="E44">
        <f t="shared" si="8"/>
        <v>2.601</v>
      </c>
      <c r="F44">
        <v>75</v>
      </c>
      <c r="G44">
        <v>4</v>
      </c>
    </row>
    <row r="45" spans="1:11">
      <c r="A45">
        <f t="shared" si="6"/>
        <v>149.72499999999999</v>
      </c>
      <c r="B45">
        <v>100</v>
      </c>
      <c r="C45">
        <v>255</v>
      </c>
      <c r="D45">
        <f t="shared" si="7"/>
        <v>1.49725</v>
      </c>
      <c r="E45">
        <f t="shared" si="8"/>
        <v>0</v>
      </c>
      <c r="F45">
        <v>78</v>
      </c>
      <c r="G45">
        <v>0</v>
      </c>
      <c r="H45" t="s">
        <v>8</v>
      </c>
      <c r="K45" t="s">
        <v>9</v>
      </c>
    </row>
    <row r="46" spans="1:11">
      <c r="A46">
        <f t="shared" si="6"/>
        <v>150.06925000000001</v>
      </c>
      <c r="B46">
        <v>100</v>
      </c>
      <c r="C46">
        <v>255</v>
      </c>
      <c r="D46">
        <f t="shared" si="7"/>
        <v>1</v>
      </c>
      <c r="E46">
        <f t="shared" si="8"/>
        <v>50.069249999999997</v>
      </c>
      <c r="F46">
        <v>0</v>
      </c>
      <c r="G46">
        <v>77</v>
      </c>
    </row>
    <row r="47" spans="1:11">
      <c r="A47">
        <f t="shared" si="6"/>
        <v>100</v>
      </c>
      <c r="B47">
        <v>100</v>
      </c>
      <c r="C47">
        <v>255</v>
      </c>
      <c r="D47">
        <f t="shared" si="7"/>
        <v>1</v>
      </c>
      <c r="E47">
        <f t="shared" si="8"/>
        <v>0</v>
      </c>
    </row>
    <row r="48" spans="1:11">
      <c r="A48">
        <f t="shared" si="6"/>
        <v>100</v>
      </c>
      <c r="B48">
        <v>100</v>
      </c>
      <c r="C48">
        <v>255</v>
      </c>
      <c r="D48">
        <f t="shared" si="7"/>
        <v>1</v>
      </c>
      <c r="E48">
        <f t="shared" si="8"/>
        <v>0</v>
      </c>
    </row>
  </sheetData>
  <mergeCells count="1">
    <mergeCell ref="F2:G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Z1383"/>
  <sheetViews>
    <sheetView topLeftCell="G7" zoomScale="73" zoomScaleNormal="73" workbookViewId="0">
      <selection activeCell="N14" sqref="N14"/>
    </sheetView>
  </sheetViews>
  <sheetFormatPr defaultRowHeight="15"/>
  <cols>
    <col min="8" max="8" width="11" customWidth="1"/>
    <col min="16" max="16" width="9.7109375" customWidth="1"/>
  </cols>
  <sheetData>
    <row r="1" spans="1:26">
      <c r="A1" t="s">
        <v>82</v>
      </c>
      <c r="B1" t="s">
        <v>83</v>
      </c>
      <c r="C1" t="s">
        <v>84</v>
      </c>
      <c r="D1" t="s">
        <v>85</v>
      </c>
      <c r="E1" t="s">
        <v>86</v>
      </c>
      <c r="F1" t="s">
        <v>87</v>
      </c>
      <c r="G1" t="s">
        <v>88</v>
      </c>
      <c r="H1" t="s">
        <v>89</v>
      </c>
      <c r="I1" t="s">
        <v>90</v>
      </c>
      <c r="J1" t="s">
        <v>91</v>
      </c>
      <c r="K1" t="s">
        <v>92</v>
      </c>
      <c r="L1" s="12" t="s">
        <v>102</v>
      </c>
    </row>
    <row r="2" spans="1:26">
      <c r="A2">
        <v>8036</v>
      </c>
      <c r="B2">
        <v>149.33000000000001</v>
      </c>
      <c r="C2">
        <v>149</v>
      </c>
      <c r="D2">
        <v>135</v>
      </c>
      <c r="E2">
        <v>160</v>
      </c>
      <c r="F2">
        <v>673</v>
      </c>
      <c r="G2">
        <v>571</v>
      </c>
      <c r="H2">
        <v>673.01300000000003</v>
      </c>
      <c r="I2">
        <v>570.97400000000005</v>
      </c>
      <c r="J2">
        <v>149</v>
      </c>
      <c r="K2" t="s">
        <v>103</v>
      </c>
    </row>
    <row r="3" spans="1:26">
      <c r="A3">
        <v>8036</v>
      </c>
      <c r="B3">
        <v>149.33500000000001</v>
      </c>
      <c r="C3">
        <v>149</v>
      </c>
      <c r="D3">
        <v>136</v>
      </c>
      <c r="E3">
        <v>160</v>
      </c>
      <c r="F3">
        <v>689</v>
      </c>
      <c r="G3">
        <v>559</v>
      </c>
      <c r="H3">
        <v>689</v>
      </c>
      <c r="I3">
        <v>558.976</v>
      </c>
      <c r="J3">
        <v>149</v>
      </c>
      <c r="K3" t="s">
        <v>103</v>
      </c>
      <c r="L3">
        <f>ROW(P3)</f>
        <v>3</v>
      </c>
    </row>
    <row r="4" spans="1:26">
      <c r="E4" t="s">
        <v>104</v>
      </c>
      <c r="F4" s="13">
        <f>AVERAGE(F2:F3)</f>
        <v>681</v>
      </c>
      <c r="G4" s="13">
        <f>AVERAGE(G2:G3)</f>
        <v>565</v>
      </c>
      <c r="H4" t="s">
        <v>105</v>
      </c>
    </row>
    <row r="5" spans="1:26">
      <c r="A5" t="s">
        <v>106</v>
      </c>
      <c r="F5" s="13"/>
      <c r="G5" s="13"/>
    </row>
    <row r="6" spans="1:26">
      <c r="A6" t="s">
        <v>107</v>
      </c>
    </row>
    <row r="7" spans="1:26">
      <c r="A7" t="s">
        <v>82</v>
      </c>
      <c r="B7" t="s">
        <v>83</v>
      </c>
      <c r="C7" t="s">
        <v>84</v>
      </c>
      <c r="D7" t="s">
        <v>85</v>
      </c>
      <c r="E7" t="s">
        <v>86</v>
      </c>
      <c r="F7" t="s">
        <v>87</v>
      </c>
      <c r="G7" t="s">
        <v>88</v>
      </c>
      <c r="H7" t="s">
        <v>89</v>
      </c>
      <c r="I7" t="s">
        <v>90</v>
      </c>
      <c r="J7" t="s">
        <v>108</v>
      </c>
      <c r="K7" t="s">
        <v>91</v>
      </c>
      <c r="L7" t="s">
        <v>92</v>
      </c>
      <c r="M7" t="s">
        <v>109</v>
      </c>
      <c r="X7" s="14"/>
      <c r="Y7" s="14"/>
      <c r="Z7" s="14"/>
    </row>
    <row r="8" spans="1:26">
      <c r="A8">
        <v>1342</v>
      </c>
      <c r="B8">
        <v>102.712</v>
      </c>
      <c r="C8">
        <v>19.161999999999999</v>
      </c>
      <c r="D8">
        <v>0</v>
      </c>
      <c r="E8">
        <v>155.732</v>
      </c>
      <c r="F8">
        <v>0</v>
      </c>
      <c r="G8">
        <v>0</v>
      </c>
      <c r="H8">
        <v>0</v>
      </c>
      <c r="I8">
        <v>0</v>
      </c>
      <c r="J8" s="15">
        <v>-22.166</v>
      </c>
      <c r="K8">
        <v>0</v>
      </c>
      <c r="L8">
        <v>0</v>
      </c>
      <c r="M8">
        <v>1341.1189999999999</v>
      </c>
    </row>
    <row r="9" spans="1:26">
      <c r="A9" t="s">
        <v>110</v>
      </c>
    </row>
    <row r="10" spans="1:26">
      <c r="A10" t="s">
        <v>82</v>
      </c>
      <c r="B10" t="s">
        <v>83</v>
      </c>
      <c r="C10" t="s">
        <v>84</v>
      </c>
      <c r="D10" t="s">
        <v>85</v>
      </c>
      <c r="E10" t="s">
        <v>86</v>
      </c>
      <c r="F10" t="s">
        <v>87</v>
      </c>
      <c r="G10" t="s">
        <v>88</v>
      </c>
      <c r="H10" t="s">
        <v>89</v>
      </c>
      <c r="I10" t="s">
        <v>90</v>
      </c>
      <c r="J10" t="s">
        <v>108</v>
      </c>
      <c r="K10" t="s">
        <v>91</v>
      </c>
      <c r="L10" t="s">
        <v>92</v>
      </c>
      <c r="M10" t="s">
        <v>109</v>
      </c>
    </row>
    <row r="11" spans="1:26">
      <c r="A11">
        <v>1362</v>
      </c>
      <c r="B11">
        <v>112.768</v>
      </c>
      <c r="C11">
        <v>149.12299999999999</v>
      </c>
      <c r="D11">
        <v>18.948</v>
      </c>
      <c r="E11">
        <v>156.37</v>
      </c>
      <c r="F11">
        <v>0</v>
      </c>
      <c r="G11">
        <v>0</v>
      </c>
      <c r="H11">
        <v>0</v>
      </c>
      <c r="I11">
        <v>0</v>
      </c>
      <c r="J11" s="15">
        <v>24.381</v>
      </c>
      <c r="K11">
        <v>0</v>
      </c>
      <c r="L11">
        <v>0</v>
      </c>
      <c r="M11">
        <v>1361.413</v>
      </c>
    </row>
    <row r="13" spans="1:26">
      <c r="A13" t="s">
        <v>111</v>
      </c>
      <c r="Q13" s="14"/>
      <c r="W13" s="14"/>
    </row>
    <row r="14" spans="1:26">
      <c r="D14" t="s">
        <v>137</v>
      </c>
    </row>
    <row r="15" spans="1:26">
      <c r="A15" t="s">
        <v>112</v>
      </c>
    </row>
    <row r="16" spans="1:26">
      <c r="A16" t="s">
        <v>113</v>
      </c>
      <c r="W16" s="14"/>
    </row>
    <row r="17" spans="1:26">
      <c r="A17" t="s">
        <v>115</v>
      </c>
      <c r="W17" s="14"/>
    </row>
    <row r="18" spans="1:26">
      <c r="A18" t="s">
        <v>116</v>
      </c>
      <c r="V18" s="14"/>
      <c r="X18" s="17">
        <f>MODE(INT(K21:K1381))</f>
        <v>7</v>
      </c>
      <c r="Y18" s="14" t="s">
        <v>117</v>
      </c>
      <c r="Z18" s="14"/>
    </row>
    <row r="19" spans="1:26">
      <c r="M19" t="s">
        <v>136</v>
      </c>
      <c r="R19" s="12" t="s">
        <v>114</v>
      </c>
      <c r="V19" s="14"/>
    </row>
    <row r="20" spans="1:26">
      <c r="A20" t="s">
        <v>30</v>
      </c>
      <c r="C20" t="s">
        <v>118</v>
      </c>
      <c r="D20" t="s">
        <v>139</v>
      </c>
      <c r="E20" t="s">
        <v>119</v>
      </c>
      <c r="F20" t="s">
        <v>140</v>
      </c>
      <c r="G20" t="s">
        <v>120</v>
      </c>
      <c r="H20" t="s">
        <v>139</v>
      </c>
      <c r="I20" t="s">
        <v>121</v>
      </c>
      <c r="K20" t="s">
        <v>122</v>
      </c>
      <c r="L20" t="s">
        <v>139</v>
      </c>
      <c r="M20" t="s">
        <v>123</v>
      </c>
      <c r="N20" t="s">
        <v>139</v>
      </c>
      <c r="O20" t="s">
        <v>138</v>
      </c>
      <c r="P20" t="s">
        <v>129</v>
      </c>
      <c r="R20" t="s">
        <v>30</v>
      </c>
      <c r="S20" t="s">
        <v>31</v>
      </c>
      <c r="T20" t="s">
        <v>32</v>
      </c>
      <c r="U20" t="s">
        <v>134</v>
      </c>
      <c r="V20" s="14"/>
      <c r="W20" t="s">
        <v>124</v>
      </c>
      <c r="X20" t="s">
        <v>125</v>
      </c>
    </row>
    <row r="21" spans="1:26">
      <c r="A21">
        <f>680 +B21*COS(ABS($J$8)*PI()/180)</f>
        <v>680</v>
      </c>
      <c r="B21">
        <v>0</v>
      </c>
      <c r="C21">
        <v>149.666671753</v>
      </c>
      <c r="D21">
        <v>0</v>
      </c>
      <c r="E21">
        <v>146.333328247</v>
      </c>
      <c r="F21">
        <v>0</v>
      </c>
      <c r="G21">
        <v>118</v>
      </c>
      <c r="H21">
        <v>0</v>
      </c>
      <c r="I21">
        <v>140.666671753</v>
      </c>
      <c r="K21">
        <f>E21-I21</f>
        <v>5.6666564939999944</v>
      </c>
      <c r="L21">
        <v>0</v>
      </c>
      <c r="M21">
        <v>254</v>
      </c>
      <c r="N21">
        <v>0</v>
      </c>
      <c r="O21">
        <v>1</v>
      </c>
      <c r="P21">
        <f t="shared" ref="P21:P84" si="0">M21-C21</f>
        <v>104.333328247</v>
      </c>
      <c r="R21" s="16">
        <f t="shared" ref="R21:R52" ca="1" si="1">OFFSET( $A$21,(ROW(A21)-21)*20,0)</f>
        <v>680</v>
      </c>
      <c r="S21" s="14">
        <f t="shared" ref="S21:S52" ca="1" si="2">OFFSET( $C$21,(ROW(C21)-21)*20,0)</f>
        <v>149.666671753</v>
      </c>
      <c r="T21" s="14">
        <f t="shared" ref="T21:T52" ca="1" si="3">OFFSET( $E$21,(ROW(E21)-21)*20,0)</f>
        <v>146.333328247</v>
      </c>
      <c r="U21" s="14">
        <f t="shared" ref="U21:U52" ca="1" si="4">OFFSET( $O$21,(ROW(O21)-21)*20,0)</f>
        <v>1</v>
      </c>
      <c r="V21" s="14"/>
      <c r="W21" s="18"/>
      <c r="X21" s="19"/>
    </row>
    <row r="22" spans="1:26">
      <c r="A22">
        <f t="shared" ref="A22:A85" si="5">680 +B22*COS(ABS($J$8)*PI()/180)</f>
        <v>680.92609463701626</v>
      </c>
      <c r="B22">
        <v>1</v>
      </c>
      <c r="C22">
        <v>146.91600036599999</v>
      </c>
      <c r="D22">
        <v>1</v>
      </c>
      <c r="E22">
        <v>149.65390014600001</v>
      </c>
      <c r="F22">
        <v>1</v>
      </c>
      <c r="G22">
        <v>118.35270690900001</v>
      </c>
      <c r="H22">
        <v>1</v>
      </c>
      <c r="I22">
        <v>137.01802063</v>
      </c>
      <c r="K22">
        <f t="shared" ref="K22:K85" si="6">E22-I22</f>
        <v>12.635879516000017</v>
      </c>
      <c r="L22">
        <v>1</v>
      </c>
      <c r="M22">
        <v>254</v>
      </c>
      <c r="N22">
        <v>1</v>
      </c>
      <c r="O22">
        <v>1</v>
      </c>
      <c r="P22">
        <f t="shared" si="0"/>
        <v>107.08399963400001</v>
      </c>
      <c r="R22" s="16">
        <f t="shared" ca="1" si="1"/>
        <v>698.52189274032628</v>
      </c>
      <c r="S22" s="14">
        <f t="shared" ca="1" si="2"/>
        <v>149.90823364299999</v>
      </c>
      <c r="T22" s="14">
        <f t="shared" ca="1" si="3"/>
        <v>148.655151367</v>
      </c>
      <c r="U22" s="14">
        <f t="shared" ca="1" si="4"/>
        <v>0</v>
      </c>
      <c r="V22" s="14"/>
      <c r="W22" t="s">
        <v>126</v>
      </c>
      <c r="X22" t="s">
        <v>127</v>
      </c>
    </row>
    <row r="23" spans="1:26">
      <c r="A23">
        <f t="shared" si="5"/>
        <v>681.85218927403264</v>
      </c>
      <c r="B23">
        <v>2</v>
      </c>
      <c r="C23">
        <v>145.80902099599999</v>
      </c>
      <c r="D23">
        <v>2</v>
      </c>
      <c r="E23">
        <v>149.46913147000001</v>
      </c>
      <c r="F23">
        <v>2</v>
      </c>
      <c r="G23">
        <v>118.254249573</v>
      </c>
      <c r="H23">
        <v>2</v>
      </c>
      <c r="I23">
        <v>135.21762085</v>
      </c>
      <c r="K23">
        <f t="shared" si="6"/>
        <v>14.251510620000005</v>
      </c>
      <c r="L23">
        <v>2</v>
      </c>
      <c r="M23">
        <v>254</v>
      </c>
      <c r="N23">
        <v>2</v>
      </c>
      <c r="O23">
        <v>1</v>
      </c>
      <c r="P23">
        <f t="shared" si="0"/>
        <v>108.19097900400001</v>
      </c>
      <c r="R23" s="16">
        <f t="shared" ca="1" si="1"/>
        <v>717.04378548065267</v>
      </c>
      <c r="S23" s="14">
        <f t="shared" ca="1" si="2"/>
        <v>148.77317810100001</v>
      </c>
      <c r="T23" s="14">
        <f t="shared" ca="1" si="3"/>
        <v>149.753448486</v>
      </c>
      <c r="U23" s="14">
        <f t="shared" ca="1" si="4"/>
        <v>1</v>
      </c>
      <c r="V23" s="14"/>
      <c r="W23" s="20"/>
      <c r="X23" s="21"/>
    </row>
    <row r="24" spans="1:26">
      <c r="A24">
        <f t="shared" si="5"/>
        <v>682.7782839110489</v>
      </c>
      <c r="B24">
        <v>3</v>
      </c>
      <c r="C24">
        <v>147.80059814500001</v>
      </c>
      <c r="D24">
        <v>3</v>
      </c>
      <c r="E24">
        <v>150.20893859899999</v>
      </c>
      <c r="F24">
        <v>3</v>
      </c>
      <c r="G24">
        <v>118.16860961899999</v>
      </c>
      <c r="H24">
        <v>3</v>
      </c>
      <c r="I24">
        <v>136.28781127900001</v>
      </c>
      <c r="K24">
        <f t="shared" si="6"/>
        <v>13.921127319999982</v>
      </c>
      <c r="L24">
        <v>3</v>
      </c>
      <c r="M24">
        <v>254</v>
      </c>
      <c r="N24">
        <v>3</v>
      </c>
      <c r="O24">
        <v>1</v>
      </c>
      <c r="P24">
        <f t="shared" si="0"/>
        <v>106.19940185499999</v>
      </c>
      <c r="R24" s="16">
        <f t="shared" ca="1" si="1"/>
        <v>735.56567822097895</v>
      </c>
      <c r="S24" s="14">
        <f t="shared" ca="1" si="2"/>
        <v>152.86456298799999</v>
      </c>
      <c r="T24" s="14">
        <f t="shared" ca="1" si="3"/>
        <v>146.96157836899999</v>
      </c>
      <c r="U24" s="14">
        <f t="shared" ca="1" si="4"/>
        <v>1</v>
      </c>
      <c r="V24" s="14"/>
      <c r="W24" s="14" t="s">
        <v>128</v>
      </c>
    </row>
    <row r="25" spans="1:26">
      <c r="A25">
        <f t="shared" si="5"/>
        <v>683.70437854806528</v>
      </c>
      <c r="B25">
        <v>4</v>
      </c>
      <c r="C25">
        <v>147.080566406</v>
      </c>
      <c r="D25">
        <v>4</v>
      </c>
      <c r="E25">
        <v>149.17257690400001</v>
      </c>
      <c r="F25">
        <v>4</v>
      </c>
      <c r="G25">
        <v>117.73250579800001</v>
      </c>
      <c r="H25">
        <v>4</v>
      </c>
      <c r="I25">
        <v>136.891815186</v>
      </c>
      <c r="K25">
        <f t="shared" si="6"/>
        <v>12.280761718000008</v>
      </c>
      <c r="L25">
        <v>4</v>
      </c>
      <c r="M25">
        <v>254</v>
      </c>
      <c r="N25">
        <v>4</v>
      </c>
      <c r="O25">
        <v>1</v>
      </c>
      <c r="P25">
        <f t="shared" si="0"/>
        <v>106.919433594</v>
      </c>
      <c r="R25" s="16">
        <f t="shared" ca="1" si="1"/>
        <v>754.08757096130535</v>
      </c>
      <c r="S25" s="14">
        <f t="shared" ca="1" si="2"/>
        <v>149.93336486800001</v>
      </c>
      <c r="T25" s="14">
        <f t="shared" ca="1" si="3"/>
        <v>146.37161254899999</v>
      </c>
      <c r="U25" s="14">
        <f t="shared" ca="1" si="4"/>
        <v>2</v>
      </c>
      <c r="V25" s="14"/>
      <c r="W25" s="14"/>
    </row>
    <row r="26" spans="1:26">
      <c r="A26">
        <f t="shared" si="5"/>
        <v>684.63047318508154</v>
      </c>
      <c r="B26">
        <v>5</v>
      </c>
      <c r="C26">
        <v>142.42788696299999</v>
      </c>
      <c r="D26">
        <v>5</v>
      </c>
      <c r="E26">
        <v>147.77441406200001</v>
      </c>
      <c r="F26">
        <v>5</v>
      </c>
      <c r="G26">
        <v>117.708885193</v>
      </c>
      <c r="H26">
        <v>5</v>
      </c>
      <c r="I26">
        <v>138.85385131800001</v>
      </c>
      <c r="K26">
        <f t="shared" si="6"/>
        <v>8.9205627439999944</v>
      </c>
      <c r="L26">
        <v>5</v>
      </c>
      <c r="M26">
        <v>254</v>
      </c>
      <c r="N26">
        <v>5</v>
      </c>
      <c r="O26">
        <v>1</v>
      </c>
      <c r="P26">
        <f t="shared" si="0"/>
        <v>111.57211303700001</v>
      </c>
      <c r="R26" s="16">
        <f t="shared" ca="1" si="1"/>
        <v>772.60946370163163</v>
      </c>
      <c r="S26" s="14">
        <f t="shared" ca="1" si="2"/>
        <v>150.53790283199999</v>
      </c>
      <c r="T26" s="14">
        <f t="shared" ca="1" si="3"/>
        <v>154.46469116200001</v>
      </c>
      <c r="U26" s="14">
        <f t="shared" ca="1" si="4"/>
        <v>1</v>
      </c>
      <c r="V26" s="14" t="s">
        <v>141</v>
      </c>
      <c r="W26" s="14"/>
    </row>
    <row r="27" spans="1:26">
      <c r="A27">
        <f t="shared" si="5"/>
        <v>685.55656782209792</v>
      </c>
      <c r="B27">
        <v>6</v>
      </c>
      <c r="C27">
        <v>142.72459411599999</v>
      </c>
      <c r="D27">
        <v>6</v>
      </c>
      <c r="E27">
        <v>148.91844177199999</v>
      </c>
      <c r="F27">
        <v>6</v>
      </c>
      <c r="G27">
        <v>119.077308655</v>
      </c>
      <c r="H27">
        <v>6</v>
      </c>
      <c r="I27">
        <v>142.22467040999999</v>
      </c>
      <c r="K27">
        <f t="shared" si="6"/>
        <v>6.6937713620000068</v>
      </c>
      <c r="L27">
        <v>6</v>
      </c>
      <c r="M27">
        <v>254</v>
      </c>
      <c r="N27">
        <v>6</v>
      </c>
      <c r="O27">
        <v>1</v>
      </c>
      <c r="P27">
        <f t="shared" si="0"/>
        <v>111.27540588400001</v>
      </c>
      <c r="R27" s="16">
        <f t="shared" ca="1" si="1"/>
        <v>791.13135644195802</v>
      </c>
      <c r="S27" s="14">
        <f t="shared" ca="1" si="2"/>
        <v>148.85423278799999</v>
      </c>
      <c r="T27" s="14">
        <f t="shared" ca="1" si="3"/>
        <v>149.574493408</v>
      </c>
      <c r="U27" s="14">
        <f t="shared" ca="1" si="4"/>
        <v>2.8452138900000001</v>
      </c>
      <c r="V27" s="14"/>
    </row>
    <row r="28" spans="1:26">
      <c r="A28">
        <f t="shared" si="5"/>
        <v>686.48266245911418</v>
      </c>
      <c r="B28">
        <v>7</v>
      </c>
      <c r="C28">
        <v>148.77461242699999</v>
      </c>
      <c r="D28">
        <v>7</v>
      </c>
      <c r="E28">
        <v>147.96832275400001</v>
      </c>
      <c r="F28">
        <v>7</v>
      </c>
      <c r="G28">
        <v>119.908096313</v>
      </c>
      <c r="H28">
        <v>7</v>
      </c>
      <c r="I28">
        <v>138.269607544</v>
      </c>
      <c r="K28">
        <f t="shared" si="6"/>
        <v>9.6987152100000174</v>
      </c>
      <c r="L28">
        <v>7</v>
      </c>
      <c r="M28">
        <v>254</v>
      </c>
      <c r="N28">
        <v>7</v>
      </c>
      <c r="O28">
        <v>1</v>
      </c>
      <c r="P28">
        <f t="shared" si="0"/>
        <v>105.22538757300001</v>
      </c>
      <c r="R28" s="16">
        <f t="shared" ca="1" si="1"/>
        <v>809.6532491822843</v>
      </c>
      <c r="S28" s="14">
        <f t="shared" ca="1" si="2"/>
        <v>147.63609314000001</v>
      </c>
      <c r="T28" s="14">
        <f t="shared" ca="1" si="3"/>
        <v>149.18476867699999</v>
      </c>
      <c r="U28" s="14">
        <f t="shared" ca="1" si="4"/>
        <v>4</v>
      </c>
      <c r="V28" s="14"/>
      <c r="W28" s="14"/>
    </row>
    <row r="29" spans="1:26">
      <c r="A29">
        <f t="shared" si="5"/>
        <v>687.40875709613056</v>
      </c>
      <c r="B29">
        <v>8</v>
      </c>
      <c r="C29">
        <v>151.76414489699999</v>
      </c>
      <c r="D29">
        <v>8</v>
      </c>
      <c r="E29">
        <v>147.09327697800001</v>
      </c>
      <c r="F29">
        <v>8</v>
      </c>
      <c r="G29">
        <v>120.035552979</v>
      </c>
      <c r="H29">
        <v>8</v>
      </c>
      <c r="I29">
        <v>133.83087158199999</v>
      </c>
      <c r="K29">
        <f t="shared" si="6"/>
        <v>13.26240539600002</v>
      </c>
      <c r="L29">
        <v>8</v>
      </c>
      <c r="M29">
        <v>254</v>
      </c>
      <c r="N29">
        <v>8</v>
      </c>
      <c r="O29">
        <v>1</v>
      </c>
      <c r="P29">
        <f t="shared" si="0"/>
        <v>102.23585510300001</v>
      </c>
      <c r="R29" s="16">
        <f t="shared" ca="1" si="1"/>
        <v>828.17514192261069</v>
      </c>
      <c r="S29" s="14">
        <f t="shared" ca="1" si="2"/>
        <v>146.706176758</v>
      </c>
      <c r="T29" s="14">
        <f t="shared" ca="1" si="3"/>
        <v>146.434890747</v>
      </c>
      <c r="U29" s="14">
        <f t="shared" ca="1" si="4"/>
        <v>4</v>
      </c>
      <c r="V29" s="14"/>
      <c r="W29" s="14"/>
    </row>
    <row r="30" spans="1:26">
      <c r="A30">
        <f t="shared" si="5"/>
        <v>688.33485173314682</v>
      </c>
      <c r="B30">
        <v>9</v>
      </c>
      <c r="C30">
        <v>147.53421020499999</v>
      </c>
      <c r="D30">
        <v>9</v>
      </c>
      <c r="E30">
        <v>149.030685425</v>
      </c>
      <c r="F30">
        <v>9</v>
      </c>
      <c r="G30">
        <v>119.105812073</v>
      </c>
      <c r="H30">
        <v>9</v>
      </c>
      <c r="I30">
        <v>135.69392395</v>
      </c>
      <c r="K30">
        <f t="shared" si="6"/>
        <v>13.336761475000003</v>
      </c>
      <c r="L30">
        <v>9</v>
      </c>
      <c r="M30">
        <v>254</v>
      </c>
      <c r="N30">
        <v>9</v>
      </c>
      <c r="O30">
        <v>1</v>
      </c>
      <c r="P30">
        <f t="shared" si="0"/>
        <v>106.46578979500001</v>
      </c>
      <c r="R30" s="16">
        <f t="shared" ca="1" si="1"/>
        <v>846.69703466293697</v>
      </c>
      <c r="S30" s="14">
        <f t="shared" ca="1" si="2"/>
        <v>144.66307067899999</v>
      </c>
      <c r="T30" s="14">
        <f t="shared" ca="1" si="3"/>
        <v>142.60906982399999</v>
      </c>
      <c r="U30" s="14">
        <f t="shared" ca="1" si="4"/>
        <v>5</v>
      </c>
      <c r="V30" s="14"/>
      <c r="W30" s="14"/>
    </row>
    <row r="31" spans="1:26">
      <c r="A31">
        <f t="shared" si="5"/>
        <v>689.2609463701632</v>
      </c>
      <c r="B31">
        <v>10</v>
      </c>
      <c r="C31">
        <v>146.32492065400001</v>
      </c>
      <c r="D31">
        <v>10</v>
      </c>
      <c r="E31">
        <v>149.82183837900001</v>
      </c>
      <c r="F31">
        <v>10</v>
      </c>
      <c r="G31">
        <v>118.538963318</v>
      </c>
      <c r="H31">
        <v>10</v>
      </c>
      <c r="I31">
        <v>138.435546875</v>
      </c>
      <c r="K31">
        <f t="shared" si="6"/>
        <v>11.386291504000013</v>
      </c>
      <c r="L31">
        <v>10</v>
      </c>
      <c r="M31">
        <v>254</v>
      </c>
      <c r="N31">
        <v>10</v>
      </c>
      <c r="O31">
        <v>1</v>
      </c>
      <c r="P31">
        <f t="shared" si="0"/>
        <v>107.67507934599999</v>
      </c>
      <c r="R31" s="16">
        <f t="shared" ca="1" si="1"/>
        <v>865.21892740326325</v>
      </c>
      <c r="S31" s="14">
        <f t="shared" ca="1" si="2"/>
        <v>147.04222106899999</v>
      </c>
      <c r="T31" s="14">
        <f t="shared" ca="1" si="3"/>
        <v>149.023513794</v>
      </c>
      <c r="U31" s="14">
        <f t="shared" ca="1" si="4"/>
        <v>6</v>
      </c>
      <c r="V31" s="14"/>
      <c r="W31" s="14"/>
    </row>
    <row r="32" spans="1:26">
      <c r="A32">
        <f t="shared" si="5"/>
        <v>690.18704100717946</v>
      </c>
      <c r="B32">
        <v>11</v>
      </c>
      <c r="C32">
        <v>149.835449219</v>
      </c>
      <c r="D32">
        <v>11</v>
      </c>
      <c r="E32">
        <v>151.81600952100001</v>
      </c>
      <c r="F32">
        <v>11</v>
      </c>
      <c r="G32">
        <v>119.213111877</v>
      </c>
      <c r="H32">
        <v>11</v>
      </c>
      <c r="I32">
        <v>135.94102477999999</v>
      </c>
      <c r="K32">
        <f t="shared" si="6"/>
        <v>15.87498474100002</v>
      </c>
      <c r="L32">
        <v>11</v>
      </c>
      <c r="M32">
        <v>254</v>
      </c>
      <c r="N32">
        <v>11</v>
      </c>
      <c r="O32">
        <v>1</v>
      </c>
      <c r="P32">
        <f t="shared" si="0"/>
        <v>104.164550781</v>
      </c>
      <c r="R32" s="16">
        <f t="shared" ca="1" si="1"/>
        <v>883.74082014358964</v>
      </c>
      <c r="S32" s="14">
        <f t="shared" ca="1" si="2"/>
        <v>144.81936645499999</v>
      </c>
      <c r="T32" s="14">
        <f t="shared" ca="1" si="3"/>
        <v>148.09333801299999</v>
      </c>
      <c r="U32" s="14">
        <f t="shared" ca="1" si="4"/>
        <v>7</v>
      </c>
      <c r="V32" s="14"/>
      <c r="W32" s="14"/>
    </row>
    <row r="33" spans="1:23">
      <c r="A33">
        <f t="shared" si="5"/>
        <v>691.11313564419584</v>
      </c>
      <c r="B33">
        <v>12</v>
      </c>
      <c r="C33">
        <v>150.91250610399999</v>
      </c>
      <c r="D33">
        <v>12</v>
      </c>
      <c r="E33">
        <v>150.22558593799999</v>
      </c>
      <c r="F33">
        <v>12</v>
      </c>
      <c r="G33">
        <v>119.625434875</v>
      </c>
      <c r="H33">
        <v>12</v>
      </c>
      <c r="I33">
        <v>130.934646606</v>
      </c>
      <c r="K33">
        <f t="shared" si="6"/>
        <v>19.290939331999994</v>
      </c>
      <c r="L33">
        <v>12</v>
      </c>
      <c r="M33">
        <v>254</v>
      </c>
      <c r="N33">
        <v>12</v>
      </c>
      <c r="O33">
        <v>1</v>
      </c>
      <c r="P33">
        <f t="shared" si="0"/>
        <v>103.08749389600001</v>
      </c>
      <c r="R33" s="16">
        <f t="shared" ca="1" si="1"/>
        <v>902.26271288391604</v>
      </c>
      <c r="S33" s="14">
        <f t="shared" ca="1" si="2"/>
        <v>142.01986694300001</v>
      </c>
      <c r="T33" s="14">
        <f t="shared" ca="1" si="3"/>
        <v>146.679153442</v>
      </c>
      <c r="U33" s="14">
        <f t="shared" ca="1" si="4"/>
        <v>7</v>
      </c>
      <c r="V33" s="14"/>
      <c r="W33" s="14"/>
    </row>
    <row r="34" spans="1:23">
      <c r="A34">
        <f t="shared" si="5"/>
        <v>692.0392302812121</v>
      </c>
      <c r="B34">
        <v>13</v>
      </c>
      <c r="C34">
        <v>149.67155456500001</v>
      </c>
      <c r="D34">
        <v>13</v>
      </c>
      <c r="E34">
        <v>148.80372619600001</v>
      </c>
      <c r="F34">
        <v>13</v>
      </c>
      <c r="G34">
        <v>120.312469482</v>
      </c>
      <c r="H34">
        <v>13</v>
      </c>
      <c r="I34">
        <v>139.367095947</v>
      </c>
      <c r="K34">
        <f t="shared" si="6"/>
        <v>9.436630249000018</v>
      </c>
      <c r="L34">
        <v>13</v>
      </c>
      <c r="M34">
        <v>254</v>
      </c>
      <c r="N34">
        <v>13</v>
      </c>
      <c r="O34">
        <v>1</v>
      </c>
      <c r="P34">
        <f t="shared" si="0"/>
        <v>104.32844543499999</v>
      </c>
      <c r="R34" s="16">
        <f t="shared" ca="1" si="1"/>
        <v>920.78460562424232</v>
      </c>
      <c r="S34" s="14">
        <f t="shared" ca="1" si="2"/>
        <v>143.737258911</v>
      </c>
      <c r="T34" s="14">
        <f t="shared" ca="1" si="3"/>
        <v>148.47158813499999</v>
      </c>
      <c r="U34" s="14">
        <f t="shared" ca="1" si="4"/>
        <v>8</v>
      </c>
      <c r="V34" s="14"/>
      <c r="W34" s="14"/>
    </row>
    <row r="35" spans="1:23">
      <c r="A35">
        <f t="shared" si="5"/>
        <v>692.96532491822848</v>
      </c>
      <c r="B35">
        <v>14</v>
      </c>
      <c r="C35">
        <v>150.397903442</v>
      </c>
      <c r="D35">
        <v>14</v>
      </c>
      <c r="E35">
        <v>149.512252808</v>
      </c>
      <c r="F35">
        <v>14</v>
      </c>
      <c r="G35">
        <v>119.850471497</v>
      </c>
      <c r="H35">
        <v>14</v>
      </c>
      <c r="I35">
        <v>141.71601867699999</v>
      </c>
      <c r="K35">
        <f t="shared" si="6"/>
        <v>7.7962341310000056</v>
      </c>
      <c r="L35">
        <v>14</v>
      </c>
      <c r="M35">
        <v>254</v>
      </c>
      <c r="N35">
        <v>14</v>
      </c>
      <c r="O35">
        <v>1</v>
      </c>
      <c r="P35">
        <f t="shared" si="0"/>
        <v>103.602096558</v>
      </c>
      <c r="R35" s="16">
        <f t="shared" ca="1" si="1"/>
        <v>939.3064983645686</v>
      </c>
      <c r="S35" s="14">
        <f t="shared" ca="1" si="2"/>
        <v>140.68511962900001</v>
      </c>
      <c r="T35" s="14">
        <f t="shared" ca="1" si="3"/>
        <v>148.73545837399999</v>
      </c>
      <c r="U35" s="14">
        <f t="shared" ca="1" si="4"/>
        <v>10</v>
      </c>
      <c r="V35" s="14"/>
      <c r="W35" s="14"/>
    </row>
    <row r="36" spans="1:23">
      <c r="A36">
        <f t="shared" si="5"/>
        <v>693.89141955524474</v>
      </c>
      <c r="B36">
        <v>15</v>
      </c>
      <c r="C36">
        <v>146.15667724599999</v>
      </c>
      <c r="D36">
        <v>15</v>
      </c>
      <c r="E36">
        <v>150.22357177699999</v>
      </c>
      <c r="F36">
        <v>15</v>
      </c>
      <c r="G36">
        <v>119.980560303</v>
      </c>
      <c r="H36">
        <v>15</v>
      </c>
      <c r="I36">
        <v>137.21763610799999</v>
      </c>
      <c r="K36">
        <f t="shared" si="6"/>
        <v>13.005935668999996</v>
      </c>
      <c r="L36">
        <v>15</v>
      </c>
      <c r="M36">
        <v>254</v>
      </c>
      <c r="N36">
        <v>15</v>
      </c>
      <c r="O36">
        <v>1</v>
      </c>
      <c r="P36">
        <f t="shared" si="0"/>
        <v>107.84332275400001</v>
      </c>
      <c r="R36" s="16">
        <f t="shared" ca="1" si="1"/>
        <v>957.82839110489499</v>
      </c>
      <c r="S36" s="14">
        <f t="shared" ca="1" si="2"/>
        <v>141.135528564</v>
      </c>
      <c r="T36" s="14">
        <f t="shared" ca="1" si="3"/>
        <v>146.52986145</v>
      </c>
      <c r="U36" s="14">
        <f t="shared" ca="1" si="4"/>
        <v>11</v>
      </c>
      <c r="V36" s="14"/>
      <c r="W36" s="14"/>
    </row>
    <row r="37" spans="1:23">
      <c r="A37">
        <f t="shared" si="5"/>
        <v>694.81751419226111</v>
      </c>
      <c r="B37">
        <v>16</v>
      </c>
      <c r="C37">
        <v>146.88455200199999</v>
      </c>
      <c r="D37">
        <v>16</v>
      </c>
      <c r="E37">
        <v>150.59637451200001</v>
      </c>
      <c r="F37">
        <v>16</v>
      </c>
      <c r="G37">
        <v>119.316566467</v>
      </c>
      <c r="H37">
        <v>16</v>
      </c>
      <c r="I37">
        <v>137.27842712399999</v>
      </c>
      <c r="K37">
        <f t="shared" si="6"/>
        <v>13.317947388000022</v>
      </c>
      <c r="L37">
        <v>16</v>
      </c>
      <c r="M37">
        <v>254</v>
      </c>
      <c r="N37">
        <v>16</v>
      </c>
      <c r="O37">
        <v>1</v>
      </c>
      <c r="P37">
        <f t="shared" si="0"/>
        <v>107.11544799800001</v>
      </c>
      <c r="R37" s="16">
        <f t="shared" ca="1" si="1"/>
        <v>976.35028384522127</v>
      </c>
      <c r="S37" s="14">
        <f t="shared" ca="1" si="2"/>
        <v>139.0262146</v>
      </c>
      <c r="T37" s="14">
        <f t="shared" ca="1" si="3"/>
        <v>147.088134766</v>
      </c>
      <c r="U37" s="14">
        <f t="shared" ca="1" si="4"/>
        <v>12</v>
      </c>
      <c r="V37" s="14"/>
      <c r="W37" s="14"/>
    </row>
    <row r="38" spans="1:23">
      <c r="A38">
        <f t="shared" si="5"/>
        <v>695.74360882927738</v>
      </c>
      <c r="B38">
        <v>17</v>
      </c>
      <c r="C38">
        <v>151.087982178</v>
      </c>
      <c r="D38">
        <v>17</v>
      </c>
      <c r="E38">
        <v>150.28253173799999</v>
      </c>
      <c r="F38">
        <v>17</v>
      </c>
      <c r="G38">
        <v>119.61597442599999</v>
      </c>
      <c r="H38">
        <v>17</v>
      </c>
      <c r="I38">
        <v>138.60833740199999</v>
      </c>
      <c r="K38">
        <f t="shared" si="6"/>
        <v>11.674194335999999</v>
      </c>
      <c r="L38">
        <v>17</v>
      </c>
      <c r="M38">
        <v>254</v>
      </c>
      <c r="N38">
        <v>17</v>
      </c>
      <c r="O38">
        <v>1</v>
      </c>
      <c r="P38">
        <f t="shared" si="0"/>
        <v>102.912017822</v>
      </c>
      <c r="R38" s="16">
        <f t="shared" ca="1" si="1"/>
        <v>994.87217658554755</v>
      </c>
      <c r="S38" s="14">
        <f t="shared" ca="1" si="2"/>
        <v>139.041015625</v>
      </c>
      <c r="T38" s="14">
        <f t="shared" ca="1" si="3"/>
        <v>147.27455139200001</v>
      </c>
      <c r="U38" s="14">
        <f t="shared" ca="1" si="4"/>
        <v>12</v>
      </c>
      <c r="V38" s="14"/>
      <c r="W38" s="14"/>
    </row>
    <row r="39" spans="1:23">
      <c r="A39">
        <f t="shared" si="5"/>
        <v>696.66970346629364</v>
      </c>
      <c r="B39">
        <v>18</v>
      </c>
      <c r="C39">
        <v>150.81785583499999</v>
      </c>
      <c r="D39">
        <v>18</v>
      </c>
      <c r="E39">
        <v>149.718658447</v>
      </c>
      <c r="F39">
        <v>18</v>
      </c>
      <c r="G39">
        <v>119.40387725799999</v>
      </c>
      <c r="H39">
        <v>18</v>
      </c>
      <c r="I39">
        <v>138.00392150900001</v>
      </c>
      <c r="K39">
        <f t="shared" si="6"/>
        <v>11.714736937999987</v>
      </c>
      <c r="L39">
        <v>18</v>
      </c>
      <c r="M39">
        <v>254</v>
      </c>
      <c r="N39">
        <v>18</v>
      </c>
      <c r="O39">
        <v>1</v>
      </c>
      <c r="P39">
        <f t="shared" si="0"/>
        <v>103.18214416500001</v>
      </c>
      <c r="R39" s="16">
        <f t="shared" ca="1" si="1"/>
        <v>1013.3940693258739</v>
      </c>
      <c r="S39" s="14">
        <f t="shared" ca="1" si="2"/>
        <v>139.48985290499999</v>
      </c>
      <c r="T39" s="14">
        <f t="shared" ca="1" si="3"/>
        <v>149.01431274399999</v>
      </c>
      <c r="U39" s="14">
        <f t="shared" ca="1" si="4"/>
        <v>13</v>
      </c>
      <c r="V39" s="14"/>
      <c r="W39" s="14"/>
    </row>
    <row r="40" spans="1:23">
      <c r="A40">
        <f t="shared" si="5"/>
        <v>697.59579810331002</v>
      </c>
      <c r="B40">
        <v>19</v>
      </c>
      <c r="C40">
        <v>149.20211792000001</v>
      </c>
      <c r="D40">
        <v>19</v>
      </c>
      <c r="E40">
        <v>149.102859497</v>
      </c>
      <c r="F40">
        <v>19</v>
      </c>
      <c r="G40">
        <v>118.714538574</v>
      </c>
      <c r="H40">
        <v>19</v>
      </c>
      <c r="I40">
        <v>137.53697204599999</v>
      </c>
      <c r="K40">
        <f t="shared" si="6"/>
        <v>11.565887451000009</v>
      </c>
      <c r="L40">
        <v>19</v>
      </c>
      <c r="M40">
        <v>254.55589294399999</v>
      </c>
      <c r="N40">
        <v>19</v>
      </c>
      <c r="O40">
        <v>0.44411325499999998</v>
      </c>
      <c r="P40">
        <f t="shared" si="0"/>
        <v>105.35377502399999</v>
      </c>
      <c r="R40" s="16">
        <f t="shared" ca="1" si="1"/>
        <v>1031.9159620662003</v>
      </c>
      <c r="S40" s="14">
        <f t="shared" ca="1" si="2"/>
        <v>136.439651489</v>
      </c>
      <c r="T40" s="14">
        <f t="shared" ca="1" si="3"/>
        <v>147.287200928</v>
      </c>
      <c r="U40" s="14">
        <f t="shared" ca="1" si="4"/>
        <v>15</v>
      </c>
      <c r="V40" s="14"/>
      <c r="W40" s="14"/>
    </row>
    <row r="41" spans="1:23">
      <c r="A41">
        <f t="shared" si="5"/>
        <v>698.52189274032628</v>
      </c>
      <c r="B41">
        <v>20</v>
      </c>
      <c r="C41">
        <v>149.90823364299999</v>
      </c>
      <c r="D41">
        <v>20</v>
      </c>
      <c r="E41">
        <v>148.655151367</v>
      </c>
      <c r="F41">
        <v>20</v>
      </c>
      <c r="G41">
        <v>119.093887329</v>
      </c>
      <c r="H41">
        <v>20</v>
      </c>
      <c r="I41">
        <v>138.70416259800001</v>
      </c>
      <c r="K41">
        <f t="shared" si="6"/>
        <v>9.9509887689999914</v>
      </c>
      <c r="L41">
        <v>20</v>
      </c>
      <c r="M41">
        <v>255</v>
      </c>
      <c r="N41">
        <v>20</v>
      </c>
      <c r="O41">
        <v>0</v>
      </c>
      <c r="P41">
        <f t="shared" si="0"/>
        <v>105.09176635700001</v>
      </c>
      <c r="R41" s="16">
        <f t="shared" ca="1" si="1"/>
        <v>1050.4378548065265</v>
      </c>
      <c r="S41" s="14">
        <f t="shared" ca="1" si="2"/>
        <v>134.30480957</v>
      </c>
      <c r="T41" s="14">
        <f t="shared" ca="1" si="3"/>
        <v>141.15980529800001</v>
      </c>
      <c r="U41" s="14">
        <f t="shared" ca="1" si="4"/>
        <v>17</v>
      </c>
      <c r="V41" s="14"/>
      <c r="W41" s="14"/>
    </row>
    <row r="42" spans="1:23">
      <c r="A42">
        <f t="shared" si="5"/>
        <v>699.44798737734266</v>
      </c>
      <c r="B42">
        <v>21</v>
      </c>
      <c r="C42">
        <v>150.29957580600001</v>
      </c>
      <c r="D42">
        <v>21</v>
      </c>
      <c r="E42">
        <v>148.31297302199999</v>
      </c>
      <c r="F42">
        <v>21</v>
      </c>
      <c r="G42">
        <v>120.062591553</v>
      </c>
      <c r="H42">
        <v>21</v>
      </c>
      <c r="I42">
        <v>140.529418945</v>
      </c>
      <c r="K42">
        <f t="shared" si="6"/>
        <v>7.7835540769999909</v>
      </c>
      <c r="L42">
        <v>21</v>
      </c>
      <c r="M42">
        <v>254.59613037099999</v>
      </c>
      <c r="N42">
        <v>21</v>
      </c>
      <c r="O42">
        <v>0.403874815</v>
      </c>
      <c r="P42">
        <f t="shared" si="0"/>
        <v>104.29655456499998</v>
      </c>
      <c r="R42" s="16">
        <f t="shared" ca="1" si="1"/>
        <v>1068.9597475468529</v>
      </c>
      <c r="S42" s="14">
        <f t="shared" ca="1" si="2"/>
        <v>133.898925781</v>
      </c>
      <c r="T42" s="14">
        <f t="shared" ca="1" si="3"/>
        <v>147.109664917</v>
      </c>
      <c r="U42" s="14">
        <f t="shared" ca="1" si="4"/>
        <v>18</v>
      </c>
      <c r="V42" s="14"/>
      <c r="W42" s="14"/>
    </row>
    <row r="43" spans="1:23">
      <c r="A43">
        <f t="shared" si="5"/>
        <v>700.37408201435892</v>
      </c>
      <c r="B43">
        <v>22</v>
      </c>
      <c r="C43">
        <v>149.43374633799999</v>
      </c>
      <c r="D43">
        <v>22</v>
      </c>
      <c r="E43">
        <v>149.94366455100001</v>
      </c>
      <c r="F43">
        <v>22</v>
      </c>
      <c r="G43">
        <v>119.622947693</v>
      </c>
      <c r="H43">
        <v>22</v>
      </c>
      <c r="I43">
        <v>139.99345397900001</v>
      </c>
      <c r="K43">
        <f t="shared" si="6"/>
        <v>9.9502105720000031</v>
      </c>
      <c r="L43">
        <v>22</v>
      </c>
      <c r="M43">
        <v>254</v>
      </c>
      <c r="N43">
        <v>22</v>
      </c>
      <c r="O43">
        <v>1</v>
      </c>
      <c r="P43">
        <f t="shared" si="0"/>
        <v>104.56625366200001</v>
      </c>
      <c r="R43" s="16">
        <f t="shared" ca="1" si="1"/>
        <v>1087.4816402871793</v>
      </c>
      <c r="S43" s="14">
        <f t="shared" ca="1" si="2"/>
        <v>133.84950256299999</v>
      </c>
      <c r="T43" s="14">
        <f t="shared" ca="1" si="3"/>
        <v>142.00962829599999</v>
      </c>
      <c r="U43" s="14">
        <f t="shared" ca="1" si="4"/>
        <v>19</v>
      </c>
      <c r="V43" s="14"/>
      <c r="W43" s="14"/>
    </row>
    <row r="44" spans="1:23">
      <c r="A44">
        <f t="shared" si="5"/>
        <v>701.3001766513753</v>
      </c>
      <c r="B44">
        <v>23</v>
      </c>
      <c r="C44">
        <v>149.789627075</v>
      </c>
      <c r="D44">
        <v>23</v>
      </c>
      <c r="E44">
        <v>149.66838073700001</v>
      </c>
      <c r="F44">
        <v>23</v>
      </c>
      <c r="G44">
        <v>118.984596252</v>
      </c>
      <c r="H44">
        <v>23</v>
      </c>
      <c r="I44">
        <v>138.99160766599999</v>
      </c>
      <c r="K44">
        <f t="shared" si="6"/>
        <v>10.676773071000014</v>
      </c>
      <c r="L44">
        <v>23</v>
      </c>
      <c r="M44">
        <v>254</v>
      </c>
      <c r="N44">
        <v>23</v>
      </c>
      <c r="O44">
        <v>1</v>
      </c>
      <c r="P44">
        <f t="shared" si="0"/>
        <v>104.210372925</v>
      </c>
      <c r="R44" s="16">
        <f t="shared" ca="1" si="1"/>
        <v>1106.0035330275057</v>
      </c>
      <c r="S44" s="14">
        <f t="shared" ca="1" si="2"/>
        <v>127.0885849</v>
      </c>
      <c r="T44" s="14">
        <f t="shared" ca="1" si="3"/>
        <v>139.56973266599999</v>
      </c>
      <c r="U44" s="14">
        <f t="shared" ca="1" si="4"/>
        <v>20</v>
      </c>
      <c r="V44" s="14"/>
      <c r="W44" s="14"/>
    </row>
    <row r="45" spans="1:23">
      <c r="A45">
        <f t="shared" si="5"/>
        <v>702.22627128839156</v>
      </c>
      <c r="B45">
        <v>24</v>
      </c>
      <c r="C45">
        <v>149.764526367</v>
      </c>
      <c r="D45">
        <v>24</v>
      </c>
      <c r="E45">
        <v>149.47074890100001</v>
      </c>
      <c r="F45">
        <v>24</v>
      </c>
      <c r="G45">
        <v>119.149055481</v>
      </c>
      <c r="H45">
        <v>24</v>
      </c>
      <c r="I45">
        <v>139.10394287099999</v>
      </c>
      <c r="K45">
        <f t="shared" si="6"/>
        <v>10.366806030000021</v>
      </c>
      <c r="L45">
        <v>24</v>
      </c>
      <c r="M45">
        <v>254</v>
      </c>
      <c r="N45">
        <v>24</v>
      </c>
      <c r="O45">
        <v>1</v>
      </c>
      <c r="P45">
        <f t="shared" si="0"/>
        <v>104.235473633</v>
      </c>
      <c r="R45" s="16">
        <f t="shared" ca="1" si="1"/>
        <v>1124.5254257678321</v>
      </c>
      <c r="S45" s="14">
        <f t="shared" ca="1" si="2"/>
        <v>128.91275024399999</v>
      </c>
      <c r="T45" s="14">
        <f t="shared" ca="1" si="3"/>
        <v>140.84780883799999</v>
      </c>
      <c r="U45" s="14">
        <f t="shared" ca="1" si="4"/>
        <v>22</v>
      </c>
      <c r="V45" s="14"/>
      <c r="W45" s="14"/>
    </row>
    <row r="46" spans="1:23">
      <c r="A46">
        <f t="shared" si="5"/>
        <v>703.15236592540793</v>
      </c>
      <c r="B46">
        <v>25</v>
      </c>
      <c r="C46">
        <v>149.06756591800001</v>
      </c>
      <c r="D46">
        <v>25</v>
      </c>
      <c r="E46">
        <v>150.015701294</v>
      </c>
      <c r="F46">
        <v>25</v>
      </c>
      <c r="G46">
        <v>120.59333038299999</v>
      </c>
      <c r="H46">
        <v>25</v>
      </c>
      <c r="I46">
        <v>137.41766357399999</v>
      </c>
      <c r="K46">
        <f t="shared" si="6"/>
        <v>12.598037720000008</v>
      </c>
      <c r="L46">
        <v>25</v>
      </c>
      <c r="M46">
        <v>254</v>
      </c>
      <c r="N46">
        <v>25</v>
      </c>
      <c r="O46">
        <v>1</v>
      </c>
      <c r="P46">
        <f t="shared" si="0"/>
        <v>104.93243408199999</v>
      </c>
      <c r="R46" s="16">
        <f t="shared" ca="1" si="1"/>
        <v>1143.0473185081582</v>
      </c>
      <c r="S46" s="14">
        <f t="shared" ca="1" si="2"/>
        <v>128.940475464</v>
      </c>
      <c r="T46" s="14">
        <f t="shared" ca="1" si="3"/>
        <v>141.81321716299999</v>
      </c>
      <c r="U46" s="14">
        <f t="shared" ca="1" si="4"/>
        <v>23</v>
      </c>
      <c r="V46" s="14"/>
      <c r="W46" s="14"/>
    </row>
    <row r="47" spans="1:23">
      <c r="A47">
        <f t="shared" si="5"/>
        <v>704.0784605624242</v>
      </c>
      <c r="B47">
        <v>26</v>
      </c>
      <c r="C47">
        <v>150.45985412600001</v>
      </c>
      <c r="D47">
        <v>26</v>
      </c>
      <c r="E47">
        <v>149.78268432600001</v>
      </c>
      <c r="F47">
        <v>26</v>
      </c>
      <c r="G47">
        <v>121.570289612</v>
      </c>
      <c r="H47">
        <v>26</v>
      </c>
      <c r="I47">
        <v>140.98802185100001</v>
      </c>
      <c r="K47">
        <f t="shared" si="6"/>
        <v>8.7946624749999955</v>
      </c>
      <c r="L47">
        <v>26</v>
      </c>
      <c r="M47">
        <v>254</v>
      </c>
      <c r="N47">
        <v>26</v>
      </c>
      <c r="O47">
        <v>1</v>
      </c>
      <c r="P47">
        <f t="shared" si="0"/>
        <v>103.54014587399999</v>
      </c>
      <c r="R47" s="16">
        <f t="shared" ca="1" si="1"/>
        <v>1161.5692112484846</v>
      </c>
      <c r="S47" s="14">
        <f t="shared" ca="1" si="2"/>
        <v>123.46241760300001</v>
      </c>
      <c r="T47" s="14">
        <f t="shared" ca="1" si="3"/>
        <v>141.18447875999999</v>
      </c>
      <c r="U47" s="14">
        <f t="shared" ca="1" si="4"/>
        <v>24</v>
      </c>
      <c r="V47" s="14"/>
      <c r="W47" s="14"/>
    </row>
    <row r="48" spans="1:23">
      <c r="A48">
        <f t="shared" si="5"/>
        <v>705.00455519944057</v>
      </c>
      <c r="B48">
        <v>27</v>
      </c>
      <c r="C48">
        <v>149.28118896500001</v>
      </c>
      <c r="D48">
        <v>27</v>
      </c>
      <c r="E48">
        <v>149.40043640100001</v>
      </c>
      <c r="F48">
        <v>27</v>
      </c>
      <c r="G48">
        <v>121.421340942</v>
      </c>
      <c r="H48">
        <v>27</v>
      </c>
      <c r="I48">
        <v>140.30799865700001</v>
      </c>
      <c r="K48">
        <f t="shared" si="6"/>
        <v>9.0924377439999944</v>
      </c>
      <c r="L48">
        <v>27</v>
      </c>
      <c r="M48">
        <v>254</v>
      </c>
      <c r="N48">
        <v>27</v>
      </c>
      <c r="O48">
        <v>1</v>
      </c>
      <c r="P48">
        <f t="shared" si="0"/>
        <v>104.71881103499999</v>
      </c>
      <c r="R48" s="16">
        <f t="shared" ca="1" si="1"/>
        <v>1180.091103988811</v>
      </c>
      <c r="S48" s="14">
        <f t="shared" ca="1" si="2"/>
        <v>126.356803894</v>
      </c>
      <c r="T48" s="14">
        <f t="shared" ca="1" si="3"/>
        <v>138.31040954599999</v>
      </c>
      <c r="U48" s="14">
        <f t="shared" ca="1" si="4"/>
        <v>25</v>
      </c>
      <c r="V48" s="14"/>
      <c r="W48" s="14"/>
    </row>
    <row r="49" spans="1:23">
      <c r="A49">
        <f t="shared" si="5"/>
        <v>705.93064983645684</v>
      </c>
      <c r="B49">
        <v>28</v>
      </c>
      <c r="C49">
        <v>148.25233459500001</v>
      </c>
      <c r="D49">
        <v>28</v>
      </c>
      <c r="E49">
        <v>148.829788208</v>
      </c>
      <c r="F49">
        <v>28</v>
      </c>
      <c r="G49">
        <v>120.943435669</v>
      </c>
      <c r="H49">
        <v>28</v>
      </c>
      <c r="I49">
        <v>136.53263855</v>
      </c>
      <c r="K49">
        <f t="shared" si="6"/>
        <v>12.297149657999995</v>
      </c>
      <c r="L49">
        <v>28</v>
      </c>
      <c r="M49">
        <v>254</v>
      </c>
      <c r="N49">
        <v>28</v>
      </c>
      <c r="O49">
        <v>1</v>
      </c>
      <c r="P49">
        <f t="shared" si="0"/>
        <v>105.74766540499999</v>
      </c>
      <c r="R49" s="16">
        <f t="shared" ca="1" si="1"/>
        <v>1198.6129967291372</v>
      </c>
      <c r="S49" s="14">
        <f t="shared" ca="1" si="2"/>
        <v>121.66891479500001</v>
      </c>
      <c r="T49" s="14">
        <f t="shared" ca="1" si="3"/>
        <v>139.92880249000001</v>
      </c>
      <c r="U49" s="14">
        <f t="shared" ca="1" si="4"/>
        <v>26.710355758999999</v>
      </c>
      <c r="V49" s="14"/>
      <c r="W49" s="14"/>
    </row>
    <row r="50" spans="1:23">
      <c r="A50">
        <f t="shared" si="5"/>
        <v>706.85674447347321</v>
      </c>
      <c r="B50">
        <v>29</v>
      </c>
      <c r="C50">
        <v>149.51763915999999</v>
      </c>
      <c r="D50">
        <v>29</v>
      </c>
      <c r="E50">
        <v>149.088424683</v>
      </c>
      <c r="F50">
        <v>29</v>
      </c>
      <c r="G50">
        <v>120.964233398</v>
      </c>
      <c r="H50">
        <v>29</v>
      </c>
      <c r="I50">
        <v>136.74586486800001</v>
      </c>
      <c r="K50">
        <f t="shared" si="6"/>
        <v>12.342559814999987</v>
      </c>
      <c r="L50">
        <v>29</v>
      </c>
      <c r="M50">
        <v>254</v>
      </c>
      <c r="N50">
        <v>29</v>
      </c>
      <c r="O50">
        <v>1</v>
      </c>
      <c r="P50">
        <f t="shared" si="0"/>
        <v>104.48236084000001</v>
      </c>
      <c r="R50" s="16">
        <f t="shared" ca="1" si="1"/>
        <v>1217.1348894694636</v>
      </c>
      <c r="S50" s="14">
        <f t="shared" ca="1" si="2"/>
        <v>121.261749268</v>
      </c>
      <c r="T50" s="14">
        <f t="shared" ca="1" si="3"/>
        <v>136.333328247</v>
      </c>
      <c r="U50" s="14">
        <f t="shared" ca="1" si="4"/>
        <v>28</v>
      </c>
      <c r="V50" s="14"/>
      <c r="W50" s="14"/>
    </row>
    <row r="51" spans="1:23">
      <c r="A51">
        <f t="shared" si="5"/>
        <v>707.78283911048948</v>
      </c>
      <c r="B51">
        <v>30</v>
      </c>
      <c r="C51">
        <v>151.83987426799999</v>
      </c>
      <c r="D51">
        <v>30</v>
      </c>
      <c r="E51">
        <v>149.79598999000001</v>
      </c>
      <c r="F51">
        <v>30</v>
      </c>
      <c r="G51">
        <v>120.23439025899999</v>
      </c>
      <c r="H51">
        <v>30</v>
      </c>
      <c r="I51">
        <v>138.88047790499999</v>
      </c>
      <c r="K51">
        <f t="shared" si="6"/>
        <v>10.915512085000017</v>
      </c>
      <c r="L51">
        <v>30</v>
      </c>
      <c r="M51">
        <v>254</v>
      </c>
      <c r="N51">
        <v>30</v>
      </c>
      <c r="O51">
        <v>1</v>
      </c>
      <c r="P51">
        <f t="shared" si="0"/>
        <v>102.16012573200001</v>
      </c>
      <c r="R51" s="16">
        <f t="shared" ca="1" si="1"/>
        <v>1235.65678220979</v>
      </c>
      <c r="S51" s="14">
        <f t="shared" ca="1" si="2"/>
        <v>120.901847839</v>
      </c>
      <c r="T51" s="14">
        <f t="shared" ca="1" si="3"/>
        <v>137.94146728499999</v>
      </c>
      <c r="U51" s="14">
        <f t="shared" ca="1" si="4"/>
        <v>29</v>
      </c>
      <c r="V51" s="14"/>
      <c r="W51" s="14"/>
    </row>
    <row r="52" spans="1:23">
      <c r="A52">
        <f t="shared" si="5"/>
        <v>708.70893374750585</v>
      </c>
      <c r="B52">
        <v>31</v>
      </c>
      <c r="C52">
        <v>151.25802612300001</v>
      </c>
      <c r="D52">
        <v>31</v>
      </c>
      <c r="E52">
        <v>149.93362426799999</v>
      </c>
      <c r="F52">
        <v>31</v>
      </c>
      <c r="G52">
        <v>119.437744141</v>
      </c>
      <c r="H52">
        <v>31</v>
      </c>
      <c r="I52">
        <v>138.98101806599999</v>
      </c>
      <c r="K52">
        <f t="shared" si="6"/>
        <v>10.952606201999998</v>
      </c>
      <c r="L52">
        <v>31</v>
      </c>
      <c r="M52">
        <v>254</v>
      </c>
      <c r="N52">
        <v>31</v>
      </c>
      <c r="O52">
        <v>1</v>
      </c>
      <c r="P52">
        <f t="shared" si="0"/>
        <v>102.74197387699999</v>
      </c>
      <c r="R52" s="16">
        <f t="shared" ca="1" si="1"/>
        <v>1254.1786749501161</v>
      </c>
      <c r="S52" s="14">
        <f t="shared" ca="1" si="2"/>
        <v>117.16986846899999</v>
      </c>
      <c r="T52" s="14">
        <f t="shared" ca="1" si="3"/>
        <v>132.58915710400001</v>
      </c>
      <c r="U52" s="14">
        <f t="shared" ca="1" si="4"/>
        <v>31</v>
      </c>
      <c r="V52" s="14"/>
      <c r="W52" s="14"/>
    </row>
    <row r="53" spans="1:23">
      <c r="A53">
        <f t="shared" si="5"/>
        <v>709.63502838452212</v>
      </c>
      <c r="B53">
        <v>32</v>
      </c>
      <c r="C53">
        <v>150.43179321299999</v>
      </c>
      <c r="D53">
        <v>32</v>
      </c>
      <c r="E53">
        <v>149.78619384800001</v>
      </c>
      <c r="F53">
        <v>32</v>
      </c>
      <c r="G53">
        <v>119.61849212600001</v>
      </c>
      <c r="H53">
        <v>32</v>
      </c>
      <c r="I53">
        <v>136.25352477999999</v>
      </c>
      <c r="K53">
        <f t="shared" si="6"/>
        <v>13.532669068000018</v>
      </c>
      <c r="L53">
        <v>32</v>
      </c>
      <c r="M53">
        <v>254</v>
      </c>
      <c r="N53">
        <v>32</v>
      </c>
      <c r="O53">
        <v>1</v>
      </c>
      <c r="P53">
        <f t="shared" si="0"/>
        <v>103.56820678700001</v>
      </c>
      <c r="R53" s="16">
        <f t="shared" ref="R53:R74" ca="1" si="7">OFFSET( $A$21,(ROW(A53)-21)*20,0)</f>
        <v>1272.7005676904425</v>
      </c>
      <c r="S53" s="14">
        <f t="shared" ref="S53:S74" ca="1" si="8">OFFSET( $C$21,(ROW(C53)-21)*20,0)</f>
        <v>117.01143646200001</v>
      </c>
      <c r="T53" s="14">
        <f t="shared" ref="T53:T74" ca="1" si="9">OFFSET( $E$21,(ROW(E53)-21)*20,0)</f>
        <v>131.31195068400001</v>
      </c>
      <c r="U53" s="14">
        <f t="shared" ref="U53:U74" ca="1" si="10">OFFSET( $O$21,(ROW(O53)-21)*20,0)</f>
        <v>33</v>
      </c>
      <c r="V53" s="14"/>
      <c r="W53" s="14"/>
    </row>
    <row r="54" spans="1:23">
      <c r="A54">
        <f t="shared" si="5"/>
        <v>710.56112302153849</v>
      </c>
      <c r="B54">
        <v>33</v>
      </c>
      <c r="C54">
        <v>149.97003173799999</v>
      </c>
      <c r="D54">
        <v>33</v>
      </c>
      <c r="E54">
        <v>149.37326049800001</v>
      </c>
      <c r="F54">
        <v>33</v>
      </c>
      <c r="G54">
        <v>119.888206482</v>
      </c>
      <c r="H54">
        <v>33</v>
      </c>
      <c r="I54">
        <v>139.59091186500001</v>
      </c>
      <c r="K54">
        <f t="shared" si="6"/>
        <v>9.782348632999998</v>
      </c>
      <c r="L54">
        <v>33</v>
      </c>
      <c r="M54">
        <v>254</v>
      </c>
      <c r="N54">
        <v>33</v>
      </c>
      <c r="O54">
        <v>1</v>
      </c>
      <c r="P54">
        <f t="shared" si="0"/>
        <v>104.02996826200001</v>
      </c>
      <c r="R54" s="16">
        <f t="shared" ca="1" si="7"/>
        <v>1291.2224604307689</v>
      </c>
      <c r="S54" s="14">
        <f t="shared" ca="1" si="8"/>
        <v>113.487098694</v>
      </c>
      <c r="T54" s="14">
        <f t="shared" ca="1" si="9"/>
        <v>129.849975586</v>
      </c>
      <c r="U54" s="14">
        <f t="shared" ca="1" si="10"/>
        <v>34</v>
      </c>
      <c r="V54" s="14"/>
      <c r="W54" s="14"/>
    </row>
    <row r="55" spans="1:23">
      <c r="A55">
        <f t="shared" si="5"/>
        <v>711.48721765855475</v>
      </c>
      <c r="B55">
        <v>34</v>
      </c>
      <c r="C55">
        <v>148.254440308</v>
      </c>
      <c r="D55">
        <v>34</v>
      </c>
      <c r="E55">
        <v>149.06523132300001</v>
      </c>
      <c r="F55">
        <v>34</v>
      </c>
      <c r="G55">
        <v>119.949775696</v>
      </c>
      <c r="H55">
        <v>34</v>
      </c>
      <c r="I55">
        <v>142.62167358400001</v>
      </c>
      <c r="K55">
        <f t="shared" si="6"/>
        <v>6.4435577389999992</v>
      </c>
      <c r="L55">
        <v>34</v>
      </c>
      <c r="M55">
        <v>254</v>
      </c>
      <c r="N55">
        <v>34</v>
      </c>
      <c r="O55">
        <v>1</v>
      </c>
      <c r="P55">
        <f t="shared" si="0"/>
        <v>105.745559692</v>
      </c>
      <c r="R55" s="16">
        <f t="shared" ca="1" si="7"/>
        <v>1309.7443531710951</v>
      </c>
      <c r="S55" s="14">
        <f t="shared" ca="1" si="8"/>
        <v>117.324989319</v>
      </c>
      <c r="T55" s="14">
        <f t="shared" ca="1" si="9"/>
        <v>129.728149414</v>
      </c>
      <c r="U55" s="14">
        <f t="shared" ca="1" si="10"/>
        <v>36</v>
      </c>
      <c r="V55" s="14"/>
      <c r="W55" s="14"/>
    </row>
    <row r="56" spans="1:23">
      <c r="A56">
        <f t="shared" si="5"/>
        <v>712.41331229557113</v>
      </c>
      <c r="B56">
        <v>35</v>
      </c>
      <c r="C56">
        <v>150.359863281</v>
      </c>
      <c r="D56">
        <v>35</v>
      </c>
      <c r="E56">
        <v>149.84486389200001</v>
      </c>
      <c r="F56">
        <v>35</v>
      </c>
      <c r="G56">
        <v>120.549430847</v>
      </c>
      <c r="H56">
        <v>35</v>
      </c>
      <c r="I56">
        <v>137.922409058</v>
      </c>
      <c r="K56">
        <f t="shared" si="6"/>
        <v>11.922454834000007</v>
      </c>
      <c r="L56">
        <v>35</v>
      </c>
      <c r="M56">
        <v>254</v>
      </c>
      <c r="N56">
        <v>35</v>
      </c>
      <c r="O56">
        <v>1</v>
      </c>
      <c r="P56">
        <f t="shared" si="0"/>
        <v>103.640136719</v>
      </c>
      <c r="R56" s="16">
        <f t="shared" ca="1" si="7"/>
        <v>1328.2662459114217</v>
      </c>
      <c r="S56" s="14">
        <f t="shared" ca="1" si="8"/>
        <v>114.017967224</v>
      </c>
      <c r="T56" s="14">
        <f t="shared" ca="1" si="9"/>
        <v>130.15184020999999</v>
      </c>
      <c r="U56" s="14">
        <f t="shared" ca="1" si="10"/>
        <v>38</v>
      </c>
      <c r="V56" s="14"/>
      <c r="W56" s="14"/>
    </row>
    <row r="57" spans="1:23">
      <c r="A57">
        <f t="shared" si="5"/>
        <v>713.33940693258739</v>
      </c>
      <c r="B57">
        <v>36</v>
      </c>
      <c r="C57">
        <v>149.27098083499999</v>
      </c>
      <c r="D57">
        <v>36</v>
      </c>
      <c r="E57">
        <v>146.28321838400001</v>
      </c>
      <c r="F57">
        <v>36</v>
      </c>
      <c r="G57">
        <v>121.75428771999999</v>
      </c>
      <c r="H57">
        <v>36</v>
      </c>
      <c r="I57">
        <v>135.14169311500001</v>
      </c>
      <c r="K57">
        <f t="shared" si="6"/>
        <v>11.141525268999999</v>
      </c>
      <c r="L57">
        <v>36</v>
      </c>
      <c r="M57">
        <v>254</v>
      </c>
      <c r="N57">
        <v>36</v>
      </c>
      <c r="O57">
        <v>1</v>
      </c>
      <c r="P57">
        <f t="shared" si="0"/>
        <v>104.72901916500001</v>
      </c>
      <c r="R57" s="16">
        <f t="shared" ca="1" si="7"/>
        <v>1346.7881386517479</v>
      </c>
      <c r="S57" s="14">
        <f t="shared" ca="1" si="8"/>
        <v>109.063850403</v>
      </c>
      <c r="T57" s="14">
        <f t="shared" ca="1" si="9"/>
        <v>122.260726929</v>
      </c>
      <c r="U57" s="14">
        <f t="shared" ca="1" si="10"/>
        <v>40</v>
      </c>
      <c r="V57" s="14"/>
      <c r="W57" s="14"/>
    </row>
    <row r="58" spans="1:23">
      <c r="A58">
        <f t="shared" si="5"/>
        <v>714.26550156960366</v>
      </c>
      <c r="B58">
        <v>37</v>
      </c>
      <c r="C58">
        <v>147.45936584500001</v>
      </c>
      <c r="D58">
        <v>37</v>
      </c>
      <c r="E58">
        <v>147.24891662600001</v>
      </c>
      <c r="F58">
        <v>37</v>
      </c>
      <c r="G58">
        <v>121.834968567</v>
      </c>
      <c r="H58">
        <v>37</v>
      </c>
      <c r="I58">
        <v>137.6171875</v>
      </c>
      <c r="K58">
        <f t="shared" si="6"/>
        <v>9.6317291260000104</v>
      </c>
      <c r="L58">
        <v>37</v>
      </c>
      <c r="M58">
        <v>254</v>
      </c>
      <c r="N58">
        <v>37</v>
      </c>
      <c r="O58">
        <v>1</v>
      </c>
      <c r="P58">
        <f t="shared" si="0"/>
        <v>106.54063415499999</v>
      </c>
      <c r="R58" s="16">
        <f t="shared" ca="1" si="7"/>
        <v>1365.3100313920743</v>
      </c>
      <c r="S58" s="14">
        <f t="shared" ca="1" si="8"/>
        <v>110.21876525899999</v>
      </c>
      <c r="T58" s="14">
        <f t="shared" ca="1" si="9"/>
        <v>124.90921020499999</v>
      </c>
      <c r="U58" s="14">
        <f t="shared" ca="1" si="10"/>
        <v>41</v>
      </c>
      <c r="V58" s="14"/>
      <c r="W58" s="14"/>
    </row>
    <row r="59" spans="1:23">
      <c r="A59">
        <f t="shared" si="5"/>
        <v>715.19159620662003</v>
      </c>
      <c r="B59">
        <v>38</v>
      </c>
      <c r="C59">
        <v>149.467285156</v>
      </c>
      <c r="D59">
        <v>38</v>
      </c>
      <c r="E59">
        <v>149.29351806599999</v>
      </c>
      <c r="F59">
        <v>38</v>
      </c>
      <c r="G59">
        <v>120.729133606</v>
      </c>
      <c r="H59">
        <v>38</v>
      </c>
      <c r="I59">
        <v>140.65182495100001</v>
      </c>
      <c r="K59">
        <f t="shared" si="6"/>
        <v>8.6416931149999812</v>
      </c>
      <c r="L59">
        <v>38</v>
      </c>
      <c r="M59">
        <v>254</v>
      </c>
      <c r="N59">
        <v>38</v>
      </c>
      <c r="O59">
        <v>1</v>
      </c>
      <c r="P59">
        <f t="shared" si="0"/>
        <v>104.532714844</v>
      </c>
      <c r="R59" s="16">
        <f t="shared" ca="1" si="7"/>
        <v>1383.8319241324007</v>
      </c>
      <c r="S59" s="14">
        <f t="shared" ca="1" si="8"/>
        <v>107.070770264</v>
      </c>
      <c r="T59" s="14">
        <f t="shared" ca="1" si="9"/>
        <v>125.40967559800001</v>
      </c>
      <c r="U59" s="14">
        <f t="shared" ca="1" si="10"/>
        <v>43</v>
      </c>
      <c r="V59" s="14"/>
      <c r="W59" s="14"/>
    </row>
    <row r="60" spans="1:23">
      <c r="A60">
        <f t="shared" si="5"/>
        <v>716.1176908436363</v>
      </c>
      <c r="B60">
        <v>39</v>
      </c>
      <c r="C60">
        <v>149.91351318400001</v>
      </c>
      <c r="D60">
        <v>39</v>
      </c>
      <c r="E60">
        <v>149.52528381299999</v>
      </c>
      <c r="F60">
        <v>39</v>
      </c>
      <c r="G60">
        <v>120.331100464</v>
      </c>
      <c r="H60">
        <v>39</v>
      </c>
      <c r="I60">
        <v>140.393630981</v>
      </c>
      <c r="K60">
        <f t="shared" si="6"/>
        <v>9.1316528319999861</v>
      </c>
      <c r="L60">
        <v>39</v>
      </c>
      <c r="M60">
        <v>254</v>
      </c>
      <c r="N60">
        <v>39</v>
      </c>
      <c r="O60">
        <v>1</v>
      </c>
      <c r="P60">
        <f t="shared" si="0"/>
        <v>104.08648681599999</v>
      </c>
      <c r="R60" s="16">
        <f t="shared" ca="1" si="7"/>
        <v>1402.3538168727268</v>
      </c>
      <c r="S60" s="14">
        <f t="shared" ca="1" si="8"/>
        <v>104.169631958</v>
      </c>
      <c r="T60" s="14">
        <f t="shared" ca="1" si="9"/>
        <v>120.617797852</v>
      </c>
      <c r="U60" s="14">
        <f t="shared" ca="1" si="10"/>
        <v>45</v>
      </c>
      <c r="V60" s="14"/>
      <c r="W60" s="14"/>
    </row>
    <row r="61" spans="1:23">
      <c r="A61">
        <f t="shared" si="5"/>
        <v>717.04378548065267</v>
      </c>
      <c r="B61">
        <v>40</v>
      </c>
      <c r="C61">
        <v>148.77317810100001</v>
      </c>
      <c r="D61">
        <v>40</v>
      </c>
      <c r="E61">
        <v>149.753448486</v>
      </c>
      <c r="F61">
        <v>40</v>
      </c>
      <c r="G61">
        <v>120.453033447</v>
      </c>
      <c r="H61">
        <v>40</v>
      </c>
      <c r="I61">
        <v>138.869674683</v>
      </c>
      <c r="K61">
        <f t="shared" si="6"/>
        <v>10.883773802999997</v>
      </c>
      <c r="L61">
        <v>40</v>
      </c>
      <c r="M61">
        <v>254</v>
      </c>
      <c r="N61">
        <v>40</v>
      </c>
      <c r="O61">
        <v>1</v>
      </c>
      <c r="P61">
        <f t="shared" si="0"/>
        <v>105.22682189899999</v>
      </c>
      <c r="R61" s="16">
        <f t="shared" ca="1" si="7"/>
        <v>1420.8757096130532</v>
      </c>
      <c r="S61" s="14">
        <f t="shared" ca="1" si="8"/>
        <v>105.985099792</v>
      </c>
      <c r="T61" s="14">
        <f t="shared" ca="1" si="9"/>
        <v>121.792243958</v>
      </c>
      <c r="U61" s="14">
        <f t="shared" ca="1" si="10"/>
        <v>47</v>
      </c>
      <c r="V61" s="14"/>
      <c r="W61" s="14"/>
    </row>
    <row r="62" spans="1:23">
      <c r="A62">
        <f t="shared" si="5"/>
        <v>717.96988011766894</v>
      </c>
      <c r="B62">
        <v>41</v>
      </c>
      <c r="C62">
        <v>149.172073364</v>
      </c>
      <c r="D62">
        <v>41</v>
      </c>
      <c r="E62">
        <v>153.22781372099999</v>
      </c>
      <c r="F62">
        <v>41</v>
      </c>
      <c r="G62">
        <v>120.567810059</v>
      </c>
      <c r="H62">
        <v>41</v>
      </c>
      <c r="I62">
        <v>139.21502685499999</v>
      </c>
      <c r="K62">
        <f t="shared" si="6"/>
        <v>14.012786865999999</v>
      </c>
      <c r="L62">
        <v>41</v>
      </c>
      <c r="M62">
        <v>254</v>
      </c>
      <c r="N62">
        <v>41</v>
      </c>
      <c r="O62">
        <v>1</v>
      </c>
      <c r="P62">
        <f t="shared" si="0"/>
        <v>104.827926636</v>
      </c>
      <c r="R62" s="16">
        <f t="shared" ca="1" si="7"/>
        <v>1439.3976023533796</v>
      </c>
      <c r="S62" s="14">
        <f t="shared" ca="1" si="8"/>
        <v>100.30188751199999</v>
      </c>
      <c r="T62" s="14">
        <f t="shared" ca="1" si="9"/>
        <v>117.375366211</v>
      </c>
      <c r="U62" s="14">
        <f t="shared" ca="1" si="10"/>
        <v>49</v>
      </c>
      <c r="V62" s="14"/>
      <c r="W62" s="14"/>
    </row>
    <row r="63" spans="1:23">
      <c r="A63">
        <f t="shared" si="5"/>
        <v>718.89597475468531</v>
      </c>
      <c r="B63">
        <v>42</v>
      </c>
      <c r="C63">
        <v>151.14804077100001</v>
      </c>
      <c r="D63">
        <v>42</v>
      </c>
      <c r="E63">
        <v>152.076263428</v>
      </c>
      <c r="F63">
        <v>42</v>
      </c>
      <c r="G63">
        <v>120.753105164</v>
      </c>
      <c r="H63">
        <v>42</v>
      </c>
      <c r="I63">
        <v>139.244140625</v>
      </c>
      <c r="K63">
        <f t="shared" si="6"/>
        <v>12.832122803000004</v>
      </c>
      <c r="L63">
        <v>42</v>
      </c>
      <c r="M63">
        <v>254</v>
      </c>
      <c r="N63">
        <v>42</v>
      </c>
      <c r="O63">
        <v>1</v>
      </c>
      <c r="P63">
        <f t="shared" si="0"/>
        <v>102.85195922899999</v>
      </c>
      <c r="R63" s="16">
        <f t="shared" ca="1" si="7"/>
        <v>1457.9194950937058</v>
      </c>
      <c r="S63" s="14">
        <f t="shared" ca="1" si="8"/>
        <v>101.620826721</v>
      </c>
      <c r="T63" s="14">
        <f t="shared" ca="1" si="9"/>
        <v>116.178451538</v>
      </c>
      <c r="U63" s="14">
        <f t="shared" ca="1" si="10"/>
        <v>50</v>
      </c>
      <c r="V63" s="14"/>
      <c r="W63" s="14"/>
    </row>
    <row r="64" spans="1:23">
      <c r="A64">
        <f t="shared" si="5"/>
        <v>719.82206939170158</v>
      </c>
      <c r="B64">
        <v>43</v>
      </c>
      <c r="C64">
        <v>152.08023071299999</v>
      </c>
      <c r="D64">
        <v>43</v>
      </c>
      <c r="E64">
        <v>148.427734375</v>
      </c>
      <c r="F64">
        <v>43</v>
      </c>
      <c r="G64">
        <v>120.807502747</v>
      </c>
      <c r="H64">
        <v>43</v>
      </c>
      <c r="I64">
        <v>136.85038757300001</v>
      </c>
      <c r="K64">
        <f t="shared" si="6"/>
        <v>11.577346801999994</v>
      </c>
      <c r="L64">
        <v>43</v>
      </c>
      <c r="M64">
        <v>254</v>
      </c>
      <c r="N64">
        <v>43</v>
      </c>
      <c r="O64">
        <v>1</v>
      </c>
      <c r="P64">
        <f t="shared" si="0"/>
        <v>101.91976928700001</v>
      </c>
      <c r="R64" s="16">
        <f t="shared" ca="1" si="7"/>
        <v>1476.4413878340322</v>
      </c>
      <c r="S64" s="14">
        <f t="shared" ca="1" si="8"/>
        <v>98.821029663000004</v>
      </c>
      <c r="T64" s="14">
        <f t="shared" ca="1" si="9"/>
        <v>115.341171265</v>
      </c>
      <c r="U64" s="14">
        <f t="shared" ca="1" si="10"/>
        <v>52</v>
      </c>
      <c r="V64" s="14"/>
      <c r="W64" s="14"/>
    </row>
    <row r="65" spans="1:23">
      <c r="A65">
        <f t="shared" si="5"/>
        <v>720.74816402871795</v>
      </c>
      <c r="B65">
        <v>44</v>
      </c>
      <c r="C65">
        <v>152.03456115700001</v>
      </c>
      <c r="D65">
        <v>44</v>
      </c>
      <c r="E65">
        <v>153.066574097</v>
      </c>
      <c r="F65">
        <v>44</v>
      </c>
      <c r="G65">
        <v>120.43169403100001</v>
      </c>
      <c r="H65">
        <v>44</v>
      </c>
      <c r="I65">
        <v>134.529418945</v>
      </c>
      <c r="K65">
        <f t="shared" si="6"/>
        <v>18.537155151999997</v>
      </c>
      <c r="L65">
        <v>44</v>
      </c>
      <c r="M65">
        <v>254</v>
      </c>
      <c r="N65">
        <v>44</v>
      </c>
      <c r="O65">
        <v>1</v>
      </c>
      <c r="P65">
        <f t="shared" si="0"/>
        <v>101.96543884299999</v>
      </c>
      <c r="R65" s="16">
        <f t="shared" ca="1" si="7"/>
        <v>1494.9632805743586</v>
      </c>
      <c r="S65" s="14">
        <f t="shared" ca="1" si="8"/>
        <v>94.184791564999998</v>
      </c>
      <c r="T65" s="14">
        <f t="shared" ca="1" si="9"/>
        <v>115.75332641599999</v>
      </c>
      <c r="U65" s="14">
        <f t="shared" ca="1" si="10"/>
        <v>56</v>
      </c>
      <c r="V65" s="14"/>
      <c r="W65" s="14"/>
    </row>
    <row r="66" spans="1:23">
      <c r="A66">
        <f t="shared" si="5"/>
        <v>721.67425866573421</v>
      </c>
      <c r="B66">
        <v>45</v>
      </c>
      <c r="C66">
        <v>150.306930542</v>
      </c>
      <c r="D66">
        <v>45</v>
      </c>
      <c r="E66">
        <v>152.94496154800001</v>
      </c>
      <c r="F66">
        <v>45</v>
      </c>
      <c r="G66">
        <v>120.72578430199999</v>
      </c>
      <c r="H66">
        <v>45</v>
      </c>
      <c r="I66">
        <v>135.382354736</v>
      </c>
      <c r="K66">
        <f t="shared" si="6"/>
        <v>17.562606812000013</v>
      </c>
      <c r="L66">
        <v>45</v>
      </c>
      <c r="M66">
        <v>254</v>
      </c>
      <c r="N66">
        <v>45</v>
      </c>
      <c r="O66">
        <v>1</v>
      </c>
      <c r="P66">
        <f t="shared" si="0"/>
        <v>103.693069458</v>
      </c>
      <c r="R66" s="16">
        <f t="shared" ca="1" si="7"/>
        <v>1513.4851733146847</v>
      </c>
      <c r="S66" s="14">
        <f t="shared" ca="1" si="8"/>
        <v>97.752967834000003</v>
      </c>
      <c r="T66" s="14">
        <f t="shared" ca="1" si="9"/>
        <v>110.123252869</v>
      </c>
      <c r="U66" s="14">
        <f t="shared" ca="1" si="10"/>
        <v>57</v>
      </c>
      <c r="V66" s="14"/>
      <c r="W66" s="14"/>
    </row>
    <row r="67" spans="1:23">
      <c r="A67">
        <f t="shared" si="5"/>
        <v>722.60035330275059</v>
      </c>
      <c r="B67">
        <v>46</v>
      </c>
      <c r="C67">
        <v>150.189163208</v>
      </c>
      <c r="D67">
        <v>46</v>
      </c>
      <c r="E67">
        <v>150.835327148</v>
      </c>
      <c r="F67">
        <v>46</v>
      </c>
      <c r="G67">
        <v>121.05258941699999</v>
      </c>
      <c r="H67">
        <v>46</v>
      </c>
      <c r="I67">
        <v>139.12660217300001</v>
      </c>
      <c r="K67">
        <f t="shared" si="6"/>
        <v>11.708724974999996</v>
      </c>
      <c r="L67">
        <v>46</v>
      </c>
      <c r="M67">
        <v>254</v>
      </c>
      <c r="N67">
        <v>46</v>
      </c>
      <c r="O67">
        <v>1</v>
      </c>
      <c r="P67">
        <f t="shared" si="0"/>
        <v>103.810836792</v>
      </c>
      <c r="R67" s="16">
        <f t="shared" ca="1" si="7"/>
        <v>1532.0070660550114</v>
      </c>
      <c r="S67" s="14">
        <f t="shared" ca="1" si="8"/>
        <v>94.853279114000003</v>
      </c>
      <c r="T67" s="14">
        <f t="shared" ca="1" si="9"/>
        <v>110.16358947800001</v>
      </c>
      <c r="U67" s="14">
        <f t="shared" ca="1" si="10"/>
        <v>61</v>
      </c>
      <c r="V67" s="14"/>
      <c r="W67" s="14"/>
    </row>
    <row r="68" spans="1:23">
      <c r="A68">
        <f t="shared" si="5"/>
        <v>723.52644793976685</v>
      </c>
      <c r="B68">
        <v>47</v>
      </c>
      <c r="C68">
        <v>150.41293335</v>
      </c>
      <c r="D68">
        <v>47</v>
      </c>
      <c r="E68">
        <v>152.47076415999999</v>
      </c>
      <c r="F68">
        <v>47</v>
      </c>
      <c r="G68">
        <v>120.999008179</v>
      </c>
      <c r="H68">
        <v>47</v>
      </c>
      <c r="I68">
        <v>142.288040161</v>
      </c>
      <c r="K68">
        <f t="shared" si="6"/>
        <v>10.18272399899999</v>
      </c>
      <c r="L68">
        <v>47</v>
      </c>
      <c r="M68">
        <v>254</v>
      </c>
      <c r="N68">
        <v>47</v>
      </c>
      <c r="O68">
        <v>1</v>
      </c>
      <c r="P68">
        <f t="shared" si="0"/>
        <v>103.58706665</v>
      </c>
      <c r="R68" s="16">
        <f t="shared" ca="1" si="7"/>
        <v>1550.5289587953375</v>
      </c>
      <c r="S68" s="14">
        <f t="shared" ca="1" si="8"/>
        <v>89.285606384000005</v>
      </c>
      <c r="T68" s="14">
        <f t="shared" ca="1" si="9"/>
        <v>106.614082336</v>
      </c>
      <c r="U68" s="14">
        <f t="shared" ca="1" si="10"/>
        <v>62</v>
      </c>
      <c r="V68" s="14"/>
      <c r="W68" s="14"/>
    </row>
    <row r="69" spans="1:23">
      <c r="A69">
        <f t="shared" si="5"/>
        <v>724.45254257678323</v>
      </c>
      <c r="B69">
        <v>48</v>
      </c>
      <c r="C69">
        <v>150.15090942399999</v>
      </c>
      <c r="D69">
        <v>48</v>
      </c>
      <c r="E69">
        <v>153.023162842</v>
      </c>
      <c r="F69">
        <v>48</v>
      </c>
      <c r="G69">
        <v>120.74366760300001</v>
      </c>
      <c r="H69">
        <v>48</v>
      </c>
      <c r="I69">
        <v>141.58039855999999</v>
      </c>
      <c r="K69">
        <f t="shared" si="6"/>
        <v>11.442764282000013</v>
      </c>
      <c r="L69">
        <v>48</v>
      </c>
      <c r="M69">
        <v>254</v>
      </c>
      <c r="N69">
        <v>48</v>
      </c>
      <c r="O69">
        <v>1</v>
      </c>
      <c r="P69">
        <f t="shared" si="0"/>
        <v>103.84909057600001</v>
      </c>
      <c r="R69" s="16">
        <f t="shared" ca="1" si="7"/>
        <v>1569.0508515356639</v>
      </c>
      <c r="S69" s="14">
        <f t="shared" ca="1" si="8"/>
        <v>86.896942139000004</v>
      </c>
      <c r="T69" s="14">
        <f t="shared" ca="1" si="9"/>
        <v>104.58684539799999</v>
      </c>
      <c r="U69" s="14">
        <f t="shared" ca="1" si="10"/>
        <v>64</v>
      </c>
      <c r="V69" s="14"/>
      <c r="W69" s="14"/>
    </row>
    <row r="70" spans="1:23">
      <c r="A70">
        <f t="shared" si="5"/>
        <v>725.37863721379949</v>
      </c>
      <c r="B70">
        <v>49</v>
      </c>
      <c r="C70">
        <v>150.13792419399999</v>
      </c>
      <c r="D70">
        <v>49</v>
      </c>
      <c r="E70">
        <v>152.14573669399999</v>
      </c>
      <c r="F70">
        <v>49</v>
      </c>
      <c r="G70">
        <v>120.48832702599999</v>
      </c>
      <c r="H70">
        <v>49</v>
      </c>
      <c r="I70">
        <v>137.51373290999999</v>
      </c>
      <c r="K70">
        <f t="shared" si="6"/>
        <v>14.632003784000005</v>
      </c>
      <c r="L70">
        <v>49</v>
      </c>
      <c r="M70">
        <v>254</v>
      </c>
      <c r="N70">
        <v>49</v>
      </c>
      <c r="O70">
        <v>1</v>
      </c>
      <c r="P70">
        <f t="shared" si="0"/>
        <v>103.86207580600001</v>
      </c>
      <c r="R70" s="16">
        <f t="shared" ca="1" si="7"/>
        <v>1587.5727442759903</v>
      </c>
      <c r="S70" s="14">
        <f t="shared" ca="1" si="8"/>
        <v>84.791046143000003</v>
      </c>
      <c r="T70" s="14">
        <f t="shared" ca="1" si="9"/>
        <v>106.44763946499999</v>
      </c>
      <c r="U70" s="14">
        <f t="shared" ca="1" si="10"/>
        <v>67</v>
      </c>
      <c r="V70" s="14"/>
      <c r="W70" s="14"/>
    </row>
    <row r="71" spans="1:23">
      <c r="A71">
        <f t="shared" si="5"/>
        <v>726.30473185081587</v>
      </c>
      <c r="B71">
        <v>50</v>
      </c>
      <c r="C71">
        <v>149.97354125999999</v>
      </c>
      <c r="D71">
        <v>50</v>
      </c>
      <c r="E71">
        <v>150.42227172899999</v>
      </c>
      <c r="F71">
        <v>50</v>
      </c>
      <c r="G71">
        <v>120.66443633999999</v>
      </c>
      <c r="H71">
        <v>50</v>
      </c>
      <c r="I71">
        <v>134.90728759800001</v>
      </c>
      <c r="K71">
        <f t="shared" si="6"/>
        <v>15.514984130999977</v>
      </c>
      <c r="L71">
        <v>50</v>
      </c>
      <c r="M71">
        <v>254</v>
      </c>
      <c r="N71">
        <v>50</v>
      </c>
      <c r="O71">
        <v>1</v>
      </c>
      <c r="P71">
        <f t="shared" si="0"/>
        <v>104.02645874000001</v>
      </c>
      <c r="R71" s="16">
        <f t="shared" ca="1" si="7"/>
        <v>1606.0946370163165</v>
      </c>
      <c r="S71" s="14">
        <f t="shared" ca="1" si="8"/>
        <v>82.528984070000007</v>
      </c>
      <c r="T71" s="14">
        <f t="shared" ca="1" si="9"/>
        <v>103.929916382</v>
      </c>
      <c r="U71" s="14">
        <f t="shared" ca="1" si="10"/>
        <v>68</v>
      </c>
      <c r="V71" s="14"/>
      <c r="W71" s="14"/>
    </row>
    <row r="72" spans="1:23">
      <c r="A72">
        <f t="shared" si="5"/>
        <v>727.23082648783213</v>
      </c>
      <c r="B72">
        <v>51</v>
      </c>
      <c r="C72">
        <v>149.42356872600001</v>
      </c>
      <c r="D72">
        <v>51</v>
      </c>
      <c r="E72">
        <v>150.28636169399999</v>
      </c>
      <c r="F72">
        <v>51</v>
      </c>
      <c r="G72">
        <v>121.911933899</v>
      </c>
      <c r="H72">
        <v>51</v>
      </c>
      <c r="I72">
        <v>136.288330078</v>
      </c>
      <c r="K72">
        <f t="shared" si="6"/>
        <v>13.998031615999992</v>
      </c>
      <c r="L72">
        <v>51</v>
      </c>
      <c r="M72">
        <v>254</v>
      </c>
      <c r="N72">
        <v>51</v>
      </c>
      <c r="O72">
        <v>1</v>
      </c>
      <c r="P72">
        <f t="shared" si="0"/>
        <v>104.57643127399999</v>
      </c>
      <c r="R72" s="16">
        <f t="shared" ca="1" si="7"/>
        <v>1624.6165297566429</v>
      </c>
      <c r="S72" s="14">
        <f t="shared" ca="1" si="8"/>
        <v>76.967315674000005</v>
      </c>
      <c r="T72" s="14">
        <f t="shared" ca="1" si="9"/>
        <v>101.463066101</v>
      </c>
      <c r="U72" s="14">
        <f t="shared" ca="1" si="10"/>
        <v>72</v>
      </c>
      <c r="V72" s="14"/>
      <c r="W72" s="14"/>
    </row>
    <row r="73" spans="1:23">
      <c r="A73">
        <f t="shared" si="5"/>
        <v>728.15692112484851</v>
      </c>
      <c r="B73">
        <v>52</v>
      </c>
      <c r="C73">
        <v>149.261627197</v>
      </c>
      <c r="D73">
        <v>52</v>
      </c>
      <c r="E73">
        <v>152.155593872</v>
      </c>
      <c r="F73">
        <v>52</v>
      </c>
      <c r="G73">
        <v>122.777450562</v>
      </c>
      <c r="H73">
        <v>52</v>
      </c>
      <c r="I73">
        <v>139.552078247</v>
      </c>
      <c r="K73">
        <f t="shared" si="6"/>
        <v>12.603515625</v>
      </c>
      <c r="L73">
        <v>52</v>
      </c>
      <c r="M73">
        <v>254</v>
      </c>
      <c r="N73">
        <v>52</v>
      </c>
      <c r="O73">
        <v>1</v>
      </c>
      <c r="P73">
        <f t="shared" si="0"/>
        <v>104.738372803</v>
      </c>
      <c r="R73" s="16">
        <f t="shared" ca="1" si="7"/>
        <v>1643.1384224969693</v>
      </c>
      <c r="S73" s="14">
        <f t="shared" ca="1" si="8"/>
        <v>72.091873168999996</v>
      </c>
      <c r="T73" s="14">
        <f t="shared" ca="1" si="9"/>
        <v>97.871910095000004</v>
      </c>
      <c r="U73" s="14">
        <f t="shared" ca="1" si="10"/>
        <v>76</v>
      </c>
      <c r="V73" s="14"/>
      <c r="W73" s="14"/>
    </row>
    <row r="74" spans="1:23">
      <c r="A74">
        <f t="shared" si="5"/>
        <v>729.08301576186477</v>
      </c>
      <c r="B74">
        <v>53</v>
      </c>
      <c r="C74">
        <v>150.63406372099999</v>
      </c>
      <c r="D74">
        <v>53</v>
      </c>
      <c r="E74">
        <v>153.53323364299999</v>
      </c>
      <c r="F74">
        <v>53</v>
      </c>
      <c r="G74">
        <v>122.201194763</v>
      </c>
      <c r="H74">
        <v>53</v>
      </c>
      <c r="I74">
        <v>141.514205933</v>
      </c>
      <c r="K74">
        <f t="shared" si="6"/>
        <v>12.019027709999989</v>
      </c>
      <c r="L74">
        <v>53</v>
      </c>
      <c r="M74">
        <v>254</v>
      </c>
      <c r="N74">
        <v>53</v>
      </c>
      <c r="O74">
        <v>1</v>
      </c>
      <c r="P74">
        <f t="shared" si="0"/>
        <v>103.36593627900001</v>
      </c>
      <c r="R74" s="16">
        <f t="shared" ca="1" si="7"/>
        <v>1661.6603152372954</v>
      </c>
      <c r="S74" s="14">
        <f t="shared" ca="1" si="8"/>
        <v>71.332138061999999</v>
      </c>
      <c r="T74" s="14">
        <f t="shared" ca="1" si="9"/>
        <v>95.875091553000004</v>
      </c>
      <c r="U74" s="14">
        <f t="shared" ca="1" si="10"/>
        <v>80</v>
      </c>
      <c r="V74" s="14"/>
      <c r="W74" s="14"/>
    </row>
    <row r="75" spans="1:23">
      <c r="A75">
        <f t="shared" si="5"/>
        <v>730.00911039888115</v>
      </c>
      <c r="B75">
        <v>54</v>
      </c>
      <c r="C75">
        <v>148.61634826700001</v>
      </c>
      <c r="D75">
        <v>54</v>
      </c>
      <c r="E75">
        <v>153.394454956</v>
      </c>
      <c r="F75">
        <v>54</v>
      </c>
      <c r="G75">
        <v>120.32686615</v>
      </c>
      <c r="H75">
        <v>54</v>
      </c>
      <c r="I75">
        <v>138.72984314000001</v>
      </c>
      <c r="K75">
        <f t="shared" si="6"/>
        <v>14.66461181599999</v>
      </c>
      <c r="L75">
        <v>54</v>
      </c>
      <c r="M75">
        <v>254</v>
      </c>
      <c r="N75">
        <v>54</v>
      </c>
      <c r="O75">
        <v>1</v>
      </c>
      <c r="P75">
        <f t="shared" si="0"/>
        <v>105.38365173299999</v>
      </c>
      <c r="R75" s="16"/>
      <c r="S75" s="14"/>
      <c r="T75" s="14"/>
      <c r="U75" s="14"/>
      <c r="V75" s="14"/>
      <c r="W75" s="14"/>
    </row>
    <row r="76" spans="1:23">
      <c r="A76">
        <f t="shared" si="5"/>
        <v>730.93520503589741</v>
      </c>
      <c r="B76">
        <v>55</v>
      </c>
      <c r="C76">
        <v>150.11309814500001</v>
      </c>
      <c r="D76">
        <v>55</v>
      </c>
      <c r="E76">
        <v>151.383666992</v>
      </c>
      <c r="F76">
        <v>55</v>
      </c>
      <c r="G76">
        <v>120.615699768</v>
      </c>
      <c r="H76">
        <v>55</v>
      </c>
      <c r="I76">
        <v>138.045776367</v>
      </c>
      <c r="K76">
        <f t="shared" si="6"/>
        <v>13.337890625</v>
      </c>
      <c r="L76">
        <v>55</v>
      </c>
      <c r="M76">
        <v>254</v>
      </c>
      <c r="N76">
        <v>55</v>
      </c>
      <c r="O76">
        <v>1</v>
      </c>
      <c r="P76">
        <f t="shared" si="0"/>
        <v>103.88690185499999</v>
      </c>
      <c r="R76" s="16"/>
      <c r="S76" s="14"/>
      <c r="T76" s="14"/>
      <c r="U76" s="14"/>
      <c r="V76" s="14"/>
      <c r="W76" s="14"/>
    </row>
    <row r="77" spans="1:23">
      <c r="A77">
        <f t="shared" si="5"/>
        <v>731.86129967291367</v>
      </c>
      <c r="B77">
        <v>56</v>
      </c>
      <c r="C77">
        <v>148.46879577600001</v>
      </c>
      <c r="D77">
        <v>56</v>
      </c>
      <c r="E77">
        <v>144.478424072</v>
      </c>
      <c r="F77">
        <v>56</v>
      </c>
      <c r="G77">
        <v>122.563415527</v>
      </c>
      <c r="H77">
        <v>56</v>
      </c>
      <c r="I77">
        <v>141.62103271500001</v>
      </c>
      <c r="K77">
        <f t="shared" si="6"/>
        <v>2.8573913569999831</v>
      </c>
      <c r="L77">
        <v>56</v>
      </c>
      <c r="M77">
        <v>254</v>
      </c>
      <c r="N77">
        <v>56</v>
      </c>
      <c r="O77">
        <v>1</v>
      </c>
      <c r="P77">
        <f t="shared" si="0"/>
        <v>105.53120422399999</v>
      </c>
      <c r="R77" s="16"/>
      <c r="S77" s="14"/>
      <c r="T77" s="14"/>
      <c r="U77" s="14"/>
      <c r="V77" s="14"/>
      <c r="W77" s="14"/>
    </row>
    <row r="78" spans="1:23">
      <c r="A78">
        <f t="shared" si="5"/>
        <v>732.78739430993005</v>
      </c>
      <c r="B78">
        <v>57</v>
      </c>
      <c r="C78">
        <v>149.345779419</v>
      </c>
      <c r="D78">
        <v>57</v>
      </c>
      <c r="E78">
        <v>147.11332702600001</v>
      </c>
      <c r="F78">
        <v>57</v>
      </c>
      <c r="G78">
        <v>123.27223205600001</v>
      </c>
      <c r="H78">
        <v>57</v>
      </c>
      <c r="I78">
        <v>140.33004760700001</v>
      </c>
      <c r="K78">
        <f t="shared" si="6"/>
        <v>6.7832794189999959</v>
      </c>
      <c r="L78">
        <v>57</v>
      </c>
      <c r="M78">
        <v>254</v>
      </c>
      <c r="N78">
        <v>57</v>
      </c>
      <c r="O78">
        <v>1</v>
      </c>
      <c r="P78">
        <f t="shared" si="0"/>
        <v>104.654220581</v>
      </c>
      <c r="R78" s="16"/>
      <c r="S78" s="14"/>
      <c r="T78" s="14"/>
      <c r="U78" s="14"/>
      <c r="V78" s="14"/>
      <c r="W78" s="14"/>
    </row>
    <row r="79" spans="1:23">
      <c r="A79">
        <f t="shared" si="5"/>
        <v>733.71348894694631</v>
      </c>
      <c r="B79">
        <v>58</v>
      </c>
      <c r="C79">
        <v>150.903167725</v>
      </c>
      <c r="D79">
        <v>58</v>
      </c>
      <c r="E79">
        <v>147.56013488799999</v>
      </c>
      <c r="F79">
        <v>58</v>
      </c>
      <c r="G79">
        <v>121.176742554</v>
      </c>
      <c r="H79">
        <v>58</v>
      </c>
      <c r="I79">
        <v>138.3959198</v>
      </c>
      <c r="K79">
        <f t="shared" si="6"/>
        <v>9.1642150879999917</v>
      </c>
      <c r="L79">
        <v>58</v>
      </c>
      <c r="M79">
        <v>254</v>
      </c>
      <c r="N79">
        <v>58</v>
      </c>
      <c r="O79">
        <v>1</v>
      </c>
      <c r="P79">
        <f t="shared" si="0"/>
        <v>103.096832275</v>
      </c>
      <c r="R79" s="16"/>
      <c r="S79" s="14"/>
      <c r="T79" s="14"/>
      <c r="U79" s="14"/>
      <c r="V79" s="14"/>
      <c r="W79" s="14"/>
    </row>
    <row r="80" spans="1:23">
      <c r="A80">
        <f t="shared" si="5"/>
        <v>734.63958358396269</v>
      </c>
      <c r="B80">
        <v>59</v>
      </c>
      <c r="C80">
        <v>149.869750977</v>
      </c>
      <c r="D80">
        <v>59</v>
      </c>
      <c r="E80">
        <v>147.21055602999999</v>
      </c>
      <c r="F80">
        <v>59</v>
      </c>
      <c r="G80">
        <v>120.597618103</v>
      </c>
      <c r="H80">
        <v>59</v>
      </c>
      <c r="I80">
        <v>140.08021545400001</v>
      </c>
      <c r="K80">
        <f t="shared" si="6"/>
        <v>7.1303405759999805</v>
      </c>
      <c r="L80">
        <v>59</v>
      </c>
      <c r="M80">
        <v>254</v>
      </c>
      <c r="N80">
        <v>59</v>
      </c>
      <c r="O80">
        <v>1</v>
      </c>
      <c r="P80">
        <f t="shared" si="0"/>
        <v>104.130249023</v>
      </c>
      <c r="R80" s="16"/>
      <c r="S80" s="14"/>
      <c r="T80" s="14"/>
      <c r="U80" s="14"/>
      <c r="V80" s="14"/>
      <c r="W80" s="14"/>
    </row>
    <row r="81" spans="1:23">
      <c r="A81">
        <f t="shared" si="5"/>
        <v>735.56567822097895</v>
      </c>
      <c r="B81">
        <v>60</v>
      </c>
      <c r="C81">
        <v>152.86456298799999</v>
      </c>
      <c r="D81">
        <v>60</v>
      </c>
      <c r="E81">
        <v>146.96157836899999</v>
      </c>
      <c r="F81">
        <v>60</v>
      </c>
      <c r="G81">
        <v>121.428787231</v>
      </c>
      <c r="H81">
        <v>60</v>
      </c>
      <c r="I81">
        <v>139.22377014200001</v>
      </c>
      <c r="K81">
        <f t="shared" si="6"/>
        <v>7.7378082269999879</v>
      </c>
      <c r="L81">
        <v>60</v>
      </c>
      <c r="M81">
        <v>254</v>
      </c>
      <c r="N81">
        <v>60</v>
      </c>
      <c r="O81">
        <v>1</v>
      </c>
      <c r="P81">
        <f t="shared" si="0"/>
        <v>101.13543701200001</v>
      </c>
      <c r="R81" s="16"/>
      <c r="S81" s="14"/>
      <c r="T81" s="14"/>
      <c r="U81" s="14"/>
      <c r="V81" s="14"/>
      <c r="W81" s="14"/>
    </row>
    <row r="82" spans="1:23">
      <c r="A82">
        <f t="shared" si="5"/>
        <v>736.49177285799533</v>
      </c>
      <c r="B82">
        <v>61</v>
      </c>
      <c r="C82">
        <v>150.83448791500001</v>
      </c>
      <c r="D82">
        <v>61</v>
      </c>
      <c r="E82">
        <v>147.02561950699999</v>
      </c>
      <c r="F82">
        <v>61</v>
      </c>
      <c r="G82">
        <v>122</v>
      </c>
      <c r="H82">
        <v>61</v>
      </c>
      <c r="I82">
        <v>136.46267700199999</v>
      </c>
      <c r="K82">
        <f t="shared" si="6"/>
        <v>10.562942504999995</v>
      </c>
      <c r="L82">
        <v>61</v>
      </c>
      <c r="M82">
        <v>254</v>
      </c>
      <c r="N82">
        <v>61</v>
      </c>
      <c r="O82">
        <v>1</v>
      </c>
      <c r="P82">
        <f t="shared" si="0"/>
        <v>103.16551208499999</v>
      </c>
      <c r="R82" s="16"/>
      <c r="S82" s="14"/>
      <c r="T82" s="14"/>
      <c r="U82" s="14"/>
      <c r="V82" s="14"/>
      <c r="W82" s="14"/>
    </row>
    <row r="83" spans="1:23">
      <c r="A83">
        <f t="shared" si="5"/>
        <v>737.41786749501159</v>
      </c>
      <c r="B83">
        <v>62</v>
      </c>
      <c r="C83">
        <v>147.27964782699999</v>
      </c>
      <c r="D83">
        <v>62</v>
      </c>
      <c r="E83">
        <v>145.780975342</v>
      </c>
      <c r="F83">
        <v>62</v>
      </c>
      <c r="G83">
        <v>121.927131653</v>
      </c>
      <c r="H83">
        <v>62</v>
      </c>
      <c r="I83">
        <v>135.889892578</v>
      </c>
      <c r="K83">
        <f t="shared" si="6"/>
        <v>9.8910827640000036</v>
      </c>
      <c r="L83">
        <v>62</v>
      </c>
      <c r="M83">
        <v>254</v>
      </c>
      <c r="N83">
        <v>62</v>
      </c>
      <c r="O83">
        <v>1</v>
      </c>
      <c r="P83">
        <f t="shared" si="0"/>
        <v>106.72035217300001</v>
      </c>
      <c r="R83" s="16"/>
      <c r="S83" s="14"/>
      <c r="T83" s="14"/>
      <c r="U83" s="14"/>
      <c r="V83" s="14"/>
      <c r="W83" s="14"/>
    </row>
    <row r="84" spans="1:23">
      <c r="A84">
        <f t="shared" si="5"/>
        <v>738.34396213202797</v>
      </c>
      <c r="B84">
        <v>63</v>
      </c>
      <c r="C84">
        <v>148.73197937</v>
      </c>
      <c r="D84">
        <v>63</v>
      </c>
      <c r="E84">
        <v>147.09567260700001</v>
      </c>
      <c r="F84">
        <v>63</v>
      </c>
      <c r="G84">
        <v>122.15709686300001</v>
      </c>
      <c r="H84">
        <v>63</v>
      </c>
      <c r="I84">
        <v>135.61529540999999</v>
      </c>
      <c r="K84">
        <f t="shared" si="6"/>
        <v>11.480377197000024</v>
      </c>
      <c r="L84">
        <v>63</v>
      </c>
      <c r="M84">
        <v>254</v>
      </c>
      <c r="N84">
        <v>63</v>
      </c>
      <c r="O84">
        <v>1</v>
      </c>
      <c r="P84">
        <f t="shared" si="0"/>
        <v>105.26802063</v>
      </c>
      <c r="R84" s="16"/>
      <c r="S84" s="14"/>
      <c r="T84" s="14"/>
      <c r="U84" s="14"/>
      <c r="V84" s="14"/>
      <c r="W84" s="14"/>
    </row>
    <row r="85" spans="1:23">
      <c r="A85">
        <f t="shared" si="5"/>
        <v>739.27005676904423</v>
      </c>
      <c r="B85">
        <v>64</v>
      </c>
      <c r="C85">
        <v>149.65167236299999</v>
      </c>
      <c r="D85">
        <v>64</v>
      </c>
      <c r="E85">
        <v>153.454788208</v>
      </c>
      <c r="F85">
        <v>64</v>
      </c>
      <c r="G85">
        <v>123.070541382</v>
      </c>
      <c r="H85">
        <v>64</v>
      </c>
      <c r="I85">
        <v>135.14169311500001</v>
      </c>
      <c r="K85">
        <f t="shared" si="6"/>
        <v>18.313095092999987</v>
      </c>
      <c r="L85">
        <v>64</v>
      </c>
      <c r="M85">
        <v>254</v>
      </c>
      <c r="N85">
        <v>64</v>
      </c>
      <c r="O85">
        <v>1</v>
      </c>
      <c r="P85">
        <f t="shared" ref="P85:P148" si="11">M85-C85</f>
        <v>104.34832763700001</v>
      </c>
      <c r="Q85" s="14"/>
      <c r="R85" s="16"/>
      <c r="S85" s="14"/>
      <c r="T85" s="14"/>
      <c r="U85" s="14"/>
      <c r="V85" s="14"/>
      <c r="W85" s="14"/>
    </row>
    <row r="86" spans="1:23">
      <c r="A86">
        <f t="shared" ref="A86:A149" si="12">680 +B86*COS(ABS($J$8)*PI()/180)</f>
        <v>740.19615140606061</v>
      </c>
      <c r="B86">
        <v>65</v>
      </c>
      <c r="C86">
        <v>147.96743774399999</v>
      </c>
      <c r="D86">
        <v>65</v>
      </c>
      <c r="E86">
        <v>154.164825439</v>
      </c>
      <c r="F86">
        <v>65</v>
      </c>
      <c r="G86">
        <v>124.071296692</v>
      </c>
      <c r="H86">
        <v>65</v>
      </c>
      <c r="I86">
        <v>133.747879028</v>
      </c>
      <c r="K86">
        <f t="shared" ref="K86:K149" si="13">E86-I86</f>
        <v>20.416946410999998</v>
      </c>
      <c r="L86">
        <v>65</v>
      </c>
      <c r="M86">
        <v>254</v>
      </c>
      <c r="N86">
        <v>65</v>
      </c>
      <c r="O86">
        <v>1</v>
      </c>
      <c r="P86">
        <f t="shared" si="11"/>
        <v>106.03256225600001</v>
      </c>
      <c r="Q86" s="14"/>
      <c r="R86" s="16"/>
      <c r="S86" s="14"/>
      <c r="T86" s="14"/>
      <c r="U86" s="14"/>
      <c r="V86" s="14"/>
      <c r="W86" s="14"/>
    </row>
    <row r="87" spans="1:23">
      <c r="A87">
        <f t="shared" si="12"/>
        <v>741.12224604307687</v>
      </c>
      <c r="B87">
        <v>66</v>
      </c>
      <c r="C87">
        <v>143.81455993700001</v>
      </c>
      <c r="D87">
        <v>66</v>
      </c>
      <c r="E87">
        <v>148.456466675</v>
      </c>
      <c r="F87">
        <v>66</v>
      </c>
      <c r="G87">
        <v>122.973571777</v>
      </c>
      <c r="H87">
        <v>66</v>
      </c>
      <c r="I87">
        <v>133.81661987300001</v>
      </c>
      <c r="K87">
        <f t="shared" si="13"/>
        <v>14.639846801999994</v>
      </c>
      <c r="L87">
        <v>66</v>
      </c>
      <c r="M87">
        <v>253.822631836</v>
      </c>
      <c r="N87">
        <v>66</v>
      </c>
      <c r="O87">
        <v>1.2741198540000001</v>
      </c>
      <c r="P87">
        <f t="shared" si="11"/>
        <v>110.00807189899999</v>
      </c>
      <c r="Q87" s="14"/>
      <c r="R87" s="14"/>
      <c r="S87" s="14"/>
      <c r="T87" s="14"/>
      <c r="U87" s="14"/>
      <c r="V87" s="14"/>
      <c r="W87" s="14"/>
    </row>
    <row r="88" spans="1:23">
      <c r="A88">
        <f t="shared" si="12"/>
        <v>742.04834068009325</v>
      </c>
      <c r="B88">
        <v>67</v>
      </c>
      <c r="C88">
        <v>148.91773986800001</v>
      </c>
      <c r="D88">
        <v>67</v>
      </c>
      <c r="E88">
        <v>146.04219055199999</v>
      </c>
      <c r="F88">
        <v>67</v>
      </c>
      <c r="G88">
        <v>121.83698272700001</v>
      </c>
      <c r="H88">
        <v>67</v>
      </c>
      <c r="I88">
        <v>134.304153442</v>
      </c>
      <c r="K88">
        <f t="shared" si="13"/>
        <v>11.738037109999993</v>
      </c>
      <c r="L88">
        <v>67</v>
      </c>
      <c r="M88">
        <v>253.040481567</v>
      </c>
      <c r="N88">
        <v>67</v>
      </c>
      <c r="O88">
        <v>1.968741179</v>
      </c>
      <c r="P88">
        <f t="shared" si="11"/>
        <v>104.12274169899999</v>
      </c>
      <c r="Q88" s="14"/>
      <c r="R88" s="14"/>
      <c r="S88" s="14"/>
      <c r="T88" s="14"/>
      <c r="U88" s="14"/>
      <c r="V88" s="14"/>
      <c r="W88" s="14"/>
    </row>
    <row r="89" spans="1:23">
      <c r="A89">
        <f t="shared" si="12"/>
        <v>742.97443531710951</v>
      </c>
      <c r="B89">
        <v>68</v>
      </c>
      <c r="C89">
        <v>152.83477783199999</v>
      </c>
      <c r="D89">
        <v>68</v>
      </c>
      <c r="E89">
        <v>146.874542236</v>
      </c>
      <c r="F89">
        <v>68</v>
      </c>
      <c r="G89">
        <v>122.764610291</v>
      </c>
      <c r="H89">
        <v>68</v>
      </c>
      <c r="I89">
        <v>138.15333557100001</v>
      </c>
      <c r="K89">
        <f t="shared" si="13"/>
        <v>8.7212066649999826</v>
      </c>
      <c r="L89">
        <v>68</v>
      </c>
      <c r="M89">
        <v>253</v>
      </c>
      <c r="N89">
        <v>68</v>
      </c>
      <c r="O89">
        <v>2</v>
      </c>
      <c r="P89">
        <f t="shared" si="11"/>
        <v>100.16522216800001</v>
      </c>
      <c r="Q89" s="14"/>
      <c r="R89" s="14"/>
      <c r="S89" s="14"/>
      <c r="T89" s="14"/>
      <c r="U89" s="14"/>
      <c r="V89" s="14"/>
      <c r="W89" s="14"/>
    </row>
    <row r="90" spans="1:23">
      <c r="A90">
        <f t="shared" si="12"/>
        <v>743.90052995412589</v>
      </c>
      <c r="B90">
        <v>69</v>
      </c>
      <c r="C90">
        <v>151.38145446799999</v>
      </c>
      <c r="D90">
        <v>69</v>
      </c>
      <c r="E90">
        <v>147.23851013199999</v>
      </c>
      <c r="F90">
        <v>69</v>
      </c>
      <c r="G90">
        <v>120.343551636</v>
      </c>
      <c r="H90">
        <v>69</v>
      </c>
      <c r="I90">
        <v>138.58088684099999</v>
      </c>
      <c r="K90">
        <f t="shared" si="13"/>
        <v>8.6576232909999931</v>
      </c>
      <c r="L90">
        <v>69</v>
      </c>
      <c r="M90">
        <v>253</v>
      </c>
      <c r="N90">
        <v>69</v>
      </c>
      <c r="O90">
        <v>2</v>
      </c>
      <c r="P90">
        <f t="shared" si="11"/>
        <v>101.61854553200001</v>
      </c>
      <c r="Q90" s="14"/>
      <c r="R90" s="14"/>
      <c r="S90" s="14"/>
      <c r="T90" s="14"/>
      <c r="U90" s="14"/>
      <c r="V90" s="14"/>
      <c r="W90" s="14"/>
    </row>
    <row r="91" spans="1:23">
      <c r="A91">
        <f t="shared" si="12"/>
        <v>744.82662459114215</v>
      </c>
      <c r="B91">
        <v>70</v>
      </c>
      <c r="C91">
        <v>145.14801025400001</v>
      </c>
      <c r="D91">
        <v>70</v>
      </c>
      <c r="E91">
        <v>147.37734985399999</v>
      </c>
      <c r="F91">
        <v>70</v>
      </c>
      <c r="G91">
        <v>121.49826049799999</v>
      </c>
      <c r="H91">
        <v>70</v>
      </c>
      <c r="I91">
        <v>138.75822448700001</v>
      </c>
      <c r="K91">
        <f t="shared" si="13"/>
        <v>8.619125366999981</v>
      </c>
      <c r="L91">
        <v>70</v>
      </c>
      <c r="M91">
        <v>253</v>
      </c>
      <c r="N91">
        <v>70</v>
      </c>
      <c r="O91">
        <v>2</v>
      </c>
      <c r="P91">
        <f t="shared" si="11"/>
        <v>107.85198974599999</v>
      </c>
      <c r="Q91" s="14"/>
      <c r="R91" s="14"/>
      <c r="S91" s="14"/>
      <c r="T91" s="14"/>
      <c r="U91" s="14"/>
      <c r="V91" s="14"/>
      <c r="W91" s="14"/>
    </row>
    <row r="92" spans="1:23">
      <c r="A92">
        <f t="shared" si="12"/>
        <v>745.75271922815841</v>
      </c>
      <c r="B92">
        <v>71</v>
      </c>
      <c r="C92">
        <v>147.10075378400001</v>
      </c>
      <c r="D92">
        <v>71</v>
      </c>
      <c r="E92">
        <v>145.41639709500001</v>
      </c>
      <c r="F92">
        <v>71</v>
      </c>
      <c r="G92">
        <v>123.728675842</v>
      </c>
      <c r="H92">
        <v>71</v>
      </c>
      <c r="I92">
        <v>139.444122314</v>
      </c>
      <c r="K92">
        <f t="shared" si="13"/>
        <v>5.9722747810000101</v>
      </c>
      <c r="L92">
        <v>71</v>
      </c>
      <c r="M92">
        <v>253</v>
      </c>
      <c r="N92">
        <v>71</v>
      </c>
      <c r="O92">
        <v>2</v>
      </c>
      <c r="P92">
        <f t="shared" si="11"/>
        <v>105.89924621599999</v>
      </c>
      <c r="Q92" s="14"/>
      <c r="R92" s="14"/>
      <c r="S92" s="14"/>
      <c r="T92" s="14"/>
    </row>
    <row r="93" spans="1:23">
      <c r="A93">
        <f t="shared" si="12"/>
        <v>746.67881386517479</v>
      </c>
      <c r="B93">
        <v>72</v>
      </c>
      <c r="C93">
        <v>149.557174683</v>
      </c>
      <c r="D93">
        <v>72</v>
      </c>
      <c r="E93">
        <v>148.1275177</v>
      </c>
      <c r="F93">
        <v>72</v>
      </c>
      <c r="G93">
        <v>123.268516541</v>
      </c>
      <c r="H93">
        <v>72</v>
      </c>
      <c r="I93">
        <v>140.03921508799999</v>
      </c>
      <c r="K93">
        <f t="shared" si="13"/>
        <v>8.0883026120000068</v>
      </c>
      <c r="L93">
        <v>72</v>
      </c>
      <c r="M93">
        <v>253</v>
      </c>
      <c r="N93">
        <v>72</v>
      </c>
      <c r="O93">
        <v>2</v>
      </c>
      <c r="P93">
        <f t="shared" si="11"/>
        <v>103.442825317</v>
      </c>
      <c r="Q93" s="14"/>
      <c r="R93" s="14"/>
      <c r="S93" s="14"/>
      <c r="T93" s="14"/>
    </row>
    <row r="94" spans="1:23">
      <c r="A94">
        <f t="shared" si="12"/>
        <v>747.60490850219117</v>
      </c>
      <c r="B94">
        <v>73</v>
      </c>
      <c r="C94">
        <v>148.67422485399999</v>
      </c>
      <c r="D94">
        <v>73</v>
      </c>
      <c r="E94">
        <v>150.62580871599999</v>
      </c>
      <c r="F94">
        <v>73</v>
      </c>
      <c r="G94">
        <v>123.121536255</v>
      </c>
      <c r="H94">
        <v>73</v>
      </c>
      <c r="I94">
        <v>139.96862793</v>
      </c>
      <c r="K94">
        <f t="shared" si="13"/>
        <v>10.657180785999998</v>
      </c>
      <c r="L94">
        <v>73</v>
      </c>
      <c r="M94">
        <v>253</v>
      </c>
      <c r="N94">
        <v>73</v>
      </c>
      <c r="O94">
        <v>2</v>
      </c>
      <c r="P94">
        <f t="shared" si="11"/>
        <v>104.32577514600001</v>
      </c>
      <c r="Q94" s="14"/>
      <c r="R94" s="14"/>
      <c r="S94" s="14"/>
      <c r="T94" s="14"/>
    </row>
    <row r="95" spans="1:23">
      <c r="A95">
        <f t="shared" si="12"/>
        <v>748.53100313920743</v>
      </c>
      <c r="B95">
        <v>74</v>
      </c>
      <c r="C95">
        <v>143.845413208</v>
      </c>
      <c r="D95">
        <v>74</v>
      </c>
      <c r="E95">
        <v>148.64550781200001</v>
      </c>
      <c r="F95">
        <v>74</v>
      </c>
      <c r="G95">
        <v>123.10482025100001</v>
      </c>
      <c r="H95">
        <v>74</v>
      </c>
      <c r="I95">
        <v>140.25199890100001</v>
      </c>
      <c r="K95">
        <f t="shared" si="13"/>
        <v>8.3935089109999979</v>
      </c>
      <c r="L95">
        <v>74</v>
      </c>
      <c r="M95">
        <v>253</v>
      </c>
      <c r="N95">
        <v>74</v>
      </c>
      <c r="O95">
        <v>2</v>
      </c>
      <c r="P95">
        <f t="shared" si="11"/>
        <v>109.154586792</v>
      </c>
      <c r="Q95" s="14"/>
      <c r="R95" s="14"/>
      <c r="S95" s="14"/>
      <c r="T95" s="14"/>
    </row>
    <row r="96" spans="1:23">
      <c r="A96">
        <f t="shared" si="12"/>
        <v>749.45709777622369</v>
      </c>
      <c r="B96">
        <v>75</v>
      </c>
      <c r="C96">
        <v>147.60394287099999</v>
      </c>
      <c r="D96">
        <v>75</v>
      </c>
      <c r="E96">
        <v>146.00125122099999</v>
      </c>
      <c r="F96">
        <v>75</v>
      </c>
      <c r="G96">
        <v>122.849479675</v>
      </c>
      <c r="H96">
        <v>75</v>
      </c>
      <c r="I96">
        <v>141.41317749000001</v>
      </c>
      <c r="K96">
        <f t="shared" si="13"/>
        <v>4.5880737309999802</v>
      </c>
      <c r="L96">
        <v>75</v>
      </c>
      <c r="M96">
        <v>253</v>
      </c>
      <c r="N96">
        <v>75</v>
      </c>
      <c r="O96">
        <v>2</v>
      </c>
      <c r="P96">
        <f t="shared" si="11"/>
        <v>105.39605712900001</v>
      </c>
      <c r="Q96" s="14"/>
      <c r="R96" s="14"/>
      <c r="S96" s="14"/>
      <c r="T96" s="14"/>
    </row>
    <row r="97" spans="1:20">
      <c r="A97">
        <f t="shared" si="12"/>
        <v>750.38319241324007</v>
      </c>
      <c r="B97">
        <v>76</v>
      </c>
      <c r="C97">
        <v>148.48426818799999</v>
      </c>
      <c r="D97">
        <v>76</v>
      </c>
      <c r="E97">
        <v>145.64356994600001</v>
      </c>
      <c r="F97">
        <v>76</v>
      </c>
      <c r="G97">
        <v>122.714439392</v>
      </c>
      <c r="H97">
        <v>76</v>
      </c>
      <c r="I97">
        <v>141.453399658</v>
      </c>
      <c r="K97">
        <f t="shared" si="13"/>
        <v>4.1901702880000187</v>
      </c>
      <c r="L97">
        <v>76</v>
      </c>
      <c r="M97">
        <v>253</v>
      </c>
      <c r="N97">
        <v>76</v>
      </c>
      <c r="O97">
        <v>2</v>
      </c>
      <c r="P97">
        <f t="shared" si="11"/>
        <v>104.51573181200001</v>
      </c>
      <c r="Q97" s="14"/>
      <c r="R97" s="14"/>
      <c r="S97" s="14"/>
      <c r="T97" s="14"/>
    </row>
    <row r="98" spans="1:20">
      <c r="A98">
        <f t="shared" si="12"/>
        <v>751.30928705025633</v>
      </c>
      <c r="B98">
        <v>77</v>
      </c>
      <c r="C98">
        <v>152.14706420900001</v>
      </c>
      <c r="D98">
        <v>77</v>
      </c>
      <c r="E98">
        <v>145.40739440900001</v>
      </c>
      <c r="F98">
        <v>77</v>
      </c>
      <c r="G98">
        <v>121.499504089</v>
      </c>
      <c r="H98">
        <v>77</v>
      </c>
      <c r="I98">
        <v>139.46697997999999</v>
      </c>
      <c r="K98">
        <f t="shared" si="13"/>
        <v>5.9404144290000147</v>
      </c>
      <c r="L98">
        <v>77</v>
      </c>
      <c r="M98">
        <v>253</v>
      </c>
      <c r="N98">
        <v>77</v>
      </c>
      <c r="O98">
        <v>2</v>
      </c>
      <c r="P98">
        <f t="shared" si="11"/>
        <v>100.85293579099999</v>
      </c>
      <c r="Q98" s="14"/>
      <c r="R98" s="14"/>
      <c r="S98" s="14"/>
      <c r="T98" s="14"/>
    </row>
    <row r="99" spans="1:20">
      <c r="A99">
        <f t="shared" si="12"/>
        <v>752.23538168727271</v>
      </c>
      <c r="B99">
        <v>78</v>
      </c>
      <c r="C99">
        <v>155.731811523</v>
      </c>
      <c r="D99">
        <v>78</v>
      </c>
      <c r="E99">
        <v>146.514862061</v>
      </c>
      <c r="F99">
        <v>78</v>
      </c>
      <c r="G99">
        <v>122.33333587600001</v>
      </c>
      <c r="H99">
        <v>78</v>
      </c>
      <c r="I99">
        <v>143.75877380399999</v>
      </c>
      <c r="K99">
        <f t="shared" si="13"/>
        <v>2.756088257000016</v>
      </c>
      <c r="L99">
        <v>78</v>
      </c>
      <c r="M99">
        <v>253</v>
      </c>
      <c r="N99">
        <v>78</v>
      </c>
      <c r="O99">
        <v>2</v>
      </c>
      <c r="P99">
        <f t="shared" si="11"/>
        <v>97.268188476999995</v>
      </c>
      <c r="Q99" s="14"/>
      <c r="R99" s="14"/>
      <c r="S99" s="14"/>
      <c r="T99" s="14"/>
    </row>
    <row r="100" spans="1:20">
      <c r="A100">
        <f t="shared" si="12"/>
        <v>753.16147632428897</v>
      </c>
      <c r="B100">
        <v>79</v>
      </c>
      <c r="C100">
        <v>152.12017822300001</v>
      </c>
      <c r="D100">
        <v>79</v>
      </c>
      <c r="E100">
        <v>146.331420898</v>
      </c>
      <c r="F100">
        <v>79</v>
      </c>
      <c r="G100">
        <v>122.33333587600001</v>
      </c>
      <c r="H100">
        <v>79</v>
      </c>
      <c r="I100">
        <v>140.05677795400001</v>
      </c>
      <c r="K100">
        <f t="shared" si="13"/>
        <v>6.2746429439999929</v>
      </c>
      <c r="L100">
        <v>79</v>
      </c>
      <c r="M100">
        <v>253</v>
      </c>
      <c r="N100">
        <v>79</v>
      </c>
      <c r="O100">
        <v>2</v>
      </c>
      <c r="P100">
        <f t="shared" si="11"/>
        <v>100.87982177699999</v>
      </c>
      <c r="Q100" s="14"/>
      <c r="R100" s="14"/>
      <c r="S100" s="14"/>
      <c r="T100" s="14"/>
    </row>
    <row r="101" spans="1:20">
      <c r="A101">
        <f t="shared" si="12"/>
        <v>754.08757096130535</v>
      </c>
      <c r="B101">
        <v>80</v>
      </c>
      <c r="C101">
        <v>149.93336486800001</v>
      </c>
      <c r="D101">
        <v>80</v>
      </c>
      <c r="E101">
        <v>146.37161254899999</v>
      </c>
      <c r="F101">
        <v>80</v>
      </c>
      <c r="G101">
        <v>122.33333587600001</v>
      </c>
      <c r="H101">
        <v>80</v>
      </c>
      <c r="I101">
        <v>138.30564880399999</v>
      </c>
      <c r="K101">
        <f t="shared" si="13"/>
        <v>8.0659637450000048</v>
      </c>
      <c r="L101">
        <v>80</v>
      </c>
      <c r="M101">
        <v>253</v>
      </c>
      <c r="N101">
        <v>80</v>
      </c>
      <c r="O101">
        <v>2</v>
      </c>
      <c r="P101">
        <f t="shared" si="11"/>
        <v>103.06663513199999</v>
      </c>
      <c r="Q101" s="14"/>
      <c r="R101" s="14"/>
      <c r="S101" s="14"/>
      <c r="T101" s="14"/>
    </row>
    <row r="102" spans="1:20">
      <c r="A102">
        <f t="shared" si="12"/>
        <v>755.01366559832161</v>
      </c>
      <c r="B102">
        <v>81</v>
      </c>
      <c r="C102">
        <v>150.20460510300001</v>
      </c>
      <c r="D102">
        <v>81</v>
      </c>
      <c r="E102">
        <v>147.37124633799999</v>
      </c>
      <c r="F102">
        <v>81</v>
      </c>
      <c r="G102">
        <v>122.33333587600001</v>
      </c>
      <c r="H102">
        <v>81</v>
      </c>
      <c r="I102">
        <v>135.28822326700001</v>
      </c>
      <c r="K102">
        <f t="shared" si="13"/>
        <v>12.083023070999985</v>
      </c>
      <c r="L102">
        <v>81</v>
      </c>
      <c r="M102">
        <v>253</v>
      </c>
      <c r="N102">
        <v>81</v>
      </c>
      <c r="O102">
        <v>2</v>
      </c>
      <c r="P102">
        <f t="shared" si="11"/>
        <v>102.79539489699999</v>
      </c>
      <c r="Q102" s="14"/>
      <c r="R102" s="14"/>
      <c r="S102" s="14"/>
      <c r="T102" s="14"/>
    </row>
    <row r="103" spans="1:20">
      <c r="A103">
        <f t="shared" si="12"/>
        <v>755.93976023533799</v>
      </c>
      <c r="B103">
        <v>82</v>
      </c>
      <c r="C103">
        <v>153.39653015100001</v>
      </c>
      <c r="D103">
        <v>82</v>
      </c>
      <c r="E103">
        <v>147.00944519000001</v>
      </c>
      <c r="F103">
        <v>82</v>
      </c>
      <c r="G103">
        <v>122.437423706</v>
      </c>
      <c r="H103">
        <v>82</v>
      </c>
      <c r="I103">
        <v>133.70306396500001</v>
      </c>
      <c r="K103">
        <f t="shared" si="13"/>
        <v>13.306381224999996</v>
      </c>
      <c r="L103">
        <v>82</v>
      </c>
      <c r="M103">
        <v>253</v>
      </c>
      <c r="N103">
        <v>82</v>
      </c>
      <c r="O103">
        <v>2</v>
      </c>
      <c r="P103">
        <f t="shared" si="11"/>
        <v>99.603469848999993</v>
      </c>
      <c r="Q103" s="14"/>
      <c r="R103" s="14"/>
      <c r="S103" s="14"/>
      <c r="T103" s="14"/>
    </row>
    <row r="104" spans="1:20">
      <c r="A104">
        <f t="shared" si="12"/>
        <v>756.86585487235425</v>
      </c>
      <c r="B104">
        <v>83</v>
      </c>
      <c r="C104">
        <v>152.28842163100001</v>
      </c>
      <c r="D104">
        <v>83</v>
      </c>
      <c r="E104">
        <v>148.01336669899999</v>
      </c>
      <c r="F104">
        <v>83</v>
      </c>
      <c r="G104">
        <v>122.596618652</v>
      </c>
      <c r="H104">
        <v>83</v>
      </c>
      <c r="I104">
        <v>136.18995666500001</v>
      </c>
      <c r="K104">
        <f t="shared" si="13"/>
        <v>11.823410033999977</v>
      </c>
      <c r="L104">
        <v>83</v>
      </c>
      <c r="M104">
        <v>253</v>
      </c>
      <c r="N104">
        <v>83</v>
      </c>
      <c r="O104">
        <v>2</v>
      </c>
      <c r="P104">
        <f t="shared" si="11"/>
        <v>100.71157836899999</v>
      </c>
      <c r="Q104" s="14"/>
      <c r="R104" s="14"/>
      <c r="S104" s="14"/>
      <c r="T104" s="14"/>
    </row>
    <row r="105" spans="1:20">
      <c r="A105">
        <f t="shared" si="12"/>
        <v>757.79194950937062</v>
      </c>
      <c r="B105">
        <v>84</v>
      </c>
      <c r="C105">
        <v>150.338821411</v>
      </c>
      <c r="D105">
        <v>84</v>
      </c>
      <c r="E105">
        <v>147.89263915999999</v>
      </c>
      <c r="F105">
        <v>84</v>
      </c>
      <c r="G105">
        <v>122.66666412399999</v>
      </c>
      <c r="H105">
        <v>84</v>
      </c>
      <c r="I105">
        <v>135.63319397000001</v>
      </c>
      <c r="K105">
        <f t="shared" si="13"/>
        <v>12.25944518999998</v>
      </c>
      <c r="L105">
        <v>84</v>
      </c>
      <c r="M105">
        <v>253</v>
      </c>
      <c r="N105">
        <v>84</v>
      </c>
      <c r="O105">
        <v>2</v>
      </c>
      <c r="P105">
        <f t="shared" si="11"/>
        <v>102.661178589</v>
      </c>
      <c r="Q105" s="14"/>
      <c r="R105" s="14"/>
      <c r="S105" s="14"/>
      <c r="T105" s="14"/>
    </row>
    <row r="106" spans="1:20">
      <c r="A106">
        <f t="shared" si="12"/>
        <v>758.71804414638689</v>
      </c>
      <c r="B106">
        <v>85</v>
      </c>
      <c r="C106">
        <v>152.084259033</v>
      </c>
      <c r="D106">
        <v>85</v>
      </c>
      <c r="E106">
        <v>149.13072204599999</v>
      </c>
      <c r="F106">
        <v>85</v>
      </c>
      <c r="G106">
        <v>122.66666412399999</v>
      </c>
      <c r="H106">
        <v>85</v>
      </c>
      <c r="I106">
        <v>136.1875</v>
      </c>
      <c r="K106">
        <f t="shared" si="13"/>
        <v>12.943222045999988</v>
      </c>
      <c r="L106">
        <v>85</v>
      </c>
      <c r="M106">
        <v>253</v>
      </c>
      <c r="N106">
        <v>85</v>
      </c>
      <c r="O106">
        <v>2</v>
      </c>
      <c r="P106">
        <f t="shared" si="11"/>
        <v>100.915740967</v>
      </c>
      <c r="Q106" s="14"/>
      <c r="R106" s="14"/>
      <c r="S106" s="14"/>
      <c r="T106" s="14"/>
    </row>
    <row r="107" spans="1:20">
      <c r="A107">
        <f t="shared" si="12"/>
        <v>759.64413878340326</v>
      </c>
      <c r="B107">
        <v>86</v>
      </c>
      <c r="C107">
        <v>153.48289489699999</v>
      </c>
      <c r="D107">
        <v>86</v>
      </c>
      <c r="E107">
        <v>149.228240967</v>
      </c>
      <c r="F107">
        <v>86</v>
      </c>
      <c r="G107">
        <v>121.58519744900001</v>
      </c>
      <c r="H107">
        <v>86</v>
      </c>
      <c r="I107">
        <v>138.36512756299999</v>
      </c>
      <c r="K107">
        <f t="shared" si="13"/>
        <v>10.863113404000018</v>
      </c>
      <c r="L107">
        <v>86</v>
      </c>
      <c r="M107">
        <v>253</v>
      </c>
      <c r="N107">
        <v>86</v>
      </c>
      <c r="O107">
        <v>2</v>
      </c>
      <c r="P107">
        <f t="shared" si="11"/>
        <v>99.517105103000006</v>
      </c>
      <c r="Q107" s="14"/>
      <c r="R107" s="14"/>
      <c r="S107" s="14"/>
      <c r="T107" s="14"/>
    </row>
    <row r="108" spans="1:20">
      <c r="A108">
        <f t="shared" si="12"/>
        <v>760.57023342041953</v>
      </c>
      <c r="B108">
        <v>87</v>
      </c>
      <c r="C108">
        <v>153.86976623499999</v>
      </c>
      <c r="D108">
        <v>87</v>
      </c>
      <c r="E108">
        <v>145.187057495</v>
      </c>
      <c r="F108">
        <v>87</v>
      </c>
      <c r="G108">
        <v>121.883262634</v>
      </c>
      <c r="H108">
        <v>87</v>
      </c>
      <c r="I108">
        <v>140.49801635700001</v>
      </c>
      <c r="K108">
        <f t="shared" si="13"/>
        <v>4.6890411379999932</v>
      </c>
      <c r="L108">
        <v>87</v>
      </c>
      <c r="M108">
        <v>253</v>
      </c>
      <c r="N108">
        <v>87</v>
      </c>
      <c r="O108">
        <v>2</v>
      </c>
      <c r="P108">
        <f t="shared" si="11"/>
        <v>99.130233765000014</v>
      </c>
      <c r="Q108" s="14"/>
      <c r="R108" s="14"/>
      <c r="S108" s="14"/>
      <c r="T108" s="14"/>
    </row>
    <row r="109" spans="1:20">
      <c r="A109">
        <f t="shared" si="12"/>
        <v>761.4963280574359</v>
      </c>
      <c r="B109">
        <v>88</v>
      </c>
      <c r="C109">
        <v>153.62879943799999</v>
      </c>
      <c r="D109">
        <v>88</v>
      </c>
      <c r="E109">
        <v>148.001785278</v>
      </c>
      <c r="F109">
        <v>88</v>
      </c>
      <c r="G109">
        <v>124.95628356899999</v>
      </c>
      <c r="H109">
        <v>88</v>
      </c>
      <c r="I109">
        <v>143.04963684099999</v>
      </c>
      <c r="K109">
        <f t="shared" si="13"/>
        <v>4.9521484370000053</v>
      </c>
      <c r="L109">
        <v>88</v>
      </c>
      <c r="M109">
        <v>253</v>
      </c>
      <c r="N109">
        <v>88</v>
      </c>
      <c r="O109">
        <v>2</v>
      </c>
      <c r="P109">
        <f t="shared" si="11"/>
        <v>99.371200562000013</v>
      </c>
      <c r="Q109" s="14"/>
      <c r="R109" s="14"/>
      <c r="S109" s="14"/>
      <c r="T109" s="14"/>
    </row>
    <row r="110" spans="1:20">
      <c r="A110">
        <f t="shared" si="12"/>
        <v>762.42242269445217</v>
      </c>
      <c r="B110">
        <v>89</v>
      </c>
      <c r="C110">
        <v>152.86537170400001</v>
      </c>
      <c r="D110">
        <v>89</v>
      </c>
      <c r="E110">
        <v>152.09843444800001</v>
      </c>
      <c r="F110">
        <v>89</v>
      </c>
      <c r="G110">
        <v>126.09786987299999</v>
      </c>
      <c r="H110">
        <v>89</v>
      </c>
      <c r="I110">
        <v>143.412719727</v>
      </c>
      <c r="K110">
        <f t="shared" si="13"/>
        <v>8.6857147210000107</v>
      </c>
      <c r="L110">
        <v>89</v>
      </c>
      <c r="M110">
        <v>253</v>
      </c>
      <c r="N110">
        <v>89</v>
      </c>
      <c r="O110">
        <v>2</v>
      </c>
      <c r="P110">
        <f t="shared" si="11"/>
        <v>100.13462829599999</v>
      </c>
      <c r="Q110" s="14"/>
      <c r="R110" s="14"/>
      <c r="S110" s="14"/>
      <c r="T110" s="14"/>
    </row>
    <row r="111" spans="1:20">
      <c r="A111">
        <f t="shared" si="12"/>
        <v>763.34851733146843</v>
      </c>
      <c r="B111">
        <v>90</v>
      </c>
      <c r="C111">
        <v>150.70022582999999</v>
      </c>
      <c r="D111">
        <v>90</v>
      </c>
      <c r="E111">
        <v>150.833221436</v>
      </c>
      <c r="F111">
        <v>90</v>
      </c>
      <c r="G111">
        <v>124.695480347</v>
      </c>
      <c r="H111">
        <v>90</v>
      </c>
      <c r="I111">
        <v>145.11476135300001</v>
      </c>
      <c r="K111">
        <f t="shared" si="13"/>
        <v>5.7184600829999965</v>
      </c>
      <c r="L111">
        <v>90</v>
      </c>
      <c r="M111">
        <v>253</v>
      </c>
      <c r="N111">
        <v>90</v>
      </c>
      <c r="O111">
        <v>2</v>
      </c>
      <c r="P111">
        <f t="shared" si="11"/>
        <v>102.29977417000001</v>
      </c>
      <c r="Q111" s="14"/>
      <c r="R111" s="14"/>
      <c r="S111" s="14"/>
      <c r="T111" s="14"/>
    </row>
    <row r="112" spans="1:20">
      <c r="A112">
        <f t="shared" si="12"/>
        <v>764.27461196848481</v>
      </c>
      <c r="B112">
        <v>91</v>
      </c>
      <c r="C112">
        <v>150.052612305</v>
      </c>
      <c r="D112">
        <v>91</v>
      </c>
      <c r="E112">
        <v>150.71879577600001</v>
      </c>
      <c r="F112">
        <v>91</v>
      </c>
      <c r="G112">
        <v>121.24987793</v>
      </c>
      <c r="H112">
        <v>91</v>
      </c>
      <c r="I112">
        <v>144.26502990700001</v>
      </c>
      <c r="K112">
        <f t="shared" si="13"/>
        <v>6.4537658689999944</v>
      </c>
      <c r="L112">
        <v>91</v>
      </c>
      <c r="M112">
        <v>253</v>
      </c>
      <c r="N112">
        <v>91</v>
      </c>
      <c r="O112">
        <v>2</v>
      </c>
      <c r="P112">
        <f t="shared" si="11"/>
        <v>102.947387695</v>
      </c>
      <c r="Q112" s="14"/>
      <c r="R112" s="14"/>
      <c r="S112" s="14"/>
      <c r="T112" s="14"/>
    </row>
    <row r="113" spans="1:23">
      <c r="A113">
        <f t="shared" si="12"/>
        <v>765.20070660550118</v>
      </c>
      <c r="B113">
        <v>92</v>
      </c>
      <c r="C113">
        <v>147.20474243199999</v>
      </c>
      <c r="D113">
        <v>92</v>
      </c>
      <c r="E113">
        <v>150.96556091299999</v>
      </c>
      <c r="F113">
        <v>92</v>
      </c>
      <c r="G113">
        <v>120.66418457</v>
      </c>
      <c r="H113">
        <v>92</v>
      </c>
      <c r="I113">
        <v>140.55874633799999</v>
      </c>
      <c r="K113">
        <f t="shared" si="13"/>
        <v>10.406814574999999</v>
      </c>
      <c r="L113">
        <v>92</v>
      </c>
      <c r="M113">
        <v>253</v>
      </c>
      <c r="N113">
        <v>92</v>
      </c>
      <c r="O113">
        <v>2</v>
      </c>
      <c r="P113">
        <f t="shared" si="11"/>
        <v>105.79525756800001</v>
      </c>
      <c r="Q113" s="14"/>
      <c r="R113" s="14"/>
      <c r="S113" s="14"/>
      <c r="T113" s="14"/>
    </row>
    <row r="114" spans="1:23">
      <c r="A114">
        <f t="shared" si="12"/>
        <v>766.12680124251744</v>
      </c>
      <c r="B114">
        <v>93</v>
      </c>
      <c r="C114">
        <v>144.759109497</v>
      </c>
      <c r="D114">
        <v>93</v>
      </c>
      <c r="E114">
        <v>150.43385314899999</v>
      </c>
      <c r="F114">
        <v>93</v>
      </c>
      <c r="G114">
        <v>123.022850037</v>
      </c>
      <c r="H114">
        <v>93</v>
      </c>
      <c r="I114">
        <v>137.44415283199999</v>
      </c>
      <c r="K114">
        <f t="shared" si="13"/>
        <v>12.989700317</v>
      </c>
      <c r="L114">
        <v>93</v>
      </c>
      <c r="M114">
        <v>253</v>
      </c>
      <c r="N114">
        <v>93</v>
      </c>
      <c r="O114">
        <v>2</v>
      </c>
      <c r="P114">
        <f t="shared" si="11"/>
        <v>108.240890503</v>
      </c>
      <c r="Q114" s="14"/>
      <c r="R114" s="14"/>
      <c r="S114" s="14"/>
      <c r="T114" s="14"/>
    </row>
    <row r="115" spans="1:23">
      <c r="A115">
        <f t="shared" si="12"/>
        <v>767.05289587953371</v>
      </c>
      <c r="B115">
        <v>94</v>
      </c>
      <c r="C115">
        <v>149.57321167000001</v>
      </c>
      <c r="D115">
        <v>94</v>
      </c>
      <c r="E115">
        <v>152.825515747</v>
      </c>
      <c r="F115">
        <v>94</v>
      </c>
      <c r="G115">
        <v>124.519554138</v>
      </c>
      <c r="H115">
        <v>94</v>
      </c>
      <c r="I115">
        <v>140.66394043</v>
      </c>
      <c r="K115">
        <f t="shared" si="13"/>
        <v>12.161575317</v>
      </c>
      <c r="L115">
        <v>94</v>
      </c>
      <c r="M115">
        <v>253</v>
      </c>
      <c r="N115">
        <v>94</v>
      </c>
      <c r="O115">
        <v>2</v>
      </c>
      <c r="P115">
        <f t="shared" si="11"/>
        <v>103.42678832999999</v>
      </c>
      <c r="Q115" s="14"/>
      <c r="R115" s="14"/>
      <c r="S115" s="14"/>
      <c r="T115" s="14"/>
      <c r="W115" s="14"/>
    </row>
    <row r="116" spans="1:23">
      <c r="A116">
        <f t="shared" si="12"/>
        <v>767.97899051655008</v>
      </c>
      <c r="B116">
        <v>95</v>
      </c>
      <c r="C116">
        <v>149.915481567</v>
      </c>
      <c r="D116">
        <v>95</v>
      </c>
      <c r="E116">
        <v>153.3777771</v>
      </c>
      <c r="F116">
        <v>95</v>
      </c>
      <c r="G116">
        <v>124.499443054</v>
      </c>
      <c r="H116">
        <v>95</v>
      </c>
      <c r="I116">
        <v>141.94784545900001</v>
      </c>
      <c r="K116">
        <f t="shared" si="13"/>
        <v>11.429931640999996</v>
      </c>
      <c r="L116">
        <v>95</v>
      </c>
      <c r="M116">
        <v>253</v>
      </c>
      <c r="N116">
        <v>95</v>
      </c>
      <c r="O116">
        <v>2</v>
      </c>
      <c r="P116">
        <f t="shared" si="11"/>
        <v>103.084518433</v>
      </c>
      <c r="Q116" s="14"/>
      <c r="R116" s="14"/>
      <c r="S116" s="14"/>
      <c r="T116" s="14"/>
      <c r="W116" s="14"/>
    </row>
    <row r="117" spans="1:23">
      <c r="A117">
        <f t="shared" si="12"/>
        <v>768.90508515356635</v>
      </c>
      <c r="B117">
        <v>96</v>
      </c>
      <c r="C117">
        <v>151.32701110799999</v>
      </c>
      <c r="D117">
        <v>96</v>
      </c>
      <c r="E117">
        <v>149.736816406</v>
      </c>
      <c r="F117">
        <v>96</v>
      </c>
      <c r="G117">
        <v>123.79533386200001</v>
      </c>
      <c r="H117">
        <v>96</v>
      </c>
      <c r="I117">
        <v>139.47450256299999</v>
      </c>
      <c r="K117">
        <f t="shared" si="13"/>
        <v>10.262313843000015</v>
      </c>
      <c r="L117">
        <v>96</v>
      </c>
      <c r="M117">
        <v>253</v>
      </c>
      <c r="N117">
        <v>96</v>
      </c>
      <c r="O117">
        <v>2</v>
      </c>
      <c r="P117">
        <f t="shared" si="11"/>
        <v>101.67298889200001</v>
      </c>
      <c r="Q117" s="14"/>
      <c r="R117" s="14"/>
      <c r="S117" s="14"/>
      <c r="T117" s="14"/>
      <c r="W117" s="14"/>
    </row>
    <row r="118" spans="1:23">
      <c r="A118">
        <f t="shared" si="12"/>
        <v>769.83117979058272</v>
      </c>
      <c r="B118">
        <v>97</v>
      </c>
      <c r="C118">
        <v>147.43319702100001</v>
      </c>
      <c r="D118">
        <v>97</v>
      </c>
      <c r="E118">
        <v>148.32672119099999</v>
      </c>
      <c r="F118">
        <v>97</v>
      </c>
      <c r="G118">
        <v>122.345252991</v>
      </c>
      <c r="H118">
        <v>97</v>
      </c>
      <c r="I118">
        <v>138.50135803200001</v>
      </c>
      <c r="K118">
        <f t="shared" si="13"/>
        <v>9.825363158999977</v>
      </c>
      <c r="L118">
        <v>97</v>
      </c>
      <c r="M118">
        <v>253.62742614699999</v>
      </c>
      <c r="N118">
        <v>97</v>
      </c>
      <c r="O118">
        <v>1.3725782630000001</v>
      </c>
      <c r="P118">
        <f t="shared" si="11"/>
        <v>106.19422912599998</v>
      </c>
      <c r="Q118" s="14"/>
      <c r="R118" s="14"/>
      <c r="S118" s="14"/>
      <c r="T118" s="14"/>
      <c r="W118" s="14"/>
    </row>
    <row r="119" spans="1:23">
      <c r="A119">
        <f t="shared" si="12"/>
        <v>770.75727442759899</v>
      </c>
      <c r="B119">
        <v>98</v>
      </c>
      <c r="C119">
        <v>149.162963867</v>
      </c>
      <c r="D119">
        <v>98</v>
      </c>
      <c r="E119">
        <v>148.92330932600001</v>
      </c>
      <c r="F119">
        <v>98</v>
      </c>
      <c r="G119">
        <v>122.14835357699999</v>
      </c>
      <c r="H119">
        <v>98</v>
      </c>
      <c r="I119">
        <v>140.68440246599999</v>
      </c>
      <c r="K119">
        <f t="shared" si="13"/>
        <v>8.2389068600000144</v>
      </c>
      <c r="L119">
        <v>98</v>
      </c>
      <c r="M119">
        <v>254</v>
      </c>
      <c r="N119">
        <v>98</v>
      </c>
      <c r="O119">
        <v>1</v>
      </c>
      <c r="P119">
        <f t="shared" si="11"/>
        <v>104.837036133</v>
      </c>
      <c r="Q119" s="14"/>
      <c r="R119" s="14"/>
      <c r="S119" s="14"/>
      <c r="T119" s="14"/>
      <c r="W119" s="14"/>
    </row>
    <row r="120" spans="1:23">
      <c r="A120">
        <f t="shared" si="12"/>
        <v>771.68336906461536</v>
      </c>
      <c r="B120">
        <v>99</v>
      </c>
      <c r="C120">
        <v>150.70489502000001</v>
      </c>
      <c r="D120">
        <v>99</v>
      </c>
      <c r="E120">
        <v>152.73646545400001</v>
      </c>
      <c r="F120">
        <v>99</v>
      </c>
      <c r="G120">
        <v>122.827919006</v>
      </c>
      <c r="H120">
        <v>99</v>
      </c>
      <c r="I120">
        <v>140.76629638700001</v>
      </c>
      <c r="K120">
        <f t="shared" si="13"/>
        <v>11.970169067</v>
      </c>
      <c r="L120">
        <v>99</v>
      </c>
      <c r="M120">
        <v>254</v>
      </c>
      <c r="N120">
        <v>99</v>
      </c>
      <c r="O120">
        <v>1</v>
      </c>
      <c r="P120">
        <f t="shared" si="11"/>
        <v>103.29510497999999</v>
      </c>
      <c r="Q120" s="14"/>
      <c r="R120" s="14"/>
      <c r="S120" s="14"/>
      <c r="T120" s="14"/>
      <c r="W120" s="14"/>
    </row>
    <row r="121" spans="1:23">
      <c r="A121">
        <f t="shared" si="12"/>
        <v>772.60946370163163</v>
      </c>
      <c r="B121">
        <v>100</v>
      </c>
      <c r="C121">
        <v>150.53790283199999</v>
      </c>
      <c r="D121">
        <v>100</v>
      </c>
      <c r="E121">
        <v>154.46469116200001</v>
      </c>
      <c r="F121">
        <v>100</v>
      </c>
      <c r="G121">
        <v>122.89167022700001</v>
      </c>
      <c r="H121">
        <v>100</v>
      </c>
      <c r="I121">
        <v>135.29180908199999</v>
      </c>
      <c r="K121">
        <f t="shared" si="13"/>
        <v>19.172882080000022</v>
      </c>
      <c r="L121">
        <v>100</v>
      </c>
      <c r="M121">
        <v>254</v>
      </c>
      <c r="N121">
        <v>100</v>
      </c>
      <c r="O121">
        <v>1</v>
      </c>
      <c r="P121">
        <f t="shared" si="11"/>
        <v>103.46209716800001</v>
      </c>
      <c r="Q121" s="14"/>
      <c r="R121" s="14"/>
      <c r="S121" s="14"/>
      <c r="T121" s="14"/>
      <c r="W121" s="14"/>
    </row>
    <row r="122" spans="1:23">
      <c r="A122">
        <f t="shared" si="12"/>
        <v>773.535558338648</v>
      </c>
      <c r="B122">
        <v>101</v>
      </c>
      <c r="C122">
        <v>150.55548095699999</v>
      </c>
      <c r="D122">
        <v>101</v>
      </c>
      <c r="E122">
        <v>150.860137939</v>
      </c>
      <c r="F122">
        <v>101</v>
      </c>
      <c r="G122">
        <v>122.96522521999999</v>
      </c>
      <c r="H122">
        <v>101</v>
      </c>
      <c r="I122">
        <v>132.83758544899999</v>
      </c>
      <c r="K122">
        <f t="shared" si="13"/>
        <v>18.02255249000001</v>
      </c>
      <c r="L122">
        <v>101</v>
      </c>
      <c r="M122">
        <v>253.82745361299999</v>
      </c>
      <c r="N122">
        <v>101</v>
      </c>
      <c r="O122">
        <v>1.2212215660000001</v>
      </c>
      <c r="P122">
        <f t="shared" si="11"/>
        <v>103.271972656</v>
      </c>
      <c r="Q122" s="14"/>
      <c r="R122" s="14"/>
      <c r="S122" s="14"/>
      <c r="T122" s="14"/>
      <c r="W122" s="14"/>
    </row>
    <row r="123" spans="1:23">
      <c r="A123">
        <f t="shared" si="12"/>
        <v>774.46165297566426</v>
      </c>
      <c r="B123">
        <v>102</v>
      </c>
      <c r="C123">
        <v>150.33480835</v>
      </c>
      <c r="D123">
        <v>102</v>
      </c>
      <c r="E123">
        <v>146.99494934099999</v>
      </c>
      <c r="F123">
        <v>102</v>
      </c>
      <c r="G123">
        <v>122.288627625</v>
      </c>
      <c r="H123">
        <v>102</v>
      </c>
      <c r="I123">
        <v>137.59832763700001</v>
      </c>
      <c r="K123">
        <f t="shared" si="13"/>
        <v>9.3966217039999833</v>
      </c>
      <c r="L123">
        <v>102</v>
      </c>
      <c r="M123">
        <v>253.31132507300001</v>
      </c>
      <c r="N123">
        <v>102</v>
      </c>
      <c r="O123">
        <v>1.7526080610000001</v>
      </c>
      <c r="P123">
        <f t="shared" si="11"/>
        <v>102.976516723</v>
      </c>
      <c r="Q123" s="14"/>
      <c r="R123" s="14"/>
      <c r="S123" s="14"/>
      <c r="T123" s="14"/>
      <c r="W123" s="14"/>
    </row>
    <row r="124" spans="1:23">
      <c r="A124">
        <f t="shared" si="12"/>
        <v>775.38774761268064</v>
      </c>
      <c r="B124">
        <v>103</v>
      </c>
      <c r="C124">
        <v>151.116821289</v>
      </c>
      <c r="D124">
        <v>103</v>
      </c>
      <c r="E124">
        <v>153.64988708499999</v>
      </c>
      <c r="F124">
        <v>103</v>
      </c>
      <c r="G124">
        <v>122.027580261</v>
      </c>
      <c r="H124">
        <v>103</v>
      </c>
      <c r="I124">
        <v>138.21887207</v>
      </c>
      <c r="K124">
        <f t="shared" si="13"/>
        <v>15.431015014999986</v>
      </c>
      <c r="L124">
        <v>103</v>
      </c>
      <c r="M124">
        <v>253.828613281</v>
      </c>
      <c r="N124">
        <v>103</v>
      </c>
      <c r="O124">
        <v>1.1713860030000001</v>
      </c>
      <c r="P124">
        <f t="shared" si="11"/>
        <v>102.711791992</v>
      </c>
      <c r="Q124" s="14"/>
      <c r="R124" s="14"/>
      <c r="S124" s="14"/>
      <c r="W124" s="14"/>
    </row>
    <row r="125" spans="1:23">
      <c r="A125">
        <f t="shared" si="12"/>
        <v>776.3138422496969</v>
      </c>
      <c r="B125">
        <v>104</v>
      </c>
      <c r="C125">
        <v>150.519332886</v>
      </c>
      <c r="D125">
        <v>104</v>
      </c>
      <c r="E125">
        <v>156.37022399899999</v>
      </c>
      <c r="F125">
        <v>104</v>
      </c>
      <c r="G125">
        <v>122</v>
      </c>
      <c r="H125">
        <v>104</v>
      </c>
      <c r="I125">
        <v>141.01568603499999</v>
      </c>
      <c r="K125">
        <f t="shared" si="13"/>
        <v>15.354537964000002</v>
      </c>
      <c r="L125">
        <v>104</v>
      </c>
      <c r="M125">
        <v>253</v>
      </c>
      <c r="N125">
        <v>104</v>
      </c>
      <c r="O125">
        <v>2</v>
      </c>
      <c r="P125">
        <f t="shared" si="11"/>
        <v>102.480667114</v>
      </c>
      <c r="Q125" s="14"/>
      <c r="R125" s="14"/>
      <c r="S125" s="14"/>
      <c r="W125" s="14"/>
    </row>
    <row r="126" spans="1:23">
      <c r="A126">
        <f t="shared" si="12"/>
        <v>777.23993688671328</v>
      </c>
      <c r="B126">
        <v>105</v>
      </c>
      <c r="C126">
        <v>149.70608520499999</v>
      </c>
      <c r="D126">
        <v>105</v>
      </c>
      <c r="E126">
        <v>150.42015075699999</v>
      </c>
      <c r="F126">
        <v>105</v>
      </c>
      <c r="G126">
        <v>121.80327606199999</v>
      </c>
      <c r="H126">
        <v>105</v>
      </c>
      <c r="I126">
        <v>142.91421508799999</v>
      </c>
      <c r="K126">
        <f t="shared" si="13"/>
        <v>7.5059356689999959</v>
      </c>
      <c r="L126">
        <v>105</v>
      </c>
      <c r="M126">
        <v>253</v>
      </c>
      <c r="N126">
        <v>105</v>
      </c>
      <c r="O126">
        <v>2</v>
      </c>
      <c r="P126">
        <f t="shared" si="11"/>
        <v>103.29391479500001</v>
      </c>
      <c r="Q126" s="14"/>
      <c r="R126" s="14"/>
      <c r="S126" s="14"/>
      <c r="W126" s="14"/>
    </row>
    <row r="127" spans="1:23">
      <c r="A127">
        <f t="shared" si="12"/>
        <v>778.16603152372954</v>
      </c>
      <c r="B127">
        <v>106</v>
      </c>
      <c r="C127">
        <v>148.160400391</v>
      </c>
      <c r="D127">
        <v>106</v>
      </c>
      <c r="E127">
        <v>150.867263794</v>
      </c>
      <c r="F127">
        <v>106</v>
      </c>
      <c r="G127">
        <v>122.34426116900001</v>
      </c>
      <c r="H127">
        <v>106</v>
      </c>
      <c r="I127">
        <v>141.90025329599999</v>
      </c>
      <c r="K127">
        <f t="shared" si="13"/>
        <v>8.9670104980000076</v>
      </c>
      <c r="L127">
        <v>106</v>
      </c>
      <c r="M127">
        <v>253</v>
      </c>
      <c r="N127">
        <v>106</v>
      </c>
      <c r="O127">
        <v>2</v>
      </c>
      <c r="P127">
        <f t="shared" si="11"/>
        <v>104.839599609</v>
      </c>
      <c r="Q127" s="14"/>
      <c r="R127" s="14"/>
      <c r="S127" s="14"/>
      <c r="W127" s="14"/>
    </row>
    <row r="128" spans="1:23">
      <c r="A128">
        <f t="shared" si="12"/>
        <v>779.09212616074592</v>
      </c>
      <c r="B128">
        <v>107</v>
      </c>
      <c r="C128">
        <v>148.519363403</v>
      </c>
      <c r="D128">
        <v>107</v>
      </c>
      <c r="E128">
        <v>152.84832763700001</v>
      </c>
      <c r="F128">
        <v>107</v>
      </c>
      <c r="G128">
        <v>122.869735718</v>
      </c>
      <c r="H128">
        <v>107</v>
      </c>
      <c r="I128">
        <v>138.579055786</v>
      </c>
      <c r="K128">
        <f t="shared" si="13"/>
        <v>14.269271851000013</v>
      </c>
      <c r="L128">
        <v>107</v>
      </c>
      <c r="M128">
        <v>253</v>
      </c>
      <c r="N128">
        <v>107</v>
      </c>
      <c r="O128">
        <v>2</v>
      </c>
      <c r="P128">
        <f t="shared" si="11"/>
        <v>104.480636597</v>
      </c>
      <c r="Q128" s="14"/>
      <c r="R128" s="14"/>
      <c r="S128" s="14"/>
      <c r="W128" s="14"/>
    </row>
    <row r="129" spans="1:23">
      <c r="A129">
        <f t="shared" si="12"/>
        <v>780.01822079776218</v>
      </c>
      <c r="B129">
        <v>108</v>
      </c>
      <c r="C129">
        <v>149.76948547399999</v>
      </c>
      <c r="D129">
        <v>108</v>
      </c>
      <c r="E129">
        <v>152.627075195</v>
      </c>
      <c r="F129">
        <v>108</v>
      </c>
      <c r="G129">
        <v>122.787269592</v>
      </c>
      <c r="H129">
        <v>108</v>
      </c>
      <c r="I129">
        <v>135.558151245</v>
      </c>
      <c r="K129">
        <f t="shared" si="13"/>
        <v>17.068923949999999</v>
      </c>
      <c r="L129">
        <v>108</v>
      </c>
      <c r="M129">
        <v>253</v>
      </c>
      <c r="N129">
        <v>108</v>
      </c>
      <c r="O129">
        <v>2</v>
      </c>
      <c r="P129">
        <f t="shared" si="11"/>
        <v>103.23051452600001</v>
      </c>
      <c r="Q129" s="14"/>
      <c r="R129" s="14"/>
      <c r="S129" s="14"/>
      <c r="W129" s="14"/>
    </row>
    <row r="130" spans="1:23">
      <c r="A130">
        <f t="shared" si="12"/>
        <v>780.94431543477845</v>
      </c>
      <c r="B130">
        <v>109</v>
      </c>
      <c r="C130">
        <v>147.58509826700001</v>
      </c>
      <c r="D130">
        <v>109</v>
      </c>
      <c r="E130">
        <v>149.28874206500001</v>
      </c>
      <c r="F130">
        <v>109</v>
      </c>
      <c r="G130">
        <v>122.374725342</v>
      </c>
      <c r="H130">
        <v>109</v>
      </c>
      <c r="I130">
        <v>139.205535889</v>
      </c>
      <c r="K130">
        <f t="shared" si="13"/>
        <v>10.083206176000004</v>
      </c>
      <c r="L130">
        <v>109</v>
      </c>
      <c r="M130">
        <v>253</v>
      </c>
      <c r="N130">
        <v>109</v>
      </c>
      <c r="O130">
        <v>2</v>
      </c>
      <c r="P130">
        <f t="shared" si="11"/>
        <v>105.41490173299999</v>
      </c>
      <c r="Q130" s="14"/>
      <c r="R130" s="14"/>
      <c r="S130" s="14"/>
      <c r="W130" s="14"/>
    </row>
    <row r="131" spans="1:23">
      <c r="A131">
        <f t="shared" si="12"/>
        <v>781.87041007179482</v>
      </c>
      <c r="B131">
        <v>110</v>
      </c>
      <c r="C131">
        <v>146.659988403</v>
      </c>
      <c r="D131">
        <v>110</v>
      </c>
      <c r="E131">
        <v>151.46241760300001</v>
      </c>
      <c r="F131">
        <v>110</v>
      </c>
      <c r="G131">
        <v>122.131149292</v>
      </c>
      <c r="H131">
        <v>110</v>
      </c>
      <c r="I131">
        <v>141.96726989699999</v>
      </c>
      <c r="K131">
        <f t="shared" si="13"/>
        <v>9.4951477060000116</v>
      </c>
      <c r="L131">
        <v>110</v>
      </c>
      <c r="M131">
        <v>253</v>
      </c>
      <c r="N131">
        <v>110</v>
      </c>
      <c r="O131">
        <v>2</v>
      </c>
      <c r="P131">
        <f t="shared" si="11"/>
        <v>106.340011597</v>
      </c>
      <c r="Q131" s="14"/>
      <c r="R131" s="14"/>
      <c r="S131" s="14"/>
      <c r="W131" s="14"/>
    </row>
    <row r="132" spans="1:23">
      <c r="A132">
        <f t="shared" si="12"/>
        <v>782.7965047088112</v>
      </c>
      <c r="B132">
        <v>111</v>
      </c>
      <c r="C132">
        <v>147.98284912099999</v>
      </c>
      <c r="D132">
        <v>111</v>
      </c>
      <c r="E132">
        <v>152.02720642099999</v>
      </c>
      <c r="F132">
        <v>111</v>
      </c>
      <c r="G132">
        <v>122.224510193</v>
      </c>
      <c r="H132">
        <v>111</v>
      </c>
      <c r="I132">
        <v>140.74063110399999</v>
      </c>
      <c r="K132">
        <f t="shared" si="13"/>
        <v>11.286575317</v>
      </c>
      <c r="L132">
        <v>111</v>
      </c>
      <c r="M132">
        <v>253</v>
      </c>
      <c r="N132">
        <v>111</v>
      </c>
      <c r="O132">
        <v>2</v>
      </c>
      <c r="P132">
        <f t="shared" si="11"/>
        <v>105.01715087900001</v>
      </c>
      <c r="Q132" s="14"/>
      <c r="R132" s="14"/>
      <c r="S132" s="14"/>
      <c r="W132" s="14"/>
    </row>
    <row r="133" spans="1:23">
      <c r="A133">
        <f t="shared" si="12"/>
        <v>783.72259934582746</v>
      </c>
      <c r="B133">
        <v>112</v>
      </c>
      <c r="C133">
        <v>147.67807006800001</v>
      </c>
      <c r="D133">
        <v>112</v>
      </c>
      <c r="E133">
        <v>149.78123474099999</v>
      </c>
      <c r="F133">
        <v>112</v>
      </c>
      <c r="G133">
        <v>121.467155457</v>
      </c>
      <c r="H133">
        <v>112</v>
      </c>
      <c r="I133">
        <v>143.77813720699999</v>
      </c>
      <c r="K133">
        <f t="shared" si="13"/>
        <v>6.0030975340000055</v>
      </c>
      <c r="L133">
        <v>112</v>
      </c>
      <c r="M133">
        <v>253</v>
      </c>
      <c r="N133">
        <v>112</v>
      </c>
      <c r="O133">
        <v>2</v>
      </c>
      <c r="P133">
        <f t="shared" si="11"/>
        <v>105.32192993199999</v>
      </c>
      <c r="Q133" s="14"/>
      <c r="R133" s="14"/>
      <c r="S133" s="14"/>
      <c r="T133" s="14"/>
    </row>
    <row r="134" spans="1:23">
      <c r="A134">
        <f t="shared" si="12"/>
        <v>784.64869398284372</v>
      </c>
      <c r="B134">
        <v>113</v>
      </c>
      <c r="C134">
        <v>147.44818115199999</v>
      </c>
      <c r="D134">
        <v>113</v>
      </c>
      <c r="E134">
        <v>147.97476196299999</v>
      </c>
      <c r="F134">
        <v>113</v>
      </c>
      <c r="G134">
        <v>121.13957977299999</v>
      </c>
      <c r="H134">
        <v>113</v>
      </c>
      <c r="I134">
        <v>142.26820373499999</v>
      </c>
      <c r="K134">
        <f t="shared" si="13"/>
        <v>5.7065582280000058</v>
      </c>
      <c r="L134">
        <v>113</v>
      </c>
      <c r="M134">
        <v>253</v>
      </c>
      <c r="N134">
        <v>113</v>
      </c>
      <c r="O134">
        <v>2</v>
      </c>
      <c r="P134">
        <f t="shared" si="11"/>
        <v>105.55181884800001</v>
      </c>
      <c r="Q134" s="14"/>
      <c r="R134" s="14"/>
      <c r="S134" s="14"/>
      <c r="T134" s="14"/>
    </row>
    <row r="135" spans="1:23">
      <c r="A135">
        <f t="shared" si="12"/>
        <v>785.5747886198601</v>
      </c>
      <c r="B135">
        <v>114</v>
      </c>
      <c r="C135">
        <v>148.04507446299999</v>
      </c>
      <c r="D135">
        <v>114</v>
      </c>
      <c r="E135">
        <v>150.591873169</v>
      </c>
      <c r="F135">
        <v>114</v>
      </c>
      <c r="G135">
        <v>122.543983459</v>
      </c>
      <c r="H135">
        <v>114</v>
      </c>
      <c r="I135">
        <v>143.109085083</v>
      </c>
      <c r="K135">
        <f t="shared" si="13"/>
        <v>7.4827880859999993</v>
      </c>
      <c r="L135">
        <v>114</v>
      </c>
      <c r="M135">
        <v>253</v>
      </c>
      <c r="N135">
        <v>114</v>
      </c>
      <c r="O135">
        <v>2</v>
      </c>
      <c r="P135">
        <f t="shared" si="11"/>
        <v>104.95492553700001</v>
      </c>
      <c r="Q135" s="14"/>
      <c r="R135" s="14"/>
      <c r="S135" s="14"/>
      <c r="T135" s="14"/>
    </row>
    <row r="136" spans="1:23">
      <c r="A136">
        <f t="shared" si="12"/>
        <v>786.50088325687636</v>
      </c>
      <c r="B136">
        <v>115</v>
      </c>
      <c r="C136">
        <v>149.04385375999999</v>
      </c>
      <c r="D136">
        <v>115</v>
      </c>
      <c r="E136">
        <v>152.64102172899999</v>
      </c>
      <c r="F136">
        <v>115</v>
      </c>
      <c r="G136">
        <v>123.179656982</v>
      </c>
      <c r="H136">
        <v>115</v>
      </c>
      <c r="I136">
        <v>144.36314392099999</v>
      </c>
      <c r="K136">
        <f t="shared" si="13"/>
        <v>8.2778778079999995</v>
      </c>
      <c r="L136">
        <v>115</v>
      </c>
      <c r="M136">
        <v>253</v>
      </c>
      <c r="N136">
        <v>115</v>
      </c>
      <c r="O136">
        <v>2</v>
      </c>
      <c r="P136">
        <f t="shared" si="11"/>
        <v>103.95614624000001</v>
      </c>
      <c r="Q136" s="14"/>
      <c r="R136" s="14"/>
      <c r="S136" s="14"/>
      <c r="T136" s="14"/>
    </row>
    <row r="137" spans="1:23">
      <c r="A137">
        <f t="shared" si="12"/>
        <v>787.42697789389274</v>
      </c>
      <c r="B137">
        <v>116</v>
      </c>
      <c r="C137">
        <v>149.47677612300001</v>
      </c>
      <c r="D137">
        <v>116</v>
      </c>
      <c r="E137">
        <v>152.03680419899999</v>
      </c>
      <c r="F137">
        <v>116</v>
      </c>
      <c r="G137">
        <v>123.35710907000001</v>
      </c>
      <c r="H137">
        <v>116</v>
      </c>
      <c r="I137">
        <v>143.81117248499999</v>
      </c>
      <c r="K137">
        <f t="shared" si="13"/>
        <v>8.2256317140000021</v>
      </c>
      <c r="L137">
        <v>116</v>
      </c>
      <c r="M137">
        <v>253</v>
      </c>
      <c r="N137">
        <v>116</v>
      </c>
      <c r="O137">
        <v>2</v>
      </c>
      <c r="P137">
        <f t="shared" si="11"/>
        <v>103.52322387699999</v>
      </c>
      <c r="Q137" s="14"/>
      <c r="R137" s="14"/>
      <c r="S137" s="14"/>
      <c r="T137" s="14"/>
    </row>
    <row r="138" spans="1:23">
      <c r="A138">
        <f t="shared" si="12"/>
        <v>788.353072530909</v>
      </c>
      <c r="B138">
        <v>117</v>
      </c>
      <c r="C138">
        <v>149.01620483400001</v>
      </c>
      <c r="D138">
        <v>117</v>
      </c>
      <c r="E138">
        <v>150.42222595199999</v>
      </c>
      <c r="F138">
        <v>117</v>
      </c>
      <c r="G138">
        <v>121.16322326700001</v>
      </c>
      <c r="H138">
        <v>117</v>
      </c>
      <c r="I138">
        <v>141.705734253</v>
      </c>
      <c r="K138">
        <f t="shared" si="13"/>
        <v>8.7164916989999881</v>
      </c>
      <c r="L138">
        <v>117</v>
      </c>
      <c r="M138">
        <v>253</v>
      </c>
      <c r="N138">
        <v>117</v>
      </c>
      <c r="O138">
        <v>2</v>
      </c>
      <c r="P138">
        <f t="shared" si="11"/>
        <v>103.98379516599999</v>
      </c>
      <c r="Q138" s="14"/>
      <c r="R138" s="14"/>
      <c r="S138" s="14"/>
      <c r="T138" s="14"/>
      <c r="U138" s="14"/>
      <c r="V138" s="14"/>
    </row>
    <row r="139" spans="1:23">
      <c r="A139">
        <f t="shared" si="12"/>
        <v>789.27916716792538</v>
      </c>
      <c r="B139">
        <v>118</v>
      </c>
      <c r="C139">
        <v>149.31892395</v>
      </c>
      <c r="D139">
        <v>118</v>
      </c>
      <c r="E139">
        <v>148.402954102</v>
      </c>
      <c r="F139">
        <v>118</v>
      </c>
      <c r="G139">
        <v>120.970046997</v>
      </c>
      <c r="H139">
        <v>118</v>
      </c>
      <c r="I139">
        <v>140.753814697</v>
      </c>
      <c r="K139">
        <f t="shared" si="13"/>
        <v>7.6491394049999997</v>
      </c>
      <c r="L139">
        <v>118</v>
      </c>
      <c r="M139">
        <v>253</v>
      </c>
      <c r="N139">
        <v>118</v>
      </c>
      <c r="O139">
        <v>2</v>
      </c>
      <c r="P139">
        <f t="shared" si="11"/>
        <v>103.68107605</v>
      </c>
      <c r="Q139" s="14"/>
      <c r="R139" s="14"/>
      <c r="S139" s="14"/>
      <c r="T139" s="14"/>
      <c r="U139" s="14"/>
      <c r="V139" s="14"/>
    </row>
    <row r="140" spans="1:23">
      <c r="A140">
        <f t="shared" si="12"/>
        <v>790.20526180494164</v>
      </c>
      <c r="B140">
        <v>119</v>
      </c>
      <c r="C140">
        <v>151.20228576700001</v>
      </c>
      <c r="D140">
        <v>119</v>
      </c>
      <c r="E140">
        <v>147.97297668499999</v>
      </c>
      <c r="F140">
        <v>119</v>
      </c>
      <c r="G140">
        <v>122.338821411</v>
      </c>
      <c r="H140">
        <v>119</v>
      </c>
      <c r="I140">
        <v>142.797073364</v>
      </c>
      <c r="K140">
        <f t="shared" si="13"/>
        <v>5.1759033209999927</v>
      </c>
      <c r="L140">
        <v>119</v>
      </c>
      <c r="M140">
        <v>253</v>
      </c>
      <c r="N140">
        <v>119</v>
      </c>
      <c r="O140">
        <v>2</v>
      </c>
      <c r="P140">
        <f t="shared" si="11"/>
        <v>101.79771423299999</v>
      </c>
      <c r="Q140" s="14"/>
      <c r="R140" s="14"/>
      <c r="S140" s="14"/>
      <c r="T140" s="14"/>
      <c r="U140" s="14"/>
      <c r="V140" s="14"/>
    </row>
    <row r="141" spans="1:23">
      <c r="A141">
        <f t="shared" si="12"/>
        <v>791.13135644195802</v>
      </c>
      <c r="B141">
        <v>120</v>
      </c>
      <c r="C141">
        <v>148.85423278799999</v>
      </c>
      <c r="D141">
        <v>120</v>
      </c>
      <c r="E141">
        <v>149.574493408</v>
      </c>
      <c r="F141">
        <v>120</v>
      </c>
      <c r="G141">
        <v>123.84500885</v>
      </c>
      <c r="H141">
        <v>120</v>
      </c>
      <c r="I141">
        <v>144.32640075699999</v>
      </c>
      <c r="K141">
        <f t="shared" si="13"/>
        <v>5.2480926510000074</v>
      </c>
      <c r="L141">
        <v>120</v>
      </c>
      <c r="M141">
        <v>252.312042236</v>
      </c>
      <c r="N141">
        <v>120</v>
      </c>
      <c r="O141">
        <v>2.8452138900000001</v>
      </c>
      <c r="P141">
        <f t="shared" si="11"/>
        <v>103.45780944800001</v>
      </c>
      <c r="Q141" s="14"/>
      <c r="R141" s="14"/>
      <c r="S141" s="14"/>
      <c r="T141" s="14"/>
      <c r="U141" s="14"/>
      <c r="V141" s="14"/>
    </row>
    <row r="142" spans="1:23">
      <c r="A142">
        <f t="shared" si="12"/>
        <v>792.05745107897428</v>
      </c>
      <c r="B142">
        <v>121</v>
      </c>
      <c r="C142">
        <v>147.88201904300001</v>
      </c>
      <c r="D142">
        <v>121</v>
      </c>
      <c r="E142">
        <v>150.439163208</v>
      </c>
      <c r="F142">
        <v>121</v>
      </c>
      <c r="G142">
        <v>121.805877686</v>
      </c>
      <c r="H142">
        <v>121</v>
      </c>
      <c r="I142">
        <v>140.25068664599999</v>
      </c>
      <c r="K142">
        <f t="shared" si="13"/>
        <v>10.188476562000005</v>
      </c>
      <c r="L142">
        <v>121</v>
      </c>
      <c r="M142">
        <v>252</v>
      </c>
      <c r="N142">
        <v>121</v>
      </c>
      <c r="O142">
        <v>3</v>
      </c>
      <c r="P142">
        <f t="shared" si="11"/>
        <v>104.11798095699999</v>
      </c>
      <c r="Q142" s="14"/>
      <c r="R142" s="14"/>
      <c r="S142" s="14"/>
      <c r="T142" s="14"/>
      <c r="U142" s="14"/>
      <c r="V142" s="14"/>
    </row>
    <row r="143" spans="1:23">
      <c r="A143">
        <f t="shared" si="12"/>
        <v>792.98354571599066</v>
      </c>
      <c r="B143">
        <v>122</v>
      </c>
      <c r="C143">
        <v>147.299026489</v>
      </c>
      <c r="D143">
        <v>122</v>
      </c>
      <c r="E143">
        <v>148.90298461899999</v>
      </c>
      <c r="F143">
        <v>122</v>
      </c>
      <c r="G143">
        <v>123.658401489</v>
      </c>
      <c r="H143">
        <v>122</v>
      </c>
      <c r="I143">
        <v>143.02659606899999</v>
      </c>
      <c r="K143">
        <f t="shared" si="13"/>
        <v>5.8763885500000015</v>
      </c>
      <c r="L143">
        <v>122</v>
      </c>
      <c r="M143">
        <v>252</v>
      </c>
      <c r="N143">
        <v>122</v>
      </c>
      <c r="O143">
        <v>3</v>
      </c>
      <c r="P143">
        <f t="shared" si="11"/>
        <v>104.700973511</v>
      </c>
      <c r="Q143" s="14"/>
      <c r="R143" s="14"/>
      <c r="S143" s="14"/>
      <c r="T143" s="14"/>
      <c r="U143" s="14"/>
      <c r="V143" s="14"/>
    </row>
    <row r="144" spans="1:23">
      <c r="A144">
        <f t="shared" si="12"/>
        <v>793.90964035300692</v>
      </c>
      <c r="B144">
        <v>123</v>
      </c>
      <c r="C144">
        <v>146.75920105</v>
      </c>
      <c r="D144">
        <v>123</v>
      </c>
      <c r="E144">
        <v>149.31353759800001</v>
      </c>
      <c r="F144">
        <v>123</v>
      </c>
      <c r="G144">
        <v>125.40763855</v>
      </c>
      <c r="H144">
        <v>123</v>
      </c>
      <c r="I144">
        <v>142.41802978499999</v>
      </c>
      <c r="K144">
        <f t="shared" si="13"/>
        <v>6.8955078130000231</v>
      </c>
      <c r="L144">
        <v>123</v>
      </c>
      <c r="M144">
        <v>252</v>
      </c>
      <c r="N144">
        <v>123</v>
      </c>
      <c r="O144">
        <v>3</v>
      </c>
      <c r="P144">
        <f t="shared" si="11"/>
        <v>105.24079895</v>
      </c>
      <c r="Q144" s="14"/>
      <c r="R144" s="14"/>
      <c r="S144" s="14"/>
      <c r="T144" s="14"/>
      <c r="U144" s="14"/>
      <c r="V144" s="14"/>
    </row>
    <row r="145" spans="1:22">
      <c r="A145">
        <f t="shared" si="12"/>
        <v>794.8357349900233</v>
      </c>
      <c r="B145">
        <v>124</v>
      </c>
      <c r="C145">
        <v>147.30075073200001</v>
      </c>
      <c r="D145">
        <v>124</v>
      </c>
      <c r="E145">
        <v>148.212966919</v>
      </c>
      <c r="F145">
        <v>124</v>
      </c>
      <c r="G145">
        <v>122.931144714</v>
      </c>
      <c r="H145">
        <v>124</v>
      </c>
      <c r="I145">
        <v>140.92218017600001</v>
      </c>
      <c r="K145">
        <f t="shared" si="13"/>
        <v>7.290786742999984</v>
      </c>
      <c r="L145">
        <v>124</v>
      </c>
      <c r="M145">
        <v>252</v>
      </c>
      <c r="N145">
        <v>124</v>
      </c>
      <c r="O145">
        <v>3</v>
      </c>
      <c r="P145">
        <f t="shared" si="11"/>
        <v>104.69924926799999</v>
      </c>
      <c r="Q145" s="14"/>
      <c r="R145" s="14"/>
      <c r="S145" s="14"/>
      <c r="T145" s="14"/>
      <c r="U145" s="14"/>
      <c r="V145" s="14"/>
    </row>
    <row r="146" spans="1:22">
      <c r="A146">
        <f t="shared" si="12"/>
        <v>795.76182962703956</v>
      </c>
      <c r="B146">
        <v>125</v>
      </c>
      <c r="C146">
        <v>147.295379639</v>
      </c>
      <c r="D146">
        <v>125</v>
      </c>
      <c r="E146">
        <v>153.82417297399999</v>
      </c>
      <c r="F146">
        <v>125</v>
      </c>
      <c r="G146">
        <v>123.31771087600001</v>
      </c>
      <c r="H146">
        <v>125</v>
      </c>
      <c r="I146">
        <v>143.82652282699999</v>
      </c>
      <c r="K146">
        <f t="shared" si="13"/>
        <v>9.9976501470000017</v>
      </c>
      <c r="L146">
        <v>125</v>
      </c>
      <c r="M146">
        <v>252</v>
      </c>
      <c r="N146">
        <v>125</v>
      </c>
      <c r="O146">
        <v>3</v>
      </c>
      <c r="P146">
        <f t="shared" si="11"/>
        <v>104.704620361</v>
      </c>
      <c r="Q146" s="14"/>
      <c r="R146" s="14"/>
      <c r="S146" s="14"/>
      <c r="T146" s="14"/>
      <c r="U146" s="14"/>
      <c r="V146" s="14"/>
    </row>
    <row r="147" spans="1:22">
      <c r="A147">
        <f t="shared" si="12"/>
        <v>796.68792426405594</v>
      </c>
      <c r="B147">
        <v>126</v>
      </c>
      <c r="C147">
        <v>148.72929382300001</v>
      </c>
      <c r="D147">
        <v>126</v>
      </c>
      <c r="E147">
        <v>149.459228516</v>
      </c>
      <c r="F147">
        <v>126</v>
      </c>
      <c r="G147">
        <v>124.10975646999999</v>
      </c>
      <c r="H147">
        <v>126</v>
      </c>
      <c r="I147">
        <v>145.226470947</v>
      </c>
      <c r="K147">
        <f t="shared" si="13"/>
        <v>4.2327575690000003</v>
      </c>
      <c r="L147">
        <v>126</v>
      </c>
      <c r="M147">
        <v>252</v>
      </c>
      <c r="N147">
        <v>126</v>
      </c>
      <c r="O147">
        <v>3</v>
      </c>
      <c r="P147">
        <f t="shared" si="11"/>
        <v>103.27070617699999</v>
      </c>
      <c r="Q147" s="14"/>
    </row>
    <row r="148" spans="1:22">
      <c r="A148">
        <f t="shared" si="12"/>
        <v>797.6140189010722</v>
      </c>
      <c r="B148">
        <v>127</v>
      </c>
      <c r="C148">
        <v>149.01016235399999</v>
      </c>
      <c r="D148">
        <v>127</v>
      </c>
      <c r="E148">
        <v>147.58674621599999</v>
      </c>
      <c r="F148">
        <v>127</v>
      </c>
      <c r="G148">
        <v>124.64232635499999</v>
      </c>
      <c r="H148">
        <v>127</v>
      </c>
      <c r="I148">
        <v>140.219573975</v>
      </c>
      <c r="K148">
        <f t="shared" si="13"/>
        <v>7.3671722409999916</v>
      </c>
      <c r="L148">
        <v>127</v>
      </c>
      <c r="M148">
        <v>252</v>
      </c>
      <c r="N148">
        <v>127</v>
      </c>
      <c r="O148">
        <v>3</v>
      </c>
      <c r="P148">
        <f t="shared" si="11"/>
        <v>102.98983764600001</v>
      </c>
      <c r="Q148" s="14"/>
    </row>
    <row r="149" spans="1:22">
      <c r="A149">
        <f t="shared" si="12"/>
        <v>798.54011353808846</v>
      </c>
      <c r="B149">
        <v>128</v>
      </c>
      <c r="C149">
        <v>149.31448364299999</v>
      </c>
      <c r="D149">
        <v>128</v>
      </c>
      <c r="E149">
        <v>150.27235412600001</v>
      </c>
      <c r="F149">
        <v>128</v>
      </c>
      <c r="G149">
        <v>125.01689147899999</v>
      </c>
      <c r="H149">
        <v>128</v>
      </c>
      <c r="I149">
        <v>133.445037842</v>
      </c>
      <c r="K149">
        <f t="shared" si="13"/>
        <v>16.827316284000005</v>
      </c>
      <c r="L149">
        <v>128</v>
      </c>
      <c r="M149">
        <v>252</v>
      </c>
      <c r="N149">
        <v>128</v>
      </c>
      <c r="O149">
        <v>3</v>
      </c>
      <c r="P149">
        <f t="shared" ref="P149:P212" si="14">M149-C149</f>
        <v>102.68551635700001</v>
      </c>
      <c r="Q149" s="14"/>
    </row>
    <row r="150" spans="1:22">
      <c r="A150">
        <f t="shared" ref="A150:A213" si="15">680 +B150*COS(ABS($J$8)*PI()/180)</f>
        <v>799.46620817510484</v>
      </c>
      <c r="B150">
        <v>129</v>
      </c>
      <c r="C150">
        <v>147.32508850100001</v>
      </c>
      <c r="D150">
        <v>129</v>
      </c>
      <c r="E150">
        <v>150.52598571799999</v>
      </c>
      <c r="F150">
        <v>129</v>
      </c>
      <c r="G150">
        <v>125.10356903100001</v>
      </c>
      <c r="H150">
        <v>129</v>
      </c>
      <c r="I150">
        <v>138.82659912099999</v>
      </c>
      <c r="K150">
        <f t="shared" ref="K150:K213" si="16">E150-I150</f>
        <v>11.699386597</v>
      </c>
      <c r="L150">
        <v>129</v>
      </c>
      <c r="M150">
        <v>252</v>
      </c>
      <c r="N150">
        <v>129</v>
      </c>
      <c r="O150">
        <v>3</v>
      </c>
      <c r="P150">
        <f t="shared" si="14"/>
        <v>104.67491149899999</v>
      </c>
      <c r="Q150" s="14"/>
    </row>
    <row r="151" spans="1:22">
      <c r="A151">
        <f t="shared" si="15"/>
        <v>800.39230281212122</v>
      </c>
      <c r="B151">
        <v>130</v>
      </c>
      <c r="C151">
        <v>144.74827575699999</v>
      </c>
      <c r="D151">
        <v>130</v>
      </c>
      <c r="E151">
        <v>150.47708129899999</v>
      </c>
      <c r="F151">
        <v>130</v>
      </c>
      <c r="G151">
        <v>124.791358948</v>
      </c>
      <c r="H151">
        <v>130</v>
      </c>
      <c r="I151">
        <v>144.373413086</v>
      </c>
      <c r="K151">
        <f t="shared" si="16"/>
        <v>6.1036682129999917</v>
      </c>
      <c r="L151">
        <v>130</v>
      </c>
      <c r="M151">
        <v>252</v>
      </c>
      <c r="N151">
        <v>130</v>
      </c>
      <c r="O151">
        <v>3</v>
      </c>
      <c r="P151">
        <f t="shared" si="14"/>
        <v>107.25172424300001</v>
      </c>
      <c r="Q151" s="14"/>
    </row>
    <row r="152" spans="1:22">
      <c r="A152">
        <f t="shared" si="15"/>
        <v>801.31839744913748</v>
      </c>
      <c r="B152">
        <v>131</v>
      </c>
      <c r="C152">
        <v>147.351287842</v>
      </c>
      <c r="D152">
        <v>131</v>
      </c>
      <c r="E152">
        <v>150.00531005900001</v>
      </c>
      <c r="F152">
        <v>131</v>
      </c>
      <c r="G152">
        <v>125.159294128</v>
      </c>
      <c r="H152">
        <v>131</v>
      </c>
      <c r="I152">
        <v>143.68598938</v>
      </c>
      <c r="K152">
        <f t="shared" si="16"/>
        <v>6.3193206790000147</v>
      </c>
      <c r="L152">
        <v>131</v>
      </c>
      <c r="M152">
        <v>252</v>
      </c>
      <c r="N152">
        <v>131</v>
      </c>
      <c r="O152">
        <v>3</v>
      </c>
      <c r="P152">
        <f t="shared" si="14"/>
        <v>104.648712158</v>
      </c>
      <c r="Q152" s="14"/>
    </row>
    <row r="153" spans="1:22">
      <c r="A153">
        <f t="shared" si="15"/>
        <v>802.24449208615374</v>
      </c>
      <c r="B153">
        <v>132</v>
      </c>
      <c r="C153">
        <v>148.96658325199999</v>
      </c>
      <c r="D153">
        <v>132</v>
      </c>
      <c r="E153">
        <v>147.735229492</v>
      </c>
      <c r="F153">
        <v>132</v>
      </c>
      <c r="G153">
        <v>124.479171753</v>
      </c>
      <c r="H153">
        <v>132</v>
      </c>
      <c r="I153">
        <v>139.21400451700001</v>
      </c>
      <c r="K153">
        <f t="shared" si="16"/>
        <v>8.5212249749999955</v>
      </c>
      <c r="L153">
        <v>132</v>
      </c>
      <c r="M153">
        <v>252</v>
      </c>
      <c r="N153">
        <v>132</v>
      </c>
      <c r="O153">
        <v>3</v>
      </c>
      <c r="P153">
        <f t="shared" si="14"/>
        <v>103.03341674800001</v>
      </c>
      <c r="Q153" s="14"/>
    </row>
    <row r="154" spans="1:22">
      <c r="A154">
        <f t="shared" si="15"/>
        <v>803.17058672317012</v>
      </c>
      <c r="B154">
        <v>133</v>
      </c>
      <c r="C154">
        <v>146.94483947800001</v>
      </c>
      <c r="D154">
        <v>133</v>
      </c>
      <c r="E154">
        <v>146.57699585</v>
      </c>
      <c r="F154">
        <v>133</v>
      </c>
      <c r="G154">
        <v>123.221534729</v>
      </c>
      <c r="H154">
        <v>133</v>
      </c>
      <c r="I154">
        <v>137.348419189</v>
      </c>
      <c r="K154">
        <f t="shared" si="16"/>
        <v>9.2285766610000053</v>
      </c>
      <c r="L154">
        <v>133</v>
      </c>
      <c r="M154">
        <v>252</v>
      </c>
      <c r="N154">
        <v>133</v>
      </c>
      <c r="O154">
        <v>3</v>
      </c>
      <c r="P154">
        <f t="shared" si="14"/>
        <v>105.05516052199999</v>
      </c>
      <c r="Q154" s="14"/>
    </row>
    <row r="155" spans="1:22">
      <c r="A155">
        <f t="shared" si="15"/>
        <v>804.09668136018638</v>
      </c>
      <c r="B155">
        <v>134</v>
      </c>
      <c r="C155">
        <v>145.39622497600001</v>
      </c>
      <c r="D155">
        <v>134</v>
      </c>
      <c r="E155">
        <v>149.36582946799999</v>
      </c>
      <c r="F155">
        <v>134</v>
      </c>
      <c r="G155">
        <v>123.734672546</v>
      </c>
      <c r="H155">
        <v>134</v>
      </c>
      <c r="I155">
        <v>135.92274475100001</v>
      </c>
      <c r="K155">
        <f t="shared" si="16"/>
        <v>13.443084716999977</v>
      </c>
      <c r="L155">
        <v>134</v>
      </c>
      <c r="M155">
        <v>252</v>
      </c>
      <c r="N155">
        <v>134</v>
      </c>
      <c r="O155">
        <v>3</v>
      </c>
      <c r="P155">
        <f t="shared" si="14"/>
        <v>106.60377502399999</v>
      </c>
      <c r="Q155" s="14"/>
    </row>
    <row r="156" spans="1:22">
      <c r="A156">
        <f t="shared" si="15"/>
        <v>805.02277599720276</v>
      </c>
      <c r="B156">
        <v>135</v>
      </c>
      <c r="C156">
        <v>144.916503906</v>
      </c>
      <c r="D156">
        <v>135</v>
      </c>
      <c r="E156">
        <v>152.39567565900001</v>
      </c>
      <c r="F156">
        <v>135</v>
      </c>
      <c r="G156">
        <v>124.865310669</v>
      </c>
      <c r="H156">
        <v>135</v>
      </c>
      <c r="I156">
        <v>139.374176025</v>
      </c>
      <c r="K156">
        <f t="shared" si="16"/>
        <v>13.021499634000008</v>
      </c>
      <c r="L156">
        <v>135</v>
      </c>
      <c r="M156">
        <v>252</v>
      </c>
      <c r="N156">
        <v>135</v>
      </c>
      <c r="O156">
        <v>3</v>
      </c>
      <c r="P156">
        <f t="shared" si="14"/>
        <v>107.083496094</v>
      </c>
    </row>
    <row r="157" spans="1:22">
      <c r="A157">
        <f t="shared" si="15"/>
        <v>805.94887063421902</v>
      </c>
      <c r="B157">
        <v>136</v>
      </c>
      <c r="C157">
        <v>148.65974426299999</v>
      </c>
      <c r="D157">
        <v>136</v>
      </c>
      <c r="E157">
        <v>150.476760864</v>
      </c>
      <c r="F157">
        <v>136</v>
      </c>
      <c r="G157">
        <v>125.391708374</v>
      </c>
      <c r="H157">
        <v>136</v>
      </c>
      <c r="I157">
        <v>140.44000244099999</v>
      </c>
      <c r="K157">
        <f t="shared" si="16"/>
        <v>10.036758423000009</v>
      </c>
      <c r="L157">
        <v>136</v>
      </c>
      <c r="M157">
        <v>252</v>
      </c>
      <c r="N157">
        <v>136</v>
      </c>
      <c r="O157">
        <v>3</v>
      </c>
      <c r="P157">
        <f t="shared" si="14"/>
        <v>103.34025573700001</v>
      </c>
    </row>
    <row r="158" spans="1:22">
      <c r="A158">
        <f t="shared" si="15"/>
        <v>806.8749652712354</v>
      </c>
      <c r="B158">
        <v>137</v>
      </c>
      <c r="C158">
        <v>147.36366272000001</v>
      </c>
      <c r="D158">
        <v>137</v>
      </c>
      <c r="E158">
        <v>149.24974060100001</v>
      </c>
      <c r="F158">
        <v>137</v>
      </c>
      <c r="G158">
        <v>126.27819061300001</v>
      </c>
      <c r="H158">
        <v>137</v>
      </c>
      <c r="I158">
        <v>140.27867126500001</v>
      </c>
      <c r="K158">
        <f t="shared" si="16"/>
        <v>8.9710693359999993</v>
      </c>
      <c r="L158">
        <v>137</v>
      </c>
      <c r="M158">
        <v>252</v>
      </c>
      <c r="N158">
        <v>137</v>
      </c>
      <c r="O158">
        <v>3</v>
      </c>
      <c r="P158">
        <f t="shared" si="14"/>
        <v>104.63633727999999</v>
      </c>
    </row>
    <row r="159" spans="1:22">
      <c r="A159">
        <f t="shared" si="15"/>
        <v>807.80105990825166</v>
      </c>
      <c r="B159">
        <v>138</v>
      </c>
      <c r="C159">
        <v>146.10064697300001</v>
      </c>
      <c r="D159">
        <v>138</v>
      </c>
      <c r="E159">
        <v>148.91502380399999</v>
      </c>
      <c r="F159">
        <v>138</v>
      </c>
      <c r="G159">
        <v>126.36264038100001</v>
      </c>
      <c r="H159">
        <v>138</v>
      </c>
      <c r="I159">
        <v>140.94728088400001</v>
      </c>
      <c r="K159">
        <f t="shared" si="16"/>
        <v>7.9677429199999779</v>
      </c>
      <c r="L159">
        <v>138</v>
      </c>
      <c r="M159">
        <v>251.488815308</v>
      </c>
      <c r="N159">
        <v>138</v>
      </c>
      <c r="O159">
        <v>3.511177301</v>
      </c>
      <c r="P159">
        <f t="shared" si="14"/>
        <v>105.38816833499999</v>
      </c>
    </row>
    <row r="160" spans="1:22">
      <c r="A160">
        <f t="shared" si="15"/>
        <v>808.72715454526804</v>
      </c>
      <c r="B160">
        <v>139</v>
      </c>
      <c r="C160">
        <v>145.63333129899999</v>
      </c>
      <c r="D160">
        <v>139</v>
      </c>
      <c r="E160">
        <v>149.47227477999999</v>
      </c>
      <c r="F160">
        <v>139</v>
      </c>
      <c r="G160">
        <v>125.523101807</v>
      </c>
      <c r="H160">
        <v>139</v>
      </c>
      <c r="I160">
        <v>141.666671753</v>
      </c>
      <c r="K160">
        <f t="shared" si="16"/>
        <v>7.8056030269999894</v>
      </c>
      <c r="L160">
        <v>139</v>
      </c>
      <c r="M160">
        <v>251</v>
      </c>
      <c r="N160">
        <v>139</v>
      </c>
      <c r="O160">
        <v>4</v>
      </c>
      <c r="P160">
        <f t="shared" si="14"/>
        <v>105.36666870100001</v>
      </c>
    </row>
    <row r="161" spans="1:16">
      <c r="A161">
        <f t="shared" si="15"/>
        <v>809.6532491822843</v>
      </c>
      <c r="B161">
        <v>140</v>
      </c>
      <c r="C161">
        <v>147.63609314000001</v>
      </c>
      <c r="D161">
        <v>140</v>
      </c>
      <c r="E161">
        <v>149.18476867699999</v>
      </c>
      <c r="F161">
        <v>140</v>
      </c>
      <c r="G161">
        <v>124.621124268</v>
      </c>
      <c r="H161">
        <v>140</v>
      </c>
      <c r="I161">
        <v>141.666671753</v>
      </c>
      <c r="K161">
        <f t="shared" si="16"/>
        <v>7.5180969239999911</v>
      </c>
      <c r="L161">
        <v>140</v>
      </c>
      <c r="M161">
        <v>251</v>
      </c>
      <c r="N161">
        <v>140</v>
      </c>
      <c r="O161">
        <v>4</v>
      </c>
      <c r="P161">
        <f t="shared" si="14"/>
        <v>103.36390685999999</v>
      </c>
    </row>
    <row r="162" spans="1:16">
      <c r="A162">
        <f t="shared" si="15"/>
        <v>810.57934381930068</v>
      </c>
      <c r="B162">
        <v>141</v>
      </c>
      <c r="C162">
        <v>148.865600586</v>
      </c>
      <c r="D162">
        <v>141</v>
      </c>
      <c r="E162">
        <v>149.25814819300001</v>
      </c>
      <c r="F162">
        <v>141</v>
      </c>
      <c r="G162">
        <v>124.00894165</v>
      </c>
      <c r="H162">
        <v>141</v>
      </c>
      <c r="I162">
        <v>141.666671753</v>
      </c>
      <c r="K162">
        <f t="shared" si="16"/>
        <v>7.5914764400000081</v>
      </c>
      <c r="L162">
        <v>141</v>
      </c>
      <c r="M162">
        <v>251</v>
      </c>
      <c r="N162">
        <v>141</v>
      </c>
      <c r="O162">
        <v>4</v>
      </c>
      <c r="P162">
        <f t="shared" si="14"/>
        <v>102.134399414</v>
      </c>
    </row>
    <row r="163" spans="1:16">
      <c r="A163">
        <f t="shared" si="15"/>
        <v>811.50543845631694</v>
      </c>
      <c r="B163">
        <v>142</v>
      </c>
      <c r="C163">
        <v>147.22833252000001</v>
      </c>
      <c r="D163">
        <v>142</v>
      </c>
      <c r="E163">
        <v>150.34202575699999</v>
      </c>
      <c r="F163">
        <v>142</v>
      </c>
      <c r="G163">
        <v>124.774963379</v>
      </c>
      <c r="H163">
        <v>142</v>
      </c>
      <c r="I163">
        <v>141.67642211899999</v>
      </c>
      <c r="K163">
        <f t="shared" si="16"/>
        <v>8.6656036379999932</v>
      </c>
      <c r="L163">
        <v>142</v>
      </c>
      <c r="M163">
        <v>251</v>
      </c>
      <c r="N163">
        <v>142</v>
      </c>
      <c r="O163">
        <v>4</v>
      </c>
      <c r="P163">
        <f t="shared" si="14"/>
        <v>103.77166747999999</v>
      </c>
    </row>
    <row r="164" spans="1:16">
      <c r="A164">
        <f t="shared" si="15"/>
        <v>812.4315330933332</v>
      </c>
      <c r="B164">
        <v>143</v>
      </c>
      <c r="C164">
        <v>147.27746582</v>
      </c>
      <c r="D164">
        <v>143</v>
      </c>
      <c r="E164">
        <v>150.91265869099999</v>
      </c>
      <c r="F164">
        <v>143</v>
      </c>
      <c r="G164">
        <v>125.540985107</v>
      </c>
      <c r="H164">
        <v>143</v>
      </c>
      <c r="I164">
        <v>141.83872985799999</v>
      </c>
      <c r="K164">
        <f t="shared" si="16"/>
        <v>9.0739288329999965</v>
      </c>
      <c r="L164">
        <v>143</v>
      </c>
      <c r="M164">
        <v>251</v>
      </c>
      <c r="N164">
        <v>143</v>
      </c>
      <c r="O164">
        <v>4</v>
      </c>
      <c r="P164">
        <f t="shared" si="14"/>
        <v>103.72253418</v>
      </c>
    </row>
    <row r="165" spans="1:16">
      <c r="A165">
        <f t="shared" si="15"/>
        <v>813.35762773034958</v>
      </c>
      <c r="B165">
        <v>144</v>
      </c>
      <c r="C165">
        <v>146.662185669</v>
      </c>
      <c r="D165">
        <v>144</v>
      </c>
      <c r="E165">
        <v>150.338058472</v>
      </c>
      <c r="F165">
        <v>144</v>
      </c>
      <c r="G165">
        <v>125.752624512</v>
      </c>
      <c r="H165">
        <v>144</v>
      </c>
      <c r="I165">
        <v>142.72576904300001</v>
      </c>
      <c r="K165">
        <f t="shared" si="16"/>
        <v>7.6122894289999863</v>
      </c>
      <c r="L165">
        <v>144</v>
      </c>
      <c r="M165">
        <v>251</v>
      </c>
      <c r="N165">
        <v>144</v>
      </c>
      <c r="O165">
        <v>4</v>
      </c>
      <c r="P165">
        <f t="shared" si="14"/>
        <v>104.337814331</v>
      </c>
    </row>
    <row r="166" spans="1:16">
      <c r="A166">
        <f t="shared" si="15"/>
        <v>814.28372236736595</v>
      </c>
      <c r="B166">
        <v>145</v>
      </c>
      <c r="C166">
        <v>146.118041992</v>
      </c>
      <c r="D166">
        <v>145</v>
      </c>
      <c r="E166">
        <v>147.09323120100001</v>
      </c>
      <c r="F166">
        <v>145</v>
      </c>
      <c r="G166">
        <v>125.631134033</v>
      </c>
      <c r="H166">
        <v>145</v>
      </c>
      <c r="I166">
        <v>143.8387146</v>
      </c>
      <c r="K166">
        <f t="shared" si="16"/>
        <v>3.2545166010000059</v>
      </c>
      <c r="L166">
        <v>145</v>
      </c>
      <c r="M166">
        <v>251</v>
      </c>
      <c r="N166">
        <v>145</v>
      </c>
      <c r="O166">
        <v>4</v>
      </c>
      <c r="P166">
        <f t="shared" si="14"/>
        <v>104.881958008</v>
      </c>
    </row>
    <row r="167" spans="1:16">
      <c r="A167">
        <f t="shared" si="15"/>
        <v>815.20981700438222</v>
      </c>
      <c r="B167">
        <v>146</v>
      </c>
      <c r="C167">
        <v>145.265716553</v>
      </c>
      <c r="D167">
        <v>146</v>
      </c>
      <c r="E167">
        <v>149.22389221200001</v>
      </c>
      <c r="F167">
        <v>146</v>
      </c>
      <c r="G167">
        <v>124.556541443</v>
      </c>
      <c r="H167">
        <v>146</v>
      </c>
      <c r="I167">
        <v>144.31109619099999</v>
      </c>
      <c r="K167">
        <f t="shared" si="16"/>
        <v>4.9127960210000197</v>
      </c>
      <c r="L167">
        <v>146</v>
      </c>
      <c r="M167">
        <v>251</v>
      </c>
      <c r="N167">
        <v>146</v>
      </c>
      <c r="O167">
        <v>4</v>
      </c>
      <c r="P167">
        <f t="shared" si="14"/>
        <v>105.734283447</v>
      </c>
    </row>
    <row r="168" spans="1:16">
      <c r="A168">
        <f t="shared" si="15"/>
        <v>816.13591164139848</v>
      </c>
      <c r="B168">
        <v>147</v>
      </c>
      <c r="C168">
        <v>143.75250244099999</v>
      </c>
      <c r="D168">
        <v>147</v>
      </c>
      <c r="E168">
        <v>149.697387695</v>
      </c>
      <c r="F168">
        <v>147</v>
      </c>
      <c r="G168">
        <v>126.854385376</v>
      </c>
      <c r="H168">
        <v>147</v>
      </c>
      <c r="I168">
        <v>146.41337585400001</v>
      </c>
      <c r="K168">
        <f t="shared" si="16"/>
        <v>3.2840118409999945</v>
      </c>
      <c r="L168">
        <v>147</v>
      </c>
      <c r="M168">
        <v>251</v>
      </c>
      <c r="N168">
        <v>147</v>
      </c>
      <c r="O168">
        <v>4</v>
      </c>
      <c r="P168">
        <f t="shared" si="14"/>
        <v>107.24749755900001</v>
      </c>
    </row>
    <row r="169" spans="1:16">
      <c r="A169">
        <f t="shared" si="15"/>
        <v>817.06200627841486</v>
      </c>
      <c r="B169">
        <v>148</v>
      </c>
      <c r="C169">
        <v>145.84771728499999</v>
      </c>
      <c r="D169">
        <v>148</v>
      </c>
      <c r="E169">
        <v>149.30628967300001</v>
      </c>
      <c r="F169">
        <v>148</v>
      </c>
      <c r="G169">
        <v>124.80141449</v>
      </c>
      <c r="H169">
        <v>148</v>
      </c>
      <c r="I169">
        <v>146.58366394000001</v>
      </c>
      <c r="K169">
        <f t="shared" si="16"/>
        <v>2.722625733000001</v>
      </c>
      <c r="L169">
        <v>148</v>
      </c>
      <c r="M169">
        <v>251</v>
      </c>
      <c r="N169">
        <v>148</v>
      </c>
      <c r="O169">
        <v>4</v>
      </c>
      <c r="P169">
        <f t="shared" si="14"/>
        <v>105.15228271500001</v>
      </c>
    </row>
    <row r="170" spans="1:16">
      <c r="A170">
        <f t="shared" si="15"/>
        <v>817.98810091543123</v>
      </c>
      <c r="B170">
        <v>149</v>
      </c>
      <c r="C170">
        <v>146.44444274899999</v>
      </c>
      <c r="D170">
        <v>149</v>
      </c>
      <c r="E170">
        <v>149.73158264200001</v>
      </c>
      <c r="F170">
        <v>149</v>
      </c>
      <c r="G170">
        <v>124.302612305</v>
      </c>
      <c r="H170">
        <v>149</v>
      </c>
      <c r="I170">
        <v>146.73529052699999</v>
      </c>
      <c r="K170">
        <f t="shared" si="16"/>
        <v>2.996292115000017</v>
      </c>
      <c r="L170">
        <v>149</v>
      </c>
      <c r="M170">
        <v>251</v>
      </c>
      <c r="N170">
        <v>149</v>
      </c>
      <c r="O170">
        <v>4</v>
      </c>
      <c r="P170">
        <f t="shared" si="14"/>
        <v>104.55555725100001</v>
      </c>
    </row>
    <row r="171" spans="1:16">
      <c r="A171">
        <f t="shared" si="15"/>
        <v>818.9141955524475</v>
      </c>
      <c r="B171">
        <v>150</v>
      </c>
      <c r="C171">
        <v>146.06712341299999</v>
      </c>
      <c r="D171">
        <v>150</v>
      </c>
      <c r="E171">
        <v>152.51873779300001</v>
      </c>
      <c r="F171">
        <v>150</v>
      </c>
      <c r="G171">
        <v>124</v>
      </c>
      <c r="H171">
        <v>150</v>
      </c>
      <c r="I171">
        <v>144.33607482900001</v>
      </c>
      <c r="K171">
        <f t="shared" si="16"/>
        <v>8.1826629640000021</v>
      </c>
      <c r="L171">
        <v>150</v>
      </c>
      <c r="M171">
        <v>251</v>
      </c>
      <c r="N171">
        <v>150</v>
      </c>
      <c r="O171">
        <v>4</v>
      </c>
      <c r="P171">
        <f t="shared" si="14"/>
        <v>104.93287658700001</v>
      </c>
    </row>
    <row r="172" spans="1:16">
      <c r="A172">
        <f t="shared" si="15"/>
        <v>819.84029018946376</v>
      </c>
      <c r="B172">
        <v>151</v>
      </c>
      <c r="C172">
        <v>145.68978881800001</v>
      </c>
      <c r="D172">
        <v>151</v>
      </c>
      <c r="E172">
        <v>151.77005004899999</v>
      </c>
      <c r="F172">
        <v>151</v>
      </c>
      <c r="G172">
        <v>124.028846741</v>
      </c>
      <c r="H172">
        <v>151</v>
      </c>
      <c r="I172">
        <v>140.79164123499999</v>
      </c>
      <c r="K172">
        <f t="shared" si="16"/>
        <v>10.978408814000005</v>
      </c>
      <c r="L172">
        <v>151</v>
      </c>
      <c r="M172">
        <v>251</v>
      </c>
      <c r="N172">
        <v>151</v>
      </c>
      <c r="O172">
        <v>4</v>
      </c>
      <c r="P172">
        <f t="shared" si="14"/>
        <v>105.31021118199999</v>
      </c>
    </row>
    <row r="173" spans="1:16">
      <c r="A173">
        <f t="shared" si="15"/>
        <v>820.76638482648013</v>
      </c>
      <c r="B173">
        <v>152</v>
      </c>
      <c r="C173">
        <v>145.16390991200001</v>
      </c>
      <c r="D173">
        <v>152</v>
      </c>
      <c r="E173">
        <v>148.55902099599999</v>
      </c>
      <c r="F173">
        <v>152</v>
      </c>
      <c r="G173">
        <v>124</v>
      </c>
      <c r="H173">
        <v>152</v>
      </c>
      <c r="I173">
        <v>137.750732422</v>
      </c>
      <c r="K173">
        <f t="shared" si="16"/>
        <v>10.808288573999988</v>
      </c>
      <c r="L173">
        <v>152</v>
      </c>
      <c r="M173">
        <v>251</v>
      </c>
      <c r="N173">
        <v>152</v>
      </c>
      <c r="O173">
        <v>4</v>
      </c>
      <c r="P173">
        <f t="shared" si="14"/>
        <v>105.83609008799999</v>
      </c>
    </row>
    <row r="174" spans="1:16">
      <c r="A174">
        <f t="shared" si="15"/>
        <v>821.6924794634964</v>
      </c>
      <c r="B174">
        <v>153</v>
      </c>
      <c r="C174">
        <v>144.70455932600001</v>
      </c>
      <c r="D174">
        <v>153</v>
      </c>
      <c r="E174">
        <v>150.03341674800001</v>
      </c>
      <c r="F174">
        <v>153</v>
      </c>
      <c r="G174">
        <v>123.628913879</v>
      </c>
      <c r="H174">
        <v>153</v>
      </c>
      <c r="I174">
        <v>138.20249939000001</v>
      </c>
      <c r="K174">
        <f t="shared" si="16"/>
        <v>11.830917357999994</v>
      </c>
      <c r="L174">
        <v>153</v>
      </c>
      <c r="M174">
        <v>251</v>
      </c>
      <c r="N174">
        <v>153</v>
      </c>
      <c r="O174">
        <v>4</v>
      </c>
      <c r="P174">
        <f t="shared" si="14"/>
        <v>106.29544067399999</v>
      </c>
    </row>
    <row r="175" spans="1:16">
      <c r="A175">
        <f t="shared" si="15"/>
        <v>822.61857410051277</v>
      </c>
      <c r="B175">
        <v>154</v>
      </c>
      <c r="C175">
        <v>145.62648010300001</v>
      </c>
      <c r="D175">
        <v>154</v>
      </c>
      <c r="E175">
        <v>153.09539794899999</v>
      </c>
      <c r="F175">
        <v>154</v>
      </c>
      <c r="G175">
        <v>123</v>
      </c>
      <c r="H175">
        <v>154</v>
      </c>
      <c r="I175">
        <v>139.60601806599999</v>
      </c>
      <c r="K175">
        <f t="shared" si="16"/>
        <v>13.489379882999998</v>
      </c>
      <c r="L175">
        <v>154</v>
      </c>
      <c r="M175">
        <v>251</v>
      </c>
      <c r="N175">
        <v>154</v>
      </c>
      <c r="O175">
        <v>4</v>
      </c>
      <c r="P175">
        <f t="shared" si="14"/>
        <v>105.37351989699999</v>
      </c>
    </row>
    <row r="176" spans="1:16">
      <c r="A176">
        <f t="shared" si="15"/>
        <v>823.54466873752904</v>
      </c>
      <c r="B176">
        <v>155</v>
      </c>
      <c r="C176">
        <v>145.666671753</v>
      </c>
      <c r="D176">
        <v>155</v>
      </c>
      <c r="E176">
        <v>150.46424865700001</v>
      </c>
      <c r="F176">
        <v>155</v>
      </c>
      <c r="G176">
        <v>123.520492554</v>
      </c>
      <c r="H176">
        <v>155</v>
      </c>
      <c r="I176">
        <v>141.629104614</v>
      </c>
      <c r="K176">
        <f t="shared" si="16"/>
        <v>8.8351440430000139</v>
      </c>
      <c r="L176">
        <v>155</v>
      </c>
      <c r="M176">
        <v>251</v>
      </c>
      <c r="N176">
        <v>155</v>
      </c>
      <c r="O176">
        <v>4</v>
      </c>
      <c r="P176">
        <f t="shared" si="14"/>
        <v>105.333328247</v>
      </c>
    </row>
    <row r="177" spans="1:16">
      <c r="A177">
        <f t="shared" si="15"/>
        <v>824.47076337454541</v>
      </c>
      <c r="B177">
        <v>156</v>
      </c>
      <c r="C177">
        <v>145.666671753</v>
      </c>
      <c r="D177">
        <v>156</v>
      </c>
      <c r="E177">
        <v>145.95578002900001</v>
      </c>
      <c r="F177">
        <v>156</v>
      </c>
      <c r="G177">
        <v>123.25037383999999</v>
      </c>
      <c r="H177">
        <v>156</v>
      </c>
      <c r="I177">
        <v>138.23577880900001</v>
      </c>
      <c r="K177">
        <f t="shared" si="16"/>
        <v>7.7200012200000003</v>
      </c>
      <c r="L177">
        <v>156</v>
      </c>
      <c r="M177">
        <v>251</v>
      </c>
      <c r="N177">
        <v>156</v>
      </c>
      <c r="O177">
        <v>4</v>
      </c>
      <c r="P177">
        <f t="shared" si="14"/>
        <v>105.333328247</v>
      </c>
    </row>
    <row r="178" spans="1:16">
      <c r="A178">
        <f t="shared" si="15"/>
        <v>825.39685801156168</v>
      </c>
      <c r="B178">
        <v>157</v>
      </c>
      <c r="C178">
        <v>145.84475707999999</v>
      </c>
      <c r="D178">
        <v>157</v>
      </c>
      <c r="E178">
        <v>149.365112305</v>
      </c>
      <c r="F178">
        <v>157</v>
      </c>
      <c r="G178">
        <v>123.132637024</v>
      </c>
      <c r="H178">
        <v>157</v>
      </c>
      <c r="I178">
        <v>139.667068481</v>
      </c>
      <c r="K178">
        <f t="shared" si="16"/>
        <v>9.6980438239999955</v>
      </c>
      <c r="L178">
        <v>157</v>
      </c>
      <c r="M178">
        <v>251</v>
      </c>
      <c r="N178">
        <v>157</v>
      </c>
      <c r="O178">
        <v>4</v>
      </c>
      <c r="P178">
        <f t="shared" si="14"/>
        <v>105.15524292000001</v>
      </c>
    </row>
    <row r="179" spans="1:16">
      <c r="A179">
        <f t="shared" si="15"/>
        <v>826.32295264857805</v>
      </c>
      <c r="B179">
        <v>158</v>
      </c>
      <c r="C179">
        <v>146.333328247</v>
      </c>
      <c r="D179">
        <v>158</v>
      </c>
      <c r="E179">
        <v>151.345092773</v>
      </c>
      <c r="F179">
        <v>158</v>
      </c>
      <c r="G179">
        <v>123.515647888</v>
      </c>
      <c r="H179">
        <v>158</v>
      </c>
      <c r="I179">
        <v>141.95588684099999</v>
      </c>
      <c r="K179">
        <f t="shared" si="16"/>
        <v>9.3892059320000101</v>
      </c>
      <c r="L179">
        <v>158</v>
      </c>
      <c r="M179">
        <v>251</v>
      </c>
      <c r="N179">
        <v>158</v>
      </c>
      <c r="O179">
        <v>4</v>
      </c>
      <c r="P179">
        <f t="shared" si="14"/>
        <v>104.666671753</v>
      </c>
    </row>
    <row r="180" spans="1:16">
      <c r="A180">
        <f t="shared" si="15"/>
        <v>827.24904728559432</v>
      </c>
      <c r="B180">
        <v>159</v>
      </c>
      <c r="C180">
        <v>146.333328247</v>
      </c>
      <c r="D180">
        <v>159</v>
      </c>
      <c r="E180">
        <v>147.284423828</v>
      </c>
      <c r="F180">
        <v>159</v>
      </c>
      <c r="G180">
        <v>123.898658752</v>
      </c>
      <c r="H180">
        <v>159</v>
      </c>
      <c r="I180">
        <v>141.32499694800001</v>
      </c>
      <c r="K180">
        <f t="shared" si="16"/>
        <v>5.9594268799999952</v>
      </c>
      <c r="L180">
        <v>159</v>
      </c>
      <c r="M180">
        <v>251</v>
      </c>
      <c r="N180">
        <v>159</v>
      </c>
      <c r="O180">
        <v>4</v>
      </c>
      <c r="P180">
        <f t="shared" si="14"/>
        <v>104.666671753</v>
      </c>
    </row>
    <row r="181" spans="1:16">
      <c r="A181">
        <f t="shared" si="15"/>
        <v>828.17514192261069</v>
      </c>
      <c r="B181">
        <v>160</v>
      </c>
      <c r="C181">
        <v>146.706176758</v>
      </c>
      <c r="D181">
        <v>160</v>
      </c>
      <c r="E181">
        <v>146.434890747</v>
      </c>
      <c r="F181">
        <v>160</v>
      </c>
      <c r="G181">
        <v>124.76424408</v>
      </c>
      <c r="H181">
        <v>160</v>
      </c>
      <c r="I181">
        <v>143.27104187</v>
      </c>
      <c r="K181">
        <f t="shared" si="16"/>
        <v>3.1638488769999924</v>
      </c>
      <c r="L181">
        <v>160</v>
      </c>
      <c r="M181">
        <v>251</v>
      </c>
      <c r="N181">
        <v>160</v>
      </c>
      <c r="O181">
        <v>4</v>
      </c>
      <c r="P181">
        <f t="shared" si="14"/>
        <v>104.293823242</v>
      </c>
    </row>
    <row r="182" spans="1:16">
      <c r="A182">
        <f t="shared" si="15"/>
        <v>829.10123655962695</v>
      </c>
      <c r="B182">
        <v>161</v>
      </c>
      <c r="C182">
        <v>147.121551514</v>
      </c>
      <c r="D182">
        <v>161</v>
      </c>
      <c r="E182">
        <v>148.26815795900001</v>
      </c>
      <c r="F182">
        <v>161</v>
      </c>
      <c r="G182">
        <v>125.441131592</v>
      </c>
      <c r="H182">
        <v>161</v>
      </c>
      <c r="I182">
        <v>144.43719482399999</v>
      </c>
      <c r="K182">
        <f t="shared" si="16"/>
        <v>3.8309631350000188</v>
      </c>
      <c r="L182">
        <v>161</v>
      </c>
      <c r="M182">
        <v>251</v>
      </c>
      <c r="N182">
        <v>161</v>
      </c>
      <c r="O182">
        <v>4</v>
      </c>
      <c r="P182">
        <f t="shared" si="14"/>
        <v>103.878448486</v>
      </c>
    </row>
    <row r="183" spans="1:16">
      <c r="A183">
        <f t="shared" si="15"/>
        <v>830.02733119664322</v>
      </c>
      <c r="B183">
        <v>162</v>
      </c>
      <c r="C183">
        <v>147.49664306599999</v>
      </c>
      <c r="D183">
        <v>162</v>
      </c>
      <c r="E183">
        <v>150.01564025900001</v>
      </c>
      <c r="F183">
        <v>162</v>
      </c>
      <c r="G183">
        <v>125.952308655</v>
      </c>
      <c r="H183">
        <v>162</v>
      </c>
      <c r="I183">
        <v>144.36758422899999</v>
      </c>
      <c r="K183">
        <f t="shared" si="16"/>
        <v>5.6480560300000207</v>
      </c>
      <c r="L183">
        <v>162</v>
      </c>
      <c r="M183">
        <v>251</v>
      </c>
      <c r="N183">
        <v>162</v>
      </c>
      <c r="O183">
        <v>4</v>
      </c>
      <c r="P183">
        <f t="shared" si="14"/>
        <v>103.50335693400001</v>
      </c>
    </row>
    <row r="184" spans="1:16">
      <c r="A184">
        <f t="shared" si="15"/>
        <v>830.95342583365959</v>
      </c>
      <c r="B184">
        <v>163</v>
      </c>
      <c r="C184">
        <v>146.993530273</v>
      </c>
      <c r="D184">
        <v>163</v>
      </c>
      <c r="E184">
        <v>149.48674011200001</v>
      </c>
      <c r="F184">
        <v>163</v>
      </c>
      <c r="G184">
        <v>125.30612945599999</v>
      </c>
      <c r="H184">
        <v>163</v>
      </c>
      <c r="I184">
        <v>145.64280700699999</v>
      </c>
      <c r="K184">
        <f t="shared" si="16"/>
        <v>3.8439331050000192</v>
      </c>
      <c r="L184">
        <v>163</v>
      </c>
      <c r="M184">
        <v>251</v>
      </c>
      <c r="N184">
        <v>163</v>
      </c>
      <c r="O184">
        <v>4</v>
      </c>
      <c r="P184">
        <f t="shared" si="14"/>
        <v>104.006469727</v>
      </c>
    </row>
    <row r="185" spans="1:16">
      <c r="A185">
        <f t="shared" si="15"/>
        <v>831.87952047067597</v>
      </c>
      <c r="B185">
        <v>164</v>
      </c>
      <c r="C185">
        <v>146.490432739</v>
      </c>
      <c r="D185">
        <v>164</v>
      </c>
      <c r="E185">
        <v>147.78265380900001</v>
      </c>
      <c r="F185">
        <v>164</v>
      </c>
      <c r="G185">
        <v>124.272911072</v>
      </c>
      <c r="H185">
        <v>164</v>
      </c>
      <c r="I185">
        <v>145.864700317</v>
      </c>
      <c r="K185">
        <f t="shared" si="16"/>
        <v>1.9179534920000094</v>
      </c>
      <c r="L185">
        <v>164</v>
      </c>
      <c r="M185">
        <v>251</v>
      </c>
      <c r="N185">
        <v>164</v>
      </c>
      <c r="O185">
        <v>4</v>
      </c>
      <c r="P185">
        <f t="shared" si="14"/>
        <v>104.509567261</v>
      </c>
    </row>
    <row r="186" spans="1:16">
      <c r="A186">
        <f t="shared" si="15"/>
        <v>832.80561510769223</v>
      </c>
      <c r="B186">
        <v>165</v>
      </c>
      <c r="C186">
        <v>146.59283447300001</v>
      </c>
      <c r="D186">
        <v>165</v>
      </c>
      <c r="E186">
        <v>147.201934814</v>
      </c>
      <c r="F186">
        <v>165</v>
      </c>
      <c r="G186">
        <v>124.59016418500001</v>
      </c>
      <c r="H186">
        <v>165</v>
      </c>
      <c r="I186">
        <v>139.734863281</v>
      </c>
      <c r="K186">
        <f t="shared" si="16"/>
        <v>7.467071532999995</v>
      </c>
      <c r="L186">
        <v>165</v>
      </c>
      <c r="M186">
        <v>251</v>
      </c>
      <c r="N186">
        <v>165</v>
      </c>
      <c r="O186">
        <v>4</v>
      </c>
      <c r="P186">
        <f t="shared" si="14"/>
        <v>104.40716552699999</v>
      </c>
    </row>
    <row r="187" spans="1:16">
      <c r="A187">
        <f t="shared" si="15"/>
        <v>833.7317097447085</v>
      </c>
      <c r="B187">
        <v>166</v>
      </c>
      <c r="C187">
        <v>144.89341735799999</v>
      </c>
      <c r="D187">
        <v>166</v>
      </c>
      <c r="E187">
        <v>147.65945434599999</v>
      </c>
      <c r="F187">
        <v>166</v>
      </c>
      <c r="G187">
        <v>125.356185913</v>
      </c>
      <c r="H187">
        <v>166</v>
      </c>
      <c r="I187">
        <v>140.92388915999999</v>
      </c>
      <c r="K187">
        <f t="shared" si="16"/>
        <v>6.7355651860000023</v>
      </c>
      <c r="L187">
        <v>166</v>
      </c>
      <c r="M187">
        <v>251</v>
      </c>
      <c r="N187">
        <v>166</v>
      </c>
      <c r="O187">
        <v>4</v>
      </c>
      <c r="P187">
        <f t="shared" si="14"/>
        <v>106.10658264200001</v>
      </c>
    </row>
    <row r="188" spans="1:16">
      <c r="A188">
        <f t="shared" si="15"/>
        <v>834.65780438172487</v>
      </c>
      <c r="B188">
        <v>167</v>
      </c>
      <c r="C188">
        <v>145.99472045900001</v>
      </c>
      <c r="D188">
        <v>167</v>
      </c>
      <c r="E188">
        <v>144.393768311</v>
      </c>
      <c r="F188">
        <v>167</v>
      </c>
      <c r="G188">
        <v>125.88822937</v>
      </c>
      <c r="H188">
        <v>167</v>
      </c>
      <c r="I188">
        <v>139.01422119099999</v>
      </c>
      <c r="K188">
        <f t="shared" si="16"/>
        <v>5.3795471200000122</v>
      </c>
      <c r="L188">
        <v>167</v>
      </c>
      <c r="M188">
        <v>251</v>
      </c>
      <c r="N188">
        <v>167</v>
      </c>
      <c r="O188">
        <v>4</v>
      </c>
      <c r="P188">
        <f t="shared" si="14"/>
        <v>105.00527954099999</v>
      </c>
    </row>
    <row r="189" spans="1:16">
      <c r="A189">
        <f t="shared" si="15"/>
        <v>835.58389901874125</v>
      </c>
      <c r="B189">
        <v>168</v>
      </c>
      <c r="C189">
        <v>146.620819092</v>
      </c>
      <c r="D189">
        <v>168</v>
      </c>
      <c r="E189">
        <v>146.436447144</v>
      </c>
      <c r="F189">
        <v>168</v>
      </c>
      <c r="G189">
        <v>127.11425781200001</v>
      </c>
      <c r="H189">
        <v>168</v>
      </c>
      <c r="I189">
        <v>139.306152344</v>
      </c>
      <c r="K189">
        <f t="shared" si="16"/>
        <v>7.1302948000000015</v>
      </c>
      <c r="L189">
        <v>168</v>
      </c>
      <c r="M189">
        <v>251</v>
      </c>
      <c r="N189">
        <v>168</v>
      </c>
      <c r="O189">
        <v>4</v>
      </c>
      <c r="P189">
        <f t="shared" si="14"/>
        <v>104.379180908</v>
      </c>
    </row>
    <row r="190" spans="1:16">
      <c r="A190">
        <f t="shared" si="15"/>
        <v>836.50999365575751</v>
      </c>
      <c r="B190">
        <v>169</v>
      </c>
      <c r="C190">
        <v>146.322463989</v>
      </c>
      <c r="D190">
        <v>169</v>
      </c>
      <c r="E190">
        <v>147.76046752900001</v>
      </c>
      <c r="F190">
        <v>169</v>
      </c>
      <c r="G190">
        <v>128.519622803</v>
      </c>
      <c r="H190">
        <v>169</v>
      </c>
      <c r="I190">
        <v>140.42323303200001</v>
      </c>
      <c r="K190">
        <f t="shared" si="16"/>
        <v>7.3372344969999972</v>
      </c>
      <c r="L190">
        <v>169</v>
      </c>
      <c r="M190">
        <v>250.84500122099999</v>
      </c>
      <c r="N190">
        <v>169</v>
      </c>
      <c r="O190">
        <v>4.15499258</v>
      </c>
      <c r="P190">
        <f t="shared" si="14"/>
        <v>104.52253723199999</v>
      </c>
    </row>
    <row r="191" spans="1:16">
      <c r="A191">
        <f t="shared" si="15"/>
        <v>837.43608829277377</v>
      </c>
      <c r="B191">
        <v>170</v>
      </c>
      <c r="C191">
        <v>145.22584533700001</v>
      </c>
      <c r="D191">
        <v>170</v>
      </c>
      <c r="E191">
        <v>148.778106689</v>
      </c>
      <c r="F191">
        <v>170</v>
      </c>
      <c r="G191">
        <v>129.00236511200001</v>
      </c>
      <c r="H191">
        <v>170</v>
      </c>
      <c r="I191">
        <v>143.66665649399999</v>
      </c>
      <c r="K191">
        <f t="shared" si="16"/>
        <v>5.1114501950000033</v>
      </c>
      <c r="L191">
        <v>170</v>
      </c>
      <c r="M191">
        <v>250</v>
      </c>
      <c r="N191">
        <v>170</v>
      </c>
      <c r="O191">
        <v>5</v>
      </c>
      <c r="P191">
        <f t="shared" si="14"/>
        <v>104.77415466299999</v>
      </c>
    </row>
    <row r="192" spans="1:16">
      <c r="A192">
        <f t="shared" si="15"/>
        <v>838.36218292979015</v>
      </c>
      <c r="B192">
        <v>171</v>
      </c>
      <c r="C192">
        <v>143.09620666500001</v>
      </c>
      <c r="D192">
        <v>171</v>
      </c>
      <c r="E192">
        <v>149.06756591800001</v>
      </c>
      <c r="F192">
        <v>171</v>
      </c>
      <c r="G192">
        <v>127.673622131</v>
      </c>
      <c r="H192">
        <v>171</v>
      </c>
      <c r="I192">
        <v>144.97064209000001</v>
      </c>
      <c r="K192">
        <f t="shared" si="16"/>
        <v>4.0969238280000013</v>
      </c>
      <c r="L192">
        <v>171</v>
      </c>
      <c r="M192">
        <v>250</v>
      </c>
      <c r="N192">
        <v>171</v>
      </c>
      <c r="O192">
        <v>5</v>
      </c>
      <c r="P192">
        <f t="shared" si="14"/>
        <v>106.90379333499999</v>
      </c>
    </row>
    <row r="193" spans="1:16">
      <c r="A193">
        <f t="shared" si="15"/>
        <v>839.28827756680641</v>
      </c>
      <c r="B193">
        <v>172</v>
      </c>
      <c r="C193">
        <v>143.35446167000001</v>
      </c>
      <c r="D193">
        <v>172</v>
      </c>
      <c r="E193">
        <v>150.42388915999999</v>
      </c>
      <c r="F193">
        <v>172</v>
      </c>
      <c r="G193">
        <v>127.162940979</v>
      </c>
      <c r="H193">
        <v>172</v>
      </c>
      <c r="I193">
        <v>144.85377502399999</v>
      </c>
      <c r="K193">
        <f t="shared" si="16"/>
        <v>5.5701141360000008</v>
      </c>
      <c r="L193">
        <v>172</v>
      </c>
      <c r="M193">
        <v>250</v>
      </c>
      <c r="N193">
        <v>172</v>
      </c>
      <c r="O193">
        <v>5</v>
      </c>
      <c r="P193">
        <f t="shared" si="14"/>
        <v>106.64553832999999</v>
      </c>
    </row>
    <row r="194" spans="1:16">
      <c r="A194">
        <f t="shared" si="15"/>
        <v>840.21437220382279</v>
      </c>
      <c r="B194">
        <v>173</v>
      </c>
      <c r="C194">
        <v>146.726486206</v>
      </c>
      <c r="D194">
        <v>173</v>
      </c>
      <c r="E194">
        <v>150.278442383</v>
      </c>
      <c r="F194">
        <v>173</v>
      </c>
      <c r="G194">
        <v>125.84935760499999</v>
      </c>
      <c r="H194">
        <v>173</v>
      </c>
      <c r="I194">
        <v>143.26547241200001</v>
      </c>
      <c r="K194">
        <f t="shared" si="16"/>
        <v>7.0129699709999898</v>
      </c>
      <c r="L194">
        <v>173</v>
      </c>
      <c r="M194">
        <v>250</v>
      </c>
      <c r="N194">
        <v>173</v>
      </c>
      <c r="O194">
        <v>5</v>
      </c>
      <c r="P194">
        <f t="shared" si="14"/>
        <v>103.273513794</v>
      </c>
    </row>
    <row r="195" spans="1:16">
      <c r="A195">
        <f t="shared" si="15"/>
        <v>841.14046684083905</v>
      </c>
      <c r="B195">
        <v>174</v>
      </c>
      <c r="C195">
        <v>146.094680786</v>
      </c>
      <c r="D195">
        <v>174</v>
      </c>
      <c r="E195">
        <v>149.278808594</v>
      </c>
      <c r="F195">
        <v>174</v>
      </c>
      <c r="G195">
        <v>125.356185913</v>
      </c>
      <c r="H195">
        <v>174</v>
      </c>
      <c r="I195">
        <v>143.49205017099999</v>
      </c>
      <c r="K195">
        <f t="shared" si="16"/>
        <v>5.7867584230000091</v>
      </c>
      <c r="L195">
        <v>174</v>
      </c>
      <c r="M195">
        <v>250</v>
      </c>
      <c r="N195">
        <v>174</v>
      </c>
      <c r="O195">
        <v>5</v>
      </c>
      <c r="P195">
        <f t="shared" si="14"/>
        <v>103.905319214</v>
      </c>
    </row>
    <row r="196" spans="1:16">
      <c r="A196">
        <f t="shared" si="15"/>
        <v>842.06656147785543</v>
      </c>
      <c r="B196">
        <v>175</v>
      </c>
      <c r="C196">
        <v>145.330688477</v>
      </c>
      <c r="D196">
        <v>175</v>
      </c>
      <c r="E196">
        <v>149.30445861800001</v>
      </c>
      <c r="F196">
        <v>175</v>
      </c>
      <c r="G196">
        <v>125.70703125</v>
      </c>
      <c r="H196">
        <v>175</v>
      </c>
      <c r="I196">
        <v>142.07778930699999</v>
      </c>
      <c r="K196">
        <f t="shared" si="16"/>
        <v>7.2266693110000233</v>
      </c>
      <c r="L196">
        <v>175</v>
      </c>
      <c r="M196">
        <v>250</v>
      </c>
      <c r="N196">
        <v>175</v>
      </c>
      <c r="O196">
        <v>5</v>
      </c>
      <c r="P196">
        <f t="shared" si="14"/>
        <v>104.669311523</v>
      </c>
    </row>
    <row r="197" spans="1:16">
      <c r="A197">
        <f t="shared" si="15"/>
        <v>842.99265611487169</v>
      </c>
      <c r="B197">
        <v>176</v>
      </c>
      <c r="C197">
        <v>144.92318725600001</v>
      </c>
      <c r="D197">
        <v>176</v>
      </c>
      <c r="E197">
        <v>148.010040283</v>
      </c>
      <c r="F197">
        <v>176</v>
      </c>
      <c r="G197">
        <v>126</v>
      </c>
      <c r="H197">
        <v>176</v>
      </c>
      <c r="I197">
        <v>139.137252808</v>
      </c>
      <c r="K197">
        <f t="shared" si="16"/>
        <v>8.8727874749999955</v>
      </c>
      <c r="L197">
        <v>176</v>
      </c>
      <c r="M197">
        <v>250</v>
      </c>
      <c r="N197">
        <v>176</v>
      </c>
      <c r="O197">
        <v>5</v>
      </c>
      <c r="P197">
        <f t="shared" si="14"/>
        <v>105.07681274399999</v>
      </c>
    </row>
    <row r="198" spans="1:16">
      <c r="A198">
        <f t="shared" si="15"/>
        <v>843.91875075188807</v>
      </c>
      <c r="B198">
        <v>177</v>
      </c>
      <c r="C198">
        <v>144.545852661</v>
      </c>
      <c r="D198">
        <v>177</v>
      </c>
      <c r="E198">
        <v>147.742279053</v>
      </c>
      <c r="F198">
        <v>177</v>
      </c>
      <c r="G198">
        <v>126.14454650899999</v>
      </c>
      <c r="H198">
        <v>177</v>
      </c>
      <c r="I198">
        <v>140.31683349599999</v>
      </c>
      <c r="K198">
        <f t="shared" si="16"/>
        <v>7.4254455570000175</v>
      </c>
      <c r="L198">
        <v>177</v>
      </c>
      <c r="M198">
        <v>250</v>
      </c>
      <c r="N198">
        <v>177</v>
      </c>
      <c r="O198">
        <v>5</v>
      </c>
      <c r="P198">
        <f t="shared" si="14"/>
        <v>105.454147339</v>
      </c>
    </row>
    <row r="199" spans="1:16">
      <c r="A199">
        <f t="shared" si="15"/>
        <v>844.84484538890433</v>
      </c>
      <c r="B199">
        <v>178</v>
      </c>
      <c r="C199">
        <v>145.05081176799999</v>
      </c>
      <c r="D199">
        <v>178</v>
      </c>
      <c r="E199">
        <v>147.50819397000001</v>
      </c>
      <c r="F199">
        <v>178</v>
      </c>
      <c r="G199">
        <v>126.416152954</v>
      </c>
      <c r="H199">
        <v>178</v>
      </c>
      <c r="I199">
        <v>143.117645264</v>
      </c>
      <c r="K199">
        <f t="shared" si="16"/>
        <v>4.3905487060000041</v>
      </c>
      <c r="L199">
        <v>178</v>
      </c>
      <c r="M199">
        <v>250</v>
      </c>
      <c r="N199">
        <v>178</v>
      </c>
      <c r="O199">
        <v>5</v>
      </c>
      <c r="P199">
        <f t="shared" si="14"/>
        <v>104.94918823200001</v>
      </c>
    </row>
    <row r="200" spans="1:16">
      <c r="A200">
        <f t="shared" si="15"/>
        <v>845.77094002592071</v>
      </c>
      <c r="B200">
        <v>179</v>
      </c>
      <c r="C200">
        <v>144.933105469</v>
      </c>
      <c r="D200">
        <v>179</v>
      </c>
      <c r="E200">
        <v>148.06208801299999</v>
      </c>
      <c r="F200">
        <v>179</v>
      </c>
      <c r="G200">
        <v>126.89220428500001</v>
      </c>
      <c r="H200">
        <v>179</v>
      </c>
      <c r="I200">
        <v>140.42015075699999</v>
      </c>
      <c r="K200">
        <f t="shared" si="16"/>
        <v>7.6419372560000056</v>
      </c>
      <c r="L200">
        <v>179</v>
      </c>
      <c r="M200">
        <v>250</v>
      </c>
      <c r="N200">
        <v>179</v>
      </c>
      <c r="O200">
        <v>5</v>
      </c>
      <c r="P200">
        <f t="shared" si="14"/>
        <v>105.066894531</v>
      </c>
    </row>
    <row r="201" spans="1:16">
      <c r="A201">
        <f t="shared" si="15"/>
        <v>846.69703466293697</v>
      </c>
      <c r="B201">
        <v>180</v>
      </c>
      <c r="C201">
        <v>144.66307067899999</v>
      </c>
      <c r="D201">
        <v>180</v>
      </c>
      <c r="E201">
        <v>142.60906982399999</v>
      </c>
      <c r="F201">
        <v>180</v>
      </c>
      <c r="G201">
        <v>127.275215149</v>
      </c>
      <c r="H201">
        <v>180</v>
      </c>
      <c r="I201">
        <v>138.59226989699999</v>
      </c>
      <c r="K201">
        <f t="shared" si="16"/>
        <v>4.0167999269999939</v>
      </c>
      <c r="L201">
        <v>180</v>
      </c>
      <c r="M201">
        <v>250</v>
      </c>
      <c r="N201">
        <v>180</v>
      </c>
      <c r="O201">
        <v>5</v>
      </c>
      <c r="P201">
        <f t="shared" si="14"/>
        <v>105.33692932100001</v>
      </c>
    </row>
    <row r="202" spans="1:16">
      <c r="A202">
        <f t="shared" si="15"/>
        <v>847.62312929995323</v>
      </c>
      <c r="B202">
        <v>181</v>
      </c>
      <c r="C202">
        <v>144.96347045900001</v>
      </c>
      <c r="D202">
        <v>181</v>
      </c>
      <c r="E202">
        <v>144.045684814</v>
      </c>
      <c r="F202">
        <v>181</v>
      </c>
      <c r="G202">
        <v>126.849586487</v>
      </c>
      <c r="H202">
        <v>181</v>
      </c>
      <c r="I202">
        <v>141.958908081</v>
      </c>
      <c r="K202">
        <f t="shared" si="16"/>
        <v>2.0867767329999936</v>
      </c>
      <c r="L202">
        <v>181</v>
      </c>
      <c r="M202">
        <v>250</v>
      </c>
      <c r="N202">
        <v>181</v>
      </c>
      <c r="O202">
        <v>5</v>
      </c>
      <c r="P202">
        <f t="shared" si="14"/>
        <v>105.03652954099999</v>
      </c>
    </row>
    <row r="203" spans="1:16">
      <c r="A203">
        <f t="shared" si="15"/>
        <v>848.54922393696961</v>
      </c>
      <c r="B203">
        <v>182</v>
      </c>
      <c r="C203">
        <v>144.20066833499999</v>
      </c>
      <c r="D203">
        <v>182</v>
      </c>
      <c r="E203">
        <v>153.76861572300001</v>
      </c>
      <c r="F203">
        <v>182</v>
      </c>
      <c r="G203">
        <v>125.54296875</v>
      </c>
      <c r="H203">
        <v>182</v>
      </c>
      <c r="I203">
        <v>142.906539917</v>
      </c>
      <c r="K203">
        <f t="shared" si="16"/>
        <v>10.862075806000007</v>
      </c>
      <c r="L203">
        <v>182</v>
      </c>
      <c r="M203">
        <v>250</v>
      </c>
      <c r="N203">
        <v>182</v>
      </c>
      <c r="O203">
        <v>5</v>
      </c>
      <c r="P203">
        <f t="shared" si="14"/>
        <v>105.79933166500001</v>
      </c>
    </row>
    <row r="204" spans="1:16">
      <c r="A204">
        <f t="shared" si="15"/>
        <v>849.47531857398599</v>
      </c>
      <c r="B204">
        <v>183</v>
      </c>
      <c r="C204">
        <v>144.548706055</v>
      </c>
      <c r="D204">
        <v>183</v>
      </c>
      <c r="E204">
        <v>149.02728271500001</v>
      </c>
      <c r="F204">
        <v>183</v>
      </c>
      <c r="G204">
        <v>124.848480225</v>
      </c>
      <c r="H204">
        <v>183</v>
      </c>
      <c r="I204">
        <v>141.83235168499999</v>
      </c>
      <c r="K204">
        <f t="shared" si="16"/>
        <v>7.1949310300000207</v>
      </c>
      <c r="L204">
        <v>183</v>
      </c>
      <c r="M204">
        <v>250</v>
      </c>
      <c r="N204">
        <v>183</v>
      </c>
      <c r="O204">
        <v>5</v>
      </c>
      <c r="P204">
        <f t="shared" si="14"/>
        <v>105.451293945</v>
      </c>
    </row>
    <row r="205" spans="1:16">
      <c r="A205">
        <f t="shared" si="15"/>
        <v>850.40141321100225</v>
      </c>
      <c r="B205">
        <v>184</v>
      </c>
      <c r="C205">
        <v>145.34640502900001</v>
      </c>
      <c r="D205">
        <v>184</v>
      </c>
      <c r="E205">
        <v>147.58995056200001</v>
      </c>
      <c r="F205">
        <v>184</v>
      </c>
      <c r="G205">
        <v>125.614501953</v>
      </c>
      <c r="H205">
        <v>184</v>
      </c>
      <c r="I205">
        <v>140.35113525400001</v>
      </c>
      <c r="K205">
        <f t="shared" si="16"/>
        <v>7.2388153079999995</v>
      </c>
      <c r="L205">
        <v>184</v>
      </c>
      <c r="M205">
        <v>250</v>
      </c>
      <c r="N205">
        <v>184</v>
      </c>
      <c r="O205">
        <v>5</v>
      </c>
      <c r="P205">
        <f t="shared" si="14"/>
        <v>104.65359497099999</v>
      </c>
    </row>
    <row r="206" spans="1:16">
      <c r="A206">
        <f t="shared" si="15"/>
        <v>851.32750784801851</v>
      </c>
      <c r="B206">
        <v>185</v>
      </c>
      <c r="C206">
        <v>144.13050842300001</v>
      </c>
      <c r="D206">
        <v>185</v>
      </c>
      <c r="E206">
        <v>148.59490966800001</v>
      </c>
      <c r="F206">
        <v>185</v>
      </c>
      <c r="G206">
        <v>126.380523682</v>
      </c>
      <c r="H206">
        <v>185</v>
      </c>
      <c r="I206">
        <v>140.404418945</v>
      </c>
      <c r="K206">
        <f t="shared" si="16"/>
        <v>8.1904907230000106</v>
      </c>
      <c r="L206">
        <v>185</v>
      </c>
      <c r="M206">
        <v>250</v>
      </c>
      <c r="N206">
        <v>185</v>
      </c>
      <c r="O206">
        <v>5</v>
      </c>
      <c r="P206">
        <f t="shared" si="14"/>
        <v>105.86949157699999</v>
      </c>
    </row>
    <row r="207" spans="1:16">
      <c r="A207">
        <f t="shared" si="15"/>
        <v>852.25360248503489</v>
      </c>
      <c r="B207">
        <v>186</v>
      </c>
      <c r="C207">
        <v>143.48323059099999</v>
      </c>
      <c r="D207">
        <v>186</v>
      </c>
      <c r="E207">
        <v>148.870193481</v>
      </c>
      <c r="F207">
        <v>186</v>
      </c>
      <c r="G207">
        <v>125.80699157700001</v>
      </c>
      <c r="H207">
        <v>186</v>
      </c>
      <c r="I207">
        <v>142.00643920900001</v>
      </c>
      <c r="K207">
        <f t="shared" si="16"/>
        <v>6.8637542719999942</v>
      </c>
      <c r="L207">
        <v>186</v>
      </c>
      <c r="M207">
        <v>250</v>
      </c>
      <c r="N207">
        <v>186</v>
      </c>
      <c r="O207">
        <v>5</v>
      </c>
      <c r="P207">
        <f t="shared" si="14"/>
        <v>106.51676940900001</v>
      </c>
    </row>
    <row r="208" spans="1:16">
      <c r="A208">
        <f t="shared" si="15"/>
        <v>853.17969712205127</v>
      </c>
      <c r="B208">
        <v>187</v>
      </c>
      <c r="C208">
        <v>143.215042114</v>
      </c>
      <c r="D208">
        <v>187</v>
      </c>
      <c r="E208">
        <v>148.85452270499999</v>
      </c>
      <c r="F208">
        <v>187</v>
      </c>
      <c r="G208">
        <v>125.38412475600001</v>
      </c>
      <c r="H208">
        <v>187</v>
      </c>
      <c r="I208">
        <v>144.00833129899999</v>
      </c>
      <c r="K208">
        <f t="shared" si="16"/>
        <v>4.8461914060000026</v>
      </c>
      <c r="L208">
        <v>187</v>
      </c>
      <c r="M208">
        <v>250</v>
      </c>
      <c r="N208">
        <v>187</v>
      </c>
      <c r="O208">
        <v>5</v>
      </c>
      <c r="P208">
        <f t="shared" si="14"/>
        <v>106.784957886</v>
      </c>
    </row>
    <row r="209" spans="1:16">
      <c r="A209">
        <f t="shared" si="15"/>
        <v>854.10579175906753</v>
      </c>
      <c r="B209">
        <v>188</v>
      </c>
      <c r="C209">
        <v>144.03656005900001</v>
      </c>
      <c r="D209">
        <v>188</v>
      </c>
      <c r="E209">
        <v>148.67449951200001</v>
      </c>
      <c r="F209">
        <v>188</v>
      </c>
      <c r="G209">
        <v>125.718566895</v>
      </c>
      <c r="H209">
        <v>188</v>
      </c>
      <c r="I209">
        <v>144.23809814500001</v>
      </c>
      <c r="K209">
        <f t="shared" si="16"/>
        <v>4.436401367000002</v>
      </c>
      <c r="L209">
        <v>188</v>
      </c>
      <c r="M209">
        <v>250</v>
      </c>
      <c r="N209">
        <v>188</v>
      </c>
      <c r="O209">
        <v>5</v>
      </c>
      <c r="P209">
        <f t="shared" si="14"/>
        <v>105.96343994099999</v>
      </c>
    </row>
    <row r="210" spans="1:16">
      <c r="A210">
        <f t="shared" si="15"/>
        <v>855.03188639608379</v>
      </c>
      <c r="B210">
        <v>189</v>
      </c>
      <c r="C210">
        <v>146.77182006800001</v>
      </c>
      <c r="D210">
        <v>189</v>
      </c>
      <c r="E210">
        <v>148.93788147000001</v>
      </c>
      <c r="F210">
        <v>189</v>
      </c>
      <c r="G210">
        <v>127.799697876</v>
      </c>
      <c r="H210">
        <v>189</v>
      </c>
      <c r="I210">
        <v>143.098388672</v>
      </c>
      <c r="K210">
        <f t="shared" si="16"/>
        <v>5.8394927980000091</v>
      </c>
      <c r="L210">
        <v>189</v>
      </c>
      <c r="M210">
        <v>250</v>
      </c>
      <c r="N210">
        <v>189</v>
      </c>
      <c r="O210">
        <v>5</v>
      </c>
      <c r="P210">
        <f t="shared" si="14"/>
        <v>103.22817993199999</v>
      </c>
    </row>
    <row r="211" spans="1:16">
      <c r="A211">
        <f t="shared" si="15"/>
        <v>855.95798103310017</v>
      </c>
      <c r="B211">
        <v>190</v>
      </c>
      <c r="C211">
        <v>146.897583008</v>
      </c>
      <c r="D211">
        <v>190</v>
      </c>
      <c r="E211">
        <v>149.17730712900001</v>
      </c>
      <c r="F211">
        <v>190</v>
      </c>
      <c r="G211">
        <v>127.48285675</v>
      </c>
      <c r="H211">
        <v>190</v>
      </c>
      <c r="I211">
        <v>140.397781372</v>
      </c>
      <c r="K211">
        <f t="shared" si="16"/>
        <v>8.779525757000016</v>
      </c>
      <c r="L211">
        <v>190</v>
      </c>
      <c r="M211">
        <v>250</v>
      </c>
      <c r="N211">
        <v>190</v>
      </c>
      <c r="O211">
        <v>5</v>
      </c>
      <c r="P211">
        <f t="shared" si="14"/>
        <v>103.102416992</v>
      </c>
    </row>
    <row r="212" spans="1:16">
      <c r="A212">
        <f t="shared" si="15"/>
        <v>856.88407567011643</v>
      </c>
      <c r="B212">
        <v>191</v>
      </c>
      <c r="C212">
        <v>141.14598083499999</v>
      </c>
      <c r="D212">
        <v>191</v>
      </c>
      <c r="E212">
        <v>148.11993408199999</v>
      </c>
      <c r="F212">
        <v>191</v>
      </c>
      <c r="G212">
        <v>127.149528503</v>
      </c>
      <c r="H212">
        <v>191</v>
      </c>
      <c r="I212">
        <v>140.967163086</v>
      </c>
      <c r="K212">
        <f t="shared" si="16"/>
        <v>7.1527709959999868</v>
      </c>
      <c r="L212">
        <v>191</v>
      </c>
      <c r="M212">
        <v>250</v>
      </c>
      <c r="N212">
        <v>191</v>
      </c>
      <c r="O212">
        <v>5</v>
      </c>
      <c r="P212">
        <f t="shared" si="14"/>
        <v>108.85401916500001</v>
      </c>
    </row>
    <row r="213" spans="1:16">
      <c r="A213">
        <f t="shared" si="15"/>
        <v>857.81017030713281</v>
      </c>
      <c r="B213">
        <v>192</v>
      </c>
      <c r="C213">
        <v>144.275756836</v>
      </c>
      <c r="D213">
        <v>192</v>
      </c>
      <c r="E213">
        <v>149.42842102099999</v>
      </c>
      <c r="F213">
        <v>192</v>
      </c>
      <c r="G213">
        <v>127.66666412399999</v>
      </c>
      <c r="H213">
        <v>192</v>
      </c>
      <c r="I213">
        <v>139.29200744600001</v>
      </c>
      <c r="K213">
        <f t="shared" si="16"/>
        <v>10.136413574999978</v>
      </c>
      <c r="L213">
        <v>192</v>
      </c>
      <c r="M213">
        <v>249.89752197300001</v>
      </c>
      <c r="N213">
        <v>192</v>
      </c>
      <c r="O213">
        <v>5.2188892359999999</v>
      </c>
      <c r="P213">
        <f t="shared" ref="P213:P276" si="17">M213-C213</f>
        <v>105.62176513700001</v>
      </c>
    </row>
    <row r="214" spans="1:16">
      <c r="A214">
        <f t="shared" ref="A214:A277" si="18">680 +B214*COS(ABS($J$8)*PI()/180)</f>
        <v>858.73626494414907</v>
      </c>
      <c r="B214">
        <v>193</v>
      </c>
      <c r="C214">
        <v>145.14341735799999</v>
      </c>
      <c r="D214">
        <v>193</v>
      </c>
      <c r="E214">
        <v>149.20605468799999</v>
      </c>
      <c r="F214">
        <v>193</v>
      </c>
      <c r="G214">
        <v>127.66666412399999</v>
      </c>
      <c r="H214">
        <v>193</v>
      </c>
      <c r="I214">
        <v>138.99188232399999</v>
      </c>
      <c r="K214">
        <f t="shared" ref="K214:K277" si="19">E214-I214</f>
        <v>10.214172364000007</v>
      </c>
      <c r="L214">
        <v>193</v>
      </c>
      <c r="M214">
        <v>249.24531555199999</v>
      </c>
      <c r="N214">
        <v>193</v>
      </c>
      <c r="O214">
        <v>5.9471459390000003</v>
      </c>
      <c r="P214">
        <f t="shared" si="17"/>
        <v>104.101898194</v>
      </c>
    </row>
    <row r="215" spans="1:16">
      <c r="A215">
        <f t="shared" si="18"/>
        <v>859.66235958116545</v>
      </c>
      <c r="B215">
        <v>194</v>
      </c>
      <c r="C215">
        <v>144.65547180199999</v>
      </c>
      <c r="D215">
        <v>194</v>
      </c>
      <c r="E215">
        <v>148.666671753</v>
      </c>
      <c r="F215">
        <v>194</v>
      </c>
      <c r="G215">
        <v>127.84403228799999</v>
      </c>
      <c r="H215">
        <v>194</v>
      </c>
      <c r="I215">
        <v>140.457855225</v>
      </c>
      <c r="K215">
        <f t="shared" si="19"/>
        <v>8.2088165279999998</v>
      </c>
      <c r="L215">
        <v>194</v>
      </c>
      <c r="M215">
        <v>249</v>
      </c>
      <c r="N215">
        <v>194</v>
      </c>
      <c r="O215">
        <v>6</v>
      </c>
      <c r="P215">
        <f t="shared" si="17"/>
        <v>104.34452819800001</v>
      </c>
    </row>
    <row r="216" spans="1:16">
      <c r="A216">
        <f t="shared" si="18"/>
        <v>860.58845421818171</v>
      </c>
      <c r="B216">
        <v>195</v>
      </c>
      <c r="C216">
        <v>145.541381836</v>
      </c>
      <c r="D216">
        <v>195</v>
      </c>
      <c r="E216">
        <v>148.00318908700001</v>
      </c>
      <c r="F216">
        <v>195</v>
      </c>
      <c r="G216">
        <v>127.97962951700001</v>
      </c>
      <c r="H216">
        <v>195</v>
      </c>
      <c r="I216">
        <v>141.746261597</v>
      </c>
      <c r="K216">
        <f t="shared" si="19"/>
        <v>6.2569274900000096</v>
      </c>
      <c r="L216">
        <v>195</v>
      </c>
      <c r="M216">
        <v>249</v>
      </c>
      <c r="N216">
        <v>195</v>
      </c>
      <c r="O216">
        <v>6</v>
      </c>
      <c r="P216">
        <f t="shared" si="17"/>
        <v>103.458618164</v>
      </c>
    </row>
    <row r="217" spans="1:16">
      <c r="A217">
        <f t="shared" si="18"/>
        <v>861.51454885519809</v>
      </c>
      <c r="B217">
        <v>196</v>
      </c>
      <c r="C217">
        <v>148.46177673299999</v>
      </c>
      <c r="D217">
        <v>196</v>
      </c>
      <c r="E217">
        <v>147.129669189</v>
      </c>
      <c r="F217">
        <v>196</v>
      </c>
      <c r="G217">
        <v>127.59438324</v>
      </c>
      <c r="H217">
        <v>196</v>
      </c>
      <c r="I217">
        <v>140.764434814</v>
      </c>
      <c r="K217">
        <f t="shared" si="19"/>
        <v>6.365234375</v>
      </c>
      <c r="L217">
        <v>196</v>
      </c>
      <c r="M217">
        <v>249</v>
      </c>
      <c r="N217">
        <v>196</v>
      </c>
      <c r="O217">
        <v>6</v>
      </c>
      <c r="P217">
        <f t="shared" si="17"/>
        <v>100.53822326700001</v>
      </c>
    </row>
    <row r="218" spans="1:16">
      <c r="A218">
        <f t="shared" si="18"/>
        <v>862.44064349221435</v>
      </c>
      <c r="B218">
        <v>197</v>
      </c>
      <c r="C218">
        <v>149.65321350100001</v>
      </c>
      <c r="D218">
        <v>197</v>
      </c>
      <c r="E218">
        <v>147.17610168499999</v>
      </c>
      <c r="F218">
        <v>197</v>
      </c>
      <c r="G218">
        <v>127.27073669399999</v>
      </c>
      <c r="H218">
        <v>197</v>
      </c>
      <c r="I218">
        <v>139.42091369600001</v>
      </c>
      <c r="K218">
        <f t="shared" si="19"/>
        <v>7.7551879889999782</v>
      </c>
      <c r="L218">
        <v>197</v>
      </c>
      <c r="M218">
        <v>249</v>
      </c>
      <c r="N218">
        <v>197</v>
      </c>
      <c r="O218">
        <v>6</v>
      </c>
      <c r="P218">
        <f t="shared" si="17"/>
        <v>99.34678649899999</v>
      </c>
    </row>
    <row r="219" spans="1:16">
      <c r="A219">
        <f t="shared" si="18"/>
        <v>863.36673812923073</v>
      </c>
      <c r="B219">
        <v>198</v>
      </c>
      <c r="C219">
        <v>146.46678161599999</v>
      </c>
      <c r="D219">
        <v>198</v>
      </c>
      <c r="E219">
        <v>148.06219482399999</v>
      </c>
      <c r="F219">
        <v>198</v>
      </c>
      <c r="G219">
        <v>127.781417847</v>
      </c>
      <c r="H219">
        <v>198</v>
      </c>
      <c r="I219">
        <v>143.85392761200001</v>
      </c>
      <c r="K219">
        <f t="shared" si="19"/>
        <v>4.2082672119999813</v>
      </c>
      <c r="L219">
        <v>198</v>
      </c>
      <c r="M219">
        <v>249</v>
      </c>
      <c r="N219">
        <v>198</v>
      </c>
      <c r="O219">
        <v>6</v>
      </c>
      <c r="P219">
        <f t="shared" si="17"/>
        <v>102.53321838400001</v>
      </c>
    </row>
    <row r="220" spans="1:16">
      <c r="A220">
        <f t="shared" si="18"/>
        <v>864.29283276624699</v>
      </c>
      <c r="B220">
        <v>199</v>
      </c>
      <c r="C220">
        <v>144.592849731</v>
      </c>
      <c r="D220">
        <v>199</v>
      </c>
      <c r="E220">
        <v>148.94219970699999</v>
      </c>
      <c r="F220">
        <v>199</v>
      </c>
      <c r="G220">
        <v>126.35071563699999</v>
      </c>
      <c r="H220">
        <v>199</v>
      </c>
      <c r="I220">
        <v>148.87167358400001</v>
      </c>
      <c r="K220">
        <f t="shared" si="19"/>
        <v>7.0526122999979179E-2</v>
      </c>
      <c r="L220">
        <v>199</v>
      </c>
      <c r="M220">
        <v>249</v>
      </c>
      <c r="N220">
        <v>199</v>
      </c>
      <c r="O220">
        <v>6</v>
      </c>
      <c r="P220">
        <f t="shared" si="17"/>
        <v>104.407150269</v>
      </c>
    </row>
    <row r="221" spans="1:16">
      <c r="A221">
        <f t="shared" si="18"/>
        <v>865.21892740326325</v>
      </c>
      <c r="B221">
        <v>200</v>
      </c>
      <c r="C221">
        <v>147.04222106899999</v>
      </c>
      <c r="D221">
        <v>200</v>
      </c>
      <c r="E221">
        <v>149.023513794</v>
      </c>
      <c r="F221">
        <v>200</v>
      </c>
      <c r="G221">
        <v>126.401390076</v>
      </c>
      <c r="H221">
        <v>200</v>
      </c>
      <c r="I221">
        <v>144.550170898</v>
      </c>
      <c r="K221">
        <f t="shared" si="19"/>
        <v>4.4733428959999912</v>
      </c>
      <c r="L221">
        <v>200</v>
      </c>
      <c r="M221">
        <v>249</v>
      </c>
      <c r="N221">
        <v>200</v>
      </c>
      <c r="O221">
        <v>6</v>
      </c>
      <c r="P221">
        <f t="shared" si="17"/>
        <v>101.95777893100001</v>
      </c>
    </row>
    <row r="222" spans="1:16">
      <c r="A222">
        <f t="shared" si="18"/>
        <v>866.14502204027963</v>
      </c>
      <c r="B222">
        <v>201</v>
      </c>
      <c r="C222">
        <v>148.884277344</v>
      </c>
      <c r="D222">
        <v>201</v>
      </c>
      <c r="E222">
        <v>149.623535156</v>
      </c>
      <c r="F222">
        <v>201</v>
      </c>
      <c r="G222">
        <v>126.65673065199999</v>
      </c>
      <c r="H222">
        <v>201</v>
      </c>
      <c r="I222">
        <v>141.76934814500001</v>
      </c>
      <c r="K222">
        <f t="shared" si="19"/>
        <v>7.8541870109999934</v>
      </c>
      <c r="L222">
        <v>201</v>
      </c>
      <c r="M222">
        <v>249</v>
      </c>
      <c r="N222">
        <v>201</v>
      </c>
      <c r="O222">
        <v>6</v>
      </c>
      <c r="P222">
        <f t="shared" si="17"/>
        <v>100.115722656</v>
      </c>
    </row>
    <row r="223" spans="1:16">
      <c r="A223">
        <f t="shared" si="18"/>
        <v>867.071116677296</v>
      </c>
      <c r="B223">
        <v>202</v>
      </c>
      <c r="C223">
        <v>147.42864990199999</v>
      </c>
      <c r="D223">
        <v>202</v>
      </c>
      <c r="E223">
        <v>147.25067138700001</v>
      </c>
      <c r="F223">
        <v>202</v>
      </c>
      <c r="G223">
        <v>126.421257019</v>
      </c>
      <c r="H223">
        <v>202</v>
      </c>
      <c r="I223">
        <v>140.580612183</v>
      </c>
      <c r="K223">
        <f t="shared" si="19"/>
        <v>6.6700592040000117</v>
      </c>
      <c r="L223">
        <v>202</v>
      </c>
      <c r="M223">
        <v>249</v>
      </c>
      <c r="N223">
        <v>202</v>
      </c>
      <c r="O223">
        <v>6</v>
      </c>
      <c r="P223">
        <f t="shared" si="17"/>
        <v>101.57135009800001</v>
      </c>
    </row>
    <row r="224" spans="1:16">
      <c r="A224">
        <f t="shared" si="18"/>
        <v>867.99721131431227</v>
      </c>
      <c r="B224">
        <v>203</v>
      </c>
      <c r="C224">
        <v>144.15589904800001</v>
      </c>
      <c r="D224">
        <v>203</v>
      </c>
      <c r="E224">
        <v>147.06529235799999</v>
      </c>
      <c r="F224">
        <v>203</v>
      </c>
      <c r="G224">
        <v>126.21327209499999</v>
      </c>
      <c r="H224">
        <v>203</v>
      </c>
      <c r="I224">
        <v>141.32499694800001</v>
      </c>
      <c r="K224">
        <f t="shared" si="19"/>
        <v>5.7402954099999874</v>
      </c>
      <c r="L224">
        <v>203</v>
      </c>
      <c r="M224">
        <v>249</v>
      </c>
      <c r="N224">
        <v>203</v>
      </c>
      <c r="O224">
        <v>6</v>
      </c>
      <c r="P224">
        <f t="shared" si="17"/>
        <v>104.84410095199999</v>
      </c>
    </row>
    <row r="225" spans="1:16">
      <c r="A225">
        <f t="shared" si="18"/>
        <v>868.92330595132853</v>
      </c>
      <c r="B225">
        <v>204</v>
      </c>
      <c r="C225">
        <v>146.10885620100001</v>
      </c>
      <c r="D225">
        <v>204</v>
      </c>
      <c r="E225">
        <v>147.88880920400001</v>
      </c>
      <c r="F225">
        <v>204</v>
      </c>
      <c r="G225">
        <v>126.089416504</v>
      </c>
      <c r="H225">
        <v>204</v>
      </c>
      <c r="I225">
        <v>140.39999389600001</v>
      </c>
      <c r="K225">
        <f t="shared" si="19"/>
        <v>7.4888153079999995</v>
      </c>
      <c r="L225">
        <v>204</v>
      </c>
      <c r="M225">
        <v>249</v>
      </c>
      <c r="N225">
        <v>204</v>
      </c>
      <c r="O225">
        <v>6</v>
      </c>
      <c r="P225">
        <f t="shared" si="17"/>
        <v>102.89114379899999</v>
      </c>
    </row>
    <row r="226" spans="1:16">
      <c r="A226">
        <f t="shared" si="18"/>
        <v>869.84940058834491</v>
      </c>
      <c r="B226">
        <v>205</v>
      </c>
      <c r="C226">
        <v>149.467163086</v>
      </c>
      <c r="D226">
        <v>205</v>
      </c>
      <c r="E226">
        <v>147.30345153799999</v>
      </c>
      <c r="F226">
        <v>205</v>
      </c>
      <c r="G226">
        <v>126.34475707999999</v>
      </c>
      <c r="H226">
        <v>205</v>
      </c>
      <c r="I226">
        <v>139.07109069800001</v>
      </c>
      <c r="K226">
        <f t="shared" si="19"/>
        <v>8.2323608399999841</v>
      </c>
      <c r="L226">
        <v>205</v>
      </c>
      <c r="M226">
        <v>249</v>
      </c>
      <c r="N226">
        <v>205</v>
      </c>
      <c r="O226">
        <v>6</v>
      </c>
      <c r="P226">
        <f t="shared" si="17"/>
        <v>99.532836914000001</v>
      </c>
    </row>
    <row r="227" spans="1:16">
      <c r="A227">
        <f t="shared" si="18"/>
        <v>870.77549522536117</v>
      </c>
      <c r="B227">
        <v>206</v>
      </c>
      <c r="C227">
        <v>147.957473755</v>
      </c>
      <c r="D227">
        <v>206</v>
      </c>
      <c r="E227">
        <v>147.225463867</v>
      </c>
      <c r="F227">
        <v>206</v>
      </c>
      <c r="G227">
        <v>126.600097656</v>
      </c>
      <c r="H227">
        <v>206</v>
      </c>
      <c r="I227">
        <v>140.43429565400001</v>
      </c>
      <c r="K227">
        <f t="shared" si="19"/>
        <v>6.7911682129999917</v>
      </c>
      <c r="L227">
        <v>206</v>
      </c>
      <c r="M227">
        <v>249</v>
      </c>
      <c r="N227">
        <v>206</v>
      </c>
      <c r="O227">
        <v>6</v>
      </c>
      <c r="P227">
        <f t="shared" si="17"/>
        <v>101.042526245</v>
      </c>
    </row>
    <row r="228" spans="1:16">
      <c r="A228">
        <f t="shared" si="18"/>
        <v>871.70158986237755</v>
      </c>
      <c r="B228">
        <v>207</v>
      </c>
      <c r="C228">
        <v>145.91366577100001</v>
      </c>
      <c r="D228">
        <v>207</v>
      </c>
      <c r="E228">
        <v>149.135375977</v>
      </c>
      <c r="F228">
        <v>207</v>
      </c>
      <c r="G228">
        <v>126.355873108</v>
      </c>
      <c r="H228">
        <v>207</v>
      </c>
      <c r="I228">
        <v>142.59559631299999</v>
      </c>
      <c r="K228">
        <f t="shared" si="19"/>
        <v>6.5397796640000081</v>
      </c>
      <c r="L228">
        <v>207</v>
      </c>
      <c r="M228">
        <v>249</v>
      </c>
      <c r="N228">
        <v>207</v>
      </c>
      <c r="O228">
        <v>6</v>
      </c>
      <c r="P228">
        <f t="shared" si="17"/>
        <v>103.08633422899999</v>
      </c>
    </row>
    <row r="229" spans="1:16">
      <c r="A229">
        <f t="shared" si="18"/>
        <v>872.62768449939381</v>
      </c>
      <c r="B229">
        <v>208</v>
      </c>
      <c r="C229">
        <v>146.44264221200001</v>
      </c>
      <c r="D229">
        <v>208</v>
      </c>
      <c r="E229">
        <v>150.00151062</v>
      </c>
      <c r="F229">
        <v>208</v>
      </c>
      <c r="G229">
        <v>125.761642456</v>
      </c>
      <c r="H229">
        <v>208</v>
      </c>
      <c r="I229">
        <v>143.31962585400001</v>
      </c>
      <c r="K229">
        <f t="shared" si="19"/>
        <v>6.681884765999996</v>
      </c>
      <c r="L229">
        <v>208</v>
      </c>
      <c r="M229">
        <v>249</v>
      </c>
      <c r="N229">
        <v>208</v>
      </c>
      <c r="O229">
        <v>6</v>
      </c>
      <c r="P229">
        <f t="shared" si="17"/>
        <v>102.55735778799999</v>
      </c>
    </row>
    <row r="230" spans="1:16">
      <c r="A230">
        <f t="shared" si="18"/>
        <v>873.55377913641018</v>
      </c>
      <c r="B230">
        <v>209</v>
      </c>
      <c r="C230">
        <v>146.29994201700001</v>
      </c>
      <c r="D230">
        <v>209</v>
      </c>
      <c r="E230">
        <v>149.20344543499999</v>
      </c>
      <c r="F230">
        <v>209</v>
      </c>
      <c r="G230">
        <v>125.03278350799999</v>
      </c>
      <c r="H230">
        <v>209</v>
      </c>
      <c r="I230">
        <v>142.73480224599999</v>
      </c>
      <c r="K230">
        <f t="shared" si="19"/>
        <v>6.4686431890000051</v>
      </c>
      <c r="L230">
        <v>209</v>
      </c>
      <c r="M230">
        <v>249</v>
      </c>
      <c r="N230">
        <v>209</v>
      </c>
      <c r="O230">
        <v>6</v>
      </c>
      <c r="P230">
        <f t="shared" si="17"/>
        <v>102.70005798299999</v>
      </c>
    </row>
    <row r="231" spans="1:16">
      <c r="A231">
        <f t="shared" si="18"/>
        <v>874.47987377342645</v>
      </c>
      <c r="B231">
        <v>210</v>
      </c>
      <c r="C231">
        <v>143.93064880399999</v>
      </c>
      <c r="D231">
        <v>210</v>
      </c>
      <c r="E231">
        <v>148.508834839</v>
      </c>
      <c r="F231">
        <v>210</v>
      </c>
      <c r="G231">
        <v>125.288124084</v>
      </c>
      <c r="H231">
        <v>210</v>
      </c>
      <c r="I231">
        <v>141.27407836899999</v>
      </c>
      <c r="K231">
        <f t="shared" si="19"/>
        <v>7.2347564700000078</v>
      </c>
      <c r="L231">
        <v>210</v>
      </c>
      <c r="M231">
        <v>249</v>
      </c>
      <c r="N231">
        <v>210</v>
      </c>
      <c r="O231">
        <v>6</v>
      </c>
      <c r="P231">
        <f t="shared" si="17"/>
        <v>105.06935119600001</v>
      </c>
    </row>
    <row r="232" spans="1:16">
      <c r="A232">
        <f t="shared" si="18"/>
        <v>875.40596841044282</v>
      </c>
      <c r="B232">
        <v>211</v>
      </c>
      <c r="C232">
        <v>142.627151489</v>
      </c>
      <c r="D232">
        <v>211</v>
      </c>
      <c r="E232">
        <v>149.28752136200001</v>
      </c>
      <c r="F232">
        <v>211</v>
      </c>
      <c r="G232">
        <v>125.543464661</v>
      </c>
      <c r="H232">
        <v>211</v>
      </c>
      <c r="I232">
        <v>141.267578125</v>
      </c>
      <c r="K232">
        <f t="shared" si="19"/>
        <v>8.0199432370000068</v>
      </c>
      <c r="L232">
        <v>211</v>
      </c>
      <c r="M232">
        <v>249</v>
      </c>
      <c r="N232">
        <v>211</v>
      </c>
      <c r="O232">
        <v>6</v>
      </c>
      <c r="P232">
        <f t="shared" si="17"/>
        <v>106.372848511</v>
      </c>
    </row>
    <row r="233" spans="1:16">
      <c r="A233">
        <f t="shared" si="18"/>
        <v>876.33206304745909</v>
      </c>
      <c r="B233">
        <v>212</v>
      </c>
      <c r="C233">
        <v>142.37062072800001</v>
      </c>
      <c r="D233">
        <v>212</v>
      </c>
      <c r="E233">
        <v>148.485427856</v>
      </c>
      <c r="F233">
        <v>212</v>
      </c>
      <c r="G233">
        <v>126.167938232</v>
      </c>
      <c r="H233">
        <v>212</v>
      </c>
      <c r="I233">
        <v>142.00682067899999</v>
      </c>
      <c r="K233">
        <f t="shared" si="19"/>
        <v>6.4786071770000149</v>
      </c>
      <c r="L233">
        <v>212</v>
      </c>
      <c r="M233">
        <v>249</v>
      </c>
      <c r="N233">
        <v>212</v>
      </c>
      <c r="O233">
        <v>6</v>
      </c>
      <c r="P233">
        <f t="shared" si="17"/>
        <v>106.62937927199999</v>
      </c>
    </row>
    <row r="234" spans="1:16">
      <c r="A234">
        <f t="shared" si="18"/>
        <v>877.25815768447546</v>
      </c>
      <c r="B234">
        <v>213</v>
      </c>
      <c r="C234">
        <v>143.662200928</v>
      </c>
      <c r="D234">
        <v>213</v>
      </c>
      <c r="E234">
        <v>149.51425170900001</v>
      </c>
      <c r="F234">
        <v>213</v>
      </c>
      <c r="G234">
        <v>126.58122253400001</v>
      </c>
      <c r="H234">
        <v>213</v>
      </c>
      <c r="I234">
        <v>141.9815979</v>
      </c>
      <c r="K234">
        <f t="shared" si="19"/>
        <v>7.5326538090000099</v>
      </c>
      <c r="L234">
        <v>213</v>
      </c>
      <c r="M234">
        <v>249</v>
      </c>
      <c r="N234">
        <v>213</v>
      </c>
      <c r="O234">
        <v>6</v>
      </c>
      <c r="P234">
        <f t="shared" si="17"/>
        <v>105.337799072</v>
      </c>
    </row>
    <row r="235" spans="1:16">
      <c r="A235">
        <f t="shared" si="18"/>
        <v>878.18425232149173</v>
      </c>
      <c r="B235">
        <v>214</v>
      </c>
      <c r="C235">
        <v>143.99935913100001</v>
      </c>
      <c r="D235">
        <v>214</v>
      </c>
      <c r="E235">
        <v>151.54031372099999</v>
      </c>
      <c r="F235">
        <v>214</v>
      </c>
      <c r="G235">
        <v>126.964233398</v>
      </c>
      <c r="H235">
        <v>214</v>
      </c>
      <c r="I235">
        <v>139.48236084000001</v>
      </c>
      <c r="K235">
        <f t="shared" si="19"/>
        <v>12.057952880999977</v>
      </c>
      <c r="L235">
        <v>214</v>
      </c>
      <c r="M235">
        <v>248.525878906</v>
      </c>
      <c r="N235">
        <v>214</v>
      </c>
      <c r="O235">
        <v>6.708445072</v>
      </c>
      <c r="P235">
        <f t="shared" si="17"/>
        <v>104.526519775</v>
      </c>
    </row>
    <row r="236" spans="1:16">
      <c r="A236">
        <f t="shared" si="18"/>
        <v>879.11034695850799</v>
      </c>
      <c r="B236">
        <v>215</v>
      </c>
      <c r="C236">
        <v>143.21302795400001</v>
      </c>
      <c r="D236">
        <v>215</v>
      </c>
      <c r="E236">
        <v>150.117630005</v>
      </c>
      <c r="F236">
        <v>215</v>
      </c>
      <c r="G236">
        <v>126.57277679400001</v>
      </c>
      <c r="H236">
        <v>215</v>
      </c>
      <c r="I236">
        <v>137.193817139</v>
      </c>
      <c r="K236">
        <f t="shared" si="19"/>
        <v>12.923812865999992</v>
      </c>
      <c r="L236">
        <v>215</v>
      </c>
      <c r="M236">
        <v>248</v>
      </c>
      <c r="N236">
        <v>215</v>
      </c>
      <c r="O236">
        <v>7</v>
      </c>
      <c r="P236">
        <f t="shared" si="17"/>
        <v>104.78697204599999</v>
      </c>
    </row>
    <row r="237" spans="1:16">
      <c r="A237">
        <f t="shared" si="18"/>
        <v>880.03644159552437</v>
      </c>
      <c r="B237">
        <v>216</v>
      </c>
      <c r="C237">
        <v>144.993286133</v>
      </c>
      <c r="D237">
        <v>216</v>
      </c>
      <c r="E237">
        <v>148.59829711899999</v>
      </c>
      <c r="F237">
        <v>216</v>
      </c>
      <c r="G237">
        <v>126.486831665</v>
      </c>
      <c r="H237">
        <v>216</v>
      </c>
      <c r="I237">
        <v>141.053390503</v>
      </c>
      <c r="K237">
        <f t="shared" si="19"/>
        <v>7.5449066159999916</v>
      </c>
      <c r="L237">
        <v>216</v>
      </c>
      <c r="M237">
        <v>248</v>
      </c>
      <c r="N237">
        <v>216</v>
      </c>
      <c r="O237">
        <v>7</v>
      </c>
      <c r="P237">
        <f t="shared" si="17"/>
        <v>103.006713867</v>
      </c>
    </row>
    <row r="238" spans="1:16">
      <c r="A238">
        <f t="shared" si="18"/>
        <v>880.96253623254074</v>
      </c>
      <c r="B238">
        <v>217</v>
      </c>
      <c r="C238">
        <v>147.64604187</v>
      </c>
      <c r="D238">
        <v>217</v>
      </c>
      <c r="E238">
        <v>148.06050109899999</v>
      </c>
      <c r="F238">
        <v>217</v>
      </c>
      <c r="G238">
        <v>126.59115600600001</v>
      </c>
      <c r="H238">
        <v>217</v>
      </c>
      <c r="I238">
        <v>143.62699890100001</v>
      </c>
      <c r="K238">
        <f t="shared" si="19"/>
        <v>4.4335021979999851</v>
      </c>
      <c r="L238">
        <v>217</v>
      </c>
      <c r="M238">
        <v>248</v>
      </c>
      <c r="N238">
        <v>217</v>
      </c>
      <c r="O238">
        <v>7</v>
      </c>
      <c r="P238">
        <f t="shared" si="17"/>
        <v>100.35395813</v>
      </c>
    </row>
    <row r="239" spans="1:16">
      <c r="A239">
        <f t="shared" si="18"/>
        <v>881.88863086955701</v>
      </c>
      <c r="B239">
        <v>218</v>
      </c>
      <c r="C239">
        <v>145.70393371599999</v>
      </c>
      <c r="D239">
        <v>218</v>
      </c>
      <c r="E239">
        <v>148.24075317399999</v>
      </c>
      <c r="F239">
        <v>218</v>
      </c>
      <c r="G239">
        <v>125.90511322</v>
      </c>
      <c r="H239">
        <v>218</v>
      </c>
      <c r="I239">
        <v>142.93653869600001</v>
      </c>
      <c r="K239">
        <f t="shared" si="19"/>
        <v>5.3042144779999774</v>
      </c>
      <c r="L239">
        <v>218</v>
      </c>
      <c r="M239">
        <v>248</v>
      </c>
      <c r="N239">
        <v>218</v>
      </c>
      <c r="O239">
        <v>7</v>
      </c>
      <c r="P239">
        <f t="shared" si="17"/>
        <v>102.29606628400001</v>
      </c>
    </row>
    <row r="240" spans="1:16">
      <c r="A240">
        <f t="shared" si="18"/>
        <v>882.81472550657327</v>
      </c>
      <c r="B240">
        <v>219</v>
      </c>
      <c r="C240">
        <v>143.79045105</v>
      </c>
      <c r="D240">
        <v>219</v>
      </c>
      <c r="E240">
        <v>146.98480224599999</v>
      </c>
      <c r="F240">
        <v>219</v>
      </c>
      <c r="G240">
        <v>125.080474854</v>
      </c>
      <c r="H240">
        <v>219</v>
      </c>
      <c r="I240">
        <v>145.36288452100001</v>
      </c>
      <c r="K240">
        <f t="shared" si="19"/>
        <v>1.6219177249999746</v>
      </c>
      <c r="L240">
        <v>219</v>
      </c>
      <c r="M240">
        <v>248</v>
      </c>
      <c r="N240">
        <v>219</v>
      </c>
      <c r="O240">
        <v>7</v>
      </c>
      <c r="P240">
        <f t="shared" si="17"/>
        <v>104.20954895</v>
      </c>
    </row>
    <row r="241" spans="1:16">
      <c r="A241">
        <f t="shared" si="18"/>
        <v>883.74082014358964</v>
      </c>
      <c r="B241">
        <v>220</v>
      </c>
      <c r="C241">
        <v>144.81936645499999</v>
      </c>
      <c r="D241">
        <v>220</v>
      </c>
      <c r="E241">
        <v>148.09333801299999</v>
      </c>
      <c r="F241">
        <v>220</v>
      </c>
      <c r="G241">
        <v>125.26776123</v>
      </c>
      <c r="H241">
        <v>220</v>
      </c>
      <c r="I241">
        <v>143.716262817</v>
      </c>
      <c r="K241">
        <f t="shared" si="19"/>
        <v>4.3770751959999927</v>
      </c>
      <c r="L241">
        <v>220</v>
      </c>
      <c r="M241">
        <v>248</v>
      </c>
      <c r="N241">
        <v>220</v>
      </c>
      <c r="O241">
        <v>7</v>
      </c>
      <c r="P241">
        <f t="shared" si="17"/>
        <v>103.18063354500001</v>
      </c>
    </row>
    <row r="242" spans="1:16">
      <c r="A242">
        <f t="shared" si="18"/>
        <v>884.66691478060602</v>
      </c>
      <c r="B242">
        <v>221</v>
      </c>
      <c r="C242">
        <v>146.76458740199999</v>
      </c>
      <c r="D242">
        <v>221</v>
      </c>
      <c r="E242">
        <v>148.64231872600001</v>
      </c>
      <c r="F242">
        <v>221</v>
      </c>
      <c r="G242">
        <v>125.763534546</v>
      </c>
      <c r="H242">
        <v>221</v>
      </c>
      <c r="I242">
        <v>140.21624755900001</v>
      </c>
      <c r="K242">
        <f t="shared" si="19"/>
        <v>8.4260711670000035</v>
      </c>
      <c r="L242">
        <v>221</v>
      </c>
      <c r="M242">
        <v>248</v>
      </c>
      <c r="N242">
        <v>221</v>
      </c>
      <c r="O242">
        <v>7</v>
      </c>
      <c r="P242">
        <f t="shared" si="17"/>
        <v>101.23541259800001</v>
      </c>
    </row>
    <row r="243" spans="1:16">
      <c r="A243">
        <f t="shared" si="18"/>
        <v>885.59300941762228</v>
      </c>
      <c r="B243">
        <v>222</v>
      </c>
      <c r="C243">
        <v>146.675979614</v>
      </c>
      <c r="D243">
        <v>222</v>
      </c>
      <c r="E243">
        <v>147.53648376500001</v>
      </c>
      <c r="F243">
        <v>222</v>
      </c>
      <c r="G243">
        <v>125.975273132</v>
      </c>
      <c r="H243">
        <v>222</v>
      </c>
      <c r="I243">
        <v>141.28700256299999</v>
      </c>
      <c r="K243">
        <f t="shared" si="19"/>
        <v>6.2494812020000268</v>
      </c>
      <c r="L243">
        <v>222</v>
      </c>
      <c r="M243">
        <v>248</v>
      </c>
      <c r="N243">
        <v>222</v>
      </c>
      <c r="O243">
        <v>7</v>
      </c>
      <c r="P243">
        <f t="shared" si="17"/>
        <v>101.324020386</v>
      </c>
    </row>
    <row r="244" spans="1:16">
      <c r="A244">
        <f t="shared" si="18"/>
        <v>886.51910405463855</v>
      </c>
      <c r="B244">
        <v>223</v>
      </c>
      <c r="C244">
        <v>144.630371094</v>
      </c>
      <c r="D244">
        <v>223</v>
      </c>
      <c r="E244">
        <v>146.69273376500001</v>
      </c>
      <c r="F244">
        <v>223</v>
      </c>
      <c r="G244">
        <v>125.97915649399999</v>
      </c>
      <c r="H244">
        <v>223</v>
      </c>
      <c r="I244">
        <v>143.70814514200001</v>
      </c>
      <c r="K244">
        <f t="shared" si="19"/>
        <v>2.9845886230000076</v>
      </c>
      <c r="L244">
        <v>223</v>
      </c>
      <c r="M244">
        <v>248</v>
      </c>
      <c r="N244">
        <v>223</v>
      </c>
      <c r="O244">
        <v>7</v>
      </c>
      <c r="P244">
        <f t="shared" si="17"/>
        <v>103.369628906</v>
      </c>
    </row>
    <row r="245" spans="1:16">
      <c r="A245">
        <f t="shared" si="18"/>
        <v>887.44519869165492</v>
      </c>
      <c r="B245">
        <v>224</v>
      </c>
      <c r="C245">
        <v>142.92344665499999</v>
      </c>
      <c r="D245">
        <v>224</v>
      </c>
      <c r="E245">
        <v>147.590667725</v>
      </c>
      <c r="F245">
        <v>224</v>
      </c>
      <c r="G245">
        <v>125.22578430199999</v>
      </c>
      <c r="H245">
        <v>224</v>
      </c>
      <c r="I245">
        <v>141.805709839</v>
      </c>
      <c r="K245">
        <f t="shared" si="19"/>
        <v>5.7849578860000008</v>
      </c>
      <c r="L245">
        <v>224</v>
      </c>
      <c r="M245">
        <v>248</v>
      </c>
      <c r="N245">
        <v>224</v>
      </c>
      <c r="O245">
        <v>7</v>
      </c>
      <c r="P245">
        <f t="shared" si="17"/>
        <v>105.07655334500001</v>
      </c>
    </row>
    <row r="246" spans="1:16">
      <c r="A246">
        <f t="shared" si="18"/>
        <v>888.37129332867119</v>
      </c>
      <c r="B246">
        <v>225</v>
      </c>
      <c r="C246">
        <v>141.77861022900001</v>
      </c>
      <c r="D246">
        <v>225</v>
      </c>
      <c r="E246">
        <v>150.86546325699999</v>
      </c>
      <c r="F246">
        <v>225</v>
      </c>
      <c r="G246">
        <v>125.11823272700001</v>
      </c>
      <c r="H246">
        <v>225</v>
      </c>
      <c r="I246">
        <v>137.841552734</v>
      </c>
      <c r="K246">
        <f t="shared" si="19"/>
        <v>13.023910522999984</v>
      </c>
      <c r="L246">
        <v>225</v>
      </c>
      <c r="M246">
        <v>248</v>
      </c>
      <c r="N246">
        <v>225</v>
      </c>
      <c r="O246">
        <v>7</v>
      </c>
      <c r="P246">
        <f t="shared" si="17"/>
        <v>106.22138977099999</v>
      </c>
    </row>
    <row r="247" spans="1:16">
      <c r="A247">
        <f t="shared" si="18"/>
        <v>889.29738796568756</v>
      </c>
      <c r="B247">
        <v>226</v>
      </c>
      <c r="C247">
        <v>142.4737854</v>
      </c>
      <c r="D247">
        <v>226</v>
      </c>
      <c r="E247">
        <v>149.047775269</v>
      </c>
      <c r="F247">
        <v>226</v>
      </c>
      <c r="G247">
        <v>125.373573303</v>
      </c>
      <c r="H247">
        <v>226</v>
      </c>
      <c r="I247">
        <v>138.827590942</v>
      </c>
      <c r="K247">
        <f t="shared" si="19"/>
        <v>10.220184326999998</v>
      </c>
      <c r="L247">
        <v>226</v>
      </c>
      <c r="M247">
        <v>248</v>
      </c>
      <c r="N247">
        <v>226</v>
      </c>
      <c r="O247">
        <v>7</v>
      </c>
      <c r="P247">
        <f t="shared" si="17"/>
        <v>105.5262146</v>
      </c>
    </row>
    <row r="248" spans="1:16">
      <c r="A248">
        <f t="shared" si="18"/>
        <v>890.22348260270383</v>
      </c>
      <c r="B248">
        <v>227</v>
      </c>
      <c r="C248">
        <v>144.79293823200001</v>
      </c>
      <c r="D248">
        <v>227</v>
      </c>
      <c r="E248">
        <v>146.90130615199999</v>
      </c>
      <c r="F248">
        <v>227</v>
      </c>
      <c r="G248">
        <v>125.62890625</v>
      </c>
      <c r="H248">
        <v>227</v>
      </c>
      <c r="I248">
        <v>138.91708374000001</v>
      </c>
      <c r="K248">
        <f t="shared" si="19"/>
        <v>7.9842224119999798</v>
      </c>
      <c r="L248">
        <v>227</v>
      </c>
      <c r="M248">
        <v>248</v>
      </c>
      <c r="N248">
        <v>227</v>
      </c>
      <c r="O248">
        <v>7</v>
      </c>
      <c r="P248">
        <f t="shared" si="17"/>
        <v>103.20706176799999</v>
      </c>
    </row>
    <row r="249" spans="1:16">
      <c r="A249">
        <f t="shared" si="18"/>
        <v>891.1495772397202</v>
      </c>
      <c r="B249">
        <v>228</v>
      </c>
      <c r="C249">
        <v>145.46231079099999</v>
      </c>
      <c r="D249">
        <v>228</v>
      </c>
      <c r="E249">
        <v>151.3046875</v>
      </c>
      <c r="F249">
        <v>228</v>
      </c>
      <c r="G249">
        <v>125.900840759</v>
      </c>
      <c r="H249">
        <v>228</v>
      </c>
      <c r="I249">
        <v>140.371658325</v>
      </c>
      <c r="K249">
        <f t="shared" si="19"/>
        <v>10.933029175000001</v>
      </c>
      <c r="L249">
        <v>228</v>
      </c>
      <c r="M249">
        <v>248</v>
      </c>
      <c r="N249">
        <v>228</v>
      </c>
      <c r="O249">
        <v>7</v>
      </c>
      <c r="P249">
        <f t="shared" si="17"/>
        <v>102.53768920900001</v>
      </c>
    </row>
    <row r="250" spans="1:16">
      <c r="A250">
        <f t="shared" si="18"/>
        <v>892.07567187673646</v>
      </c>
      <c r="B250">
        <v>229</v>
      </c>
      <c r="C250">
        <v>143.832199097</v>
      </c>
      <c r="D250">
        <v>229</v>
      </c>
      <c r="E250">
        <v>148.39027404800001</v>
      </c>
      <c r="F250">
        <v>229</v>
      </c>
      <c r="G250">
        <v>125.624961853</v>
      </c>
      <c r="H250">
        <v>229</v>
      </c>
      <c r="I250">
        <v>142.61399841299999</v>
      </c>
      <c r="K250">
        <f t="shared" si="19"/>
        <v>5.7762756350000188</v>
      </c>
      <c r="L250">
        <v>229</v>
      </c>
      <c r="M250">
        <v>248</v>
      </c>
      <c r="N250">
        <v>229</v>
      </c>
      <c r="O250">
        <v>7</v>
      </c>
      <c r="P250">
        <f t="shared" si="17"/>
        <v>104.167800903</v>
      </c>
    </row>
    <row r="251" spans="1:16">
      <c r="A251">
        <f t="shared" si="18"/>
        <v>893.00176651375284</v>
      </c>
      <c r="B251">
        <v>230</v>
      </c>
      <c r="C251">
        <v>143.64653015100001</v>
      </c>
      <c r="D251">
        <v>230</v>
      </c>
      <c r="E251">
        <v>145.94247436500001</v>
      </c>
      <c r="F251">
        <v>230</v>
      </c>
      <c r="G251">
        <v>125.48733520499999</v>
      </c>
      <c r="H251">
        <v>230</v>
      </c>
      <c r="I251">
        <v>143.43138122600001</v>
      </c>
      <c r="K251">
        <f t="shared" si="19"/>
        <v>2.5110931389999962</v>
      </c>
      <c r="L251">
        <v>230</v>
      </c>
      <c r="M251">
        <v>248</v>
      </c>
      <c r="N251">
        <v>230</v>
      </c>
      <c r="O251">
        <v>7</v>
      </c>
      <c r="P251">
        <f t="shared" si="17"/>
        <v>104.35346984899999</v>
      </c>
    </row>
    <row r="252" spans="1:16">
      <c r="A252">
        <f t="shared" si="18"/>
        <v>893.9278611507691</v>
      </c>
      <c r="B252">
        <v>231</v>
      </c>
      <c r="C252">
        <v>142.77188110399999</v>
      </c>
      <c r="D252">
        <v>231</v>
      </c>
      <c r="E252">
        <v>148.05906677199999</v>
      </c>
      <c r="F252">
        <v>231</v>
      </c>
      <c r="G252">
        <v>125.915260315</v>
      </c>
      <c r="H252">
        <v>231</v>
      </c>
      <c r="I252">
        <v>143.59617614699999</v>
      </c>
      <c r="K252">
        <f t="shared" si="19"/>
        <v>4.462890625</v>
      </c>
      <c r="L252">
        <v>231</v>
      </c>
      <c r="M252">
        <v>248</v>
      </c>
      <c r="N252">
        <v>231</v>
      </c>
      <c r="O252">
        <v>7</v>
      </c>
      <c r="P252">
        <f t="shared" si="17"/>
        <v>105.22811889600001</v>
      </c>
    </row>
    <row r="253" spans="1:16">
      <c r="A253">
        <f t="shared" si="18"/>
        <v>894.85395578778548</v>
      </c>
      <c r="B253">
        <v>232</v>
      </c>
      <c r="C253">
        <v>140.63021850600001</v>
      </c>
      <c r="D253">
        <v>232</v>
      </c>
      <c r="E253">
        <v>148.32850647000001</v>
      </c>
      <c r="F253">
        <v>232</v>
      </c>
      <c r="G253">
        <v>125.90561676</v>
      </c>
      <c r="H253">
        <v>232</v>
      </c>
      <c r="I253">
        <v>141.40065002399999</v>
      </c>
      <c r="K253">
        <f t="shared" si="19"/>
        <v>6.9278564460000212</v>
      </c>
      <c r="L253">
        <v>232</v>
      </c>
      <c r="M253">
        <v>248</v>
      </c>
      <c r="N253">
        <v>232</v>
      </c>
      <c r="O253">
        <v>7</v>
      </c>
      <c r="P253">
        <f t="shared" si="17"/>
        <v>107.36978149399999</v>
      </c>
    </row>
    <row r="254" spans="1:16">
      <c r="A254">
        <f t="shared" si="18"/>
        <v>895.78005042480174</v>
      </c>
      <c r="B254">
        <v>233</v>
      </c>
      <c r="C254">
        <v>139.19052124000001</v>
      </c>
      <c r="D254">
        <v>233</v>
      </c>
      <c r="E254">
        <v>146.31178283700001</v>
      </c>
      <c r="F254">
        <v>233</v>
      </c>
      <c r="G254">
        <v>126.006996155</v>
      </c>
      <c r="H254">
        <v>233</v>
      </c>
      <c r="I254">
        <v>140.44023132300001</v>
      </c>
      <c r="K254">
        <f t="shared" si="19"/>
        <v>5.8715515140000036</v>
      </c>
      <c r="L254">
        <v>233</v>
      </c>
      <c r="M254">
        <v>248</v>
      </c>
      <c r="N254">
        <v>233</v>
      </c>
      <c r="O254">
        <v>7</v>
      </c>
      <c r="P254">
        <f t="shared" si="17"/>
        <v>108.80947875999999</v>
      </c>
    </row>
    <row r="255" spans="1:16">
      <c r="A255">
        <f t="shared" si="18"/>
        <v>896.70614506181801</v>
      </c>
      <c r="B255">
        <v>234</v>
      </c>
      <c r="C255">
        <v>141.36529540999999</v>
      </c>
      <c r="D255">
        <v>234</v>
      </c>
      <c r="E255">
        <v>147.24673461899999</v>
      </c>
      <c r="F255">
        <v>234</v>
      </c>
      <c r="G255">
        <v>126.297569275</v>
      </c>
      <c r="H255">
        <v>234</v>
      </c>
      <c r="I255">
        <v>140.00624084500001</v>
      </c>
      <c r="K255">
        <f t="shared" si="19"/>
        <v>7.2404937739999866</v>
      </c>
      <c r="L255">
        <v>234</v>
      </c>
      <c r="M255">
        <v>248</v>
      </c>
      <c r="N255">
        <v>234</v>
      </c>
      <c r="O255">
        <v>7</v>
      </c>
      <c r="P255">
        <f t="shared" si="17"/>
        <v>106.63470459000001</v>
      </c>
    </row>
    <row r="256" spans="1:16">
      <c r="A256">
        <f t="shared" si="18"/>
        <v>897.63223969883438</v>
      </c>
      <c r="B256">
        <v>235</v>
      </c>
      <c r="C256">
        <v>141.03936767600001</v>
      </c>
      <c r="D256">
        <v>235</v>
      </c>
      <c r="E256">
        <v>146.901977539</v>
      </c>
      <c r="F256">
        <v>235</v>
      </c>
      <c r="G256">
        <v>127.32939910899999</v>
      </c>
      <c r="H256">
        <v>235</v>
      </c>
      <c r="I256">
        <v>141.03175354000001</v>
      </c>
      <c r="K256">
        <f t="shared" si="19"/>
        <v>5.8702239989999896</v>
      </c>
      <c r="L256">
        <v>235</v>
      </c>
      <c r="M256">
        <v>248</v>
      </c>
      <c r="N256">
        <v>235</v>
      </c>
      <c r="O256">
        <v>7</v>
      </c>
      <c r="P256">
        <f t="shared" si="17"/>
        <v>106.96063232399999</v>
      </c>
    </row>
    <row r="257" spans="1:16">
      <c r="A257">
        <f t="shared" si="18"/>
        <v>898.55833433585076</v>
      </c>
      <c r="B257">
        <v>236</v>
      </c>
      <c r="C257">
        <v>141.82102966299999</v>
      </c>
      <c r="D257">
        <v>236</v>
      </c>
      <c r="E257">
        <v>144.50070190400001</v>
      </c>
      <c r="F257">
        <v>236</v>
      </c>
      <c r="G257">
        <v>127.463485718</v>
      </c>
      <c r="H257">
        <v>236</v>
      </c>
      <c r="I257">
        <v>139.049026489</v>
      </c>
      <c r="K257">
        <f t="shared" si="19"/>
        <v>5.4516754150000111</v>
      </c>
      <c r="L257">
        <v>236</v>
      </c>
      <c r="M257">
        <v>248</v>
      </c>
      <c r="N257">
        <v>236</v>
      </c>
      <c r="O257">
        <v>7</v>
      </c>
      <c r="P257">
        <f t="shared" si="17"/>
        <v>106.17897033700001</v>
      </c>
    </row>
    <row r="258" spans="1:16">
      <c r="A258">
        <f t="shared" si="18"/>
        <v>899.48442897286702</v>
      </c>
      <c r="B258">
        <v>237</v>
      </c>
      <c r="C258">
        <v>143.17002868700001</v>
      </c>
      <c r="D258">
        <v>237</v>
      </c>
      <c r="E258">
        <v>145.771392822</v>
      </c>
      <c r="F258">
        <v>237</v>
      </c>
      <c r="G258">
        <v>127.59115600600001</v>
      </c>
      <c r="H258">
        <v>237</v>
      </c>
      <c r="I258">
        <v>138.74093627900001</v>
      </c>
      <c r="K258">
        <f t="shared" si="19"/>
        <v>7.0304565429999855</v>
      </c>
      <c r="L258">
        <v>237</v>
      </c>
      <c r="M258">
        <v>248</v>
      </c>
      <c r="N258">
        <v>237</v>
      </c>
      <c r="O258">
        <v>7</v>
      </c>
      <c r="P258">
        <f t="shared" si="17"/>
        <v>104.82997131299999</v>
      </c>
    </row>
    <row r="259" spans="1:16">
      <c r="A259">
        <f t="shared" si="18"/>
        <v>900.41052360988328</v>
      </c>
      <c r="B259">
        <v>238</v>
      </c>
      <c r="C259">
        <v>143.23713684099999</v>
      </c>
      <c r="D259">
        <v>238</v>
      </c>
      <c r="E259">
        <v>146.28102111800001</v>
      </c>
      <c r="F259">
        <v>238</v>
      </c>
      <c r="G259">
        <v>127.662002563</v>
      </c>
      <c r="H259">
        <v>238</v>
      </c>
      <c r="I259">
        <v>138.666671753</v>
      </c>
      <c r="K259">
        <f t="shared" si="19"/>
        <v>7.6143493650000096</v>
      </c>
      <c r="L259">
        <v>238</v>
      </c>
      <c r="M259">
        <v>248</v>
      </c>
      <c r="N259">
        <v>238</v>
      </c>
      <c r="O259">
        <v>7</v>
      </c>
      <c r="P259">
        <f t="shared" si="17"/>
        <v>104.76286315900001</v>
      </c>
    </row>
    <row r="260" spans="1:16">
      <c r="A260">
        <f t="shared" si="18"/>
        <v>901.33661824689966</v>
      </c>
      <c r="B260">
        <v>239</v>
      </c>
      <c r="C260">
        <v>142.597946167</v>
      </c>
      <c r="D260">
        <v>239</v>
      </c>
      <c r="E260">
        <v>142.09657287600001</v>
      </c>
      <c r="F260">
        <v>239</v>
      </c>
      <c r="G260">
        <v>127.66666412399999</v>
      </c>
      <c r="H260">
        <v>239</v>
      </c>
      <c r="I260">
        <v>138.09254455600001</v>
      </c>
      <c r="K260">
        <f t="shared" si="19"/>
        <v>4.0040283200000033</v>
      </c>
      <c r="L260">
        <v>239</v>
      </c>
      <c r="M260">
        <v>248</v>
      </c>
      <c r="N260">
        <v>239</v>
      </c>
      <c r="O260">
        <v>7</v>
      </c>
      <c r="P260">
        <f t="shared" si="17"/>
        <v>105.402053833</v>
      </c>
    </row>
    <row r="261" spans="1:16">
      <c r="A261">
        <f t="shared" si="18"/>
        <v>902.26271288391604</v>
      </c>
      <c r="B261">
        <v>240</v>
      </c>
      <c r="C261">
        <v>142.01986694300001</v>
      </c>
      <c r="D261">
        <v>240</v>
      </c>
      <c r="E261">
        <v>146.679153442</v>
      </c>
      <c r="F261">
        <v>240</v>
      </c>
      <c r="G261">
        <v>127.66666412399999</v>
      </c>
      <c r="H261">
        <v>240</v>
      </c>
      <c r="I261">
        <v>137.16494750999999</v>
      </c>
      <c r="K261">
        <f t="shared" si="19"/>
        <v>9.5142059320000101</v>
      </c>
      <c r="L261">
        <v>240</v>
      </c>
      <c r="M261">
        <v>248</v>
      </c>
      <c r="N261">
        <v>240</v>
      </c>
      <c r="O261">
        <v>7</v>
      </c>
      <c r="P261">
        <f t="shared" si="17"/>
        <v>105.98013305699999</v>
      </c>
    </row>
    <row r="262" spans="1:16">
      <c r="A262">
        <f t="shared" si="18"/>
        <v>903.1888075209323</v>
      </c>
      <c r="B262">
        <v>241</v>
      </c>
      <c r="C262">
        <v>145.25527954099999</v>
      </c>
      <c r="D262">
        <v>241</v>
      </c>
      <c r="E262">
        <v>151.22767639200001</v>
      </c>
      <c r="F262">
        <v>241</v>
      </c>
      <c r="G262">
        <v>127.768501282</v>
      </c>
      <c r="H262">
        <v>241</v>
      </c>
      <c r="I262">
        <v>138.16119384800001</v>
      </c>
      <c r="K262">
        <f t="shared" si="19"/>
        <v>13.066482543999996</v>
      </c>
      <c r="L262">
        <v>241</v>
      </c>
      <c r="M262">
        <v>248</v>
      </c>
      <c r="N262">
        <v>241</v>
      </c>
      <c r="O262">
        <v>7</v>
      </c>
      <c r="P262">
        <f t="shared" si="17"/>
        <v>102.74472045900001</v>
      </c>
    </row>
    <row r="263" spans="1:16">
      <c r="A263">
        <f t="shared" si="18"/>
        <v>904.11490215794856</v>
      </c>
      <c r="B263">
        <v>242</v>
      </c>
      <c r="C263">
        <v>144.10017395</v>
      </c>
      <c r="D263">
        <v>242</v>
      </c>
      <c r="E263">
        <v>147.18867492699999</v>
      </c>
      <c r="F263">
        <v>242</v>
      </c>
      <c r="G263">
        <v>127.402313232</v>
      </c>
      <c r="H263">
        <v>242</v>
      </c>
      <c r="I263">
        <v>138.58122253400001</v>
      </c>
      <c r="K263">
        <f t="shared" si="19"/>
        <v>8.6074523929999884</v>
      </c>
      <c r="L263">
        <v>242</v>
      </c>
      <c r="M263">
        <v>247.80113220199999</v>
      </c>
      <c r="N263">
        <v>242</v>
      </c>
      <c r="O263">
        <v>7.4176297189999998</v>
      </c>
      <c r="P263">
        <f t="shared" si="17"/>
        <v>103.70095825199999</v>
      </c>
    </row>
    <row r="264" spans="1:16">
      <c r="A264">
        <f t="shared" si="18"/>
        <v>905.04099679496494</v>
      </c>
      <c r="B264">
        <v>243</v>
      </c>
      <c r="C264">
        <v>139.90330505399999</v>
      </c>
      <c r="D264">
        <v>243</v>
      </c>
      <c r="E264">
        <v>145.896942139</v>
      </c>
      <c r="F264">
        <v>243</v>
      </c>
      <c r="G264">
        <v>126.762046814</v>
      </c>
      <c r="H264">
        <v>243</v>
      </c>
      <c r="I264">
        <v>140.02696227999999</v>
      </c>
      <c r="K264">
        <f t="shared" si="19"/>
        <v>5.8699798590000114</v>
      </c>
      <c r="L264">
        <v>243</v>
      </c>
      <c r="M264">
        <v>247.136428833</v>
      </c>
      <c r="N264">
        <v>243</v>
      </c>
      <c r="O264">
        <v>8</v>
      </c>
      <c r="P264">
        <f t="shared" si="17"/>
        <v>107.23312377900001</v>
      </c>
    </row>
    <row r="265" spans="1:16">
      <c r="A265">
        <f t="shared" si="18"/>
        <v>905.9670914319812</v>
      </c>
      <c r="B265">
        <v>244</v>
      </c>
      <c r="C265">
        <v>140.00184631299999</v>
      </c>
      <c r="D265">
        <v>244</v>
      </c>
      <c r="E265">
        <v>149.87954711899999</v>
      </c>
      <c r="F265">
        <v>244</v>
      </c>
      <c r="G265">
        <v>127.27272796600001</v>
      </c>
      <c r="H265">
        <v>244</v>
      </c>
      <c r="I265">
        <v>139.50238037099999</v>
      </c>
      <c r="K265">
        <f t="shared" si="19"/>
        <v>10.377166748000008</v>
      </c>
      <c r="L265">
        <v>244</v>
      </c>
      <c r="M265">
        <v>247</v>
      </c>
      <c r="N265">
        <v>244</v>
      </c>
      <c r="O265">
        <v>8</v>
      </c>
      <c r="P265">
        <f t="shared" si="17"/>
        <v>106.99815368700001</v>
      </c>
    </row>
    <row r="266" spans="1:16">
      <c r="A266">
        <f t="shared" si="18"/>
        <v>906.89318606899758</v>
      </c>
      <c r="B266">
        <v>245</v>
      </c>
      <c r="C266">
        <v>142.73825073200001</v>
      </c>
      <c r="D266">
        <v>245</v>
      </c>
      <c r="E266">
        <v>151.487182617</v>
      </c>
      <c r="F266">
        <v>245</v>
      </c>
      <c r="G266">
        <v>127.783409119</v>
      </c>
      <c r="H266">
        <v>245</v>
      </c>
      <c r="I266">
        <v>139.333740234</v>
      </c>
      <c r="K266">
        <f t="shared" si="19"/>
        <v>12.153442382999998</v>
      </c>
      <c r="L266">
        <v>245</v>
      </c>
      <c r="M266">
        <v>247</v>
      </c>
      <c r="N266">
        <v>245</v>
      </c>
      <c r="O266">
        <v>8</v>
      </c>
      <c r="P266">
        <f t="shared" si="17"/>
        <v>104.26174926799999</v>
      </c>
    </row>
    <row r="267" spans="1:16">
      <c r="A267">
        <f t="shared" si="18"/>
        <v>907.81928070601384</v>
      </c>
      <c r="B267">
        <v>246</v>
      </c>
      <c r="C267">
        <v>143.54238891599999</v>
      </c>
      <c r="D267">
        <v>246</v>
      </c>
      <c r="E267">
        <v>150.21067810100001</v>
      </c>
      <c r="F267">
        <v>246</v>
      </c>
      <c r="G267">
        <v>127.705909729</v>
      </c>
      <c r="H267">
        <v>246</v>
      </c>
      <c r="I267">
        <v>141.85012817399999</v>
      </c>
      <c r="K267">
        <f t="shared" si="19"/>
        <v>8.3605499270000223</v>
      </c>
      <c r="L267">
        <v>246</v>
      </c>
      <c r="M267">
        <v>247</v>
      </c>
      <c r="N267">
        <v>246</v>
      </c>
      <c r="O267">
        <v>8</v>
      </c>
      <c r="P267">
        <f t="shared" si="17"/>
        <v>103.45761108400001</v>
      </c>
    </row>
    <row r="268" spans="1:16">
      <c r="A268">
        <f t="shared" si="18"/>
        <v>908.74537534303022</v>
      </c>
      <c r="B268">
        <v>247</v>
      </c>
      <c r="C268">
        <v>143.482620239</v>
      </c>
      <c r="D268">
        <v>247</v>
      </c>
      <c r="E268">
        <v>149.02740478499999</v>
      </c>
      <c r="F268">
        <v>247</v>
      </c>
      <c r="G268">
        <v>127.19522857699999</v>
      </c>
      <c r="H268">
        <v>247</v>
      </c>
      <c r="I268">
        <v>140.07147216800001</v>
      </c>
      <c r="K268">
        <f t="shared" si="19"/>
        <v>8.9559326169999736</v>
      </c>
      <c r="L268">
        <v>247</v>
      </c>
      <c r="M268">
        <v>247</v>
      </c>
      <c r="N268">
        <v>247</v>
      </c>
      <c r="O268">
        <v>8</v>
      </c>
      <c r="P268">
        <f t="shared" si="17"/>
        <v>103.517379761</v>
      </c>
    </row>
    <row r="269" spans="1:16">
      <c r="A269">
        <f t="shared" si="18"/>
        <v>909.67146998004648</v>
      </c>
      <c r="B269">
        <v>248</v>
      </c>
      <c r="C269">
        <v>141.49362182600001</v>
      </c>
      <c r="D269">
        <v>248</v>
      </c>
      <c r="E269">
        <v>150.68914794899999</v>
      </c>
      <c r="F269">
        <v>248</v>
      </c>
      <c r="G269">
        <v>126.684547424</v>
      </c>
      <c r="H269">
        <v>248</v>
      </c>
      <c r="I269">
        <v>142.773147583</v>
      </c>
      <c r="K269">
        <f t="shared" si="19"/>
        <v>7.9160003659999916</v>
      </c>
      <c r="L269">
        <v>248</v>
      </c>
      <c r="M269">
        <v>247</v>
      </c>
      <c r="N269">
        <v>248</v>
      </c>
      <c r="O269">
        <v>8</v>
      </c>
      <c r="P269">
        <f t="shared" si="17"/>
        <v>105.50637817399999</v>
      </c>
    </row>
    <row r="270" spans="1:16">
      <c r="A270">
        <f t="shared" si="18"/>
        <v>910.59756461706286</v>
      </c>
      <c r="B270">
        <v>249</v>
      </c>
      <c r="C270">
        <v>141.26693725600001</v>
      </c>
      <c r="D270">
        <v>249</v>
      </c>
      <c r="E270">
        <v>151.366653442</v>
      </c>
      <c r="F270">
        <v>249</v>
      </c>
      <c r="G270">
        <v>127.28266143800001</v>
      </c>
      <c r="H270">
        <v>249</v>
      </c>
      <c r="I270">
        <v>143.948776245</v>
      </c>
      <c r="K270">
        <f t="shared" si="19"/>
        <v>7.4178771969999957</v>
      </c>
      <c r="L270">
        <v>249</v>
      </c>
      <c r="M270">
        <v>247</v>
      </c>
      <c r="N270">
        <v>249</v>
      </c>
      <c r="O270">
        <v>8</v>
      </c>
      <c r="P270">
        <f t="shared" si="17"/>
        <v>105.73306274399999</v>
      </c>
    </row>
    <row r="271" spans="1:16">
      <c r="A271">
        <f t="shared" si="18"/>
        <v>911.52365925407912</v>
      </c>
      <c r="B271">
        <v>250</v>
      </c>
      <c r="C271">
        <v>143.39202880900001</v>
      </c>
      <c r="D271">
        <v>250</v>
      </c>
      <c r="E271">
        <v>148.48127746599999</v>
      </c>
      <c r="F271">
        <v>250</v>
      </c>
      <c r="G271">
        <v>127.921005249</v>
      </c>
      <c r="H271">
        <v>250</v>
      </c>
      <c r="I271">
        <v>141.154129028</v>
      </c>
      <c r="K271">
        <f t="shared" si="19"/>
        <v>7.3271484379999947</v>
      </c>
      <c r="L271">
        <v>250</v>
      </c>
      <c r="M271">
        <v>247</v>
      </c>
      <c r="N271">
        <v>250</v>
      </c>
      <c r="O271">
        <v>8</v>
      </c>
      <c r="P271">
        <f t="shared" si="17"/>
        <v>103.60797119099999</v>
      </c>
    </row>
    <row r="272" spans="1:16">
      <c r="A272">
        <f t="shared" si="18"/>
        <v>912.4497538910955</v>
      </c>
      <c r="B272">
        <v>251</v>
      </c>
      <c r="C272">
        <v>141.85533142099999</v>
      </c>
      <c r="D272">
        <v>251</v>
      </c>
      <c r="E272">
        <v>148.36843872099999</v>
      </c>
      <c r="F272">
        <v>251</v>
      </c>
      <c r="G272">
        <v>128.47055053700001</v>
      </c>
      <c r="H272">
        <v>251</v>
      </c>
      <c r="I272">
        <v>140.80589294399999</v>
      </c>
      <c r="K272">
        <f t="shared" si="19"/>
        <v>7.5625457769999969</v>
      </c>
      <c r="L272">
        <v>251</v>
      </c>
      <c r="M272">
        <v>247</v>
      </c>
      <c r="N272">
        <v>251</v>
      </c>
      <c r="O272">
        <v>8</v>
      </c>
      <c r="P272">
        <f t="shared" si="17"/>
        <v>105.14466857900001</v>
      </c>
    </row>
    <row r="273" spans="1:16">
      <c r="A273">
        <f t="shared" si="18"/>
        <v>913.37584852811176</v>
      </c>
      <c r="B273">
        <v>252</v>
      </c>
      <c r="C273">
        <v>142.12088012699999</v>
      </c>
      <c r="D273">
        <v>252</v>
      </c>
      <c r="E273">
        <v>151.38296508799999</v>
      </c>
      <c r="F273">
        <v>252</v>
      </c>
      <c r="G273">
        <v>127.70655059800001</v>
      </c>
      <c r="H273">
        <v>252</v>
      </c>
      <c r="I273">
        <v>142.09495544399999</v>
      </c>
      <c r="K273">
        <f t="shared" si="19"/>
        <v>9.2880096439999988</v>
      </c>
      <c r="L273">
        <v>252</v>
      </c>
      <c r="M273">
        <v>247</v>
      </c>
      <c r="N273">
        <v>252</v>
      </c>
      <c r="O273">
        <v>8</v>
      </c>
      <c r="P273">
        <f t="shared" si="17"/>
        <v>104.87911987300001</v>
      </c>
    </row>
    <row r="274" spans="1:16">
      <c r="A274">
        <f t="shared" si="18"/>
        <v>914.30194316512802</v>
      </c>
      <c r="B274">
        <v>253</v>
      </c>
      <c r="C274">
        <v>144.26565551799999</v>
      </c>
      <c r="D274">
        <v>253</v>
      </c>
      <c r="E274">
        <v>151.652709961</v>
      </c>
      <c r="F274">
        <v>253</v>
      </c>
      <c r="G274">
        <v>124.713691711</v>
      </c>
      <c r="H274">
        <v>253</v>
      </c>
      <c r="I274">
        <v>140.58152770999999</v>
      </c>
      <c r="K274">
        <f t="shared" si="19"/>
        <v>11.07118225100001</v>
      </c>
      <c r="L274">
        <v>253</v>
      </c>
      <c r="M274">
        <v>247</v>
      </c>
      <c r="N274">
        <v>253</v>
      </c>
      <c r="O274">
        <v>8</v>
      </c>
      <c r="P274">
        <f t="shared" si="17"/>
        <v>102.73434448200001</v>
      </c>
    </row>
    <row r="275" spans="1:16">
      <c r="A275">
        <f t="shared" si="18"/>
        <v>915.2280378021444</v>
      </c>
      <c r="B275">
        <v>254</v>
      </c>
      <c r="C275">
        <v>142.78565979000001</v>
      </c>
      <c r="D275">
        <v>254</v>
      </c>
      <c r="E275">
        <v>149.78228759800001</v>
      </c>
      <c r="F275">
        <v>254</v>
      </c>
      <c r="G275">
        <v>125.89374542199999</v>
      </c>
      <c r="H275">
        <v>254</v>
      </c>
      <c r="I275">
        <v>134.917510986</v>
      </c>
      <c r="K275">
        <f t="shared" si="19"/>
        <v>14.864776612000014</v>
      </c>
      <c r="L275">
        <v>254</v>
      </c>
      <c r="M275">
        <v>247</v>
      </c>
      <c r="N275">
        <v>254</v>
      </c>
      <c r="O275">
        <v>8</v>
      </c>
      <c r="P275">
        <f t="shared" si="17"/>
        <v>104.21434020999999</v>
      </c>
    </row>
    <row r="276" spans="1:16">
      <c r="A276">
        <f t="shared" si="18"/>
        <v>916.15413243916078</v>
      </c>
      <c r="B276">
        <v>255</v>
      </c>
      <c r="C276">
        <v>142.799850464</v>
      </c>
      <c r="D276">
        <v>255</v>
      </c>
      <c r="E276">
        <v>146.88438415499999</v>
      </c>
      <c r="F276">
        <v>255</v>
      </c>
      <c r="G276">
        <v>128.32078552199999</v>
      </c>
      <c r="H276">
        <v>255</v>
      </c>
      <c r="I276">
        <v>133.8125</v>
      </c>
      <c r="K276">
        <f t="shared" si="19"/>
        <v>13.071884154999992</v>
      </c>
      <c r="L276">
        <v>255</v>
      </c>
      <c r="M276">
        <v>247</v>
      </c>
      <c r="N276">
        <v>255</v>
      </c>
      <c r="O276">
        <v>8</v>
      </c>
      <c r="P276">
        <f t="shared" si="17"/>
        <v>104.200149536</v>
      </c>
    </row>
    <row r="277" spans="1:16">
      <c r="A277">
        <f t="shared" si="18"/>
        <v>917.08022707617704</v>
      </c>
      <c r="B277">
        <v>256</v>
      </c>
      <c r="C277">
        <v>145.318725586</v>
      </c>
      <c r="D277">
        <v>256</v>
      </c>
      <c r="E277">
        <v>144.074951172</v>
      </c>
      <c r="F277">
        <v>256</v>
      </c>
      <c r="G277">
        <v>127.72544860799999</v>
      </c>
      <c r="H277">
        <v>256</v>
      </c>
      <c r="I277">
        <v>137.550857544</v>
      </c>
      <c r="K277">
        <f t="shared" si="19"/>
        <v>6.5240936280000028</v>
      </c>
      <c r="L277">
        <v>256</v>
      </c>
      <c r="M277">
        <v>247</v>
      </c>
      <c r="N277">
        <v>256</v>
      </c>
      <c r="O277">
        <v>8</v>
      </c>
      <c r="P277">
        <f t="shared" ref="P277:P340" si="20">M277-C277</f>
        <v>101.681274414</v>
      </c>
    </row>
    <row r="278" spans="1:16">
      <c r="A278">
        <f t="shared" ref="A278:A341" si="21">680 +B278*COS(ABS($J$8)*PI()/180)</f>
        <v>918.0063217131933</v>
      </c>
      <c r="B278">
        <v>257</v>
      </c>
      <c r="C278">
        <v>148.518630981</v>
      </c>
      <c r="D278">
        <v>257</v>
      </c>
      <c r="E278">
        <v>142.948394775</v>
      </c>
      <c r="F278">
        <v>257</v>
      </c>
      <c r="G278">
        <v>125.860244751</v>
      </c>
      <c r="H278">
        <v>257</v>
      </c>
      <c r="I278">
        <v>138.12049865700001</v>
      </c>
      <c r="K278">
        <f t="shared" ref="K278:K341" si="22">E278-I278</f>
        <v>4.827896117999984</v>
      </c>
      <c r="L278">
        <v>257</v>
      </c>
      <c r="M278">
        <v>247</v>
      </c>
      <c r="N278">
        <v>257</v>
      </c>
      <c r="O278">
        <v>8</v>
      </c>
      <c r="P278">
        <f t="shared" si="20"/>
        <v>98.481369018999999</v>
      </c>
    </row>
    <row r="279" spans="1:16">
      <c r="A279">
        <f t="shared" si="21"/>
        <v>918.93241635020968</v>
      </c>
      <c r="B279">
        <v>258</v>
      </c>
      <c r="C279">
        <v>145.43988037099999</v>
      </c>
      <c r="D279">
        <v>258</v>
      </c>
      <c r="E279">
        <v>146.23016357399999</v>
      </c>
      <c r="F279">
        <v>258</v>
      </c>
      <c r="G279">
        <v>126.872131348</v>
      </c>
      <c r="H279">
        <v>258</v>
      </c>
      <c r="I279">
        <v>137.67955017099999</v>
      </c>
      <c r="K279">
        <f t="shared" si="22"/>
        <v>8.5506134029999998</v>
      </c>
      <c r="L279">
        <v>258</v>
      </c>
      <c r="M279">
        <v>247</v>
      </c>
      <c r="N279">
        <v>258</v>
      </c>
      <c r="O279">
        <v>8</v>
      </c>
      <c r="P279">
        <f t="shared" si="20"/>
        <v>101.56011962900001</v>
      </c>
    </row>
    <row r="280" spans="1:16">
      <c r="A280">
        <f t="shared" si="21"/>
        <v>919.85851098722605</v>
      </c>
      <c r="B280">
        <v>259</v>
      </c>
      <c r="C280">
        <v>143.58161926299999</v>
      </c>
      <c r="D280">
        <v>259</v>
      </c>
      <c r="E280">
        <v>148.58134460400001</v>
      </c>
      <c r="F280">
        <v>259</v>
      </c>
      <c r="G280">
        <v>128.56169128400001</v>
      </c>
      <c r="H280">
        <v>259</v>
      </c>
      <c r="I280">
        <v>139.498535156</v>
      </c>
      <c r="K280">
        <f t="shared" si="22"/>
        <v>9.0828094480000061</v>
      </c>
      <c r="L280">
        <v>259</v>
      </c>
      <c r="M280">
        <v>247</v>
      </c>
      <c r="N280">
        <v>259</v>
      </c>
      <c r="O280">
        <v>8</v>
      </c>
      <c r="P280">
        <f t="shared" si="20"/>
        <v>103.41838073700001</v>
      </c>
    </row>
    <row r="281" spans="1:16">
      <c r="A281">
        <f t="shared" si="21"/>
        <v>920.78460562424232</v>
      </c>
      <c r="B281">
        <v>260</v>
      </c>
      <c r="C281">
        <v>143.737258911</v>
      </c>
      <c r="D281">
        <v>260</v>
      </c>
      <c r="E281">
        <v>148.47158813499999</v>
      </c>
      <c r="F281">
        <v>260</v>
      </c>
      <c r="G281">
        <v>126.860900879</v>
      </c>
      <c r="H281">
        <v>260</v>
      </c>
      <c r="I281">
        <v>138.557098389</v>
      </c>
      <c r="K281">
        <f t="shared" si="22"/>
        <v>9.9144897459999868</v>
      </c>
      <c r="L281">
        <v>260</v>
      </c>
      <c r="M281">
        <v>247</v>
      </c>
      <c r="N281">
        <v>260</v>
      </c>
      <c r="O281">
        <v>8</v>
      </c>
      <c r="P281">
        <f t="shared" si="20"/>
        <v>103.262741089</v>
      </c>
    </row>
    <row r="282" spans="1:16">
      <c r="A282">
        <f t="shared" si="21"/>
        <v>921.71070026125858</v>
      </c>
      <c r="B282">
        <v>261</v>
      </c>
      <c r="C282">
        <v>141.76963806200001</v>
      </c>
      <c r="D282">
        <v>261</v>
      </c>
      <c r="E282">
        <v>145.06637573200001</v>
      </c>
      <c r="F282">
        <v>261</v>
      </c>
      <c r="G282">
        <v>126.988571167</v>
      </c>
      <c r="H282">
        <v>261</v>
      </c>
      <c r="I282">
        <v>137.55764770499999</v>
      </c>
      <c r="K282">
        <f t="shared" si="22"/>
        <v>7.5087280270000178</v>
      </c>
      <c r="L282">
        <v>261</v>
      </c>
      <c r="M282">
        <v>247</v>
      </c>
      <c r="N282">
        <v>261</v>
      </c>
      <c r="O282">
        <v>8</v>
      </c>
      <c r="P282">
        <f t="shared" si="20"/>
        <v>105.23036193799999</v>
      </c>
    </row>
    <row r="283" spans="1:16">
      <c r="A283">
        <f t="shared" si="21"/>
        <v>922.63679489827496</v>
      </c>
      <c r="B283">
        <v>262</v>
      </c>
      <c r="C283">
        <v>141.77803039599999</v>
      </c>
      <c r="D283">
        <v>262</v>
      </c>
      <c r="E283">
        <v>141.63153076200001</v>
      </c>
      <c r="F283">
        <v>262</v>
      </c>
      <c r="G283">
        <v>126.883750916</v>
      </c>
      <c r="H283">
        <v>262</v>
      </c>
      <c r="I283">
        <v>136.83738708499999</v>
      </c>
      <c r="K283">
        <f t="shared" si="22"/>
        <v>4.7941436770000223</v>
      </c>
      <c r="L283">
        <v>262</v>
      </c>
      <c r="M283">
        <v>247</v>
      </c>
      <c r="N283">
        <v>262</v>
      </c>
      <c r="O283">
        <v>8</v>
      </c>
      <c r="P283">
        <f t="shared" si="20"/>
        <v>105.22196960400001</v>
      </c>
    </row>
    <row r="284" spans="1:16">
      <c r="A284">
        <f t="shared" si="21"/>
        <v>923.56288953529122</v>
      </c>
      <c r="B284">
        <v>263</v>
      </c>
      <c r="C284">
        <v>142.260955811</v>
      </c>
      <c r="D284">
        <v>263</v>
      </c>
      <c r="E284">
        <v>145.58543395999999</v>
      </c>
      <c r="F284">
        <v>263</v>
      </c>
      <c r="G284">
        <v>126.759559631</v>
      </c>
      <c r="H284">
        <v>263</v>
      </c>
      <c r="I284">
        <v>138.52146911599999</v>
      </c>
      <c r="K284">
        <f t="shared" si="22"/>
        <v>7.0639648439999974</v>
      </c>
      <c r="L284">
        <v>263</v>
      </c>
      <c r="M284">
        <v>247</v>
      </c>
      <c r="N284">
        <v>263</v>
      </c>
      <c r="O284">
        <v>8</v>
      </c>
      <c r="P284">
        <f t="shared" si="20"/>
        <v>104.739044189</v>
      </c>
    </row>
    <row r="285" spans="1:16">
      <c r="A285">
        <f t="shared" si="21"/>
        <v>924.4889841723076</v>
      </c>
      <c r="B285">
        <v>264</v>
      </c>
      <c r="C285">
        <v>142.11587524399999</v>
      </c>
      <c r="D285">
        <v>264</v>
      </c>
      <c r="E285">
        <v>146.27609252900001</v>
      </c>
      <c r="F285">
        <v>264</v>
      </c>
      <c r="G285">
        <v>126.980651855</v>
      </c>
      <c r="H285">
        <v>264</v>
      </c>
      <c r="I285">
        <v>139.195800781</v>
      </c>
      <c r="K285">
        <f t="shared" si="22"/>
        <v>7.0802917480000076</v>
      </c>
      <c r="L285">
        <v>264</v>
      </c>
      <c r="M285">
        <v>247</v>
      </c>
      <c r="N285">
        <v>264</v>
      </c>
      <c r="O285">
        <v>8</v>
      </c>
      <c r="P285">
        <f t="shared" si="20"/>
        <v>104.88412475600001</v>
      </c>
    </row>
    <row r="286" spans="1:16">
      <c r="A286">
        <f t="shared" si="21"/>
        <v>925.41507880932386</v>
      </c>
      <c r="B286">
        <v>265</v>
      </c>
      <c r="C286">
        <v>142.01699829099999</v>
      </c>
      <c r="D286">
        <v>265</v>
      </c>
      <c r="E286">
        <v>147.52069091800001</v>
      </c>
      <c r="F286">
        <v>265</v>
      </c>
      <c r="G286">
        <v>127</v>
      </c>
      <c r="H286">
        <v>265</v>
      </c>
      <c r="I286">
        <v>137.46009826700001</v>
      </c>
      <c r="K286">
        <f t="shared" si="22"/>
        <v>10.060592651000007</v>
      </c>
      <c r="L286">
        <v>265</v>
      </c>
      <c r="M286">
        <v>246.91172790499999</v>
      </c>
      <c r="N286">
        <v>265</v>
      </c>
      <c r="O286">
        <v>8.4272909160000005</v>
      </c>
      <c r="P286">
        <f t="shared" si="20"/>
        <v>104.894729614</v>
      </c>
    </row>
    <row r="287" spans="1:16">
      <c r="A287">
        <f t="shared" si="21"/>
        <v>926.34117344634024</v>
      </c>
      <c r="B287">
        <v>266</v>
      </c>
      <c r="C287">
        <v>143.307662964</v>
      </c>
      <c r="D287">
        <v>266</v>
      </c>
      <c r="E287">
        <v>149.63949585</v>
      </c>
      <c r="F287">
        <v>266</v>
      </c>
      <c r="G287">
        <v>127</v>
      </c>
      <c r="H287">
        <v>266</v>
      </c>
      <c r="I287">
        <v>135.71360778799999</v>
      </c>
      <c r="K287">
        <f t="shared" si="22"/>
        <v>13.925888062000013</v>
      </c>
      <c r="L287">
        <v>266</v>
      </c>
      <c r="M287">
        <v>246.11219787600001</v>
      </c>
      <c r="N287">
        <v>266</v>
      </c>
      <c r="O287">
        <v>8.9740581509999995</v>
      </c>
      <c r="P287">
        <f t="shared" si="20"/>
        <v>102.80453491200001</v>
      </c>
    </row>
    <row r="288" spans="1:16">
      <c r="A288">
        <f t="shared" si="21"/>
        <v>927.2672680833565</v>
      </c>
      <c r="B288">
        <v>267</v>
      </c>
      <c r="C288">
        <v>142.908447266</v>
      </c>
      <c r="D288">
        <v>267</v>
      </c>
      <c r="E288">
        <v>148.10826110799999</v>
      </c>
      <c r="F288">
        <v>267</v>
      </c>
      <c r="G288">
        <v>126.912071228</v>
      </c>
      <c r="H288">
        <v>267</v>
      </c>
      <c r="I288">
        <v>137.356369019</v>
      </c>
      <c r="K288">
        <f t="shared" si="22"/>
        <v>10.751892088999995</v>
      </c>
      <c r="L288">
        <v>267</v>
      </c>
      <c r="M288">
        <v>246</v>
      </c>
      <c r="N288">
        <v>267</v>
      </c>
      <c r="O288">
        <v>9</v>
      </c>
      <c r="P288">
        <f t="shared" si="20"/>
        <v>103.091552734</v>
      </c>
    </row>
    <row r="289" spans="1:16">
      <c r="A289">
        <f t="shared" si="21"/>
        <v>928.19336272037287</v>
      </c>
      <c r="B289">
        <v>268</v>
      </c>
      <c r="C289">
        <v>140.91697692899999</v>
      </c>
      <c r="D289">
        <v>268</v>
      </c>
      <c r="E289">
        <v>147.99987793</v>
      </c>
      <c r="F289">
        <v>268</v>
      </c>
      <c r="G289">
        <v>127.00705719</v>
      </c>
      <c r="H289">
        <v>268</v>
      </c>
      <c r="I289">
        <v>140.57220459000001</v>
      </c>
      <c r="K289">
        <f t="shared" si="22"/>
        <v>7.4276733399999841</v>
      </c>
      <c r="L289">
        <v>268</v>
      </c>
      <c r="M289">
        <v>246</v>
      </c>
      <c r="N289">
        <v>268</v>
      </c>
      <c r="O289">
        <v>9</v>
      </c>
      <c r="P289">
        <f t="shared" si="20"/>
        <v>105.08302307100001</v>
      </c>
    </row>
    <row r="290" spans="1:16">
      <c r="A290">
        <f t="shared" si="21"/>
        <v>929.11945735738914</v>
      </c>
      <c r="B290">
        <v>269</v>
      </c>
      <c r="C290">
        <v>140.92442321799999</v>
      </c>
      <c r="D290">
        <v>269</v>
      </c>
      <c r="E290">
        <v>147.09083557100001</v>
      </c>
      <c r="F290">
        <v>269</v>
      </c>
      <c r="G290">
        <v>126.70640564</v>
      </c>
      <c r="H290">
        <v>269</v>
      </c>
      <c r="I290">
        <v>140.37525939899999</v>
      </c>
      <c r="K290">
        <f t="shared" si="22"/>
        <v>6.7155761720000271</v>
      </c>
      <c r="L290">
        <v>269</v>
      </c>
      <c r="M290">
        <v>246</v>
      </c>
      <c r="N290">
        <v>269</v>
      </c>
      <c r="O290">
        <v>9</v>
      </c>
      <c r="P290">
        <f t="shared" si="20"/>
        <v>105.07557678200001</v>
      </c>
    </row>
    <row r="291" spans="1:16">
      <c r="A291">
        <f t="shared" si="21"/>
        <v>930.04555199440551</v>
      </c>
      <c r="B291">
        <v>270</v>
      </c>
      <c r="C291">
        <v>143.131988525</v>
      </c>
      <c r="D291">
        <v>270</v>
      </c>
      <c r="E291">
        <v>145.36929321299999</v>
      </c>
      <c r="F291">
        <v>270</v>
      </c>
      <c r="G291">
        <v>127.217086792</v>
      </c>
      <c r="H291">
        <v>270</v>
      </c>
      <c r="I291">
        <v>138.29397582999999</v>
      </c>
      <c r="K291">
        <f t="shared" si="22"/>
        <v>7.075317382999998</v>
      </c>
      <c r="L291">
        <v>270</v>
      </c>
      <c r="M291">
        <v>246</v>
      </c>
      <c r="N291">
        <v>270</v>
      </c>
      <c r="O291">
        <v>9</v>
      </c>
      <c r="P291">
        <f t="shared" si="20"/>
        <v>102.868011475</v>
      </c>
    </row>
    <row r="292" spans="1:16">
      <c r="A292">
        <f t="shared" si="21"/>
        <v>930.97164663142178</v>
      </c>
      <c r="B292">
        <v>271</v>
      </c>
      <c r="C292">
        <v>143.33505249000001</v>
      </c>
      <c r="D292">
        <v>271</v>
      </c>
      <c r="E292">
        <v>146.73591613799999</v>
      </c>
      <c r="F292">
        <v>271</v>
      </c>
      <c r="G292">
        <v>127.72776794399999</v>
      </c>
      <c r="H292">
        <v>271</v>
      </c>
      <c r="I292">
        <v>140.09803772000001</v>
      </c>
      <c r="K292">
        <f t="shared" si="22"/>
        <v>6.6378784179999855</v>
      </c>
      <c r="L292">
        <v>271</v>
      </c>
      <c r="M292">
        <v>246</v>
      </c>
      <c r="N292">
        <v>271</v>
      </c>
      <c r="O292">
        <v>9</v>
      </c>
      <c r="P292">
        <f t="shared" si="20"/>
        <v>102.66494750999999</v>
      </c>
    </row>
    <row r="293" spans="1:16">
      <c r="A293">
        <f t="shared" si="21"/>
        <v>931.89774126843804</v>
      </c>
      <c r="B293">
        <v>272</v>
      </c>
      <c r="C293">
        <v>143.333328247</v>
      </c>
      <c r="D293">
        <v>272</v>
      </c>
      <c r="E293">
        <v>147.43072509800001</v>
      </c>
      <c r="F293">
        <v>272</v>
      </c>
      <c r="G293">
        <v>127.87033844</v>
      </c>
      <c r="H293">
        <v>272</v>
      </c>
      <c r="I293">
        <v>140.05332946799999</v>
      </c>
      <c r="K293">
        <f t="shared" si="22"/>
        <v>7.3773956300000236</v>
      </c>
      <c r="L293">
        <v>272</v>
      </c>
      <c r="M293">
        <v>245.747558594</v>
      </c>
      <c r="N293">
        <v>272</v>
      </c>
      <c r="O293">
        <v>9.4468469620000004</v>
      </c>
      <c r="P293">
        <f t="shared" si="20"/>
        <v>102.414230347</v>
      </c>
    </row>
    <row r="294" spans="1:16">
      <c r="A294">
        <f t="shared" si="21"/>
        <v>932.82383590545442</v>
      </c>
      <c r="B294">
        <v>273</v>
      </c>
      <c r="C294">
        <v>143.322143555</v>
      </c>
      <c r="D294">
        <v>273</v>
      </c>
      <c r="E294">
        <v>146.94134521500001</v>
      </c>
      <c r="F294">
        <v>273</v>
      </c>
      <c r="G294">
        <v>127.58419799799999</v>
      </c>
      <c r="H294">
        <v>273</v>
      </c>
      <c r="I294">
        <v>137.98846435499999</v>
      </c>
      <c r="K294">
        <f t="shared" si="22"/>
        <v>8.9528808600000218</v>
      </c>
      <c r="L294">
        <v>273</v>
      </c>
      <c r="M294">
        <v>245</v>
      </c>
      <c r="N294">
        <v>273</v>
      </c>
      <c r="O294">
        <v>10</v>
      </c>
      <c r="P294">
        <f t="shared" si="20"/>
        <v>101.677856445</v>
      </c>
    </row>
    <row r="295" spans="1:16">
      <c r="A295">
        <f t="shared" si="21"/>
        <v>933.74993054247079</v>
      </c>
      <c r="B295">
        <v>274</v>
      </c>
      <c r="C295">
        <v>141.973098755</v>
      </c>
      <c r="D295">
        <v>274</v>
      </c>
      <c r="E295">
        <v>149.24981689500001</v>
      </c>
      <c r="F295">
        <v>274</v>
      </c>
      <c r="G295">
        <v>127.076728821</v>
      </c>
      <c r="H295">
        <v>274</v>
      </c>
      <c r="I295">
        <v>134.48535156200001</v>
      </c>
      <c r="K295">
        <f t="shared" si="22"/>
        <v>14.764465333000004</v>
      </c>
      <c r="L295">
        <v>274</v>
      </c>
      <c r="M295">
        <v>245</v>
      </c>
      <c r="N295">
        <v>274</v>
      </c>
      <c r="O295">
        <v>10</v>
      </c>
      <c r="P295">
        <f t="shared" si="20"/>
        <v>103.026901245</v>
      </c>
    </row>
    <row r="296" spans="1:16">
      <c r="A296">
        <f t="shared" si="21"/>
        <v>934.67602517948706</v>
      </c>
      <c r="B296">
        <v>275</v>
      </c>
      <c r="C296">
        <v>141.056930542</v>
      </c>
      <c r="D296">
        <v>275</v>
      </c>
      <c r="E296">
        <v>149.75228881800001</v>
      </c>
      <c r="F296">
        <v>275</v>
      </c>
      <c r="G296">
        <v>127.327865601</v>
      </c>
      <c r="H296">
        <v>275</v>
      </c>
      <c r="I296">
        <v>136.00491332999999</v>
      </c>
      <c r="K296">
        <f t="shared" si="22"/>
        <v>13.747375488000017</v>
      </c>
      <c r="L296">
        <v>275</v>
      </c>
      <c r="M296">
        <v>245</v>
      </c>
      <c r="N296">
        <v>275</v>
      </c>
      <c r="O296">
        <v>10</v>
      </c>
      <c r="P296">
        <f t="shared" si="20"/>
        <v>103.943069458</v>
      </c>
    </row>
    <row r="297" spans="1:16">
      <c r="A297">
        <f t="shared" si="21"/>
        <v>935.60211981650332</v>
      </c>
      <c r="B297">
        <v>276</v>
      </c>
      <c r="C297">
        <v>140.541748047</v>
      </c>
      <c r="D297">
        <v>276</v>
      </c>
      <c r="E297">
        <v>148.17628479000001</v>
      </c>
      <c r="F297">
        <v>276</v>
      </c>
      <c r="G297">
        <v>127.714019775</v>
      </c>
      <c r="H297">
        <v>276</v>
      </c>
      <c r="I297">
        <v>142.97254943799999</v>
      </c>
      <c r="K297">
        <f t="shared" si="22"/>
        <v>5.2037353520000238</v>
      </c>
      <c r="L297">
        <v>276</v>
      </c>
      <c r="M297">
        <v>245</v>
      </c>
      <c r="N297">
        <v>276</v>
      </c>
      <c r="O297">
        <v>10</v>
      </c>
      <c r="P297">
        <f t="shared" si="20"/>
        <v>104.458251953</v>
      </c>
    </row>
    <row r="298" spans="1:16">
      <c r="A298">
        <f t="shared" si="21"/>
        <v>936.52821445351969</v>
      </c>
      <c r="B298">
        <v>277</v>
      </c>
      <c r="C298">
        <v>139.33920288100001</v>
      </c>
      <c r="D298">
        <v>277</v>
      </c>
      <c r="E298">
        <v>149.018234253</v>
      </c>
      <c r="F298">
        <v>277</v>
      </c>
      <c r="G298">
        <v>128.25453185999999</v>
      </c>
      <c r="H298">
        <v>277</v>
      </c>
      <c r="I298">
        <v>142.00071716299999</v>
      </c>
      <c r="K298">
        <f t="shared" si="22"/>
        <v>7.0175170900000126</v>
      </c>
      <c r="L298">
        <v>277</v>
      </c>
      <c r="M298">
        <v>245</v>
      </c>
      <c r="N298">
        <v>277</v>
      </c>
      <c r="O298">
        <v>10</v>
      </c>
      <c r="P298">
        <f t="shared" si="20"/>
        <v>105.66079711899999</v>
      </c>
    </row>
    <row r="299" spans="1:16">
      <c r="A299">
        <f t="shared" si="21"/>
        <v>937.45430909053607</v>
      </c>
      <c r="B299">
        <v>278</v>
      </c>
      <c r="C299">
        <v>138.31642150900001</v>
      </c>
      <c r="D299">
        <v>278</v>
      </c>
      <c r="E299">
        <v>148.40165710400001</v>
      </c>
      <c r="F299">
        <v>278</v>
      </c>
      <c r="G299">
        <v>128.01539611800001</v>
      </c>
      <c r="H299">
        <v>278</v>
      </c>
      <c r="I299">
        <v>135.82403564500001</v>
      </c>
      <c r="K299">
        <f t="shared" si="22"/>
        <v>12.577621459</v>
      </c>
      <c r="L299">
        <v>278</v>
      </c>
      <c r="M299">
        <v>245</v>
      </c>
      <c r="N299">
        <v>278</v>
      </c>
      <c r="O299">
        <v>10</v>
      </c>
      <c r="P299">
        <f t="shared" si="20"/>
        <v>106.68357849099999</v>
      </c>
    </row>
    <row r="300" spans="1:16">
      <c r="A300">
        <f t="shared" si="21"/>
        <v>938.38040372755233</v>
      </c>
      <c r="B300">
        <v>279</v>
      </c>
      <c r="C300">
        <v>140.462814331</v>
      </c>
      <c r="D300">
        <v>279</v>
      </c>
      <c r="E300">
        <v>147.884567261</v>
      </c>
      <c r="F300">
        <v>279</v>
      </c>
      <c r="G300">
        <v>127.760055542</v>
      </c>
      <c r="H300">
        <v>279</v>
      </c>
      <c r="I300">
        <v>145.08489990199999</v>
      </c>
      <c r="K300">
        <f t="shared" si="22"/>
        <v>2.7996673590000114</v>
      </c>
      <c r="L300">
        <v>279</v>
      </c>
      <c r="M300">
        <v>245</v>
      </c>
      <c r="N300">
        <v>279</v>
      </c>
      <c r="O300">
        <v>10</v>
      </c>
      <c r="P300">
        <f t="shared" si="20"/>
        <v>104.537185669</v>
      </c>
    </row>
    <row r="301" spans="1:16">
      <c r="A301">
        <f t="shared" si="21"/>
        <v>939.3064983645686</v>
      </c>
      <c r="B301">
        <v>280</v>
      </c>
      <c r="C301">
        <v>140.68511962900001</v>
      </c>
      <c r="D301">
        <v>280</v>
      </c>
      <c r="E301">
        <v>148.73545837399999</v>
      </c>
      <c r="F301">
        <v>280</v>
      </c>
      <c r="G301">
        <v>127.828613281</v>
      </c>
      <c r="H301">
        <v>280</v>
      </c>
      <c r="I301">
        <v>143.32179260300001</v>
      </c>
      <c r="K301">
        <f t="shared" si="22"/>
        <v>5.4136657709999838</v>
      </c>
      <c r="L301">
        <v>280</v>
      </c>
      <c r="M301">
        <v>245</v>
      </c>
      <c r="N301">
        <v>280</v>
      </c>
      <c r="O301">
        <v>10</v>
      </c>
      <c r="P301">
        <f t="shared" si="20"/>
        <v>104.31488037099999</v>
      </c>
    </row>
    <row r="302" spans="1:16">
      <c r="A302">
        <f t="shared" si="21"/>
        <v>940.23259300158497</v>
      </c>
      <c r="B302">
        <v>281</v>
      </c>
      <c r="C302">
        <v>139.022216797</v>
      </c>
      <c r="D302">
        <v>281</v>
      </c>
      <c r="E302">
        <v>150.364471436</v>
      </c>
      <c r="F302">
        <v>281</v>
      </c>
      <c r="G302">
        <v>128.21797180199999</v>
      </c>
      <c r="H302">
        <v>281</v>
      </c>
      <c r="I302">
        <v>141.34982299800001</v>
      </c>
      <c r="K302">
        <f t="shared" si="22"/>
        <v>9.0146484379999947</v>
      </c>
      <c r="L302">
        <v>281</v>
      </c>
      <c r="M302">
        <v>245</v>
      </c>
      <c r="N302">
        <v>281</v>
      </c>
      <c r="O302">
        <v>10</v>
      </c>
      <c r="P302">
        <f t="shared" si="20"/>
        <v>105.977783203</v>
      </c>
    </row>
    <row r="303" spans="1:16">
      <c r="A303">
        <f t="shared" si="21"/>
        <v>941.15868763860135</v>
      </c>
      <c r="B303">
        <v>282</v>
      </c>
      <c r="C303">
        <v>139</v>
      </c>
      <c r="D303">
        <v>282</v>
      </c>
      <c r="E303">
        <v>148.539550781</v>
      </c>
      <c r="F303">
        <v>282</v>
      </c>
      <c r="G303">
        <v>128.66070556599999</v>
      </c>
      <c r="H303">
        <v>282</v>
      </c>
      <c r="I303">
        <v>141.64616394000001</v>
      </c>
      <c r="K303">
        <f t="shared" si="22"/>
        <v>6.8933868409999945</v>
      </c>
      <c r="L303">
        <v>282</v>
      </c>
      <c r="M303">
        <v>245</v>
      </c>
      <c r="N303">
        <v>282</v>
      </c>
      <c r="O303">
        <v>10</v>
      </c>
      <c r="P303">
        <f t="shared" si="20"/>
        <v>106</v>
      </c>
    </row>
    <row r="304" spans="1:16">
      <c r="A304">
        <f t="shared" si="21"/>
        <v>942.08478227561761</v>
      </c>
      <c r="B304">
        <v>283</v>
      </c>
      <c r="C304">
        <v>139.08424377399999</v>
      </c>
      <c r="D304">
        <v>283</v>
      </c>
      <c r="E304">
        <v>143.04385375999999</v>
      </c>
      <c r="F304">
        <v>283</v>
      </c>
      <c r="G304">
        <v>128.40536499000001</v>
      </c>
      <c r="H304">
        <v>283</v>
      </c>
      <c r="I304">
        <v>138.73780822800001</v>
      </c>
      <c r="K304">
        <f t="shared" si="22"/>
        <v>4.3060455319999846</v>
      </c>
      <c r="L304">
        <v>283</v>
      </c>
      <c r="M304">
        <v>245</v>
      </c>
      <c r="N304">
        <v>283</v>
      </c>
      <c r="O304">
        <v>10</v>
      </c>
      <c r="P304">
        <f t="shared" si="20"/>
        <v>105.91575622600001</v>
      </c>
    </row>
    <row r="305" spans="1:16">
      <c r="A305">
        <f t="shared" si="21"/>
        <v>943.01087691263388</v>
      </c>
      <c r="B305">
        <v>284</v>
      </c>
      <c r="C305">
        <v>139.91481018100001</v>
      </c>
      <c r="D305">
        <v>284</v>
      </c>
      <c r="E305">
        <v>143.99240112300001</v>
      </c>
      <c r="F305">
        <v>284</v>
      </c>
      <c r="G305">
        <v>128.150024414</v>
      </c>
      <c r="H305">
        <v>284</v>
      </c>
      <c r="I305">
        <v>136.66799926799999</v>
      </c>
      <c r="K305">
        <f t="shared" si="22"/>
        <v>7.3244018550000192</v>
      </c>
      <c r="L305">
        <v>284</v>
      </c>
      <c r="M305">
        <v>245</v>
      </c>
      <c r="N305">
        <v>284</v>
      </c>
      <c r="O305">
        <v>10</v>
      </c>
      <c r="P305">
        <f t="shared" si="20"/>
        <v>105.08518981899999</v>
      </c>
    </row>
    <row r="306" spans="1:16">
      <c r="A306">
        <f t="shared" si="21"/>
        <v>943.93697154965025</v>
      </c>
      <c r="B306">
        <v>285</v>
      </c>
      <c r="C306">
        <v>139.56541442899999</v>
      </c>
      <c r="D306">
        <v>285</v>
      </c>
      <c r="E306">
        <v>148.8099823</v>
      </c>
      <c r="F306">
        <v>285</v>
      </c>
      <c r="G306">
        <v>127.619400024</v>
      </c>
      <c r="H306">
        <v>285</v>
      </c>
      <c r="I306">
        <v>137.59854125999999</v>
      </c>
      <c r="K306">
        <f t="shared" si="22"/>
        <v>11.211441040000011</v>
      </c>
      <c r="L306">
        <v>285</v>
      </c>
      <c r="M306">
        <v>245</v>
      </c>
      <c r="N306">
        <v>285</v>
      </c>
      <c r="O306">
        <v>10</v>
      </c>
      <c r="P306">
        <f t="shared" si="20"/>
        <v>105.43458557100001</v>
      </c>
    </row>
    <row r="307" spans="1:16">
      <c r="A307">
        <f t="shared" si="21"/>
        <v>944.86306618666652</v>
      </c>
      <c r="B307">
        <v>286</v>
      </c>
      <c r="C307">
        <v>141.139770508</v>
      </c>
      <c r="D307">
        <v>286</v>
      </c>
      <c r="E307">
        <v>148.92025756800001</v>
      </c>
      <c r="F307">
        <v>286</v>
      </c>
      <c r="G307">
        <v>127.027320862</v>
      </c>
      <c r="H307">
        <v>286</v>
      </c>
      <c r="I307">
        <v>138.79804992699999</v>
      </c>
      <c r="K307">
        <f t="shared" si="22"/>
        <v>10.122207641000017</v>
      </c>
      <c r="L307">
        <v>286</v>
      </c>
      <c r="M307">
        <v>244.96989440900001</v>
      </c>
      <c r="N307">
        <v>286</v>
      </c>
      <c r="O307">
        <v>10.141897201999999</v>
      </c>
      <c r="P307">
        <f t="shared" si="20"/>
        <v>103.83012390100001</v>
      </c>
    </row>
    <row r="308" spans="1:16">
      <c r="A308">
        <f t="shared" si="21"/>
        <v>945.78916082368278</v>
      </c>
      <c r="B308">
        <v>287</v>
      </c>
      <c r="C308">
        <v>141.43838500999999</v>
      </c>
      <c r="D308">
        <v>287</v>
      </c>
      <c r="E308">
        <v>147.984817505</v>
      </c>
      <c r="F308">
        <v>287</v>
      </c>
      <c r="G308">
        <v>127.28266143800001</v>
      </c>
      <c r="H308">
        <v>287</v>
      </c>
      <c r="I308">
        <v>138.28001403799999</v>
      </c>
      <c r="K308">
        <f t="shared" si="22"/>
        <v>9.704803467000005</v>
      </c>
      <c r="L308">
        <v>287</v>
      </c>
      <c r="M308">
        <v>244.50372314500001</v>
      </c>
      <c r="N308">
        <v>287</v>
      </c>
      <c r="O308">
        <v>10.923994064</v>
      </c>
      <c r="P308">
        <f t="shared" si="20"/>
        <v>103.06533813500002</v>
      </c>
    </row>
    <row r="309" spans="1:16">
      <c r="A309">
        <f t="shared" si="21"/>
        <v>946.71525546069915</v>
      </c>
      <c r="B309">
        <v>288</v>
      </c>
      <c r="C309">
        <v>142.40492248499999</v>
      </c>
      <c r="D309">
        <v>288</v>
      </c>
      <c r="E309">
        <v>147.40431213400001</v>
      </c>
      <c r="F309">
        <v>288</v>
      </c>
      <c r="G309">
        <v>127.128662109</v>
      </c>
      <c r="H309">
        <v>288</v>
      </c>
      <c r="I309">
        <v>138.32940673799999</v>
      </c>
      <c r="K309">
        <f t="shared" si="22"/>
        <v>9.0749053960000197</v>
      </c>
      <c r="L309">
        <v>288</v>
      </c>
      <c r="M309">
        <v>244.10873413100001</v>
      </c>
      <c r="N309">
        <v>288</v>
      </c>
      <c r="O309">
        <v>11</v>
      </c>
      <c r="P309">
        <f t="shared" si="20"/>
        <v>101.70381164600002</v>
      </c>
    </row>
    <row r="310" spans="1:16">
      <c r="A310">
        <f t="shared" si="21"/>
        <v>947.64135009771553</v>
      </c>
      <c r="B310">
        <v>289</v>
      </c>
      <c r="C310">
        <v>142.44529724099999</v>
      </c>
      <c r="D310">
        <v>289</v>
      </c>
      <c r="E310">
        <v>148.887741089</v>
      </c>
      <c r="F310">
        <v>289</v>
      </c>
      <c r="G310">
        <v>126.873321533</v>
      </c>
      <c r="H310">
        <v>289</v>
      </c>
      <c r="I310">
        <v>138.52499389600001</v>
      </c>
      <c r="K310">
        <f t="shared" si="22"/>
        <v>10.36274719299999</v>
      </c>
      <c r="L310">
        <v>289</v>
      </c>
      <c r="M310">
        <v>244</v>
      </c>
      <c r="N310">
        <v>289</v>
      </c>
      <c r="O310">
        <v>11</v>
      </c>
      <c r="P310">
        <f t="shared" si="20"/>
        <v>101.55470275900001</v>
      </c>
    </row>
    <row r="311" spans="1:16">
      <c r="A311">
        <f t="shared" si="21"/>
        <v>948.56744473473179</v>
      </c>
      <c r="B311">
        <v>290</v>
      </c>
      <c r="C311">
        <v>141.349319458</v>
      </c>
      <c r="D311">
        <v>290</v>
      </c>
      <c r="E311">
        <v>148.35011291500001</v>
      </c>
      <c r="F311">
        <v>290</v>
      </c>
      <c r="G311">
        <v>126.738670349</v>
      </c>
      <c r="H311">
        <v>290</v>
      </c>
      <c r="I311">
        <v>138.0990448</v>
      </c>
      <c r="K311">
        <f t="shared" si="22"/>
        <v>10.25106811500001</v>
      </c>
      <c r="L311">
        <v>290</v>
      </c>
      <c r="M311">
        <v>244</v>
      </c>
      <c r="N311">
        <v>290</v>
      </c>
      <c r="O311">
        <v>11</v>
      </c>
      <c r="P311">
        <f t="shared" si="20"/>
        <v>102.650680542</v>
      </c>
    </row>
    <row r="312" spans="1:16">
      <c r="A312">
        <f t="shared" si="21"/>
        <v>949.49353937174806</v>
      </c>
      <c r="B312">
        <v>291</v>
      </c>
      <c r="C312">
        <v>139.641281128</v>
      </c>
      <c r="D312">
        <v>291</v>
      </c>
      <c r="E312">
        <v>145.173583984</v>
      </c>
      <c r="F312">
        <v>291</v>
      </c>
      <c r="G312">
        <v>127.122703552</v>
      </c>
      <c r="H312">
        <v>291</v>
      </c>
      <c r="I312">
        <v>137.90510559099999</v>
      </c>
      <c r="K312">
        <f t="shared" si="22"/>
        <v>7.2684783930000094</v>
      </c>
      <c r="L312">
        <v>291</v>
      </c>
      <c r="M312">
        <v>244</v>
      </c>
      <c r="N312">
        <v>291</v>
      </c>
      <c r="O312">
        <v>11</v>
      </c>
      <c r="P312">
        <f t="shared" si="20"/>
        <v>104.358718872</v>
      </c>
    </row>
    <row r="313" spans="1:16">
      <c r="A313">
        <f t="shared" si="21"/>
        <v>950.41963400876443</v>
      </c>
      <c r="B313">
        <v>292</v>
      </c>
      <c r="C313">
        <v>140.644042969</v>
      </c>
      <c r="D313">
        <v>292</v>
      </c>
      <c r="E313">
        <v>147.232513428</v>
      </c>
      <c r="F313">
        <v>292</v>
      </c>
      <c r="G313">
        <v>127.50570678699999</v>
      </c>
      <c r="H313">
        <v>292</v>
      </c>
      <c r="I313">
        <v>138.43128967300001</v>
      </c>
      <c r="K313">
        <f t="shared" si="22"/>
        <v>8.8012237549999952</v>
      </c>
      <c r="L313">
        <v>292</v>
      </c>
      <c r="M313">
        <v>244</v>
      </c>
      <c r="N313">
        <v>292</v>
      </c>
      <c r="O313">
        <v>11</v>
      </c>
      <c r="P313">
        <f t="shared" si="20"/>
        <v>103.355957031</v>
      </c>
    </row>
    <row r="314" spans="1:16">
      <c r="A314">
        <f t="shared" si="21"/>
        <v>951.34572864578081</v>
      </c>
      <c r="B314">
        <v>293</v>
      </c>
      <c r="C314">
        <v>139.547485352</v>
      </c>
      <c r="D314">
        <v>293</v>
      </c>
      <c r="E314">
        <v>150.47030639600001</v>
      </c>
      <c r="F314">
        <v>293</v>
      </c>
      <c r="G314">
        <v>127.51862335200001</v>
      </c>
      <c r="H314">
        <v>293</v>
      </c>
      <c r="I314">
        <v>137.780883789</v>
      </c>
      <c r="K314">
        <f t="shared" si="22"/>
        <v>12.689422607000012</v>
      </c>
      <c r="L314">
        <v>293</v>
      </c>
      <c r="M314">
        <v>244</v>
      </c>
      <c r="N314">
        <v>293</v>
      </c>
      <c r="O314">
        <v>11</v>
      </c>
      <c r="P314">
        <f t="shared" si="20"/>
        <v>104.452514648</v>
      </c>
    </row>
    <row r="315" spans="1:16">
      <c r="A315">
        <f t="shared" si="21"/>
        <v>952.27182328279707</v>
      </c>
      <c r="B315">
        <v>294</v>
      </c>
      <c r="C315">
        <v>139.60058593799999</v>
      </c>
      <c r="D315">
        <v>294</v>
      </c>
      <c r="E315">
        <v>148.717285156</v>
      </c>
      <c r="F315">
        <v>294</v>
      </c>
      <c r="G315">
        <v>127.17716217</v>
      </c>
      <c r="H315">
        <v>294</v>
      </c>
      <c r="I315">
        <v>137.35882568400001</v>
      </c>
      <c r="K315">
        <f t="shared" si="22"/>
        <v>11.358459471999993</v>
      </c>
      <c r="L315">
        <v>294</v>
      </c>
      <c r="M315">
        <v>244</v>
      </c>
      <c r="N315">
        <v>294</v>
      </c>
      <c r="O315">
        <v>11</v>
      </c>
      <c r="P315">
        <f t="shared" si="20"/>
        <v>104.39941406200001</v>
      </c>
    </row>
    <row r="316" spans="1:16">
      <c r="A316">
        <f t="shared" si="21"/>
        <v>953.19791791981334</v>
      </c>
      <c r="B316">
        <v>295</v>
      </c>
      <c r="C316">
        <v>142.75062560999999</v>
      </c>
      <c r="D316">
        <v>295</v>
      </c>
      <c r="E316">
        <v>148.042037964</v>
      </c>
      <c r="F316">
        <v>295</v>
      </c>
      <c r="G316">
        <v>127.003974915</v>
      </c>
      <c r="H316">
        <v>295</v>
      </c>
      <c r="I316">
        <v>137.375167847</v>
      </c>
      <c r="K316">
        <f t="shared" si="22"/>
        <v>10.666870117000002</v>
      </c>
      <c r="L316">
        <v>295</v>
      </c>
      <c r="M316">
        <v>244</v>
      </c>
      <c r="N316">
        <v>295</v>
      </c>
      <c r="O316">
        <v>11</v>
      </c>
      <c r="P316">
        <f t="shared" si="20"/>
        <v>101.24937439000001</v>
      </c>
    </row>
    <row r="317" spans="1:16">
      <c r="A317">
        <f t="shared" si="21"/>
        <v>954.12401255682971</v>
      </c>
      <c r="B317">
        <v>296</v>
      </c>
      <c r="C317">
        <v>140.74180602999999</v>
      </c>
      <c r="D317">
        <v>296</v>
      </c>
      <c r="E317">
        <v>149.06440734899999</v>
      </c>
      <c r="F317">
        <v>296</v>
      </c>
      <c r="G317">
        <v>127</v>
      </c>
      <c r="H317">
        <v>296</v>
      </c>
      <c r="I317">
        <v>139.217849731</v>
      </c>
      <c r="K317">
        <f t="shared" si="22"/>
        <v>9.8465576179999914</v>
      </c>
      <c r="L317">
        <v>296</v>
      </c>
      <c r="M317">
        <v>244</v>
      </c>
      <c r="N317">
        <v>296</v>
      </c>
      <c r="O317">
        <v>11</v>
      </c>
      <c r="P317">
        <f t="shared" si="20"/>
        <v>103.25819397000001</v>
      </c>
    </row>
    <row r="318" spans="1:16">
      <c r="A318">
        <f t="shared" si="21"/>
        <v>955.05010719384609</v>
      </c>
      <c r="B318">
        <v>297</v>
      </c>
      <c r="C318">
        <v>143.51327514600001</v>
      </c>
      <c r="D318">
        <v>297</v>
      </c>
      <c r="E318">
        <v>148.169265747</v>
      </c>
      <c r="F318">
        <v>297</v>
      </c>
      <c r="G318">
        <v>127</v>
      </c>
      <c r="H318">
        <v>297</v>
      </c>
      <c r="I318">
        <v>140.90228271500001</v>
      </c>
      <c r="K318">
        <f t="shared" si="22"/>
        <v>7.2669830319999846</v>
      </c>
      <c r="L318">
        <v>297</v>
      </c>
      <c r="M318">
        <v>244</v>
      </c>
      <c r="N318">
        <v>297</v>
      </c>
      <c r="O318">
        <v>11</v>
      </c>
      <c r="P318">
        <f t="shared" si="20"/>
        <v>100.48672485399999</v>
      </c>
    </row>
    <row r="319" spans="1:16">
      <c r="A319">
        <f t="shared" si="21"/>
        <v>955.97620183086235</v>
      </c>
      <c r="B319">
        <v>298</v>
      </c>
      <c r="C319">
        <v>142.962966919</v>
      </c>
      <c r="D319">
        <v>298</v>
      </c>
      <c r="E319">
        <v>147.233718872</v>
      </c>
      <c r="F319">
        <v>298</v>
      </c>
      <c r="G319">
        <v>127</v>
      </c>
      <c r="H319">
        <v>298</v>
      </c>
      <c r="I319">
        <v>142.296112061</v>
      </c>
      <c r="K319">
        <f t="shared" si="22"/>
        <v>4.9376068109999949</v>
      </c>
      <c r="L319">
        <v>298</v>
      </c>
      <c r="M319">
        <v>244</v>
      </c>
      <c r="N319">
        <v>298</v>
      </c>
      <c r="O319">
        <v>11</v>
      </c>
      <c r="P319">
        <f t="shared" si="20"/>
        <v>101.037033081</v>
      </c>
    </row>
    <row r="320" spans="1:16">
      <c r="A320">
        <f t="shared" si="21"/>
        <v>956.90229646787861</v>
      </c>
      <c r="B320">
        <v>299</v>
      </c>
      <c r="C320">
        <v>142.28834533700001</v>
      </c>
      <c r="D320">
        <v>299</v>
      </c>
      <c r="E320">
        <v>146.795013428</v>
      </c>
      <c r="F320">
        <v>299</v>
      </c>
      <c r="G320">
        <v>127</v>
      </c>
      <c r="H320">
        <v>299</v>
      </c>
      <c r="I320">
        <v>141.81918335</v>
      </c>
      <c r="K320">
        <f t="shared" si="22"/>
        <v>4.9758300780000013</v>
      </c>
      <c r="L320">
        <v>299</v>
      </c>
      <c r="M320">
        <v>244</v>
      </c>
      <c r="N320">
        <v>299</v>
      </c>
      <c r="O320">
        <v>11</v>
      </c>
      <c r="P320">
        <f t="shared" si="20"/>
        <v>101.71165466299999</v>
      </c>
    </row>
    <row r="321" spans="1:16">
      <c r="A321">
        <f t="shared" si="21"/>
        <v>957.82839110489499</v>
      </c>
      <c r="B321">
        <v>300</v>
      </c>
      <c r="C321">
        <v>141.135528564</v>
      </c>
      <c r="D321">
        <v>300</v>
      </c>
      <c r="E321">
        <v>146.52986145</v>
      </c>
      <c r="F321">
        <v>300</v>
      </c>
      <c r="G321">
        <v>127</v>
      </c>
      <c r="H321">
        <v>300</v>
      </c>
      <c r="I321">
        <v>141.83853149399999</v>
      </c>
      <c r="K321">
        <f t="shared" si="22"/>
        <v>4.6913299560000041</v>
      </c>
      <c r="L321">
        <v>300</v>
      </c>
      <c r="M321">
        <v>244</v>
      </c>
      <c r="N321">
        <v>300</v>
      </c>
      <c r="O321">
        <v>11</v>
      </c>
      <c r="P321">
        <f t="shared" si="20"/>
        <v>102.864471436</v>
      </c>
    </row>
    <row r="322" spans="1:16">
      <c r="A322">
        <f t="shared" si="21"/>
        <v>958.75448574191137</v>
      </c>
      <c r="B322">
        <v>301</v>
      </c>
      <c r="C322">
        <v>139.681182861</v>
      </c>
      <c r="D322">
        <v>301</v>
      </c>
      <c r="E322">
        <v>147.637771606</v>
      </c>
      <c r="F322">
        <v>301</v>
      </c>
      <c r="G322">
        <v>127.09538268999999</v>
      </c>
      <c r="H322">
        <v>301</v>
      </c>
      <c r="I322">
        <v>143.82434082</v>
      </c>
      <c r="K322">
        <f t="shared" si="22"/>
        <v>3.8134307859999979</v>
      </c>
      <c r="L322">
        <v>301</v>
      </c>
      <c r="M322">
        <v>244</v>
      </c>
      <c r="N322">
        <v>301</v>
      </c>
      <c r="O322">
        <v>11</v>
      </c>
      <c r="P322">
        <f t="shared" si="20"/>
        <v>104.318817139</v>
      </c>
    </row>
    <row r="323" spans="1:16">
      <c r="A323">
        <f t="shared" si="21"/>
        <v>959.68058037892752</v>
      </c>
      <c r="B323">
        <v>302</v>
      </c>
      <c r="C323">
        <v>138.123123169</v>
      </c>
      <c r="D323">
        <v>302</v>
      </c>
      <c r="E323">
        <v>147.637771606</v>
      </c>
      <c r="F323">
        <v>302</v>
      </c>
      <c r="G323">
        <v>127.19734954800001</v>
      </c>
      <c r="H323">
        <v>302</v>
      </c>
      <c r="I323">
        <v>139.41624450699999</v>
      </c>
      <c r="K323">
        <f t="shared" si="22"/>
        <v>8.2215270990000135</v>
      </c>
      <c r="L323">
        <v>302</v>
      </c>
      <c r="M323">
        <v>244</v>
      </c>
      <c r="N323">
        <v>302</v>
      </c>
      <c r="O323">
        <v>11</v>
      </c>
      <c r="P323">
        <f t="shared" si="20"/>
        <v>105.876876831</v>
      </c>
    </row>
    <row r="324" spans="1:16">
      <c r="A324">
        <f t="shared" si="21"/>
        <v>960.60667501594389</v>
      </c>
      <c r="B324">
        <v>303</v>
      </c>
      <c r="C324">
        <v>141.28196716299999</v>
      </c>
      <c r="D324">
        <v>303</v>
      </c>
      <c r="E324">
        <v>145.67361450199999</v>
      </c>
      <c r="F324">
        <v>303</v>
      </c>
      <c r="G324">
        <v>126.686538696</v>
      </c>
      <c r="H324">
        <v>303</v>
      </c>
      <c r="I324">
        <v>141.91664123499999</v>
      </c>
      <c r="K324">
        <f t="shared" si="22"/>
        <v>3.7569732670000064</v>
      </c>
      <c r="L324">
        <v>303</v>
      </c>
      <c r="M324">
        <v>244</v>
      </c>
      <c r="N324">
        <v>303</v>
      </c>
      <c r="O324">
        <v>11</v>
      </c>
      <c r="P324">
        <f t="shared" si="20"/>
        <v>102.71803283700001</v>
      </c>
    </row>
    <row r="325" spans="1:16">
      <c r="A325">
        <f t="shared" si="21"/>
        <v>961.53276965296027</v>
      </c>
      <c r="B325">
        <v>304</v>
      </c>
      <c r="C325">
        <v>140.99131774899999</v>
      </c>
      <c r="D325">
        <v>304</v>
      </c>
      <c r="E325">
        <v>145.893432617</v>
      </c>
      <c r="F325">
        <v>304</v>
      </c>
      <c r="G325">
        <v>126.66666412399999</v>
      </c>
      <c r="H325">
        <v>304</v>
      </c>
      <c r="I325">
        <v>139.71131897000001</v>
      </c>
      <c r="K325">
        <f t="shared" si="22"/>
        <v>6.1821136469999942</v>
      </c>
      <c r="L325">
        <v>304</v>
      </c>
      <c r="M325">
        <v>244</v>
      </c>
      <c r="N325">
        <v>304</v>
      </c>
      <c r="O325">
        <v>11</v>
      </c>
      <c r="P325">
        <f t="shared" si="20"/>
        <v>103.00868225100001</v>
      </c>
    </row>
    <row r="326" spans="1:16">
      <c r="A326">
        <f t="shared" si="21"/>
        <v>962.45886428997653</v>
      </c>
      <c r="B326">
        <v>305</v>
      </c>
      <c r="C326">
        <v>137.05926513700001</v>
      </c>
      <c r="D326">
        <v>305</v>
      </c>
      <c r="E326">
        <v>145.49229431200001</v>
      </c>
      <c r="F326">
        <v>305</v>
      </c>
      <c r="G326">
        <v>125.10468292199999</v>
      </c>
      <c r="H326">
        <v>305</v>
      </c>
      <c r="I326">
        <v>137.751052856</v>
      </c>
      <c r="K326">
        <f t="shared" si="22"/>
        <v>7.7412414560000116</v>
      </c>
      <c r="L326">
        <v>305</v>
      </c>
      <c r="M326">
        <v>244</v>
      </c>
      <c r="N326">
        <v>305</v>
      </c>
      <c r="O326">
        <v>11</v>
      </c>
      <c r="P326">
        <f t="shared" si="20"/>
        <v>106.94073486299999</v>
      </c>
    </row>
    <row r="327" spans="1:16">
      <c r="A327">
        <f t="shared" si="21"/>
        <v>963.38495892699279</v>
      </c>
      <c r="B327">
        <v>306</v>
      </c>
      <c r="C327">
        <v>136.80703735399999</v>
      </c>
      <c r="D327">
        <v>306</v>
      </c>
      <c r="E327">
        <v>145.57139587399999</v>
      </c>
      <c r="F327">
        <v>306</v>
      </c>
      <c r="G327">
        <v>124.20993042000001</v>
      </c>
      <c r="H327">
        <v>306</v>
      </c>
      <c r="I327">
        <v>138.62167358400001</v>
      </c>
      <c r="K327">
        <f t="shared" si="22"/>
        <v>6.9497222899999826</v>
      </c>
      <c r="L327">
        <v>306</v>
      </c>
      <c r="M327">
        <v>244</v>
      </c>
      <c r="N327">
        <v>306</v>
      </c>
      <c r="O327">
        <v>11</v>
      </c>
      <c r="P327">
        <f t="shared" si="20"/>
        <v>107.19296264600001</v>
      </c>
    </row>
    <row r="328" spans="1:16">
      <c r="A328">
        <f t="shared" si="21"/>
        <v>964.31105356400917</v>
      </c>
      <c r="B328">
        <v>307</v>
      </c>
      <c r="C328">
        <v>139.181884766</v>
      </c>
      <c r="D328">
        <v>307</v>
      </c>
      <c r="E328">
        <v>147.98382568400001</v>
      </c>
      <c r="F328">
        <v>307</v>
      </c>
      <c r="G328">
        <v>125.37300109900001</v>
      </c>
      <c r="H328">
        <v>307</v>
      </c>
      <c r="I328">
        <v>139.12696838400001</v>
      </c>
      <c r="K328">
        <f t="shared" si="22"/>
        <v>8.8568573000000015</v>
      </c>
      <c r="L328">
        <v>307</v>
      </c>
      <c r="M328">
        <v>243.33383178700001</v>
      </c>
      <c r="N328">
        <v>307</v>
      </c>
      <c r="O328">
        <v>11.66617012</v>
      </c>
      <c r="P328">
        <f t="shared" si="20"/>
        <v>104.15194702100001</v>
      </c>
    </row>
    <row r="329" spans="1:16">
      <c r="A329">
        <f t="shared" si="21"/>
        <v>965.23714820102555</v>
      </c>
      <c r="B329">
        <v>308</v>
      </c>
      <c r="C329">
        <v>140.74325561500001</v>
      </c>
      <c r="D329">
        <v>308</v>
      </c>
      <c r="E329">
        <v>147.25592040999999</v>
      </c>
      <c r="F329">
        <v>308</v>
      </c>
      <c r="G329">
        <v>126.587654114</v>
      </c>
      <c r="H329">
        <v>308</v>
      </c>
      <c r="I329">
        <v>139.76695251500001</v>
      </c>
      <c r="K329">
        <f t="shared" si="22"/>
        <v>7.4889678949999734</v>
      </c>
      <c r="L329">
        <v>308</v>
      </c>
      <c r="M329">
        <v>243</v>
      </c>
      <c r="N329">
        <v>308</v>
      </c>
      <c r="O329">
        <v>12</v>
      </c>
      <c r="P329">
        <f t="shared" si="20"/>
        <v>102.25674438499999</v>
      </c>
    </row>
    <row r="330" spans="1:16">
      <c r="A330">
        <f t="shared" si="21"/>
        <v>966.16324283804181</v>
      </c>
      <c r="B330">
        <v>309</v>
      </c>
      <c r="C330">
        <v>139.10281372099999</v>
      </c>
      <c r="D330">
        <v>309</v>
      </c>
      <c r="E330">
        <v>145.669845581</v>
      </c>
      <c r="F330">
        <v>309</v>
      </c>
      <c r="G330">
        <v>126.209617615</v>
      </c>
      <c r="H330">
        <v>309</v>
      </c>
      <c r="I330">
        <v>139.68016052199999</v>
      </c>
      <c r="K330">
        <f t="shared" si="22"/>
        <v>5.9896850590000099</v>
      </c>
      <c r="L330">
        <v>309</v>
      </c>
      <c r="M330">
        <v>243</v>
      </c>
      <c r="N330">
        <v>309</v>
      </c>
      <c r="O330">
        <v>12</v>
      </c>
      <c r="P330">
        <f t="shared" si="20"/>
        <v>103.89718627900001</v>
      </c>
    </row>
    <row r="331" spans="1:16">
      <c r="A331">
        <f t="shared" si="21"/>
        <v>967.08933747505807</v>
      </c>
      <c r="B331">
        <v>310</v>
      </c>
      <c r="C331">
        <v>139.57196044899999</v>
      </c>
      <c r="D331">
        <v>310</v>
      </c>
      <c r="E331">
        <v>149.25357055699999</v>
      </c>
      <c r="F331">
        <v>310</v>
      </c>
      <c r="G331">
        <v>126.743522644</v>
      </c>
      <c r="H331">
        <v>310</v>
      </c>
      <c r="I331">
        <v>139.85293579099999</v>
      </c>
      <c r="K331">
        <f t="shared" si="22"/>
        <v>9.400634765999996</v>
      </c>
      <c r="L331">
        <v>310</v>
      </c>
      <c r="M331">
        <v>243</v>
      </c>
      <c r="N331">
        <v>310</v>
      </c>
      <c r="O331">
        <v>12</v>
      </c>
      <c r="P331">
        <f t="shared" si="20"/>
        <v>103.42803955100001</v>
      </c>
    </row>
    <row r="332" spans="1:16">
      <c r="A332">
        <f t="shared" si="21"/>
        <v>968.01543211207445</v>
      </c>
      <c r="B332">
        <v>311</v>
      </c>
      <c r="C332">
        <v>141.24259948700001</v>
      </c>
      <c r="D332">
        <v>311</v>
      </c>
      <c r="E332">
        <v>151.205688477</v>
      </c>
      <c r="F332">
        <v>311</v>
      </c>
      <c r="G332">
        <v>127.06718444800001</v>
      </c>
      <c r="H332">
        <v>311</v>
      </c>
      <c r="I332">
        <v>139.92083740199999</v>
      </c>
      <c r="K332">
        <f t="shared" si="22"/>
        <v>11.284851075000006</v>
      </c>
      <c r="L332">
        <v>311</v>
      </c>
      <c r="M332">
        <v>243</v>
      </c>
      <c r="N332">
        <v>311</v>
      </c>
      <c r="O332">
        <v>12</v>
      </c>
      <c r="P332">
        <f t="shared" si="20"/>
        <v>101.75740051299999</v>
      </c>
    </row>
    <row r="333" spans="1:16">
      <c r="A333">
        <f t="shared" si="21"/>
        <v>968.94152674909083</v>
      </c>
      <c r="B333">
        <v>312</v>
      </c>
      <c r="C333">
        <v>142.805252075</v>
      </c>
      <c r="D333">
        <v>312</v>
      </c>
      <c r="E333">
        <v>150.32417297399999</v>
      </c>
      <c r="F333">
        <v>312</v>
      </c>
      <c r="G333">
        <v>126.66666412399999</v>
      </c>
      <c r="H333">
        <v>312</v>
      </c>
      <c r="I333">
        <v>139.333328247</v>
      </c>
      <c r="K333">
        <f t="shared" si="22"/>
        <v>10.990844726999995</v>
      </c>
      <c r="L333">
        <v>312</v>
      </c>
      <c r="M333">
        <v>243</v>
      </c>
      <c r="N333">
        <v>312</v>
      </c>
      <c r="O333">
        <v>12</v>
      </c>
      <c r="P333">
        <f t="shared" si="20"/>
        <v>100.194747925</v>
      </c>
    </row>
    <row r="334" spans="1:16">
      <c r="A334">
        <f t="shared" si="21"/>
        <v>969.86762138610709</v>
      </c>
      <c r="B334">
        <v>313</v>
      </c>
      <c r="C334">
        <v>142.59532165499999</v>
      </c>
      <c r="D334">
        <v>313</v>
      </c>
      <c r="E334">
        <v>150.70942688</v>
      </c>
      <c r="F334">
        <v>313</v>
      </c>
      <c r="G334">
        <v>126.66666412399999</v>
      </c>
      <c r="H334">
        <v>313</v>
      </c>
      <c r="I334">
        <v>139.333328247</v>
      </c>
      <c r="K334">
        <f t="shared" si="22"/>
        <v>11.376098632999998</v>
      </c>
      <c r="L334">
        <v>313</v>
      </c>
      <c r="M334">
        <v>243</v>
      </c>
      <c r="N334">
        <v>313</v>
      </c>
      <c r="O334">
        <v>12</v>
      </c>
      <c r="P334">
        <f t="shared" si="20"/>
        <v>100.40467834500001</v>
      </c>
    </row>
    <row r="335" spans="1:16">
      <c r="A335">
        <f t="shared" si="21"/>
        <v>970.79371602312335</v>
      </c>
      <c r="B335">
        <v>314</v>
      </c>
      <c r="C335">
        <v>141.14573669399999</v>
      </c>
      <c r="D335">
        <v>314</v>
      </c>
      <c r="E335">
        <v>151.43940734899999</v>
      </c>
      <c r="F335">
        <v>314</v>
      </c>
      <c r="G335">
        <v>126.66666412399999</v>
      </c>
      <c r="H335">
        <v>314</v>
      </c>
      <c r="I335">
        <v>139.997436523</v>
      </c>
      <c r="K335">
        <f t="shared" si="22"/>
        <v>11.441970825999988</v>
      </c>
      <c r="L335">
        <v>314</v>
      </c>
      <c r="M335">
        <v>243</v>
      </c>
      <c r="N335">
        <v>314</v>
      </c>
      <c r="O335">
        <v>12</v>
      </c>
      <c r="P335">
        <f t="shared" si="20"/>
        <v>101.85426330600001</v>
      </c>
    </row>
    <row r="336" spans="1:16">
      <c r="A336">
        <f t="shared" si="21"/>
        <v>971.71981066013973</v>
      </c>
      <c r="B336">
        <v>315</v>
      </c>
      <c r="C336">
        <v>140.03758239699999</v>
      </c>
      <c r="D336">
        <v>315</v>
      </c>
      <c r="E336">
        <v>152.19920349099999</v>
      </c>
      <c r="F336">
        <v>315</v>
      </c>
      <c r="G336">
        <v>126.686035156</v>
      </c>
      <c r="H336">
        <v>315</v>
      </c>
      <c r="I336">
        <v>139.05291747999999</v>
      </c>
      <c r="K336">
        <f t="shared" si="22"/>
        <v>13.146286011000001</v>
      </c>
      <c r="L336">
        <v>315</v>
      </c>
      <c r="M336">
        <v>243</v>
      </c>
      <c r="N336">
        <v>315</v>
      </c>
      <c r="O336">
        <v>12</v>
      </c>
      <c r="P336">
        <f t="shared" si="20"/>
        <v>102.96241760300001</v>
      </c>
    </row>
    <row r="337" spans="1:16">
      <c r="A337">
        <f t="shared" si="21"/>
        <v>972.64590529715611</v>
      </c>
      <c r="B337">
        <v>316</v>
      </c>
      <c r="C337">
        <v>138.06983947800001</v>
      </c>
      <c r="D337">
        <v>316</v>
      </c>
      <c r="E337">
        <v>150.36978149399999</v>
      </c>
      <c r="F337">
        <v>316</v>
      </c>
      <c r="G337">
        <v>126.95249939</v>
      </c>
      <c r="H337">
        <v>316</v>
      </c>
      <c r="I337">
        <v>136.377120972</v>
      </c>
      <c r="K337">
        <f t="shared" si="22"/>
        <v>13.992660521999994</v>
      </c>
      <c r="L337">
        <v>316</v>
      </c>
      <c r="M337">
        <v>243</v>
      </c>
      <c r="N337">
        <v>316</v>
      </c>
      <c r="O337">
        <v>12</v>
      </c>
      <c r="P337">
        <f t="shared" si="20"/>
        <v>104.93016052199999</v>
      </c>
    </row>
    <row r="338" spans="1:16">
      <c r="A338">
        <f t="shared" si="21"/>
        <v>973.57199993417237</v>
      </c>
      <c r="B338">
        <v>317</v>
      </c>
      <c r="C338">
        <v>137.79595947300001</v>
      </c>
      <c r="D338">
        <v>317</v>
      </c>
      <c r="E338">
        <v>149.64710998499999</v>
      </c>
      <c r="F338">
        <v>317</v>
      </c>
      <c r="G338">
        <v>126.44758606000001</v>
      </c>
      <c r="H338">
        <v>317</v>
      </c>
      <c r="I338">
        <v>136.793136597</v>
      </c>
      <c r="K338">
        <f t="shared" si="22"/>
        <v>12.853973387999986</v>
      </c>
      <c r="L338">
        <v>317</v>
      </c>
      <c r="M338">
        <v>243</v>
      </c>
      <c r="N338">
        <v>317</v>
      </c>
      <c r="O338">
        <v>12</v>
      </c>
      <c r="P338">
        <f t="shared" si="20"/>
        <v>105.20404052699999</v>
      </c>
    </row>
    <row r="339" spans="1:16">
      <c r="A339">
        <f t="shared" si="21"/>
        <v>974.49809457118863</v>
      </c>
      <c r="B339">
        <v>318</v>
      </c>
      <c r="C339">
        <v>137.95257568400001</v>
      </c>
      <c r="D339">
        <v>318</v>
      </c>
      <c r="E339">
        <v>149.634109497</v>
      </c>
      <c r="F339">
        <v>318</v>
      </c>
      <c r="G339">
        <v>125.936904907</v>
      </c>
      <c r="H339">
        <v>318</v>
      </c>
      <c r="I339">
        <v>139.44380188</v>
      </c>
      <c r="K339">
        <f t="shared" si="22"/>
        <v>10.190307617000002</v>
      </c>
      <c r="L339">
        <v>318</v>
      </c>
      <c r="M339">
        <v>243</v>
      </c>
      <c r="N339">
        <v>318</v>
      </c>
      <c r="O339">
        <v>12</v>
      </c>
      <c r="P339">
        <f t="shared" si="20"/>
        <v>105.04742431599999</v>
      </c>
    </row>
    <row r="340" spans="1:16">
      <c r="A340">
        <f t="shared" si="21"/>
        <v>975.42418920820501</v>
      </c>
      <c r="B340">
        <v>319</v>
      </c>
      <c r="C340">
        <v>138.10783386200001</v>
      </c>
      <c r="D340">
        <v>319</v>
      </c>
      <c r="E340">
        <v>148.513137817</v>
      </c>
      <c r="F340">
        <v>319</v>
      </c>
      <c r="G340">
        <v>125.846992493</v>
      </c>
      <c r="H340">
        <v>319</v>
      </c>
      <c r="I340">
        <v>142.550491333</v>
      </c>
      <c r="K340">
        <f t="shared" si="22"/>
        <v>5.962646484000004</v>
      </c>
      <c r="L340">
        <v>319</v>
      </c>
      <c r="M340">
        <v>243</v>
      </c>
      <c r="N340">
        <v>319</v>
      </c>
      <c r="O340">
        <v>12</v>
      </c>
      <c r="P340">
        <f t="shared" si="20"/>
        <v>104.89216613799999</v>
      </c>
    </row>
    <row r="341" spans="1:16">
      <c r="A341">
        <f t="shared" si="21"/>
        <v>976.35028384522127</v>
      </c>
      <c r="B341">
        <v>320</v>
      </c>
      <c r="C341">
        <v>139.0262146</v>
      </c>
      <c r="D341">
        <v>320</v>
      </c>
      <c r="E341">
        <v>147.088134766</v>
      </c>
      <c r="F341">
        <v>320</v>
      </c>
      <c r="G341">
        <v>126.032608032</v>
      </c>
      <c r="H341">
        <v>320</v>
      </c>
      <c r="I341">
        <v>144.227218628</v>
      </c>
      <c r="K341">
        <f t="shared" si="22"/>
        <v>2.8609161379999932</v>
      </c>
      <c r="L341">
        <v>320</v>
      </c>
      <c r="M341">
        <v>243</v>
      </c>
      <c r="N341">
        <v>320</v>
      </c>
      <c r="O341">
        <v>12</v>
      </c>
      <c r="P341">
        <f t="shared" ref="P341:P404" si="23">M341-C341</f>
        <v>103.9737854</v>
      </c>
    </row>
    <row r="342" spans="1:16">
      <c r="A342">
        <f t="shared" ref="A342:A405" si="24">680 +B342*COS(ABS($J$8)*PI()/180)</f>
        <v>977.27637848223753</v>
      </c>
      <c r="B342">
        <v>321</v>
      </c>
      <c r="C342">
        <v>136.83843994099999</v>
      </c>
      <c r="D342">
        <v>321</v>
      </c>
      <c r="E342">
        <v>146.97442627000001</v>
      </c>
      <c r="F342">
        <v>321</v>
      </c>
      <c r="G342">
        <v>126.57724761999999</v>
      </c>
      <c r="H342">
        <v>321</v>
      </c>
      <c r="I342">
        <v>143.820587158</v>
      </c>
      <c r="K342">
        <f t="shared" ref="K342:K405" si="25">E342-I342</f>
        <v>3.1538391120000142</v>
      </c>
      <c r="L342">
        <v>321</v>
      </c>
      <c r="M342">
        <v>243</v>
      </c>
      <c r="N342">
        <v>321</v>
      </c>
      <c r="O342">
        <v>12</v>
      </c>
      <c r="P342">
        <f t="shared" si="23"/>
        <v>106.16156005900001</v>
      </c>
    </row>
    <row r="343" spans="1:16">
      <c r="A343">
        <f t="shared" si="24"/>
        <v>978.20247311925391</v>
      </c>
      <c r="B343">
        <v>322</v>
      </c>
      <c r="C343">
        <v>136.43814086899999</v>
      </c>
      <c r="D343">
        <v>322</v>
      </c>
      <c r="E343">
        <v>145.76303100600001</v>
      </c>
      <c r="F343">
        <v>322</v>
      </c>
      <c r="G343">
        <v>126.117736816</v>
      </c>
      <c r="H343">
        <v>322</v>
      </c>
      <c r="I343">
        <v>139.486785889</v>
      </c>
      <c r="K343">
        <f t="shared" si="25"/>
        <v>6.276245117000002</v>
      </c>
      <c r="L343">
        <v>322</v>
      </c>
      <c r="M343">
        <v>243</v>
      </c>
      <c r="N343">
        <v>322</v>
      </c>
      <c r="O343">
        <v>12</v>
      </c>
      <c r="P343">
        <f t="shared" si="23"/>
        <v>106.56185913100001</v>
      </c>
    </row>
    <row r="344" spans="1:16">
      <c r="A344">
        <f t="shared" si="24"/>
        <v>979.12856775627029</v>
      </c>
      <c r="B344">
        <v>323</v>
      </c>
      <c r="C344">
        <v>134.59378051799999</v>
      </c>
      <c r="D344">
        <v>323</v>
      </c>
      <c r="E344">
        <v>146.92039489699999</v>
      </c>
      <c r="F344">
        <v>323</v>
      </c>
      <c r="G344">
        <v>125.479385376</v>
      </c>
      <c r="H344">
        <v>323</v>
      </c>
      <c r="I344">
        <v>140.640426636</v>
      </c>
      <c r="K344">
        <f t="shared" si="25"/>
        <v>6.2799682609999934</v>
      </c>
      <c r="L344">
        <v>323</v>
      </c>
      <c r="M344">
        <v>243</v>
      </c>
      <c r="N344">
        <v>323</v>
      </c>
      <c r="O344">
        <v>12</v>
      </c>
      <c r="P344">
        <f t="shared" si="23"/>
        <v>108.40621948200001</v>
      </c>
    </row>
    <row r="345" spans="1:16">
      <c r="A345">
        <f t="shared" si="24"/>
        <v>980.05466239328655</v>
      </c>
      <c r="B345">
        <v>324</v>
      </c>
      <c r="C345">
        <v>137.72178649899999</v>
      </c>
      <c r="D345">
        <v>324</v>
      </c>
      <c r="E345">
        <v>146.40934753400001</v>
      </c>
      <c r="F345">
        <v>324</v>
      </c>
      <c r="G345">
        <v>125.283653259</v>
      </c>
      <c r="H345">
        <v>324</v>
      </c>
      <c r="I345">
        <v>141.28445434599999</v>
      </c>
      <c r="K345">
        <f t="shared" si="25"/>
        <v>5.1248931880000157</v>
      </c>
      <c r="L345">
        <v>324</v>
      </c>
      <c r="M345">
        <v>243</v>
      </c>
      <c r="N345">
        <v>324</v>
      </c>
      <c r="O345">
        <v>12</v>
      </c>
      <c r="P345">
        <f t="shared" si="23"/>
        <v>105.27821350100001</v>
      </c>
    </row>
    <row r="346" spans="1:16">
      <c r="A346">
        <f t="shared" si="24"/>
        <v>980.98075703030281</v>
      </c>
      <c r="B346">
        <v>325</v>
      </c>
      <c r="C346">
        <v>139.70539855999999</v>
      </c>
      <c r="D346">
        <v>325</v>
      </c>
      <c r="E346">
        <v>145.093551636</v>
      </c>
      <c r="F346">
        <v>325</v>
      </c>
      <c r="G346">
        <v>126.130653381</v>
      </c>
      <c r="H346">
        <v>325</v>
      </c>
      <c r="I346">
        <v>140.887252808</v>
      </c>
      <c r="K346">
        <f t="shared" si="25"/>
        <v>4.2062988280000013</v>
      </c>
      <c r="L346">
        <v>325</v>
      </c>
      <c r="M346">
        <v>243</v>
      </c>
      <c r="N346">
        <v>325</v>
      </c>
      <c r="O346">
        <v>12</v>
      </c>
      <c r="P346">
        <f t="shared" si="23"/>
        <v>103.29460144000001</v>
      </c>
    </row>
    <row r="347" spans="1:16">
      <c r="A347">
        <f t="shared" si="24"/>
        <v>981.90685166731919</v>
      </c>
      <c r="B347">
        <v>326</v>
      </c>
      <c r="C347">
        <v>137.51377868700001</v>
      </c>
      <c r="D347">
        <v>326</v>
      </c>
      <c r="E347">
        <v>147.301879883</v>
      </c>
      <c r="F347">
        <v>326</v>
      </c>
      <c r="G347">
        <v>126.789520264</v>
      </c>
      <c r="H347">
        <v>326</v>
      </c>
      <c r="I347">
        <v>139.62190246599999</v>
      </c>
      <c r="K347">
        <f t="shared" si="25"/>
        <v>7.6799774170000035</v>
      </c>
      <c r="L347">
        <v>326</v>
      </c>
      <c r="M347">
        <v>243</v>
      </c>
      <c r="N347">
        <v>326</v>
      </c>
      <c r="O347">
        <v>12</v>
      </c>
      <c r="P347">
        <f t="shared" si="23"/>
        <v>105.48622131299999</v>
      </c>
    </row>
    <row r="348" spans="1:16">
      <c r="A348">
        <f t="shared" si="24"/>
        <v>982.83294630433556</v>
      </c>
      <c r="B348">
        <v>327</v>
      </c>
      <c r="C348">
        <v>135.044631958</v>
      </c>
      <c r="D348">
        <v>327</v>
      </c>
      <c r="E348">
        <v>147.61349487300001</v>
      </c>
      <c r="F348">
        <v>327</v>
      </c>
      <c r="G348">
        <v>126.674118042</v>
      </c>
      <c r="H348">
        <v>327</v>
      </c>
      <c r="I348">
        <v>138.53666687</v>
      </c>
      <c r="K348">
        <f t="shared" si="25"/>
        <v>9.0768280030000028</v>
      </c>
      <c r="L348">
        <v>327</v>
      </c>
      <c r="M348">
        <v>243</v>
      </c>
      <c r="N348">
        <v>327</v>
      </c>
      <c r="O348">
        <v>12</v>
      </c>
      <c r="P348">
        <f t="shared" si="23"/>
        <v>107.955368042</v>
      </c>
    </row>
    <row r="349" spans="1:16">
      <c r="A349">
        <f t="shared" si="24"/>
        <v>983.75904094135183</v>
      </c>
      <c r="B349">
        <v>328</v>
      </c>
      <c r="C349">
        <v>135.76130676299999</v>
      </c>
      <c r="D349">
        <v>328</v>
      </c>
      <c r="E349">
        <v>144.63676452600001</v>
      </c>
      <c r="F349">
        <v>328</v>
      </c>
      <c r="G349">
        <v>126.137336731</v>
      </c>
      <c r="H349">
        <v>328</v>
      </c>
      <c r="I349">
        <v>137.498046875</v>
      </c>
      <c r="K349">
        <f t="shared" si="25"/>
        <v>7.1387176510000074</v>
      </c>
      <c r="L349">
        <v>328</v>
      </c>
      <c r="M349">
        <v>243</v>
      </c>
      <c r="N349">
        <v>328</v>
      </c>
      <c r="O349">
        <v>12</v>
      </c>
      <c r="P349">
        <f t="shared" si="23"/>
        <v>107.23869323700001</v>
      </c>
    </row>
    <row r="350" spans="1:16">
      <c r="A350">
        <f t="shared" si="24"/>
        <v>984.68513557836809</v>
      </c>
      <c r="B350">
        <v>329</v>
      </c>
      <c r="C350">
        <v>137.362915039</v>
      </c>
      <c r="D350">
        <v>329</v>
      </c>
      <c r="E350">
        <v>143.59387207</v>
      </c>
      <c r="F350">
        <v>329</v>
      </c>
      <c r="G350">
        <v>125.670181274</v>
      </c>
      <c r="H350">
        <v>329</v>
      </c>
      <c r="I350">
        <v>136.10105895999999</v>
      </c>
      <c r="K350">
        <f t="shared" si="25"/>
        <v>7.4928131100000144</v>
      </c>
      <c r="L350">
        <v>329</v>
      </c>
      <c r="M350">
        <v>243</v>
      </c>
      <c r="N350">
        <v>329</v>
      </c>
      <c r="O350">
        <v>12</v>
      </c>
      <c r="P350">
        <f t="shared" si="23"/>
        <v>105.637084961</v>
      </c>
    </row>
    <row r="351" spans="1:16">
      <c r="A351">
        <f t="shared" si="24"/>
        <v>985.61123021538447</v>
      </c>
      <c r="B351">
        <v>330</v>
      </c>
      <c r="C351">
        <v>138.28546142600001</v>
      </c>
      <c r="D351">
        <v>330</v>
      </c>
      <c r="E351">
        <v>147.02642822300001</v>
      </c>
      <c r="F351">
        <v>330</v>
      </c>
      <c r="G351">
        <v>125.797813416</v>
      </c>
      <c r="H351">
        <v>330</v>
      </c>
      <c r="I351">
        <v>137.364044189</v>
      </c>
      <c r="K351">
        <f t="shared" si="25"/>
        <v>9.6623840340000129</v>
      </c>
      <c r="L351">
        <v>330</v>
      </c>
      <c r="M351">
        <v>243</v>
      </c>
      <c r="N351">
        <v>330</v>
      </c>
      <c r="O351">
        <v>12</v>
      </c>
      <c r="P351">
        <f t="shared" si="23"/>
        <v>104.71453857399999</v>
      </c>
    </row>
    <row r="352" spans="1:16">
      <c r="A352">
        <f t="shared" si="24"/>
        <v>986.53732485240084</v>
      </c>
      <c r="B352">
        <v>331</v>
      </c>
      <c r="C352">
        <v>138.230758667</v>
      </c>
      <c r="D352">
        <v>331</v>
      </c>
      <c r="E352">
        <v>150.216033936</v>
      </c>
      <c r="F352">
        <v>331</v>
      </c>
      <c r="G352">
        <v>125.925483704</v>
      </c>
      <c r="H352">
        <v>331</v>
      </c>
      <c r="I352">
        <v>139.876022339</v>
      </c>
      <c r="K352">
        <f t="shared" si="25"/>
        <v>10.340011597</v>
      </c>
      <c r="L352">
        <v>331</v>
      </c>
      <c r="M352">
        <v>243</v>
      </c>
      <c r="N352">
        <v>331</v>
      </c>
      <c r="O352">
        <v>12</v>
      </c>
      <c r="P352">
        <f t="shared" si="23"/>
        <v>104.769241333</v>
      </c>
    </row>
    <row r="353" spans="1:16">
      <c r="A353">
        <f t="shared" si="24"/>
        <v>987.46341948941711</v>
      </c>
      <c r="B353">
        <v>332</v>
      </c>
      <c r="C353">
        <v>137.33905029300001</v>
      </c>
      <c r="D353">
        <v>332</v>
      </c>
      <c r="E353">
        <v>150.024093628</v>
      </c>
      <c r="F353">
        <v>332</v>
      </c>
      <c r="G353">
        <v>125.94684600799999</v>
      </c>
      <c r="H353">
        <v>332</v>
      </c>
      <c r="I353">
        <v>141.522140503</v>
      </c>
      <c r="K353">
        <f t="shared" si="25"/>
        <v>8.501953125</v>
      </c>
      <c r="L353">
        <v>332</v>
      </c>
      <c r="M353">
        <v>243</v>
      </c>
      <c r="N353">
        <v>332</v>
      </c>
      <c r="O353">
        <v>12</v>
      </c>
      <c r="P353">
        <f t="shared" si="23"/>
        <v>105.66094970699999</v>
      </c>
    </row>
    <row r="354" spans="1:16">
      <c r="A354">
        <f t="shared" si="24"/>
        <v>988.38951412643337</v>
      </c>
      <c r="B354">
        <v>333</v>
      </c>
      <c r="C354">
        <v>137.55889892600001</v>
      </c>
      <c r="D354">
        <v>333</v>
      </c>
      <c r="E354">
        <v>146.98915100100001</v>
      </c>
      <c r="F354">
        <v>333</v>
      </c>
      <c r="G354">
        <v>125.943946838</v>
      </c>
      <c r="H354">
        <v>333</v>
      </c>
      <c r="I354">
        <v>139.10310363799999</v>
      </c>
      <c r="K354">
        <f t="shared" si="25"/>
        <v>7.8860473630000172</v>
      </c>
      <c r="L354">
        <v>333</v>
      </c>
      <c r="M354">
        <v>243</v>
      </c>
      <c r="N354">
        <v>333</v>
      </c>
      <c r="O354">
        <v>12</v>
      </c>
      <c r="P354">
        <f t="shared" si="23"/>
        <v>105.44110107399999</v>
      </c>
    </row>
    <row r="355" spans="1:16">
      <c r="A355">
        <f t="shared" si="24"/>
        <v>989.31560876344975</v>
      </c>
      <c r="B355">
        <v>334</v>
      </c>
      <c r="C355">
        <v>137.37855529800001</v>
      </c>
      <c r="D355">
        <v>334</v>
      </c>
      <c r="E355">
        <v>146.44108581500001</v>
      </c>
      <c r="F355">
        <v>334</v>
      </c>
      <c r="G355">
        <v>126</v>
      </c>
      <c r="H355">
        <v>334</v>
      </c>
      <c r="I355">
        <v>139.05204772900001</v>
      </c>
      <c r="K355">
        <f t="shared" si="25"/>
        <v>7.3890380859999993</v>
      </c>
      <c r="L355">
        <v>334</v>
      </c>
      <c r="M355">
        <v>243</v>
      </c>
      <c r="N355">
        <v>334</v>
      </c>
      <c r="O355">
        <v>12</v>
      </c>
      <c r="P355">
        <f t="shared" si="23"/>
        <v>105.62144470199999</v>
      </c>
    </row>
    <row r="356" spans="1:16">
      <c r="A356">
        <f t="shared" si="24"/>
        <v>990.24170340046612</v>
      </c>
      <c r="B356">
        <v>335</v>
      </c>
      <c r="C356">
        <v>139.389602661</v>
      </c>
      <c r="D356">
        <v>335</v>
      </c>
      <c r="E356">
        <v>146.54542541500001</v>
      </c>
      <c r="F356">
        <v>335</v>
      </c>
      <c r="G356">
        <v>126.10282897899999</v>
      </c>
      <c r="H356">
        <v>335</v>
      </c>
      <c r="I356">
        <v>139.23507690400001</v>
      </c>
      <c r="K356">
        <f t="shared" si="25"/>
        <v>7.3103485110000008</v>
      </c>
      <c r="L356">
        <v>335</v>
      </c>
      <c r="M356">
        <v>243</v>
      </c>
      <c r="N356">
        <v>335</v>
      </c>
      <c r="O356">
        <v>12</v>
      </c>
      <c r="P356">
        <f t="shared" si="23"/>
        <v>103.610397339</v>
      </c>
    </row>
    <row r="357" spans="1:16">
      <c r="A357">
        <f t="shared" si="24"/>
        <v>991.16779803748238</v>
      </c>
      <c r="B357">
        <v>336</v>
      </c>
      <c r="C357">
        <v>140.77107238799999</v>
      </c>
      <c r="D357">
        <v>336</v>
      </c>
      <c r="E357">
        <v>147.643600464</v>
      </c>
      <c r="F357">
        <v>336</v>
      </c>
      <c r="G357">
        <v>126.230506897</v>
      </c>
      <c r="H357">
        <v>336</v>
      </c>
      <c r="I357">
        <v>138.65882873499999</v>
      </c>
      <c r="K357">
        <f t="shared" si="25"/>
        <v>8.9847717290000162</v>
      </c>
      <c r="L357">
        <v>336</v>
      </c>
      <c r="M357">
        <v>243</v>
      </c>
      <c r="N357">
        <v>336</v>
      </c>
      <c r="O357">
        <v>12</v>
      </c>
      <c r="P357">
        <f t="shared" si="23"/>
        <v>102.22892761200001</v>
      </c>
    </row>
    <row r="358" spans="1:16">
      <c r="A358">
        <f t="shared" si="24"/>
        <v>992.09389267449865</v>
      </c>
      <c r="B358">
        <v>337</v>
      </c>
      <c r="C358">
        <v>139.54507446299999</v>
      </c>
      <c r="D358">
        <v>337</v>
      </c>
      <c r="E358">
        <v>146.429397583</v>
      </c>
      <c r="F358">
        <v>337</v>
      </c>
      <c r="G358">
        <v>126.16458129900001</v>
      </c>
      <c r="H358">
        <v>337</v>
      </c>
      <c r="I358">
        <v>138.262207031</v>
      </c>
      <c r="K358">
        <f t="shared" si="25"/>
        <v>8.1671905519999939</v>
      </c>
      <c r="L358">
        <v>337</v>
      </c>
      <c r="M358">
        <v>243</v>
      </c>
      <c r="N358">
        <v>337</v>
      </c>
      <c r="O358">
        <v>12</v>
      </c>
      <c r="P358">
        <f t="shared" si="23"/>
        <v>103.45492553700001</v>
      </c>
    </row>
    <row r="359" spans="1:16">
      <c r="A359">
        <f t="shared" si="24"/>
        <v>993.01998731151502</v>
      </c>
      <c r="B359">
        <v>338</v>
      </c>
      <c r="C359">
        <v>140.18513488799999</v>
      </c>
      <c r="D359">
        <v>338</v>
      </c>
      <c r="E359">
        <v>146.04017639200001</v>
      </c>
      <c r="F359">
        <v>338</v>
      </c>
      <c r="G359">
        <v>125.847488403</v>
      </c>
      <c r="H359">
        <v>338</v>
      </c>
      <c r="I359">
        <v>137.63031005900001</v>
      </c>
      <c r="K359">
        <f t="shared" si="25"/>
        <v>8.4098663329999965</v>
      </c>
      <c r="L359">
        <v>338</v>
      </c>
      <c r="M359">
        <v>243</v>
      </c>
      <c r="N359">
        <v>338</v>
      </c>
      <c r="O359">
        <v>12</v>
      </c>
      <c r="P359">
        <f t="shared" si="23"/>
        <v>102.81486511200001</v>
      </c>
    </row>
    <row r="360" spans="1:16">
      <c r="A360">
        <f t="shared" si="24"/>
        <v>993.94608194853129</v>
      </c>
      <c r="B360">
        <v>339</v>
      </c>
      <c r="C360">
        <v>139.44956970199999</v>
      </c>
      <c r="D360">
        <v>339</v>
      </c>
      <c r="E360">
        <v>148.864181519</v>
      </c>
      <c r="F360">
        <v>339</v>
      </c>
      <c r="G360">
        <v>125.719818115</v>
      </c>
      <c r="H360">
        <v>339</v>
      </c>
      <c r="I360">
        <v>133.119338989</v>
      </c>
      <c r="K360">
        <f t="shared" si="25"/>
        <v>15.74484253</v>
      </c>
      <c r="L360">
        <v>339</v>
      </c>
      <c r="M360">
        <v>243</v>
      </c>
      <c r="N360">
        <v>339</v>
      </c>
      <c r="O360">
        <v>12</v>
      </c>
      <c r="P360">
        <f t="shared" si="23"/>
        <v>103.55043029800001</v>
      </c>
    </row>
    <row r="361" spans="1:16">
      <c r="A361">
        <f t="shared" si="24"/>
        <v>994.87217658554755</v>
      </c>
      <c r="B361">
        <v>340</v>
      </c>
      <c r="C361">
        <v>139.041015625</v>
      </c>
      <c r="D361">
        <v>340</v>
      </c>
      <c r="E361">
        <v>147.27455139200001</v>
      </c>
      <c r="F361">
        <v>340</v>
      </c>
      <c r="G361">
        <v>125.74118042000001</v>
      </c>
      <c r="H361">
        <v>340</v>
      </c>
      <c r="I361">
        <v>133.66665649399999</v>
      </c>
      <c r="K361">
        <f t="shared" si="25"/>
        <v>13.607894898000012</v>
      </c>
      <c r="L361">
        <v>340</v>
      </c>
      <c r="M361">
        <v>243</v>
      </c>
      <c r="N361">
        <v>340</v>
      </c>
      <c r="O361">
        <v>12</v>
      </c>
      <c r="P361">
        <f t="shared" si="23"/>
        <v>103.958984375</v>
      </c>
    </row>
    <row r="362" spans="1:16">
      <c r="A362">
        <f t="shared" si="24"/>
        <v>995.79827122256393</v>
      </c>
      <c r="B362">
        <v>341</v>
      </c>
      <c r="C362">
        <v>139.21647644000001</v>
      </c>
      <c r="D362">
        <v>341</v>
      </c>
      <c r="E362">
        <v>147.57611084000001</v>
      </c>
      <c r="F362">
        <v>341</v>
      </c>
      <c r="G362">
        <v>125.868850708</v>
      </c>
      <c r="H362">
        <v>341</v>
      </c>
      <c r="I362">
        <v>135.79574585</v>
      </c>
      <c r="K362">
        <f t="shared" si="25"/>
        <v>11.78036499000001</v>
      </c>
      <c r="L362">
        <v>341</v>
      </c>
      <c r="M362">
        <v>243</v>
      </c>
      <c r="N362">
        <v>341</v>
      </c>
      <c r="O362">
        <v>12</v>
      </c>
      <c r="P362">
        <f t="shared" si="23"/>
        <v>103.78352355999999</v>
      </c>
    </row>
    <row r="363" spans="1:16">
      <c r="A363">
        <f t="shared" si="24"/>
        <v>996.7243658595803</v>
      </c>
      <c r="B363">
        <v>342</v>
      </c>
      <c r="C363">
        <v>138.56997680699999</v>
      </c>
      <c r="D363">
        <v>342</v>
      </c>
      <c r="E363">
        <v>149.58241272000001</v>
      </c>
      <c r="F363">
        <v>342</v>
      </c>
      <c r="G363">
        <v>125.996520996</v>
      </c>
      <c r="H363">
        <v>342</v>
      </c>
      <c r="I363">
        <v>134.193557739</v>
      </c>
      <c r="K363">
        <f t="shared" si="25"/>
        <v>15.388854981000009</v>
      </c>
      <c r="L363">
        <v>342</v>
      </c>
      <c r="M363">
        <v>243</v>
      </c>
      <c r="N363">
        <v>342</v>
      </c>
      <c r="O363">
        <v>12</v>
      </c>
      <c r="P363">
        <f t="shared" si="23"/>
        <v>104.43002319300001</v>
      </c>
    </row>
    <row r="364" spans="1:16">
      <c r="A364">
        <f t="shared" si="24"/>
        <v>997.65046049659657</v>
      </c>
      <c r="B364">
        <v>343</v>
      </c>
      <c r="C364">
        <v>138.46340942399999</v>
      </c>
      <c r="D364">
        <v>343</v>
      </c>
      <c r="E364">
        <v>149.62106323200001</v>
      </c>
      <c r="F364">
        <v>343</v>
      </c>
      <c r="G364">
        <v>126</v>
      </c>
      <c r="H364">
        <v>343</v>
      </c>
      <c r="I364">
        <v>136.36227417000001</v>
      </c>
      <c r="K364">
        <f t="shared" si="25"/>
        <v>13.258789062000005</v>
      </c>
      <c r="L364">
        <v>343</v>
      </c>
      <c r="M364">
        <v>243</v>
      </c>
      <c r="N364">
        <v>343</v>
      </c>
      <c r="O364">
        <v>12</v>
      </c>
      <c r="P364">
        <f t="shared" si="23"/>
        <v>104.53659057600001</v>
      </c>
    </row>
    <row r="365" spans="1:16">
      <c r="A365">
        <f t="shared" si="24"/>
        <v>998.57655513361283</v>
      </c>
      <c r="B365">
        <v>344</v>
      </c>
      <c r="C365">
        <v>138.39944457999999</v>
      </c>
      <c r="D365">
        <v>344</v>
      </c>
      <c r="E365">
        <v>148.546417236</v>
      </c>
      <c r="F365">
        <v>344</v>
      </c>
      <c r="G365">
        <v>126</v>
      </c>
      <c r="H365">
        <v>344</v>
      </c>
      <c r="I365">
        <v>136.543258667</v>
      </c>
      <c r="K365">
        <f t="shared" si="25"/>
        <v>12.003158568999993</v>
      </c>
      <c r="L365">
        <v>344</v>
      </c>
      <c r="M365">
        <v>243</v>
      </c>
      <c r="N365">
        <v>344</v>
      </c>
      <c r="O365">
        <v>12</v>
      </c>
      <c r="P365">
        <f t="shared" si="23"/>
        <v>104.60055542000001</v>
      </c>
    </row>
    <row r="366" spans="1:16">
      <c r="A366">
        <f t="shared" si="24"/>
        <v>999.5026497706292</v>
      </c>
      <c r="B366">
        <v>345</v>
      </c>
      <c r="C366">
        <v>138.24925231899999</v>
      </c>
      <c r="D366">
        <v>345</v>
      </c>
      <c r="E366">
        <v>145.77516174300001</v>
      </c>
      <c r="F366">
        <v>345</v>
      </c>
      <c r="G366">
        <v>126.046203613</v>
      </c>
      <c r="H366">
        <v>345</v>
      </c>
      <c r="I366">
        <v>137.85293579099999</v>
      </c>
      <c r="K366">
        <f t="shared" si="25"/>
        <v>7.9222259520000193</v>
      </c>
      <c r="L366">
        <v>345</v>
      </c>
      <c r="M366">
        <v>243</v>
      </c>
      <c r="N366">
        <v>345</v>
      </c>
      <c r="O366">
        <v>12</v>
      </c>
      <c r="P366">
        <f t="shared" si="23"/>
        <v>104.75074768100001</v>
      </c>
    </row>
    <row r="367" spans="1:16">
      <c r="A367">
        <f t="shared" si="24"/>
        <v>1000.4287444076456</v>
      </c>
      <c r="B367">
        <v>346</v>
      </c>
      <c r="C367">
        <v>138.333328247</v>
      </c>
      <c r="D367">
        <v>346</v>
      </c>
      <c r="E367">
        <v>145.00608825699999</v>
      </c>
      <c r="F367">
        <v>346</v>
      </c>
      <c r="G367">
        <v>125.716026306</v>
      </c>
      <c r="H367">
        <v>346</v>
      </c>
      <c r="I367">
        <v>137.023529053</v>
      </c>
      <c r="K367">
        <f t="shared" si="25"/>
        <v>7.9825592039999833</v>
      </c>
      <c r="L367">
        <v>346</v>
      </c>
      <c r="M367">
        <v>243</v>
      </c>
      <c r="N367">
        <v>346</v>
      </c>
      <c r="O367">
        <v>12</v>
      </c>
      <c r="P367">
        <f t="shared" si="23"/>
        <v>104.666671753</v>
      </c>
    </row>
    <row r="368" spans="1:16">
      <c r="A368">
        <f t="shared" si="24"/>
        <v>1001.3548390446618</v>
      </c>
      <c r="B368">
        <v>347</v>
      </c>
      <c r="C368">
        <v>137.76345825199999</v>
      </c>
      <c r="D368">
        <v>347</v>
      </c>
      <c r="E368">
        <v>146.99407959000001</v>
      </c>
      <c r="F368">
        <v>347</v>
      </c>
      <c r="G368">
        <v>125.90461731000001</v>
      </c>
      <c r="H368">
        <v>347</v>
      </c>
      <c r="I368">
        <v>136.278762817</v>
      </c>
      <c r="K368">
        <f t="shared" si="25"/>
        <v>10.715316773000012</v>
      </c>
      <c r="L368">
        <v>347</v>
      </c>
      <c r="M368">
        <v>243</v>
      </c>
      <c r="N368">
        <v>347</v>
      </c>
      <c r="O368">
        <v>12</v>
      </c>
      <c r="P368">
        <f t="shared" si="23"/>
        <v>105.23654174800001</v>
      </c>
    </row>
    <row r="369" spans="1:16">
      <c r="A369">
        <f t="shared" si="24"/>
        <v>1002.2809336816781</v>
      </c>
      <c r="B369">
        <v>348</v>
      </c>
      <c r="C369">
        <v>136.75502014200001</v>
      </c>
      <c r="D369">
        <v>348</v>
      </c>
      <c r="E369">
        <v>146.264526367</v>
      </c>
      <c r="F369">
        <v>348</v>
      </c>
      <c r="G369">
        <v>125.71237182599999</v>
      </c>
      <c r="H369">
        <v>348</v>
      </c>
      <c r="I369">
        <v>135.254394531</v>
      </c>
      <c r="K369">
        <f t="shared" si="25"/>
        <v>11.010131835999999</v>
      </c>
      <c r="L369">
        <v>348</v>
      </c>
      <c r="M369">
        <v>243</v>
      </c>
      <c r="N369">
        <v>348</v>
      </c>
      <c r="O369">
        <v>12</v>
      </c>
      <c r="P369">
        <f t="shared" si="23"/>
        <v>106.24497985799999</v>
      </c>
    </row>
    <row r="370" spans="1:16">
      <c r="A370">
        <f t="shared" si="24"/>
        <v>1003.2070283186945</v>
      </c>
      <c r="B370">
        <v>349</v>
      </c>
      <c r="C370">
        <v>137.88703918499999</v>
      </c>
      <c r="D370">
        <v>349</v>
      </c>
      <c r="E370">
        <v>145.648727417</v>
      </c>
      <c r="F370">
        <v>349</v>
      </c>
      <c r="G370">
        <v>125.329360962</v>
      </c>
      <c r="H370">
        <v>349</v>
      </c>
      <c r="I370">
        <v>133.689727783</v>
      </c>
      <c r="K370">
        <f t="shared" si="25"/>
        <v>11.958999634000008</v>
      </c>
      <c r="L370">
        <v>349</v>
      </c>
      <c r="M370">
        <v>243</v>
      </c>
      <c r="N370">
        <v>349</v>
      </c>
      <c r="O370">
        <v>12</v>
      </c>
      <c r="P370">
        <f t="shared" si="23"/>
        <v>105.11296081500001</v>
      </c>
    </row>
    <row r="371" spans="1:16">
      <c r="A371">
        <f t="shared" si="24"/>
        <v>1004.1331229557109</v>
      </c>
      <c r="B371">
        <v>350</v>
      </c>
      <c r="C371">
        <v>138.12850952100001</v>
      </c>
      <c r="D371">
        <v>350</v>
      </c>
      <c r="E371">
        <v>143.37887573200001</v>
      </c>
      <c r="F371">
        <v>350</v>
      </c>
      <c r="G371">
        <v>125</v>
      </c>
      <c r="H371">
        <v>350</v>
      </c>
      <c r="I371">
        <v>135.43988037099999</v>
      </c>
      <c r="K371">
        <f t="shared" si="25"/>
        <v>7.9389953610000248</v>
      </c>
      <c r="L371">
        <v>350</v>
      </c>
      <c r="M371">
        <v>243</v>
      </c>
      <c r="N371">
        <v>350</v>
      </c>
      <c r="O371">
        <v>12.053650856000001</v>
      </c>
      <c r="P371">
        <f t="shared" si="23"/>
        <v>104.87149047899999</v>
      </c>
    </row>
    <row r="372" spans="1:16">
      <c r="A372">
        <f t="shared" si="24"/>
        <v>1005.0592175927271</v>
      </c>
      <c r="B372">
        <v>351</v>
      </c>
      <c r="C372">
        <v>137.200042725</v>
      </c>
      <c r="D372">
        <v>351</v>
      </c>
      <c r="E372">
        <v>144.72833252000001</v>
      </c>
      <c r="F372">
        <v>351</v>
      </c>
      <c r="G372">
        <v>125</v>
      </c>
      <c r="H372">
        <v>351</v>
      </c>
      <c r="I372">
        <v>139.06781005900001</v>
      </c>
      <c r="K372">
        <f t="shared" si="25"/>
        <v>5.6605224609999993</v>
      </c>
      <c r="L372">
        <v>351</v>
      </c>
      <c r="M372">
        <v>243</v>
      </c>
      <c r="N372">
        <v>351</v>
      </c>
      <c r="O372">
        <v>12.43666172</v>
      </c>
      <c r="P372">
        <f t="shared" si="23"/>
        <v>105.799957275</v>
      </c>
    </row>
    <row r="373" spans="1:16">
      <c r="A373">
        <f t="shared" si="24"/>
        <v>1005.9853122297434</v>
      </c>
      <c r="B373">
        <v>352</v>
      </c>
      <c r="C373">
        <v>137.40756225600001</v>
      </c>
      <c r="D373">
        <v>352</v>
      </c>
      <c r="E373">
        <v>145.76820373499999</v>
      </c>
      <c r="F373">
        <v>352</v>
      </c>
      <c r="G373">
        <v>125</v>
      </c>
      <c r="H373">
        <v>352</v>
      </c>
      <c r="I373">
        <v>143.227127075</v>
      </c>
      <c r="K373">
        <f t="shared" si="25"/>
        <v>2.5410766599999874</v>
      </c>
      <c r="L373">
        <v>352</v>
      </c>
      <c r="M373">
        <v>242.53157043499999</v>
      </c>
      <c r="N373">
        <v>352</v>
      </c>
      <c r="O373">
        <v>12.864014625999999</v>
      </c>
      <c r="P373">
        <f t="shared" si="23"/>
        <v>105.12400817899999</v>
      </c>
    </row>
    <row r="374" spans="1:16">
      <c r="A374">
        <f t="shared" si="24"/>
        <v>1006.9114068667598</v>
      </c>
      <c r="B374">
        <v>353</v>
      </c>
      <c r="C374">
        <v>138.28237915</v>
      </c>
      <c r="D374">
        <v>353</v>
      </c>
      <c r="E374">
        <v>144.679199219</v>
      </c>
      <c r="F374">
        <v>353</v>
      </c>
      <c r="G374">
        <v>125.067558289</v>
      </c>
      <c r="H374">
        <v>353</v>
      </c>
      <c r="I374">
        <v>144.326293945</v>
      </c>
      <c r="K374">
        <f t="shared" si="25"/>
        <v>0.35290527399999405</v>
      </c>
      <c r="L374">
        <v>353</v>
      </c>
      <c r="M374">
        <v>242</v>
      </c>
      <c r="N374">
        <v>353</v>
      </c>
      <c r="O374">
        <v>13</v>
      </c>
      <c r="P374">
        <f t="shared" si="23"/>
        <v>103.71762085</v>
      </c>
    </row>
    <row r="375" spans="1:16">
      <c r="A375">
        <f t="shared" si="24"/>
        <v>1007.8375015037761</v>
      </c>
      <c r="B375">
        <v>354</v>
      </c>
      <c r="C375">
        <v>138.26808166500001</v>
      </c>
      <c r="D375">
        <v>354</v>
      </c>
      <c r="E375">
        <v>145.91598510700001</v>
      </c>
      <c r="F375">
        <v>354</v>
      </c>
      <c r="G375">
        <v>125.158569336</v>
      </c>
      <c r="H375">
        <v>354</v>
      </c>
      <c r="I375">
        <v>140.208816528</v>
      </c>
      <c r="K375">
        <f t="shared" si="25"/>
        <v>5.7071685790000117</v>
      </c>
      <c r="L375">
        <v>354</v>
      </c>
      <c r="M375">
        <v>242</v>
      </c>
      <c r="N375">
        <v>354</v>
      </c>
      <c r="O375">
        <v>13</v>
      </c>
      <c r="P375">
        <f t="shared" si="23"/>
        <v>103.73191833499999</v>
      </c>
    </row>
    <row r="376" spans="1:16">
      <c r="A376">
        <f t="shared" si="24"/>
        <v>1008.7635961407924</v>
      </c>
      <c r="B376">
        <v>355</v>
      </c>
      <c r="C376">
        <v>136.57714843799999</v>
      </c>
      <c r="D376">
        <v>355</v>
      </c>
      <c r="E376">
        <v>148.01133727999999</v>
      </c>
      <c r="F376">
        <v>355</v>
      </c>
      <c r="G376">
        <v>124.67709350600001</v>
      </c>
      <c r="H376">
        <v>355</v>
      </c>
      <c r="I376">
        <v>138.03135681200001</v>
      </c>
      <c r="K376">
        <f t="shared" si="25"/>
        <v>9.9799804679999795</v>
      </c>
      <c r="L376">
        <v>355</v>
      </c>
      <c r="M376">
        <v>242</v>
      </c>
      <c r="N376">
        <v>355</v>
      </c>
      <c r="O376">
        <v>13</v>
      </c>
      <c r="P376">
        <f t="shared" si="23"/>
        <v>105.42285156200001</v>
      </c>
    </row>
    <row r="377" spans="1:16">
      <c r="A377">
        <f t="shared" si="24"/>
        <v>1009.6896907778087</v>
      </c>
      <c r="B377">
        <v>356</v>
      </c>
      <c r="C377">
        <v>133.51475524899999</v>
      </c>
      <c r="D377">
        <v>356</v>
      </c>
      <c r="E377">
        <v>148.67811584500001</v>
      </c>
      <c r="F377">
        <v>356</v>
      </c>
      <c r="G377">
        <v>124.783905029</v>
      </c>
      <c r="H377">
        <v>356</v>
      </c>
      <c r="I377">
        <v>136.211761475</v>
      </c>
      <c r="K377">
        <f t="shared" si="25"/>
        <v>12.466354370000005</v>
      </c>
      <c r="L377">
        <v>356</v>
      </c>
      <c r="M377">
        <v>242</v>
      </c>
      <c r="N377">
        <v>356</v>
      </c>
      <c r="O377">
        <v>13</v>
      </c>
      <c r="P377">
        <f t="shared" si="23"/>
        <v>108.48524475100001</v>
      </c>
    </row>
    <row r="378" spans="1:16">
      <c r="A378">
        <f t="shared" si="24"/>
        <v>1010.615785414825</v>
      </c>
      <c r="B378">
        <v>357</v>
      </c>
      <c r="C378">
        <v>135.38702392600001</v>
      </c>
      <c r="D378">
        <v>357</v>
      </c>
      <c r="E378">
        <v>148.73916625999999</v>
      </c>
      <c r="F378">
        <v>357</v>
      </c>
      <c r="G378">
        <v>124.911575317</v>
      </c>
      <c r="H378">
        <v>357</v>
      </c>
      <c r="I378">
        <v>128.59375</v>
      </c>
      <c r="K378">
        <f t="shared" si="25"/>
        <v>20.14541625999999</v>
      </c>
      <c r="L378">
        <v>357</v>
      </c>
      <c r="M378">
        <v>242</v>
      </c>
      <c r="N378">
        <v>357</v>
      </c>
      <c r="O378">
        <v>13</v>
      </c>
      <c r="P378">
        <f t="shared" si="23"/>
        <v>106.61297607399999</v>
      </c>
    </row>
    <row r="379" spans="1:16">
      <c r="A379">
        <f t="shared" si="24"/>
        <v>1011.5418800518413</v>
      </c>
      <c r="B379">
        <v>358</v>
      </c>
      <c r="C379">
        <v>138.401885986</v>
      </c>
      <c r="D379">
        <v>358</v>
      </c>
      <c r="E379">
        <v>149.51498413100001</v>
      </c>
      <c r="F379">
        <v>358</v>
      </c>
      <c r="G379">
        <v>124.921508789</v>
      </c>
      <c r="H379">
        <v>358</v>
      </c>
      <c r="I379">
        <v>137.616134644</v>
      </c>
      <c r="K379">
        <f t="shared" si="25"/>
        <v>11.898849487000007</v>
      </c>
      <c r="L379">
        <v>358</v>
      </c>
      <c r="M379">
        <v>242</v>
      </c>
      <c r="N379">
        <v>358</v>
      </c>
      <c r="O379">
        <v>13</v>
      </c>
      <c r="P379">
        <f t="shared" si="23"/>
        <v>103.598114014</v>
      </c>
    </row>
    <row r="380" spans="1:16">
      <c r="A380">
        <f t="shared" si="24"/>
        <v>1012.4679746888576</v>
      </c>
      <c r="B380">
        <v>359</v>
      </c>
      <c r="C380">
        <v>140.097366333</v>
      </c>
      <c r="D380">
        <v>359</v>
      </c>
      <c r="E380">
        <v>148.63703918499999</v>
      </c>
      <c r="F380">
        <v>359</v>
      </c>
      <c r="G380">
        <v>124.427513123</v>
      </c>
      <c r="H380">
        <v>359</v>
      </c>
      <c r="I380">
        <v>138.527099609</v>
      </c>
      <c r="K380">
        <f t="shared" si="25"/>
        <v>10.109939575999988</v>
      </c>
      <c r="L380">
        <v>359</v>
      </c>
      <c r="M380">
        <v>242</v>
      </c>
      <c r="N380">
        <v>359</v>
      </c>
      <c r="O380">
        <v>13</v>
      </c>
      <c r="P380">
        <f t="shared" si="23"/>
        <v>101.902633667</v>
      </c>
    </row>
    <row r="381" spans="1:16">
      <c r="A381">
        <f t="shared" si="24"/>
        <v>1013.3940693258739</v>
      </c>
      <c r="B381">
        <v>360</v>
      </c>
      <c r="C381">
        <v>139.48985290499999</v>
      </c>
      <c r="D381">
        <v>360</v>
      </c>
      <c r="E381">
        <v>149.01431274399999</v>
      </c>
      <c r="F381">
        <v>360</v>
      </c>
      <c r="G381">
        <v>123.56582641599999</v>
      </c>
      <c r="H381">
        <v>360</v>
      </c>
      <c r="I381">
        <v>136.78778076200001</v>
      </c>
      <c r="K381">
        <f t="shared" si="25"/>
        <v>12.226531981999983</v>
      </c>
      <c r="L381">
        <v>360</v>
      </c>
      <c r="M381">
        <v>242</v>
      </c>
      <c r="N381">
        <v>360</v>
      </c>
      <c r="O381">
        <v>13</v>
      </c>
      <c r="P381">
        <f t="shared" si="23"/>
        <v>102.51014709500001</v>
      </c>
    </row>
    <row r="382" spans="1:16">
      <c r="A382">
        <f t="shared" si="24"/>
        <v>1014.3201639628903</v>
      </c>
      <c r="B382">
        <v>361</v>
      </c>
      <c r="C382">
        <v>137.7862854</v>
      </c>
      <c r="D382">
        <v>361</v>
      </c>
      <c r="E382">
        <v>150.96897888199999</v>
      </c>
      <c r="F382">
        <v>361</v>
      </c>
      <c r="G382">
        <v>123.51117706300001</v>
      </c>
      <c r="H382">
        <v>361</v>
      </c>
      <c r="I382">
        <v>136.55046081500001</v>
      </c>
      <c r="K382">
        <f t="shared" si="25"/>
        <v>14.41851806699998</v>
      </c>
      <c r="L382">
        <v>361</v>
      </c>
      <c r="M382">
        <v>242</v>
      </c>
      <c r="N382">
        <v>361</v>
      </c>
      <c r="O382">
        <v>13</v>
      </c>
      <c r="P382">
        <f t="shared" si="23"/>
        <v>104.2137146</v>
      </c>
    </row>
    <row r="383" spans="1:16">
      <c r="A383">
        <f t="shared" si="24"/>
        <v>1015.2462585999066</v>
      </c>
      <c r="B383">
        <v>362</v>
      </c>
      <c r="C383">
        <v>137.28555297899999</v>
      </c>
      <c r="D383">
        <v>362</v>
      </c>
      <c r="E383">
        <v>148.19520568799999</v>
      </c>
      <c r="F383">
        <v>362</v>
      </c>
      <c r="G383">
        <v>123.596366882</v>
      </c>
      <c r="H383">
        <v>362</v>
      </c>
      <c r="I383">
        <v>139.01524352999999</v>
      </c>
      <c r="K383">
        <f t="shared" si="25"/>
        <v>9.179962157999995</v>
      </c>
      <c r="L383">
        <v>362</v>
      </c>
      <c r="M383">
        <v>242</v>
      </c>
      <c r="N383">
        <v>362</v>
      </c>
      <c r="O383">
        <v>13</v>
      </c>
      <c r="P383">
        <f t="shared" si="23"/>
        <v>104.71444702100001</v>
      </c>
    </row>
    <row r="384" spans="1:16">
      <c r="A384">
        <f t="shared" si="24"/>
        <v>1016.1723532369228</v>
      </c>
      <c r="B384">
        <v>363</v>
      </c>
      <c r="C384">
        <v>136.09777832</v>
      </c>
      <c r="D384">
        <v>363</v>
      </c>
      <c r="E384">
        <v>145.435836792</v>
      </c>
      <c r="F384">
        <v>363</v>
      </c>
      <c r="G384">
        <v>123.55092620800001</v>
      </c>
      <c r="H384">
        <v>363</v>
      </c>
      <c r="I384">
        <v>136.69137573200001</v>
      </c>
      <c r="K384">
        <f t="shared" si="25"/>
        <v>8.7444610599999919</v>
      </c>
      <c r="L384">
        <v>363</v>
      </c>
      <c r="M384">
        <v>241.79844665499999</v>
      </c>
      <c r="N384">
        <v>363</v>
      </c>
      <c r="O384">
        <v>13.409835814999999</v>
      </c>
      <c r="P384">
        <f t="shared" si="23"/>
        <v>105.70066833499999</v>
      </c>
    </row>
    <row r="385" spans="1:16">
      <c r="A385">
        <f t="shared" si="24"/>
        <v>1017.0984478739392</v>
      </c>
      <c r="B385">
        <v>364</v>
      </c>
      <c r="C385">
        <v>132.37303161599999</v>
      </c>
      <c r="D385">
        <v>364</v>
      </c>
      <c r="E385">
        <v>145.224151611</v>
      </c>
      <c r="F385">
        <v>364</v>
      </c>
      <c r="G385">
        <v>122.584205627</v>
      </c>
      <c r="H385">
        <v>364</v>
      </c>
      <c r="I385">
        <v>136.64968872099999</v>
      </c>
      <c r="K385">
        <f t="shared" si="25"/>
        <v>8.5744628900000066</v>
      </c>
      <c r="L385">
        <v>364</v>
      </c>
      <c r="M385">
        <v>241.08438110399999</v>
      </c>
      <c r="N385">
        <v>364</v>
      </c>
      <c r="O385">
        <v>14</v>
      </c>
      <c r="P385">
        <f t="shared" si="23"/>
        <v>108.711349488</v>
      </c>
    </row>
    <row r="386" spans="1:16">
      <c r="A386">
        <f t="shared" si="24"/>
        <v>1018.0245425109556</v>
      </c>
      <c r="B386">
        <v>365</v>
      </c>
      <c r="C386">
        <v>132.28009033199999</v>
      </c>
      <c r="D386">
        <v>365</v>
      </c>
      <c r="E386">
        <v>146.38673400900001</v>
      </c>
      <c r="F386">
        <v>365</v>
      </c>
      <c r="G386">
        <v>122.201194763</v>
      </c>
      <c r="H386">
        <v>365</v>
      </c>
      <c r="I386">
        <v>137.00782775900001</v>
      </c>
      <c r="K386">
        <f t="shared" si="25"/>
        <v>9.37890625</v>
      </c>
      <c r="L386">
        <v>365</v>
      </c>
      <c r="M386">
        <v>241</v>
      </c>
      <c r="N386">
        <v>365</v>
      </c>
      <c r="O386">
        <v>14</v>
      </c>
      <c r="P386">
        <f t="shared" si="23"/>
        <v>108.71990966800001</v>
      </c>
    </row>
    <row r="387" spans="1:16">
      <c r="A387">
        <f t="shared" si="24"/>
        <v>1018.9506371479719</v>
      </c>
      <c r="B387">
        <v>366</v>
      </c>
      <c r="C387">
        <v>137.007049561</v>
      </c>
      <c r="D387">
        <v>366</v>
      </c>
      <c r="E387">
        <v>146.48934936500001</v>
      </c>
      <c r="F387">
        <v>366</v>
      </c>
      <c r="G387">
        <v>122.181816101</v>
      </c>
      <c r="H387">
        <v>366</v>
      </c>
      <c r="I387">
        <v>136.10195922899999</v>
      </c>
      <c r="K387">
        <f t="shared" si="25"/>
        <v>10.387390136000022</v>
      </c>
      <c r="L387">
        <v>366</v>
      </c>
      <c r="M387">
        <v>241</v>
      </c>
      <c r="N387">
        <v>366</v>
      </c>
      <c r="O387">
        <v>14</v>
      </c>
      <c r="P387">
        <f t="shared" si="23"/>
        <v>103.992950439</v>
      </c>
    </row>
    <row r="388" spans="1:16">
      <c r="A388">
        <f t="shared" si="24"/>
        <v>1019.8767317849881</v>
      </c>
      <c r="B388">
        <v>367</v>
      </c>
      <c r="C388">
        <v>137.04719543499999</v>
      </c>
      <c r="D388">
        <v>367</v>
      </c>
      <c r="E388">
        <v>145.93876647900001</v>
      </c>
      <c r="F388">
        <v>367</v>
      </c>
      <c r="G388">
        <v>122.600097656</v>
      </c>
      <c r="H388">
        <v>367</v>
      </c>
      <c r="I388">
        <v>135.65016174300001</v>
      </c>
      <c r="K388">
        <f t="shared" si="25"/>
        <v>10.288604735999996</v>
      </c>
      <c r="L388">
        <v>367</v>
      </c>
      <c r="M388">
        <v>241</v>
      </c>
      <c r="N388">
        <v>367</v>
      </c>
      <c r="O388">
        <v>14</v>
      </c>
      <c r="P388">
        <f t="shared" si="23"/>
        <v>103.95280456500001</v>
      </c>
    </row>
    <row r="389" spans="1:16">
      <c r="A389">
        <f t="shared" si="24"/>
        <v>1020.8028264220045</v>
      </c>
      <c r="B389">
        <v>368</v>
      </c>
      <c r="C389">
        <v>136.098190308</v>
      </c>
      <c r="D389">
        <v>368</v>
      </c>
      <c r="E389">
        <v>145.659423828</v>
      </c>
      <c r="F389">
        <v>368</v>
      </c>
      <c r="G389">
        <v>123.281173706</v>
      </c>
      <c r="H389">
        <v>368</v>
      </c>
      <c r="I389">
        <v>137.09671020499999</v>
      </c>
      <c r="K389">
        <f t="shared" si="25"/>
        <v>8.5627136230000076</v>
      </c>
      <c r="L389">
        <v>368</v>
      </c>
      <c r="M389">
        <v>241</v>
      </c>
      <c r="N389">
        <v>368</v>
      </c>
      <c r="O389">
        <v>14</v>
      </c>
      <c r="P389">
        <f t="shared" si="23"/>
        <v>104.901809692</v>
      </c>
    </row>
    <row r="390" spans="1:16">
      <c r="A390">
        <f t="shared" si="24"/>
        <v>1021.7289210590209</v>
      </c>
      <c r="B390">
        <v>369</v>
      </c>
      <c r="C390">
        <v>137.24667358400001</v>
      </c>
      <c r="D390">
        <v>369</v>
      </c>
      <c r="E390">
        <v>146.45726013199999</v>
      </c>
      <c r="F390">
        <v>369</v>
      </c>
      <c r="G390">
        <v>122.89220428500001</v>
      </c>
      <c r="H390">
        <v>369</v>
      </c>
      <c r="I390">
        <v>138.6693573</v>
      </c>
      <c r="K390">
        <f t="shared" si="25"/>
        <v>7.7879028319999861</v>
      </c>
      <c r="L390">
        <v>369</v>
      </c>
      <c r="M390">
        <v>241</v>
      </c>
      <c r="N390">
        <v>369</v>
      </c>
      <c r="O390">
        <v>14</v>
      </c>
      <c r="P390">
        <f t="shared" si="23"/>
        <v>103.75332641599999</v>
      </c>
    </row>
    <row r="391" spans="1:16">
      <c r="A391">
        <f t="shared" si="24"/>
        <v>1022.6550156960371</v>
      </c>
      <c r="B391">
        <v>370</v>
      </c>
      <c r="C391">
        <v>136.37637329099999</v>
      </c>
      <c r="D391">
        <v>370</v>
      </c>
      <c r="E391">
        <v>146.59490966800001</v>
      </c>
      <c r="F391">
        <v>370</v>
      </c>
      <c r="G391">
        <v>122.13034820599999</v>
      </c>
      <c r="H391">
        <v>370</v>
      </c>
      <c r="I391">
        <v>136.33535766599999</v>
      </c>
      <c r="K391">
        <f t="shared" si="25"/>
        <v>10.259552002000021</v>
      </c>
      <c r="L391">
        <v>370</v>
      </c>
      <c r="M391">
        <v>241</v>
      </c>
      <c r="N391">
        <v>370</v>
      </c>
      <c r="O391">
        <v>14</v>
      </c>
      <c r="P391">
        <f t="shared" si="23"/>
        <v>104.62362670900001</v>
      </c>
    </row>
    <row r="392" spans="1:16">
      <c r="A392">
        <f t="shared" si="24"/>
        <v>1023.5811103330534</v>
      </c>
      <c r="B392">
        <v>371</v>
      </c>
      <c r="C392">
        <v>135.715042114</v>
      </c>
      <c r="D392">
        <v>371</v>
      </c>
      <c r="E392">
        <v>146.60078430199999</v>
      </c>
      <c r="F392">
        <v>371</v>
      </c>
      <c r="G392">
        <v>122.019203186</v>
      </c>
      <c r="H392">
        <v>371</v>
      </c>
      <c r="I392">
        <v>136.22463989299999</v>
      </c>
      <c r="K392">
        <f t="shared" si="25"/>
        <v>10.376144409000005</v>
      </c>
      <c r="L392">
        <v>371</v>
      </c>
      <c r="M392">
        <v>241</v>
      </c>
      <c r="N392">
        <v>371</v>
      </c>
      <c r="O392">
        <v>14</v>
      </c>
      <c r="P392">
        <f t="shared" si="23"/>
        <v>105.284957886</v>
      </c>
    </row>
    <row r="393" spans="1:16">
      <c r="A393">
        <f t="shared" si="24"/>
        <v>1024.5072049700698</v>
      </c>
      <c r="B393">
        <v>372</v>
      </c>
      <c r="C393">
        <v>135.50323486299999</v>
      </c>
      <c r="D393">
        <v>372</v>
      </c>
      <c r="E393">
        <v>146.463134766</v>
      </c>
      <c r="F393">
        <v>372</v>
      </c>
      <c r="G393">
        <v>122.86134338399999</v>
      </c>
      <c r="H393">
        <v>372</v>
      </c>
      <c r="I393">
        <v>138.93499755900001</v>
      </c>
      <c r="K393">
        <f t="shared" si="25"/>
        <v>7.5281372069999861</v>
      </c>
      <c r="L393">
        <v>372</v>
      </c>
      <c r="M393">
        <v>241</v>
      </c>
      <c r="N393">
        <v>372</v>
      </c>
      <c r="O393">
        <v>14.348289490000001</v>
      </c>
      <c r="P393">
        <f t="shared" si="23"/>
        <v>105.49676513700001</v>
      </c>
    </row>
    <row r="394" spans="1:16">
      <c r="A394">
        <f t="shared" si="24"/>
        <v>1025.4332996070862</v>
      </c>
      <c r="B394">
        <v>373</v>
      </c>
      <c r="C394">
        <v>135.44464111299999</v>
      </c>
      <c r="D394">
        <v>373</v>
      </c>
      <c r="E394">
        <v>146.61405944800001</v>
      </c>
      <c r="F394">
        <v>373</v>
      </c>
      <c r="G394">
        <v>122.803771973</v>
      </c>
      <c r="H394">
        <v>373</v>
      </c>
      <c r="I394">
        <v>137.43553161599999</v>
      </c>
      <c r="K394">
        <f t="shared" si="25"/>
        <v>9.1785278320000145</v>
      </c>
      <c r="L394">
        <v>373</v>
      </c>
      <c r="M394">
        <v>240.692993164</v>
      </c>
      <c r="N394">
        <v>373</v>
      </c>
      <c r="O394">
        <v>14.862891197</v>
      </c>
      <c r="P394">
        <f t="shared" si="23"/>
        <v>105.24835205100001</v>
      </c>
    </row>
    <row r="395" spans="1:16">
      <c r="A395">
        <f t="shared" si="24"/>
        <v>1026.3593942441025</v>
      </c>
      <c r="B395">
        <v>374</v>
      </c>
      <c r="C395">
        <v>136.87968444800001</v>
      </c>
      <c r="D395">
        <v>374</v>
      </c>
      <c r="E395">
        <v>146.99375915499999</v>
      </c>
      <c r="F395">
        <v>374</v>
      </c>
      <c r="G395">
        <v>123.77792358400001</v>
      </c>
      <c r="H395">
        <v>374</v>
      </c>
      <c r="I395">
        <v>133.26167297399999</v>
      </c>
      <c r="K395">
        <f t="shared" si="25"/>
        <v>13.732086181</v>
      </c>
      <c r="L395">
        <v>374</v>
      </c>
      <c r="M395">
        <v>240.13276672399999</v>
      </c>
      <c r="N395">
        <v>374</v>
      </c>
      <c r="O395">
        <v>15</v>
      </c>
      <c r="P395">
        <f t="shared" si="23"/>
        <v>103.25308227599999</v>
      </c>
    </row>
    <row r="396" spans="1:16">
      <c r="A396">
        <f t="shared" si="24"/>
        <v>1027.2854888811187</v>
      </c>
      <c r="B396">
        <v>375</v>
      </c>
      <c r="C396">
        <v>137.1849823</v>
      </c>
      <c r="D396">
        <v>375</v>
      </c>
      <c r="E396">
        <v>147.51605224599999</v>
      </c>
      <c r="F396">
        <v>375</v>
      </c>
      <c r="G396">
        <v>124.222465515</v>
      </c>
      <c r="H396">
        <v>375</v>
      </c>
      <c r="I396">
        <v>130.70588684099999</v>
      </c>
      <c r="K396">
        <f t="shared" si="25"/>
        <v>16.810165404999992</v>
      </c>
      <c r="L396">
        <v>375</v>
      </c>
      <c r="M396">
        <v>240</v>
      </c>
      <c r="N396">
        <v>375</v>
      </c>
      <c r="O396">
        <v>15</v>
      </c>
      <c r="P396">
        <f t="shared" si="23"/>
        <v>102.8150177</v>
      </c>
    </row>
    <row r="397" spans="1:16">
      <c r="A397">
        <f t="shared" si="24"/>
        <v>1028.2115835181351</v>
      </c>
      <c r="B397">
        <v>376</v>
      </c>
      <c r="C397">
        <v>136.18128967300001</v>
      </c>
      <c r="D397">
        <v>376</v>
      </c>
      <c r="E397">
        <v>146.47354125999999</v>
      </c>
      <c r="F397">
        <v>376</v>
      </c>
      <c r="G397">
        <v>123.81917572</v>
      </c>
      <c r="H397">
        <v>376</v>
      </c>
      <c r="I397">
        <v>131.358886719</v>
      </c>
      <c r="K397">
        <f t="shared" si="25"/>
        <v>15.114654540999993</v>
      </c>
      <c r="L397">
        <v>376</v>
      </c>
      <c r="M397">
        <v>240</v>
      </c>
      <c r="N397">
        <v>376</v>
      </c>
      <c r="O397">
        <v>15</v>
      </c>
      <c r="P397">
        <f t="shared" si="23"/>
        <v>103.81871032699999</v>
      </c>
    </row>
    <row r="398" spans="1:16">
      <c r="A398">
        <f t="shared" si="24"/>
        <v>1029.1376781551512</v>
      </c>
      <c r="B398">
        <v>377</v>
      </c>
      <c r="C398">
        <v>134.29608154300001</v>
      </c>
      <c r="D398">
        <v>377</v>
      </c>
      <c r="E398">
        <v>145.400222778</v>
      </c>
      <c r="F398">
        <v>377</v>
      </c>
      <c r="G398">
        <v>124.258384705</v>
      </c>
      <c r="H398">
        <v>377</v>
      </c>
      <c r="I398">
        <v>138</v>
      </c>
      <c r="K398">
        <f t="shared" si="25"/>
        <v>7.4002227779999998</v>
      </c>
      <c r="L398">
        <v>377</v>
      </c>
      <c r="M398">
        <v>240</v>
      </c>
      <c r="N398">
        <v>377</v>
      </c>
      <c r="O398">
        <v>15</v>
      </c>
      <c r="P398">
        <f t="shared" si="23"/>
        <v>105.70391845699999</v>
      </c>
    </row>
    <row r="399" spans="1:16">
      <c r="A399">
        <f t="shared" si="24"/>
        <v>1030.0637727921676</v>
      </c>
      <c r="B399">
        <v>378</v>
      </c>
      <c r="C399">
        <v>135.16778564500001</v>
      </c>
      <c r="D399">
        <v>378</v>
      </c>
      <c r="E399">
        <v>144.56825256299999</v>
      </c>
      <c r="F399">
        <v>378</v>
      </c>
      <c r="G399">
        <v>123.790153503</v>
      </c>
      <c r="H399">
        <v>378</v>
      </c>
      <c r="I399">
        <v>137.56610107399999</v>
      </c>
      <c r="K399">
        <f t="shared" si="25"/>
        <v>7.0021514889999992</v>
      </c>
      <c r="L399">
        <v>378</v>
      </c>
      <c r="M399">
        <v>240</v>
      </c>
      <c r="N399">
        <v>378</v>
      </c>
      <c r="O399">
        <v>15</v>
      </c>
      <c r="P399">
        <f t="shared" si="23"/>
        <v>104.83221435499999</v>
      </c>
    </row>
    <row r="400" spans="1:16">
      <c r="A400">
        <f t="shared" si="24"/>
        <v>1030.989867429184</v>
      </c>
      <c r="B400">
        <v>379</v>
      </c>
      <c r="C400">
        <v>135.02304077100001</v>
      </c>
      <c r="D400">
        <v>379</v>
      </c>
      <c r="E400">
        <v>146.384933472</v>
      </c>
      <c r="F400">
        <v>379</v>
      </c>
      <c r="G400">
        <v>123.107299805</v>
      </c>
      <c r="H400">
        <v>379</v>
      </c>
      <c r="I400">
        <v>133.35292053200001</v>
      </c>
      <c r="K400">
        <f t="shared" si="25"/>
        <v>13.032012939999987</v>
      </c>
      <c r="L400">
        <v>379</v>
      </c>
      <c r="M400">
        <v>240</v>
      </c>
      <c r="N400">
        <v>379</v>
      </c>
      <c r="O400">
        <v>15</v>
      </c>
      <c r="P400">
        <f t="shared" si="23"/>
        <v>104.97695922899999</v>
      </c>
    </row>
    <row r="401" spans="1:16">
      <c r="A401">
        <f t="shared" si="24"/>
        <v>1031.9159620662003</v>
      </c>
      <c r="B401">
        <v>380</v>
      </c>
      <c r="C401">
        <v>136.439651489</v>
      </c>
      <c r="D401">
        <v>380</v>
      </c>
      <c r="E401">
        <v>147.287200928</v>
      </c>
      <c r="F401">
        <v>380</v>
      </c>
      <c r="G401">
        <v>123.344741821</v>
      </c>
      <c r="H401">
        <v>380</v>
      </c>
      <c r="I401">
        <v>137.054779053</v>
      </c>
      <c r="K401">
        <f t="shared" si="25"/>
        <v>10.232421875</v>
      </c>
      <c r="L401">
        <v>380</v>
      </c>
      <c r="M401">
        <v>240</v>
      </c>
      <c r="N401">
        <v>380</v>
      </c>
      <c r="O401">
        <v>15</v>
      </c>
      <c r="P401">
        <f t="shared" si="23"/>
        <v>103.560348511</v>
      </c>
    </row>
    <row r="402" spans="1:16">
      <c r="A402">
        <f t="shared" si="24"/>
        <v>1032.8420567032167</v>
      </c>
      <c r="B402">
        <v>381</v>
      </c>
      <c r="C402">
        <v>136.720458984</v>
      </c>
      <c r="D402">
        <v>381</v>
      </c>
      <c r="E402">
        <v>146.94248962399999</v>
      </c>
      <c r="F402">
        <v>381</v>
      </c>
      <c r="G402">
        <v>123.59363555900001</v>
      </c>
      <c r="H402">
        <v>381</v>
      </c>
      <c r="I402">
        <v>136.51028442399999</v>
      </c>
      <c r="K402">
        <f t="shared" si="25"/>
        <v>10.432205199999999</v>
      </c>
      <c r="L402">
        <v>381</v>
      </c>
      <c r="M402">
        <v>240</v>
      </c>
      <c r="N402">
        <v>381</v>
      </c>
      <c r="O402">
        <v>15</v>
      </c>
      <c r="P402">
        <f t="shared" si="23"/>
        <v>103.279541016</v>
      </c>
    </row>
    <row r="403" spans="1:16">
      <c r="A403">
        <f t="shared" si="24"/>
        <v>1033.7681513402329</v>
      </c>
      <c r="B403">
        <v>382</v>
      </c>
      <c r="C403">
        <v>134.07191467300001</v>
      </c>
      <c r="D403">
        <v>382</v>
      </c>
      <c r="E403">
        <v>146.81214904800001</v>
      </c>
      <c r="F403">
        <v>382</v>
      </c>
      <c r="G403">
        <v>123.97664642300001</v>
      </c>
      <c r="H403">
        <v>382</v>
      </c>
      <c r="I403">
        <v>134.30291747999999</v>
      </c>
      <c r="K403">
        <f t="shared" si="25"/>
        <v>12.509231568000018</v>
      </c>
      <c r="L403">
        <v>382</v>
      </c>
      <c r="M403">
        <v>240</v>
      </c>
      <c r="N403">
        <v>382</v>
      </c>
      <c r="O403">
        <v>15</v>
      </c>
      <c r="P403">
        <f t="shared" si="23"/>
        <v>105.92808532699999</v>
      </c>
    </row>
    <row r="404" spans="1:16">
      <c r="A404">
        <f t="shared" si="24"/>
        <v>1034.6942459772492</v>
      </c>
      <c r="B404">
        <v>383</v>
      </c>
      <c r="C404">
        <v>134.91130065900001</v>
      </c>
      <c r="D404">
        <v>383</v>
      </c>
      <c r="E404">
        <v>143.89739990199999</v>
      </c>
      <c r="F404">
        <v>383</v>
      </c>
      <c r="G404">
        <v>124.35965728799999</v>
      </c>
      <c r="H404">
        <v>383</v>
      </c>
      <c r="I404">
        <v>137.101470947</v>
      </c>
      <c r="K404">
        <f t="shared" si="25"/>
        <v>6.7959289549999937</v>
      </c>
      <c r="L404">
        <v>383</v>
      </c>
      <c r="M404">
        <v>240</v>
      </c>
      <c r="N404">
        <v>383</v>
      </c>
      <c r="O404">
        <v>15</v>
      </c>
      <c r="P404">
        <f t="shared" si="23"/>
        <v>105.08869934099999</v>
      </c>
    </row>
    <row r="405" spans="1:16">
      <c r="A405">
        <f t="shared" si="24"/>
        <v>1035.6203406142656</v>
      </c>
      <c r="B405">
        <v>384</v>
      </c>
      <c r="C405">
        <v>133.96327209500001</v>
      </c>
      <c r="D405">
        <v>384</v>
      </c>
      <c r="E405">
        <v>143.43251037600001</v>
      </c>
      <c r="F405">
        <v>384</v>
      </c>
      <c r="G405">
        <v>124.590660095</v>
      </c>
      <c r="H405">
        <v>384</v>
      </c>
      <c r="I405">
        <v>137.477783203</v>
      </c>
      <c r="K405">
        <f t="shared" si="25"/>
        <v>5.9547271730000091</v>
      </c>
      <c r="L405">
        <v>384</v>
      </c>
      <c r="M405">
        <v>240</v>
      </c>
      <c r="N405">
        <v>384</v>
      </c>
      <c r="O405">
        <v>15</v>
      </c>
      <c r="P405">
        <f t="shared" ref="P405:P468" si="26">M405-C405</f>
        <v>106.03672790499999</v>
      </c>
    </row>
    <row r="406" spans="1:16">
      <c r="A406">
        <f t="shared" ref="A406:A469" si="27">680 +B406*COS(ABS($J$8)*PI()/180)</f>
        <v>1036.5464352512818</v>
      </c>
      <c r="B406">
        <v>385</v>
      </c>
      <c r="C406">
        <v>132.351730347</v>
      </c>
      <c r="D406">
        <v>385</v>
      </c>
      <c r="E406">
        <v>145.66424560499999</v>
      </c>
      <c r="F406">
        <v>385</v>
      </c>
      <c r="G406">
        <v>124.320518494</v>
      </c>
      <c r="H406">
        <v>385</v>
      </c>
      <c r="I406">
        <v>137.125</v>
      </c>
      <c r="K406">
        <f t="shared" ref="K406:K469" si="28">E406-I406</f>
        <v>8.5392456049999907</v>
      </c>
      <c r="L406">
        <v>385</v>
      </c>
      <c r="M406">
        <v>239.26229858400001</v>
      </c>
      <c r="N406">
        <v>385</v>
      </c>
      <c r="O406">
        <v>15.737705231</v>
      </c>
      <c r="P406">
        <f t="shared" si="26"/>
        <v>106.91056823700001</v>
      </c>
    </row>
    <row r="407" spans="1:16">
      <c r="A407">
        <f t="shared" si="27"/>
        <v>1037.4725298882981</v>
      </c>
      <c r="B407">
        <v>386</v>
      </c>
      <c r="C407">
        <v>135.14541625999999</v>
      </c>
      <c r="D407">
        <v>386</v>
      </c>
      <c r="E407">
        <v>146.16758727999999</v>
      </c>
      <c r="F407">
        <v>386</v>
      </c>
      <c r="G407">
        <v>124.10531616199999</v>
      </c>
      <c r="H407">
        <v>386</v>
      </c>
      <c r="I407">
        <v>136.56300354000001</v>
      </c>
      <c r="K407">
        <f t="shared" si="28"/>
        <v>9.6045837399999812</v>
      </c>
      <c r="L407">
        <v>386</v>
      </c>
      <c r="M407">
        <v>239</v>
      </c>
      <c r="N407">
        <v>386</v>
      </c>
      <c r="O407">
        <v>16</v>
      </c>
      <c r="P407">
        <f t="shared" si="26"/>
        <v>103.85458374000001</v>
      </c>
    </row>
    <row r="408" spans="1:16">
      <c r="A408">
        <f t="shared" si="27"/>
        <v>1038.3986245253145</v>
      </c>
      <c r="B408">
        <v>387</v>
      </c>
      <c r="C408">
        <v>135.63568115199999</v>
      </c>
      <c r="D408">
        <v>387</v>
      </c>
      <c r="E408">
        <v>146.81097412099999</v>
      </c>
      <c r="F408">
        <v>387</v>
      </c>
      <c r="G408">
        <v>124.225036621</v>
      </c>
      <c r="H408">
        <v>387</v>
      </c>
      <c r="I408">
        <v>134.55410766599999</v>
      </c>
      <c r="K408">
        <f t="shared" si="28"/>
        <v>12.256866454999994</v>
      </c>
      <c r="L408">
        <v>387</v>
      </c>
      <c r="M408">
        <v>239</v>
      </c>
      <c r="N408">
        <v>387</v>
      </c>
      <c r="O408">
        <v>16</v>
      </c>
      <c r="P408">
        <f t="shared" si="26"/>
        <v>103.36431884800001</v>
      </c>
    </row>
    <row r="409" spans="1:16">
      <c r="A409">
        <f t="shared" si="27"/>
        <v>1039.3247191623309</v>
      </c>
      <c r="B409">
        <v>388</v>
      </c>
      <c r="C409">
        <v>133.680541992</v>
      </c>
      <c r="D409">
        <v>388</v>
      </c>
      <c r="E409">
        <v>147.401046753</v>
      </c>
      <c r="F409">
        <v>388</v>
      </c>
      <c r="G409">
        <v>124.29813385</v>
      </c>
      <c r="H409">
        <v>388</v>
      </c>
      <c r="I409">
        <v>135.34034729000001</v>
      </c>
      <c r="K409">
        <f t="shared" si="28"/>
        <v>12.060699462999992</v>
      </c>
      <c r="L409">
        <v>388</v>
      </c>
      <c r="M409">
        <v>239</v>
      </c>
      <c r="N409">
        <v>388</v>
      </c>
      <c r="O409">
        <v>16</v>
      </c>
      <c r="P409">
        <f t="shared" si="26"/>
        <v>105.319458008</v>
      </c>
    </row>
    <row r="410" spans="1:16">
      <c r="A410">
        <f t="shared" si="27"/>
        <v>1040.2508137993473</v>
      </c>
      <c r="B410">
        <v>389</v>
      </c>
      <c r="C410">
        <v>134.52243042000001</v>
      </c>
      <c r="D410">
        <v>389</v>
      </c>
      <c r="E410">
        <v>146.24314880399999</v>
      </c>
      <c r="F410">
        <v>389</v>
      </c>
      <c r="G410">
        <v>123.993537903</v>
      </c>
      <c r="H410">
        <v>389</v>
      </c>
      <c r="I410">
        <v>137.73297119099999</v>
      </c>
      <c r="K410">
        <f t="shared" si="28"/>
        <v>8.5101776129999962</v>
      </c>
      <c r="L410">
        <v>389</v>
      </c>
      <c r="M410">
        <v>239</v>
      </c>
      <c r="N410">
        <v>389</v>
      </c>
      <c r="O410">
        <v>16</v>
      </c>
      <c r="P410">
        <f t="shared" si="26"/>
        <v>104.47756957999999</v>
      </c>
    </row>
    <row r="411" spans="1:16">
      <c r="A411">
        <f t="shared" si="27"/>
        <v>1041.1769084363634</v>
      </c>
      <c r="B411">
        <v>390</v>
      </c>
      <c r="C411">
        <v>136.92527770999999</v>
      </c>
      <c r="D411">
        <v>390</v>
      </c>
      <c r="E411">
        <v>147.40904235799999</v>
      </c>
      <c r="F411">
        <v>390</v>
      </c>
      <c r="G411">
        <v>123.376556396</v>
      </c>
      <c r="H411">
        <v>390</v>
      </c>
      <c r="I411">
        <v>135.30390930199999</v>
      </c>
      <c r="K411">
        <f t="shared" si="28"/>
        <v>12.105133056</v>
      </c>
      <c r="L411">
        <v>390</v>
      </c>
      <c r="M411">
        <v>239</v>
      </c>
      <c r="N411">
        <v>390</v>
      </c>
      <c r="O411">
        <v>16</v>
      </c>
      <c r="P411">
        <f t="shared" si="26"/>
        <v>102.07472229000001</v>
      </c>
    </row>
    <row r="412" spans="1:16">
      <c r="A412">
        <f t="shared" si="27"/>
        <v>1042.1030030733798</v>
      </c>
      <c r="B412">
        <v>391</v>
      </c>
      <c r="C412">
        <v>137.32661438</v>
      </c>
      <c r="D412">
        <v>391</v>
      </c>
      <c r="E412">
        <v>149.101760864</v>
      </c>
      <c r="F412">
        <v>391</v>
      </c>
      <c r="G412">
        <v>122.66977691699999</v>
      </c>
      <c r="H412">
        <v>391</v>
      </c>
      <c r="I412">
        <v>133.583328247</v>
      </c>
      <c r="K412">
        <f t="shared" si="28"/>
        <v>15.518432617000002</v>
      </c>
      <c r="L412">
        <v>391</v>
      </c>
      <c r="M412">
        <v>239</v>
      </c>
      <c r="N412">
        <v>391</v>
      </c>
      <c r="O412">
        <v>16</v>
      </c>
      <c r="P412">
        <f t="shared" si="26"/>
        <v>101.67338562</v>
      </c>
    </row>
    <row r="413" spans="1:16">
      <c r="A413">
        <f t="shared" si="27"/>
        <v>1043.0290977103962</v>
      </c>
      <c r="B413">
        <v>392</v>
      </c>
      <c r="C413">
        <v>134.38555908199999</v>
      </c>
      <c r="D413">
        <v>392</v>
      </c>
      <c r="E413">
        <v>147.342330933</v>
      </c>
      <c r="F413">
        <v>392</v>
      </c>
      <c r="G413">
        <v>122.42672729500001</v>
      </c>
      <c r="H413">
        <v>392</v>
      </c>
      <c r="I413">
        <v>133.238113403</v>
      </c>
      <c r="K413">
        <f t="shared" si="28"/>
        <v>14.10421753</v>
      </c>
      <c r="L413">
        <v>392</v>
      </c>
      <c r="M413">
        <v>239</v>
      </c>
      <c r="N413">
        <v>392</v>
      </c>
      <c r="O413">
        <v>16</v>
      </c>
      <c r="P413">
        <f t="shared" si="26"/>
        <v>104.61444091800001</v>
      </c>
    </row>
    <row r="414" spans="1:16">
      <c r="A414">
        <f t="shared" si="27"/>
        <v>1043.9551923474123</v>
      </c>
      <c r="B414">
        <v>393</v>
      </c>
      <c r="C414">
        <v>129.45075988799999</v>
      </c>
      <c r="D414">
        <v>393</v>
      </c>
      <c r="E414">
        <v>145.40318298299999</v>
      </c>
      <c r="F414">
        <v>393</v>
      </c>
      <c r="G414">
        <v>122.682067871</v>
      </c>
      <c r="H414">
        <v>393</v>
      </c>
      <c r="I414">
        <v>133.29632568400001</v>
      </c>
      <c r="K414">
        <f t="shared" si="28"/>
        <v>12.106857298999984</v>
      </c>
      <c r="L414">
        <v>393</v>
      </c>
      <c r="M414">
        <v>238.878463745</v>
      </c>
      <c r="N414">
        <v>393</v>
      </c>
      <c r="O414">
        <v>16.129657744999999</v>
      </c>
      <c r="P414">
        <f t="shared" si="26"/>
        <v>109.42770385700001</v>
      </c>
    </row>
    <row r="415" spans="1:16">
      <c r="A415">
        <f t="shared" si="27"/>
        <v>1044.8812869844287</v>
      </c>
      <c r="B415">
        <v>394</v>
      </c>
      <c r="C415">
        <v>132.03556823700001</v>
      </c>
      <c r="D415">
        <v>394</v>
      </c>
      <c r="E415">
        <v>147.83607482900001</v>
      </c>
      <c r="F415">
        <v>394</v>
      </c>
      <c r="G415">
        <v>122.937408447</v>
      </c>
      <c r="H415">
        <v>394</v>
      </c>
      <c r="I415">
        <v>132.939208984</v>
      </c>
      <c r="K415">
        <f t="shared" si="28"/>
        <v>14.896865845000008</v>
      </c>
      <c r="L415">
        <v>394</v>
      </c>
      <c r="M415">
        <v>238</v>
      </c>
      <c r="N415">
        <v>394</v>
      </c>
      <c r="O415">
        <v>17</v>
      </c>
      <c r="P415">
        <f t="shared" si="26"/>
        <v>105.96443176299999</v>
      </c>
    </row>
    <row r="416" spans="1:16">
      <c r="A416">
        <f t="shared" si="27"/>
        <v>1045.8073816214451</v>
      </c>
      <c r="B416">
        <v>395</v>
      </c>
      <c r="C416">
        <v>133.27198791500001</v>
      </c>
      <c r="D416">
        <v>395</v>
      </c>
      <c r="E416">
        <v>144.575897217</v>
      </c>
      <c r="F416">
        <v>395</v>
      </c>
      <c r="G416">
        <v>122.903625488</v>
      </c>
      <c r="H416">
        <v>395</v>
      </c>
      <c r="I416">
        <v>133.765090942</v>
      </c>
      <c r="K416">
        <f t="shared" si="28"/>
        <v>10.810806275000004</v>
      </c>
      <c r="L416">
        <v>395</v>
      </c>
      <c r="M416">
        <v>238</v>
      </c>
      <c r="N416">
        <v>395</v>
      </c>
      <c r="O416">
        <v>17</v>
      </c>
      <c r="P416">
        <f t="shared" si="26"/>
        <v>104.72801208499999</v>
      </c>
    </row>
    <row r="417" spans="1:16">
      <c r="A417">
        <f t="shared" si="27"/>
        <v>1046.7334762584615</v>
      </c>
      <c r="B417">
        <v>396</v>
      </c>
      <c r="C417">
        <v>137.57270813</v>
      </c>
      <c r="D417">
        <v>396</v>
      </c>
      <c r="E417">
        <v>140.18341064500001</v>
      </c>
      <c r="F417">
        <v>396</v>
      </c>
      <c r="G417">
        <v>122.7759552</v>
      </c>
      <c r="H417">
        <v>396</v>
      </c>
      <c r="I417">
        <v>135.01185607900001</v>
      </c>
      <c r="K417">
        <f t="shared" si="28"/>
        <v>5.1715545659999975</v>
      </c>
      <c r="L417">
        <v>396</v>
      </c>
      <c r="M417">
        <v>238</v>
      </c>
      <c r="N417">
        <v>396</v>
      </c>
      <c r="O417">
        <v>17</v>
      </c>
      <c r="P417">
        <f t="shared" si="26"/>
        <v>100.42729187</v>
      </c>
    </row>
    <row r="418" spans="1:16">
      <c r="A418">
        <f t="shared" si="27"/>
        <v>1047.6595708954776</v>
      </c>
      <c r="B418">
        <v>397</v>
      </c>
      <c r="C418">
        <v>137.60760497999999</v>
      </c>
      <c r="D418">
        <v>397</v>
      </c>
      <c r="E418">
        <v>145.02536010700001</v>
      </c>
      <c r="F418">
        <v>397</v>
      </c>
      <c r="G418">
        <v>122.75856781</v>
      </c>
      <c r="H418">
        <v>397</v>
      </c>
      <c r="I418">
        <v>135.87059020999999</v>
      </c>
      <c r="K418">
        <f t="shared" si="28"/>
        <v>9.1547698970000226</v>
      </c>
      <c r="L418">
        <v>397</v>
      </c>
      <c r="M418">
        <v>238</v>
      </c>
      <c r="N418">
        <v>397</v>
      </c>
      <c r="O418">
        <v>17</v>
      </c>
      <c r="P418">
        <f t="shared" si="26"/>
        <v>100.39239502000001</v>
      </c>
    </row>
    <row r="419" spans="1:16">
      <c r="A419">
        <f t="shared" si="27"/>
        <v>1048.585665532494</v>
      </c>
      <c r="B419">
        <v>398</v>
      </c>
      <c r="C419">
        <v>134.61936950699999</v>
      </c>
      <c r="D419">
        <v>398</v>
      </c>
      <c r="E419">
        <v>148.75762939500001</v>
      </c>
      <c r="F419">
        <v>398</v>
      </c>
      <c r="G419">
        <v>123.61588287399999</v>
      </c>
      <c r="H419">
        <v>398</v>
      </c>
      <c r="I419">
        <v>137.821609497</v>
      </c>
      <c r="K419">
        <f t="shared" si="28"/>
        <v>10.936019898000012</v>
      </c>
      <c r="L419">
        <v>398</v>
      </c>
      <c r="M419">
        <v>238</v>
      </c>
      <c r="N419">
        <v>398</v>
      </c>
      <c r="O419">
        <v>17</v>
      </c>
      <c r="P419">
        <f t="shared" si="26"/>
        <v>103.38063049300001</v>
      </c>
    </row>
    <row r="420" spans="1:16">
      <c r="A420">
        <f t="shared" si="27"/>
        <v>1049.5117601695104</v>
      </c>
      <c r="B420">
        <v>399</v>
      </c>
      <c r="C420">
        <v>133.40106201200001</v>
      </c>
      <c r="D420">
        <v>399</v>
      </c>
      <c r="E420">
        <v>144.72698974599999</v>
      </c>
      <c r="F420">
        <v>399</v>
      </c>
      <c r="G420">
        <v>124.029556274</v>
      </c>
      <c r="H420">
        <v>399</v>
      </c>
      <c r="I420">
        <v>137.05726623499999</v>
      </c>
      <c r="K420">
        <f t="shared" si="28"/>
        <v>7.6697235110000008</v>
      </c>
      <c r="L420">
        <v>399</v>
      </c>
      <c r="M420">
        <v>238</v>
      </c>
      <c r="N420">
        <v>399</v>
      </c>
      <c r="O420">
        <v>17</v>
      </c>
      <c r="P420">
        <f t="shared" si="26"/>
        <v>104.59893798799999</v>
      </c>
    </row>
    <row r="421" spans="1:16">
      <c r="A421">
        <f t="shared" si="27"/>
        <v>1050.4378548065265</v>
      </c>
      <c r="B421">
        <v>400</v>
      </c>
      <c r="C421">
        <v>134.30480957</v>
      </c>
      <c r="D421">
        <v>400</v>
      </c>
      <c r="E421">
        <v>141.15980529800001</v>
      </c>
      <c r="F421">
        <v>400</v>
      </c>
      <c r="G421">
        <v>123.72776794399999</v>
      </c>
      <c r="H421">
        <v>400</v>
      </c>
      <c r="I421">
        <v>137.63320922899999</v>
      </c>
      <c r="K421">
        <f t="shared" si="28"/>
        <v>3.5265960690000213</v>
      </c>
      <c r="L421">
        <v>400</v>
      </c>
      <c r="M421">
        <v>238</v>
      </c>
      <c r="N421">
        <v>400</v>
      </c>
      <c r="O421">
        <v>17</v>
      </c>
      <c r="P421">
        <f t="shared" si="26"/>
        <v>103.69519043</v>
      </c>
    </row>
    <row r="422" spans="1:16">
      <c r="A422">
        <f t="shared" si="27"/>
        <v>1051.3639494435429</v>
      </c>
      <c r="B422">
        <v>401</v>
      </c>
      <c r="C422">
        <v>134.5806427</v>
      </c>
      <c r="D422">
        <v>401</v>
      </c>
      <c r="E422">
        <v>141.96498107900001</v>
      </c>
      <c r="F422">
        <v>401</v>
      </c>
      <c r="G422">
        <v>123.217086792</v>
      </c>
      <c r="H422">
        <v>401</v>
      </c>
      <c r="I422">
        <v>138.341705322</v>
      </c>
      <c r="K422">
        <f t="shared" si="28"/>
        <v>3.623275757000016</v>
      </c>
      <c r="L422">
        <v>401</v>
      </c>
      <c r="M422">
        <v>238</v>
      </c>
      <c r="N422">
        <v>401</v>
      </c>
      <c r="O422">
        <v>17</v>
      </c>
      <c r="P422">
        <f t="shared" si="26"/>
        <v>103.4193573</v>
      </c>
    </row>
    <row r="423" spans="1:16">
      <c r="A423">
        <f t="shared" si="27"/>
        <v>1052.2900440805593</v>
      </c>
      <c r="B423">
        <v>402</v>
      </c>
      <c r="C423">
        <v>134.66868591299999</v>
      </c>
      <c r="D423">
        <v>402</v>
      </c>
      <c r="E423">
        <v>144.84320068400001</v>
      </c>
      <c r="F423">
        <v>402</v>
      </c>
      <c r="G423">
        <v>122.69754791299999</v>
      </c>
      <c r="H423">
        <v>402</v>
      </c>
      <c r="I423">
        <v>136.95350647000001</v>
      </c>
      <c r="K423">
        <f t="shared" si="28"/>
        <v>7.8896942140000021</v>
      </c>
      <c r="L423">
        <v>402</v>
      </c>
      <c r="M423">
        <v>238</v>
      </c>
      <c r="N423">
        <v>402</v>
      </c>
      <c r="O423">
        <v>17</v>
      </c>
      <c r="P423">
        <f t="shared" si="26"/>
        <v>103.33131408700001</v>
      </c>
    </row>
    <row r="424" spans="1:16">
      <c r="A424">
        <f t="shared" si="27"/>
        <v>1053.2161387175756</v>
      </c>
      <c r="B424">
        <v>403</v>
      </c>
      <c r="C424">
        <v>134.54933166500001</v>
      </c>
      <c r="D424">
        <v>403</v>
      </c>
      <c r="E424">
        <v>145.093841553</v>
      </c>
      <c r="F424">
        <v>403</v>
      </c>
      <c r="G424">
        <v>122.43119812</v>
      </c>
      <c r="H424">
        <v>403</v>
      </c>
      <c r="I424">
        <v>133.01768493700001</v>
      </c>
      <c r="K424">
        <f t="shared" si="28"/>
        <v>12.076156615999992</v>
      </c>
      <c r="L424">
        <v>403</v>
      </c>
      <c r="M424">
        <v>238</v>
      </c>
      <c r="N424">
        <v>403</v>
      </c>
      <c r="O424">
        <v>17</v>
      </c>
      <c r="P424">
        <f t="shared" si="26"/>
        <v>103.45066833499999</v>
      </c>
    </row>
    <row r="425" spans="1:16">
      <c r="A425">
        <f t="shared" si="27"/>
        <v>1054.142233354592</v>
      </c>
      <c r="B425">
        <v>404</v>
      </c>
      <c r="C425">
        <v>133.32244872999999</v>
      </c>
      <c r="D425">
        <v>404</v>
      </c>
      <c r="E425">
        <v>140.80088806200001</v>
      </c>
      <c r="F425">
        <v>404</v>
      </c>
      <c r="G425">
        <v>122.314559937</v>
      </c>
      <c r="H425">
        <v>404</v>
      </c>
      <c r="I425">
        <v>131.45806884800001</v>
      </c>
      <c r="K425">
        <f t="shared" si="28"/>
        <v>9.3428192140000021</v>
      </c>
      <c r="L425">
        <v>404</v>
      </c>
      <c r="M425">
        <v>238</v>
      </c>
      <c r="N425">
        <v>404</v>
      </c>
      <c r="O425">
        <v>17</v>
      </c>
      <c r="P425">
        <f t="shared" si="26"/>
        <v>104.67755127000001</v>
      </c>
    </row>
    <row r="426" spans="1:16">
      <c r="A426">
        <f t="shared" si="27"/>
        <v>1055.0683279916082</v>
      </c>
      <c r="B426">
        <v>405</v>
      </c>
      <c r="C426">
        <v>129.566680908</v>
      </c>
      <c r="D426">
        <v>405</v>
      </c>
      <c r="E426">
        <v>143.089599609</v>
      </c>
      <c r="F426">
        <v>405</v>
      </c>
      <c r="G426">
        <v>122.974060059</v>
      </c>
      <c r="H426">
        <v>405</v>
      </c>
      <c r="I426">
        <v>135.25703430199999</v>
      </c>
      <c r="K426">
        <f t="shared" si="28"/>
        <v>7.8325653070000101</v>
      </c>
      <c r="L426">
        <v>405</v>
      </c>
      <c r="M426">
        <v>238</v>
      </c>
      <c r="N426">
        <v>405</v>
      </c>
      <c r="O426">
        <v>17</v>
      </c>
      <c r="P426">
        <f t="shared" si="26"/>
        <v>108.433319092</v>
      </c>
    </row>
    <row r="427" spans="1:16">
      <c r="A427">
        <f t="shared" si="27"/>
        <v>1055.9944226286245</v>
      </c>
      <c r="B427">
        <v>406</v>
      </c>
      <c r="C427">
        <v>130.845214844</v>
      </c>
      <c r="D427">
        <v>406</v>
      </c>
      <c r="E427">
        <v>145.45098877000001</v>
      </c>
      <c r="F427">
        <v>406</v>
      </c>
      <c r="G427">
        <v>122.474060059</v>
      </c>
      <c r="H427">
        <v>406</v>
      </c>
      <c r="I427">
        <v>134.21266174300001</v>
      </c>
      <c r="K427">
        <f t="shared" si="28"/>
        <v>11.238327026999997</v>
      </c>
      <c r="L427">
        <v>406</v>
      </c>
      <c r="M427">
        <v>238</v>
      </c>
      <c r="N427">
        <v>406</v>
      </c>
      <c r="O427">
        <v>17</v>
      </c>
      <c r="P427">
        <f t="shared" si="26"/>
        <v>107.154785156</v>
      </c>
    </row>
    <row r="428" spans="1:16">
      <c r="A428">
        <f t="shared" si="27"/>
        <v>1056.9205172656409</v>
      </c>
      <c r="B428">
        <v>407</v>
      </c>
      <c r="C428">
        <v>133.43687439000001</v>
      </c>
      <c r="D428">
        <v>407</v>
      </c>
      <c r="E428">
        <v>146.835861206</v>
      </c>
      <c r="F428">
        <v>407</v>
      </c>
      <c r="G428">
        <v>121.81967163100001</v>
      </c>
      <c r="H428">
        <v>407</v>
      </c>
      <c r="I428">
        <v>131.07572937</v>
      </c>
      <c r="K428">
        <f t="shared" si="28"/>
        <v>15.760131835999999</v>
      </c>
      <c r="L428">
        <v>407</v>
      </c>
      <c r="M428">
        <v>238</v>
      </c>
      <c r="N428">
        <v>407</v>
      </c>
      <c r="O428">
        <v>17</v>
      </c>
      <c r="P428">
        <f t="shared" si="26"/>
        <v>104.56312560999999</v>
      </c>
    </row>
    <row r="429" spans="1:16">
      <c r="A429">
        <f t="shared" si="27"/>
        <v>1057.8466119026571</v>
      </c>
      <c r="B429">
        <v>408</v>
      </c>
      <c r="C429">
        <v>132.430252075</v>
      </c>
      <c r="D429">
        <v>408</v>
      </c>
      <c r="E429">
        <v>148.073760986</v>
      </c>
      <c r="F429">
        <v>408</v>
      </c>
      <c r="G429">
        <v>122.024337769</v>
      </c>
      <c r="H429">
        <v>408</v>
      </c>
      <c r="I429">
        <v>133.453323364</v>
      </c>
      <c r="K429">
        <f t="shared" si="28"/>
        <v>14.620437621999997</v>
      </c>
      <c r="L429">
        <v>408</v>
      </c>
      <c r="M429">
        <v>238</v>
      </c>
      <c r="N429">
        <v>408</v>
      </c>
      <c r="O429">
        <v>17</v>
      </c>
      <c r="P429">
        <f t="shared" si="26"/>
        <v>105.569747925</v>
      </c>
    </row>
    <row r="430" spans="1:16">
      <c r="A430">
        <f t="shared" si="27"/>
        <v>1058.7727065396734</v>
      </c>
      <c r="B430">
        <v>409</v>
      </c>
      <c r="C430">
        <v>132.39718627900001</v>
      </c>
      <c r="D430">
        <v>409</v>
      </c>
      <c r="E430">
        <v>147.012741089</v>
      </c>
      <c r="F430">
        <v>409</v>
      </c>
      <c r="G430">
        <v>122.535018921</v>
      </c>
      <c r="H430">
        <v>409</v>
      </c>
      <c r="I430">
        <v>135.163330078</v>
      </c>
      <c r="K430">
        <f t="shared" si="28"/>
        <v>11.849411011000001</v>
      </c>
      <c r="L430">
        <v>409</v>
      </c>
      <c r="M430">
        <v>238</v>
      </c>
      <c r="N430">
        <v>409</v>
      </c>
      <c r="O430">
        <v>17</v>
      </c>
      <c r="P430">
        <f t="shared" si="26"/>
        <v>105.60281372099999</v>
      </c>
    </row>
    <row r="431" spans="1:16">
      <c r="A431">
        <f t="shared" si="27"/>
        <v>1059.6988011766898</v>
      </c>
      <c r="B431">
        <v>410</v>
      </c>
      <c r="C431">
        <v>132.333328247</v>
      </c>
      <c r="D431">
        <v>410</v>
      </c>
      <c r="E431">
        <v>145.68197631800001</v>
      </c>
      <c r="F431">
        <v>410</v>
      </c>
      <c r="G431">
        <v>122.994140625</v>
      </c>
      <c r="H431">
        <v>410</v>
      </c>
      <c r="I431">
        <v>133.23097229000001</v>
      </c>
      <c r="K431">
        <f t="shared" si="28"/>
        <v>12.451004028</v>
      </c>
      <c r="L431">
        <v>410</v>
      </c>
      <c r="M431">
        <v>237.64550781200001</v>
      </c>
      <c r="N431">
        <v>410</v>
      </c>
      <c r="O431">
        <v>17.84312439</v>
      </c>
      <c r="P431">
        <f t="shared" si="26"/>
        <v>105.31217956500001</v>
      </c>
    </row>
    <row r="432" spans="1:16">
      <c r="A432">
        <f t="shared" si="27"/>
        <v>1060.6248958137062</v>
      </c>
      <c r="B432">
        <v>411</v>
      </c>
      <c r="C432">
        <v>132.936599731</v>
      </c>
      <c r="D432">
        <v>411</v>
      </c>
      <c r="E432">
        <v>146.651489258</v>
      </c>
      <c r="F432">
        <v>411</v>
      </c>
      <c r="G432">
        <v>123.008827209</v>
      </c>
      <c r="H432">
        <v>411</v>
      </c>
      <c r="I432">
        <v>132.87828064000001</v>
      </c>
      <c r="K432">
        <f t="shared" si="28"/>
        <v>13.773208617999984</v>
      </c>
      <c r="L432">
        <v>411</v>
      </c>
      <c r="M432">
        <v>237.195236206</v>
      </c>
      <c r="N432">
        <v>411</v>
      </c>
      <c r="O432">
        <v>18</v>
      </c>
      <c r="P432">
        <f t="shared" si="26"/>
        <v>104.258636475</v>
      </c>
    </row>
    <row r="433" spans="1:16">
      <c r="A433">
        <f t="shared" si="27"/>
        <v>1061.5509904507223</v>
      </c>
      <c r="B433">
        <v>412</v>
      </c>
      <c r="C433">
        <v>133.546676636</v>
      </c>
      <c r="D433">
        <v>412</v>
      </c>
      <c r="E433">
        <v>146.84832763700001</v>
      </c>
      <c r="F433">
        <v>412</v>
      </c>
      <c r="G433">
        <v>122.251159668</v>
      </c>
      <c r="H433">
        <v>412</v>
      </c>
      <c r="I433">
        <v>130.16093444800001</v>
      </c>
      <c r="K433">
        <f t="shared" si="28"/>
        <v>16.687393189000005</v>
      </c>
      <c r="L433">
        <v>412</v>
      </c>
      <c r="M433">
        <v>237</v>
      </c>
      <c r="N433">
        <v>412</v>
      </c>
      <c r="O433">
        <v>18</v>
      </c>
      <c r="P433">
        <f t="shared" si="26"/>
        <v>103.453323364</v>
      </c>
    </row>
    <row r="434" spans="1:16">
      <c r="A434">
        <f t="shared" si="27"/>
        <v>1062.4770850877387</v>
      </c>
      <c r="B434">
        <v>413</v>
      </c>
      <c r="C434">
        <v>133.77503967300001</v>
      </c>
      <c r="D434">
        <v>413</v>
      </c>
      <c r="E434">
        <v>145.02766418499999</v>
      </c>
      <c r="F434">
        <v>413</v>
      </c>
      <c r="G434">
        <v>121.911079407</v>
      </c>
      <c r="H434">
        <v>413</v>
      </c>
      <c r="I434">
        <v>131.322631836</v>
      </c>
      <c r="K434">
        <f t="shared" si="28"/>
        <v>13.705032348999993</v>
      </c>
      <c r="L434">
        <v>413</v>
      </c>
      <c r="M434">
        <v>237</v>
      </c>
      <c r="N434">
        <v>413</v>
      </c>
      <c r="O434">
        <v>18</v>
      </c>
      <c r="P434">
        <f t="shared" si="26"/>
        <v>103.22496032699999</v>
      </c>
    </row>
    <row r="435" spans="1:16">
      <c r="A435">
        <f t="shared" si="27"/>
        <v>1063.4031797247551</v>
      </c>
      <c r="B435">
        <v>414</v>
      </c>
      <c r="C435">
        <v>134.37727355999999</v>
      </c>
      <c r="D435">
        <v>414</v>
      </c>
      <c r="E435">
        <v>144.05999755900001</v>
      </c>
      <c r="F435">
        <v>414</v>
      </c>
      <c r="G435">
        <v>122.42176055900001</v>
      </c>
      <c r="H435">
        <v>414</v>
      </c>
      <c r="I435">
        <v>135.88035583499999</v>
      </c>
      <c r="K435">
        <f t="shared" si="28"/>
        <v>8.179641724000021</v>
      </c>
      <c r="L435">
        <v>414</v>
      </c>
      <c r="M435">
        <v>237</v>
      </c>
      <c r="N435">
        <v>414</v>
      </c>
      <c r="O435">
        <v>18</v>
      </c>
      <c r="P435">
        <f t="shared" si="26"/>
        <v>102.62272644000001</v>
      </c>
    </row>
    <row r="436" spans="1:16">
      <c r="A436">
        <f t="shared" si="27"/>
        <v>1064.3292743617712</v>
      </c>
      <c r="B436">
        <v>415</v>
      </c>
      <c r="C436">
        <v>137.05632019000001</v>
      </c>
      <c r="D436">
        <v>415</v>
      </c>
      <c r="E436">
        <v>148.21617126500001</v>
      </c>
      <c r="F436">
        <v>415</v>
      </c>
      <c r="G436">
        <v>122.909255981</v>
      </c>
      <c r="H436">
        <v>415</v>
      </c>
      <c r="I436">
        <v>138.23727417000001</v>
      </c>
      <c r="K436">
        <f t="shared" si="28"/>
        <v>9.9788970950000078</v>
      </c>
      <c r="L436">
        <v>415</v>
      </c>
      <c r="M436">
        <v>237</v>
      </c>
      <c r="N436">
        <v>415</v>
      </c>
      <c r="O436">
        <v>18</v>
      </c>
      <c r="P436">
        <f t="shared" si="26"/>
        <v>99.943679809999992</v>
      </c>
    </row>
    <row r="437" spans="1:16">
      <c r="A437">
        <f t="shared" si="27"/>
        <v>1065.2553689987876</v>
      </c>
      <c r="B437">
        <v>416</v>
      </c>
      <c r="C437">
        <v>138.4972229</v>
      </c>
      <c r="D437">
        <v>416</v>
      </c>
      <c r="E437">
        <v>147.339477539</v>
      </c>
      <c r="F437">
        <v>416</v>
      </c>
      <c r="G437">
        <v>122.22454071</v>
      </c>
      <c r="H437">
        <v>416</v>
      </c>
      <c r="I437">
        <v>137.14537048299999</v>
      </c>
      <c r="K437">
        <f t="shared" si="28"/>
        <v>10.194107056000007</v>
      </c>
      <c r="L437">
        <v>416</v>
      </c>
      <c r="M437">
        <v>237</v>
      </c>
      <c r="N437">
        <v>416</v>
      </c>
      <c r="O437">
        <v>18</v>
      </c>
      <c r="P437">
        <f t="shared" si="26"/>
        <v>98.502777100000003</v>
      </c>
    </row>
    <row r="438" spans="1:16">
      <c r="A438">
        <f t="shared" si="27"/>
        <v>1066.181463635804</v>
      </c>
      <c r="B438">
        <v>417</v>
      </c>
      <c r="C438">
        <v>133.088745117</v>
      </c>
      <c r="D438">
        <v>417</v>
      </c>
      <c r="E438">
        <v>140.96955871599999</v>
      </c>
      <c r="F438">
        <v>417</v>
      </c>
      <c r="G438">
        <v>121.54940033</v>
      </c>
      <c r="H438">
        <v>417</v>
      </c>
      <c r="I438">
        <v>135.881958008</v>
      </c>
      <c r="K438">
        <f t="shared" si="28"/>
        <v>5.0876007079999965</v>
      </c>
      <c r="L438">
        <v>417</v>
      </c>
      <c r="M438">
        <v>237</v>
      </c>
      <c r="N438">
        <v>417</v>
      </c>
      <c r="O438">
        <v>18</v>
      </c>
      <c r="P438">
        <f t="shared" si="26"/>
        <v>103.911254883</v>
      </c>
    </row>
    <row r="439" spans="1:16">
      <c r="A439">
        <f t="shared" si="27"/>
        <v>1067.1075582728204</v>
      </c>
      <c r="B439">
        <v>418</v>
      </c>
      <c r="C439">
        <v>132.446899414</v>
      </c>
      <c r="D439">
        <v>418</v>
      </c>
      <c r="E439">
        <v>143.830078125</v>
      </c>
      <c r="F439">
        <v>418</v>
      </c>
      <c r="G439">
        <v>121.797813416</v>
      </c>
      <c r="H439">
        <v>418</v>
      </c>
      <c r="I439">
        <v>136.509674072</v>
      </c>
      <c r="K439">
        <f t="shared" si="28"/>
        <v>7.3204040530000043</v>
      </c>
      <c r="L439">
        <v>418</v>
      </c>
      <c r="M439">
        <v>237</v>
      </c>
      <c r="N439">
        <v>418</v>
      </c>
      <c r="O439">
        <v>18</v>
      </c>
      <c r="P439">
        <f t="shared" si="26"/>
        <v>104.553100586</v>
      </c>
    </row>
    <row r="440" spans="1:16">
      <c r="A440">
        <f t="shared" si="27"/>
        <v>1068.0336529098367</v>
      </c>
      <c r="B440">
        <v>419</v>
      </c>
      <c r="C440">
        <v>131.93261718799999</v>
      </c>
      <c r="D440">
        <v>419</v>
      </c>
      <c r="E440">
        <v>147.90367126500001</v>
      </c>
      <c r="F440">
        <v>419</v>
      </c>
      <c r="G440">
        <v>122.359664917</v>
      </c>
      <c r="H440">
        <v>419</v>
      </c>
      <c r="I440">
        <v>135.90228271500001</v>
      </c>
      <c r="K440">
        <f t="shared" si="28"/>
        <v>12.001388550000001</v>
      </c>
      <c r="L440">
        <v>419</v>
      </c>
      <c r="M440">
        <v>237</v>
      </c>
      <c r="N440">
        <v>419</v>
      </c>
      <c r="O440">
        <v>18</v>
      </c>
      <c r="P440">
        <f t="shared" si="26"/>
        <v>105.06738281200001</v>
      </c>
    </row>
    <row r="441" spans="1:16">
      <c r="A441">
        <f t="shared" si="27"/>
        <v>1068.9597475468529</v>
      </c>
      <c r="B441">
        <v>420</v>
      </c>
      <c r="C441">
        <v>133.898925781</v>
      </c>
      <c r="D441">
        <v>420</v>
      </c>
      <c r="E441">
        <v>147.109664917</v>
      </c>
      <c r="F441">
        <v>420</v>
      </c>
      <c r="G441">
        <v>123.152511597</v>
      </c>
      <c r="H441">
        <v>420</v>
      </c>
      <c r="I441">
        <v>135.49020385700001</v>
      </c>
      <c r="K441">
        <f t="shared" si="28"/>
        <v>11.619461059999992</v>
      </c>
      <c r="L441">
        <v>420</v>
      </c>
      <c r="M441">
        <v>237</v>
      </c>
      <c r="N441">
        <v>420</v>
      </c>
      <c r="O441">
        <v>18</v>
      </c>
      <c r="P441">
        <f t="shared" si="26"/>
        <v>103.101074219</v>
      </c>
    </row>
    <row r="442" spans="1:16">
      <c r="A442">
        <f t="shared" si="27"/>
        <v>1069.8858421838693</v>
      </c>
      <c r="B442">
        <v>421</v>
      </c>
      <c r="C442">
        <v>135.298828125</v>
      </c>
      <c r="D442">
        <v>421</v>
      </c>
      <c r="E442">
        <v>145.71890258799999</v>
      </c>
      <c r="F442">
        <v>421</v>
      </c>
      <c r="G442">
        <v>122.921012878</v>
      </c>
      <c r="H442">
        <v>421</v>
      </c>
      <c r="I442">
        <v>134.841674805</v>
      </c>
      <c r="K442">
        <f t="shared" si="28"/>
        <v>10.877227782999995</v>
      </c>
      <c r="L442">
        <v>421</v>
      </c>
      <c r="M442">
        <v>237</v>
      </c>
      <c r="N442">
        <v>421</v>
      </c>
      <c r="O442">
        <v>18</v>
      </c>
      <c r="P442">
        <f t="shared" si="26"/>
        <v>101.701171875</v>
      </c>
    </row>
    <row r="443" spans="1:16">
      <c r="A443">
        <f t="shared" si="27"/>
        <v>1070.8119368208856</v>
      </c>
      <c r="B443">
        <v>422</v>
      </c>
      <c r="C443">
        <v>134.23216247600001</v>
      </c>
      <c r="D443">
        <v>422</v>
      </c>
      <c r="E443">
        <v>144.68211364699999</v>
      </c>
      <c r="F443">
        <v>422</v>
      </c>
      <c r="G443">
        <v>122.28266143800001</v>
      </c>
      <c r="H443">
        <v>422</v>
      </c>
      <c r="I443">
        <v>133.953216553</v>
      </c>
      <c r="K443">
        <f t="shared" si="28"/>
        <v>10.72889709399999</v>
      </c>
      <c r="L443">
        <v>422</v>
      </c>
      <c r="M443">
        <v>237</v>
      </c>
      <c r="N443">
        <v>422</v>
      </c>
      <c r="O443">
        <v>18</v>
      </c>
      <c r="P443">
        <f t="shared" si="26"/>
        <v>102.76783752399999</v>
      </c>
    </row>
    <row r="444" spans="1:16">
      <c r="A444">
        <f t="shared" si="27"/>
        <v>1071.7380314579018</v>
      </c>
      <c r="B444">
        <v>423</v>
      </c>
      <c r="C444">
        <v>132.659957886</v>
      </c>
      <c r="D444">
        <v>423</v>
      </c>
      <c r="E444">
        <v>145.463012695</v>
      </c>
      <c r="F444">
        <v>423</v>
      </c>
      <c r="G444">
        <v>121.684547424</v>
      </c>
      <c r="H444">
        <v>423</v>
      </c>
      <c r="I444">
        <v>134.988723755</v>
      </c>
      <c r="K444">
        <f t="shared" si="28"/>
        <v>10.474288940000008</v>
      </c>
      <c r="L444">
        <v>423</v>
      </c>
      <c r="M444">
        <v>237</v>
      </c>
      <c r="N444">
        <v>423</v>
      </c>
      <c r="O444">
        <v>18</v>
      </c>
      <c r="P444">
        <f t="shared" si="26"/>
        <v>104.340042114</v>
      </c>
    </row>
    <row r="445" spans="1:16">
      <c r="A445">
        <f t="shared" si="27"/>
        <v>1072.6641260949182</v>
      </c>
      <c r="B445">
        <v>424</v>
      </c>
      <c r="C445">
        <v>131.63136291500001</v>
      </c>
      <c r="D445">
        <v>424</v>
      </c>
      <c r="E445">
        <v>145.22505188</v>
      </c>
      <c r="F445">
        <v>424</v>
      </c>
      <c r="G445">
        <v>122.19522857699999</v>
      </c>
      <c r="H445">
        <v>424</v>
      </c>
      <c r="I445">
        <v>136.89019775400001</v>
      </c>
      <c r="K445">
        <f t="shared" si="28"/>
        <v>8.334854125999982</v>
      </c>
      <c r="L445">
        <v>424</v>
      </c>
      <c r="M445">
        <v>237</v>
      </c>
      <c r="N445">
        <v>424</v>
      </c>
      <c r="O445">
        <v>18</v>
      </c>
      <c r="P445">
        <f t="shared" si="26"/>
        <v>105.36863708499999</v>
      </c>
    </row>
    <row r="446" spans="1:16">
      <c r="A446">
        <f t="shared" si="27"/>
        <v>1073.5902207319346</v>
      </c>
      <c r="B446">
        <v>425</v>
      </c>
      <c r="C446">
        <v>131.87086486800001</v>
      </c>
      <c r="D446">
        <v>425</v>
      </c>
      <c r="E446">
        <v>144.23289489699999</v>
      </c>
      <c r="F446">
        <v>425</v>
      </c>
      <c r="G446">
        <v>122.705909729</v>
      </c>
      <c r="H446">
        <v>425</v>
      </c>
      <c r="I446">
        <v>136.625</v>
      </c>
      <c r="K446">
        <f t="shared" si="28"/>
        <v>7.6078948969999942</v>
      </c>
      <c r="L446">
        <v>425</v>
      </c>
      <c r="M446">
        <v>237</v>
      </c>
      <c r="N446">
        <v>425</v>
      </c>
      <c r="O446">
        <v>18</v>
      </c>
      <c r="P446">
        <f t="shared" si="26"/>
        <v>105.12913513199999</v>
      </c>
    </row>
    <row r="447" spans="1:16">
      <c r="A447">
        <f t="shared" si="27"/>
        <v>1074.5163153689509</v>
      </c>
      <c r="B447">
        <v>426</v>
      </c>
      <c r="C447">
        <v>133.07476806599999</v>
      </c>
      <c r="D447">
        <v>426</v>
      </c>
      <c r="E447">
        <v>143.55081176799999</v>
      </c>
      <c r="F447">
        <v>426</v>
      </c>
      <c r="G447">
        <v>122.783409119</v>
      </c>
      <c r="H447">
        <v>426</v>
      </c>
      <c r="I447">
        <v>137.14692688</v>
      </c>
      <c r="K447">
        <f t="shared" si="28"/>
        <v>6.4038848879999932</v>
      </c>
      <c r="L447">
        <v>426</v>
      </c>
      <c r="M447">
        <v>237</v>
      </c>
      <c r="N447">
        <v>426</v>
      </c>
      <c r="O447">
        <v>18</v>
      </c>
      <c r="P447">
        <f t="shared" si="26"/>
        <v>103.92523193400001</v>
      </c>
    </row>
    <row r="448" spans="1:16">
      <c r="A448">
        <f t="shared" si="27"/>
        <v>1075.4424100059673</v>
      </c>
      <c r="B448">
        <v>427</v>
      </c>
      <c r="C448">
        <v>132.56483459500001</v>
      </c>
      <c r="D448">
        <v>427</v>
      </c>
      <c r="E448">
        <v>144.09336852999999</v>
      </c>
      <c r="F448">
        <v>427</v>
      </c>
      <c r="G448">
        <v>122.27272796600001</v>
      </c>
      <c r="H448">
        <v>427</v>
      </c>
      <c r="I448">
        <v>135.02775573700001</v>
      </c>
      <c r="K448">
        <f t="shared" si="28"/>
        <v>9.0656127929999855</v>
      </c>
      <c r="L448">
        <v>427</v>
      </c>
      <c r="M448">
        <v>237</v>
      </c>
      <c r="N448">
        <v>427</v>
      </c>
      <c r="O448">
        <v>18</v>
      </c>
      <c r="P448">
        <f t="shared" si="26"/>
        <v>104.43516540499999</v>
      </c>
    </row>
    <row r="449" spans="1:16">
      <c r="A449">
        <f t="shared" si="27"/>
        <v>1076.3685046429835</v>
      </c>
      <c r="B449">
        <v>428</v>
      </c>
      <c r="C449">
        <v>131.09471130399999</v>
      </c>
      <c r="D449">
        <v>428</v>
      </c>
      <c r="E449">
        <v>143.591888428</v>
      </c>
      <c r="F449">
        <v>428</v>
      </c>
      <c r="G449">
        <v>121.907333374</v>
      </c>
      <c r="H449">
        <v>428</v>
      </c>
      <c r="I449">
        <v>131.883255005</v>
      </c>
      <c r="K449">
        <f t="shared" si="28"/>
        <v>11.708633423000009</v>
      </c>
      <c r="L449">
        <v>428</v>
      </c>
      <c r="M449">
        <v>237</v>
      </c>
      <c r="N449">
        <v>428</v>
      </c>
      <c r="O449">
        <v>18</v>
      </c>
      <c r="P449">
        <f t="shared" si="26"/>
        <v>105.90528869600001</v>
      </c>
    </row>
    <row r="450" spans="1:16">
      <c r="A450">
        <f t="shared" si="27"/>
        <v>1077.2945992799998</v>
      </c>
      <c r="B450">
        <v>429</v>
      </c>
      <c r="C450">
        <v>131.25851440400001</v>
      </c>
      <c r="D450">
        <v>429</v>
      </c>
      <c r="E450">
        <v>143.814361572</v>
      </c>
      <c r="F450">
        <v>429</v>
      </c>
      <c r="G450">
        <v>122.415298462</v>
      </c>
      <c r="H450">
        <v>429</v>
      </c>
      <c r="I450">
        <v>133.16912841800001</v>
      </c>
      <c r="K450">
        <f t="shared" si="28"/>
        <v>10.645233153999982</v>
      </c>
      <c r="L450">
        <v>429</v>
      </c>
      <c r="M450">
        <v>237</v>
      </c>
      <c r="N450">
        <v>429</v>
      </c>
      <c r="O450">
        <v>18</v>
      </c>
      <c r="P450">
        <f t="shared" si="26"/>
        <v>105.74148559599999</v>
      </c>
    </row>
    <row r="451" spans="1:16">
      <c r="A451">
        <f t="shared" si="27"/>
        <v>1078.220693917016</v>
      </c>
      <c r="B451">
        <v>430</v>
      </c>
      <c r="C451">
        <v>132.126464844</v>
      </c>
      <c r="D451">
        <v>430</v>
      </c>
      <c r="E451">
        <v>141.90330505399999</v>
      </c>
      <c r="F451">
        <v>430</v>
      </c>
      <c r="G451">
        <v>123.02296447800001</v>
      </c>
      <c r="H451">
        <v>430</v>
      </c>
      <c r="I451">
        <v>133.75</v>
      </c>
      <c r="K451">
        <f t="shared" si="28"/>
        <v>8.1533050539999863</v>
      </c>
      <c r="L451">
        <v>430</v>
      </c>
      <c r="M451">
        <v>237</v>
      </c>
      <c r="N451">
        <v>430</v>
      </c>
      <c r="O451">
        <v>18</v>
      </c>
      <c r="P451">
        <f t="shared" si="26"/>
        <v>104.873535156</v>
      </c>
    </row>
    <row r="452" spans="1:16">
      <c r="A452">
        <f t="shared" si="27"/>
        <v>1079.1467885540324</v>
      </c>
      <c r="B452">
        <v>431</v>
      </c>
      <c r="C452">
        <v>131.94271850600001</v>
      </c>
      <c r="D452">
        <v>431</v>
      </c>
      <c r="E452">
        <v>140.35015869099999</v>
      </c>
      <c r="F452">
        <v>431</v>
      </c>
      <c r="G452">
        <v>123.359169006</v>
      </c>
      <c r="H452">
        <v>431</v>
      </c>
      <c r="I452">
        <v>135.25131225600001</v>
      </c>
      <c r="K452">
        <f t="shared" si="28"/>
        <v>5.0988464349999845</v>
      </c>
      <c r="L452">
        <v>431</v>
      </c>
      <c r="M452">
        <v>237</v>
      </c>
      <c r="N452">
        <v>431</v>
      </c>
      <c r="O452">
        <v>18.018709182999999</v>
      </c>
      <c r="P452">
        <f t="shared" si="26"/>
        <v>105.05728149399999</v>
      </c>
    </row>
    <row r="453" spans="1:16">
      <c r="A453">
        <f t="shared" si="27"/>
        <v>1080.0728831910487</v>
      </c>
      <c r="B453">
        <v>432</v>
      </c>
      <c r="C453">
        <v>131.34307861299999</v>
      </c>
      <c r="D453">
        <v>432</v>
      </c>
      <c r="E453">
        <v>141.74838256800001</v>
      </c>
      <c r="F453">
        <v>432</v>
      </c>
      <c r="G453">
        <v>123.40630340600001</v>
      </c>
      <c r="H453">
        <v>432</v>
      </c>
      <c r="I453">
        <v>135.771484375</v>
      </c>
      <c r="K453">
        <f t="shared" si="28"/>
        <v>5.9768981930000109</v>
      </c>
      <c r="L453">
        <v>432</v>
      </c>
      <c r="M453">
        <v>236.83457946799999</v>
      </c>
      <c r="N453">
        <v>432</v>
      </c>
      <c r="O453">
        <v>18.549753189</v>
      </c>
      <c r="P453">
        <f t="shared" si="26"/>
        <v>105.491500855</v>
      </c>
    </row>
    <row r="454" spans="1:16">
      <c r="A454">
        <f t="shared" si="27"/>
        <v>1080.9989778280651</v>
      </c>
      <c r="B454">
        <v>433</v>
      </c>
      <c r="C454">
        <v>134.46641540499999</v>
      </c>
      <c r="D454">
        <v>433</v>
      </c>
      <c r="E454">
        <v>143.63677978499999</v>
      </c>
      <c r="F454">
        <v>433</v>
      </c>
      <c r="G454">
        <v>123</v>
      </c>
      <c r="H454">
        <v>433</v>
      </c>
      <c r="I454">
        <v>134.13970947300001</v>
      </c>
      <c r="K454">
        <f t="shared" si="28"/>
        <v>9.4970703119999769</v>
      </c>
      <c r="L454">
        <v>433</v>
      </c>
      <c r="M454">
        <v>236</v>
      </c>
      <c r="N454">
        <v>433</v>
      </c>
      <c r="O454">
        <v>19</v>
      </c>
      <c r="P454">
        <f t="shared" si="26"/>
        <v>101.53358459500001</v>
      </c>
    </row>
    <row r="455" spans="1:16">
      <c r="A455">
        <f t="shared" si="27"/>
        <v>1081.9250724650815</v>
      </c>
      <c r="B455">
        <v>434</v>
      </c>
      <c r="C455">
        <v>134.313552856</v>
      </c>
      <c r="D455">
        <v>434</v>
      </c>
      <c r="E455">
        <v>144.36936950699999</v>
      </c>
      <c r="F455">
        <v>434</v>
      </c>
      <c r="G455">
        <v>123.004295349</v>
      </c>
      <c r="H455">
        <v>434</v>
      </c>
      <c r="I455">
        <v>132.045776367</v>
      </c>
      <c r="K455">
        <f t="shared" si="28"/>
        <v>12.323593139999986</v>
      </c>
      <c r="L455">
        <v>434</v>
      </c>
      <c r="M455">
        <v>236</v>
      </c>
      <c r="N455">
        <v>434</v>
      </c>
      <c r="O455">
        <v>19</v>
      </c>
      <c r="P455">
        <f t="shared" si="26"/>
        <v>101.686447144</v>
      </c>
    </row>
    <row r="456" spans="1:16">
      <c r="A456">
        <f t="shared" si="27"/>
        <v>1082.8511671020976</v>
      </c>
      <c r="B456">
        <v>435</v>
      </c>
      <c r="C456">
        <v>133.22819519000001</v>
      </c>
      <c r="D456">
        <v>435</v>
      </c>
      <c r="E456">
        <v>143.912033081</v>
      </c>
      <c r="F456">
        <v>435</v>
      </c>
      <c r="G456">
        <v>122.223251343</v>
      </c>
      <c r="H456">
        <v>435</v>
      </c>
      <c r="I456">
        <v>133.57072448700001</v>
      </c>
      <c r="K456">
        <f t="shared" si="28"/>
        <v>10.341308593999997</v>
      </c>
      <c r="L456">
        <v>435</v>
      </c>
      <c r="M456">
        <v>236</v>
      </c>
      <c r="N456">
        <v>435</v>
      </c>
      <c r="O456">
        <v>19</v>
      </c>
      <c r="P456">
        <f t="shared" si="26"/>
        <v>102.77180480999999</v>
      </c>
    </row>
    <row r="457" spans="1:16">
      <c r="A457">
        <f t="shared" si="27"/>
        <v>1083.777261739114</v>
      </c>
      <c r="B457">
        <v>436</v>
      </c>
      <c r="C457">
        <v>131.76885986299999</v>
      </c>
      <c r="D457">
        <v>436</v>
      </c>
      <c r="E457">
        <v>143.98117065400001</v>
      </c>
      <c r="F457">
        <v>436</v>
      </c>
      <c r="G457">
        <v>121.022354126</v>
      </c>
      <c r="H457">
        <v>436</v>
      </c>
      <c r="I457">
        <v>137.41017150900001</v>
      </c>
      <c r="K457">
        <f t="shared" si="28"/>
        <v>6.5709991450000018</v>
      </c>
      <c r="L457">
        <v>436</v>
      </c>
      <c r="M457">
        <v>236</v>
      </c>
      <c r="N457">
        <v>436</v>
      </c>
      <c r="O457">
        <v>19</v>
      </c>
      <c r="P457">
        <f t="shared" si="26"/>
        <v>104.23114013700001</v>
      </c>
    </row>
    <row r="458" spans="1:16">
      <c r="A458">
        <f t="shared" si="27"/>
        <v>1084.7033563761304</v>
      </c>
      <c r="B458">
        <v>437</v>
      </c>
      <c r="C458">
        <v>131.84489440900001</v>
      </c>
      <c r="D458">
        <v>437</v>
      </c>
      <c r="E458">
        <v>144.17060852099999</v>
      </c>
      <c r="F458">
        <v>437</v>
      </c>
      <c r="G458">
        <v>121.098320007</v>
      </c>
      <c r="H458">
        <v>437</v>
      </c>
      <c r="I458">
        <v>137.26805114699999</v>
      </c>
      <c r="K458">
        <f t="shared" si="28"/>
        <v>6.902557373999997</v>
      </c>
      <c r="L458">
        <v>437</v>
      </c>
      <c r="M458">
        <v>236</v>
      </c>
      <c r="N458">
        <v>437</v>
      </c>
      <c r="O458">
        <v>19</v>
      </c>
      <c r="P458">
        <f t="shared" si="26"/>
        <v>104.15510559099999</v>
      </c>
    </row>
    <row r="459" spans="1:16">
      <c r="A459">
        <f t="shared" si="27"/>
        <v>1085.6294510131465</v>
      </c>
      <c r="B459">
        <v>438</v>
      </c>
      <c r="C459">
        <v>132.85935974099999</v>
      </c>
      <c r="D459">
        <v>438</v>
      </c>
      <c r="E459">
        <v>143.63682556200001</v>
      </c>
      <c r="F459">
        <v>438</v>
      </c>
      <c r="G459">
        <v>121.25286102299999</v>
      </c>
      <c r="H459">
        <v>438</v>
      </c>
      <c r="I459">
        <v>133.93850707999999</v>
      </c>
      <c r="K459">
        <f t="shared" si="28"/>
        <v>9.698318482000019</v>
      </c>
      <c r="L459">
        <v>438</v>
      </c>
      <c r="M459">
        <v>236</v>
      </c>
      <c r="N459">
        <v>438</v>
      </c>
      <c r="O459">
        <v>19</v>
      </c>
      <c r="P459">
        <f t="shared" si="26"/>
        <v>103.14064025900001</v>
      </c>
    </row>
    <row r="460" spans="1:16">
      <c r="A460">
        <f t="shared" si="27"/>
        <v>1086.5555456501629</v>
      </c>
      <c r="B460">
        <v>439</v>
      </c>
      <c r="C460">
        <v>133.74531555199999</v>
      </c>
      <c r="D460">
        <v>439</v>
      </c>
      <c r="E460">
        <v>145.876754761</v>
      </c>
      <c r="F460">
        <v>439</v>
      </c>
      <c r="G460">
        <v>121.33333587600001</v>
      </c>
      <c r="H460">
        <v>439</v>
      </c>
      <c r="I460">
        <v>132.35726928700001</v>
      </c>
      <c r="K460">
        <f t="shared" si="28"/>
        <v>13.519485473999993</v>
      </c>
      <c r="L460">
        <v>439</v>
      </c>
      <c r="M460">
        <v>236</v>
      </c>
      <c r="N460">
        <v>439</v>
      </c>
      <c r="O460">
        <v>19</v>
      </c>
      <c r="P460">
        <f t="shared" si="26"/>
        <v>102.25468444800001</v>
      </c>
    </row>
    <row r="461" spans="1:16">
      <c r="A461">
        <f t="shared" si="27"/>
        <v>1087.4816402871793</v>
      </c>
      <c r="B461">
        <v>440</v>
      </c>
      <c r="C461">
        <v>133.84950256299999</v>
      </c>
      <c r="D461">
        <v>440</v>
      </c>
      <c r="E461">
        <v>142.00962829599999</v>
      </c>
      <c r="F461">
        <v>440</v>
      </c>
      <c r="G461">
        <v>121.598320007</v>
      </c>
      <c r="H461">
        <v>440</v>
      </c>
      <c r="I461">
        <v>133.26643371599999</v>
      </c>
      <c r="K461">
        <f t="shared" si="28"/>
        <v>8.7431945799999937</v>
      </c>
      <c r="L461">
        <v>440</v>
      </c>
      <c r="M461">
        <v>236</v>
      </c>
      <c r="N461">
        <v>440</v>
      </c>
      <c r="O461">
        <v>19</v>
      </c>
      <c r="P461">
        <f t="shared" si="26"/>
        <v>102.15049743700001</v>
      </c>
    </row>
    <row r="462" spans="1:16">
      <c r="A462">
        <f t="shared" si="27"/>
        <v>1088.4077349241957</v>
      </c>
      <c r="B462">
        <v>441</v>
      </c>
      <c r="C462">
        <v>131.78196716299999</v>
      </c>
      <c r="D462">
        <v>441</v>
      </c>
      <c r="E462">
        <v>139.78276062</v>
      </c>
      <c r="F462">
        <v>441</v>
      </c>
      <c r="G462">
        <v>121.5417099</v>
      </c>
      <c r="H462">
        <v>441</v>
      </c>
      <c r="I462">
        <v>132.74388122600001</v>
      </c>
      <c r="K462">
        <f t="shared" si="28"/>
        <v>7.0388793939999914</v>
      </c>
      <c r="L462">
        <v>441</v>
      </c>
      <c r="M462">
        <v>236</v>
      </c>
      <c r="N462">
        <v>441</v>
      </c>
      <c r="O462">
        <v>19</v>
      </c>
      <c r="P462">
        <f t="shared" si="26"/>
        <v>104.21803283700001</v>
      </c>
    </row>
    <row r="463" spans="1:16">
      <c r="A463">
        <f t="shared" si="27"/>
        <v>1089.333829561212</v>
      </c>
      <c r="B463">
        <v>442</v>
      </c>
      <c r="C463">
        <v>130.00782775900001</v>
      </c>
      <c r="D463">
        <v>442</v>
      </c>
      <c r="E463">
        <v>142.644332886</v>
      </c>
      <c r="F463">
        <v>442</v>
      </c>
      <c r="G463">
        <v>121.085441589</v>
      </c>
      <c r="H463">
        <v>442</v>
      </c>
      <c r="I463">
        <v>132.35000610399999</v>
      </c>
      <c r="K463">
        <f t="shared" si="28"/>
        <v>10.294326782000013</v>
      </c>
      <c r="L463">
        <v>442</v>
      </c>
      <c r="M463">
        <v>236</v>
      </c>
      <c r="N463">
        <v>442</v>
      </c>
      <c r="O463">
        <v>19</v>
      </c>
      <c r="P463">
        <f t="shared" si="26"/>
        <v>105.99217224099999</v>
      </c>
    </row>
    <row r="464" spans="1:16">
      <c r="A464">
        <f t="shared" si="27"/>
        <v>1090.2599241982282</v>
      </c>
      <c r="B464">
        <v>443</v>
      </c>
      <c r="C464">
        <v>132.49067688</v>
      </c>
      <c r="D464">
        <v>443</v>
      </c>
      <c r="E464">
        <v>143.15396118199999</v>
      </c>
      <c r="F464">
        <v>443</v>
      </c>
      <c r="G464">
        <v>120.433792114</v>
      </c>
      <c r="H464">
        <v>443</v>
      </c>
      <c r="I464">
        <v>132.96469116200001</v>
      </c>
      <c r="K464">
        <f t="shared" si="28"/>
        <v>10.189270019999981</v>
      </c>
      <c r="L464">
        <v>443</v>
      </c>
      <c r="M464">
        <v>236</v>
      </c>
      <c r="N464">
        <v>443</v>
      </c>
      <c r="O464">
        <v>19</v>
      </c>
      <c r="P464">
        <f t="shared" si="26"/>
        <v>103.50932312</v>
      </c>
    </row>
    <row r="465" spans="1:16">
      <c r="A465">
        <f t="shared" si="27"/>
        <v>1091.1860188352446</v>
      </c>
      <c r="B465">
        <v>444</v>
      </c>
      <c r="C465">
        <v>132.88336181599999</v>
      </c>
      <c r="D465">
        <v>444</v>
      </c>
      <c r="E465">
        <v>142.13591003400001</v>
      </c>
      <c r="F465">
        <v>444</v>
      </c>
      <c r="G465">
        <v>120.708946228</v>
      </c>
      <c r="H465">
        <v>444</v>
      </c>
      <c r="I465">
        <v>133.94850158700001</v>
      </c>
      <c r="K465">
        <f t="shared" si="28"/>
        <v>8.1874084469999957</v>
      </c>
      <c r="L465">
        <v>444</v>
      </c>
      <c r="M465">
        <v>236</v>
      </c>
      <c r="N465">
        <v>444</v>
      </c>
      <c r="O465">
        <v>19</v>
      </c>
      <c r="P465">
        <f t="shared" si="26"/>
        <v>103.11663818400001</v>
      </c>
    </row>
    <row r="466" spans="1:16">
      <c r="A466">
        <f t="shared" si="27"/>
        <v>1092.1121134722609</v>
      </c>
      <c r="B466">
        <v>445</v>
      </c>
      <c r="C466">
        <v>133.530715942</v>
      </c>
      <c r="D466">
        <v>445</v>
      </c>
      <c r="E466">
        <v>143.256759644</v>
      </c>
      <c r="F466">
        <v>445</v>
      </c>
      <c r="G466">
        <v>120.610099792</v>
      </c>
      <c r="H466">
        <v>445</v>
      </c>
      <c r="I466">
        <v>137.32760620100001</v>
      </c>
      <c r="K466">
        <f t="shared" si="28"/>
        <v>5.9291534429999899</v>
      </c>
      <c r="L466">
        <v>445</v>
      </c>
      <c r="M466">
        <v>236</v>
      </c>
      <c r="N466">
        <v>445</v>
      </c>
      <c r="O466">
        <v>19</v>
      </c>
      <c r="P466">
        <f t="shared" si="26"/>
        <v>102.469284058</v>
      </c>
    </row>
    <row r="467" spans="1:16">
      <c r="A467">
        <f t="shared" si="27"/>
        <v>1093.0382081092771</v>
      </c>
      <c r="B467">
        <v>446</v>
      </c>
      <c r="C467">
        <v>130.332794189</v>
      </c>
      <c r="D467">
        <v>446</v>
      </c>
      <c r="E467">
        <v>142.64007568400001</v>
      </c>
      <c r="F467">
        <v>446</v>
      </c>
      <c r="G467">
        <v>119.115333557</v>
      </c>
      <c r="H467">
        <v>446</v>
      </c>
      <c r="I467">
        <v>144.38417053200001</v>
      </c>
      <c r="K467">
        <f t="shared" si="28"/>
        <v>-1.7440948480000031</v>
      </c>
      <c r="L467">
        <v>446</v>
      </c>
      <c r="M467">
        <v>236</v>
      </c>
      <c r="N467">
        <v>446</v>
      </c>
      <c r="O467">
        <v>19</v>
      </c>
      <c r="P467">
        <f t="shared" si="26"/>
        <v>105.667205811</v>
      </c>
    </row>
    <row r="468" spans="1:16">
      <c r="A468">
        <f t="shared" si="27"/>
        <v>1093.9643027462935</v>
      </c>
      <c r="B468">
        <v>447</v>
      </c>
      <c r="C468">
        <v>134.33334350600001</v>
      </c>
      <c r="D468">
        <v>447</v>
      </c>
      <c r="E468">
        <v>141.48590087900001</v>
      </c>
      <c r="F468">
        <v>447</v>
      </c>
      <c r="G468">
        <v>118.397666931</v>
      </c>
      <c r="H468">
        <v>447</v>
      </c>
      <c r="I468">
        <v>137.307693481</v>
      </c>
      <c r="K468">
        <f t="shared" si="28"/>
        <v>4.1782073980000121</v>
      </c>
      <c r="L468">
        <v>447</v>
      </c>
      <c r="M468">
        <v>236</v>
      </c>
      <c r="N468">
        <v>447</v>
      </c>
      <c r="O468">
        <v>19</v>
      </c>
      <c r="P468">
        <f t="shared" si="26"/>
        <v>101.66665649399999</v>
      </c>
    </row>
    <row r="469" spans="1:16">
      <c r="A469">
        <f t="shared" si="27"/>
        <v>1094.8903973833098</v>
      </c>
      <c r="B469">
        <v>448</v>
      </c>
      <c r="C469">
        <v>137.26753234899999</v>
      </c>
      <c r="D469">
        <v>448</v>
      </c>
      <c r="E469">
        <v>143.48281860399999</v>
      </c>
      <c r="F469">
        <v>448</v>
      </c>
      <c r="G469">
        <v>120.968727112</v>
      </c>
      <c r="H469">
        <v>448</v>
      </c>
      <c r="I469">
        <v>137.43067932100001</v>
      </c>
      <c r="K469">
        <f t="shared" si="28"/>
        <v>6.0521392829999741</v>
      </c>
      <c r="L469">
        <v>448</v>
      </c>
      <c r="M469">
        <v>236</v>
      </c>
      <c r="N469">
        <v>448</v>
      </c>
      <c r="O469">
        <v>19</v>
      </c>
      <c r="P469">
        <f t="shared" ref="P469:P532" si="29">M469-C469</f>
        <v>98.732467651000007</v>
      </c>
    </row>
    <row r="470" spans="1:16">
      <c r="A470">
        <f t="shared" ref="A470:A533" si="30">680 +B470*COS(ABS($J$8)*PI()/180)</f>
        <v>1095.8164920203262</v>
      </c>
      <c r="B470">
        <v>449</v>
      </c>
      <c r="C470">
        <v>129.83125305199999</v>
      </c>
      <c r="D470">
        <v>449</v>
      </c>
      <c r="E470">
        <v>144.39961242699999</v>
      </c>
      <c r="F470">
        <v>449</v>
      </c>
      <c r="G470">
        <v>122.78252410899999</v>
      </c>
      <c r="H470">
        <v>449</v>
      </c>
      <c r="I470">
        <v>140.22402954099999</v>
      </c>
      <c r="K470">
        <f t="shared" ref="K470:K533" si="31">E470-I470</f>
        <v>4.1755828860000008</v>
      </c>
      <c r="L470">
        <v>449</v>
      </c>
      <c r="M470">
        <v>236</v>
      </c>
      <c r="N470">
        <v>449</v>
      </c>
      <c r="O470">
        <v>19</v>
      </c>
      <c r="P470">
        <f t="shared" si="29"/>
        <v>106.16874694800001</v>
      </c>
    </row>
    <row r="471" spans="1:16">
      <c r="A471">
        <f t="shared" si="30"/>
        <v>1096.7425866573424</v>
      </c>
      <c r="B471">
        <v>450</v>
      </c>
      <c r="C471">
        <v>130.726470947</v>
      </c>
      <c r="D471">
        <v>450</v>
      </c>
      <c r="E471">
        <v>145.95979309099999</v>
      </c>
      <c r="F471">
        <v>450</v>
      </c>
      <c r="G471">
        <v>122.024833679</v>
      </c>
      <c r="H471">
        <v>450</v>
      </c>
      <c r="I471">
        <v>140.88005065900001</v>
      </c>
      <c r="K471">
        <f t="shared" si="31"/>
        <v>5.0797424319999891</v>
      </c>
      <c r="L471">
        <v>450</v>
      </c>
      <c r="M471">
        <v>236</v>
      </c>
      <c r="N471">
        <v>450</v>
      </c>
      <c r="O471">
        <v>19</v>
      </c>
      <c r="P471">
        <f t="shared" si="29"/>
        <v>105.273529053</v>
      </c>
    </row>
    <row r="472" spans="1:16">
      <c r="A472">
        <f t="shared" si="30"/>
        <v>1097.6686812943587</v>
      </c>
      <c r="B472">
        <v>451</v>
      </c>
      <c r="C472">
        <v>133.017944336</v>
      </c>
      <c r="D472">
        <v>451</v>
      </c>
      <c r="E472">
        <v>144.942871094</v>
      </c>
      <c r="F472">
        <v>451</v>
      </c>
      <c r="G472">
        <v>121.002059937</v>
      </c>
      <c r="H472">
        <v>451</v>
      </c>
      <c r="I472">
        <v>140.84158325199999</v>
      </c>
      <c r="K472">
        <f t="shared" si="31"/>
        <v>4.101287842000005</v>
      </c>
      <c r="L472">
        <v>451</v>
      </c>
      <c r="M472">
        <v>236</v>
      </c>
      <c r="N472">
        <v>451</v>
      </c>
      <c r="O472">
        <v>19</v>
      </c>
      <c r="P472">
        <f t="shared" si="29"/>
        <v>102.982055664</v>
      </c>
    </row>
    <row r="473" spans="1:16">
      <c r="A473">
        <f t="shared" si="30"/>
        <v>1098.5947759313751</v>
      </c>
      <c r="B473">
        <v>452</v>
      </c>
      <c r="C473">
        <v>132.21641540499999</v>
      </c>
      <c r="D473">
        <v>452</v>
      </c>
      <c r="E473">
        <v>144.37599182100001</v>
      </c>
      <c r="F473">
        <v>452</v>
      </c>
      <c r="G473">
        <v>120.056442261</v>
      </c>
      <c r="H473">
        <v>452</v>
      </c>
      <c r="I473">
        <v>132.49766540499999</v>
      </c>
      <c r="K473">
        <f t="shared" si="31"/>
        <v>11.878326416000021</v>
      </c>
      <c r="L473">
        <v>452</v>
      </c>
      <c r="M473">
        <v>236</v>
      </c>
      <c r="N473">
        <v>452</v>
      </c>
      <c r="O473">
        <v>19</v>
      </c>
      <c r="P473">
        <f t="shared" si="29"/>
        <v>103.78358459500001</v>
      </c>
    </row>
    <row r="474" spans="1:16">
      <c r="A474">
        <f t="shared" si="30"/>
        <v>1099.5208705683913</v>
      </c>
      <c r="B474">
        <v>453</v>
      </c>
      <c r="C474">
        <v>131.745559692</v>
      </c>
      <c r="D474">
        <v>453</v>
      </c>
      <c r="E474">
        <v>145.033035278</v>
      </c>
      <c r="F474">
        <v>453</v>
      </c>
      <c r="G474">
        <v>120.170387268</v>
      </c>
      <c r="H474">
        <v>453</v>
      </c>
      <c r="I474">
        <v>128.59501647900001</v>
      </c>
      <c r="K474">
        <f t="shared" si="31"/>
        <v>16.438018798999991</v>
      </c>
      <c r="L474">
        <v>453</v>
      </c>
      <c r="M474">
        <v>236</v>
      </c>
      <c r="N474">
        <v>453</v>
      </c>
      <c r="O474">
        <v>19.286771774000002</v>
      </c>
      <c r="P474">
        <f t="shared" si="29"/>
        <v>104.254440308</v>
      </c>
    </row>
    <row r="475" spans="1:16">
      <c r="A475">
        <f t="shared" si="30"/>
        <v>1100.4469652054077</v>
      </c>
      <c r="B475">
        <v>454</v>
      </c>
      <c r="C475">
        <v>131.67807006800001</v>
      </c>
      <c r="D475">
        <v>454</v>
      </c>
      <c r="E475">
        <v>142.203292847</v>
      </c>
      <c r="F475">
        <v>454</v>
      </c>
      <c r="G475">
        <v>120.572021484</v>
      </c>
      <c r="H475">
        <v>454</v>
      </c>
      <c r="I475">
        <v>133.927734375</v>
      </c>
      <c r="K475">
        <f t="shared" si="31"/>
        <v>8.2755584720000002</v>
      </c>
      <c r="L475">
        <v>454</v>
      </c>
      <c r="M475">
        <v>235.400222778</v>
      </c>
      <c r="N475">
        <v>454</v>
      </c>
      <c r="O475">
        <v>19.942607880000001</v>
      </c>
      <c r="P475">
        <f t="shared" si="29"/>
        <v>103.72215270999999</v>
      </c>
    </row>
    <row r="476" spans="1:16">
      <c r="A476">
        <f t="shared" si="30"/>
        <v>1101.373059842424</v>
      </c>
      <c r="B476">
        <v>455</v>
      </c>
      <c r="C476">
        <v>131.207962036</v>
      </c>
      <c r="D476">
        <v>455</v>
      </c>
      <c r="E476">
        <v>142.88014221200001</v>
      </c>
      <c r="F476">
        <v>455</v>
      </c>
      <c r="G476">
        <v>120.39691925</v>
      </c>
      <c r="H476">
        <v>455</v>
      </c>
      <c r="I476">
        <v>135.32472229000001</v>
      </c>
      <c r="K476">
        <f t="shared" si="31"/>
        <v>7.5554199219999987</v>
      </c>
      <c r="L476">
        <v>455</v>
      </c>
      <c r="M476">
        <v>235</v>
      </c>
      <c r="N476">
        <v>455</v>
      </c>
      <c r="O476">
        <v>20</v>
      </c>
      <c r="P476">
        <f t="shared" si="29"/>
        <v>103.792037964</v>
      </c>
    </row>
    <row r="477" spans="1:16">
      <c r="A477">
        <f t="shared" si="30"/>
        <v>1102.2991544794404</v>
      </c>
      <c r="B477">
        <v>456</v>
      </c>
      <c r="C477">
        <v>131.20623779300001</v>
      </c>
      <c r="D477">
        <v>456</v>
      </c>
      <c r="E477">
        <v>142.470245361</v>
      </c>
      <c r="F477">
        <v>456</v>
      </c>
      <c r="G477">
        <v>120.23667907700001</v>
      </c>
      <c r="H477">
        <v>456</v>
      </c>
      <c r="I477">
        <v>132.01176452600001</v>
      </c>
      <c r="K477">
        <f t="shared" si="31"/>
        <v>10.458480834999989</v>
      </c>
      <c r="L477">
        <v>456</v>
      </c>
      <c r="M477">
        <v>235</v>
      </c>
      <c r="N477">
        <v>456</v>
      </c>
      <c r="O477">
        <v>20</v>
      </c>
      <c r="P477">
        <f t="shared" si="29"/>
        <v>103.79376220699999</v>
      </c>
    </row>
    <row r="478" spans="1:16">
      <c r="A478">
        <f t="shared" si="30"/>
        <v>1103.2252491164568</v>
      </c>
      <c r="B478">
        <v>457</v>
      </c>
      <c r="C478">
        <v>131.09588622999999</v>
      </c>
      <c r="D478">
        <v>457</v>
      </c>
      <c r="E478">
        <v>141.993865967</v>
      </c>
      <c r="F478">
        <v>457</v>
      </c>
      <c r="G478">
        <v>120.678588867</v>
      </c>
      <c r="H478">
        <v>457</v>
      </c>
      <c r="I478">
        <v>131.52923584000001</v>
      </c>
      <c r="K478">
        <f t="shared" si="31"/>
        <v>10.464630126999992</v>
      </c>
      <c r="L478">
        <v>457</v>
      </c>
      <c r="M478">
        <v>235</v>
      </c>
      <c r="N478">
        <v>457</v>
      </c>
      <c r="O478">
        <v>20</v>
      </c>
      <c r="P478">
        <f t="shared" si="29"/>
        <v>103.90411377000001</v>
      </c>
    </row>
    <row r="479" spans="1:16">
      <c r="A479">
        <f t="shared" si="30"/>
        <v>1104.1513437534729</v>
      </c>
      <c r="B479">
        <v>458</v>
      </c>
      <c r="C479">
        <v>134.10971069300001</v>
      </c>
      <c r="D479">
        <v>458</v>
      </c>
      <c r="E479">
        <v>142.91526794399999</v>
      </c>
      <c r="F479">
        <v>458</v>
      </c>
      <c r="G479">
        <v>120.71675109900001</v>
      </c>
      <c r="H479">
        <v>458</v>
      </c>
      <c r="I479">
        <v>132.96836852999999</v>
      </c>
      <c r="K479">
        <f t="shared" si="31"/>
        <v>9.9468994140000007</v>
      </c>
      <c r="L479">
        <v>458</v>
      </c>
      <c r="M479">
        <v>235</v>
      </c>
      <c r="N479">
        <v>458</v>
      </c>
      <c r="O479">
        <v>20</v>
      </c>
      <c r="P479">
        <f t="shared" si="29"/>
        <v>100.89028930699999</v>
      </c>
    </row>
    <row r="480" spans="1:16">
      <c r="A480">
        <f t="shared" si="30"/>
        <v>1105.0774383904893</v>
      </c>
      <c r="B480">
        <v>459</v>
      </c>
      <c r="C480">
        <v>132.004150391</v>
      </c>
      <c r="D480">
        <v>459</v>
      </c>
      <c r="E480">
        <v>142.50575256299999</v>
      </c>
      <c r="F480">
        <v>459</v>
      </c>
      <c r="G480">
        <v>120.446601868</v>
      </c>
      <c r="H480">
        <v>459</v>
      </c>
      <c r="I480">
        <v>134.47874450699999</v>
      </c>
      <c r="K480">
        <f t="shared" si="31"/>
        <v>8.0270080559999997</v>
      </c>
      <c r="L480">
        <v>459</v>
      </c>
      <c r="M480">
        <v>235</v>
      </c>
      <c r="N480">
        <v>459</v>
      </c>
      <c r="O480">
        <v>20</v>
      </c>
      <c r="P480">
        <f t="shared" si="29"/>
        <v>102.995849609</v>
      </c>
    </row>
    <row r="481" spans="1:16">
      <c r="A481">
        <f t="shared" si="30"/>
        <v>1106.0035330275057</v>
      </c>
      <c r="B481">
        <v>460</v>
      </c>
      <c r="C481">
        <v>127.0885849</v>
      </c>
      <c r="D481">
        <v>460</v>
      </c>
      <c r="E481">
        <v>139.56973266599999</v>
      </c>
      <c r="F481">
        <v>460</v>
      </c>
      <c r="G481">
        <v>121.51124572800001</v>
      </c>
      <c r="H481">
        <v>460</v>
      </c>
      <c r="I481">
        <v>136.735870361</v>
      </c>
      <c r="K481">
        <f t="shared" si="31"/>
        <v>2.8338623049999967</v>
      </c>
      <c r="L481">
        <v>460</v>
      </c>
      <c r="M481">
        <v>235</v>
      </c>
      <c r="N481">
        <v>460</v>
      </c>
      <c r="O481">
        <v>20</v>
      </c>
      <c r="P481">
        <f t="shared" si="29"/>
        <v>107.9114151</v>
      </c>
    </row>
    <row r="482" spans="1:16">
      <c r="A482">
        <f t="shared" si="30"/>
        <v>1106.9296276645218</v>
      </c>
      <c r="B482">
        <v>461</v>
      </c>
      <c r="C482">
        <v>131.92657470699999</v>
      </c>
      <c r="D482">
        <v>461</v>
      </c>
      <c r="E482">
        <v>141.53961181599999</v>
      </c>
      <c r="F482">
        <v>461</v>
      </c>
      <c r="G482">
        <v>121.35533905</v>
      </c>
      <c r="H482">
        <v>461</v>
      </c>
      <c r="I482">
        <v>135.820236206</v>
      </c>
      <c r="K482">
        <f t="shared" si="31"/>
        <v>5.719375609999986</v>
      </c>
      <c r="L482">
        <v>461</v>
      </c>
      <c r="M482">
        <v>235</v>
      </c>
      <c r="N482">
        <v>461</v>
      </c>
      <c r="O482">
        <v>20</v>
      </c>
      <c r="P482">
        <f t="shared" si="29"/>
        <v>103.07342529300001</v>
      </c>
    </row>
    <row r="483" spans="1:16">
      <c r="A483">
        <f t="shared" si="30"/>
        <v>1107.8557223015382</v>
      </c>
      <c r="B483">
        <v>462</v>
      </c>
      <c r="C483">
        <v>131.56449890100001</v>
      </c>
      <c r="D483">
        <v>462</v>
      </c>
      <c r="E483">
        <v>139.46647644000001</v>
      </c>
      <c r="F483">
        <v>462</v>
      </c>
      <c r="G483">
        <v>121.33333587600001</v>
      </c>
      <c r="H483">
        <v>462</v>
      </c>
      <c r="I483">
        <v>133.17312622099999</v>
      </c>
      <c r="K483">
        <f t="shared" si="31"/>
        <v>6.2933502190000183</v>
      </c>
      <c r="L483">
        <v>462</v>
      </c>
      <c r="M483">
        <v>235</v>
      </c>
      <c r="N483">
        <v>462</v>
      </c>
      <c r="O483">
        <v>20</v>
      </c>
      <c r="P483">
        <f t="shared" si="29"/>
        <v>103.43550109899999</v>
      </c>
    </row>
    <row r="484" spans="1:16">
      <c r="A484">
        <f t="shared" si="30"/>
        <v>1108.7818169385546</v>
      </c>
      <c r="B484">
        <v>463</v>
      </c>
      <c r="C484">
        <v>130.091796875</v>
      </c>
      <c r="D484">
        <v>463</v>
      </c>
      <c r="E484">
        <v>136.846923828</v>
      </c>
      <c r="F484">
        <v>463</v>
      </c>
      <c r="G484">
        <v>121.51303100600001</v>
      </c>
      <c r="H484">
        <v>463</v>
      </c>
      <c r="I484">
        <v>132.56382751500001</v>
      </c>
      <c r="K484">
        <f t="shared" si="31"/>
        <v>4.2830963129999873</v>
      </c>
      <c r="L484">
        <v>463</v>
      </c>
      <c r="M484">
        <v>235</v>
      </c>
      <c r="N484">
        <v>463</v>
      </c>
      <c r="O484">
        <v>20.270149231000001</v>
      </c>
      <c r="P484">
        <f t="shared" si="29"/>
        <v>104.908203125</v>
      </c>
    </row>
    <row r="485" spans="1:16">
      <c r="A485">
        <f t="shared" si="30"/>
        <v>1109.707911575571</v>
      </c>
      <c r="B485">
        <v>464</v>
      </c>
      <c r="C485">
        <v>129.98971557600001</v>
      </c>
      <c r="D485">
        <v>464</v>
      </c>
      <c r="E485">
        <v>140.374542236</v>
      </c>
      <c r="F485">
        <v>464</v>
      </c>
      <c r="G485">
        <v>121.42771911600001</v>
      </c>
      <c r="H485">
        <v>464</v>
      </c>
      <c r="I485">
        <v>133.249542236</v>
      </c>
      <c r="K485">
        <f t="shared" si="31"/>
        <v>7.125</v>
      </c>
      <c r="L485">
        <v>464</v>
      </c>
      <c r="M485">
        <v>234.97467040999999</v>
      </c>
      <c r="N485">
        <v>464</v>
      </c>
      <c r="O485">
        <v>20.716840743999999</v>
      </c>
      <c r="P485">
        <f t="shared" si="29"/>
        <v>104.98495483399998</v>
      </c>
    </row>
    <row r="486" spans="1:16">
      <c r="A486">
        <f t="shared" si="30"/>
        <v>1110.6340062125873</v>
      </c>
      <c r="B486">
        <v>465</v>
      </c>
      <c r="C486">
        <v>129.972412109</v>
      </c>
      <c r="D486">
        <v>465</v>
      </c>
      <c r="E486">
        <v>144.29913330100001</v>
      </c>
      <c r="F486">
        <v>465</v>
      </c>
      <c r="G486">
        <v>121.33333587600001</v>
      </c>
      <c r="H486">
        <v>465</v>
      </c>
      <c r="I486">
        <v>136.38613891599999</v>
      </c>
      <c r="K486">
        <f t="shared" si="31"/>
        <v>7.9129943850000188</v>
      </c>
      <c r="L486">
        <v>465</v>
      </c>
      <c r="M486">
        <v>234.20330810499999</v>
      </c>
      <c r="N486">
        <v>465</v>
      </c>
      <c r="O486">
        <v>21</v>
      </c>
      <c r="P486">
        <f t="shared" si="29"/>
        <v>104.23089599599999</v>
      </c>
    </row>
    <row r="487" spans="1:16">
      <c r="A487">
        <f t="shared" si="30"/>
        <v>1111.5601008496035</v>
      </c>
      <c r="B487">
        <v>466</v>
      </c>
      <c r="C487">
        <v>130.223953247</v>
      </c>
      <c r="D487">
        <v>466</v>
      </c>
      <c r="E487">
        <v>141.70474243199999</v>
      </c>
      <c r="F487">
        <v>466</v>
      </c>
      <c r="G487">
        <v>121.33333587600001</v>
      </c>
      <c r="H487">
        <v>466</v>
      </c>
      <c r="I487">
        <v>136.74118042000001</v>
      </c>
      <c r="K487">
        <f t="shared" si="31"/>
        <v>4.9635620119999828</v>
      </c>
      <c r="L487">
        <v>466</v>
      </c>
      <c r="M487">
        <v>234</v>
      </c>
      <c r="N487">
        <v>466</v>
      </c>
      <c r="O487">
        <v>21</v>
      </c>
      <c r="P487">
        <f t="shared" si="29"/>
        <v>103.776046753</v>
      </c>
    </row>
    <row r="488" spans="1:16">
      <c r="A488">
        <f t="shared" si="30"/>
        <v>1112.4861954866199</v>
      </c>
      <c r="B488">
        <v>467</v>
      </c>
      <c r="C488">
        <v>129.7240448</v>
      </c>
      <c r="D488">
        <v>467</v>
      </c>
      <c r="E488">
        <v>140.05957031200001</v>
      </c>
      <c r="F488">
        <v>467</v>
      </c>
      <c r="G488">
        <v>121.33333587600001</v>
      </c>
      <c r="H488">
        <v>467</v>
      </c>
      <c r="I488">
        <v>132.35420227099999</v>
      </c>
      <c r="K488">
        <f t="shared" si="31"/>
        <v>7.705368041000014</v>
      </c>
      <c r="L488">
        <v>467</v>
      </c>
      <c r="M488">
        <v>234</v>
      </c>
      <c r="N488">
        <v>467</v>
      </c>
      <c r="O488">
        <v>21</v>
      </c>
      <c r="P488">
        <f t="shared" si="29"/>
        <v>104.2759552</v>
      </c>
    </row>
    <row r="489" spans="1:16">
      <c r="A489">
        <f t="shared" si="30"/>
        <v>1113.412290123636</v>
      </c>
      <c r="B489">
        <v>468</v>
      </c>
      <c r="C489">
        <v>129.78103637699999</v>
      </c>
      <c r="D489">
        <v>468</v>
      </c>
      <c r="E489">
        <v>141.71780395499999</v>
      </c>
      <c r="F489">
        <v>468</v>
      </c>
      <c r="G489">
        <v>121.33333587600001</v>
      </c>
      <c r="H489">
        <v>468</v>
      </c>
      <c r="I489">
        <v>128.19076538100001</v>
      </c>
      <c r="K489">
        <f t="shared" si="31"/>
        <v>13.527038573999988</v>
      </c>
      <c r="L489">
        <v>468</v>
      </c>
      <c r="M489">
        <v>234</v>
      </c>
      <c r="N489">
        <v>468</v>
      </c>
      <c r="O489">
        <v>21</v>
      </c>
      <c r="P489">
        <f t="shared" si="29"/>
        <v>104.21896362300001</v>
      </c>
    </row>
    <row r="490" spans="1:16">
      <c r="A490">
        <f t="shared" si="30"/>
        <v>1114.3383847606524</v>
      </c>
      <c r="B490">
        <v>469</v>
      </c>
      <c r="C490">
        <v>131.17784118700001</v>
      </c>
      <c r="D490">
        <v>469</v>
      </c>
      <c r="E490">
        <v>142.66786193799999</v>
      </c>
      <c r="F490">
        <v>469</v>
      </c>
      <c r="G490">
        <v>121.33333587600001</v>
      </c>
      <c r="H490">
        <v>469</v>
      </c>
      <c r="I490">
        <v>130.99624633799999</v>
      </c>
      <c r="K490">
        <f t="shared" si="31"/>
        <v>11.671615599999996</v>
      </c>
      <c r="L490">
        <v>469</v>
      </c>
      <c r="M490">
        <v>234</v>
      </c>
      <c r="N490">
        <v>469</v>
      </c>
      <c r="O490">
        <v>21</v>
      </c>
      <c r="P490">
        <f t="shared" si="29"/>
        <v>102.82215881299999</v>
      </c>
    </row>
    <row r="491" spans="1:16">
      <c r="A491">
        <f t="shared" si="30"/>
        <v>1115.2644793976688</v>
      </c>
      <c r="B491">
        <v>470</v>
      </c>
      <c r="C491">
        <v>129.48085022000001</v>
      </c>
      <c r="D491">
        <v>470</v>
      </c>
      <c r="E491">
        <v>142.34828185999999</v>
      </c>
      <c r="F491">
        <v>470</v>
      </c>
      <c r="G491">
        <v>121.33333587600001</v>
      </c>
      <c r="H491">
        <v>470</v>
      </c>
      <c r="I491">
        <v>132.78791809099999</v>
      </c>
      <c r="K491">
        <f t="shared" si="31"/>
        <v>9.5603637689999914</v>
      </c>
      <c r="L491">
        <v>470</v>
      </c>
      <c r="M491">
        <v>234</v>
      </c>
      <c r="N491">
        <v>470</v>
      </c>
      <c r="O491">
        <v>21</v>
      </c>
      <c r="P491">
        <f t="shared" si="29"/>
        <v>104.51914977999999</v>
      </c>
    </row>
    <row r="492" spans="1:16">
      <c r="A492">
        <f t="shared" si="30"/>
        <v>1116.1905740346851</v>
      </c>
      <c r="B492">
        <v>471</v>
      </c>
      <c r="C492">
        <v>130.09501647900001</v>
      </c>
      <c r="D492">
        <v>471</v>
      </c>
      <c r="E492">
        <v>140.94827270499999</v>
      </c>
      <c r="F492">
        <v>471</v>
      </c>
      <c r="G492">
        <v>121.400398254</v>
      </c>
      <c r="H492">
        <v>471</v>
      </c>
      <c r="I492">
        <v>134.730712891</v>
      </c>
      <c r="K492">
        <f t="shared" si="31"/>
        <v>6.2175598139999977</v>
      </c>
      <c r="L492">
        <v>471</v>
      </c>
      <c r="M492">
        <v>234</v>
      </c>
      <c r="N492">
        <v>471</v>
      </c>
      <c r="O492">
        <v>21.080057144000001</v>
      </c>
      <c r="P492">
        <f t="shared" si="29"/>
        <v>103.90498352099999</v>
      </c>
    </row>
    <row r="493" spans="1:16">
      <c r="A493">
        <f t="shared" si="30"/>
        <v>1117.1166686717015</v>
      </c>
      <c r="B493">
        <v>472</v>
      </c>
      <c r="C493">
        <v>130.30572509800001</v>
      </c>
      <c r="D493">
        <v>472</v>
      </c>
      <c r="E493">
        <v>140.435348511</v>
      </c>
      <c r="F493">
        <v>472</v>
      </c>
      <c r="G493">
        <v>121.66666412399999</v>
      </c>
      <c r="H493">
        <v>472</v>
      </c>
      <c r="I493">
        <v>133.172042847</v>
      </c>
      <c r="K493">
        <f t="shared" si="31"/>
        <v>7.2633056640000007</v>
      </c>
      <c r="L493">
        <v>472</v>
      </c>
      <c r="M493">
        <v>233.80702209500001</v>
      </c>
      <c r="N493">
        <v>472</v>
      </c>
      <c r="O493">
        <v>21.808349609</v>
      </c>
      <c r="P493">
        <f t="shared" si="29"/>
        <v>103.501296997</v>
      </c>
    </row>
    <row r="494" spans="1:16">
      <c r="A494">
        <f t="shared" si="30"/>
        <v>1118.0427633087177</v>
      </c>
      <c r="B494">
        <v>473</v>
      </c>
      <c r="C494">
        <v>130.05699157699999</v>
      </c>
      <c r="D494">
        <v>473</v>
      </c>
      <c r="E494">
        <v>142.22898864699999</v>
      </c>
      <c r="F494">
        <v>473</v>
      </c>
      <c r="G494">
        <v>121.6120224</v>
      </c>
      <c r="H494">
        <v>473</v>
      </c>
      <c r="I494">
        <v>129.316696167</v>
      </c>
      <c r="K494">
        <f t="shared" si="31"/>
        <v>12.912292479999991</v>
      </c>
      <c r="L494">
        <v>473</v>
      </c>
      <c r="M494">
        <v>233</v>
      </c>
      <c r="N494">
        <v>473</v>
      </c>
      <c r="O494">
        <v>22</v>
      </c>
      <c r="P494">
        <f t="shared" si="29"/>
        <v>102.94300842300001</v>
      </c>
    </row>
    <row r="495" spans="1:16">
      <c r="A495">
        <f t="shared" si="30"/>
        <v>1118.968857945734</v>
      </c>
      <c r="B495">
        <v>474</v>
      </c>
      <c r="C495">
        <v>129.77313232399999</v>
      </c>
      <c r="D495">
        <v>474</v>
      </c>
      <c r="E495">
        <v>142.518875122</v>
      </c>
      <c r="F495">
        <v>474</v>
      </c>
      <c r="G495">
        <v>121.484352112</v>
      </c>
      <c r="H495">
        <v>474</v>
      </c>
      <c r="I495">
        <v>127.55291748</v>
      </c>
      <c r="K495">
        <f t="shared" si="31"/>
        <v>14.965957641999992</v>
      </c>
      <c r="L495">
        <v>474</v>
      </c>
      <c r="M495">
        <v>233</v>
      </c>
      <c r="N495">
        <v>474</v>
      </c>
      <c r="O495">
        <v>22</v>
      </c>
      <c r="P495">
        <f t="shared" si="29"/>
        <v>103.22686767600001</v>
      </c>
    </row>
    <row r="496" spans="1:16">
      <c r="A496">
        <f t="shared" si="30"/>
        <v>1119.8949525827504</v>
      </c>
      <c r="B496">
        <v>475</v>
      </c>
      <c r="C496">
        <v>131.30052185100001</v>
      </c>
      <c r="D496">
        <v>475</v>
      </c>
      <c r="E496">
        <v>143.627487183</v>
      </c>
      <c r="F496">
        <v>475</v>
      </c>
      <c r="G496">
        <v>121.35668182400001</v>
      </c>
      <c r="H496">
        <v>475</v>
      </c>
      <c r="I496">
        <v>128.22465515100001</v>
      </c>
      <c r="K496">
        <f t="shared" si="31"/>
        <v>15.402832031999992</v>
      </c>
      <c r="L496">
        <v>475</v>
      </c>
      <c r="M496">
        <v>233</v>
      </c>
      <c r="N496">
        <v>475</v>
      </c>
      <c r="O496">
        <v>22</v>
      </c>
      <c r="P496">
        <f t="shared" si="29"/>
        <v>101.69947814899999</v>
      </c>
    </row>
    <row r="497" spans="1:16">
      <c r="A497">
        <f t="shared" si="30"/>
        <v>1120.8210472197666</v>
      </c>
      <c r="B497">
        <v>476</v>
      </c>
      <c r="C497">
        <v>130.90943908700001</v>
      </c>
      <c r="D497">
        <v>476</v>
      </c>
      <c r="E497">
        <v>142.08229064899999</v>
      </c>
      <c r="F497">
        <v>476</v>
      </c>
      <c r="G497">
        <v>121.04288482699999</v>
      </c>
      <c r="H497">
        <v>476</v>
      </c>
      <c r="I497">
        <v>129.82000732399999</v>
      </c>
      <c r="K497">
        <f t="shared" si="31"/>
        <v>12.262283324999999</v>
      </c>
      <c r="L497">
        <v>476</v>
      </c>
      <c r="M497">
        <v>233</v>
      </c>
      <c r="N497">
        <v>476</v>
      </c>
      <c r="O497">
        <v>22</v>
      </c>
      <c r="P497">
        <f t="shared" si="29"/>
        <v>102.09056091299999</v>
      </c>
    </row>
    <row r="498" spans="1:16">
      <c r="A498">
        <f t="shared" si="30"/>
        <v>1121.7471418567829</v>
      </c>
      <c r="B498">
        <v>477</v>
      </c>
      <c r="C498">
        <v>126.733421326</v>
      </c>
      <c r="D498">
        <v>477</v>
      </c>
      <c r="E498">
        <v>137.53445434599999</v>
      </c>
      <c r="F498">
        <v>477</v>
      </c>
      <c r="G498">
        <v>121.589187622</v>
      </c>
      <c r="H498">
        <v>477</v>
      </c>
      <c r="I498">
        <v>132.74830627399999</v>
      </c>
      <c r="K498">
        <f t="shared" si="31"/>
        <v>4.7861480720000031</v>
      </c>
      <c r="L498">
        <v>477</v>
      </c>
      <c r="M498">
        <v>233</v>
      </c>
      <c r="N498">
        <v>477</v>
      </c>
      <c r="O498">
        <v>22</v>
      </c>
      <c r="P498">
        <f t="shared" si="29"/>
        <v>106.266578674</v>
      </c>
    </row>
    <row r="499" spans="1:16">
      <c r="A499">
        <f t="shared" si="30"/>
        <v>1122.6732364937993</v>
      </c>
      <c r="B499">
        <v>478</v>
      </c>
      <c r="C499">
        <v>126.893859863</v>
      </c>
      <c r="D499">
        <v>478</v>
      </c>
      <c r="E499">
        <v>136.00039672899999</v>
      </c>
      <c r="F499">
        <v>478</v>
      </c>
      <c r="G499">
        <v>121.023643494</v>
      </c>
      <c r="H499">
        <v>478</v>
      </c>
      <c r="I499">
        <v>134.909255981</v>
      </c>
      <c r="K499">
        <f t="shared" si="31"/>
        <v>1.0911407479999866</v>
      </c>
      <c r="L499">
        <v>478</v>
      </c>
      <c r="M499">
        <v>233</v>
      </c>
      <c r="N499">
        <v>478</v>
      </c>
      <c r="O499">
        <v>22</v>
      </c>
      <c r="P499">
        <f t="shared" si="29"/>
        <v>106.106140137</v>
      </c>
    </row>
    <row r="500" spans="1:16">
      <c r="A500">
        <f t="shared" si="30"/>
        <v>1123.5993311308157</v>
      </c>
      <c r="B500">
        <v>479</v>
      </c>
      <c r="C500">
        <v>127.590286255</v>
      </c>
      <c r="D500">
        <v>479</v>
      </c>
      <c r="E500">
        <v>138.680221558</v>
      </c>
      <c r="F500">
        <v>479</v>
      </c>
      <c r="G500">
        <v>120.66666412399999</v>
      </c>
      <c r="H500">
        <v>479</v>
      </c>
      <c r="I500">
        <v>133.46694946299999</v>
      </c>
      <c r="K500">
        <f t="shared" si="31"/>
        <v>5.2132720950000078</v>
      </c>
      <c r="L500">
        <v>479</v>
      </c>
      <c r="M500">
        <v>233</v>
      </c>
      <c r="N500">
        <v>479</v>
      </c>
      <c r="O500">
        <v>22</v>
      </c>
      <c r="P500">
        <f t="shared" si="29"/>
        <v>105.409713745</v>
      </c>
    </row>
    <row r="501" spans="1:16">
      <c r="A501">
        <f t="shared" si="30"/>
        <v>1124.5254257678321</v>
      </c>
      <c r="B501">
        <v>480</v>
      </c>
      <c r="C501">
        <v>128.91275024399999</v>
      </c>
      <c r="D501">
        <v>480</v>
      </c>
      <c r="E501">
        <v>140.84780883799999</v>
      </c>
      <c r="F501">
        <v>480</v>
      </c>
      <c r="G501">
        <v>120.812324524</v>
      </c>
      <c r="H501">
        <v>480</v>
      </c>
      <c r="I501">
        <v>130.69549560499999</v>
      </c>
      <c r="K501">
        <f t="shared" si="31"/>
        <v>10.152313233000001</v>
      </c>
      <c r="L501">
        <v>480</v>
      </c>
      <c r="M501">
        <v>233</v>
      </c>
      <c r="N501">
        <v>480</v>
      </c>
      <c r="O501">
        <v>22</v>
      </c>
      <c r="P501">
        <f t="shared" si="29"/>
        <v>104.08724975600001</v>
      </c>
    </row>
    <row r="502" spans="1:16">
      <c r="A502">
        <f t="shared" si="30"/>
        <v>1125.4515204048482</v>
      </c>
      <c r="B502">
        <v>481</v>
      </c>
      <c r="C502">
        <v>130.50392150900001</v>
      </c>
      <c r="D502">
        <v>481</v>
      </c>
      <c r="E502">
        <v>141.629394531</v>
      </c>
      <c r="F502">
        <v>481</v>
      </c>
      <c r="G502">
        <v>121</v>
      </c>
      <c r="H502">
        <v>481</v>
      </c>
      <c r="I502">
        <v>130.44841003400001</v>
      </c>
      <c r="K502">
        <f t="shared" si="31"/>
        <v>11.180984496999997</v>
      </c>
      <c r="L502">
        <v>481</v>
      </c>
      <c r="M502">
        <v>233</v>
      </c>
      <c r="N502">
        <v>481</v>
      </c>
      <c r="O502">
        <v>22</v>
      </c>
      <c r="P502">
        <f t="shared" si="29"/>
        <v>102.49607849099999</v>
      </c>
    </row>
    <row r="503" spans="1:16">
      <c r="A503">
        <f t="shared" si="30"/>
        <v>1126.3776150418646</v>
      </c>
      <c r="B503">
        <v>482</v>
      </c>
      <c r="C503">
        <v>129.81747436500001</v>
      </c>
      <c r="D503">
        <v>482</v>
      </c>
      <c r="E503">
        <v>140.129150391</v>
      </c>
      <c r="F503">
        <v>482</v>
      </c>
      <c r="G503">
        <v>121.507148743</v>
      </c>
      <c r="H503">
        <v>482</v>
      </c>
      <c r="I503">
        <v>131.808319092</v>
      </c>
      <c r="K503">
        <f t="shared" si="31"/>
        <v>8.3208312989999911</v>
      </c>
      <c r="L503">
        <v>482</v>
      </c>
      <c r="M503">
        <v>233</v>
      </c>
      <c r="N503">
        <v>482</v>
      </c>
      <c r="O503">
        <v>22</v>
      </c>
      <c r="P503">
        <f t="shared" si="29"/>
        <v>103.18252563499999</v>
      </c>
    </row>
    <row r="504" spans="1:16">
      <c r="A504">
        <f t="shared" si="30"/>
        <v>1127.303709678881</v>
      </c>
      <c r="B504">
        <v>483</v>
      </c>
      <c r="C504">
        <v>130.05967712399999</v>
      </c>
      <c r="D504">
        <v>483</v>
      </c>
      <c r="E504">
        <v>140.46900939899999</v>
      </c>
      <c r="F504">
        <v>483</v>
      </c>
      <c r="G504">
        <v>122.291633606</v>
      </c>
      <c r="H504">
        <v>483</v>
      </c>
      <c r="I504">
        <v>130.110794067</v>
      </c>
      <c r="K504">
        <f t="shared" si="31"/>
        <v>10.358215331999986</v>
      </c>
      <c r="L504">
        <v>483</v>
      </c>
      <c r="M504">
        <v>233</v>
      </c>
      <c r="N504">
        <v>483</v>
      </c>
      <c r="O504">
        <v>22</v>
      </c>
      <c r="P504">
        <f t="shared" si="29"/>
        <v>102.94032287600001</v>
      </c>
    </row>
    <row r="505" spans="1:16">
      <c r="A505">
        <f t="shared" si="30"/>
        <v>1128.2298043158971</v>
      </c>
      <c r="B505">
        <v>484</v>
      </c>
      <c r="C505">
        <v>128.375900269</v>
      </c>
      <c r="D505">
        <v>484</v>
      </c>
      <c r="E505">
        <v>142.23880004899999</v>
      </c>
      <c r="F505">
        <v>484</v>
      </c>
      <c r="G505">
        <v>122.86392211899999</v>
      </c>
      <c r="H505">
        <v>484</v>
      </c>
      <c r="I505">
        <v>130.06382751500001</v>
      </c>
      <c r="K505">
        <f t="shared" si="31"/>
        <v>12.174972533999977</v>
      </c>
      <c r="L505">
        <v>484</v>
      </c>
      <c r="M505">
        <v>233</v>
      </c>
      <c r="N505">
        <v>484</v>
      </c>
      <c r="O505">
        <v>22</v>
      </c>
      <c r="P505">
        <f t="shared" si="29"/>
        <v>104.624099731</v>
      </c>
    </row>
    <row r="506" spans="1:16">
      <c r="A506">
        <f t="shared" si="30"/>
        <v>1129.1558989529135</v>
      </c>
      <c r="B506">
        <v>485</v>
      </c>
      <c r="C506">
        <v>129.41717529300001</v>
      </c>
      <c r="D506">
        <v>485</v>
      </c>
      <c r="E506">
        <v>144.06683349599999</v>
      </c>
      <c r="F506">
        <v>485</v>
      </c>
      <c r="G506">
        <v>122.769493103</v>
      </c>
      <c r="H506">
        <v>485</v>
      </c>
      <c r="I506">
        <v>132.253463745</v>
      </c>
      <c r="K506">
        <f t="shared" si="31"/>
        <v>11.813369750999982</v>
      </c>
      <c r="L506">
        <v>485</v>
      </c>
      <c r="M506">
        <v>233</v>
      </c>
      <c r="N506">
        <v>485</v>
      </c>
      <c r="O506">
        <v>22</v>
      </c>
      <c r="P506">
        <f t="shared" si="29"/>
        <v>103.58282470699999</v>
      </c>
    </row>
    <row r="507" spans="1:16">
      <c r="A507">
        <f t="shared" si="30"/>
        <v>1130.0819935899299</v>
      </c>
      <c r="B507">
        <v>486</v>
      </c>
      <c r="C507">
        <v>129.85240173299999</v>
      </c>
      <c r="D507">
        <v>486</v>
      </c>
      <c r="E507">
        <v>140.75489807100001</v>
      </c>
      <c r="F507">
        <v>486</v>
      </c>
      <c r="G507">
        <v>121.935317993</v>
      </c>
      <c r="H507">
        <v>486</v>
      </c>
      <c r="I507">
        <v>132.03607177699999</v>
      </c>
      <c r="K507">
        <f t="shared" si="31"/>
        <v>8.7188262940000243</v>
      </c>
      <c r="L507">
        <v>486</v>
      </c>
      <c r="M507">
        <v>233</v>
      </c>
      <c r="N507">
        <v>486</v>
      </c>
      <c r="O507">
        <v>22</v>
      </c>
      <c r="P507">
        <f t="shared" si="29"/>
        <v>103.14759826700001</v>
      </c>
    </row>
    <row r="508" spans="1:16">
      <c r="A508">
        <f t="shared" si="30"/>
        <v>1131.0080882269463</v>
      </c>
      <c r="B508">
        <v>487</v>
      </c>
      <c r="C508">
        <v>129.12103271500001</v>
      </c>
      <c r="D508">
        <v>487</v>
      </c>
      <c r="E508">
        <v>140.93754577600001</v>
      </c>
      <c r="F508">
        <v>487</v>
      </c>
      <c r="G508">
        <v>121.682342529</v>
      </c>
      <c r="H508">
        <v>487</v>
      </c>
      <c r="I508">
        <v>130.71072387699999</v>
      </c>
      <c r="K508">
        <f t="shared" si="31"/>
        <v>10.226821899000015</v>
      </c>
      <c r="L508">
        <v>487</v>
      </c>
      <c r="M508">
        <v>233</v>
      </c>
      <c r="N508">
        <v>487</v>
      </c>
      <c r="O508">
        <v>22</v>
      </c>
      <c r="P508">
        <f t="shared" si="29"/>
        <v>103.87896728499999</v>
      </c>
    </row>
    <row r="509" spans="1:16">
      <c r="A509">
        <f t="shared" si="30"/>
        <v>1131.9341828639624</v>
      </c>
      <c r="B509">
        <v>488</v>
      </c>
      <c r="C509">
        <v>123.644790649</v>
      </c>
      <c r="D509">
        <v>488</v>
      </c>
      <c r="E509">
        <v>141.94758605999999</v>
      </c>
      <c r="F509">
        <v>488</v>
      </c>
      <c r="G509">
        <v>120.84021758999999</v>
      </c>
      <c r="H509">
        <v>488</v>
      </c>
      <c r="I509">
        <v>130.66911315900001</v>
      </c>
      <c r="K509">
        <f t="shared" si="31"/>
        <v>11.278472900999986</v>
      </c>
      <c r="L509">
        <v>488</v>
      </c>
      <c r="M509">
        <v>233</v>
      </c>
      <c r="N509">
        <v>488</v>
      </c>
      <c r="O509">
        <v>22</v>
      </c>
      <c r="P509">
        <f t="shared" si="29"/>
        <v>109.355209351</v>
      </c>
    </row>
    <row r="510" spans="1:16">
      <c r="A510">
        <f t="shared" si="30"/>
        <v>1132.8602775009788</v>
      </c>
      <c r="B510">
        <v>489</v>
      </c>
      <c r="C510">
        <v>128.81317138700001</v>
      </c>
      <c r="D510">
        <v>489</v>
      </c>
      <c r="E510">
        <v>142.29318237300001</v>
      </c>
      <c r="F510">
        <v>489</v>
      </c>
      <c r="G510">
        <v>120.450141907</v>
      </c>
      <c r="H510">
        <v>489</v>
      </c>
      <c r="I510">
        <v>131.177932739</v>
      </c>
      <c r="K510">
        <f t="shared" si="31"/>
        <v>11.115249634000008</v>
      </c>
      <c r="L510">
        <v>489</v>
      </c>
      <c r="M510">
        <v>233</v>
      </c>
      <c r="N510">
        <v>489</v>
      </c>
      <c r="O510">
        <v>22</v>
      </c>
      <c r="P510">
        <f t="shared" si="29"/>
        <v>104.18682861299999</v>
      </c>
    </row>
    <row r="511" spans="1:16">
      <c r="A511">
        <f t="shared" si="30"/>
        <v>1133.7863721379952</v>
      </c>
      <c r="B511">
        <v>490</v>
      </c>
      <c r="C511">
        <v>130.33328247099999</v>
      </c>
      <c r="D511">
        <v>490</v>
      </c>
      <c r="E511">
        <v>141.05870056200001</v>
      </c>
      <c r="F511">
        <v>490</v>
      </c>
      <c r="G511">
        <v>121.487892151</v>
      </c>
      <c r="H511">
        <v>490</v>
      </c>
      <c r="I511">
        <v>131.49508667000001</v>
      </c>
      <c r="K511">
        <f t="shared" si="31"/>
        <v>9.5636138920000064</v>
      </c>
      <c r="L511">
        <v>490</v>
      </c>
      <c r="M511">
        <v>233</v>
      </c>
      <c r="N511">
        <v>490</v>
      </c>
      <c r="O511">
        <v>22</v>
      </c>
      <c r="P511">
        <f t="shared" si="29"/>
        <v>102.66671752900001</v>
      </c>
    </row>
    <row r="512" spans="1:16">
      <c r="A512">
        <f t="shared" si="30"/>
        <v>1134.7124667750113</v>
      </c>
      <c r="B512">
        <v>491</v>
      </c>
      <c r="C512">
        <v>129.848144531</v>
      </c>
      <c r="D512">
        <v>491</v>
      </c>
      <c r="E512">
        <v>139.65957641599999</v>
      </c>
      <c r="F512">
        <v>491</v>
      </c>
      <c r="G512">
        <v>121.94187927199999</v>
      </c>
      <c r="H512">
        <v>491</v>
      </c>
      <c r="I512">
        <v>130.999511719</v>
      </c>
      <c r="K512">
        <f t="shared" si="31"/>
        <v>8.6600646969999957</v>
      </c>
      <c r="L512">
        <v>491</v>
      </c>
      <c r="M512">
        <v>233</v>
      </c>
      <c r="N512">
        <v>491</v>
      </c>
      <c r="O512">
        <v>22</v>
      </c>
      <c r="P512">
        <f t="shared" si="29"/>
        <v>103.151855469</v>
      </c>
    </row>
    <row r="513" spans="1:16">
      <c r="A513">
        <f t="shared" si="30"/>
        <v>1135.6385614120277</v>
      </c>
      <c r="B513">
        <v>492</v>
      </c>
      <c r="C513">
        <v>128.790161133</v>
      </c>
      <c r="D513">
        <v>492</v>
      </c>
      <c r="E513">
        <v>139.78802490199999</v>
      </c>
      <c r="F513">
        <v>492</v>
      </c>
      <c r="G513">
        <v>121.558868408</v>
      </c>
      <c r="H513">
        <v>492</v>
      </c>
      <c r="I513">
        <v>131.36862182600001</v>
      </c>
      <c r="K513">
        <f t="shared" si="31"/>
        <v>8.4194030759999805</v>
      </c>
      <c r="L513">
        <v>492</v>
      </c>
      <c r="M513">
        <v>233</v>
      </c>
      <c r="N513">
        <v>492</v>
      </c>
      <c r="O513">
        <v>22</v>
      </c>
      <c r="P513">
        <f t="shared" si="29"/>
        <v>104.209838867</v>
      </c>
    </row>
    <row r="514" spans="1:16">
      <c r="A514">
        <f t="shared" si="30"/>
        <v>1136.5646560490441</v>
      </c>
      <c r="B514">
        <v>493</v>
      </c>
      <c r="C514">
        <v>127.673126221</v>
      </c>
      <c r="D514">
        <v>493</v>
      </c>
      <c r="E514">
        <v>141.883834839</v>
      </c>
      <c r="F514">
        <v>493</v>
      </c>
      <c r="G514">
        <v>120.90646362299999</v>
      </c>
      <c r="H514">
        <v>493</v>
      </c>
      <c r="I514">
        <v>131.783325195</v>
      </c>
      <c r="K514">
        <f t="shared" si="31"/>
        <v>10.100509643999999</v>
      </c>
      <c r="L514">
        <v>493</v>
      </c>
      <c r="M514">
        <v>233</v>
      </c>
      <c r="N514">
        <v>493</v>
      </c>
      <c r="O514">
        <v>22</v>
      </c>
      <c r="P514">
        <f t="shared" si="29"/>
        <v>105.326873779</v>
      </c>
    </row>
    <row r="515" spans="1:16">
      <c r="A515">
        <f t="shared" si="30"/>
        <v>1137.4907506860604</v>
      </c>
      <c r="B515">
        <v>494</v>
      </c>
      <c r="C515">
        <v>127.016586304</v>
      </c>
      <c r="D515">
        <v>494</v>
      </c>
      <c r="E515">
        <v>143.410232544</v>
      </c>
      <c r="F515">
        <v>494</v>
      </c>
      <c r="G515">
        <v>120.66666412399999</v>
      </c>
      <c r="H515">
        <v>494</v>
      </c>
      <c r="I515">
        <v>131.52484130900001</v>
      </c>
      <c r="K515">
        <f t="shared" si="31"/>
        <v>11.885391234999986</v>
      </c>
      <c r="L515">
        <v>494</v>
      </c>
      <c r="M515">
        <v>232.78663635300001</v>
      </c>
      <c r="N515">
        <v>494</v>
      </c>
      <c r="O515">
        <v>22.566356659</v>
      </c>
      <c r="P515">
        <f t="shared" si="29"/>
        <v>105.77005004900001</v>
      </c>
    </row>
    <row r="516" spans="1:16">
      <c r="A516">
        <f t="shared" si="30"/>
        <v>1138.4168453230768</v>
      </c>
      <c r="B516">
        <v>495</v>
      </c>
      <c r="C516">
        <v>128.095169067</v>
      </c>
      <c r="D516">
        <v>495</v>
      </c>
      <c r="E516">
        <v>143.12495422399999</v>
      </c>
      <c r="F516">
        <v>495</v>
      </c>
      <c r="G516">
        <v>120.66666412399999</v>
      </c>
      <c r="H516">
        <v>495</v>
      </c>
      <c r="I516">
        <v>132.83773803700001</v>
      </c>
      <c r="K516">
        <f t="shared" si="31"/>
        <v>10.287216186999984</v>
      </c>
      <c r="L516">
        <v>495</v>
      </c>
      <c r="M516">
        <v>232.147537231</v>
      </c>
      <c r="N516">
        <v>495</v>
      </c>
      <c r="O516">
        <v>23</v>
      </c>
      <c r="P516">
        <f t="shared" si="29"/>
        <v>104.052368164</v>
      </c>
    </row>
    <row r="517" spans="1:16">
      <c r="A517">
        <f t="shared" si="30"/>
        <v>1139.342939960093</v>
      </c>
      <c r="B517">
        <v>496</v>
      </c>
      <c r="C517">
        <v>128.198287964</v>
      </c>
      <c r="D517">
        <v>496</v>
      </c>
      <c r="E517">
        <v>143.606369019</v>
      </c>
      <c r="F517">
        <v>496</v>
      </c>
      <c r="G517">
        <v>120.66666412399999</v>
      </c>
      <c r="H517">
        <v>496</v>
      </c>
      <c r="I517">
        <v>134.982513428</v>
      </c>
      <c r="K517">
        <f t="shared" si="31"/>
        <v>8.6238555909999945</v>
      </c>
      <c r="L517">
        <v>496</v>
      </c>
      <c r="M517">
        <v>232</v>
      </c>
      <c r="N517">
        <v>496</v>
      </c>
      <c r="O517">
        <v>23</v>
      </c>
      <c r="P517">
        <f t="shared" si="29"/>
        <v>103.801712036</v>
      </c>
    </row>
    <row r="518" spans="1:16">
      <c r="A518">
        <f t="shared" si="30"/>
        <v>1140.2690345971093</v>
      </c>
      <c r="B518">
        <v>497</v>
      </c>
      <c r="C518">
        <v>126.91573333700001</v>
      </c>
      <c r="D518">
        <v>497</v>
      </c>
      <c r="E518">
        <v>142.81036377000001</v>
      </c>
      <c r="F518">
        <v>497</v>
      </c>
      <c r="G518">
        <v>120.66666412399999</v>
      </c>
      <c r="H518">
        <v>497</v>
      </c>
      <c r="I518">
        <v>135.07363891599999</v>
      </c>
      <c r="K518">
        <f t="shared" si="31"/>
        <v>7.7367248540000162</v>
      </c>
      <c r="L518">
        <v>497</v>
      </c>
      <c r="M518">
        <v>232</v>
      </c>
      <c r="N518">
        <v>497</v>
      </c>
      <c r="O518">
        <v>23</v>
      </c>
      <c r="P518">
        <f t="shared" si="29"/>
        <v>105.08426666299999</v>
      </c>
    </row>
    <row r="519" spans="1:16">
      <c r="A519">
        <f t="shared" si="30"/>
        <v>1141.1951292341257</v>
      </c>
      <c r="B519">
        <v>498</v>
      </c>
      <c r="C519">
        <v>125.981811523</v>
      </c>
      <c r="D519">
        <v>498</v>
      </c>
      <c r="E519">
        <v>141.94146728499999</v>
      </c>
      <c r="F519">
        <v>498</v>
      </c>
      <c r="G519">
        <v>120.66666412399999</v>
      </c>
      <c r="H519">
        <v>498</v>
      </c>
      <c r="I519">
        <v>130.54794311500001</v>
      </c>
      <c r="K519">
        <f t="shared" si="31"/>
        <v>11.393524169999978</v>
      </c>
      <c r="L519">
        <v>498</v>
      </c>
      <c r="M519">
        <v>232</v>
      </c>
      <c r="N519">
        <v>498</v>
      </c>
      <c r="O519">
        <v>23</v>
      </c>
      <c r="P519">
        <f t="shared" si="29"/>
        <v>106.018188477</v>
      </c>
    </row>
    <row r="520" spans="1:16">
      <c r="A520">
        <f t="shared" si="30"/>
        <v>1142.1212238711419</v>
      </c>
      <c r="B520">
        <v>499</v>
      </c>
      <c r="C520">
        <v>126.701843262</v>
      </c>
      <c r="D520">
        <v>499</v>
      </c>
      <c r="E520">
        <v>142.2709198</v>
      </c>
      <c r="F520">
        <v>499</v>
      </c>
      <c r="G520">
        <v>120.707397461</v>
      </c>
      <c r="H520">
        <v>499</v>
      </c>
      <c r="I520">
        <v>128.82786560100001</v>
      </c>
      <c r="K520">
        <f t="shared" si="31"/>
        <v>13.443054198999988</v>
      </c>
      <c r="L520">
        <v>499</v>
      </c>
      <c r="M520">
        <v>232</v>
      </c>
      <c r="N520">
        <v>499</v>
      </c>
      <c r="O520">
        <v>23</v>
      </c>
      <c r="P520">
        <f t="shared" si="29"/>
        <v>105.298156738</v>
      </c>
    </row>
    <row r="521" spans="1:16">
      <c r="A521">
        <f t="shared" si="30"/>
        <v>1143.0473185081582</v>
      </c>
      <c r="B521">
        <v>500</v>
      </c>
      <c r="C521">
        <v>128.940475464</v>
      </c>
      <c r="D521">
        <v>500</v>
      </c>
      <c r="E521">
        <v>141.81321716299999</v>
      </c>
      <c r="F521">
        <v>500</v>
      </c>
      <c r="G521">
        <v>120.835067749</v>
      </c>
      <c r="H521">
        <v>500</v>
      </c>
      <c r="I521">
        <v>131.36505127000001</v>
      </c>
      <c r="K521">
        <f t="shared" si="31"/>
        <v>10.448165892999981</v>
      </c>
      <c r="L521">
        <v>500</v>
      </c>
      <c r="M521">
        <v>232</v>
      </c>
      <c r="N521">
        <v>500</v>
      </c>
      <c r="O521">
        <v>23</v>
      </c>
      <c r="P521">
        <f t="shared" si="29"/>
        <v>103.059524536</v>
      </c>
    </row>
    <row r="522" spans="1:16">
      <c r="A522">
        <f t="shared" si="30"/>
        <v>1143.9734131451746</v>
      </c>
      <c r="B522">
        <v>501</v>
      </c>
      <c r="C522">
        <v>128.196731567</v>
      </c>
      <c r="D522">
        <v>501</v>
      </c>
      <c r="E522">
        <v>141.76878356899999</v>
      </c>
      <c r="F522">
        <v>501</v>
      </c>
      <c r="G522">
        <v>120.96274566699999</v>
      </c>
      <c r="H522">
        <v>501</v>
      </c>
      <c r="I522">
        <v>129.747146606</v>
      </c>
      <c r="K522">
        <f t="shared" si="31"/>
        <v>12.021636962999992</v>
      </c>
      <c r="L522">
        <v>501</v>
      </c>
      <c r="M522">
        <v>232</v>
      </c>
      <c r="N522">
        <v>501</v>
      </c>
      <c r="O522">
        <v>23</v>
      </c>
      <c r="P522">
        <f t="shared" si="29"/>
        <v>103.803268433</v>
      </c>
    </row>
    <row r="523" spans="1:16">
      <c r="A523">
        <f t="shared" si="30"/>
        <v>1144.899507782191</v>
      </c>
      <c r="B523">
        <v>502</v>
      </c>
      <c r="C523">
        <v>126.50730896</v>
      </c>
      <c r="D523">
        <v>502</v>
      </c>
      <c r="E523">
        <v>141.07696533199999</v>
      </c>
      <c r="F523">
        <v>502</v>
      </c>
      <c r="G523">
        <v>120.15499115</v>
      </c>
      <c r="H523">
        <v>502</v>
      </c>
      <c r="I523">
        <v>126.359764099</v>
      </c>
      <c r="K523">
        <f t="shared" si="31"/>
        <v>14.717201232999983</v>
      </c>
      <c r="L523">
        <v>502</v>
      </c>
      <c r="M523">
        <v>232</v>
      </c>
      <c r="N523">
        <v>502</v>
      </c>
      <c r="O523">
        <v>23</v>
      </c>
      <c r="P523">
        <f t="shared" si="29"/>
        <v>105.49269104</v>
      </c>
    </row>
    <row r="524" spans="1:16">
      <c r="A524">
        <f t="shared" si="30"/>
        <v>1145.8256024192071</v>
      </c>
      <c r="B524">
        <v>503</v>
      </c>
      <c r="C524">
        <v>125.330085754</v>
      </c>
      <c r="D524">
        <v>503</v>
      </c>
      <c r="E524">
        <v>140.53024292000001</v>
      </c>
      <c r="F524">
        <v>503</v>
      </c>
      <c r="G524">
        <v>120</v>
      </c>
      <c r="H524">
        <v>503</v>
      </c>
      <c r="I524">
        <v>125.734863281</v>
      </c>
      <c r="K524">
        <f t="shared" si="31"/>
        <v>14.795379639000004</v>
      </c>
      <c r="L524">
        <v>503</v>
      </c>
      <c r="M524">
        <v>232</v>
      </c>
      <c r="N524">
        <v>503</v>
      </c>
      <c r="O524">
        <v>23</v>
      </c>
      <c r="P524">
        <f t="shared" si="29"/>
        <v>106.669914246</v>
      </c>
    </row>
    <row r="525" spans="1:16">
      <c r="A525">
        <f t="shared" si="30"/>
        <v>1146.7516970562235</v>
      </c>
      <c r="B525">
        <v>504</v>
      </c>
      <c r="C525">
        <v>126.583892822</v>
      </c>
      <c r="D525">
        <v>504</v>
      </c>
      <c r="E525">
        <v>140.04377746599999</v>
      </c>
      <c r="F525">
        <v>504</v>
      </c>
      <c r="G525">
        <v>120</v>
      </c>
      <c r="H525">
        <v>504</v>
      </c>
      <c r="I525">
        <v>126.198204041</v>
      </c>
      <c r="K525">
        <f t="shared" si="31"/>
        <v>13.845573424999998</v>
      </c>
      <c r="L525">
        <v>504</v>
      </c>
      <c r="M525">
        <v>232</v>
      </c>
      <c r="N525">
        <v>504</v>
      </c>
      <c r="O525">
        <v>23</v>
      </c>
      <c r="P525">
        <f t="shared" si="29"/>
        <v>105.416107178</v>
      </c>
    </row>
    <row r="526" spans="1:16">
      <c r="A526">
        <f t="shared" si="30"/>
        <v>1147.6777916932399</v>
      </c>
      <c r="B526">
        <v>505</v>
      </c>
      <c r="C526">
        <v>127</v>
      </c>
      <c r="D526">
        <v>505</v>
      </c>
      <c r="E526">
        <v>139.525146484</v>
      </c>
      <c r="F526">
        <v>505</v>
      </c>
      <c r="G526">
        <v>120</v>
      </c>
      <c r="H526">
        <v>505</v>
      </c>
      <c r="I526">
        <v>130.55795288100001</v>
      </c>
      <c r="K526">
        <f t="shared" si="31"/>
        <v>8.9671936029999983</v>
      </c>
      <c r="L526">
        <v>505</v>
      </c>
      <c r="M526">
        <v>232</v>
      </c>
      <c r="N526">
        <v>505</v>
      </c>
      <c r="O526">
        <v>23</v>
      </c>
      <c r="P526">
        <f t="shared" si="29"/>
        <v>105</v>
      </c>
    </row>
    <row r="527" spans="1:16">
      <c r="A527">
        <f t="shared" si="30"/>
        <v>1148.603886330256</v>
      </c>
      <c r="B527">
        <v>506</v>
      </c>
      <c r="C527">
        <v>125.71141052199999</v>
      </c>
      <c r="D527">
        <v>506</v>
      </c>
      <c r="E527">
        <v>140.96797180199999</v>
      </c>
      <c r="F527">
        <v>506</v>
      </c>
      <c r="G527">
        <v>120.03547668500001</v>
      </c>
      <c r="H527">
        <v>506</v>
      </c>
      <c r="I527">
        <v>130.882720947</v>
      </c>
      <c r="K527">
        <f t="shared" si="31"/>
        <v>10.085250854999998</v>
      </c>
      <c r="L527">
        <v>506</v>
      </c>
      <c r="M527">
        <v>232</v>
      </c>
      <c r="N527">
        <v>506</v>
      </c>
      <c r="O527">
        <v>23</v>
      </c>
      <c r="P527">
        <f t="shared" si="29"/>
        <v>106.28858947800001</v>
      </c>
    </row>
    <row r="528" spans="1:16">
      <c r="A528">
        <f t="shared" si="30"/>
        <v>1149.5299809672724</v>
      </c>
      <c r="B528">
        <v>507</v>
      </c>
      <c r="C528">
        <v>125.05828094500001</v>
      </c>
      <c r="D528">
        <v>507</v>
      </c>
      <c r="E528">
        <v>139.16917419399999</v>
      </c>
      <c r="F528">
        <v>507</v>
      </c>
      <c r="G528">
        <v>120</v>
      </c>
      <c r="H528">
        <v>507</v>
      </c>
      <c r="I528">
        <v>129.76565551799999</v>
      </c>
      <c r="K528">
        <f t="shared" si="31"/>
        <v>9.4035186760000045</v>
      </c>
      <c r="L528">
        <v>507</v>
      </c>
      <c r="M528">
        <v>232</v>
      </c>
      <c r="N528">
        <v>507</v>
      </c>
      <c r="O528">
        <v>23</v>
      </c>
      <c r="P528">
        <f t="shared" si="29"/>
        <v>106.94171905499999</v>
      </c>
    </row>
    <row r="529" spans="1:16">
      <c r="A529">
        <f t="shared" si="30"/>
        <v>1150.4560756042888</v>
      </c>
      <c r="B529">
        <v>508</v>
      </c>
      <c r="C529">
        <v>126.221229553</v>
      </c>
      <c r="D529">
        <v>508</v>
      </c>
      <c r="E529">
        <v>137.36982727099999</v>
      </c>
      <c r="F529">
        <v>508</v>
      </c>
      <c r="G529">
        <v>120.388969421</v>
      </c>
      <c r="H529">
        <v>508</v>
      </c>
      <c r="I529">
        <v>130.47505188</v>
      </c>
      <c r="K529">
        <f t="shared" si="31"/>
        <v>6.894775390999996</v>
      </c>
      <c r="L529">
        <v>508</v>
      </c>
      <c r="M529">
        <v>232</v>
      </c>
      <c r="N529">
        <v>508</v>
      </c>
      <c r="O529">
        <v>23</v>
      </c>
      <c r="P529">
        <f t="shared" si="29"/>
        <v>105.778770447</v>
      </c>
    </row>
    <row r="530" spans="1:16">
      <c r="A530">
        <f t="shared" si="30"/>
        <v>1151.3821702413052</v>
      </c>
      <c r="B530">
        <v>509</v>
      </c>
      <c r="C530">
        <v>127.33333587600001</v>
      </c>
      <c r="D530">
        <v>509</v>
      </c>
      <c r="E530">
        <v>139.61567688</v>
      </c>
      <c r="F530">
        <v>509</v>
      </c>
      <c r="G530">
        <v>121</v>
      </c>
      <c r="H530">
        <v>509</v>
      </c>
      <c r="I530">
        <v>130.909957886</v>
      </c>
      <c r="K530">
        <f t="shared" si="31"/>
        <v>8.7057189939999944</v>
      </c>
      <c r="L530">
        <v>509</v>
      </c>
      <c r="M530">
        <v>232</v>
      </c>
      <c r="N530">
        <v>509</v>
      </c>
      <c r="O530">
        <v>23</v>
      </c>
      <c r="P530">
        <f t="shared" si="29"/>
        <v>104.66666412399999</v>
      </c>
    </row>
    <row r="531" spans="1:16">
      <c r="A531">
        <f t="shared" si="30"/>
        <v>1152.3082648783216</v>
      </c>
      <c r="B531">
        <v>510</v>
      </c>
      <c r="C531">
        <v>126.635353088</v>
      </c>
      <c r="D531">
        <v>510</v>
      </c>
      <c r="E531">
        <v>139.544998169</v>
      </c>
      <c r="F531">
        <v>510</v>
      </c>
      <c r="G531">
        <v>121.242790222</v>
      </c>
      <c r="H531">
        <v>510</v>
      </c>
      <c r="I531">
        <v>130.833328247</v>
      </c>
      <c r="K531">
        <f t="shared" si="31"/>
        <v>8.7116699219999987</v>
      </c>
      <c r="L531">
        <v>510</v>
      </c>
      <c r="M531">
        <v>232</v>
      </c>
      <c r="N531">
        <v>510</v>
      </c>
      <c r="O531">
        <v>23.335319518999999</v>
      </c>
      <c r="P531">
        <f t="shared" si="29"/>
        <v>105.364646912</v>
      </c>
    </row>
    <row r="532" spans="1:16">
      <c r="A532">
        <f t="shared" si="30"/>
        <v>1153.2343595153377</v>
      </c>
      <c r="B532">
        <v>511</v>
      </c>
      <c r="C532">
        <v>126.13230133099999</v>
      </c>
      <c r="D532">
        <v>511</v>
      </c>
      <c r="E532">
        <v>139.00347900400001</v>
      </c>
      <c r="F532">
        <v>511</v>
      </c>
      <c r="G532">
        <v>121.28166961700001</v>
      </c>
      <c r="H532">
        <v>511</v>
      </c>
      <c r="I532">
        <v>131.678588867</v>
      </c>
      <c r="K532">
        <f t="shared" si="31"/>
        <v>7.3248901370000112</v>
      </c>
      <c r="L532">
        <v>511</v>
      </c>
      <c r="M532">
        <v>231.84600830100001</v>
      </c>
      <c r="N532">
        <v>511</v>
      </c>
      <c r="O532">
        <v>23.763666152999999</v>
      </c>
      <c r="P532">
        <f t="shared" si="29"/>
        <v>105.71370697000002</v>
      </c>
    </row>
    <row r="533" spans="1:16">
      <c r="A533">
        <f t="shared" si="30"/>
        <v>1154.1604541523541</v>
      </c>
      <c r="B533">
        <v>512</v>
      </c>
      <c r="C533">
        <v>128.13911438</v>
      </c>
      <c r="D533">
        <v>512</v>
      </c>
      <c r="E533">
        <v>138.79768371599999</v>
      </c>
      <c r="F533">
        <v>512</v>
      </c>
      <c r="G533">
        <v>121</v>
      </c>
      <c r="H533">
        <v>512</v>
      </c>
      <c r="I533">
        <v>129.843139648</v>
      </c>
      <c r="K533">
        <f t="shared" si="31"/>
        <v>8.9545440679999899</v>
      </c>
      <c r="L533">
        <v>512</v>
      </c>
      <c r="M533">
        <v>231</v>
      </c>
      <c r="N533">
        <v>512</v>
      </c>
      <c r="O533">
        <v>24</v>
      </c>
      <c r="P533">
        <f t="shared" ref="P533:P596" si="32">M533-C533</f>
        <v>102.86088562</v>
      </c>
    </row>
    <row r="534" spans="1:16">
      <c r="A534">
        <f t="shared" ref="A534:A597" si="33">680 +B534*COS(ABS($J$8)*PI()/180)</f>
        <v>1155.0865487893705</v>
      </c>
      <c r="B534">
        <v>513</v>
      </c>
      <c r="C534">
        <v>124.70145416299999</v>
      </c>
      <c r="D534">
        <v>513</v>
      </c>
      <c r="E534">
        <v>138.101028442</v>
      </c>
      <c r="F534">
        <v>513</v>
      </c>
      <c r="G534">
        <v>121</v>
      </c>
      <c r="H534">
        <v>513</v>
      </c>
      <c r="I534">
        <v>131.30638122600001</v>
      </c>
      <c r="K534">
        <f t="shared" ref="K534:K597" si="34">E534-I534</f>
        <v>6.7946472159999871</v>
      </c>
      <c r="L534">
        <v>513</v>
      </c>
      <c r="M534">
        <v>231</v>
      </c>
      <c r="N534">
        <v>513</v>
      </c>
      <c r="O534">
        <v>24</v>
      </c>
      <c r="P534">
        <f t="shared" si="32"/>
        <v>106.29854583700001</v>
      </c>
    </row>
    <row r="535" spans="1:16">
      <c r="A535">
        <f t="shared" si="33"/>
        <v>1156.0126434263866</v>
      </c>
      <c r="B535">
        <v>514</v>
      </c>
      <c r="C535">
        <v>126.06917572</v>
      </c>
      <c r="D535">
        <v>514</v>
      </c>
      <c r="E535">
        <v>138.901443481</v>
      </c>
      <c r="F535">
        <v>514</v>
      </c>
      <c r="G535">
        <v>121</v>
      </c>
      <c r="H535">
        <v>514</v>
      </c>
      <c r="I535">
        <v>132.556762695</v>
      </c>
      <c r="K535">
        <f t="shared" si="34"/>
        <v>6.3446807859999979</v>
      </c>
      <c r="L535">
        <v>514</v>
      </c>
      <c r="M535">
        <v>231</v>
      </c>
      <c r="N535">
        <v>514</v>
      </c>
      <c r="O535">
        <v>24</v>
      </c>
      <c r="P535">
        <f t="shared" si="32"/>
        <v>104.93082428</v>
      </c>
    </row>
    <row r="536" spans="1:16">
      <c r="A536">
        <f t="shared" si="33"/>
        <v>1156.938738063403</v>
      </c>
      <c r="B536">
        <v>515</v>
      </c>
      <c r="C536">
        <v>123.382720947</v>
      </c>
      <c r="D536">
        <v>515</v>
      </c>
      <c r="E536">
        <v>139.19862365700001</v>
      </c>
      <c r="F536">
        <v>515</v>
      </c>
      <c r="G536">
        <v>120.321380615</v>
      </c>
      <c r="H536">
        <v>515</v>
      </c>
      <c r="I536">
        <v>131.33221435499999</v>
      </c>
      <c r="K536">
        <f t="shared" si="34"/>
        <v>7.8664093020000223</v>
      </c>
      <c r="L536">
        <v>515</v>
      </c>
      <c r="M536">
        <v>231</v>
      </c>
      <c r="N536">
        <v>515</v>
      </c>
      <c r="O536">
        <v>24</v>
      </c>
      <c r="P536">
        <f t="shared" si="32"/>
        <v>107.617279053</v>
      </c>
    </row>
    <row r="537" spans="1:16">
      <c r="A537">
        <f t="shared" si="33"/>
        <v>1157.8648327004194</v>
      </c>
      <c r="B537">
        <v>516</v>
      </c>
      <c r="C537">
        <v>123.502243042</v>
      </c>
      <c r="D537">
        <v>516</v>
      </c>
      <c r="E537">
        <v>139.043792725</v>
      </c>
      <c r="F537">
        <v>516</v>
      </c>
      <c r="G537">
        <v>120.330528259</v>
      </c>
      <c r="H537">
        <v>516</v>
      </c>
      <c r="I537">
        <v>130.80632019000001</v>
      </c>
      <c r="K537">
        <f t="shared" si="34"/>
        <v>8.2374725349999949</v>
      </c>
      <c r="L537">
        <v>516</v>
      </c>
      <c r="M537">
        <v>231</v>
      </c>
      <c r="N537">
        <v>516</v>
      </c>
      <c r="O537">
        <v>24</v>
      </c>
      <c r="P537">
        <f t="shared" si="32"/>
        <v>107.497756958</v>
      </c>
    </row>
    <row r="538" spans="1:16">
      <c r="A538">
        <f t="shared" si="33"/>
        <v>1158.7909273374357</v>
      </c>
      <c r="B538">
        <v>517</v>
      </c>
      <c r="C538">
        <v>125.37239837600001</v>
      </c>
      <c r="D538">
        <v>517</v>
      </c>
      <c r="E538">
        <v>140.680053711</v>
      </c>
      <c r="F538">
        <v>517</v>
      </c>
      <c r="G538">
        <v>121</v>
      </c>
      <c r="H538">
        <v>517</v>
      </c>
      <c r="I538">
        <v>129.682693481</v>
      </c>
      <c r="K538">
        <f t="shared" si="34"/>
        <v>10.997360229999998</v>
      </c>
      <c r="L538">
        <v>517</v>
      </c>
      <c r="M538">
        <v>231</v>
      </c>
      <c r="N538">
        <v>517</v>
      </c>
      <c r="O538">
        <v>24</v>
      </c>
      <c r="P538">
        <f t="shared" si="32"/>
        <v>105.62760162399999</v>
      </c>
    </row>
    <row r="539" spans="1:16">
      <c r="A539">
        <f t="shared" si="33"/>
        <v>1159.7170219744521</v>
      </c>
      <c r="B539">
        <v>518</v>
      </c>
      <c r="C539">
        <v>124.841758728</v>
      </c>
      <c r="D539">
        <v>518</v>
      </c>
      <c r="E539">
        <v>139.975662231</v>
      </c>
      <c r="F539">
        <v>518</v>
      </c>
      <c r="G539">
        <v>121.628913879</v>
      </c>
      <c r="H539">
        <v>518</v>
      </c>
      <c r="I539">
        <v>127.03137207</v>
      </c>
      <c r="K539">
        <f t="shared" si="34"/>
        <v>12.944290160999998</v>
      </c>
      <c r="L539">
        <v>518</v>
      </c>
      <c r="M539">
        <v>231</v>
      </c>
      <c r="N539">
        <v>518</v>
      </c>
      <c r="O539">
        <v>24</v>
      </c>
      <c r="P539">
        <f t="shared" si="32"/>
        <v>106.158241272</v>
      </c>
    </row>
    <row r="540" spans="1:16">
      <c r="A540">
        <f t="shared" si="33"/>
        <v>1160.6431166114683</v>
      </c>
      <c r="B540">
        <v>519</v>
      </c>
      <c r="C540">
        <v>124.938171387</v>
      </c>
      <c r="D540">
        <v>519</v>
      </c>
      <c r="E540">
        <v>135.83880615199999</v>
      </c>
      <c r="F540">
        <v>519</v>
      </c>
      <c r="G540">
        <v>121.87969207800001</v>
      </c>
      <c r="H540">
        <v>519</v>
      </c>
      <c r="I540">
        <v>129.16639709500001</v>
      </c>
      <c r="K540">
        <f t="shared" si="34"/>
        <v>6.6724090569999817</v>
      </c>
      <c r="L540">
        <v>519</v>
      </c>
      <c r="M540">
        <v>231</v>
      </c>
      <c r="N540">
        <v>519</v>
      </c>
      <c r="O540">
        <v>24</v>
      </c>
      <c r="P540">
        <f t="shared" si="32"/>
        <v>106.061828613</v>
      </c>
    </row>
    <row r="541" spans="1:16">
      <c r="A541">
        <f t="shared" si="33"/>
        <v>1161.5692112484846</v>
      </c>
      <c r="B541">
        <v>520</v>
      </c>
      <c r="C541">
        <v>123.46241760300001</v>
      </c>
      <c r="D541">
        <v>520</v>
      </c>
      <c r="E541">
        <v>141.18447875999999</v>
      </c>
      <c r="F541">
        <v>520</v>
      </c>
      <c r="G541">
        <v>122.796020508</v>
      </c>
      <c r="H541">
        <v>520</v>
      </c>
      <c r="I541">
        <v>132.732421875</v>
      </c>
      <c r="K541">
        <f t="shared" si="34"/>
        <v>8.4520568849999904</v>
      </c>
      <c r="L541">
        <v>520</v>
      </c>
      <c r="M541">
        <v>231</v>
      </c>
      <c r="N541">
        <v>520</v>
      </c>
      <c r="O541">
        <v>24</v>
      </c>
      <c r="P541">
        <f t="shared" si="32"/>
        <v>107.53758239699999</v>
      </c>
    </row>
    <row r="542" spans="1:16">
      <c r="A542">
        <f t="shared" si="33"/>
        <v>1162.495305885501</v>
      </c>
      <c r="B542">
        <v>521</v>
      </c>
      <c r="C542">
        <v>125.567008972</v>
      </c>
      <c r="D542">
        <v>521</v>
      </c>
      <c r="E542">
        <v>140.65573120100001</v>
      </c>
      <c r="F542">
        <v>521</v>
      </c>
      <c r="G542">
        <v>121.920310974</v>
      </c>
      <c r="H542">
        <v>521</v>
      </c>
      <c r="I542">
        <v>130.790283203</v>
      </c>
      <c r="K542">
        <f t="shared" si="34"/>
        <v>9.8654479980000076</v>
      </c>
      <c r="L542">
        <v>521</v>
      </c>
      <c r="M542">
        <v>231</v>
      </c>
      <c r="N542">
        <v>521</v>
      </c>
      <c r="O542">
        <v>24</v>
      </c>
      <c r="P542">
        <f t="shared" si="32"/>
        <v>105.432991028</v>
      </c>
    </row>
    <row r="543" spans="1:16">
      <c r="A543">
        <f t="shared" si="33"/>
        <v>1163.4214005225172</v>
      </c>
      <c r="B543">
        <v>522</v>
      </c>
      <c r="C543">
        <v>128.47686767600001</v>
      </c>
      <c r="D543">
        <v>522</v>
      </c>
      <c r="E543">
        <v>139.61328125</v>
      </c>
      <c r="F543">
        <v>522</v>
      </c>
      <c r="G543">
        <v>120.046279907</v>
      </c>
      <c r="H543">
        <v>522</v>
      </c>
      <c r="I543">
        <v>128.09280395499999</v>
      </c>
      <c r="K543">
        <f t="shared" si="34"/>
        <v>11.520477295000006</v>
      </c>
      <c r="L543">
        <v>522</v>
      </c>
      <c r="M543">
        <v>231</v>
      </c>
      <c r="N543">
        <v>522</v>
      </c>
      <c r="O543">
        <v>24</v>
      </c>
      <c r="P543">
        <f t="shared" si="32"/>
        <v>102.52313232399999</v>
      </c>
    </row>
    <row r="544" spans="1:16">
      <c r="A544">
        <f t="shared" si="33"/>
        <v>1164.3474951595335</v>
      </c>
      <c r="B544">
        <v>523</v>
      </c>
      <c r="C544">
        <v>126.295265198</v>
      </c>
      <c r="D544">
        <v>523</v>
      </c>
      <c r="E544">
        <v>139.69303894000001</v>
      </c>
      <c r="F544">
        <v>523</v>
      </c>
      <c r="G544">
        <v>120.161224365</v>
      </c>
      <c r="H544">
        <v>523</v>
      </c>
      <c r="I544">
        <v>126.321655273</v>
      </c>
      <c r="K544">
        <f t="shared" si="34"/>
        <v>13.371383667000003</v>
      </c>
      <c r="L544">
        <v>523</v>
      </c>
      <c r="M544">
        <v>231</v>
      </c>
      <c r="N544">
        <v>523</v>
      </c>
      <c r="O544">
        <v>24</v>
      </c>
      <c r="P544">
        <f t="shared" si="32"/>
        <v>104.704734802</v>
      </c>
    </row>
    <row r="545" spans="1:16">
      <c r="A545">
        <f t="shared" si="33"/>
        <v>1165.2735897965499</v>
      </c>
      <c r="B545">
        <v>524</v>
      </c>
      <c r="C545">
        <v>125.34873199499999</v>
      </c>
      <c r="D545">
        <v>524</v>
      </c>
      <c r="E545">
        <v>138.44657897900001</v>
      </c>
      <c r="F545">
        <v>524</v>
      </c>
      <c r="G545">
        <v>121.271949768</v>
      </c>
      <c r="H545">
        <v>524</v>
      </c>
      <c r="I545">
        <v>128.89328002900001</v>
      </c>
      <c r="K545">
        <f t="shared" si="34"/>
        <v>9.5532989499999985</v>
      </c>
      <c r="L545">
        <v>524</v>
      </c>
      <c r="M545">
        <v>231</v>
      </c>
      <c r="N545">
        <v>524</v>
      </c>
      <c r="O545">
        <v>24</v>
      </c>
      <c r="P545">
        <f t="shared" si="32"/>
        <v>105.65126800500001</v>
      </c>
    </row>
    <row r="546" spans="1:16">
      <c r="A546">
        <f t="shared" si="33"/>
        <v>1166.1996844335663</v>
      </c>
      <c r="B546">
        <v>525</v>
      </c>
      <c r="C546">
        <v>125.30225372300001</v>
      </c>
      <c r="D546">
        <v>525</v>
      </c>
      <c r="E546">
        <v>137.27342224099999</v>
      </c>
      <c r="F546">
        <v>525</v>
      </c>
      <c r="G546">
        <v>123.412780762</v>
      </c>
      <c r="H546">
        <v>525</v>
      </c>
      <c r="I546">
        <v>129.06228637699999</v>
      </c>
      <c r="K546">
        <f t="shared" si="34"/>
        <v>8.2111358639999992</v>
      </c>
      <c r="L546">
        <v>525</v>
      </c>
      <c r="M546">
        <v>231</v>
      </c>
      <c r="N546">
        <v>525</v>
      </c>
      <c r="O546">
        <v>24</v>
      </c>
      <c r="P546">
        <f t="shared" si="32"/>
        <v>105.69774627699999</v>
      </c>
    </row>
    <row r="547" spans="1:16">
      <c r="A547">
        <f t="shared" si="33"/>
        <v>1167.1257790705824</v>
      </c>
      <c r="B547">
        <v>526</v>
      </c>
      <c r="C547">
        <v>122.37590789799999</v>
      </c>
      <c r="D547">
        <v>526</v>
      </c>
      <c r="E547">
        <v>137.333221436</v>
      </c>
      <c r="F547">
        <v>526</v>
      </c>
      <c r="G547">
        <v>123.839012146</v>
      </c>
      <c r="H547">
        <v>526</v>
      </c>
      <c r="I547">
        <v>129.21078491200001</v>
      </c>
      <c r="K547">
        <f t="shared" si="34"/>
        <v>8.1224365239999941</v>
      </c>
      <c r="L547">
        <v>526</v>
      </c>
      <c r="M547">
        <v>231</v>
      </c>
      <c r="N547">
        <v>526</v>
      </c>
      <c r="O547">
        <v>24</v>
      </c>
      <c r="P547">
        <f t="shared" si="32"/>
        <v>108.62409210200001</v>
      </c>
    </row>
    <row r="548" spans="1:16">
      <c r="A548">
        <f t="shared" si="33"/>
        <v>1168.0518737075988</v>
      </c>
      <c r="B548">
        <v>527</v>
      </c>
      <c r="C548">
        <v>124.34823608400001</v>
      </c>
      <c r="D548">
        <v>527</v>
      </c>
      <c r="E548">
        <v>139.13714599599999</v>
      </c>
      <c r="F548">
        <v>527</v>
      </c>
      <c r="G548">
        <v>121.5286026</v>
      </c>
      <c r="H548">
        <v>527</v>
      </c>
      <c r="I548">
        <v>129.69041442899999</v>
      </c>
      <c r="K548">
        <f t="shared" si="34"/>
        <v>9.4467315670000005</v>
      </c>
      <c r="L548">
        <v>527</v>
      </c>
      <c r="M548">
        <v>231</v>
      </c>
      <c r="N548">
        <v>527</v>
      </c>
      <c r="O548">
        <v>24</v>
      </c>
      <c r="P548">
        <f t="shared" si="32"/>
        <v>106.65176391599999</v>
      </c>
    </row>
    <row r="549" spans="1:16">
      <c r="A549">
        <f t="shared" si="33"/>
        <v>1168.9779683446152</v>
      </c>
      <c r="B549">
        <v>528</v>
      </c>
      <c r="C549">
        <v>128.024658203</v>
      </c>
      <c r="D549">
        <v>528</v>
      </c>
      <c r="E549">
        <v>139.47572326700001</v>
      </c>
      <c r="F549">
        <v>528</v>
      </c>
      <c r="G549">
        <v>120.10105133099999</v>
      </c>
      <c r="H549">
        <v>528</v>
      </c>
      <c r="I549">
        <v>129.70196533199999</v>
      </c>
      <c r="K549">
        <f t="shared" si="34"/>
        <v>9.7737579350000203</v>
      </c>
      <c r="L549">
        <v>528</v>
      </c>
      <c r="M549">
        <v>231</v>
      </c>
      <c r="N549">
        <v>528</v>
      </c>
      <c r="O549">
        <v>24</v>
      </c>
      <c r="P549">
        <f t="shared" si="32"/>
        <v>102.975341797</v>
      </c>
    </row>
    <row r="550" spans="1:16">
      <c r="A550">
        <f t="shared" si="33"/>
        <v>1169.9040629816313</v>
      </c>
      <c r="B550">
        <v>529</v>
      </c>
      <c r="C550">
        <v>125.870803833</v>
      </c>
      <c r="D550">
        <v>529</v>
      </c>
      <c r="E550">
        <v>141.28521728499999</v>
      </c>
      <c r="F550">
        <v>529</v>
      </c>
      <c r="G550">
        <v>120.48563385</v>
      </c>
      <c r="H550">
        <v>529</v>
      </c>
      <c r="I550">
        <v>129.29348754899999</v>
      </c>
      <c r="K550">
        <f t="shared" si="34"/>
        <v>11.991729735999996</v>
      </c>
      <c r="L550">
        <v>529</v>
      </c>
      <c r="M550">
        <v>231</v>
      </c>
      <c r="N550">
        <v>529</v>
      </c>
      <c r="O550">
        <v>24</v>
      </c>
      <c r="P550">
        <f t="shared" si="32"/>
        <v>105.129196167</v>
      </c>
    </row>
    <row r="551" spans="1:16">
      <c r="A551">
        <f t="shared" si="33"/>
        <v>1170.8301576186477</v>
      </c>
      <c r="B551">
        <v>530</v>
      </c>
      <c r="C551">
        <v>125.990058899</v>
      </c>
      <c r="D551">
        <v>530</v>
      </c>
      <c r="E551">
        <v>143.09379577600001</v>
      </c>
      <c r="F551">
        <v>530</v>
      </c>
      <c r="G551">
        <v>120.285095215</v>
      </c>
      <c r="H551">
        <v>530</v>
      </c>
      <c r="I551">
        <v>128.666671753</v>
      </c>
      <c r="K551">
        <f t="shared" si="34"/>
        <v>14.427124023000005</v>
      </c>
      <c r="L551">
        <v>530</v>
      </c>
      <c r="M551">
        <v>231</v>
      </c>
      <c r="N551">
        <v>530</v>
      </c>
      <c r="O551">
        <v>24</v>
      </c>
      <c r="P551">
        <f t="shared" si="32"/>
        <v>105.009941101</v>
      </c>
    </row>
    <row r="552" spans="1:16">
      <c r="A552">
        <f t="shared" si="33"/>
        <v>1171.7562522556641</v>
      </c>
      <c r="B552">
        <v>531</v>
      </c>
      <c r="C552">
        <v>125.226524353</v>
      </c>
      <c r="D552">
        <v>531</v>
      </c>
      <c r="E552">
        <v>141.501586914</v>
      </c>
      <c r="F552">
        <v>531</v>
      </c>
      <c r="G552">
        <v>120.378540039</v>
      </c>
      <c r="H552">
        <v>531</v>
      </c>
      <c r="I552">
        <v>129.178924561</v>
      </c>
      <c r="K552">
        <f t="shared" si="34"/>
        <v>12.322662352999998</v>
      </c>
      <c r="L552">
        <v>531</v>
      </c>
      <c r="M552">
        <v>231</v>
      </c>
      <c r="N552">
        <v>531</v>
      </c>
      <c r="O552">
        <v>24</v>
      </c>
      <c r="P552">
        <f t="shared" si="32"/>
        <v>105.773475647</v>
      </c>
    </row>
    <row r="553" spans="1:16">
      <c r="A553">
        <f t="shared" si="33"/>
        <v>1172.6823468926805</v>
      </c>
      <c r="B553">
        <v>532</v>
      </c>
      <c r="C553">
        <v>126.129081726</v>
      </c>
      <c r="D553">
        <v>532</v>
      </c>
      <c r="E553">
        <v>141.47892761200001</v>
      </c>
      <c r="F553">
        <v>532</v>
      </c>
      <c r="G553">
        <v>121.039619446</v>
      </c>
      <c r="H553">
        <v>532</v>
      </c>
      <c r="I553">
        <v>130.77450561500001</v>
      </c>
      <c r="K553">
        <f t="shared" si="34"/>
        <v>10.704421996999997</v>
      </c>
      <c r="L553">
        <v>532</v>
      </c>
      <c r="M553">
        <v>231</v>
      </c>
      <c r="N553">
        <v>532</v>
      </c>
      <c r="O553">
        <v>24</v>
      </c>
      <c r="P553">
        <f t="shared" si="32"/>
        <v>104.870918274</v>
      </c>
    </row>
    <row r="554" spans="1:16">
      <c r="A554">
        <f t="shared" si="33"/>
        <v>1173.6084415296968</v>
      </c>
      <c r="B554">
        <v>533</v>
      </c>
      <c r="C554">
        <v>125.807868958</v>
      </c>
      <c r="D554">
        <v>533</v>
      </c>
      <c r="E554">
        <v>142.13340759299999</v>
      </c>
      <c r="F554">
        <v>533</v>
      </c>
      <c r="G554">
        <v>121.33333587600001</v>
      </c>
      <c r="H554">
        <v>533</v>
      </c>
      <c r="I554">
        <v>131.71275329599999</v>
      </c>
      <c r="K554">
        <f t="shared" si="34"/>
        <v>10.420654296999999</v>
      </c>
      <c r="L554">
        <v>533</v>
      </c>
      <c r="M554">
        <v>231</v>
      </c>
      <c r="N554">
        <v>533</v>
      </c>
      <c r="O554">
        <v>24</v>
      </c>
      <c r="P554">
        <f t="shared" si="32"/>
        <v>105.192131042</v>
      </c>
    </row>
    <row r="555" spans="1:16">
      <c r="A555">
        <f t="shared" si="33"/>
        <v>1174.534536166713</v>
      </c>
      <c r="B555">
        <v>534</v>
      </c>
      <c r="C555">
        <v>126.90653228799999</v>
      </c>
      <c r="D555">
        <v>534</v>
      </c>
      <c r="E555">
        <v>140.513397217</v>
      </c>
      <c r="F555">
        <v>534</v>
      </c>
      <c r="G555">
        <v>121.138305664</v>
      </c>
      <c r="H555">
        <v>534</v>
      </c>
      <c r="I555">
        <v>130.019607544</v>
      </c>
      <c r="K555">
        <f t="shared" si="34"/>
        <v>10.493789673000009</v>
      </c>
      <c r="L555">
        <v>534</v>
      </c>
      <c r="M555">
        <v>231</v>
      </c>
      <c r="N555">
        <v>534</v>
      </c>
      <c r="O555">
        <v>24.217790604000001</v>
      </c>
      <c r="P555">
        <f t="shared" si="32"/>
        <v>104.09346771200001</v>
      </c>
    </row>
    <row r="556" spans="1:16">
      <c r="A556">
        <f t="shared" si="33"/>
        <v>1175.4606308037294</v>
      </c>
      <c r="B556">
        <v>535</v>
      </c>
      <c r="C556">
        <v>126.24952697800001</v>
      </c>
      <c r="D556">
        <v>535</v>
      </c>
      <c r="E556">
        <v>137.27532959000001</v>
      </c>
      <c r="F556">
        <v>535</v>
      </c>
      <c r="G556">
        <v>121.243919373</v>
      </c>
      <c r="H556">
        <v>535</v>
      </c>
      <c r="I556">
        <v>127.78430938699999</v>
      </c>
      <c r="K556">
        <f t="shared" si="34"/>
        <v>9.4910202030000193</v>
      </c>
      <c r="L556">
        <v>535</v>
      </c>
      <c r="M556">
        <v>230.58807372999999</v>
      </c>
      <c r="N556">
        <v>535</v>
      </c>
      <c r="O556">
        <v>24.940698623999999</v>
      </c>
      <c r="P556">
        <f t="shared" si="32"/>
        <v>104.33854675199998</v>
      </c>
    </row>
    <row r="557" spans="1:16">
      <c r="A557">
        <f t="shared" si="33"/>
        <v>1176.3867254407457</v>
      </c>
      <c r="B557">
        <v>536</v>
      </c>
      <c r="C557">
        <v>124.295845032</v>
      </c>
      <c r="D557">
        <v>536</v>
      </c>
      <c r="E557">
        <v>137.122512817</v>
      </c>
      <c r="F557">
        <v>536</v>
      </c>
      <c r="G557">
        <v>120.92841339100001</v>
      </c>
      <c r="H557">
        <v>536</v>
      </c>
      <c r="I557">
        <v>125.80812072800001</v>
      </c>
      <c r="K557">
        <f t="shared" si="34"/>
        <v>11.314392088999995</v>
      </c>
      <c r="L557">
        <v>536</v>
      </c>
      <c r="M557">
        <v>230</v>
      </c>
      <c r="N557">
        <v>536</v>
      </c>
      <c r="O557">
        <v>25</v>
      </c>
      <c r="P557">
        <f t="shared" si="32"/>
        <v>105.704154968</v>
      </c>
    </row>
    <row r="558" spans="1:16">
      <c r="A558">
        <f t="shared" si="33"/>
        <v>1177.3128200777619</v>
      </c>
      <c r="B558">
        <v>537</v>
      </c>
      <c r="C558">
        <v>124.99449157700001</v>
      </c>
      <c r="D558">
        <v>537</v>
      </c>
      <c r="E558">
        <v>139.345947266</v>
      </c>
      <c r="F558">
        <v>537</v>
      </c>
      <c r="G558">
        <v>120.56880188</v>
      </c>
      <c r="H558">
        <v>537</v>
      </c>
      <c r="I558">
        <v>126.494606018</v>
      </c>
      <c r="K558">
        <f t="shared" si="34"/>
        <v>12.851341247999997</v>
      </c>
      <c r="L558">
        <v>537</v>
      </c>
      <c r="M558">
        <v>230</v>
      </c>
      <c r="N558">
        <v>537</v>
      </c>
      <c r="O558">
        <v>25</v>
      </c>
      <c r="P558">
        <f t="shared" si="32"/>
        <v>105.00550842299999</v>
      </c>
    </row>
    <row r="559" spans="1:16">
      <c r="A559">
        <f t="shared" si="33"/>
        <v>1178.2389147147783</v>
      </c>
      <c r="B559">
        <v>538</v>
      </c>
      <c r="C559">
        <v>125.7578125</v>
      </c>
      <c r="D559">
        <v>538</v>
      </c>
      <c r="E559">
        <v>138.792678833</v>
      </c>
      <c r="F559">
        <v>538</v>
      </c>
      <c r="G559">
        <v>120.920516968</v>
      </c>
      <c r="H559">
        <v>538</v>
      </c>
      <c r="I559">
        <v>127.404899597</v>
      </c>
      <c r="K559">
        <f t="shared" si="34"/>
        <v>11.387779236</v>
      </c>
      <c r="L559">
        <v>538</v>
      </c>
      <c r="M559">
        <v>230</v>
      </c>
      <c r="N559">
        <v>538</v>
      </c>
      <c r="O559">
        <v>25</v>
      </c>
      <c r="P559">
        <f t="shared" si="32"/>
        <v>104.2421875</v>
      </c>
    </row>
    <row r="560" spans="1:16">
      <c r="A560">
        <f t="shared" si="33"/>
        <v>1179.1650093517947</v>
      </c>
      <c r="B560">
        <v>539</v>
      </c>
      <c r="C560">
        <v>124.011856079</v>
      </c>
      <c r="D560">
        <v>539</v>
      </c>
      <c r="E560">
        <v>137.08383178700001</v>
      </c>
      <c r="F560">
        <v>539</v>
      </c>
      <c r="G560">
        <v>120.40983581499999</v>
      </c>
      <c r="H560">
        <v>539</v>
      </c>
      <c r="I560">
        <v>127.97376251199999</v>
      </c>
      <c r="K560">
        <f t="shared" si="34"/>
        <v>9.110069275000015</v>
      </c>
      <c r="L560">
        <v>539</v>
      </c>
      <c r="M560">
        <v>230</v>
      </c>
      <c r="N560">
        <v>539</v>
      </c>
      <c r="O560">
        <v>25</v>
      </c>
      <c r="P560">
        <f t="shared" si="32"/>
        <v>105.988143921</v>
      </c>
    </row>
    <row r="561" spans="1:16">
      <c r="A561">
        <f t="shared" si="33"/>
        <v>1180.091103988811</v>
      </c>
      <c r="B561">
        <v>540</v>
      </c>
      <c r="C561">
        <v>126.356803894</v>
      </c>
      <c r="D561">
        <v>540</v>
      </c>
      <c r="E561">
        <v>138.31040954599999</v>
      </c>
      <c r="F561">
        <v>540</v>
      </c>
      <c r="G561">
        <v>119.899154663</v>
      </c>
      <c r="H561">
        <v>540</v>
      </c>
      <c r="I561">
        <v>127.69261932400001</v>
      </c>
      <c r="K561">
        <f t="shared" si="34"/>
        <v>10.617790221999982</v>
      </c>
      <c r="L561">
        <v>540</v>
      </c>
      <c r="M561">
        <v>230</v>
      </c>
      <c r="N561">
        <v>540</v>
      </c>
      <c r="O561">
        <v>25</v>
      </c>
      <c r="P561">
        <f t="shared" si="32"/>
        <v>103.643196106</v>
      </c>
    </row>
    <row r="562" spans="1:16">
      <c r="A562">
        <f t="shared" si="33"/>
        <v>1181.0171986258272</v>
      </c>
      <c r="B562">
        <v>541</v>
      </c>
      <c r="C562">
        <v>128.216262817</v>
      </c>
      <c r="D562">
        <v>541</v>
      </c>
      <c r="E562">
        <v>140.87045288100001</v>
      </c>
      <c r="F562">
        <v>541</v>
      </c>
      <c r="G562">
        <v>120.00611114500001</v>
      </c>
      <c r="H562">
        <v>541</v>
      </c>
      <c r="I562">
        <v>127.483123779</v>
      </c>
      <c r="K562">
        <f t="shared" si="34"/>
        <v>13.38732910200001</v>
      </c>
      <c r="L562">
        <v>541</v>
      </c>
      <c r="M562">
        <v>230</v>
      </c>
      <c r="N562">
        <v>541</v>
      </c>
      <c r="O562">
        <v>25</v>
      </c>
      <c r="P562">
        <f t="shared" si="32"/>
        <v>101.783737183</v>
      </c>
    </row>
    <row r="563" spans="1:16">
      <c r="A563">
        <f t="shared" si="33"/>
        <v>1181.9432932628436</v>
      </c>
      <c r="B563">
        <v>542</v>
      </c>
      <c r="C563">
        <v>125.676712036</v>
      </c>
      <c r="D563">
        <v>542</v>
      </c>
      <c r="E563">
        <v>140.448684692</v>
      </c>
      <c r="F563">
        <v>542</v>
      </c>
      <c r="G563">
        <v>120.65275573700001</v>
      </c>
      <c r="H563">
        <v>542</v>
      </c>
      <c r="I563">
        <v>128.57940673799999</v>
      </c>
      <c r="K563">
        <f t="shared" si="34"/>
        <v>11.869277954000012</v>
      </c>
      <c r="L563">
        <v>542</v>
      </c>
      <c r="M563">
        <v>230</v>
      </c>
      <c r="N563">
        <v>542</v>
      </c>
      <c r="O563">
        <v>25</v>
      </c>
      <c r="P563">
        <f t="shared" si="32"/>
        <v>104.323287964</v>
      </c>
    </row>
    <row r="564" spans="1:16">
      <c r="A564">
        <f t="shared" si="33"/>
        <v>1182.8693878998599</v>
      </c>
      <c r="B564">
        <v>543</v>
      </c>
      <c r="C564">
        <v>122.047592163</v>
      </c>
      <c r="D564">
        <v>543</v>
      </c>
      <c r="E564">
        <v>139.214385986</v>
      </c>
      <c r="F564">
        <v>543</v>
      </c>
      <c r="G564">
        <v>121.291107178</v>
      </c>
      <c r="H564">
        <v>543</v>
      </c>
      <c r="I564">
        <v>130.252441406</v>
      </c>
      <c r="K564">
        <f t="shared" si="34"/>
        <v>8.9619445799999937</v>
      </c>
      <c r="L564">
        <v>543</v>
      </c>
      <c r="M564">
        <v>230</v>
      </c>
      <c r="N564">
        <v>543</v>
      </c>
      <c r="O564">
        <v>25</v>
      </c>
      <c r="P564">
        <f t="shared" si="32"/>
        <v>107.952407837</v>
      </c>
    </row>
    <row r="565" spans="1:16">
      <c r="A565">
        <f t="shared" si="33"/>
        <v>1183.7954825368761</v>
      </c>
      <c r="B565">
        <v>544</v>
      </c>
      <c r="C565">
        <v>124.54338836700001</v>
      </c>
      <c r="D565">
        <v>544</v>
      </c>
      <c r="E565">
        <v>139.27255249000001</v>
      </c>
      <c r="F565">
        <v>544</v>
      </c>
      <c r="G565">
        <v>120.856437683</v>
      </c>
      <c r="H565">
        <v>544</v>
      </c>
      <c r="I565">
        <v>130.533325195</v>
      </c>
      <c r="K565">
        <f t="shared" si="34"/>
        <v>8.7392272950000063</v>
      </c>
      <c r="L565">
        <v>544</v>
      </c>
      <c r="M565">
        <v>230</v>
      </c>
      <c r="N565">
        <v>544</v>
      </c>
      <c r="O565">
        <v>25</v>
      </c>
      <c r="P565">
        <f t="shared" si="32"/>
        <v>105.45661163299999</v>
      </c>
    </row>
    <row r="566" spans="1:16">
      <c r="A566">
        <f t="shared" si="33"/>
        <v>1184.7215771738925</v>
      </c>
      <c r="B566">
        <v>545</v>
      </c>
      <c r="C566">
        <v>128.30860900900001</v>
      </c>
      <c r="D566">
        <v>545</v>
      </c>
      <c r="E566">
        <v>137.886642456</v>
      </c>
      <c r="F566">
        <v>545</v>
      </c>
      <c r="G566">
        <v>120.003944397</v>
      </c>
      <c r="H566">
        <v>545</v>
      </c>
      <c r="I566">
        <v>131.41421508799999</v>
      </c>
      <c r="K566">
        <f t="shared" si="34"/>
        <v>6.4724273680000124</v>
      </c>
      <c r="L566">
        <v>545</v>
      </c>
      <c r="M566">
        <v>230</v>
      </c>
      <c r="N566">
        <v>545</v>
      </c>
      <c r="O566">
        <v>25</v>
      </c>
      <c r="P566">
        <f t="shared" si="32"/>
        <v>101.69139099099999</v>
      </c>
    </row>
    <row r="567" spans="1:16">
      <c r="A567">
        <f t="shared" si="33"/>
        <v>1185.6476718109088</v>
      </c>
      <c r="B567">
        <v>546</v>
      </c>
      <c r="C567">
        <v>125.668899536</v>
      </c>
      <c r="D567">
        <v>546</v>
      </c>
      <c r="E567">
        <v>139.29142761200001</v>
      </c>
      <c r="F567">
        <v>546</v>
      </c>
      <c r="G567">
        <v>119.707893372</v>
      </c>
      <c r="H567">
        <v>546</v>
      </c>
      <c r="I567">
        <v>131.487258911</v>
      </c>
      <c r="K567">
        <f t="shared" si="34"/>
        <v>7.8041687010000089</v>
      </c>
      <c r="L567">
        <v>546</v>
      </c>
      <c r="M567">
        <v>230</v>
      </c>
      <c r="N567">
        <v>546</v>
      </c>
      <c r="O567">
        <v>25.061939240000001</v>
      </c>
      <c r="P567">
        <f t="shared" si="32"/>
        <v>104.331100464</v>
      </c>
    </row>
    <row r="568" spans="1:16">
      <c r="A568">
        <f t="shared" si="33"/>
        <v>1186.5737664479252</v>
      </c>
      <c r="B568">
        <v>547</v>
      </c>
      <c r="C568">
        <v>124.39970397899999</v>
      </c>
      <c r="D568">
        <v>547</v>
      </c>
      <c r="E568">
        <v>139.88023376500001</v>
      </c>
      <c r="F568">
        <v>547</v>
      </c>
      <c r="G568">
        <v>119.835571289</v>
      </c>
      <c r="H568">
        <v>547</v>
      </c>
      <c r="I568">
        <v>131.47923278799999</v>
      </c>
      <c r="K568">
        <f t="shared" si="34"/>
        <v>8.4010009770000238</v>
      </c>
      <c r="L568">
        <v>547</v>
      </c>
      <c r="M568">
        <v>229.70628356899999</v>
      </c>
      <c r="N568">
        <v>547</v>
      </c>
      <c r="O568">
        <v>25.716228484999998</v>
      </c>
      <c r="P568">
        <f t="shared" si="32"/>
        <v>105.30657959</v>
      </c>
    </row>
    <row r="569" spans="1:16">
      <c r="A569">
        <f t="shared" si="33"/>
        <v>1187.4998610849416</v>
      </c>
      <c r="B569">
        <v>548</v>
      </c>
      <c r="C569">
        <v>123.509788513</v>
      </c>
      <c r="D569">
        <v>548</v>
      </c>
      <c r="E569">
        <v>140.76156616200001</v>
      </c>
      <c r="F569">
        <v>548</v>
      </c>
      <c r="G569">
        <v>119.96324157700001</v>
      </c>
      <c r="H569">
        <v>548</v>
      </c>
      <c r="I569">
        <v>130.15110778799999</v>
      </c>
      <c r="K569">
        <f t="shared" si="34"/>
        <v>10.610458374000018</v>
      </c>
      <c r="L569">
        <v>548</v>
      </c>
      <c r="M569">
        <v>229</v>
      </c>
      <c r="N569">
        <v>548</v>
      </c>
      <c r="O569">
        <v>26</v>
      </c>
      <c r="P569">
        <f t="shared" si="32"/>
        <v>105.490211487</v>
      </c>
    </row>
    <row r="570" spans="1:16">
      <c r="A570">
        <f t="shared" si="33"/>
        <v>1188.4259557219577</v>
      </c>
      <c r="B570">
        <v>549</v>
      </c>
      <c r="C570">
        <v>123.103286743</v>
      </c>
      <c r="D570">
        <v>549</v>
      </c>
      <c r="E570">
        <v>142.25338745100001</v>
      </c>
      <c r="F570">
        <v>549</v>
      </c>
      <c r="G570">
        <v>119.909088135</v>
      </c>
      <c r="H570">
        <v>549</v>
      </c>
      <c r="I570">
        <v>129.41445922899999</v>
      </c>
      <c r="K570">
        <f t="shared" si="34"/>
        <v>12.838928222000021</v>
      </c>
      <c r="L570">
        <v>549</v>
      </c>
      <c r="M570">
        <v>229</v>
      </c>
      <c r="N570">
        <v>549</v>
      </c>
      <c r="O570">
        <v>26</v>
      </c>
      <c r="P570">
        <f t="shared" si="32"/>
        <v>105.896713257</v>
      </c>
    </row>
    <row r="571" spans="1:16">
      <c r="A571">
        <f t="shared" si="33"/>
        <v>1189.3520503589741</v>
      </c>
      <c r="B571">
        <v>550</v>
      </c>
      <c r="C571">
        <v>124.255615234</v>
      </c>
      <c r="D571">
        <v>550</v>
      </c>
      <c r="E571">
        <v>138.309494019</v>
      </c>
      <c r="F571">
        <v>550</v>
      </c>
      <c r="G571">
        <v>119.781417847</v>
      </c>
      <c r="H571">
        <v>550</v>
      </c>
      <c r="I571">
        <v>129.33203125</v>
      </c>
      <c r="K571">
        <f t="shared" si="34"/>
        <v>8.9774627689999988</v>
      </c>
      <c r="L571">
        <v>550</v>
      </c>
      <c r="M571">
        <v>229</v>
      </c>
      <c r="N571">
        <v>550</v>
      </c>
      <c r="O571">
        <v>26</v>
      </c>
      <c r="P571">
        <f t="shared" si="32"/>
        <v>104.744384766</v>
      </c>
    </row>
    <row r="572" spans="1:16">
      <c r="A572">
        <f t="shared" si="33"/>
        <v>1190.2781449959905</v>
      </c>
      <c r="B572">
        <v>551</v>
      </c>
      <c r="C572">
        <v>124.335372925</v>
      </c>
      <c r="D572">
        <v>551</v>
      </c>
      <c r="E572">
        <v>137.39918518100001</v>
      </c>
      <c r="F572">
        <v>551</v>
      </c>
      <c r="G572">
        <v>119.692497253</v>
      </c>
      <c r="H572">
        <v>551</v>
      </c>
      <c r="I572">
        <v>128.78245544399999</v>
      </c>
      <c r="K572">
        <f t="shared" si="34"/>
        <v>8.6167297370000142</v>
      </c>
      <c r="L572">
        <v>551</v>
      </c>
      <c r="M572">
        <v>229</v>
      </c>
      <c r="N572">
        <v>551</v>
      </c>
      <c r="O572">
        <v>26</v>
      </c>
      <c r="P572">
        <f t="shared" si="32"/>
        <v>104.664627075</v>
      </c>
    </row>
    <row r="573" spans="1:16">
      <c r="A573">
        <f t="shared" si="33"/>
        <v>1191.2042396330066</v>
      </c>
      <c r="B573">
        <v>552</v>
      </c>
      <c r="C573">
        <v>122.82853698700001</v>
      </c>
      <c r="D573">
        <v>552</v>
      </c>
      <c r="E573">
        <v>139.01316833499999</v>
      </c>
      <c r="F573">
        <v>552</v>
      </c>
      <c r="G573">
        <v>119.94783783</v>
      </c>
      <c r="H573">
        <v>552</v>
      </c>
      <c r="I573">
        <v>126.523460388</v>
      </c>
      <c r="K573">
        <f t="shared" si="34"/>
        <v>12.489707946999985</v>
      </c>
      <c r="L573">
        <v>552</v>
      </c>
      <c r="M573">
        <v>229</v>
      </c>
      <c r="N573">
        <v>552</v>
      </c>
      <c r="O573">
        <v>26</v>
      </c>
      <c r="P573">
        <f t="shared" si="32"/>
        <v>106.17146301299999</v>
      </c>
    </row>
    <row r="574" spans="1:16">
      <c r="A574">
        <f t="shared" si="33"/>
        <v>1192.130334270023</v>
      </c>
      <c r="B574">
        <v>553</v>
      </c>
      <c r="C574">
        <v>122.458091736</v>
      </c>
      <c r="D574">
        <v>553</v>
      </c>
      <c r="E574">
        <v>139.76559448200001</v>
      </c>
      <c r="F574">
        <v>553</v>
      </c>
      <c r="G574">
        <v>120.20317840600001</v>
      </c>
      <c r="H574">
        <v>553</v>
      </c>
      <c r="I574">
        <v>128.01614379899999</v>
      </c>
      <c r="K574">
        <f t="shared" si="34"/>
        <v>11.74945068300002</v>
      </c>
      <c r="L574">
        <v>553</v>
      </c>
      <c r="M574">
        <v>229</v>
      </c>
      <c r="N574">
        <v>553</v>
      </c>
      <c r="O574">
        <v>26</v>
      </c>
      <c r="P574">
        <f t="shared" si="32"/>
        <v>106.541908264</v>
      </c>
    </row>
    <row r="575" spans="1:16">
      <c r="A575">
        <f t="shared" si="33"/>
        <v>1193.0564289070394</v>
      </c>
      <c r="B575">
        <v>554</v>
      </c>
      <c r="C575">
        <v>122.74604797400001</v>
      </c>
      <c r="D575">
        <v>554</v>
      </c>
      <c r="E575">
        <v>139.11380004899999</v>
      </c>
      <c r="F575">
        <v>554</v>
      </c>
      <c r="G575">
        <v>119.174049377</v>
      </c>
      <c r="H575">
        <v>554</v>
      </c>
      <c r="I575">
        <v>127.21678161600001</v>
      </c>
      <c r="K575">
        <f t="shared" si="34"/>
        <v>11.897018432999985</v>
      </c>
      <c r="L575">
        <v>554</v>
      </c>
      <c r="M575">
        <v>229</v>
      </c>
      <c r="N575">
        <v>554</v>
      </c>
      <c r="O575">
        <v>26</v>
      </c>
      <c r="P575">
        <f t="shared" si="32"/>
        <v>106.25395202599999</v>
      </c>
    </row>
    <row r="576" spans="1:16">
      <c r="A576">
        <f t="shared" si="33"/>
        <v>1193.9825235440558</v>
      </c>
      <c r="B576">
        <v>555</v>
      </c>
      <c r="C576">
        <v>124.11594390899999</v>
      </c>
      <c r="D576">
        <v>555</v>
      </c>
      <c r="E576">
        <v>139.320022583</v>
      </c>
      <c r="F576">
        <v>555</v>
      </c>
      <c r="G576">
        <v>119.80824279799999</v>
      </c>
      <c r="H576">
        <v>555</v>
      </c>
      <c r="I576">
        <v>122.69420623800001</v>
      </c>
      <c r="K576">
        <f t="shared" si="34"/>
        <v>16.62581634499999</v>
      </c>
      <c r="L576">
        <v>555</v>
      </c>
      <c r="M576">
        <v>229</v>
      </c>
      <c r="N576">
        <v>555</v>
      </c>
      <c r="O576">
        <v>26</v>
      </c>
      <c r="P576">
        <f t="shared" si="32"/>
        <v>104.88405609100001</v>
      </c>
    </row>
    <row r="577" spans="1:16">
      <c r="A577">
        <f t="shared" si="33"/>
        <v>1194.9086181810721</v>
      </c>
      <c r="B577">
        <v>556</v>
      </c>
      <c r="C577">
        <v>122.90030670199999</v>
      </c>
      <c r="D577">
        <v>556</v>
      </c>
      <c r="E577">
        <v>137.83468627900001</v>
      </c>
      <c r="F577">
        <v>556</v>
      </c>
      <c r="G577">
        <v>120.57426452599999</v>
      </c>
      <c r="H577">
        <v>556</v>
      </c>
      <c r="I577">
        <v>122.88359832800001</v>
      </c>
      <c r="K577">
        <f t="shared" si="34"/>
        <v>14.951087951000005</v>
      </c>
      <c r="L577">
        <v>556</v>
      </c>
      <c r="M577">
        <v>229</v>
      </c>
      <c r="N577">
        <v>556</v>
      </c>
      <c r="O577">
        <v>26</v>
      </c>
      <c r="P577">
        <f t="shared" si="32"/>
        <v>106.09969329800001</v>
      </c>
    </row>
    <row r="578" spans="1:16">
      <c r="A578">
        <f t="shared" si="33"/>
        <v>1195.8347128180883</v>
      </c>
      <c r="B578">
        <v>557</v>
      </c>
      <c r="C578">
        <v>124.028541565</v>
      </c>
      <c r="D578">
        <v>557</v>
      </c>
      <c r="E578">
        <v>136.11892700199999</v>
      </c>
      <c r="F578">
        <v>557</v>
      </c>
      <c r="G578">
        <v>119.993041992</v>
      </c>
      <c r="H578">
        <v>557</v>
      </c>
      <c r="I578">
        <v>130.083816528</v>
      </c>
      <c r="K578">
        <f t="shared" si="34"/>
        <v>6.0351104739999926</v>
      </c>
      <c r="L578">
        <v>557</v>
      </c>
      <c r="M578">
        <v>229</v>
      </c>
      <c r="N578">
        <v>557</v>
      </c>
      <c r="O578">
        <v>26</v>
      </c>
      <c r="P578">
        <f t="shared" si="32"/>
        <v>104.971458435</v>
      </c>
    </row>
    <row r="579" spans="1:16">
      <c r="A579">
        <f t="shared" si="33"/>
        <v>1196.7608074551047</v>
      </c>
      <c r="B579">
        <v>558</v>
      </c>
      <c r="C579">
        <v>124.669715881</v>
      </c>
      <c r="D579">
        <v>558</v>
      </c>
      <c r="E579">
        <v>139.95591735799999</v>
      </c>
      <c r="F579">
        <v>558</v>
      </c>
      <c r="G579">
        <v>119.28199768100001</v>
      </c>
      <c r="H579">
        <v>558</v>
      </c>
      <c r="I579">
        <v>132.67437744099999</v>
      </c>
      <c r="K579">
        <f t="shared" si="34"/>
        <v>7.2815399170000035</v>
      </c>
      <c r="L579">
        <v>558</v>
      </c>
      <c r="M579">
        <v>229</v>
      </c>
      <c r="N579">
        <v>558</v>
      </c>
      <c r="O579">
        <v>26</v>
      </c>
      <c r="P579">
        <f t="shared" si="32"/>
        <v>104.330284119</v>
      </c>
    </row>
    <row r="580" spans="1:16">
      <c r="A580">
        <f t="shared" si="33"/>
        <v>1197.6869020921208</v>
      </c>
      <c r="B580">
        <v>559</v>
      </c>
      <c r="C580">
        <v>121.86382293699999</v>
      </c>
      <c r="D580">
        <v>559</v>
      </c>
      <c r="E580">
        <v>142.97991943400001</v>
      </c>
      <c r="F580">
        <v>559</v>
      </c>
      <c r="G580">
        <v>118.872329712</v>
      </c>
      <c r="H580">
        <v>559</v>
      </c>
      <c r="I580">
        <v>130.00994872999999</v>
      </c>
      <c r="K580">
        <f t="shared" si="34"/>
        <v>12.969970704000019</v>
      </c>
      <c r="L580">
        <v>559</v>
      </c>
      <c r="M580">
        <v>229</v>
      </c>
      <c r="N580">
        <v>559</v>
      </c>
      <c r="O580">
        <v>26.102830887</v>
      </c>
      <c r="P580">
        <f t="shared" si="32"/>
        <v>107.13617706300001</v>
      </c>
    </row>
    <row r="581" spans="1:16">
      <c r="A581">
        <f t="shared" si="33"/>
        <v>1198.6129967291372</v>
      </c>
      <c r="B581">
        <v>560</v>
      </c>
      <c r="C581">
        <v>121.66891479500001</v>
      </c>
      <c r="D581">
        <v>560</v>
      </c>
      <c r="E581">
        <v>139.92880249000001</v>
      </c>
      <c r="F581">
        <v>560</v>
      </c>
      <c r="G581">
        <v>119.63835143999999</v>
      </c>
      <c r="H581">
        <v>560</v>
      </c>
      <c r="I581">
        <v>128.52479553200001</v>
      </c>
      <c r="K581">
        <f t="shared" si="34"/>
        <v>11.404006957999997</v>
      </c>
      <c r="L581">
        <v>560</v>
      </c>
      <c r="M581">
        <v>228.71562194800001</v>
      </c>
      <c r="N581">
        <v>560</v>
      </c>
      <c r="O581">
        <v>26.710355758999999</v>
      </c>
      <c r="P581">
        <f t="shared" si="32"/>
        <v>107.046707153</v>
      </c>
    </row>
    <row r="582" spans="1:16">
      <c r="A582">
        <f t="shared" si="33"/>
        <v>1199.5390913661536</v>
      </c>
      <c r="B582">
        <v>561</v>
      </c>
      <c r="C582">
        <v>125.21320342999999</v>
      </c>
      <c r="D582">
        <v>561</v>
      </c>
      <c r="E582">
        <v>137.58920288100001</v>
      </c>
      <c r="F582">
        <v>561</v>
      </c>
      <c r="G582">
        <v>120.40436554</v>
      </c>
      <c r="H582">
        <v>561</v>
      </c>
      <c r="I582">
        <v>126.57749939</v>
      </c>
      <c r="K582">
        <f t="shared" si="34"/>
        <v>11.011703491000006</v>
      </c>
      <c r="L582">
        <v>561</v>
      </c>
      <c r="M582">
        <v>228</v>
      </c>
      <c r="N582">
        <v>561</v>
      </c>
      <c r="O582">
        <v>27</v>
      </c>
      <c r="P582">
        <f t="shared" si="32"/>
        <v>102.78679657000001</v>
      </c>
    </row>
    <row r="583" spans="1:16">
      <c r="A583">
        <f t="shared" si="33"/>
        <v>1200.4651860031699</v>
      </c>
      <c r="B583">
        <v>562</v>
      </c>
      <c r="C583">
        <v>123.458053589</v>
      </c>
      <c r="D583">
        <v>562</v>
      </c>
      <c r="E583">
        <v>139.93185424800001</v>
      </c>
      <c r="F583">
        <v>562</v>
      </c>
      <c r="G583">
        <v>120.010040283</v>
      </c>
      <c r="H583">
        <v>562</v>
      </c>
      <c r="I583">
        <v>126.574256897</v>
      </c>
      <c r="K583">
        <f t="shared" si="34"/>
        <v>13.35759735100001</v>
      </c>
      <c r="L583">
        <v>562</v>
      </c>
      <c r="M583">
        <v>228</v>
      </c>
      <c r="N583">
        <v>562</v>
      </c>
      <c r="O583">
        <v>27</v>
      </c>
      <c r="P583">
        <f t="shared" si="32"/>
        <v>104.541946411</v>
      </c>
    </row>
    <row r="584" spans="1:16">
      <c r="A584">
        <f t="shared" si="33"/>
        <v>1201.3912806401863</v>
      </c>
      <c r="B584">
        <v>563</v>
      </c>
      <c r="C584">
        <v>122.34336853000001</v>
      </c>
      <c r="D584">
        <v>563</v>
      </c>
      <c r="E584">
        <v>138.56202697800001</v>
      </c>
      <c r="F584">
        <v>563</v>
      </c>
      <c r="G584">
        <v>119.03179168699999</v>
      </c>
      <c r="H584">
        <v>563</v>
      </c>
      <c r="I584">
        <v>126.77858734100001</v>
      </c>
      <c r="K584">
        <f t="shared" si="34"/>
        <v>11.783439637000001</v>
      </c>
      <c r="L584">
        <v>563</v>
      </c>
      <c r="M584">
        <v>228</v>
      </c>
      <c r="N584">
        <v>563</v>
      </c>
      <c r="O584">
        <v>27</v>
      </c>
      <c r="P584">
        <f t="shared" si="32"/>
        <v>105.65663146999999</v>
      </c>
    </row>
    <row r="585" spans="1:16">
      <c r="A585">
        <f t="shared" si="33"/>
        <v>1202.3173752772027</v>
      </c>
      <c r="B585">
        <v>564</v>
      </c>
      <c r="C585">
        <v>124.062072754</v>
      </c>
      <c r="D585">
        <v>564</v>
      </c>
      <c r="E585">
        <v>136.41244506800001</v>
      </c>
      <c r="F585">
        <v>564</v>
      </c>
      <c r="G585">
        <v>118.827949524</v>
      </c>
      <c r="H585">
        <v>564</v>
      </c>
      <c r="I585">
        <v>126.261108398</v>
      </c>
      <c r="K585">
        <f t="shared" si="34"/>
        <v>10.151336670000006</v>
      </c>
      <c r="L585">
        <v>564</v>
      </c>
      <c r="M585">
        <v>228</v>
      </c>
      <c r="N585">
        <v>564</v>
      </c>
      <c r="O585">
        <v>27</v>
      </c>
      <c r="P585">
        <f t="shared" si="32"/>
        <v>103.937927246</v>
      </c>
    </row>
    <row r="586" spans="1:16">
      <c r="A586">
        <f t="shared" si="33"/>
        <v>1203.2434699142188</v>
      </c>
      <c r="B586">
        <v>565</v>
      </c>
      <c r="C586">
        <v>124.010559082</v>
      </c>
      <c r="D586">
        <v>565</v>
      </c>
      <c r="E586">
        <v>138.44747924800001</v>
      </c>
      <c r="F586">
        <v>565</v>
      </c>
      <c r="G586">
        <v>119.26576995800001</v>
      </c>
      <c r="H586">
        <v>565</v>
      </c>
      <c r="I586">
        <v>126.230392456</v>
      </c>
      <c r="K586">
        <f t="shared" si="34"/>
        <v>12.217086792000003</v>
      </c>
      <c r="L586">
        <v>565</v>
      </c>
      <c r="M586">
        <v>228</v>
      </c>
      <c r="N586">
        <v>565</v>
      </c>
      <c r="O586">
        <v>27</v>
      </c>
      <c r="P586">
        <f t="shared" si="32"/>
        <v>103.989440918</v>
      </c>
    </row>
    <row r="587" spans="1:16">
      <c r="A587">
        <f t="shared" si="33"/>
        <v>1204.1695645512352</v>
      </c>
      <c r="B587">
        <v>566</v>
      </c>
      <c r="C587">
        <v>125.572601318</v>
      </c>
      <c r="D587">
        <v>566</v>
      </c>
      <c r="E587">
        <v>139.86241149899999</v>
      </c>
      <c r="F587">
        <v>566</v>
      </c>
      <c r="G587">
        <v>118.88275909399999</v>
      </c>
      <c r="H587">
        <v>566</v>
      </c>
      <c r="I587">
        <v>125.865684509</v>
      </c>
      <c r="K587">
        <f t="shared" si="34"/>
        <v>13.996726989999985</v>
      </c>
      <c r="L587">
        <v>566</v>
      </c>
      <c r="M587">
        <v>228</v>
      </c>
      <c r="N587">
        <v>566</v>
      </c>
      <c r="O587">
        <v>27</v>
      </c>
      <c r="P587">
        <f t="shared" si="32"/>
        <v>102.427398682</v>
      </c>
    </row>
    <row r="588" spans="1:16">
      <c r="A588">
        <f t="shared" si="33"/>
        <v>1205.0956591882514</v>
      </c>
      <c r="B588">
        <v>567</v>
      </c>
      <c r="C588">
        <v>127.14655304</v>
      </c>
      <c r="D588">
        <v>567</v>
      </c>
      <c r="E588">
        <v>137.80308532699999</v>
      </c>
      <c r="F588">
        <v>567</v>
      </c>
      <c r="G588">
        <v>120.045051575</v>
      </c>
      <c r="H588">
        <v>567</v>
      </c>
      <c r="I588">
        <v>124.86323547400001</v>
      </c>
      <c r="K588">
        <f t="shared" si="34"/>
        <v>12.939849852999984</v>
      </c>
      <c r="L588">
        <v>567</v>
      </c>
      <c r="M588">
        <v>228</v>
      </c>
      <c r="N588">
        <v>567</v>
      </c>
      <c r="O588">
        <v>27</v>
      </c>
      <c r="P588">
        <f t="shared" si="32"/>
        <v>100.85344696</v>
      </c>
    </row>
    <row r="589" spans="1:16">
      <c r="A589">
        <f t="shared" si="33"/>
        <v>1206.0217538252678</v>
      </c>
      <c r="B589">
        <v>568</v>
      </c>
      <c r="C589">
        <v>124.352813721</v>
      </c>
      <c r="D589">
        <v>568</v>
      </c>
      <c r="E589">
        <v>136.28630065900001</v>
      </c>
      <c r="F589">
        <v>568</v>
      </c>
      <c r="G589">
        <v>120.922866821</v>
      </c>
      <c r="H589">
        <v>568</v>
      </c>
      <c r="I589">
        <v>124.104454041</v>
      </c>
      <c r="K589">
        <f t="shared" si="34"/>
        <v>12.181846618000009</v>
      </c>
      <c r="L589">
        <v>568</v>
      </c>
      <c r="M589">
        <v>228</v>
      </c>
      <c r="N589">
        <v>568</v>
      </c>
      <c r="O589">
        <v>27</v>
      </c>
      <c r="P589">
        <f t="shared" si="32"/>
        <v>103.647186279</v>
      </c>
    </row>
    <row r="590" spans="1:16">
      <c r="A590">
        <f t="shared" si="33"/>
        <v>1206.9478484622841</v>
      </c>
      <c r="B590">
        <v>569</v>
      </c>
      <c r="C590">
        <v>120.396484375</v>
      </c>
      <c r="D590">
        <v>569</v>
      </c>
      <c r="E590">
        <v>135.77084350600001</v>
      </c>
      <c r="F590">
        <v>569</v>
      </c>
      <c r="G590">
        <v>121.702133179</v>
      </c>
      <c r="H590">
        <v>569</v>
      </c>
      <c r="I590">
        <v>126.52196502699999</v>
      </c>
      <c r="K590">
        <f t="shared" si="34"/>
        <v>9.2488784790000125</v>
      </c>
      <c r="L590">
        <v>569</v>
      </c>
      <c r="M590">
        <v>228</v>
      </c>
      <c r="N590">
        <v>569</v>
      </c>
      <c r="O590">
        <v>27</v>
      </c>
      <c r="P590">
        <f t="shared" si="32"/>
        <v>107.603515625</v>
      </c>
    </row>
    <row r="591" spans="1:16">
      <c r="A591">
        <f t="shared" si="33"/>
        <v>1207.8739430993005</v>
      </c>
      <c r="B591">
        <v>570</v>
      </c>
      <c r="C591">
        <v>122.609992981</v>
      </c>
      <c r="D591">
        <v>570</v>
      </c>
      <c r="E591">
        <v>138.16410827600001</v>
      </c>
      <c r="F591">
        <v>570</v>
      </c>
      <c r="G591">
        <v>121.830940247</v>
      </c>
      <c r="H591">
        <v>570</v>
      </c>
      <c r="I591">
        <v>126.61605835</v>
      </c>
      <c r="K591">
        <f t="shared" si="34"/>
        <v>11.548049926000004</v>
      </c>
      <c r="L591">
        <v>570</v>
      </c>
      <c r="M591">
        <v>228</v>
      </c>
      <c r="N591">
        <v>570</v>
      </c>
      <c r="O591">
        <v>27</v>
      </c>
      <c r="P591">
        <f t="shared" si="32"/>
        <v>105.390007019</v>
      </c>
    </row>
    <row r="592" spans="1:16">
      <c r="A592">
        <f t="shared" si="33"/>
        <v>1208.8000377363169</v>
      </c>
      <c r="B592">
        <v>571</v>
      </c>
      <c r="C592">
        <v>128.80833435100001</v>
      </c>
      <c r="D592">
        <v>571</v>
      </c>
      <c r="E592">
        <v>138.18020629899999</v>
      </c>
      <c r="F592">
        <v>571</v>
      </c>
      <c r="G592">
        <v>114.535560608</v>
      </c>
      <c r="H592">
        <v>571</v>
      </c>
      <c r="I592">
        <v>127.906799316</v>
      </c>
      <c r="K592">
        <f t="shared" si="34"/>
        <v>10.273406982999987</v>
      </c>
      <c r="L592">
        <v>571</v>
      </c>
      <c r="M592">
        <v>228</v>
      </c>
      <c r="N592">
        <v>571</v>
      </c>
      <c r="O592">
        <v>27</v>
      </c>
      <c r="P592">
        <f t="shared" si="32"/>
        <v>99.191665648999987</v>
      </c>
    </row>
    <row r="593" spans="1:16">
      <c r="A593">
        <f t="shared" si="33"/>
        <v>1209.726132373333</v>
      </c>
      <c r="B593">
        <v>572</v>
      </c>
      <c r="C593">
        <v>124.84188079800001</v>
      </c>
      <c r="D593">
        <v>572</v>
      </c>
      <c r="E593">
        <v>136.218826294</v>
      </c>
      <c r="F593">
        <v>572</v>
      </c>
      <c r="G593">
        <v>117.53103637700001</v>
      </c>
      <c r="H593">
        <v>572</v>
      </c>
      <c r="I593">
        <v>126.27123260499999</v>
      </c>
      <c r="K593">
        <f t="shared" si="34"/>
        <v>9.9475936890000014</v>
      </c>
      <c r="L593">
        <v>572</v>
      </c>
      <c r="M593">
        <v>228</v>
      </c>
      <c r="N593">
        <v>572</v>
      </c>
      <c r="O593">
        <v>27</v>
      </c>
      <c r="P593">
        <f t="shared" si="32"/>
        <v>103.15811920199999</v>
      </c>
    </row>
    <row r="594" spans="1:16">
      <c r="A594">
        <f t="shared" si="33"/>
        <v>1210.6522270103494</v>
      </c>
      <c r="B594">
        <v>573</v>
      </c>
      <c r="C594">
        <v>121.957122803</v>
      </c>
      <c r="D594">
        <v>573</v>
      </c>
      <c r="E594">
        <v>135.654571533</v>
      </c>
      <c r="F594">
        <v>573</v>
      </c>
      <c r="G594">
        <v>124.624382019</v>
      </c>
      <c r="H594">
        <v>573</v>
      </c>
      <c r="I594">
        <v>125.06640625</v>
      </c>
      <c r="K594">
        <f t="shared" si="34"/>
        <v>10.588165282999995</v>
      </c>
      <c r="L594">
        <v>573</v>
      </c>
      <c r="M594">
        <v>228</v>
      </c>
      <c r="N594">
        <v>573</v>
      </c>
      <c r="O594">
        <v>27</v>
      </c>
      <c r="P594">
        <f t="shared" si="32"/>
        <v>106.042877197</v>
      </c>
    </row>
    <row r="595" spans="1:16">
      <c r="A595">
        <f t="shared" si="33"/>
        <v>1211.5783216473656</v>
      </c>
      <c r="B595">
        <v>574</v>
      </c>
      <c r="C595">
        <v>121.663566589</v>
      </c>
      <c r="D595">
        <v>574</v>
      </c>
      <c r="E595">
        <v>136.04339599599999</v>
      </c>
      <c r="F595">
        <v>574</v>
      </c>
      <c r="G595">
        <v>123.576721191</v>
      </c>
      <c r="H595">
        <v>574</v>
      </c>
      <c r="I595">
        <v>124.190307617</v>
      </c>
      <c r="K595">
        <f t="shared" si="34"/>
        <v>11.853088378999985</v>
      </c>
      <c r="L595">
        <v>574</v>
      </c>
      <c r="M595">
        <v>228</v>
      </c>
      <c r="N595">
        <v>574</v>
      </c>
      <c r="O595">
        <v>27</v>
      </c>
      <c r="P595">
        <f t="shared" si="32"/>
        <v>106.336433411</v>
      </c>
    </row>
    <row r="596" spans="1:16">
      <c r="A596">
        <f t="shared" si="33"/>
        <v>1212.5044162843819</v>
      </c>
      <c r="B596">
        <v>575</v>
      </c>
      <c r="C596">
        <v>122.28252410899999</v>
      </c>
      <c r="D596">
        <v>575</v>
      </c>
      <c r="E596">
        <v>137.77395629899999</v>
      </c>
      <c r="F596">
        <v>575</v>
      </c>
      <c r="G596">
        <v>117.606819153</v>
      </c>
      <c r="H596">
        <v>575</v>
      </c>
      <c r="I596">
        <v>127.694274902</v>
      </c>
      <c r="K596">
        <f t="shared" si="34"/>
        <v>10.079681396999987</v>
      </c>
      <c r="L596">
        <v>575</v>
      </c>
      <c r="M596">
        <v>228</v>
      </c>
      <c r="N596">
        <v>575</v>
      </c>
      <c r="O596">
        <v>27</v>
      </c>
      <c r="P596">
        <f t="shared" si="32"/>
        <v>105.71747589100001</v>
      </c>
    </row>
    <row r="597" spans="1:16">
      <c r="A597">
        <f t="shared" si="33"/>
        <v>1213.4305109213983</v>
      </c>
      <c r="B597">
        <v>576</v>
      </c>
      <c r="C597">
        <v>121.798194885</v>
      </c>
      <c r="D597">
        <v>576</v>
      </c>
      <c r="E597">
        <v>138.70687866200001</v>
      </c>
      <c r="F597">
        <v>576</v>
      </c>
      <c r="G597">
        <v>114.821609497</v>
      </c>
      <c r="H597">
        <v>576</v>
      </c>
      <c r="I597">
        <v>126.23326110799999</v>
      </c>
      <c r="K597">
        <f t="shared" si="34"/>
        <v>12.473617554000015</v>
      </c>
      <c r="L597">
        <v>576</v>
      </c>
      <c r="M597">
        <v>228</v>
      </c>
      <c r="N597">
        <v>576</v>
      </c>
      <c r="O597">
        <v>27</v>
      </c>
      <c r="P597">
        <f t="shared" ref="P597:P660" si="35">M597-C597</f>
        <v>106.201805115</v>
      </c>
    </row>
    <row r="598" spans="1:16">
      <c r="A598">
        <f t="shared" ref="A598:A661" si="36">680 +B598*COS(ABS($J$8)*PI()/180)</f>
        <v>1214.3566055584147</v>
      </c>
      <c r="B598">
        <v>577</v>
      </c>
      <c r="C598">
        <v>120.304496765</v>
      </c>
      <c r="D598">
        <v>577</v>
      </c>
      <c r="E598">
        <v>137.50814819300001</v>
      </c>
      <c r="F598">
        <v>577</v>
      </c>
      <c r="G598">
        <v>116.775566101</v>
      </c>
      <c r="H598">
        <v>577</v>
      </c>
      <c r="I598">
        <v>124.93798065199999</v>
      </c>
      <c r="K598">
        <f t="shared" ref="K598:K661" si="37">E598-I598</f>
        <v>12.570167541000018</v>
      </c>
      <c r="L598">
        <v>577</v>
      </c>
      <c r="M598">
        <v>227.980178833</v>
      </c>
      <c r="N598">
        <v>577</v>
      </c>
      <c r="O598">
        <v>27.144128799000001</v>
      </c>
      <c r="P598">
        <f t="shared" si="35"/>
        <v>107.675682068</v>
      </c>
    </row>
    <row r="599" spans="1:16">
      <c r="A599">
        <f t="shared" si="36"/>
        <v>1215.2827001954311</v>
      </c>
      <c r="B599">
        <v>578</v>
      </c>
      <c r="C599">
        <v>120.18624115</v>
      </c>
      <c r="D599">
        <v>578</v>
      </c>
      <c r="E599">
        <v>137.02976989699999</v>
      </c>
      <c r="F599">
        <v>578</v>
      </c>
      <c r="G599">
        <v>121.34012603799999</v>
      </c>
      <c r="H599">
        <v>578</v>
      </c>
      <c r="I599">
        <v>129.39166259800001</v>
      </c>
      <c r="K599">
        <f t="shared" si="37"/>
        <v>7.6381072989999836</v>
      </c>
      <c r="L599">
        <v>578</v>
      </c>
      <c r="M599">
        <v>227.448364258</v>
      </c>
      <c r="N599">
        <v>578</v>
      </c>
      <c r="O599">
        <v>28</v>
      </c>
      <c r="P599">
        <f t="shared" si="35"/>
        <v>107.262123108</v>
      </c>
    </row>
    <row r="600" spans="1:16">
      <c r="A600">
        <f t="shared" si="36"/>
        <v>1216.2087948324474</v>
      </c>
      <c r="B600">
        <v>579</v>
      </c>
      <c r="C600">
        <v>121.480537415</v>
      </c>
      <c r="D600">
        <v>579</v>
      </c>
      <c r="E600">
        <v>136.21624755900001</v>
      </c>
      <c r="F600">
        <v>579</v>
      </c>
      <c r="G600">
        <v>120.392616272</v>
      </c>
      <c r="H600">
        <v>579</v>
      </c>
      <c r="I600">
        <v>126.66666412399999</v>
      </c>
      <c r="K600">
        <f t="shared" si="37"/>
        <v>9.5495834350000166</v>
      </c>
      <c r="L600">
        <v>579</v>
      </c>
      <c r="M600">
        <v>227.00074768100001</v>
      </c>
      <c r="N600">
        <v>579</v>
      </c>
      <c r="O600">
        <v>28</v>
      </c>
      <c r="P600">
        <f t="shared" si="35"/>
        <v>105.52021026600001</v>
      </c>
    </row>
    <row r="601" spans="1:16">
      <c r="A601">
        <f t="shared" si="36"/>
        <v>1217.1348894694636</v>
      </c>
      <c r="B601">
        <v>580</v>
      </c>
      <c r="C601">
        <v>121.261749268</v>
      </c>
      <c r="D601">
        <v>580</v>
      </c>
      <c r="E601">
        <v>136.333328247</v>
      </c>
      <c r="F601">
        <v>580</v>
      </c>
      <c r="G601">
        <v>113.89759063699999</v>
      </c>
      <c r="H601">
        <v>580</v>
      </c>
      <c r="I601">
        <v>126.66666412399999</v>
      </c>
      <c r="K601">
        <f t="shared" si="37"/>
        <v>9.6666641230000039</v>
      </c>
      <c r="L601">
        <v>580</v>
      </c>
      <c r="M601">
        <v>227</v>
      </c>
      <c r="N601">
        <v>580</v>
      </c>
      <c r="O601">
        <v>28</v>
      </c>
      <c r="P601">
        <f t="shared" si="35"/>
        <v>105.738250732</v>
      </c>
    </row>
    <row r="602" spans="1:16">
      <c r="A602">
        <f t="shared" si="36"/>
        <v>1218.06098410648</v>
      </c>
      <c r="B602">
        <v>581</v>
      </c>
      <c r="C602">
        <v>121.573303223</v>
      </c>
      <c r="D602">
        <v>581</v>
      </c>
      <c r="E602">
        <v>136.52403259299999</v>
      </c>
      <c r="F602">
        <v>581</v>
      </c>
      <c r="G602">
        <v>114.73405456499999</v>
      </c>
      <c r="H602">
        <v>581</v>
      </c>
      <c r="I602">
        <v>128.477661133</v>
      </c>
      <c r="K602">
        <f t="shared" si="37"/>
        <v>8.0463714599999889</v>
      </c>
      <c r="L602">
        <v>581</v>
      </c>
      <c r="M602">
        <v>227</v>
      </c>
      <c r="N602">
        <v>581</v>
      </c>
      <c r="O602">
        <v>28</v>
      </c>
      <c r="P602">
        <f t="shared" si="35"/>
        <v>105.426696777</v>
      </c>
    </row>
    <row r="603" spans="1:16">
      <c r="A603">
        <f t="shared" si="36"/>
        <v>1218.9870787434961</v>
      </c>
      <c r="B603">
        <v>582</v>
      </c>
      <c r="C603">
        <v>119.623252869</v>
      </c>
      <c r="D603">
        <v>582</v>
      </c>
      <c r="E603">
        <v>136.381469727</v>
      </c>
      <c r="F603">
        <v>582</v>
      </c>
      <c r="G603">
        <v>114.92794799799999</v>
      </c>
      <c r="H603">
        <v>582</v>
      </c>
      <c r="I603">
        <v>127.198181152</v>
      </c>
      <c r="K603">
        <f t="shared" si="37"/>
        <v>9.1832885749999917</v>
      </c>
      <c r="L603">
        <v>582</v>
      </c>
      <c r="M603">
        <v>227</v>
      </c>
      <c r="N603">
        <v>582</v>
      </c>
      <c r="O603">
        <v>28</v>
      </c>
      <c r="P603">
        <f t="shared" si="35"/>
        <v>107.376747131</v>
      </c>
    </row>
    <row r="604" spans="1:16">
      <c r="A604">
        <f t="shared" si="36"/>
        <v>1219.9131733805125</v>
      </c>
      <c r="B604">
        <v>583</v>
      </c>
      <c r="C604">
        <v>122.763069153</v>
      </c>
      <c r="D604">
        <v>583</v>
      </c>
      <c r="E604">
        <v>134.802642822</v>
      </c>
      <c r="F604">
        <v>583</v>
      </c>
      <c r="G604">
        <v>114.44414520300001</v>
      </c>
      <c r="H604">
        <v>583</v>
      </c>
      <c r="I604">
        <v>127.860336304</v>
      </c>
      <c r="K604">
        <f t="shared" si="37"/>
        <v>6.9423065179999952</v>
      </c>
      <c r="L604">
        <v>583</v>
      </c>
      <c r="M604">
        <v>227</v>
      </c>
      <c r="N604">
        <v>583</v>
      </c>
      <c r="O604">
        <v>28</v>
      </c>
      <c r="P604">
        <f t="shared" si="35"/>
        <v>104.236930847</v>
      </c>
    </row>
    <row r="605" spans="1:16">
      <c r="A605">
        <f t="shared" si="36"/>
        <v>1220.8392680175289</v>
      </c>
      <c r="B605">
        <v>584</v>
      </c>
      <c r="C605">
        <v>121.91142272899999</v>
      </c>
      <c r="D605">
        <v>584</v>
      </c>
      <c r="E605">
        <v>136.70866394000001</v>
      </c>
      <c r="F605">
        <v>584</v>
      </c>
      <c r="G605">
        <v>112.815414429</v>
      </c>
      <c r="H605">
        <v>584</v>
      </c>
      <c r="I605">
        <v>124.69019317599999</v>
      </c>
      <c r="K605">
        <f t="shared" si="37"/>
        <v>12.018470764000014</v>
      </c>
      <c r="L605">
        <v>584</v>
      </c>
      <c r="M605">
        <v>227</v>
      </c>
      <c r="N605">
        <v>584</v>
      </c>
      <c r="O605">
        <v>28</v>
      </c>
      <c r="P605">
        <f t="shared" si="35"/>
        <v>105.08857727100001</v>
      </c>
    </row>
    <row r="606" spans="1:16">
      <c r="A606">
        <f t="shared" si="36"/>
        <v>1221.7653626545452</v>
      </c>
      <c r="B606">
        <v>585</v>
      </c>
      <c r="C606">
        <v>119.57565307599999</v>
      </c>
      <c r="D606">
        <v>585</v>
      </c>
      <c r="E606">
        <v>133.70611572300001</v>
      </c>
      <c r="F606">
        <v>585</v>
      </c>
      <c r="G606">
        <v>112.25633239699999</v>
      </c>
      <c r="H606">
        <v>585</v>
      </c>
      <c r="I606">
        <v>119.27101135300001</v>
      </c>
      <c r="K606">
        <f t="shared" si="37"/>
        <v>14.435104370000005</v>
      </c>
      <c r="L606">
        <v>585</v>
      </c>
      <c r="M606">
        <v>227</v>
      </c>
      <c r="N606">
        <v>585</v>
      </c>
      <c r="O606">
        <v>28</v>
      </c>
      <c r="P606">
        <f t="shared" si="35"/>
        <v>107.42434692400001</v>
      </c>
    </row>
    <row r="607" spans="1:16">
      <c r="A607">
        <f t="shared" si="36"/>
        <v>1222.6914572915616</v>
      </c>
      <c r="B607">
        <v>586</v>
      </c>
      <c r="C607">
        <v>120.72657775899999</v>
      </c>
      <c r="D607">
        <v>586</v>
      </c>
      <c r="E607">
        <v>135.41676330600001</v>
      </c>
      <c r="F607">
        <v>586</v>
      </c>
      <c r="G607">
        <v>115.969848633</v>
      </c>
      <c r="H607">
        <v>586</v>
      </c>
      <c r="I607">
        <v>114.647735596</v>
      </c>
      <c r="K607">
        <f t="shared" si="37"/>
        <v>20.769027710000003</v>
      </c>
      <c r="L607">
        <v>586</v>
      </c>
      <c r="M607">
        <v>227</v>
      </c>
      <c r="N607">
        <v>586</v>
      </c>
      <c r="O607">
        <v>28</v>
      </c>
      <c r="P607">
        <f t="shared" si="35"/>
        <v>106.27342224100001</v>
      </c>
    </row>
    <row r="608" spans="1:16">
      <c r="A608">
        <f t="shared" si="36"/>
        <v>1223.6175519285778</v>
      </c>
      <c r="B608">
        <v>587</v>
      </c>
      <c r="C608">
        <v>122.480918884</v>
      </c>
      <c r="D608">
        <v>587</v>
      </c>
      <c r="E608">
        <v>137.43841552699999</v>
      </c>
      <c r="F608">
        <v>587</v>
      </c>
      <c r="G608">
        <v>119.03874969500001</v>
      </c>
      <c r="H608">
        <v>587</v>
      </c>
      <c r="I608">
        <v>118.812042236</v>
      </c>
      <c r="K608">
        <f t="shared" si="37"/>
        <v>18.626373290999993</v>
      </c>
      <c r="L608">
        <v>587</v>
      </c>
      <c r="M608">
        <v>227</v>
      </c>
      <c r="N608">
        <v>587</v>
      </c>
      <c r="O608">
        <v>28</v>
      </c>
      <c r="P608">
        <f t="shared" si="35"/>
        <v>104.519081116</v>
      </c>
    </row>
    <row r="609" spans="1:16">
      <c r="A609">
        <f t="shared" si="36"/>
        <v>1224.5436465655941</v>
      </c>
      <c r="B609">
        <v>588</v>
      </c>
      <c r="C609">
        <v>121.088562012</v>
      </c>
      <c r="D609">
        <v>588</v>
      </c>
      <c r="E609">
        <v>135.296951294</v>
      </c>
      <c r="F609">
        <v>588</v>
      </c>
      <c r="G609">
        <v>120.492576599</v>
      </c>
      <c r="H609">
        <v>588</v>
      </c>
      <c r="I609">
        <v>120.82989502</v>
      </c>
      <c r="K609">
        <f t="shared" si="37"/>
        <v>14.467056274000001</v>
      </c>
      <c r="L609">
        <v>588</v>
      </c>
      <c r="M609">
        <v>227</v>
      </c>
      <c r="N609">
        <v>588</v>
      </c>
      <c r="O609">
        <v>28</v>
      </c>
      <c r="P609">
        <f t="shared" si="35"/>
        <v>105.911437988</v>
      </c>
    </row>
    <row r="610" spans="1:16">
      <c r="A610">
        <f t="shared" si="36"/>
        <v>1225.4697412026103</v>
      </c>
      <c r="B610">
        <v>589</v>
      </c>
      <c r="C610">
        <v>121.49713897700001</v>
      </c>
      <c r="D610">
        <v>589</v>
      </c>
      <c r="E610">
        <v>134.359619141</v>
      </c>
      <c r="F610">
        <v>589</v>
      </c>
      <c r="G610">
        <v>118.073516846</v>
      </c>
      <c r="H610">
        <v>589</v>
      </c>
      <c r="I610">
        <v>128</v>
      </c>
      <c r="K610">
        <f t="shared" si="37"/>
        <v>6.359619140999996</v>
      </c>
      <c r="L610">
        <v>589</v>
      </c>
      <c r="M610">
        <v>227</v>
      </c>
      <c r="N610">
        <v>589</v>
      </c>
      <c r="O610">
        <v>28</v>
      </c>
      <c r="P610">
        <f t="shared" si="35"/>
        <v>105.50286102299999</v>
      </c>
    </row>
    <row r="611" spans="1:16">
      <c r="A611">
        <f t="shared" si="36"/>
        <v>1226.3958358396267</v>
      </c>
      <c r="B611">
        <v>590</v>
      </c>
      <c r="C611">
        <v>123.70857238799999</v>
      </c>
      <c r="D611">
        <v>590</v>
      </c>
      <c r="E611">
        <v>135.05509948700001</v>
      </c>
      <c r="F611">
        <v>590</v>
      </c>
      <c r="G611">
        <v>117.686775208</v>
      </c>
      <c r="H611">
        <v>590</v>
      </c>
      <c r="I611">
        <v>128.04037475600001</v>
      </c>
      <c r="K611">
        <f t="shared" si="37"/>
        <v>7.0147247310000012</v>
      </c>
      <c r="L611">
        <v>590</v>
      </c>
      <c r="M611">
        <v>227</v>
      </c>
      <c r="N611">
        <v>590</v>
      </c>
      <c r="O611">
        <v>28</v>
      </c>
      <c r="P611">
        <f t="shared" si="35"/>
        <v>103.29142761200001</v>
      </c>
    </row>
    <row r="612" spans="1:16">
      <c r="A612">
        <f t="shared" si="36"/>
        <v>1227.321930476643</v>
      </c>
      <c r="B612">
        <v>591</v>
      </c>
      <c r="C612">
        <v>123.767028809</v>
      </c>
      <c r="D612">
        <v>591</v>
      </c>
      <c r="E612">
        <v>137.10177612300001</v>
      </c>
      <c r="F612">
        <v>591</v>
      </c>
      <c r="G612">
        <v>117.66666412399999</v>
      </c>
      <c r="H612">
        <v>591</v>
      </c>
      <c r="I612">
        <v>128.178924561</v>
      </c>
      <c r="K612">
        <f t="shared" si="37"/>
        <v>8.9228515620000053</v>
      </c>
      <c r="L612">
        <v>591</v>
      </c>
      <c r="M612">
        <v>226.961502075</v>
      </c>
      <c r="N612">
        <v>591</v>
      </c>
      <c r="O612">
        <v>28.080476761</v>
      </c>
      <c r="P612">
        <f t="shared" si="35"/>
        <v>103.194473266</v>
      </c>
    </row>
    <row r="613" spans="1:16">
      <c r="A613">
        <f t="shared" si="36"/>
        <v>1228.2480251136594</v>
      </c>
      <c r="B613">
        <v>592</v>
      </c>
      <c r="C613">
        <v>121.569015503</v>
      </c>
      <c r="D613">
        <v>592</v>
      </c>
      <c r="E613">
        <v>136.06307983400001</v>
      </c>
      <c r="F613">
        <v>592</v>
      </c>
      <c r="G613">
        <v>117.66666412399999</v>
      </c>
      <c r="H613">
        <v>592</v>
      </c>
      <c r="I613">
        <v>126.6065979</v>
      </c>
      <c r="K613">
        <f t="shared" si="37"/>
        <v>9.4564819340000099</v>
      </c>
      <c r="L613">
        <v>592</v>
      </c>
      <c r="M613">
        <v>226.13946533199999</v>
      </c>
      <c r="N613">
        <v>592</v>
      </c>
      <c r="O613">
        <v>29</v>
      </c>
      <c r="P613">
        <f t="shared" si="35"/>
        <v>104.57044982899998</v>
      </c>
    </row>
    <row r="614" spans="1:16">
      <c r="A614">
        <f t="shared" si="36"/>
        <v>1229.1741197506758</v>
      </c>
      <c r="B614">
        <v>593</v>
      </c>
      <c r="C614">
        <v>120.12577819800001</v>
      </c>
      <c r="D614">
        <v>593</v>
      </c>
      <c r="E614">
        <v>135.510620117</v>
      </c>
      <c r="F614">
        <v>593</v>
      </c>
      <c r="G614">
        <v>117.705406189</v>
      </c>
      <c r="H614">
        <v>593</v>
      </c>
      <c r="I614">
        <v>127.252967834</v>
      </c>
      <c r="K614">
        <f t="shared" si="37"/>
        <v>8.2576522829999988</v>
      </c>
      <c r="L614">
        <v>593</v>
      </c>
      <c r="M614">
        <v>226</v>
      </c>
      <c r="N614">
        <v>593</v>
      </c>
      <c r="O614">
        <v>29</v>
      </c>
      <c r="P614">
        <f t="shared" si="35"/>
        <v>105.87422180199999</v>
      </c>
    </row>
    <row r="615" spans="1:16">
      <c r="A615">
        <f t="shared" si="36"/>
        <v>1230.1002143876922</v>
      </c>
      <c r="B615">
        <v>594</v>
      </c>
      <c r="C615">
        <v>118.81910705600001</v>
      </c>
      <c r="D615">
        <v>594</v>
      </c>
      <c r="E615">
        <v>136.191314697</v>
      </c>
      <c r="F615">
        <v>594</v>
      </c>
      <c r="G615">
        <v>117.8360672</v>
      </c>
      <c r="H615">
        <v>594</v>
      </c>
      <c r="I615">
        <v>128.30181884800001</v>
      </c>
      <c r="K615">
        <f t="shared" si="37"/>
        <v>7.8894958489999851</v>
      </c>
      <c r="L615">
        <v>594</v>
      </c>
      <c r="M615">
        <v>226</v>
      </c>
      <c r="N615">
        <v>594</v>
      </c>
      <c r="O615">
        <v>29</v>
      </c>
      <c r="P615">
        <f t="shared" si="35"/>
        <v>107.18089294399999</v>
      </c>
    </row>
    <row r="616" spans="1:16">
      <c r="A616">
        <f t="shared" si="36"/>
        <v>1231.0263090247083</v>
      </c>
      <c r="B616">
        <v>595</v>
      </c>
      <c r="C616">
        <v>120.33187866199999</v>
      </c>
      <c r="D616">
        <v>595</v>
      </c>
      <c r="E616">
        <v>135.941329956</v>
      </c>
      <c r="F616">
        <v>595</v>
      </c>
      <c r="G616">
        <v>117.96373748800001</v>
      </c>
      <c r="H616">
        <v>595</v>
      </c>
      <c r="I616">
        <v>121.05208587600001</v>
      </c>
      <c r="K616">
        <f t="shared" si="37"/>
        <v>14.889244079999997</v>
      </c>
      <c r="L616">
        <v>595</v>
      </c>
      <c r="M616">
        <v>226</v>
      </c>
      <c r="N616">
        <v>595</v>
      </c>
      <c r="O616">
        <v>29</v>
      </c>
      <c r="P616">
        <f t="shared" si="35"/>
        <v>105.66812133800001</v>
      </c>
    </row>
    <row r="617" spans="1:16">
      <c r="A617">
        <f t="shared" si="36"/>
        <v>1231.9524036617247</v>
      </c>
      <c r="B617">
        <v>596</v>
      </c>
      <c r="C617">
        <v>122.03704071</v>
      </c>
      <c r="D617">
        <v>596</v>
      </c>
      <c r="E617">
        <v>135.62942504899999</v>
      </c>
      <c r="F617">
        <v>596</v>
      </c>
      <c r="G617">
        <v>118</v>
      </c>
      <c r="H617">
        <v>596</v>
      </c>
      <c r="I617">
        <v>118.07485961899999</v>
      </c>
      <c r="K617">
        <f t="shared" si="37"/>
        <v>17.554565429999997</v>
      </c>
      <c r="L617">
        <v>596</v>
      </c>
      <c r="M617">
        <v>226</v>
      </c>
      <c r="N617">
        <v>596</v>
      </c>
      <c r="O617">
        <v>29</v>
      </c>
      <c r="P617">
        <f t="shared" si="35"/>
        <v>103.96295929</v>
      </c>
    </row>
    <row r="618" spans="1:16">
      <c r="A618">
        <f t="shared" si="36"/>
        <v>1232.8784982987409</v>
      </c>
      <c r="B618">
        <v>597</v>
      </c>
      <c r="C618">
        <v>122.984603882</v>
      </c>
      <c r="D618">
        <v>597</v>
      </c>
      <c r="E618">
        <v>136.146316528</v>
      </c>
      <c r="F618">
        <v>597</v>
      </c>
      <c r="G618">
        <v>117.167411804</v>
      </c>
      <c r="H618">
        <v>597</v>
      </c>
      <c r="I618">
        <v>119.12690734900001</v>
      </c>
      <c r="K618">
        <f t="shared" si="37"/>
        <v>17.019409178999993</v>
      </c>
      <c r="L618">
        <v>597</v>
      </c>
      <c r="M618">
        <v>226</v>
      </c>
      <c r="N618">
        <v>597</v>
      </c>
      <c r="O618">
        <v>29</v>
      </c>
      <c r="P618">
        <f t="shared" si="35"/>
        <v>103.015396118</v>
      </c>
    </row>
    <row r="619" spans="1:16">
      <c r="A619">
        <f t="shared" si="36"/>
        <v>1233.8045929357572</v>
      </c>
      <c r="B619">
        <v>598</v>
      </c>
      <c r="C619">
        <v>122.34425354</v>
      </c>
      <c r="D619">
        <v>598</v>
      </c>
      <c r="E619">
        <v>135.99807739299999</v>
      </c>
      <c r="F619">
        <v>598</v>
      </c>
      <c r="G619">
        <v>116.66666412399999</v>
      </c>
      <c r="H619">
        <v>598</v>
      </c>
      <c r="I619">
        <v>118.406867981</v>
      </c>
      <c r="K619">
        <f t="shared" si="37"/>
        <v>17.591209411999984</v>
      </c>
      <c r="L619">
        <v>598</v>
      </c>
      <c r="M619">
        <v>226</v>
      </c>
      <c r="N619">
        <v>598</v>
      </c>
      <c r="O619">
        <v>29</v>
      </c>
      <c r="P619">
        <f t="shared" si="35"/>
        <v>103.65574646</v>
      </c>
    </row>
    <row r="620" spans="1:16">
      <c r="A620">
        <f t="shared" si="36"/>
        <v>1234.7306875727736</v>
      </c>
      <c r="B620">
        <v>599</v>
      </c>
      <c r="C620">
        <v>121.142127991</v>
      </c>
      <c r="D620">
        <v>599</v>
      </c>
      <c r="E620">
        <v>137.277877808</v>
      </c>
      <c r="F620">
        <v>599</v>
      </c>
      <c r="G620">
        <v>116.66666412399999</v>
      </c>
      <c r="H620">
        <v>599</v>
      </c>
      <c r="I620">
        <v>122.116691589</v>
      </c>
      <c r="K620">
        <f t="shared" si="37"/>
        <v>15.161186219000001</v>
      </c>
      <c r="L620">
        <v>599</v>
      </c>
      <c r="M620">
        <v>226</v>
      </c>
      <c r="N620">
        <v>599</v>
      </c>
      <c r="O620">
        <v>29</v>
      </c>
      <c r="P620">
        <f t="shared" si="35"/>
        <v>104.857872009</v>
      </c>
    </row>
    <row r="621" spans="1:16">
      <c r="A621">
        <f t="shared" si="36"/>
        <v>1235.65678220979</v>
      </c>
      <c r="B621">
        <v>600</v>
      </c>
      <c r="C621">
        <v>120.901847839</v>
      </c>
      <c r="D621">
        <v>600</v>
      </c>
      <c r="E621">
        <v>137.94146728499999</v>
      </c>
      <c r="F621">
        <v>600</v>
      </c>
      <c r="G621">
        <v>116.66666412399999</v>
      </c>
      <c r="H621">
        <v>600</v>
      </c>
      <c r="I621">
        <v>122.898498535</v>
      </c>
      <c r="K621">
        <f t="shared" si="37"/>
        <v>15.042968749999986</v>
      </c>
      <c r="L621">
        <v>600</v>
      </c>
      <c r="M621">
        <v>226</v>
      </c>
      <c r="N621">
        <v>600</v>
      </c>
      <c r="O621">
        <v>29</v>
      </c>
      <c r="P621">
        <f t="shared" si="35"/>
        <v>105.098152161</v>
      </c>
    </row>
    <row r="622" spans="1:16">
      <c r="A622">
        <f t="shared" si="36"/>
        <v>1236.5828768468064</v>
      </c>
      <c r="B622">
        <v>601</v>
      </c>
      <c r="C622">
        <v>120.460609436</v>
      </c>
      <c r="D622">
        <v>601</v>
      </c>
      <c r="E622">
        <v>137.125442505</v>
      </c>
      <c r="F622">
        <v>601</v>
      </c>
      <c r="G622">
        <v>116.66666412399999</v>
      </c>
      <c r="H622">
        <v>601</v>
      </c>
      <c r="I622">
        <v>122.679985046</v>
      </c>
      <c r="K622">
        <f t="shared" si="37"/>
        <v>14.445457458999996</v>
      </c>
      <c r="L622">
        <v>601</v>
      </c>
      <c r="M622">
        <v>226</v>
      </c>
      <c r="N622">
        <v>601</v>
      </c>
      <c r="O622">
        <v>29</v>
      </c>
      <c r="P622">
        <f t="shared" si="35"/>
        <v>105.539390564</v>
      </c>
    </row>
    <row r="623" spans="1:16">
      <c r="A623">
        <f t="shared" si="36"/>
        <v>1237.5089714838227</v>
      </c>
      <c r="B623">
        <v>602</v>
      </c>
      <c r="C623">
        <v>120.79170227100001</v>
      </c>
      <c r="D623">
        <v>602</v>
      </c>
      <c r="E623">
        <v>136.470977783</v>
      </c>
      <c r="F623">
        <v>602</v>
      </c>
      <c r="G623">
        <v>116.66666412399999</v>
      </c>
      <c r="H623">
        <v>602</v>
      </c>
      <c r="I623">
        <v>122.53827667199999</v>
      </c>
      <c r="K623">
        <f t="shared" si="37"/>
        <v>13.932701111</v>
      </c>
      <c r="L623">
        <v>602</v>
      </c>
      <c r="M623">
        <v>226</v>
      </c>
      <c r="N623">
        <v>602</v>
      </c>
      <c r="O623">
        <v>29</v>
      </c>
      <c r="P623">
        <f t="shared" si="35"/>
        <v>105.20829772899999</v>
      </c>
    </row>
    <row r="624" spans="1:16">
      <c r="A624">
        <f t="shared" si="36"/>
        <v>1238.4350661208389</v>
      </c>
      <c r="B624">
        <v>603</v>
      </c>
      <c r="C624">
        <v>120.317565918</v>
      </c>
      <c r="D624">
        <v>603</v>
      </c>
      <c r="E624">
        <v>136.13017272900001</v>
      </c>
      <c r="F624">
        <v>603</v>
      </c>
      <c r="G624">
        <v>116.66666412399999</v>
      </c>
      <c r="H624">
        <v>603</v>
      </c>
      <c r="I624">
        <v>124.06519317599999</v>
      </c>
      <c r="K624">
        <f t="shared" si="37"/>
        <v>12.064979553000015</v>
      </c>
      <c r="L624">
        <v>603</v>
      </c>
      <c r="M624">
        <v>225.99046325699999</v>
      </c>
      <c r="N624">
        <v>603</v>
      </c>
      <c r="O624">
        <v>29.160875319999999</v>
      </c>
      <c r="P624">
        <f t="shared" si="35"/>
        <v>105.67289733899999</v>
      </c>
    </row>
    <row r="625" spans="1:16">
      <c r="A625">
        <f t="shared" si="36"/>
        <v>1239.361160757855</v>
      </c>
      <c r="B625">
        <v>604</v>
      </c>
      <c r="C625">
        <v>118.284439087</v>
      </c>
      <c r="D625">
        <v>604</v>
      </c>
      <c r="E625">
        <v>136.155807495</v>
      </c>
      <c r="F625">
        <v>604</v>
      </c>
      <c r="G625">
        <v>116.779434204</v>
      </c>
      <c r="H625">
        <v>604</v>
      </c>
      <c r="I625">
        <v>124.90103912399999</v>
      </c>
      <c r="K625">
        <f t="shared" si="37"/>
        <v>11.254768371000011</v>
      </c>
      <c r="L625">
        <v>604</v>
      </c>
      <c r="M625">
        <v>225.561843872</v>
      </c>
      <c r="N625">
        <v>604</v>
      </c>
      <c r="O625">
        <v>30</v>
      </c>
      <c r="P625">
        <f t="shared" si="35"/>
        <v>107.277404785</v>
      </c>
    </row>
    <row r="626" spans="1:16">
      <c r="A626">
        <f t="shared" si="36"/>
        <v>1240.2872553948714</v>
      </c>
      <c r="B626">
        <v>605</v>
      </c>
      <c r="C626">
        <v>119.19406890899999</v>
      </c>
      <c r="D626">
        <v>605</v>
      </c>
      <c r="E626">
        <v>135.836425781</v>
      </c>
      <c r="F626">
        <v>605</v>
      </c>
      <c r="G626">
        <v>116.903160095</v>
      </c>
      <c r="H626">
        <v>605</v>
      </c>
      <c r="I626">
        <v>124.436279297</v>
      </c>
      <c r="K626">
        <f t="shared" si="37"/>
        <v>11.400146484000004</v>
      </c>
      <c r="L626">
        <v>605</v>
      </c>
      <c r="M626">
        <v>225.177368164</v>
      </c>
      <c r="N626">
        <v>605</v>
      </c>
      <c r="O626">
        <v>30</v>
      </c>
      <c r="P626">
        <f t="shared" si="35"/>
        <v>105.98329925500001</v>
      </c>
    </row>
    <row r="627" spans="1:16">
      <c r="A627">
        <f t="shared" si="36"/>
        <v>1241.2133500318878</v>
      </c>
      <c r="B627">
        <v>606</v>
      </c>
      <c r="C627">
        <v>118.599159241</v>
      </c>
      <c r="D627">
        <v>606</v>
      </c>
      <c r="E627">
        <v>135.83982849099999</v>
      </c>
      <c r="F627">
        <v>606</v>
      </c>
      <c r="G627">
        <v>116.692756653</v>
      </c>
      <c r="H627">
        <v>606</v>
      </c>
      <c r="I627">
        <v>125.182434082</v>
      </c>
      <c r="K627">
        <f t="shared" si="37"/>
        <v>10.657394408999991</v>
      </c>
      <c r="L627">
        <v>606</v>
      </c>
      <c r="M627">
        <v>225</v>
      </c>
      <c r="N627">
        <v>606</v>
      </c>
      <c r="O627">
        <v>30</v>
      </c>
      <c r="P627">
        <f t="shared" si="35"/>
        <v>106.400840759</v>
      </c>
    </row>
    <row r="628" spans="1:16">
      <c r="A628">
        <f t="shared" si="36"/>
        <v>1242.1394446689042</v>
      </c>
      <c r="B628">
        <v>607</v>
      </c>
      <c r="C628">
        <v>116.299491882</v>
      </c>
      <c r="D628">
        <v>607</v>
      </c>
      <c r="E628">
        <v>136.28318786599999</v>
      </c>
      <c r="F628">
        <v>607</v>
      </c>
      <c r="G628">
        <v>116.223526001</v>
      </c>
      <c r="H628">
        <v>607</v>
      </c>
      <c r="I628">
        <v>124.989295959</v>
      </c>
      <c r="K628">
        <f t="shared" si="37"/>
        <v>11.293891906999988</v>
      </c>
      <c r="L628">
        <v>607</v>
      </c>
      <c r="M628">
        <v>225</v>
      </c>
      <c r="N628">
        <v>607</v>
      </c>
      <c r="O628">
        <v>30</v>
      </c>
      <c r="P628">
        <f t="shared" si="35"/>
        <v>108.700508118</v>
      </c>
    </row>
    <row r="629" spans="1:16">
      <c r="A629">
        <f t="shared" si="36"/>
        <v>1243.0655393059205</v>
      </c>
      <c r="B629">
        <v>608</v>
      </c>
      <c r="C629">
        <v>120.589912415</v>
      </c>
      <c r="D629">
        <v>608</v>
      </c>
      <c r="E629">
        <v>133.284622192</v>
      </c>
      <c r="F629">
        <v>608</v>
      </c>
      <c r="G629">
        <v>116.537010193</v>
      </c>
      <c r="H629">
        <v>608</v>
      </c>
      <c r="I629">
        <v>123.437278748</v>
      </c>
      <c r="K629">
        <f t="shared" si="37"/>
        <v>9.8473434440000034</v>
      </c>
      <c r="L629">
        <v>608</v>
      </c>
      <c r="M629">
        <v>225</v>
      </c>
      <c r="N629">
        <v>608</v>
      </c>
      <c r="O629">
        <v>30</v>
      </c>
      <c r="P629">
        <f t="shared" si="35"/>
        <v>104.410087585</v>
      </c>
    </row>
    <row r="630" spans="1:16">
      <c r="A630">
        <f t="shared" si="36"/>
        <v>1243.9916339429369</v>
      </c>
      <c r="B630">
        <v>609</v>
      </c>
      <c r="C630">
        <v>119.991287231</v>
      </c>
      <c r="D630">
        <v>609</v>
      </c>
      <c r="E630">
        <v>136.52093505900001</v>
      </c>
      <c r="F630">
        <v>609</v>
      </c>
      <c r="G630">
        <v>115.869842529</v>
      </c>
      <c r="H630">
        <v>609</v>
      </c>
      <c r="I630">
        <v>121.575202942</v>
      </c>
      <c r="K630">
        <f t="shared" si="37"/>
        <v>14.945732117000006</v>
      </c>
      <c r="L630">
        <v>609</v>
      </c>
      <c r="M630">
        <v>225</v>
      </c>
      <c r="N630">
        <v>609</v>
      </c>
      <c r="O630">
        <v>30</v>
      </c>
      <c r="P630">
        <f t="shared" si="35"/>
        <v>105.008712769</v>
      </c>
    </row>
    <row r="631" spans="1:16">
      <c r="A631">
        <f t="shared" si="36"/>
        <v>1244.9177285799531</v>
      </c>
      <c r="B631">
        <v>610</v>
      </c>
      <c r="C631">
        <v>120.93288421600001</v>
      </c>
      <c r="D631">
        <v>610</v>
      </c>
      <c r="E631">
        <v>137.00881957999999</v>
      </c>
      <c r="F631">
        <v>610</v>
      </c>
      <c r="G631">
        <v>115.35813140899999</v>
      </c>
      <c r="H631">
        <v>610</v>
      </c>
      <c r="I631">
        <v>118.85625457800001</v>
      </c>
      <c r="K631">
        <f t="shared" si="37"/>
        <v>18.152565001999989</v>
      </c>
      <c r="L631">
        <v>610</v>
      </c>
      <c r="M631">
        <v>225</v>
      </c>
      <c r="N631">
        <v>610</v>
      </c>
      <c r="O631">
        <v>30</v>
      </c>
      <c r="P631">
        <f t="shared" si="35"/>
        <v>104.06711578399999</v>
      </c>
    </row>
    <row r="632" spans="1:16">
      <c r="A632">
        <f t="shared" si="36"/>
        <v>1245.8438232169694</v>
      </c>
      <c r="B632">
        <v>611</v>
      </c>
      <c r="C632">
        <v>119.127563477</v>
      </c>
      <c r="D632">
        <v>611</v>
      </c>
      <c r="E632">
        <v>133.72430419899999</v>
      </c>
      <c r="F632">
        <v>611</v>
      </c>
      <c r="G632">
        <v>114.327156067</v>
      </c>
      <c r="H632">
        <v>611</v>
      </c>
      <c r="I632">
        <v>118.09122467</v>
      </c>
      <c r="K632">
        <f t="shared" si="37"/>
        <v>15.633079528999986</v>
      </c>
      <c r="L632">
        <v>611</v>
      </c>
      <c r="M632">
        <v>225</v>
      </c>
      <c r="N632">
        <v>611</v>
      </c>
      <c r="O632">
        <v>30</v>
      </c>
      <c r="P632">
        <f t="shared" si="35"/>
        <v>105.872436523</v>
      </c>
    </row>
    <row r="633" spans="1:16">
      <c r="A633">
        <f t="shared" si="36"/>
        <v>1246.7699178539856</v>
      </c>
      <c r="B633">
        <v>612</v>
      </c>
      <c r="C633">
        <v>115.570381165</v>
      </c>
      <c r="D633">
        <v>612</v>
      </c>
      <c r="E633">
        <v>134.86111450199999</v>
      </c>
      <c r="F633">
        <v>612</v>
      </c>
      <c r="G633">
        <v>114.635383606</v>
      </c>
      <c r="H633">
        <v>612</v>
      </c>
      <c r="I633">
        <v>120.11333465600001</v>
      </c>
      <c r="K633">
        <f t="shared" si="37"/>
        <v>14.747779845999986</v>
      </c>
      <c r="L633">
        <v>612</v>
      </c>
      <c r="M633">
        <v>225</v>
      </c>
      <c r="N633">
        <v>612</v>
      </c>
      <c r="O633">
        <v>30</v>
      </c>
      <c r="P633">
        <f t="shared" si="35"/>
        <v>109.429618835</v>
      </c>
    </row>
    <row r="634" spans="1:16">
      <c r="A634">
        <f t="shared" si="36"/>
        <v>1247.696012491002</v>
      </c>
      <c r="B634">
        <v>613</v>
      </c>
      <c r="C634">
        <v>119.64299774200001</v>
      </c>
      <c r="D634">
        <v>613</v>
      </c>
      <c r="E634">
        <v>136.28675842300001</v>
      </c>
      <c r="F634">
        <v>613</v>
      </c>
      <c r="G634">
        <v>112.479698181</v>
      </c>
      <c r="H634">
        <v>613</v>
      </c>
      <c r="I634">
        <v>125.72081756599999</v>
      </c>
      <c r="K634">
        <f t="shared" si="37"/>
        <v>10.565940857000015</v>
      </c>
      <c r="L634">
        <v>613</v>
      </c>
      <c r="M634">
        <v>225</v>
      </c>
      <c r="N634">
        <v>613</v>
      </c>
      <c r="O634">
        <v>30</v>
      </c>
      <c r="P634">
        <f t="shared" si="35"/>
        <v>105.35700225799999</v>
      </c>
    </row>
    <row r="635" spans="1:16">
      <c r="A635">
        <f t="shared" si="36"/>
        <v>1248.6221071280183</v>
      </c>
      <c r="B635">
        <v>614</v>
      </c>
      <c r="C635">
        <v>122.978614807</v>
      </c>
      <c r="D635">
        <v>614</v>
      </c>
      <c r="E635">
        <v>134.97207641599999</v>
      </c>
      <c r="F635">
        <v>614</v>
      </c>
      <c r="G635">
        <v>112.148597717</v>
      </c>
      <c r="H635">
        <v>614</v>
      </c>
      <c r="I635">
        <v>120.933250427</v>
      </c>
      <c r="K635">
        <f t="shared" si="37"/>
        <v>14.038825988999989</v>
      </c>
      <c r="L635">
        <v>614</v>
      </c>
      <c r="M635">
        <v>224.91580200199999</v>
      </c>
      <c r="N635">
        <v>614</v>
      </c>
      <c r="O635">
        <v>30.332340240000001</v>
      </c>
      <c r="P635">
        <f t="shared" si="35"/>
        <v>101.93718719499999</v>
      </c>
    </row>
    <row r="636" spans="1:16">
      <c r="A636">
        <f t="shared" si="36"/>
        <v>1249.5482017650347</v>
      </c>
      <c r="B636">
        <v>615</v>
      </c>
      <c r="C636">
        <v>119.751419067</v>
      </c>
      <c r="D636">
        <v>615</v>
      </c>
      <c r="E636">
        <v>134.736404419</v>
      </c>
      <c r="F636">
        <v>615</v>
      </c>
      <c r="G636">
        <v>116</v>
      </c>
      <c r="H636">
        <v>615</v>
      </c>
      <c r="I636">
        <v>114.75670623800001</v>
      </c>
      <c r="K636">
        <f t="shared" si="37"/>
        <v>19.979698180999989</v>
      </c>
      <c r="L636">
        <v>615</v>
      </c>
      <c r="M636">
        <v>224.27153015100001</v>
      </c>
      <c r="N636">
        <v>615</v>
      </c>
      <c r="O636">
        <v>31</v>
      </c>
      <c r="P636">
        <f t="shared" si="35"/>
        <v>104.52011108400001</v>
      </c>
    </row>
    <row r="637" spans="1:16">
      <c r="A637">
        <f t="shared" si="36"/>
        <v>1250.4742964020511</v>
      </c>
      <c r="B637">
        <v>616</v>
      </c>
      <c r="C637">
        <v>116.094207764</v>
      </c>
      <c r="D637">
        <v>616</v>
      </c>
      <c r="E637">
        <v>134.74258422899999</v>
      </c>
      <c r="F637">
        <v>616</v>
      </c>
      <c r="G637">
        <v>116.168502808</v>
      </c>
      <c r="H637">
        <v>616</v>
      </c>
      <c r="I637">
        <v>118.06555938699999</v>
      </c>
      <c r="K637">
        <f t="shared" si="37"/>
        <v>16.677024841999994</v>
      </c>
      <c r="L637">
        <v>616</v>
      </c>
      <c r="M637">
        <v>224</v>
      </c>
      <c r="N637">
        <v>616</v>
      </c>
      <c r="O637">
        <v>31</v>
      </c>
      <c r="P637">
        <f t="shared" si="35"/>
        <v>107.905792236</v>
      </c>
    </row>
    <row r="638" spans="1:16">
      <c r="A638">
        <f t="shared" si="36"/>
        <v>1251.4003910390675</v>
      </c>
      <c r="B638">
        <v>617</v>
      </c>
      <c r="C638">
        <v>114.924049377</v>
      </c>
      <c r="D638">
        <v>617</v>
      </c>
      <c r="E638">
        <v>133.18702697800001</v>
      </c>
      <c r="F638">
        <v>617</v>
      </c>
      <c r="G638">
        <v>116.682563782</v>
      </c>
      <c r="H638">
        <v>617</v>
      </c>
      <c r="I638">
        <v>122.33724975600001</v>
      </c>
      <c r="K638">
        <f t="shared" si="37"/>
        <v>10.849777222</v>
      </c>
      <c r="L638">
        <v>617</v>
      </c>
      <c r="M638">
        <v>224</v>
      </c>
      <c r="N638">
        <v>617</v>
      </c>
      <c r="O638">
        <v>31</v>
      </c>
      <c r="P638">
        <f t="shared" si="35"/>
        <v>109.075950623</v>
      </c>
    </row>
    <row r="639" spans="1:16">
      <c r="A639">
        <f t="shared" si="36"/>
        <v>1252.3264856760836</v>
      </c>
      <c r="B639">
        <v>618</v>
      </c>
      <c r="C639">
        <v>118.018470764</v>
      </c>
      <c r="D639">
        <v>618</v>
      </c>
      <c r="E639">
        <v>134.109649658</v>
      </c>
      <c r="F639">
        <v>618</v>
      </c>
      <c r="G639">
        <v>116.308990479</v>
      </c>
      <c r="H639">
        <v>618</v>
      </c>
      <c r="I639">
        <v>122.27497863799999</v>
      </c>
      <c r="K639">
        <f t="shared" si="37"/>
        <v>11.834671020000002</v>
      </c>
      <c r="L639">
        <v>618</v>
      </c>
      <c r="M639">
        <v>224</v>
      </c>
      <c r="N639">
        <v>618</v>
      </c>
      <c r="O639">
        <v>31</v>
      </c>
      <c r="P639">
        <f t="shared" si="35"/>
        <v>105.981529236</v>
      </c>
    </row>
    <row r="640" spans="1:16">
      <c r="A640">
        <f t="shared" si="36"/>
        <v>1253.2525803131</v>
      </c>
      <c r="B640">
        <v>619</v>
      </c>
      <c r="C640">
        <v>117.93205261200001</v>
      </c>
      <c r="D640">
        <v>619</v>
      </c>
      <c r="E640">
        <v>134.584075928</v>
      </c>
      <c r="F640">
        <v>619</v>
      </c>
      <c r="G640">
        <v>116.374404907</v>
      </c>
      <c r="H640">
        <v>619</v>
      </c>
      <c r="I640">
        <v>122.919151306</v>
      </c>
      <c r="K640">
        <f t="shared" si="37"/>
        <v>11.664924622000001</v>
      </c>
      <c r="L640">
        <v>619</v>
      </c>
      <c r="M640">
        <v>224</v>
      </c>
      <c r="N640">
        <v>619</v>
      </c>
      <c r="O640">
        <v>31</v>
      </c>
      <c r="P640">
        <f t="shared" si="35"/>
        <v>106.06794738799999</v>
      </c>
    </row>
    <row r="641" spans="1:16">
      <c r="A641">
        <f t="shared" si="36"/>
        <v>1254.1786749501161</v>
      </c>
      <c r="B641">
        <v>620</v>
      </c>
      <c r="C641">
        <v>117.16986846899999</v>
      </c>
      <c r="D641">
        <v>620</v>
      </c>
      <c r="E641">
        <v>132.58915710400001</v>
      </c>
      <c r="F641">
        <v>620</v>
      </c>
      <c r="G641">
        <v>116.644309998</v>
      </c>
      <c r="H641">
        <v>620</v>
      </c>
      <c r="I641">
        <v>124.60207366900001</v>
      </c>
      <c r="K641">
        <f t="shared" si="37"/>
        <v>7.9870834350000024</v>
      </c>
      <c r="L641">
        <v>620</v>
      </c>
      <c r="M641">
        <v>224</v>
      </c>
      <c r="N641">
        <v>620</v>
      </c>
      <c r="O641">
        <v>31</v>
      </c>
      <c r="P641">
        <f t="shared" si="35"/>
        <v>106.83013153100001</v>
      </c>
    </row>
    <row r="642" spans="1:16">
      <c r="A642">
        <f t="shared" si="36"/>
        <v>1255.1047695871325</v>
      </c>
      <c r="B642">
        <v>621</v>
      </c>
      <c r="C642">
        <v>118.992477417</v>
      </c>
      <c r="D642">
        <v>621</v>
      </c>
      <c r="E642">
        <v>132.76390075699999</v>
      </c>
      <c r="F642">
        <v>621</v>
      </c>
      <c r="G642">
        <v>116.89965057400001</v>
      </c>
      <c r="H642">
        <v>621</v>
      </c>
      <c r="I642">
        <v>123.99767303500001</v>
      </c>
      <c r="K642">
        <f t="shared" si="37"/>
        <v>8.7662277219999822</v>
      </c>
      <c r="L642">
        <v>621</v>
      </c>
      <c r="M642">
        <v>224</v>
      </c>
      <c r="N642">
        <v>621</v>
      </c>
      <c r="O642">
        <v>31</v>
      </c>
      <c r="P642">
        <f t="shared" si="35"/>
        <v>105.007522583</v>
      </c>
    </row>
    <row r="643" spans="1:16">
      <c r="A643">
        <f t="shared" si="36"/>
        <v>1256.0308642241489</v>
      </c>
      <c r="B643">
        <v>622</v>
      </c>
      <c r="C643">
        <v>117.08525848399999</v>
      </c>
      <c r="D643">
        <v>622</v>
      </c>
      <c r="E643">
        <v>134.09718322800001</v>
      </c>
      <c r="F643">
        <v>622</v>
      </c>
      <c r="G643">
        <v>116.76750946</v>
      </c>
      <c r="H643">
        <v>622</v>
      </c>
      <c r="I643">
        <v>122.219360352</v>
      </c>
      <c r="K643">
        <f t="shared" si="37"/>
        <v>11.87782287600001</v>
      </c>
      <c r="L643">
        <v>622</v>
      </c>
      <c r="M643">
        <v>224</v>
      </c>
      <c r="N643">
        <v>622</v>
      </c>
      <c r="O643">
        <v>31</v>
      </c>
      <c r="P643">
        <f t="shared" si="35"/>
        <v>106.91474151600001</v>
      </c>
    </row>
    <row r="644" spans="1:16">
      <c r="A644">
        <f t="shared" si="36"/>
        <v>1256.9569588611653</v>
      </c>
      <c r="B644">
        <v>623</v>
      </c>
      <c r="C644">
        <v>117.018913269</v>
      </c>
      <c r="D644">
        <v>623</v>
      </c>
      <c r="E644">
        <v>134.076904297</v>
      </c>
      <c r="F644">
        <v>623</v>
      </c>
      <c r="G644">
        <v>115.86922454800001</v>
      </c>
      <c r="H644">
        <v>623</v>
      </c>
      <c r="I644">
        <v>119.861206055</v>
      </c>
      <c r="K644">
        <f t="shared" si="37"/>
        <v>14.215698242000002</v>
      </c>
      <c r="L644">
        <v>623</v>
      </c>
      <c r="M644">
        <v>224</v>
      </c>
      <c r="N644">
        <v>623</v>
      </c>
      <c r="O644">
        <v>31</v>
      </c>
      <c r="P644">
        <f t="shared" si="35"/>
        <v>106.981086731</v>
      </c>
    </row>
    <row r="645" spans="1:16">
      <c r="A645">
        <f t="shared" si="36"/>
        <v>1257.8830534981817</v>
      </c>
      <c r="B645">
        <v>624</v>
      </c>
      <c r="C645">
        <v>116.751861572</v>
      </c>
      <c r="D645">
        <v>624</v>
      </c>
      <c r="E645">
        <v>134.01414489699999</v>
      </c>
      <c r="F645">
        <v>624</v>
      </c>
      <c r="G645">
        <v>115.334327698</v>
      </c>
      <c r="H645">
        <v>624</v>
      </c>
      <c r="I645">
        <v>117.579048157</v>
      </c>
      <c r="K645">
        <f t="shared" si="37"/>
        <v>16.435096739999992</v>
      </c>
      <c r="L645">
        <v>624</v>
      </c>
      <c r="M645">
        <v>224</v>
      </c>
      <c r="N645">
        <v>624</v>
      </c>
      <c r="O645">
        <v>31</v>
      </c>
      <c r="P645">
        <f t="shared" si="35"/>
        <v>107.248138428</v>
      </c>
    </row>
    <row r="646" spans="1:16">
      <c r="A646">
        <f t="shared" si="36"/>
        <v>1258.8091481351978</v>
      </c>
      <c r="B646">
        <v>625</v>
      </c>
      <c r="C646">
        <v>116.249565125</v>
      </c>
      <c r="D646">
        <v>625</v>
      </c>
      <c r="E646">
        <v>134.37988281200001</v>
      </c>
      <c r="F646">
        <v>625</v>
      </c>
      <c r="G646">
        <v>115.713905334</v>
      </c>
      <c r="H646">
        <v>625</v>
      </c>
      <c r="I646">
        <v>117.80431366000001</v>
      </c>
      <c r="K646">
        <f t="shared" si="37"/>
        <v>16.575569152</v>
      </c>
      <c r="L646">
        <v>625</v>
      </c>
      <c r="M646">
        <v>224</v>
      </c>
      <c r="N646">
        <v>625</v>
      </c>
      <c r="O646">
        <v>31.381519317999999</v>
      </c>
      <c r="P646">
        <f t="shared" si="35"/>
        <v>107.750434875</v>
      </c>
    </row>
    <row r="647" spans="1:16">
      <c r="A647">
        <f t="shared" si="36"/>
        <v>1259.7352427722142</v>
      </c>
      <c r="B647">
        <v>626</v>
      </c>
      <c r="C647">
        <v>116.075469971</v>
      </c>
      <c r="D647">
        <v>626</v>
      </c>
      <c r="E647">
        <v>134.33662414599999</v>
      </c>
      <c r="F647">
        <v>626</v>
      </c>
      <c r="G647">
        <v>116.35270690900001</v>
      </c>
      <c r="H647">
        <v>626</v>
      </c>
      <c r="I647">
        <v>117.761108398</v>
      </c>
      <c r="K647">
        <f t="shared" si="37"/>
        <v>16.575515747999987</v>
      </c>
      <c r="L647">
        <v>626</v>
      </c>
      <c r="M647">
        <v>223.57972717300001</v>
      </c>
      <c r="N647">
        <v>626</v>
      </c>
      <c r="O647">
        <v>31.863491058000001</v>
      </c>
      <c r="P647">
        <f t="shared" si="35"/>
        <v>107.50425720200001</v>
      </c>
    </row>
    <row r="648" spans="1:16">
      <c r="A648">
        <f t="shared" si="36"/>
        <v>1260.6613374092303</v>
      </c>
      <c r="B648">
        <v>627</v>
      </c>
      <c r="C648">
        <v>113.93089294399999</v>
      </c>
      <c r="D648">
        <v>627</v>
      </c>
      <c r="E648">
        <v>133.78129577600001</v>
      </c>
      <c r="F648">
        <v>627</v>
      </c>
      <c r="G648">
        <v>116.584701538</v>
      </c>
      <c r="H648">
        <v>627</v>
      </c>
      <c r="I648">
        <v>119.225334167</v>
      </c>
      <c r="K648">
        <f t="shared" si="37"/>
        <v>14.555961609000008</v>
      </c>
      <c r="L648">
        <v>627</v>
      </c>
      <c r="M648">
        <v>223</v>
      </c>
      <c r="N648">
        <v>627</v>
      </c>
      <c r="O648">
        <v>32</v>
      </c>
      <c r="P648">
        <f t="shared" si="35"/>
        <v>109.06910705600001</v>
      </c>
    </row>
    <row r="649" spans="1:16">
      <c r="A649">
        <f t="shared" si="36"/>
        <v>1261.5874320462467</v>
      </c>
      <c r="B649">
        <v>628</v>
      </c>
      <c r="C649">
        <v>116.03010559099999</v>
      </c>
      <c r="D649">
        <v>628</v>
      </c>
      <c r="E649">
        <v>133.80653381299999</v>
      </c>
      <c r="F649">
        <v>628</v>
      </c>
      <c r="G649">
        <v>116.29259491000001</v>
      </c>
      <c r="H649">
        <v>628</v>
      </c>
      <c r="I649">
        <v>122.618247986</v>
      </c>
      <c r="K649">
        <f t="shared" si="37"/>
        <v>11.188285826999987</v>
      </c>
      <c r="L649">
        <v>628</v>
      </c>
      <c r="M649">
        <v>223</v>
      </c>
      <c r="N649">
        <v>628</v>
      </c>
      <c r="O649">
        <v>32</v>
      </c>
      <c r="P649">
        <f t="shared" si="35"/>
        <v>106.96989440900001</v>
      </c>
    </row>
    <row r="650" spans="1:16">
      <c r="A650">
        <f t="shared" si="36"/>
        <v>1262.5135266832631</v>
      </c>
      <c r="B650">
        <v>629</v>
      </c>
      <c r="C650">
        <v>117.490539551</v>
      </c>
      <c r="D650">
        <v>629</v>
      </c>
      <c r="E650">
        <v>136.75953674300001</v>
      </c>
      <c r="F650">
        <v>629</v>
      </c>
      <c r="G650">
        <v>115.781913757</v>
      </c>
      <c r="H650">
        <v>629</v>
      </c>
      <c r="I650">
        <v>121.830833435</v>
      </c>
      <c r="K650">
        <f t="shared" si="37"/>
        <v>14.92870330800001</v>
      </c>
      <c r="L650">
        <v>629</v>
      </c>
      <c r="M650">
        <v>223</v>
      </c>
      <c r="N650">
        <v>629</v>
      </c>
      <c r="O650">
        <v>32</v>
      </c>
      <c r="P650">
        <f t="shared" si="35"/>
        <v>105.509460449</v>
      </c>
    </row>
    <row r="651" spans="1:16">
      <c r="A651">
        <f t="shared" si="36"/>
        <v>1263.4396213202795</v>
      </c>
      <c r="B651">
        <v>630</v>
      </c>
      <c r="C651">
        <v>115.392700195</v>
      </c>
      <c r="D651">
        <v>630</v>
      </c>
      <c r="E651">
        <v>137.23385620100001</v>
      </c>
      <c r="F651">
        <v>630</v>
      </c>
      <c r="G651">
        <v>115.963233948</v>
      </c>
      <c r="H651">
        <v>630</v>
      </c>
      <c r="I651">
        <v>119.757644653</v>
      </c>
      <c r="K651">
        <f t="shared" si="37"/>
        <v>17.476211548000009</v>
      </c>
      <c r="L651">
        <v>630</v>
      </c>
      <c r="M651">
        <v>223</v>
      </c>
      <c r="N651">
        <v>630</v>
      </c>
      <c r="O651">
        <v>32</v>
      </c>
      <c r="P651">
        <f t="shared" si="35"/>
        <v>107.607299805</v>
      </c>
    </row>
    <row r="652" spans="1:16">
      <c r="A652">
        <f t="shared" si="36"/>
        <v>1264.3657159572958</v>
      </c>
      <c r="B652">
        <v>631</v>
      </c>
      <c r="C652">
        <v>117.85389709499999</v>
      </c>
      <c r="D652">
        <v>631</v>
      </c>
      <c r="E652">
        <v>129.861495972</v>
      </c>
      <c r="F652">
        <v>631</v>
      </c>
      <c r="G652">
        <v>116.233085632</v>
      </c>
      <c r="H652">
        <v>631</v>
      </c>
      <c r="I652">
        <v>120.928993225</v>
      </c>
      <c r="K652">
        <f t="shared" si="37"/>
        <v>8.9325027470000009</v>
      </c>
      <c r="L652">
        <v>631</v>
      </c>
      <c r="M652">
        <v>223</v>
      </c>
      <c r="N652">
        <v>631</v>
      </c>
      <c r="O652">
        <v>32</v>
      </c>
      <c r="P652">
        <f t="shared" si="35"/>
        <v>105.14610290500001</v>
      </c>
    </row>
    <row r="653" spans="1:16">
      <c r="A653">
        <f t="shared" si="36"/>
        <v>1265.2918105943122</v>
      </c>
      <c r="B653">
        <v>632</v>
      </c>
      <c r="C653">
        <v>120.12405395499999</v>
      </c>
      <c r="D653">
        <v>632</v>
      </c>
      <c r="E653">
        <v>130.20111084000001</v>
      </c>
      <c r="F653">
        <v>632</v>
      </c>
      <c r="G653">
        <v>113.228752136</v>
      </c>
      <c r="H653">
        <v>632</v>
      </c>
      <c r="I653">
        <v>120.355529785</v>
      </c>
      <c r="K653">
        <f t="shared" si="37"/>
        <v>9.8455810550000109</v>
      </c>
      <c r="L653">
        <v>632</v>
      </c>
      <c r="M653">
        <v>223</v>
      </c>
      <c r="N653">
        <v>632</v>
      </c>
      <c r="O653">
        <v>32</v>
      </c>
      <c r="P653">
        <f t="shared" si="35"/>
        <v>102.87594604500001</v>
      </c>
    </row>
    <row r="654" spans="1:16">
      <c r="A654">
        <f t="shared" si="36"/>
        <v>1266.2179052313284</v>
      </c>
      <c r="B654">
        <v>633</v>
      </c>
      <c r="C654">
        <v>117.07737731899999</v>
      </c>
      <c r="D654">
        <v>633</v>
      </c>
      <c r="E654">
        <v>130.97624206500001</v>
      </c>
      <c r="F654">
        <v>633</v>
      </c>
      <c r="G654">
        <v>115.712387085</v>
      </c>
      <c r="H654">
        <v>633</v>
      </c>
      <c r="I654">
        <v>117.438728333</v>
      </c>
      <c r="K654">
        <f t="shared" si="37"/>
        <v>13.537513732000008</v>
      </c>
      <c r="L654">
        <v>633</v>
      </c>
      <c r="M654">
        <v>223</v>
      </c>
      <c r="N654">
        <v>633</v>
      </c>
      <c r="O654">
        <v>32</v>
      </c>
      <c r="P654">
        <f t="shared" si="35"/>
        <v>105.92262268100001</v>
      </c>
    </row>
    <row r="655" spans="1:16">
      <c r="A655">
        <f t="shared" si="36"/>
        <v>1267.1439998683447</v>
      </c>
      <c r="B655">
        <v>634</v>
      </c>
      <c r="C655">
        <v>112.16728973399999</v>
      </c>
      <c r="D655">
        <v>634</v>
      </c>
      <c r="E655">
        <v>132.553863525</v>
      </c>
      <c r="F655">
        <v>634</v>
      </c>
      <c r="G655">
        <v>115.02016449</v>
      </c>
      <c r="H655">
        <v>634</v>
      </c>
      <c r="I655">
        <v>116.689178467</v>
      </c>
      <c r="K655">
        <f t="shared" si="37"/>
        <v>15.864685057999992</v>
      </c>
      <c r="L655">
        <v>634</v>
      </c>
      <c r="M655">
        <v>223</v>
      </c>
      <c r="N655">
        <v>634</v>
      </c>
      <c r="O655">
        <v>32</v>
      </c>
      <c r="P655">
        <f t="shared" si="35"/>
        <v>110.83271026600001</v>
      </c>
    </row>
    <row r="656" spans="1:16">
      <c r="A656">
        <f t="shared" si="36"/>
        <v>1268.0700945053609</v>
      </c>
      <c r="B656">
        <v>635</v>
      </c>
      <c r="C656">
        <v>114.225036621</v>
      </c>
      <c r="D656">
        <v>635</v>
      </c>
      <c r="E656">
        <v>132.31373596200001</v>
      </c>
      <c r="F656">
        <v>635</v>
      </c>
      <c r="G656">
        <v>115.07824707</v>
      </c>
      <c r="H656">
        <v>635</v>
      </c>
      <c r="I656">
        <v>120.159133911</v>
      </c>
      <c r="K656">
        <f t="shared" si="37"/>
        <v>12.154602051000012</v>
      </c>
      <c r="L656">
        <v>635</v>
      </c>
      <c r="M656">
        <v>223</v>
      </c>
      <c r="N656">
        <v>635</v>
      </c>
      <c r="O656">
        <v>32</v>
      </c>
      <c r="P656">
        <f t="shared" si="35"/>
        <v>108.774963379</v>
      </c>
    </row>
    <row r="657" spans="1:16">
      <c r="A657">
        <f t="shared" si="36"/>
        <v>1268.9961891423773</v>
      </c>
      <c r="B657">
        <v>636</v>
      </c>
      <c r="C657">
        <v>118.929069519</v>
      </c>
      <c r="D657">
        <v>636</v>
      </c>
      <c r="E657">
        <v>132.55329895</v>
      </c>
      <c r="F657">
        <v>636</v>
      </c>
      <c r="G657">
        <v>116.581428528</v>
      </c>
      <c r="H657">
        <v>636</v>
      </c>
      <c r="I657">
        <v>120.173194885</v>
      </c>
      <c r="K657">
        <f t="shared" si="37"/>
        <v>12.380104064999998</v>
      </c>
      <c r="L657">
        <v>636</v>
      </c>
      <c r="M657">
        <v>223</v>
      </c>
      <c r="N657">
        <v>636</v>
      </c>
      <c r="O657">
        <v>32.392581939999999</v>
      </c>
      <c r="P657">
        <f t="shared" si="35"/>
        <v>104.070930481</v>
      </c>
    </row>
    <row r="658" spans="1:16">
      <c r="A658">
        <f t="shared" si="36"/>
        <v>1269.9222837793936</v>
      </c>
      <c r="B658">
        <v>637</v>
      </c>
      <c r="C658">
        <v>116.81761932400001</v>
      </c>
      <c r="D658">
        <v>637</v>
      </c>
      <c r="E658">
        <v>132.906051636</v>
      </c>
      <c r="F658">
        <v>637</v>
      </c>
      <c r="G658">
        <v>115.640914917</v>
      </c>
      <c r="H658">
        <v>637</v>
      </c>
      <c r="I658">
        <v>122.105010986</v>
      </c>
      <c r="K658">
        <f t="shared" si="37"/>
        <v>10.801040650000004</v>
      </c>
      <c r="L658">
        <v>637</v>
      </c>
      <c r="M658">
        <v>222.97167968799999</v>
      </c>
      <c r="N658">
        <v>637</v>
      </c>
      <c r="O658">
        <v>32.977645873999997</v>
      </c>
      <c r="P658">
        <f t="shared" si="35"/>
        <v>106.15406036399999</v>
      </c>
    </row>
    <row r="659" spans="1:16">
      <c r="A659">
        <f t="shared" si="36"/>
        <v>1270.84837841641</v>
      </c>
      <c r="B659">
        <v>638</v>
      </c>
      <c r="C659">
        <v>116.81559753400001</v>
      </c>
      <c r="D659">
        <v>638</v>
      </c>
      <c r="E659">
        <v>132.893188477</v>
      </c>
      <c r="F659">
        <v>638</v>
      </c>
      <c r="G659">
        <v>114.543937683</v>
      </c>
      <c r="H659">
        <v>638</v>
      </c>
      <c r="I659">
        <v>124.324493408</v>
      </c>
      <c r="K659">
        <f t="shared" si="37"/>
        <v>8.5686950690000003</v>
      </c>
      <c r="L659">
        <v>638</v>
      </c>
      <c r="M659">
        <v>222.29023742699999</v>
      </c>
      <c r="N659">
        <v>638</v>
      </c>
      <c r="O659">
        <v>33</v>
      </c>
      <c r="P659">
        <f t="shared" si="35"/>
        <v>105.47463989299999</v>
      </c>
    </row>
    <row r="660" spans="1:16">
      <c r="A660">
        <f t="shared" si="36"/>
        <v>1271.7744730534264</v>
      </c>
      <c r="B660">
        <v>639</v>
      </c>
      <c r="C660">
        <v>117.185455322</v>
      </c>
      <c r="D660">
        <v>639</v>
      </c>
      <c r="E660">
        <v>133.613525391</v>
      </c>
      <c r="F660">
        <v>639</v>
      </c>
      <c r="G660">
        <v>115.93047332800001</v>
      </c>
      <c r="H660">
        <v>639</v>
      </c>
      <c r="I660">
        <v>125.210502625</v>
      </c>
      <c r="K660">
        <f t="shared" si="37"/>
        <v>8.4030227659999923</v>
      </c>
      <c r="L660">
        <v>639</v>
      </c>
      <c r="M660">
        <v>222</v>
      </c>
      <c r="N660">
        <v>639</v>
      </c>
      <c r="O660">
        <v>33</v>
      </c>
      <c r="P660">
        <f t="shared" si="35"/>
        <v>104.814544678</v>
      </c>
    </row>
    <row r="661" spans="1:16">
      <c r="A661">
        <f t="shared" si="36"/>
        <v>1272.7005676904425</v>
      </c>
      <c r="B661">
        <v>640</v>
      </c>
      <c r="C661">
        <v>117.01143646200001</v>
      </c>
      <c r="D661">
        <v>640</v>
      </c>
      <c r="E661">
        <v>131.31195068400001</v>
      </c>
      <c r="F661">
        <v>640</v>
      </c>
      <c r="G661">
        <v>116.291091919</v>
      </c>
      <c r="H661">
        <v>640</v>
      </c>
      <c r="I661">
        <v>126.619377136</v>
      </c>
      <c r="K661">
        <f t="shared" si="37"/>
        <v>4.6925735480000128</v>
      </c>
      <c r="L661">
        <v>640</v>
      </c>
      <c r="M661">
        <v>222</v>
      </c>
      <c r="N661">
        <v>640</v>
      </c>
      <c r="O661">
        <v>33</v>
      </c>
      <c r="P661">
        <f t="shared" ref="P661:P724" si="38">M661-C661</f>
        <v>104.98856353799999</v>
      </c>
    </row>
    <row r="662" spans="1:16">
      <c r="A662">
        <f t="shared" ref="A662:A725" si="39">680 +B662*COS(ABS($J$8)*PI()/180)</f>
        <v>1273.6266623274589</v>
      </c>
      <c r="B662">
        <v>641</v>
      </c>
      <c r="C662">
        <v>119.000862122</v>
      </c>
      <c r="D662">
        <v>641</v>
      </c>
      <c r="E662">
        <v>133.723678589</v>
      </c>
      <c r="F662">
        <v>641</v>
      </c>
      <c r="G662">
        <v>115.823646545</v>
      </c>
      <c r="H662">
        <v>641</v>
      </c>
      <c r="I662">
        <v>125.762016296</v>
      </c>
      <c r="K662">
        <f t="shared" ref="K662:K725" si="40">E662-I662</f>
        <v>7.9616622930000034</v>
      </c>
      <c r="L662">
        <v>641</v>
      </c>
      <c r="M662">
        <v>222</v>
      </c>
      <c r="N662">
        <v>641</v>
      </c>
      <c r="O662">
        <v>33</v>
      </c>
      <c r="P662">
        <f t="shared" si="38"/>
        <v>102.999137878</v>
      </c>
    </row>
    <row r="663" spans="1:16">
      <c r="A663">
        <f t="shared" si="39"/>
        <v>1274.5527569644751</v>
      </c>
      <c r="B663">
        <v>642</v>
      </c>
      <c r="C663">
        <v>119.703697205</v>
      </c>
      <c r="D663">
        <v>642</v>
      </c>
      <c r="E663">
        <v>135.562942505</v>
      </c>
      <c r="F663">
        <v>642</v>
      </c>
      <c r="G663">
        <v>115.19264984100001</v>
      </c>
      <c r="H663">
        <v>642</v>
      </c>
      <c r="I663">
        <v>123.637107849</v>
      </c>
      <c r="K663">
        <f t="shared" si="40"/>
        <v>11.925834655999992</v>
      </c>
      <c r="L663">
        <v>642</v>
      </c>
      <c r="M663">
        <v>222</v>
      </c>
      <c r="N663">
        <v>642</v>
      </c>
      <c r="O663">
        <v>33</v>
      </c>
      <c r="P663">
        <f t="shared" si="38"/>
        <v>102.296302795</v>
      </c>
    </row>
    <row r="664" spans="1:16">
      <c r="A664">
        <f t="shared" si="39"/>
        <v>1275.4788516014914</v>
      </c>
      <c r="B664">
        <v>643</v>
      </c>
      <c r="C664">
        <v>119.581588745</v>
      </c>
      <c r="D664">
        <v>643</v>
      </c>
      <c r="E664">
        <v>134.479934692</v>
      </c>
      <c r="F664">
        <v>643</v>
      </c>
      <c r="G664">
        <v>113.746582031</v>
      </c>
      <c r="H664">
        <v>643</v>
      </c>
      <c r="I664">
        <v>122.323883057</v>
      </c>
      <c r="K664">
        <f t="shared" si="40"/>
        <v>12.156051634999997</v>
      </c>
      <c r="L664">
        <v>643</v>
      </c>
      <c r="M664">
        <v>222</v>
      </c>
      <c r="N664">
        <v>643</v>
      </c>
      <c r="O664">
        <v>33</v>
      </c>
      <c r="P664">
        <f t="shared" si="38"/>
        <v>102.418411255</v>
      </c>
    </row>
    <row r="665" spans="1:16">
      <c r="A665">
        <f t="shared" si="39"/>
        <v>1276.4049462385078</v>
      </c>
      <c r="B665">
        <v>644</v>
      </c>
      <c r="C665">
        <v>118.63014984100001</v>
      </c>
      <c r="D665">
        <v>644</v>
      </c>
      <c r="E665">
        <v>132.36734008799999</v>
      </c>
      <c r="F665">
        <v>644</v>
      </c>
      <c r="G665">
        <v>112.305023193</v>
      </c>
      <c r="H665">
        <v>644</v>
      </c>
      <c r="I665">
        <v>118.788238525</v>
      </c>
      <c r="K665">
        <f t="shared" si="40"/>
        <v>13.579101562999995</v>
      </c>
      <c r="L665">
        <v>644</v>
      </c>
      <c r="M665">
        <v>222</v>
      </c>
      <c r="N665">
        <v>644</v>
      </c>
      <c r="O665">
        <v>33</v>
      </c>
      <c r="P665">
        <f t="shared" si="38"/>
        <v>103.36985015899999</v>
      </c>
    </row>
    <row r="666" spans="1:16">
      <c r="A666">
        <f t="shared" si="39"/>
        <v>1277.3310408755242</v>
      </c>
      <c r="B666">
        <v>645</v>
      </c>
      <c r="C666">
        <v>115.718711853</v>
      </c>
      <c r="D666">
        <v>645</v>
      </c>
      <c r="E666">
        <v>134.43853759800001</v>
      </c>
      <c r="F666">
        <v>645</v>
      </c>
      <c r="G666">
        <v>110.49594116199999</v>
      </c>
      <c r="H666">
        <v>645</v>
      </c>
      <c r="I666">
        <v>117.33250427199999</v>
      </c>
      <c r="K666">
        <f t="shared" si="40"/>
        <v>17.106033326000016</v>
      </c>
      <c r="L666">
        <v>645</v>
      </c>
      <c r="M666">
        <v>222</v>
      </c>
      <c r="N666">
        <v>645</v>
      </c>
      <c r="O666">
        <v>33</v>
      </c>
      <c r="P666">
        <f t="shared" si="38"/>
        <v>106.281288147</v>
      </c>
    </row>
    <row r="667" spans="1:16">
      <c r="A667">
        <f t="shared" si="39"/>
        <v>1278.2571355125406</v>
      </c>
      <c r="B667">
        <v>646</v>
      </c>
      <c r="C667">
        <v>114.266021729</v>
      </c>
      <c r="D667">
        <v>646</v>
      </c>
      <c r="E667">
        <v>134.43470764200001</v>
      </c>
      <c r="F667">
        <v>646</v>
      </c>
      <c r="G667">
        <v>111.749130249</v>
      </c>
      <c r="H667">
        <v>646</v>
      </c>
      <c r="I667">
        <v>115.19999694800001</v>
      </c>
      <c r="K667">
        <f t="shared" si="40"/>
        <v>19.234710694</v>
      </c>
      <c r="L667">
        <v>646</v>
      </c>
      <c r="M667">
        <v>222</v>
      </c>
      <c r="N667">
        <v>646</v>
      </c>
      <c r="O667">
        <v>33</v>
      </c>
      <c r="P667">
        <f t="shared" si="38"/>
        <v>107.733978271</v>
      </c>
    </row>
    <row r="668" spans="1:16">
      <c r="A668">
        <f t="shared" si="39"/>
        <v>1279.1832301495569</v>
      </c>
      <c r="B668">
        <v>647</v>
      </c>
      <c r="C668">
        <v>117.747589111</v>
      </c>
      <c r="D668">
        <v>647</v>
      </c>
      <c r="E668">
        <v>132.23902893100001</v>
      </c>
      <c r="F668">
        <v>647</v>
      </c>
      <c r="G668">
        <v>112.677009583</v>
      </c>
      <c r="H668">
        <v>647</v>
      </c>
      <c r="I668">
        <v>115.41960907000001</v>
      </c>
      <c r="K668">
        <f t="shared" si="40"/>
        <v>16.819419861</v>
      </c>
      <c r="L668">
        <v>647</v>
      </c>
      <c r="M668">
        <v>222</v>
      </c>
      <c r="N668">
        <v>647</v>
      </c>
      <c r="O668">
        <v>33</v>
      </c>
      <c r="P668">
        <f t="shared" si="38"/>
        <v>104.252410889</v>
      </c>
    </row>
    <row r="669" spans="1:16">
      <c r="A669">
        <f t="shared" si="39"/>
        <v>1280.1093247865731</v>
      </c>
      <c r="B669">
        <v>648</v>
      </c>
      <c r="C669">
        <v>116.560905457</v>
      </c>
      <c r="D669">
        <v>648</v>
      </c>
      <c r="E669">
        <v>132.23016357399999</v>
      </c>
      <c r="F669">
        <v>648</v>
      </c>
      <c r="G669">
        <v>112.095802307</v>
      </c>
      <c r="H669">
        <v>648</v>
      </c>
      <c r="I669">
        <v>119.36955261200001</v>
      </c>
      <c r="K669">
        <f t="shared" si="40"/>
        <v>12.860610961999981</v>
      </c>
      <c r="L669">
        <v>648</v>
      </c>
      <c r="M669">
        <v>222</v>
      </c>
      <c r="N669">
        <v>648</v>
      </c>
      <c r="O669">
        <v>33</v>
      </c>
      <c r="P669">
        <f t="shared" si="38"/>
        <v>105.439094543</v>
      </c>
    </row>
    <row r="670" spans="1:16">
      <c r="A670">
        <f t="shared" si="39"/>
        <v>1281.0354194235895</v>
      </c>
      <c r="B670">
        <v>649</v>
      </c>
      <c r="C670">
        <v>115.685287476</v>
      </c>
      <c r="D670">
        <v>649</v>
      </c>
      <c r="E670">
        <v>133.40510559099999</v>
      </c>
      <c r="F670">
        <v>649</v>
      </c>
      <c r="G670">
        <v>112.391647339</v>
      </c>
      <c r="H670">
        <v>649</v>
      </c>
      <c r="I670">
        <v>120.05106353799999</v>
      </c>
      <c r="K670">
        <f t="shared" si="40"/>
        <v>13.354042053000001</v>
      </c>
      <c r="L670">
        <v>649</v>
      </c>
      <c r="M670">
        <v>222</v>
      </c>
      <c r="N670">
        <v>649</v>
      </c>
      <c r="O670">
        <v>33.385650634999998</v>
      </c>
      <c r="P670">
        <f t="shared" si="38"/>
        <v>106.314712524</v>
      </c>
    </row>
    <row r="671" spans="1:16">
      <c r="A671">
        <f t="shared" si="39"/>
        <v>1281.9615140606056</v>
      </c>
      <c r="B671">
        <v>650</v>
      </c>
      <c r="C671">
        <v>116.612098694</v>
      </c>
      <c r="D671">
        <v>650</v>
      </c>
      <c r="E671">
        <v>132.527618408</v>
      </c>
      <c r="F671">
        <v>650</v>
      </c>
      <c r="G671">
        <v>112.687171936</v>
      </c>
      <c r="H671">
        <v>650</v>
      </c>
      <c r="I671">
        <v>120.028404236</v>
      </c>
      <c r="K671">
        <f t="shared" si="40"/>
        <v>12.499214171999995</v>
      </c>
      <c r="L671">
        <v>650</v>
      </c>
      <c r="M671">
        <v>221.40386962900001</v>
      </c>
      <c r="N671">
        <v>650</v>
      </c>
      <c r="O671">
        <v>33.982543945000003</v>
      </c>
      <c r="P671">
        <f t="shared" si="38"/>
        <v>104.79177093500002</v>
      </c>
    </row>
    <row r="672" spans="1:16">
      <c r="A672">
        <f t="shared" si="39"/>
        <v>1282.887608697622</v>
      </c>
      <c r="B672">
        <v>651</v>
      </c>
      <c r="C672">
        <v>117.175216675</v>
      </c>
      <c r="D672">
        <v>651</v>
      </c>
      <c r="E672">
        <v>130.411499023</v>
      </c>
      <c r="F672">
        <v>651</v>
      </c>
      <c r="G672">
        <v>112.186264038</v>
      </c>
      <c r="H672">
        <v>651</v>
      </c>
      <c r="I672">
        <v>118.534294128</v>
      </c>
      <c r="K672">
        <f t="shared" si="40"/>
        <v>11.877204895000006</v>
      </c>
      <c r="L672">
        <v>651</v>
      </c>
      <c r="M672">
        <v>221</v>
      </c>
      <c r="N672">
        <v>651</v>
      </c>
      <c r="O672">
        <v>34</v>
      </c>
      <c r="P672">
        <f t="shared" si="38"/>
        <v>103.824783325</v>
      </c>
    </row>
    <row r="673" spans="1:16">
      <c r="A673">
        <f t="shared" si="39"/>
        <v>1283.8137033346384</v>
      </c>
      <c r="B673">
        <v>652</v>
      </c>
      <c r="C673">
        <v>112.78726196300001</v>
      </c>
      <c r="D673">
        <v>652</v>
      </c>
      <c r="E673">
        <v>131.49545288100001</v>
      </c>
      <c r="F673">
        <v>652</v>
      </c>
      <c r="G673">
        <v>110.25733184800001</v>
      </c>
      <c r="H673">
        <v>652</v>
      </c>
      <c r="I673">
        <v>117.729804993</v>
      </c>
      <c r="K673">
        <f t="shared" si="40"/>
        <v>13.765647888000004</v>
      </c>
      <c r="L673">
        <v>652</v>
      </c>
      <c r="M673">
        <v>221</v>
      </c>
      <c r="N673">
        <v>652</v>
      </c>
      <c r="O673">
        <v>34</v>
      </c>
      <c r="P673">
        <f t="shared" si="38"/>
        <v>108.21273803699999</v>
      </c>
    </row>
    <row r="674" spans="1:16">
      <c r="A674">
        <f t="shared" si="39"/>
        <v>1284.7397979716548</v>
      </c>
      <c r="B674">
        <v>653</v>
      </c>
      <c r="C674">
        <v>108.670120239</v>
      </c>
      <c r="D674">
        <v>653</v>
      </c>
      <c r="E674">
        <v>132.37178039599999</v>
      </c>
      <c r="F674">
        <v>653</v>
      </c>
      <c r="G674">
        <v>110.309089661</v>
      </c>
      <c r="H674">
        <v>653</v>
      </c>
      <c r="I674">
        <v>121.257843018</v>
      </c>
      <c r="K674">
        <f t="shared" si="40"/>
        <v>11.113937377999989</v>
      </c>
      <c r="L674">
        <v>653</v>
      </c>
      <c r="M674">
        <v>221</v>
      </c>
      <c r="N674">
        <v>653</v>
      </c>
      <c r="O674">
        <v>34</v>
      </c>
      <c r="P674">
        <f t="shared" si="38"/>
        <v>112.329879761</v>
      </c>
    </row>
    <row r="675" spans="1:16">
      <c r="A675">
        <f t="shared" si="39"/>
        <v>1285.6658926086711</v>
      </c>
      <c r="B675">
        <v>654</v>
      </c>
      <c r="C675">
        <v>114.04592895499999</v>
      </c>
      <c r="D675">
        <v>654</v>
      </c>
      <c r="E675">
        <v>131.56784057600001</v>
      </c>
      <c r="F675">
        <v>654</v>
      </c>
      <c r="G675">
        <v>112.120788574</v>
      </c>
      <c r="H675">
        <v>654</v>
      </c>
      <c r="I675">
        <v>121.422676086</v>
      </c>
      <c r="K675">
        <f t="shared" si="40"/>
        <v>10.145164490000013</v>
      </c>
      <c r="L675">
        <v>654</v>
      </c>
      <c r="M675">
        <v>221</v>
      </c>
      <c r="N675">
        <v>654</v>
      </c>
      <c r="O675">
        <v>34</v>
      </c>
      <c r="P675">
        <f t="shared" si="38"/>
        <v>106.95407104500001</v>
      </c>
    </row>
    <row r="676" spans="1:16">
      <c r="A676">
        <f t="shared" si="39"/>
        <v>1286.5919872456875</v>
      </c>
      <c r="B676">
        <v>655</v>
      </c>
      <c r="C676">
        <v>117.307571411</v>
      </c>
      <c r="D676">
        <v>655</v>
      </c>
      <c r="E676">
        <v>131.333328247</v>
      </c>
      <c r="F676">
        <v>655</v>
      </c>
      <c r="G676">
        <v>112.30079650899999</v>
      </c>
      <c r="H676">
        <v>655</v>
      </c>
      <c r="I676">
        <v>118.18433380099999</v>
      </c>
      <c r="K676">
        <f t="shared" si="40"/>
        <v>13.148994446000003</v>
      </c>
      <c r="L676">
        <v>655</v>
      </c>
      <c r="M676">
        <v>221</v>
      </c>
      <c r="N676">
        <v>655</v>
      </c>
      <c r="O676">
        <v>34</v>
      </c>
      <c r="P676">
        <f t="shared" si="38"/>
        <v>103.692428589</v>
      </c>
    </row>
    <row r="677" spans="1:16">
      <c r="A677">
        <f t="shared" si="39"/>
        <v>1287.5180818827037</v>
      </c>
      <c r="B677">
        <v>656</v>
      </c>
      <c r="C677">
        <v>117.362052917</v>
      </c>
      <c r="D677">
        <v>656</v>
      </c>
      <c r="E677">
        <v>131.333328247</v>
      </c>
      <c r="F677">
        <v>656</v>
      </c>
      <c r="G677">
        <v>111.927970886</v>
      </c>
      <c r="H677">
        <v>656</v>
      </c>
      <c r="I677">
        <v>115.837646484</v>
      </c>
      <c r="K677">
        <f t="shared" si="40"/>
        <v>15.495681762999993</v>
      </c>
      <c r="L677">
        <v>656</v>
      </c>
      <c r="M677">
        <v>221</v>
      </c>
      <c r="N677">
        <v>656</v>
      </c>
      <c r="O677">
        <v>34</v>
      </c>
      <c r="P677">
        <f t="shared" si="38"/>
        <v>103.637947083</v>
      </c>
    </row>
    <row r="678" spans="1:16">
      <c r="A678">
        <f t="shared" si="39"/>
        <v>1288.44417651972</v>
      </c>
      <c r="B678">
        <v>657</v>
      </c>
      <c r="C678">
        <v>115.650062561</v>
      </c>
      <c r="D678">
        <v>657</v>
      </c>
      <c r="E678">
        <v>131.40911865199999</v>
      </c>
      <c r="F678">
        <v>657</v>
      </c>
      <c r="G678">
        <v>112.809883118</v>
      </c>
      <c r="H678">
        <v>657</v>
      </c>
      <c r="I678">
        <v>117.413871765</v>
      </c>
      <c r="K678">
        <f t="shared" si="40"/>
        <v>13.995246886999993</v>
      </c>
      <c r="L678">
        <v>657</v>
      </c>
      <c r="M678">
        <v>221</v>
      </c>
      <c r="N678">
        <v>657</v>
      </c>
      <c r="O678">
        <v>34</v>
      </c>
      <c r="P678">
        <f t="shared" si="38"/>
        <v>105.349937439</v>
      </c>
    </row>
    <row r="679" spans="1:16">
      <c r="A679">
        <f t="shared" si="39"/>
        <v>1289.3702711567362</v>
      </c>
      <c r="B679">
        <v>658</v>
      </c>
      <c r="C679">
        <v>114.05086517300001</v>
      </c>
      <c r="D679">
        <v>658</v>
      </c>
      <c r="E679">
        <v>131.04794311500001</v>
      </c>
      <c r="F679">
        <v>658</v>
      </c>
      <c r="G679">
        <v>112.987083435</v>
      </c>
      <c r="H679">
        <v>658</v>
      </c>
      <c r="I679">
        <v>115.137252808</v>
      </c>
      <c r="K679">
        <f t="shared" si="40"/>
        <v>15.91069030700001</v>
      </c>
      <c r="L679">
        <v>658</v>
      </c>
      <c r="M679">
        <v>221</v>
      </c>
      <c r="N679">
        <v>658</v>
      </c>
      <c r="O679">
        <v>34</v>
      </c>
      <c r="P679">
        <f t="shared" si="38"/>
        <v>106.94913482699999</v>
      </c>
    </row>
    <row r="680" spans="1:16">
      <c r="A680">
        <f t="shared" si="39"/>
        <v>1290.2963657937526</v>
      </c>
      <c r="B680">
        <v>659</v>
      </c>
      <c r="C680">
        <v>113.485397339</v>
      </c>
      <c r="D680">
        <v>659</v>
      </c>
      <c r="E680">
        <v>130.071777344</v>
      </c>
      <c r="F680">
        <v>659</v>
      </c>
      <c r="G680">
        <v>112.05241393999999</v>
      </c>
      <c r="H680">
        <v>659</v>
      </c>
      <c r="I680">
        <v>114.213233948</v>
      </c>
      <c r="K680">
        <f t="shared" si="40"/>
        <v>15.858543396000002</v>
      </c>
      <c r="L680">
        <v>659</v>
      </c>
      <c r="M680">
        <v>221</v>
      </c>
      <c r="N680">
        <v>659</v>
      </c>
      <c r="O680">
        <v>34</v>
      </c>
      <c r="P680">
        <f t="shared" si="38"/>
        <v>107.514602661</v>
      </c>
    </row>
    <row r="681" spans="1:16">
      <c r="A681">
        <f t="shared" si="39"/>
        <v>1291.2224604307689</v>
      </c>
      <c r="B681">
        <v>660</v>
      </c>
      <c r="C681">
        <v>113.487098694</v>
      </c>
      <c r="D681">
        <v>660</v>
      </c>
      <c r="E681">
        <v>129.849975586</v>
      </c>
      <c r="F681">
        <v>660</v>
      </c>
      <c r="G681">
        <v>111.64364624</v>
      </c>
      <c r="H681">
        <v>660</v>
      </c>
      <c r="I681">
        <v>115.169555664</v>
      </c>
      <c r="K681">
        <f t="shared" si="40"/>
        <v>14.680419921999999</v>
      </c>
      <c r="L681">
        <v>660</v>
      </c>
      <c r="M681">
        <v>221</v>
      </c>
      <c r="N681">
        <v>660</v>
      </c>
      <c r="O681">
        <v>34</v>
      </c>
      <c r="P681">
        <f t="shared" si="38"/>
        <v>107.512901306</v>
      </c>
    </row>
    <row r="682" spans="1:16">
      <c r="A682">
        <f t="shared" si="39"/>
        <v>1292.1485550677853</v>
      </c>
      <c r="B682">
        <v>661</v>
      </c>
      <c r="C682">
        <v>114.97108459499999</v>
      </c>
      <c r="D682">
        <v>661</v>
      </c>
      <c r="E682">
        <v>129.714187622</v>
      </c>
      <c r="F682">
        <v>661</v>
      </c>
      <c r="G682">
        <v>112.169898987</v>
      </c>
      <c r="H682">
        <v>661</v>
      </c>
      <c r="I682">
        <v>115.28897857699999</v>
      </c>
      <c r="K682">
        <f t="shared" si="40"/>
        <v>14.425209045000003</v>
      </c>
      <c r="L682">
        <v>661</v>
      </c>
      <c r="M682">
        <v>221</v>
      </c>
      <c r="N682">
        <v>661</v>
      </c>
      <c r="O682">
        <v>34</v>
      </c>
      <c r="P682">
        <f t="shared" si="38"/>
        <v>106.02891540500001</v>
      </c>
    </row>
    <row r="683" spans="1:16">
      <c r="A683">
        <f t="shared" si="39"/>
        <v>1293.0746497048017</v>
      </c>
      <c r="B683">
        <v>662</v>
      </c>
      <c r="C683">
        <v>118.757347107</v>
      </c>
      <c r="D683">
        <v>662</v>
      </c>
      <c r="E683">
        <v>129.21205139200001</v>
      </c>
      <c r="F683">
        <v>662</v>
      </c>
      <c r="G683">
        <v>111.898414612</v>
      </c>
      <c r="H683">
        <v>662</v>
      </c>
      <c r="I683">
        <v>116.45980072</v>
      </c>
      <c r="K683">
        <f t="shared" si="40"/>
        <v>12.752250672000002</v>
      </c>
      <c r="L683">
        <v>662</v>
      </c>
      <c r="M683">
        <v>221</v>
      </c>
      <c r="N683">
        <v>662</v>
      </c>
      <c r="O683">
        <v>34</v>
      </c>
      <c r="P683">
        <f t="shared" si="38"/>
        <v>102.242652893</v>
      </c>
    </row>
    <row r="684" spans="1:16">
      <c r="A684">
        <f t="shared" si="39"/>
        <v>1294.0007443418178</v>
      </c>
      <c r="B684">
        <v>663</v>
      </c>
      <c r="C684">
        <v>118.70565033</v>
      </c>
      <c r="D684">
        <v>663</v>
      </c>
      <c r="E684">
        <v>128.32069397000001</v>
      </c>
      <c r="F684">
        <v>663</v>
      </c>
      <c r="G684">
        <v>110.51636505099999</v>
      </c>
      <c r="H684">
        <v>663</v>
      </c>
      <c r="I684">
        <v>116.98332977299999</v>
      </c>
      <c r="K684">
        <f t="shared" si="40"/>
        <v>11.337364197000014</v>
      </c>
      <c r="L684">
        <v>663</v>
      </c>
      <c r="M684">
        <v>221</v>
      </c>
      <c r="N684">
        <v>663</v>
      </c>
      <c r="O684">
        <v>34.569080352999997</v>
      </c>
      <c r="P684">
        <f t="shared" si="38"/>
        <v>102.29434967</v>
      </c>
    </row>
    <row r="685" spans="1:16">
      <c r="A685">
        <f t="shared" si="39"/>
        <v>1294.9268389788342</v>
      </c>
      <c r="B685">
        <v>664</v>
      </c>
      <c r="C685">
        <v>117.204078674</v>
      </c>
      <c r="D685">
        <v>664</v>
      </c>
      <c r="E685">
        <v>128.63203430199999</v>
      </c>
      <c r="F685">
        <v>664</v>
      </c>
      <c r="G685">
        <v>111.00021362299999</v>
      </c>
      <c r="H685">
        <v>664</v>
      </c>
      <c r="I685">
        <v>115.956863403</v>
      </c>
      <c r="K685">
        <f t="shared" si="40"/>
        <v>12.675170898999994</v>
      </c>
      <c r="L685">
        <v>664</v>
      </c>
      <c r="M685">
        <v>220.31382751500001</v>
      </c>
      <c r="N685">
        <v>664</v>
      </c>
      <c r="O685">
        <v>35</v>
      </c>
      <c r="P685">
        <f t="shared" si="38"/>
        <v>103.10974884100001</v>
      </c>
    </row>
    <row r="686" spans="1:16">
      <c r="A686">
        <f t="shared" si="39"/>
        <v>1295.8529336158504</v>
      </c>
      <c r="B686">
        <v>665</v>
      </c>
      <c r="C686">
        <v>115.846107483</v>
      </c>
      <c r="D686">
        <v>665</v>
      </c>
      <c r="E686">
        <v>127.226867676</v>
      </c>
      <c r="F686">
        <v>665</v>
      </c>
      <c r="G686">
        <v>111.837867737</v>
      </c>
      <c r="H686">
        <v>665</v>
      </c>
      <c r="I686">
        <v>114.87886047400001</v>
      </c>
      <c r="K686">
        <f t="shared" si="40"/>
        <v>12.348007201999991</v>
      </c>
      <c r="L686">
        <v>665</v>
      </c>
      <c r="M686">
        <v>220</v>
      </c>
      <c r="N686">
        <v>665</v>
      </c>
      <c r="O686">
        <v>35</v>
      </c>
      <c r="P686">
        <f t="shared" si="38"/>
        <v>104.153892517</v>
      </c>
    </row>
    <row r="687" spans="1:16">
      <c r="A687">
        <f t="shared" si="39"/>
        <v>1296.7790282528667</v>
      </c>
      <c r="B687">
        <v>666</v>
      </c>
      <c r="C687">
        <v>115.09026336700001</v>
      </c>
      <c r="D687">
        <v>666</v>
      </c>
      <c r="E687">
        <v>125.994735718</v>
      </c>
      <c r="F687">
        <v>666</v>
      </c>
      <c r="G687">
        <v>111.542167664</v>
      </c>
      <c r="H687">
        <v>666</v>
      </c>
      <c r="I687">
        <v>114.923217773</v>
      </c>
      <c r="K687">
        <f t="shared" si="40"/>
        <v>11.071517944999997</v>
      </c>
      <c r="L687">
        <v>666</v>
      </c>
      <c r="M687">
        <v>220</v>
      </c>
      <c r="N687">
        <v>666</v>
      </c>
      <c r="O687">
        <v>35</v>
      </c>
      <c r="P687">
        <f t="shared" si="38"/>
        <v>104.90973663299999</v>
      </c>
    </row>
    <row r="688" spans="1:16">
      <c r="A688">
        <f t="shared" si="39"/>
        <v>1297.7051228898831</v>
      </c>
      <c r="B688">
        <v>667</v>
      </c>
      <c r="C688">
        <v>114.366249084</v>
      </c>
      <c r="D688">
        <v>667</v>
      </c>
      <c r="E688">
        <v>130.4347229</v>
      </c>
      <c r="F688">
        <v>667</v>
      </c>
      <c r="G688">
        <v>110.33333587600001</v>
      </c>
      <c r="H688">
        <v>667</v>
      </c>
      <c r="I688">
        <v>114.383033752</v>
      </c>
      <c r="K688">
        <f t="shared" si="40"/>
        <v>16.051689147999994</v>
      </c>
      <c r="L688">
        <v>667</v>
      </c>
      <c r="M688">
        <v>220</v>
      </c>
      <c r="N688">
        <v>667</v>
      </c>
      <c r="O688">
        <v>35</v>
      </c>
      <c r="P688">
        <f t="shared" si="38"/>
        <v>105.633750916</v>
      </c>
    </row>
    <row r="689" spans="1:16">
      <c r="A689">
        <f t="shared" si="39"/>
        <v>1298.6312175268995</v>
      </c>
      <c r="B689">
        <v>668</v>
      </c>
      <c r="C689">
        <v>115.60293579099999</v>
      </c>
      <c r="D689">
        <v>668</v>
      </c>
      <c r="E689">
        <v>132.333328247</v>
      </c>
      <c r="F689">
        <v>668</v>
      </c>
      <c r="G689">
        <v>110.33333587600001</v>
      </c>
      <c r="H689">
        <v>668</v>
      </c>
      <c r="I689">
        <v>115.87548065199999</v>
      </c>
      <c r="K689">
        <f t="shared" si="40"/>
        <v>16.457847595000004</v>
      </c>
      <c r="L689">
        <v>668</v>
      </c>
      <c r="M689">
        <v>220</v>
      </c>
      <c r="N689">
        <v>668</v>
      </c>
      <c r="O689">
        <v>35</v>
      </c>
      <c r="P689">
        <f t="shared" si="38"/>
        <v>104.39706420900001</v>
      </c>
    </row>
    <row r="690" spans="1:16">
      <c r="A690">
        <f t="shared" si="39"/>
        <v>1299.5573121639159</v>
      </c>
      <c r="B690">
        <v>669</v>
      </c>
      <c r="C690">
        <v>114.11469268800001</v>
      </c>
      <c r="D690">
        <v>669</v>
      </c>
      <c r="E690">
        <v>132.90325927699999</v>
      </c>
      <c r="F690">
        <v>669</v>
      </c>
      <c r="G690">
        <v>110.33333587600001</v>
      </c>
      <c r="H690">
        <v>669</v>
      </c>
      <c r="I690">
        <v>120.41225433300001</v>
      </c>
      <c r="K690">
        <f t="shared" si="40"/>
        <v>12.491004943999982</v>
      </c>
      <c r="L690">
        <v>669</v>
      </c>
      <c r="M690">
        <v>220</v>
      </c>
      <c r="N690">
        <v>669</v>
      </c>
      <c r="O690">
        <v>35</v>
      </c>
      <c r="P690">
        <f t="shared" si="38"/>
        <v>105.88530731199999</v>
      </c>
    </row>
    <row r="691" spans="1:16">
      <c r="A691">
        <f t="shared" si="39"/>
        <v>1300.4834068009322</v>
      </c>
      <c r="B691">
        <v>670</v>
      </c>
      <c r="C691">
        <v>112.83082580600001</v>
      </c>
      <c r="D691">
        <v>670</v>
      </c>
      <c r="E691">
        <v>133.921707153</v>
      </c>
      <c r="F691">
        <v>670</v>
      </c>
      <c r="G691">
        <v>110.358673096</v>
      </c>
      <c r="H691">
        <v>670</v>
      </c>
      <c r="I691">
        <v>119.53070831300001</v>
      </c>
      <c r="K691">
        <f t="shared" si="40"/>
        <v>14.390998839999995</v>
      </c>
      <c r="L691">
        <v>670</v>
      </c>
      <c r="M691">
        <v>220</v>
      </c>
      <c r="N691">
        <v>670</v>
      </c>
      <c r="O691">
        <v>35</v>
      </c>
      <c r="P691">
        <f t="shared" si="38"/>
        <v>107.16917419399999</v>
      </c>
    </row>
    <row r="692" spans="1:16">
      <c r="A692">
        <f t="shared" si="39"/>
        <v>1301.4095014379484</v>
      </c>
      <c r="B692">
        <v>671</v>
      </c>
      <c r="C692">
        <v>114.98257446300001</v>
      </c>
      <c r="D692">
        <v>671</v>
      </c>
      <c r="E692">
        <v>132.292480469</v>
      </c>
      <c r="F692">
        <v>671</v>
      </c>
      <c r="G692">
        <v>110.66666412399999</v>
      </c>
      <c r="H692">
        <v>671</v>
      </c>
      <c r="I692">
        <v>119.629013062</v>
      </c>
      <c r="K692">
        <f t="shared" si="40"/>
        <v>12.663467406999999</v>
      </c>
      <c r="L692">
        <v>671</v>
      </c>
      <c r="M692">
        <v>220</v>
      </c>
      <c r="N692">
        <v>671</v>
      </c>
      <c r="O692">
        <v>35</v>
      </c>
      <c r="P692">
        <f t="shared" si="38"/>
        <v>105.01742553699999</v>
      </c>
    </row>
    <row r="693" spans="1:16">
      <c r="A693">
        <f t="shared" si="39"/>
        <v>1302.3355960749648</v>
      </c>
      <c r="B693">
        <v>672</v>
      </c>
      <c r="C693">
        <v>115.89269256599999</v>
      </c>
      <c r="D693">
        <v>672</v>
      </c>
      <c r="E693">
        <v>129.48045349099999</v>
      </c>
      <c r="F693">
        <v>672</v>
      </c>
      <c r="G693">
        <v>110.538993835</v>
      </c>
      <c r="H693">
        <v>672</v>
      </c>
      <c r="I693">
        <v>117.286277771</v>
      </c>
      <c r="K693">
        <f t="shared" si="40"/>
        <v>12.19417571999999</v>
      </c>
      <c r="L693">
        <v>672</v>
      </c>
      <c r="M693">
        <v>220</v>
      </c>
      <c r="N693">
        <v>672</v>
      </c>
      <c r="O693">
        <v>35</v>
      </c>
      <c r="P693">
        <f t="shared" si="38"/>
        <v>104.10730743400001</v>
      </c>
    </row>
    <row r="694" spans="1:16">
      <c r="A694">
        <f t="shared" si="39"/>
        <v>1303.2616907119809</v>
      </c>
      <c r="B694">
        <v>673</v>
      </c>
      <c r="C694">
        <v>114.14912414600001</v>
      </c>
      <c r="D694">
        <v>673</v>
      </c>
      <c r="E694">
        <v>128.09725952100001</v>
      </c>
      <c r="F694">
        <v>673</v>
      </c>
      <c r="G694">
        <v>110.41133117699999</v>
      </c>
      <c r="H694">
        <v>673</v>
      </c>
      <c r="I694">
        <v>115.572227478</v>
      </c>
      <c r="K694">
        <f t="shared" si="40"/>
        <v>12.52503204300001</v>
      </c>
      <c r="L694">
        <v>673</v>
      </c>
      <c r="M694">
        <v>220</v>
      </c>
      <c r="N694">
        <v>673</v>
      </c>
      <c r="O694">
        <v>35</v>
      </c>
      <c r="P694">
        <f t="shared" si="38"/>
        <v>105.85087585399999</v>
      </c>
    </row>
    <row r="695" spans="1:16">
      <c r="A695">
        <f t="shared" si="39"/>
        <v>1304.1877853489973</v>
      </c>
      <c r="B695">
        <v>674</v>
      </c>
      <c r="C695">
        <v>114.03189849899999</v>
      </c>
      <c r="D695">
        <v>674</v>
      </c>
      <c r="E695">
        <v>129.32046508799999</v>
      </c>
      <c r="F695">
        <v>674</v>
      </c>
      <c r="G695">
        <v>110.33333587600001</v>
      </c>
      <c r="H695">
        <v>674</v>
      </c>
      <c r="I695">
        <v>114.496520996</v>
      </c>
      <c r="K695">
        <f t="shared" si="40"/>
        <v>14.823944091999991</v>
      </c>
      <c r="L695">
        <v>674</v>
      </c>
      <c r="M695">
        <v>219.22801208499999</v>
      </c>
      <c r="N695">
        <v>674</v>
      </c>
      <c r="O695">
        <v>35.805965424</v>
      </c>
      <c r="P695">
        <f t="shared" si="38"/>
        <v>105.196113586</v>
      </c>
    </row>
    <row r="696" spans="1:16">
      <c r="A696">
        <f t="shared" si="39"/>
        <v>1305.1138799860137</v>
      </c>
      <c r="B696">
        <v>675</v>
      </c>
      <c r="C696">
        <v>114.65001678500001</v>
      </c>
      <c r="D696">
        <v>675</v>
      </c>
      <c r="E696">
        <v>131.150680542</v>
      </c>
      <c r="F696">
        <v>675</v>
      </c>
      <c r="G696">
        <v>110.33333587600001</v>
      </c>
      <c r="H696">
        <v>675</v>
      </c>
      <c r="I696">
        <v>116.430259705</v>
      </c>
      <c r="K696">
        <f t="shared" si="40"/>
        <v>14.720420837000006</v>
      </c>
      <c r="L696">
        <v>675</v>
      </c>
      <c r="M696">
        <v>219</v>
      </c>
      <c r="N696">
        <v>675</v>
      </c>
      <c r="O696">
        <v>36</v>
      </c>
      <c r="P696">
        <f t="shared" si="38"/>
        <v>104.34998321499999</v>
      </c>
    </row>
    <row r="697" spans="1:16">
      <c r="A697">
        <f t="shared" si="39"/>
        <v>1306.03997462303</v>
      </c>
      <c r="B697">
        <v>676</v>
      </c>
      <c r="C697">
        <v>112.15186309800001</v>
      </c>
      <c r="D697">
        <v>676</v>
      </c>
      <c r="E697">
        <v>131.28834533700001</v>
      </c>
      <c r="F697">
        <v>676</v>
      </c>
      <c r="G697">
        <v>110.33333587600001</v>
      </c>
      <c r="H697">
        <v>676</v>
      </c>
      <c r="I697">
        <v>117.53444671600001</v>
      </c>
      <c r="K697">
        <f t="shared" si="40"/>
        <v>13.753898621000005</v>
      </c>
      <c r="L697">
        <v>676</v>
      </c>
      <c r="M697">
        <v>219</v>
      </c>
      <c r="N697">
        <v>676</v>
      </c>
      <c r="O697">
        <v>36</v>
      </c>
      <c r="P697">
        <f t="shared" si="38"/>
        <v>106.84813690199999</v>
      </c>
    </row>
    <row r="698" spans="1:16">
      <c r="A698">
        <f t="shared" si="39"/>
        <v>1306.9660692600464</v>
      </c>
      <c r="B698">
        <v>677</v>
      </c>
      <c r="C698">
        <v>114.51197052000001</v>
      </c>
      <c r="D698">
        <v>677</v>
      </c>
      <c r="E698">
        <v>129.22598266599999</v>
      </c>
      <c r="F698">
        <v>677</v>
      </c>
      <c r="G698">
        <v>110.33333587600001</v>
      </c>
      <c r="H698">
        <v>677</v>
      </c>
      <c r="I698">
        <v>116.550979614</v>
      </c>
      <c r="K698">
        <f t="shared" si="40"/>
        <v>12.675003051999994</v>
      </c>
      <c r="L698">
        <v>677</v>
      </c>
      <c r="M698">
        <v>219</v>
      </c>
      <c r="N698">
        <v>677</v>
      </c>
      <c r="O698">
        <v>36</v>
      </c>
      <c r="P698">
        <f t="shared" si="38"/>
        <v>104.48802947999999</v>
      </c>
    </row>
    <row r="699" spans="1:16">
      <c r="A699">
        <f t="shared" si="39"/>
        <v>1307.8921638970626</v>
      </c>
      <c r="B699">
        <v>678</v>
      </c>
      <c r="C699">
        <v>111.16050720200001</v>
      </c>
      <c r="D699">
        <v>678</v>
      </c>
      <c r="E699">
        <v>127.569847107</v>
      </c>
      <c r="F699">
        <v>678</v>
      </c>
      <c r="G699">
        <v>110.33333587600001</v>
      </c>
      <c r="H699">
        <v>678</v>
      </c>
      <c r="I699">
        <v>115.918327332</v>
      </c>
      <c r="K699">
        <f t="shared" si="40"/>
        <v>11.651519774999997</v>
      </c>
      <c r="L699">
        <v>678</v>
      </c>
      <c r="M699">
        <v>219</v>
      </c>
      <c r="N699">
        <v>678</v>
      </c>
      <c r="O699">
        <v>36</v>
      </c>
      <c r="P699">
        <f t="shared" si="38"/>
        <v>107.83949279799999</v>
      </c>
    </row>
    <row r="700" spans="1:16">
      <c r="A700">
        <f t="shared" si="39"/>
        <v>1308.818258534079</v>
      </c>
      <c r="B700">
        <v>679</v>
      </c>
      <c r="C700">
        <v>113.184623718</v>
      </c>
      <c r="D700">
        <v>679</v>
      </c>
      <c r="E700">
        <v>128.39358520499999</v>
      </c>
      <c r="F700">
        <v>679</v>
      </c>
      <c r="G700">
        <v>110.463981628</v>
      </c>
      <c r="H700">
        <v>679</v>
      </c>
      <c r="I700">
        <v>115.538879395</v>
      </c>
      <c r="K700">
        <f t="shared" si="40"/>
        <v>12.854705809999999</v>
      </c>
      <c r="L700">
        <v>679</v>
      </c>
      <c r="M700">
        <v>219</v>
      </c>
      <c r="N700">
        <v>679</v>
      </c>
      <c r="O700">
        <v>36</v>
      </c>
      <c r="P700">
        <f t="shared" si="38"/>
        <v>105.815376282</v>
      </c>
    </row>
    <row r="701" spans="1:16">
      <c r="A701">
        <f t="shared" si="39"/>
        <v>1309.7443531710951</v>
      </c>
      <c r="B701">
        <v>680</v>
      </c>
      <c r="C701">
        <v>117.324989319</v>
      </c>
      <c r="D701">
        <v>680</v>
      </c>
      <c r="E701">
        <v>129.728149414</v>
      </c>
      <c r="F701">
        <v>680</v>
      </c>
      <c r="G701">
        <v>110.66666412399999</v>
      </c>
      <c r="H701">
        <v>680</v>
      </c>
      <c r="I701">
        <v>112.66666412399999</v>
      </c>
      <c r="K701">
        <f t="shared" si="40"/>
        <v>17.061485290000007</v>
      </c>
      <c r="L701">
        <v>680</v>
      </c>
      <c r="M701">
        <v>219</v>
      </c>
      <c r="N701">
        <v>680</v>
      </c>
      <c r="O701">
        <v>36</v>
      </c>
      <c r="P701">
        <f t="shared" si="38"/>
        <v>101.675010681</v>
      </c>
    </row>
    <row r="702" spans="1:16">
      <c r="A702">
        <f t="shared" si="39"/>
        <v>1310.6704478081115</v>
      </c>
      <c r="B702">
        <v>681</v>
      </c>
      <c r="C702">
        <v>118.019538879</v>
      </c>
      <c r="D702">
        <v>681</v>
      </c>
      <c r="E702">
        <v>131.44110107399999</v>
      </c>
      <c r="F702">
        <v>681</v>
      </c>
      <c r="G702">
        <v>110.66666412399999</v>
      </c>
      <c r="H702">
        <v>681</v>
      </c>
      <c r="I702">
        <v>113.22425842299999</v>
      </c>
      <c r="K702">
        <f t="shared" si="40"/>
        <v>18.216842650999993</v>
      </c>
      <c r="L702">
        <v>681</v>
      </c>
      <c r="M702">
        <v>219</v>
      </c>
      <c r="N702">
        <v>681</v>
      </c>
      <c r="O702">
        <v>36</v>
      </c>
      <c r="P702">
        <f t="shared" si="38"/>
        <v>100.980461121</v>
      </c>
    </row>
    <row r="703" spans="1:16">
      <c r="A703">
        <f t="shared" si="39"/>
        <v>1311.5965424451279</v>
      </c>
      <c r="B703">
        <v>682</v>
      </c>
      <c r="C703">
        <v>115.31513214100001</v>
      </c>
      <c r="D703">
        <v>682</v>
      </c>
      <c r="E703">
        <v>131.052078247</v>
      </c>
      <c r="F703">
        <v>682</v>
      </c>
      <c r="G703">
        <v>110.466629028</v>
      </c>
      <c r="H703">
        <v>682</v>
      </c>
      <c r="I703">
        <v>113.117218018</v>
      </c>
      <c r="K703">
        <f t="shared" si="40"/>
        <v>17.934860228999995</v>
      </c>
      <c r="L703">
        <v>682</v>
      </c>
      <c r="M703">
        <v>219</v>
      </c>
      <c r="N703">
        <v>682</v>
      </c>
      <c r="O703">
        <v>36.034934997999997</v>
      </c>
      <c r="P703">
        <f t="shared" si="38"/>
        <v>103.68486785899999</v>
      </c>
    </row>
    <row r="704" spans="1:16">
      <c r="A704">
        <f t="shared" si="39"/>
        <v>1312.5226370821442</v>
      </c>
      <c r="B704">
        <v>683</v>
      </c>
      <c r="C704">
        <v>112.91970825200001</v>
      </c>
      <c r="D704">
        <v>683</v>
      </c>
      <c r="E704">
        <v>129.46934509299999</v>
      </c>
      <c r="F704">
        <v>683</v>
      </c>
      <c r="G704">
        <v>109.999832153</v>
      </c>
      <c r="H704">
        <v>683</v>
      </c>
      <c r="I704">
        <v>113.843742371</v>
      </c>
      <c r="K704">
        <f t="shared" si="40"/>
        <v>15.625602721999982</v>
      </c>
      <c r="L704">
        <v>683</v>
      </c>
      <c r="M704">
        <v>218.91207885700001</v>
      </c>
      <c r="N704">
        <v>683</v>
      </c>
      <c r="O704">
        <v>36.631637572999999</v>
      </c>
      <c r="P704">
        <f t="shared" si="38"/>
        <v>105.992370605</v>
      </c>
    </row>
    <row r="705" spans="1:16">
      <c r="A705">
        <f t="shared" si="39"/>
        <v>1313.4487317191606</v>
      </c>
      <c r="B705">
        <v>684</v>
      </c>
      <c r="C705">
        <v>114.026741028</v>
      </c>
      <c r="D705">
        <v>684</v>
      </c>
      <c r="E705">
        <v>130.833129883</v>
      </c>
      <c r="F705">
        <v>684</v>
      </c>
      <c r="G705">
        <v>109.34500885</v>
      </c>
      <c r="H705">
        <v>684</v>
      </c>
      <c r="I705">
        <v>114.66666412399999</v>
      </c>
      <c r="K705">
        <f t="shared" si="40"/>
        <v>16.166465759000005</v>
      </c>
      <c r="L705">
        <v>684</v>
      </c>
      <c r="M705">
        <v>218</v>
      </c>
      <c r="N705">
        <v>684</v>
      </c>
      <c r="O705">
        <v>37</v>
      </c>
      <c r="P705">
        <f t="shared" si="38"/>
        <v>103.973258972</v>
      </c>
    </row>
    <row r="706" spans="1:16">
      <c r="A706">
        <f t="shared" si="39"/>
        <v>1314.374826356177</v>
      </c>
      <c r="B706">
        <v>685</v>
      </c>
      <c r="C706">
        <v>114.985374451</v>
      </c>
      <c r="D706">
        <v>685</v>
      </c>
      <c r="E706">
        <v>127.73363494900001</v>
      </c>
      <c r="F706">
        <v>685</v>
      </c>
      <c r="G706">
        <v>109.93031311</v>
      </c>
      <c r="H706">
        <v>685</v>
      </c>
      <c r="I706">
        <v>114.115196228</v>
      </c>
      <c r="K706">
        <f t="shared" si="40"/>
        <v>13.618438721000004</v>
      </c>
      <c r="L706">
        <v>685</v>
      </c>
      <c r="M706">
        <v>218</v>
      </c>
      <c r="N706">
        <v>685</v>
      </c>
      <c r="O706">
        <v>37</v>
      </c>
      <c r="P706">
        <f t="shared" si="38"/>
        <v>103.014625549</v>
      </c>
    </row>
    <row r="707" spans="1:16">
      <c r="A707">
        <f t="shared" si="39"/>
        <v>1315.3009209931931</v>
      </c>
      <c r="B707">
        <v>686</v>
      </c>
      <c r="C707">
        <v>112.991821289</v>
      </c>
      <c r="D707">
        <v>686</v>
      </c>
      <c r="E707">
        <v>122.543174744</v>
      </c>
      <c r="F707">
        <v>686</v>
      </c>
      <c r="G707">
        <v>108.94741058300001</v>
      </c>
      <c r="H707">
        <v>686</v>
      </c>
      <c r="I707">
        <v>113.66666412399999</v>
      </c>
      <c r="K707">
        <f t="shared" si="40"/>
        <v>8.8765106200000048</v>
      </c>
      <c r="L707">
        <v>686</v>
      </c>
      <c r="M707">
        <v>218</v>
      </c>
      <c r="N707">
        <v>686</v>
      </c>
      <c r="O707">
        <v>37</v>
      </c>
      <c r="P707">
        <f t="shared" si="38"/>
        <v>105.008178711</v>
      </c>
    </row>
    <row r="708" spans="1:16">
      <c r="A708">
        <f t="shared" si="39"/>
        <v>1316.2270156302095</v>
      </c>
      <c r="B708">
        <v>687</v>
      </c>
      <c r="C708">
        <v>110.79655456499999</v>
      </c>
      <c r="D708">
        <v>687</v>
      </c>
      <c r="E708">
        <v>128.62075805699999</v>
      </c>
      <c r="F708">
        <v>687</v>
      </c>
      <c r="G708">
        <v>108.589668274</v>
      </c>
      <c r="H708">
        <v>687</v>
      </c>
      <c r="I708">
        <v>113.406585693</v>
      </c>
      <c r="K708">
        <f t="shared" si="40"/>
        <v>15.214172363999992</v>
      </c>
      <c r="L708">
        <v>687</v>
      </c>
      <c r="M708">
        <v>218</v>
      </c>
      <c r="N708">
        <v>687</v>
      </c>
      <c r="O708">
        <v>37</v>
      </c>
      <c r="P708">
        <f t="shared" si="38"/>
        <v>107.20344543500001</v>
      </c>
    </row>
    <row r="709" spans="1:16">
      <c r="A709">
        <f t="shared" si="39"/>
        <v>1317.1531102672257</v>
      </c>
      <c r="B709">
        <v>688</v>
      </c>
      <c r="C709">
        <v>114.68228912399999</v>
      </c>
      <c r="D709">
        <v>688</v>
      </c>
      <c r="E709">
        <v>130.49995422399999</v>
      </c>
      <c r="F709">
        <v>688</v>
      </c>
      <c r="G709">
        <v>109.47631072999999</v>
      </c>
      <c r="H709">
        <v>688</v>
      </c>
      <c r="I709">
        <v>112.71764373800001</v>
      </c>
      <c r="K709">
        <f t="shared" si="40"/>
        <v>17.782310485999986</v>
      </c>
      <c r="L709">
        <v>688</v>
      </c>
      <c r="M709">
        <v>218</v>
      </c>
      <c r="N709">
        <v>688</v>
      </c>
      <c r="O709">
        <v>37</v>
      </c>
      <c r="P709">
        <f t="shared" si="38"/>
        <v>103.31771087600001</v>
      </c>
    </row>
    <row r="710" spans="1:16">
      <c r="A710">
        <f t="shared" si="39"/>
        <v>1318.079204904242</v>
      </c>
      <c r="B710">
        <v>689</v>
      </c>
      <c r="C710">
        <v>114.80288696300001</v>
      </c>
      <c r="D710">
        <v>689</v>
      </c>
      <c r="E710">
        <v>127.670806885</v>
      </c>
      <c r="F710">
        <v>689</v>
      </c>
      <c r="G710">
        <v>110.41976928699999</v>
      </c>
      <c r="H710">
        <v>689</v>
      </c>
      <c r="I710">
        <v>112</v>
      </c>
      <c r="K710">
        <f t="shared" si="40"/>
        <v>15.670806885000005</v>
      </c>
      <c r="L710">
        <v>689</v>
      </c>
      <c r="M710">
        <v>218</v>
      </c>
      <c r="N710">
        <v>689</v>
      </c>
      <c r="O710">
        <v>37</v>
      </c>
      <c r="P710">
        <f t="shared" si="38"/>
        <v>103.19711303699999</v>
      </c>
    </row>
    <row r="711" spans="1:16">
      <c r="A711">
        <f t="shared" si="39"/>
        <v>1319.0052995412584</v>
      </c>
      <c r="B711">
        <v>690</v>
      </c>
      <c r="C711">
        <v>112.542144775</v>
      </c>
      <c r="D711">
        <v>690</v>
      </c>
      <c r="E711">
        <v>130.514129639</v>
      </c>
      <c r="F711">
        <v>690</v>
      </c>
      <c r="G711">
        <v>109.987670898</v>
      </c>
      <c r="H711">
        <v>690</v>
      </c>
      <c r="I711">
        <v>111.95098114</v>
      </c>
      <c r="K711">
        <f t="shared" si="40"/>
        <v>18.563148499000008</v>
      </c>
      <c r="L711">
        <v>690</v>
      </c>
      <c r="M711">
        <v>218</v>
      </c>
      <c r="N711">
        <v>690</v>
      </c>
      <c r="O711">
        <v>37</v>
      </c>
      <c r="P711">
        <f t="shared" si="38"/>
        <v>105.457855225</v>
      </c>
    </row>
    <row r="712" spans="1:16">
      <c r="A712">
        <f t="shared" si="39"/>
        <v>1319.9313941782748</v>
      </c>
      <c r="B712">
        <v>691</v>
      </c>
      <c r="C712">
        <v>111.59194946300001</v>
      </c>
      <c r="D712">
        <v>691</v>
      </c>
      <c r="E712">
        <v>131.00521850600001</v>
      </c>
      <c r="F712">
        <v>691</v>
      </c>
      <c r="G712">
        <v>109.66666412399999</v>
      </c>
      <c r="H712">
        <v>691</v>
      </c>
      <c r="I712">
        <v>111.806945801</v>
      </c>
      <c r="K712">
        <f t="shared" si="40"/>
        <v>19.198272705000008</v>
      </c>
      <c r="L712">
        <v>691</v>
      </c>
      <c r="M712">
        <v>218</v>
      </c>
      <c r="N712">
        <v>691</v>
      </c>
      <c r="O712">
        <v>37</v>
      </c>
      <c r="P712">
        <f t="shared" si="38"/>
        <v>106.40805053699999</v>
      </c>
    </row>
    <row r="713" spans="1:16">
      <c r="A713">
        <f t="shared" si="39"/>
        <v>1320.8574888152912</v>
      </c>
      <c r="B713">
        <v>692</v>
      </c>
      <c r="C713">
        <v>109.457473755</v>
      </c>
      <c r="D713">
        <v>692</v>
      </c>
      <c r="E713">
        <v>126.841041565</v>
      </c>
      <c r="F713">
        <v>692</v>
      </c>
      <c r="G713">
        <v>109.37137603799999</v>
      </c>
      <c r="H713">
        <v>692</v>
      </c>
      <c r="I713">
        <v>111.652778625</v>
      </c>
      <c r="K713">
        <f t="shared" si="40"/>
        <v>15.188262940000001</v>
      </c>
      <c r="L713">
        <v>692</v>
      </c>
      <c r="M713">
        <v>217.59613037099999</v>
      </c>
      <c r="N713">
        <v>692</v>
      </c>
      <c r="O713">
        <v>37.429637909</v>
      </c>
      <c r="P713">
        <f t="shared" si="38"/>
        <v>108.13865661599999</v>
      </c>
    </row>
    <row r="714" spans="1:16">
      <c r="A714">
        <f t="shared" si="39"/>
        <v>1321.7835834523075</v>
      </c>
      <c r="B714">
        <v>693</v>
      </c>
      <c r="C714">
        <v>112.79318237299999</v>
      </c>
      <c r="D714">
        <v>693</v>
      </c>
      <c r="E714">
        <v>125.483970642</v>
      </c>
      <c r="F714">
        <v>693</v>
      </c>
      <c r="G714">
        <v>108.197525024</v>
      </c>
      <c r="H714">
        <v>693</v>
      </c>
      <c r="I714">
        <v>112.434715271</v>
      </c>
      <c r="K714">
        <f t="shared" si="40"/>
        <v>13.049255371000001</v>
      </c>
      <c r="L714">
        <v>693</v>
      </c>
      <c r="M714">
        <v>217</v>
      </c>
      <c r="N714">
        <v>693</v>
      </c>
      <c r="O714">
        <v>38</v>
      </c>
      <c r="P714">
        <f t="shared" si="38"/>
        <v>104.20681762700001</v>
      </c>
    </row>
    <row r="715" spans="1:16">
      <c r="A715">
        <f t="shared" si="39"/>
        <v>1322.7096780893237</v>
      </c>
      <c r="B715">
        <v>694</v>
      </c>
      <c r="C715">
        <v>110.37448883099999</v>
      </c>
      <c r="D715">
        <v>694</v>
      </c>
      <c r="E715">
        <v>126.725204468</v>
      </c>
      <c r="F715">
        <v>694</v>
      </c>
      <c r="G715">
        <v>107.713150024</v>
      </c>
      <c r="H715">
        <v>694</v>
      </c>
      <c r="I715">
        <v>109.89705658</v>
      </c>
      <c r="K715">
        <f t="shared" si="40"/>
        <v>16.828147888000004</v>
      </c>
      <c r="L715">
        <v>694</v>
      </c>
      <c r="M715">
        <v>217</v>
      </c>
      <c r="N715">
        <v>694</v>
      </c>
      <c r="O715">
        <v>38</v>
      </c>
      <c r="P715">
        <f t="shared" si="38"/>
        <v>106.62551116900001</v>
      </c>
    </row>
    <row r="716" spans="1:16">
      <c r="A716">
        <f t="shared" si="39"/>
        <v>1323.6357727263398</v>
      </c>
      <c r="B716">
        <v>695</v>
      </c>
      <c r="C716">
        <v>110.762275696</v>
      </c>
      <c r="D716">
        <v>695</v>
      </c>
      <c r="E716">
        <v>127.22336578399999</v>
      </c>
      <c r="F716">
        <v>695</v>
      </c>
      <c r="G716">
        <v>107.457054138</v>
      </c>
      <c r="H716">
        <v>695</v>
      </c>
      <c r="I716">
        <v>110.532112122</v>
      </c>
      <c r="K716">
        <f t="shared" si="40"/>
        <v>16.691253661999994</v>
      </c>
      <c r="L716">
        <v>695</v>
      </c>
      <c r="M716">
        <v>217</v>
      </c>
      <c r="N716">
        <v>695</v>
      </c>
      <c r="O716">
        <v>38</v>
      </c>
      <c r="P716">
        <f t="shared" si="38"/>
        <v>106.237724304</v>
      </c>
    </row>
    <row r="717" spans="1:16">
      <c r="A717">
        <f t="shared" si="39"/>
        <v>1324.5618673633562</v>
      </c>
      <c r="B717">
        <v>696</v>
      </c>
      <c r="C717">
        <v>114.467666626</v>
      </c>
      <c r="D717">
        <v>696</v>
      </c>
      <c r="E717">
        <v>127.526428223</v>
      </c>
      <c r="F717">
        <v>696</v>
      </c>
      <c r="G717">
        <v>106.964355469</v>
      </c>
      <c r="H717">
        <v>696</v>
      </c>
      <c r="I717">
        <v>111.184356689</v>
      </c>
      <c r="K717">
        <f t="shared" si="40"/>
        <v>16.342071533999999</v>
      </c>
      <c r="L717">
        <v>696</v>
      </c>
      <c r="M717">
        <v>217</v>
      </c>
      <c r="N717">
        <v>696</v>
      </c>
      <c r="O717">
        <v>38</v>
      </c>
      <c r="P717">
        <f t="shared" si="38"/>
        <v>102.532333374</v>
      </c>
    </row>
    <row r="718" spans="1:16">
      <c r="A718">
        <f t="shared" si="39"/>
        <v>1325.4879620003726</v>
      </c>
      <c r="B718">
        <v>697</v>
      </c>
      <c r="C718">
        <v>112.586128235</v>
      </c>
      <c r="D718">
        <v>697</v>
      </c>
      <c r="E718">
        <v>127</v>
      </c>
      <c r="F718">
        <v>697</v>
      </c>
      <c r="G718">
        <v>108.022850037</v>
      </c>
      <c r="H718">
        <v>697</v>
      </c>
      <c r="I718">
        <v>110.54166412399999</v>
      </c>
      <c r="K718">
        <f t="shared" si="40"/>
        <v>16.458335876000007</v>
      </c>
      <c r="L718">
        <v>697</v>
      </c>
      <c r="M718">
        <v>217</v>
      </c>
      <c r="N718">
        <v>697</v>
      </c>
      <c r="O718">
        <v>38</v>
      </c>
      <c r="P718">
        <f t="shared" si="38"/>
        <v>104.413871765</v>
      </c>
    </row>
    <row r="719" spans="1:16">
      <c r="A719">
        <f t="shared" si="39"/>
        <v>1326.414056637389</v>
      </c>
      <c r="B719">
        <v>698</v>
      </c>
      <c r="C719">
        <v>110.089546204</v>
      </c>
      <c r="D719">
        <v>698</v>
      </c>
      <c r="E719">
        <v>127.284889221</v>
      </c>
      <c r="F719">
        <v>698</v>
      </c>
      <c r="G719">
        <v>108.738121033</v>
      </c>
      <c r="H719">
        <v>698</v>
      </c>
      <c r="I719">
        <v>110.74644470200001</v>
      </c>
      <c r="K719">
        <f t="shared" si="40"/>
        <v>16.538444518999995</v>
      </c>
      <c r="L719">
        <v>698</v>
      </c>
      <c r="M719">
        <v>217</v>
      </c>
      <c r="N719">
        <v>698</v>
      </c>
      <c r="O719">
        <v>38</v>
      </c>
      <c r="P719">
        <f t="shared" si="38"/>
        <v>106.910453796</v>
      </c>
    </row>
    <row r="720" spans="1:16">
      <c r="A720">
        <f t="shared" si="39"/>
        <v>1327.3401512744053</v>
      </c>
      <c r="B720">
        <v>699</v>
      </c>
      <c r="C720">
        <v>112.817298889</v>
      </c>
      <c r="D720">
        <v>699</v>
      </c>
      <c r="E720">
        <v>128.39901733400001</v>
      </c>
      <c r="F720">
        <v>699</v>
      </c>
      <c r="G720">
        <v>108.908233643</v>
      </c>
      <c r="H720">
        <v>699</v>
      </c>
      <c r="I720">
        <v>112.300491333</v>
      </c>
      <c r="K720">
        <f t="shared" si="40"/>
        <v>16.09852600100001</v>
      </c>
      <c r="L720">
        <v>699</v>
      </c>
      <c r="M720">
        <v>217</v>
      </c>
      <c r="N720">
        <v>699</v>
      </c>
      <c r="O720">
        <v>38</v>
      </c>
      <c r="P720">
        <f t="shared" si="38"/>
        <v>104.182701111</v>
      </c>
    </row>
    <row r="721" spans="1:16">
      <c r="A721">
        <f t="shared" si="39"/>
        <v>1328.2662459114217</v>
      </c>
      <c r="B721">
        <v>700</v>
      </c>
      <c r="C721">
        <v>114.017967224</v>
      </c>
      <c r="D721">
        <v>700</v>
      </c>
      <c r="E721">
        <v>130.15184020999999</v>
      </c>
      <c r="F721">
        <v>700</v>
      </c>
      <c r="G721">
        <v>109.226036072</v>
      </c>
      <c r="H721">
        <v>700</v>
      </c>
      <c r="I721">
        <v>114.314880371</v>
      </c>
      <c r="K721">
        <f t="shared" si="40"/>
        <v>15.836959838999988</v>
      </c>
      <c r="L721">
        <v>700</v>
      </c>
      <c r="M721">
        <v>217</v>
      </c>
      <c r="N721">
        <v>700</v>
      </c>
      <c r="O721">
        <v>38</v>
      </c>
      <c r="P721">
        <f t="shared" si="38"/>
        <v>102.982032776</v>
      </c>
    </row>
    <row r="722" spans="1:16">
      <c r="A722">
        <f t="shared" si="39"/>
        <v>1329.1923405484379</v>
      </c>
      <c r="B722">
        <v>701</v>
      </c>
      <c r="C722">
        <v>112.97668457</v>
      </c>
      <c r="D722">
        <v>701</v>
      </c>
      <c r="E722">
        <v>130.43606567399999</v>
      </c>
      <c r="F722">
        <v>701</v>
      </c>
      <c r="G722">
        <v>108.35848999</v>
      </c>
      <c r="H722">
        <v>701</v>
      </c>
      <c r="I722">
        <v>115.116172791</v>
      </c>
      <c r="K722">
        <f t="shared" si="40"/>
        <v>15.319892882999994</v>
      </c>
      <c r="L722">
        <v>701</v>
      </c>
      <c r="M722">
        <v>216.679244995</v>
      </c>
      <c r="N722">
        <v>701</v>
      </c>
      <c r="O722">
        <v>38.719821930000002</v>
      </c>
      <c r="P722">
        <f t="shared" si="38"/>
        <v>103.702560425</v>
      </c>
    </row>
    <row r="723" spans="1:16">
      <c r="A723">
        <f t="shared" si="39"/>
        <v>1330.1184351854542</v>
      </c>
      <c r="B723">
        <v>702</v>
      </c>
      <c r="C723">
        <v>110.98188018800001</v>
      </c>
      <c r="D723">
        <v>702</v>
      </c>
      <c r="E723">
        <v>129.05581665</v>
      </c>
      <c r="F723">
        <v>702</v>
      </c>
      <c r="G723">
        <v>108.604484558</v>
      </c>
      <c r="H723">
        <v>702</v>
      </c>
      <c r="I723">
        <v>116.083877563</v>
      </c>
      <c r="K723">
        <f t="shared" si="40"/>
        <v>12.971939086999996</v>
      </c>
      <c r="L723">
        <v>702</v>
      </c>
      <c r="M723">
        <v>216.061569214</v>
      </c>
      <c r="N723">
        <v>702</v>
      </c>
      <c r="O723">
        <v>39</v>
      </c>
      <c r="P723">
        <f t="shared" si="38"/>
        <v>105.079689026</v>
      </c>
    </row>
    <row r="724" spans="1:16">
      <c r="A724">
        <f t="shared" si="39"/>
        <v>1331.0445298224704</v>
      </c>
      <c r="B724">
        <v>703</v>
      </c>
      <c r="C724">
        <v>111.175491333</v>
      </c>
      <c r="D724">
        <v>703</v>
      </c>
      <c r="E724">
        <v>129.41661071799999</v>
      </c>
      <c r="F724">
        <v>703</v>
      </c>
      <c r="G724">
        <v>108.829109192</v>
      </c>
      <c r="H724">
        <v>703</v>
      </c>
      <c r="I724">
        <v>114.616950989</v>
      </c>
      <c r="K724">
        <f t="shared" si="40"/>
        <v>14.799659728999984</v>
      </c>
      <c r="L724">
        <v>703</v>
      </c>
      <c r="M724">
        <v>216</v>
      </c>
      <c r="N724">
        <v>703</v>
      </c>
      <c r="O724">
        <v>39</v>
      </c>
      <c r="P724">
        <f t="shared" si="38"/>
        <v>104.824508667</v>
      </c>
    </row>
    <row r="725" spans="1:16">
      <c r="A725">
        <f t="shared" si="39"/>
        <v>1331.9706244594868</v>
      </c>
      <c r="B725">
        <v>704</v>
      </c>
      <c r="C725">
        <v>111.48828125</v>
      </c>
      <c r="D725">
        <v>704</v>
      </c>
      <c r="E725">
        <v>130.22735595699999</v>
      </c>
      <c r="F725">
        <v>704</v>
      </c>
      <c r="G725">
        <v>108.259338379</v>
      </c>
      <c r="H725">
        <v>704</v>
      </c>
      <c r="I725">
        <v>111.84770965600001</v>
      </c>
      <c r="K725">
        <f t="shared" si="40"/>
        <v>18.37964630099998</v>
      </c>
      <c r="L725">
        <v>704</v>
      </c>
      <c r="M725">
        <v>216</v>
      </c>
      <c r="N725">
        <v>704</v>
      </c>
      <c r="O725">
        <v>39</v>
      </c>
      <c r="P725">
        <f t="shared" ref="P725:P788" si="41">M725-C725</f>
        <v>104.51171875</v>
      </c>
    </row>
    <row r="726" spans="1:16">
      <c r="A726">
        <f t="shared" ref="A726:A789" si="42">680 +B726*COS(ABS($J$8)*PI()/180)</f>
        <v>1332.8967190965031</v>
      </c>
      <c r="B726">
        <v>705</v>
      </c>
      <c r="C726">
        <v>114.47799682599999</v>
      </c>
      <c r="D726">
        <v>705</v>
      </c>
      <c r="E726">
        <v>128.67510986299999</v>
      </c>
      <c r="F726">
        <v>705</v>
      </c>
      <c r="G726">
        <v>106.941734314</v>
      </c>
      <c r="H726">
        <v>705</v>
      </c>
      <c r="I726">
        <v>112.34703064</v>
      </c>
      <c r="K726">
        <f t="shared" ref="K726:K789" si="43">E726-I726</f>
        <v>16.328079222999989</v>
      </c>
      <c r="L726">
        <v>705</v>
      </c>
      <c r="M726">
        <v>216</v>
      </c>
      <c r="N726">
        <v>705</v>
      </c>
      <c r="O726">
        <v>39</v>
      </c>
      <c r="P726">
        <f t="shared" si="41"/>
        <v>101.52200317400001</v>
      </c>
    </row>
    <row r="727" spans="1:16">
      <c r="A727">
        <f t="shared" si="42"/>
        <v>1333.8228137335195</v>
      </c>
      <c r="B727">
        <v>706</v>
      </c>
      <c r="C727">
        <v>114.839401245</v>
      </c>
      <c r="D727">
        <v>706</v>
      </c>
      <c r="E727">
        <v>125.00440979</v>
      </c>
      <c r="F727">
        <v>706</v>
      </c>
      <c r="G727">
        <v>107.00894165</v>
      </c>
      <c r="H727">
        <v>706</v>
      </c>
      <c r="I727">
        <v>114.17842865</v>
      </c>
      <c r="K727">
        <f t="shared" si="43"/>
        <v>10.825981139999996</v>
      </c>
      <c r="L727">
        <v>706</v>
      </c>
      <c r="M727">
        <v>216</v>
      </c>
      <c r="N727">
        <v>706</v>
      </c>
      <c r="O727">
        <v>39</v>
      </c>
      <c r="P727">
        <f t="shared" si="41"/>
        <v>101.160598755</v>
      </c>
    </row>
    <row r="728" spans="1:16">
      <c r="A728">
        <f t="shared" si="42"/>
        <v>1334.7489083705359</v>
      </c>
      <c r="B728">
        <v>707</v>
      </c>
      <c r="C728">
        <v>109.913208008</v>
      </c>
      <c r="D728">
        <v>707</v>
      </c>
      <c r="E728">
        <v>123.60859680199999</v>
      </c>
      <c r="F728">
        <v>707</v>
      </c>
      <c r="G728">
        <v>107.64729309099999</v>
      </c>
      <c r="H728">
        <v>707</v>
      </c>
      <c r="I728">
        <v>114.49356842</v>
      </c>
      <c r="K728">
        <f t="shared" si="43"/>
        <v>9.1150283819999913</v>
      </c>
      <c r="L728">
        <v>707</v>
      </c>
      <c r="M728">
        <v>216</v>
      </c>
      <c r="N728">
        <v>707</v>
      </c>
      <c r="O728">
        <v>39</v>
      </c>
      <c r="P728">
        <f t="shared" si="41"/>
        <v>106.086791992</v>
      </c>
    </row>
    <row r="729" spans="1:16">
      <c r="A729">
        <f t="shared" si="42"/>
        <v>1335.6750030075523</v>
      </c>
      <c r="B729">
        <v>708</v>
      </c>
      <c r="C729">
        <v>112.50997924799999</v>
      </c>
      <c r="D729">
        <v>708</v>
      </c>
      <c r="E729">
        <v>127.52558136</v>
      </c>
      <c r="F729">
        <v>708</v>
      </c>
      <c r="G729">
        <v>107.739303589</v>
      </c>
      <c r="H729">
        <v>708</v>
      </c>
      <c r="I729">
        <v>113.142448425</v>
      </c>
      <c r="K729">
        <f t="shared" si="43"/>
        <v>14.383132935000006</v>
      </c>
      <c r="L729">
        <v>708</v>
      </c>
      <c r="M729">
        <v>216</v>
      </c>
      <c r="N729">
        <v>708</v>
      </c>
      <c r="O729">
        <v>39</v>
      </c>
      <c r="P729">
        <f t="shared" si="41"/>
        <v>103.49002075200001</v>
      </c>
    </row>
    <row r="730" spans="1:16">
      <c r="A730">
        <f t="shared" si="42"/>
        <v>1336.6010976445684</v>
      </c>
      <c r="B730">
        <v>709</v>
      </c>
      <c r="C730">
        <v>112.373603821</v>
      </c>
      <c r="D730">
        <v>709</v>
      </c>
      <c r="E730">
        <v>127.729408264</v>
      </c>
      <c r="F730">
        <v>709</v>
      </c>
      <c r="G730">
        <v>106.714515686</v>
      </c>
      <c r="H730">
        <v>709</v>
      </c>
      <c r="I730">
        <v>111.40351867699999</v>
      </c>
      <c r="K730">
        <f t="shared" si="43"/>
        <v>16.325889587000006</v>
      </c>
      <c r="L730">
        <v>709</v>
      </c>
      <c r="M730">
        <v>216</v>
      </c>
      <c r="N730">
        <v>709</v>
      </c>
      <c r="O730">
        <v>39</v>
      </c>
      <c r="P730">
        <f t="shared" si="41"/>
        <v>103.626396179</v>
      </c>
    </row>
    <row r="731" spans="1:16">
      <c r="A731">
        <f t="shared" si="42"/>
        <v>1337.5271922815848</v>
      </c>
      <c r="B731">
        <v>710</v>
      </c>
      <c r="C731">
        <v>109.76361084</v>
      </c>
      <c r="D731">
        <v>710</v>
      </c>
      <c r="E731">
        <v>128.347564697</v>
      </c>
      <c r="F731">
        <v>710</v>
      </c>
      <c r="G731">
        <v>106.395927429</v>
      </c>
      <c r="H731">
        <v>710</v>
      </c>
      <c r="I731">
        <v>110.68238067599999</v>
      </c>
      <c r="K731">
        <f t="shared" si="43"/>
        <v>17.665184021000002</v>
      </c>
      <c r="L731">
        <v>710</v>
      </c>
      <c r="M731">
        <v>216</v>
      </c>
      <c r="N731">
        <v>710</v>
      </c>
      <c r="O731">
        <v>39</v>
      </c>
      <c r="P731">
        <f t="shared" si="41"/>
        <v>106.23638916</v>
      </c>
    </row>
    <row r="732" spans="1:16">
      <c r="A732">
        <f t="shared" si="42"/>
        <v>1338.453286918601</v>
      </c>
      <c r="B732">
        <v>711</v>
      </c>
      <c r="C732">
        <v>109.85218811</v>
      </c>
      <c r="D732">
        <v>711</v>
      </c>
      <c r="E732">
        <v>127.08817291299999</v>
      </c>
      <c r="F732">
        <v>711</v>
      </c>
      <c r="G732">
        <v>106.33333587600001</v>
      </c>
      <c r="H732">
        <v>711</v>
      </c>
      <c r="I732">
        <v>111.791381836</v>
      </c>
      <c r="K732">
        <f t="shared" si="43"/>
        <v>15.296791076999995</v>
      </c>
      <c r="L732">
        <v>711</v>
      </c>
      <c r="M732">
        <v>216</v>
      </c>
      <c r="N732">
        <v>711</v>
      </c>
      <c r="O732">
        <v>39</v>
      </c>
      <c r="P732">
        <f t="shared" si="41"/>
        <v>106.14781189</v>
      </c>
    </row>
    <row r="733" spans="1:16">
      <c r="A733">
        <f t="shared" si="42"/>
        <v>1339.3793815556173</v>
      </c>
      <c r="B733">
        <v>712</v>
      </c>
      <c r="C733">
        <v>108.557525635</v>
      </c>
      <c r="D733">
        <v>712</v>
      </c>
      <c r="E733">
        <v>126.30271911600001</v>
      </c>
      <c r="F733">
        <v>712</v>
      </c>
      <c r="G733">
        <v>106.33333587600001</v>
      </c>
      <c r="H733">
        <v>712</v>
      </c>
      <c r="I733">
        <v>111.14901733400001</v>
      </c>
      <c r="K733">
        <f t="shared" si="43"/>
        <v>15.153701781999999</v>
      </c>
      <c r="L733">
        <v>712</v>
      </c>
      <c r="M733">
        <v>216</v>
      </c>
      <c r="N733">
        <v>712</v>
      </c>
      <c r="O733">
        <v>39</v>
      </c>
      <c r="P733">
        <f t="shared" si="41"/>
        <v>107.442474365</v>
      </c>
    </row>
    <row r="734" spans="1:16">
      <c r="A734">
        <f t="shared" si="42"/>
        <v>1340.3054761926337</v>
      </c>
      <c r="B734">
        <v>713</v>
      </c>
      <c r="C734">
        <v>107.513771057</v>
      </c>
      <c r="D734">
        <v>713</v>
      </c>
      <c r="E734">
        <v>126.867195129</v>
      </c>
      <c r="F734">
        <v>713</v>
      </c>
      <c r="G734">
        <v>106.246894836</v>
      </c>
      <c r="H734">
        <v>713</v>
      </c>
      <c r="I734">
        <v>109.17255401600001</v>
      </c>
      <c r="K734">
        <f t="shared" si="43"/>
        <v>17.694641112999989</v>
      </c>
      <c r="L734">
        <v>713</v>
      </c>
      <c r="M734">
        <v>216</v>
      </c>
      <c r="N734">
        <v>713</v>
      </c>
      <c r="O734">
        <v>39.069820403999998</v>
      </c>
      <c r="P734">
        <f t="shared" si="41"/>
        <v>108.486228943</v>
      </c>
    </row>
    <row r="735" spans="1:16">
      <c r="A735">
        <f t="shared" si="42"/>
        <v>1341.2315708296501</v>
      </c>
      <c r="B735">
        <v>714</v>
      </c>
      <c r="C735">
        <v>109.75126647899999</v>
      </c>
      <c r="D735">
        <v>714</v>
      </c>
      <c r="E735">
        <v>128.441894531</v>
      </c>
      <c r="F735">
        <v>714</v>
      </c>
      <c r="G735">
        <v>105.99329376199999</v>
      </c>
      <c r="H735">
        <v>714</v>
      </c>
      <c r="I735">
        <v>108.650001526</v>
      </c>
      <c r="K735">
        <f t="shared" si="43"/>
        <v>19.791893005000006</v>
      </c>
      <c r="L735">
        <v>714</v>
      </c>
      <c r="M735">
        <v>215.703369141</v>
      </c>
      <c r="N735">
        <v>714</v>
      </c>
      <c r="O735">
        <v>39.857677459999998</v>
      </c>
      <c r="P735">
        <f t="shared" si="41"/>
        <v>105.952102662</v>
      </c>
    </row>
    <row r="736" spans="1:16">
      <c r="A736">
        <f t="shared" si="42"/>
        <v>1342.1576654666665</v>
      </c>
      <c r="B736">
        <v>715</v>
      </c>
      <c r="C736">
        <v>110.06363678</v>
      </c>
      <c r="D736">
        <v>715</v>
      </c>
      <c r="E736">
        <v>127.73478698700001</v>
      </c>
      <c r="F736">
        <v>715</v>
      </c>
      <c r="G736">
        <v>105.43331146200001</v>
      </c>
      <c r="H736">
        <v>715</v>
      </c>
      <c r="I736">
        <v>110.04901886</v>
      </c>
      <c r="K736">
        <f t="shared" si="43"/>
        <v>17.685768127000003</v>
      </c>
      <c r="L736">
        <v>715</v>
      </c>
      <c r="M736">
        <v>215.073364258</v>
      </c>
      <c r="N736">
        <v>715</v>
      </c>
      <c r="O736">
        <v>40</v>
      </c>
      <c r="P736">
        <f t="shared" si="41"/>
        <v>105.009727478</v>
      </c>
    </row>
    <row r="737" spans="1:16">
      <c r="A737">
        <f t="shared" si="42"/>
        <v>1343.0837601036826</v>
      </c>
      <c r="B737">
        <v>716</v>
      </c>
      <c r="C737">
        <v>108.358360291</v>
      </c>
      <c r="D737">
        <v>716</v>
      </c>
      <c r="E737">
        <v>125.57539367699999</v>
      </c>
      <c r="F737">
        <v>716</v>
      </c>
      <c r="G737">
        <v>106.148536682</v>
      </c>
      <c r="H737">
        <v>716</v>
      </c>
      <c r="I737">
        <v>109.998985291</v>
      </c>
      <c r="K737">
        <f t="shared" si="43"/>
        <v>15.576408385999997</v>
      </c>
      <c r="L737">
        <v>716</v>
      </c>
      <c r="M737">
        <v>215</v>
      </c>
      <c r="N737">
        <v>716</v>
      </c>
      <c r="O737">
        <v>40</v>
      </c>
      <c r="P737">
        <f t="shared" si="41"/>
        <v>106.641639709</v>
      </c>
    </row>
    <row r="738" spans="1:16">
      <c r="A738">
        <f t="shared" si="42"/>
        <v>1344.009854740699</v>
      </c>
      <c r="B738">
        <v>717</v>
      </c>
      <c r="C738">
        <v>106.90967559800001</v>
      </c>
      <c r="D738">
        <v>717</v>
      </c>
      <c r="E738">
        <v>125.783233643</v>
      </c>
      <c r="F738">
        <v>717</v>
      </c>
      <c r="G738">
        <v>106.95181274399999</v>
      </c>
      <c r="H738">
        <v>717</v>
      </c>
      <c r="I738">
        <v>108.297546387</v>
      </c>
      <c r="K738">
        <f t="shared" si="43"/>
        <v>17.485687256000006</v>
      </c>
      <c r="L738">
        <v>717</v>
      </c>
      <c r="M738">
        <v>215</v>
      </c>
      <c r="N738">
        <v>717</v>
      </c>
      <c r="O738">
        <v>40</v>
      </c>
      <c r="P738">
        <f t="shared" si="41"/>
        <v>108.09032440199999</v>
      </c>
    </row>
    <row r="739" spans="1:16">
      <c r="A739">
        <f t="shared" si="42"/>
        <v>1344.9359493777151</v>
      </c>
      <c r="B739">
        <v>718</v>
      </c>
      <c r="C739">
        <v>107.33281707800001</v>
      </c>
      <c r="D739">
        <v>718</v>
      </c>
      <c r="E739">
        <v>128.47492980999999</v>
      </c>
      <c r="F739">
        <v>718</v>
      </c>
      <c r="G739">
        <v>108.18862915</v>
      </c>
      <c r="H739">
        <v>718</v>
      </c>
      <c r="I739">
        <v>106.700416565</v>
      </c>
      <c r="K739">
        <f t="shared" si="43"/>
        <v>21.774513244999994</v>
      </c>
      <c r="L739">
        <v>718</v>
      </c>
      <c r="M739">
        <v>215</v>
      </c>
      <c r="N739">
        <v>718</v>
      </c>
      <c r="O739">
        <v>40</v>
      </c>
      <c r="P739">
        <f t="shared" si="41"/>
        <v>107.66718292199999</v>
      </c>
    </row>
    <row r="740" spans="1:16">
      <c r="A740">
        <f t="shared" si="42"/>
        <v>1345.8620440147315</v>
      </c>
      <c r="B740">
        <v>719</v>
      </c>
      <c r="C740">
        <v>109.102088928</v>
      </c>
      <c r="D740">
        <v>719</v>
      </c>
      <c r="E740">
        <v>129.71217346200001</v>
      </c>
      <c r="F740">
        <v>719</v>
      </c>
      <c r="G740">
        <v>109.696632385</v>
      </c>
      <c r="H740">
        <v>719</v>
      </c>
      <c r="I740">
        <v>105.84019470200001</v>
      </c>
      <c r="K740">
        <f t="shared" si="43"/>
        <v>23.871978760000005</v>
      </c>
      <c r="L740">
        <v>719</v>
      </c>
      <c r="M740">
        <v>215</v>
      </c>
      <c r="N740">
        <v>719</v>
      </c>
      <c r="O740">
        <v>40</v>
      </c>
      <c r="P740">
        <f t="shared" si="41"/>
        <v>105.897911072</v>
      </c>
    </row>
    <row r="741" spans="1:16">
      <c r="A741">
        <f t="shared" si="42"/>
        <v>1346.7881386517479</v>
      </c>
      <c r="B741">
        <v>720</v>
      </c>
      <c r="C741">
        <v>109.063850403</v>
      </c>
      <c r="D741">
        <v>720</v>
      </c>
      <c r="E741">
        <v>122.260726929</v>
      </c>
      <c r="F741">
        <v>720</v>
      </c>
      <c r="G741">
        <v>107.33479309099999</v>
      </c>
      <c r="H741">
        <v>720</v>
      </c>
      <c r="I741">
        <v>107.078430176</v>
      </c>
      <c r="K741">
        <f t="shared" si="43"/>
        <v>15.182296753000003</v>
      </c>
      <c r="L741">
        <v>720</v>
      </c>
      <c r="M741">
        <v>215</v>
      </c>
      <c r="N741">
        <v>720</v>
      </c>
      <c r="O741">
        <v>40</v>
      </c>
      <c r="P741">
        <f t="shared" si="41"/>
        <v>105.936149597</v>
      </c>
    </row>
    <row r="742" spans="1:16">
      <c r="A742">
        <f t="shared" si="42"/>
        <v>1347.7142332887643</v>
      </c>
      <c r="B742">
        <v>721</v>
      </c>
      <c r="C742">
        <v>108.907447815</v>
      </c>
      <c r="D742">
        <v>721</v>
      </c>
      <c r="E742">
        <v>125.85895538299999</v>
      </c>
      <c r="F742">
        <v>721</v>
      </c>
      <c r="G742">
        <v>103.583709717</v>
      </c>
      <c r="H742">
        <v>721</v>
      </c>
      <c r="I742">
        <v>109.312774658</v>
      </c>
      <c r="K742">
        <f t="shared" si="43"/>
        <v>16.546180724999999</v>
      </c>
      <c r="L742">
        <v>721</v>
      </c>
      <c r="M742">
        <v>215</v>
      </c>
      <c r="N742">
        <v>721</v>
      </c>
      <c r="O742">
        <v>40</v>
      </c>
      <c r="P742">
        <f t="shared" si="41"/>
        <v>106.092552185</v>
      </c>
    </row>
    <row r="743" spans="1:16">
      <c r="A743">
        <f t="shared" si="42"/>
        <v>1348.6403279257806</v>
      </c>
      <c r="B743">
        <v>722</v>
      </c>
      <c r="C743">
        <v>109.156974792</v>
      </c>
      <c r="D743">
        <v>722</v>
      </c>
      <c r="E743">
        <v>127.95986175500001</v>
      </c>
      <c r="F743">
        <v>722</v>
      </c>
      <c r="G743">
        <v>100.841033936</v>
      </c>
      <c r="H743">
        <v>722</v>
      </c>
      <c r="I743">
        <v>110.97555542000001</v>
      </c>
      <c r="K743">
        <f t="shared" si="43"/>
        <v>16.984306334999999</v>
      </c>
      <c r="L743">
        <v>722</v>
      </c>
      <c r="M743">
        <v>215</v>
      </c>
      <c r="N743">
        <v>722</v>
      </c>
      <c r="O743">
        <v>40</v>
      </c>
      <c r="P743">
        <f t="shared" si="41"/>
        <v>105.843025208</v>
      </c>
    </row>
    <row r="744" spans="1:16">
      <c r="A744">
        <f t="shared" si="42"/>
        <v>1349.566422562797</v>
      </c>
      <c r="B744">
        <v>723</v>
      </c>
      <c r="C744">
        <v>109.33744812</v>
      </c>
      <c r="D744">
        <v>723</v>
      </c>
      <c r="E744">
        <v>127.126976013</v>
      </c>
      <c r="F744">
        <v>723</v>
      </c>
      <c r="G744">
        <v>100.893188477</v>
      </c>
      <c r="H744">
        <v>723</v>
      </c>
      <c r="I744">
        <v>110.218521118</v>
      </c>
      <c r="K744">
        <f t="shared" si="43"/>
        <v>16.908454895000006</v>
      </c>
      <c r="L744">
        <v>723</v>
      </c>
      <c r="M744">
        <v>215</v>
      </c>
      <c r="N744">
        <v>723</v>
      </c>
      <c r="O744">
        <v>40</v>
      </c>
      <c r="P744">
        <f t="shared" si="41"/>
        <v>105.66255188</v>
      </c>
    </row>
    <row r="745" spans="1:16">
      <c r="A745">
        <f t="shared" si="42"/>
        <v>1350.4925171998132</v>
      </c>
      <c r="B745">
        <v>724</v>
      </c>
      <c r="C745">
        <v>109.30310821499999</v>
      </c>
      <c r="D745">
        <v>724</v>
      </c>
      <c r="E745">
        <v>126.64126586899999</v>
      </c>
      <c r="F745">
        <v>724</v>
      </c>
      <c r="G745">
        <v>104.089454651</v>
      </c>
      <c r="H745">
        <v>724</v>
      </c>
      <c r="I745">
        <v>108.382377625</v>
      </c>
      <c r="K745">
        <f t="shared" si="43"/>
        <v>18.258888243999991</v>
      </c>
      <c r="L745">
        <v>724</v>
      </c>
      <c r="M745">
        <v>215</v>
      </c>
      <c r="N745">
        <v>724</v>
      </c>
      <c r="O745">
        <v>40</v>
      </c>
      <c r="P745">
        <f t="shared" si="41"/>
        <v>105.69689178500001</v>
      </c>
    </row>
    <row r="746" spans="1:16">
      <c r="A746">
        <f t="shared" si="42"/>
        <v>1351.4186118368295</v>
      </c>
      <c r="B746">
        <v>725</v>
      </c>
      <c r="C746">
        <v>108.811828613</v>
      </c>
      <c r="D746">
        <v>725</v>
      </c>
      <c r="E746">
        <v>128.04212951700001</v>
      </c>
      <c r="F746">
        <v>725</v>
      </c>
      <c r="G746">
        <v>108.34426879900001</v>
      </c>
      <c r="H746">
        <v>725</v>
      </c>
      <c r="I746">
        <v>107.248085022</v>
      </c>
      <c r="K746">
        <f t="shared" si="43"/>
        <v>20.794044495000009</v>
      </c>
      <c r="L746">
        <v>725</v>
      </c>
      <c r="M746">
        <v>215</v>
      </c>
      <c r="N746">
        <v>725</v>
      </c>
      <c r="O746">
        <v>40</v>
      </c>
      <c r="P746">
        <f t="shared" si="41"/>
        <v>106.188171387</v>
      </c>
    </row>
    <row r="747" spans="1:16">
      <c r="A747">
        <f t="shared" si="42"/>
        <v>1352.3447064738457</v>
      </c>
      <c r="B747">
        <v>726</v>
      </c>
      <c r="C747">
        <v>108.709472656</v>
      </c>
      <c r="D747">
        <v>726</v>
      </c>
      <c r="E747">
        <v>128.000244141</v>
      </c>
      <c r="F747">
        <v>726</v>
      </c>
      <c r="G747">
        <v>107.436264038</v>
      </c>
      <c r="H747">
        <v>726</v>
      </c>
      <c r="I747">
        <v>106.53948211700001</v>
      </c>
      <c r="K747">
        <f t="shared" si="43"/>
        <v>21.46076202399999</v>
      </c>
      <c r="L747">
        <v>726</v>
      </c>
      <c r="M747">
        <v>215</v>
      </c>
      <c r="N747">
        <v>726</v>
      </c>
      <c r="O747">
        <v>40</v>
      </c>
      <c r="P747">
        <f t="shared" si="41"/>
        <v>106.290527344</v>
      </c>
    </row>
    <row r="748" spans="1:16">
      <c r="A748">
        <f t="shared" si="42"/>
        <v>1353.2708011108621</v>
      </c>
      <c r="B748">
        <v>727</v>
      </c>
      <c r="C748">
        <v>110.027648926</v>
      </c>
      <c r="D748">
        <v>727</v>
      </c>
      <c r="E748">
        <v>126.636047363</v>
      </c>
      <c r="F748">
        <v>727</v>
      </c>
      <c r="G748">
        <v>107.714126587</v>
      </c>
      <c r="H748">
        <v>727</v>
      </c>
      <c r="I748">
        <v>107.483657837</v>
      </c>
      <c r="K748">
        <f t="shared" si="43"/>
        <v>19.152389526000007</v>
      </c>
      <c r="L748">
        <v>727</v>
      </c>
      <c r="M748">
        <v>215</v>
      </c>
      <c r="N748">
        <v>727</v>
      </c>
      <c r="O748">
        <v>40</v>
      </c>
      <c r="P748">
        <f t="shared" si="41"/>
        <v>104.972351074</v>
      </c>
    </row>
    <row r="749" spans="1:16">
      <c r="A749">
        <f t="shared" si="42"/>
        <v>1354.1968957478784</v>
      </c>
      <c r="B749">
        <v>728</v>
      </c>
      <c r="C749">
        <v>110.991989136</v>
      </c>
      <c r="D749">
        <v>728</v>
      </c>
      <c r="E749">
        <v>125.135253906</v>
      </c>
      <c r="F749">
        <v>728</v>
      </c>
      <c r="G749">
        <v>107.88756561300001</v>
      </c>
      <c r="H749">
        <v>728</v>
      </c>
      <c r="I749">
        <v>109.796173096</v>
      </c>
      <c r="K749">
        <f t="shared" si="43"/>
        <v>15.339080809999999</v>
      </c>
      <c r="L749">
        <v>728</v>
      </c>
      <c r="M749">
        <v>215</v>
      </c>
      <c r="N749">
        <v>728</v>
      </c>
      <c r="O749">
        <v>40</v>
      </c>
      <c r="P749">
        <f t="shared" si="41"/>
        <v>104.008010864</v>
      </c>
    </row>
    <row r="750" spans="1:16">
      <c r="A750">
        <f t="shared" si="42"/>
        <v>1355.1229903848948</v>
      </c>
      <c r="B750">
        <v>729</v>
      </c>
      <c r="C750">
        <v>108.7784729</v>
      </c>
      <c r="D750">
        <v>729</v>
      </c>
      <c r="E750">
        <v>125.35283660899999</v>
      </c>
      <c r="F750">
        <v>729</v>
      </c>
      <c r="G750">
        <v>107.57079315199999</v>
      </c>
      <c r="H750">
        <v>729</v>
      </c>
      <c r="I750">
        <v>112.16169738799999</v>
      </c>
      <c r="K750">
        <f t="shared" si="43"/>
        <v>13.191139221</v>
      </c>
      <c r="L750">
        <v>729</v>
      </c>
      <c r="M750">
        <v>215</v>
      </c>
      <c r="N750">
        <v>729</v>
      </c>
      <c r="O750">
        <v>40</v>
      </c>
      <c r="P750">
        <f t="shared" si="41"/>
        <v>106.2215271</v>
      </c>
    </row>
    <row r="751" spans="1:16">
      <c r="A751">
        <f t="shared" si="42"/>
        <v>1356.0490850219112</v>
      </c>
      <c r="B751">
        <v>730</v>
      </c>
      <c r="C751">
        <v>109.944618225</v>
      </c>
      <c r="D751">
        <v>730</v>
      </c>
      <c r="E751">
        <v>128.11517334000001</v>
      </c>
      <c r="F751">
        <v>730</v>
      </c>
      <c r="G751">
        <v>106.80477142300001</v>
      </c>
      <c r="H751">
        <v>730</v>
      </c>
      <c r="I751">
        <v>112.409889221</v>
      </c>
      <c r="K751">
        <f t="shared" si="43"/>
        <v>15.705284119000012</v>
      </c>
      <c r="L751">
        <v>730</v>
      </c>
      <c r="M751">
        <v>215</v>
      </c>
      <c r="N751">
        <v>730</v>
      </c>
      <c r="O751">
        <v>40</v>
      </c>
      <c r="P751">
        <f t="shared" si="41"/>
        <v>105.055381775</v>
      </c>
    </row>
    <row r="752" spans="1:16">
      <c r="A752">
        <f t="shared" si="42"/>
        <v>1356.9751796589276</v>
      </c>
      <c r="B752">
        <v>731</v>
      </c>
      <c r="C752">
        <v>111.95433807400001</v>
      </c>
      <c r="D752">
        <v>731</v>
      </c>
      <c r="E752">
        <v>123.47734832800001</v>
      </c>
      <c r="F752">
        <v>731</v>
      </c>
      <c r="G752">
        <v>106.18245697</v>
      </c>
      <c r="H752">
        <v>731</v>
      </c>
      <c r="I752">
        <v>111.33333587600001</v>
      </c>
      <c r="K752">
        <f t="shared" si="43"/>
        <v>12.144012451999998</v>
      </c>
      <c r="L752">
        <v>731</v>
      </c>
      <c r="M752">
        <v>215</v>
      </c>
      <c r="N752">
        <v>731</v>
      </c>
      <c r="O752">
        <v>40</v>
      </c>
      <c r="P752">
        <f t="shared" si="41"/>
        <v>103.04566192599999</v>
      </c>
    </row>
    <row r="753" spans="1:16">
      <c r="A753">
        <f t="shared" si="42"/>
        <v>1357.9012742959437</v>
      </c>
      <c r="B753">
        <v>732</v>
      </c>
      <c r="C753">
        <v>111.99723815900001</v>
      </c>
      <c r="D753">
        <v>732</v>
      </c>
      <c r="E753">
        <v>119.304824829</v>
      </c>
      <c r="F753">
        <v>732</v>
      </c>
      <c r="G753">
        <v>105.96969604500001</v>
      </c>
      <c r="H753">
        <v>732</v>
      </c>
      <c r="I753">
        <v>109.725242615</v>
      </c>
      <c r="K753">
        <f t="shared" si="43"/>
        <v>9.5795822139999984</v>
      </c>
      <c r="L753">
        <v>732</v>
      </c>
      <c r="M753">
        <v>214.63636779800001</v>
      </c>
      <c r="N753">
        <v>732</v>
      </c>
      <c r="O753">
        <v>40.595043181999998</v>
      </c>
      <c r="P753">
        <f t="shared" si="41"/>
        <v>102.639129639</v>
      </c>
    </row>
    <row r="754" spans="1:16">
      <c r="A754">
        <f t="shared" si="42"/>
        <v>1358.8273689329599</v>
      </c>
      <c r="B754">
        <v>733</v>
      </c>
      <c r="C754">
        <v>112.22196960399999</v>
      </c>
      <c r="D754">
        <v>733</v>
      </c>
      <c r="E754">
        <v>123.29917907700001</v>
      </c>
      <c r="F754">
        <v>733</v>
      </c>
      <c r="G754">
        <v>105.58669281</v>
      </c>
      <c r="H754">
        <v>733</v>
      </c>
      <c r="I754">
        <v>108.39004516599999</v>
      </c>
      <c r="K754">
        <f t="shared" si="43"/>
        <v>14.909133911000012</v>
      </c>
      <c r="L754">
        <v>733</v>
      </c>
      <c r="M754">
        <v>214</v>
      </c>
      <c r="N754">
        <v>733</v>
      </c>
      <c r="O754">
        <v>41</v>
      </c>
      <c r="P754">
        <f t="shared" si="41"/>
        <v>101.77803039600001</v>
      </c>
    </row>
    <row r="755" spans="1:16">
      <c r="A755">
        <f t="shared" si="42"/>
        <v>1359.7534635699762</v>
      </c>
      <c r="B755">
        <v>734</v>
      </c>
      <c r="C755">
        <v>111.89855194099999</v>
      </c>
      <c r="D755">
        <v>734</v>
      </c>
      <c r="E755">
        <v>127.455177307</v>
      </c>
      <c r="F755">
        <v>734</v>
      </c>
      <c r="G755">
        <v>105.290115356</v>
      </c>
      <c r="H755">
        <v>734</v>
      </c>
      <c r="I755">
        <v>108.83039856000001</v>
      </c>
      <c r="K755">
        <f t="shared" si="43"/>
        <v>18.624778746999993</v>
      </c>
      <c r="L755">
        <v>734</v>
      </c>
      <c r="M755">
        <v>214</v>
      </c>
      <c r="N755">
        <v>734</v>
      </c>
      <c r="O755">
        <v>41</v>
      </c>
      <c r="P755">
        <f t="shared" si="41"/>
        <v>102.10144805900001</v>
      </c>
    </row>
    <row r="756" spans="1:16">
      <c r="A756">
        <f t="shared" si="42"/>
        <v>1360.6795582069926</v>
      </c>
      <c r="B756">
        <v>735</v>
      </c>
      <c r="C756">
        <v>109.558433533</v>
      </c>
      <c r="D756">
        <v>735</v>
      </c>
      <c r="E756">
        <v>128.012008667</v>
      </c>
      <c r="F756">
        <v>735</v>
      </c>
      <c r="G756">
        <v>105.189056396</v>
      </c>
      <c r="H756">
        <v>735</v>
      </c>
      <c r="I756">
        <v>107.87272643999999</v>
      </c>
      <c r="K756">
        <f t="shared" si="43"/>
        <v>20.13928222700001</v>
      </c>
      <c r="L756">
        <v>735</v>
      </c>
      <c r="M756">
        <v>214</v>
      </c>
      <c r="N756">
        <v>735</v>
      </c>
      <c r="O756">
        <v>41</v>
      </c>
      <c r="P756">
        <f t="shared" si="41"/>
        <v>104.441566467</v>
      </c>
    </row>
    <row r="757" spans="1:16">
      <c r="A757">
        <f t="shared" si="42"/>
        <v>1361.605652844009</v>
      </c>
      <c r="B757">
        <v>736</v>
      </c>
      <c r="C757">
        <v>110.708457947</v>
      </c>
      <c r="D757">
        <v>736</v>
      </c>
      <c r="E757">
        <v>123.84601592999999</v>
      </c>
      <c r="F757">
        <v>736</v>
      </c>
      <c r="G757">
        <v>105.9582901</v>
      </c>
      <c r="H757">
        <v>736</v>
      </c>
      <c r="I757">
        <v>106.03012085</v>
      </c>
      <c r="K757">
        <f t="shared" si="43"/>
        <v>17.81589507999999</v>
      </c>
      <c r="L757">
        <v>736</v>
      </c>
      <c r="M757">
        <v>214</v>
      </c>
      <c r="N757">
        <v>736</v>
      </c>
      <c r="O757">
        <v>41</v>
      </c>
      <c r="P757">
        <f t="shared" si="41"/>
        <v>103.291542053</v>
      </c>
    </row>
    <row r="758" spans="1:16">
      <c r="A758">
        <f t="shared" si="42"/>
        <v>1362.5317474810254</v>
      </c>
      <c r="B758">
        <v>737</v>
      </c>
      <c r="C758">
        <v>113.20072937</v>
      </c>
      <c r="D758">
        <v>737</v>
      </c>
      <c r="E758">
        <v>121.55986022899999</v>
      </c>
      <c r="F758">
        <v>737</v>
      </c>
      <c r="G758">
        <v>103.647499084</v>
      </c>
      <c r="H758">
        <v>737</v>
      </c>
      <c r="I758">
        <v>104.997123718</v>
      </c>
      <c r="K758">
        <f t="shared" si="43"/>
        <v>16.562736510999997</v>
      </c>
      <c r="L758">
        <v>737</v>
      </c>
      <c r="M758">
        <v>214</v>
      </c>
      <c r="N758">
        <v>737</v>
      </c>
      <c r="O758">
        <v>41</v>
      </c>
      <c r="P758">
        <f t="shared" si="41"/>
        <v>100.79927063</v>
      </c>
    </row>
    <row r="759" spans="1:16">
      <c r="A759">
        <f t="shared" si="42"/>
        <v>1363.4578421180418</v>
      </c>
      <c r="B759">
        <v>738</v>
      </c>
      <c r="C759">
        <v>113.100463867</v>
      </c>
      <c r="D759">
        <v>738</v>
      </c>
      <c r="E759">
        <v>122.807937622</v>
      </c>
      <c r="F759">
        <v>738</v>
      </c>
      <c r="G759">
        <v>103.687995911</v>
      </c>
      <c r="H759">
        <v>738</v>
      </c>
      <c r="I759">
        <v>104.772544861</v>
      </c>
      <c r="K759">
        <f t="shared" si="43"/>
        <v>18.035392760999997</v>
      </c>
      <c r="L759">
        <v>738</v>
      </c>
      <c r="M759">
        <v>214</v>
      </c>
      <c r="N759">
        <v>738</v>
      </c>
      <c r="O759">
        <v>41</v>
      </c>
      <c r="P759">
        <f t="shared" si="41"/>
        <v>100.899536133</v>
      </c>
    </row>
    <row r="760" spans="1:16">
      <c r="A760">
        <f t="shared" si="42"/>
        <v>1364.3839367550579</v>
      </c>
      <c r="B760">
        <v>739</v>
      </c>
      <c r="C760">
        <v>111.056533813</v>
      </c>
      <c r="D760">
        <v>739</v>
      </c>
      <c r="E760">
        <v>125.062896729</v>
      </c>
      <c r="F760">
        <v>739</v>
      </c>
      <c r="G760">
        <v>104.28109741199999</v>
      </c>
      <c r="H760">
        <v>739</v>
      </c>
      <c r="I760">
        <v>104.56381225600001</v>
      </c>
      <c r="K760">
        <f t="shared" si="43"/>
        <v>20.499084472999996</v>
      </c>
      <c r="L760">
        <v>739</v>
      </c>
      <c r="M760">
        <v>214</v>
      </c>
      <c r="N760">
        <v>739</v>
      </c>
      <c r="O760">
        <v>41</v>
      </c>
      <c r="P760">
        <f t="shared" si="41"/>
        <v>102.943466187</v>
      </c>
    </row>
    <row r="761" spans="1:16">
      <c r="A761">
        <f t="shared" si="42"/>
        <v>1365.3100313920743</v>
      </c>
      <c r="B761">
        <v>740</v>
      </c>
      <c r="C761">
        <v>110.21876525899999</v>
      </c>
      <c r="D761">
        <v>740</v>
      </c>
      <c r="E761">
        <v>124.90921020499999</v>
      </c>
      <c r="F761">
        <v>740</v>
      </c>
      <c r="G761">
        <v>104.336524963</v>
      </c>
      <c r="H761">
        <v>740</v>
      </c>
      <c r="I761">
        <v>104.028259277</v>
      </c>
      <c r="K761">
        <f t="shared" si="43"/>
        <v>20.88095092799999</v>
      </c>
      <c r="L761">
        <v>740</v>
      </c>
      <c r="M761">
        <v>214</v>
      </c>
      <c r="N761">
        <v>740</v>
      </c>
      <c r="O761">
        <v>41</v>
      </c>
      <c r="P761">
        <f t="shared" si="41"/>
        <v>103.78123474100001</v>
      </c>
    </row>
    <row r="762" spans="1:16">
      <c r="A762">
        <f t="shared" si="42"/>
        <v>1366.2361260290904</v>
      </c>
      <c r="B762">
        <v>741</v>
      </c>
      <c r="C762">
        <v>110.623703003</v>
      </c>
      <c r="D762">
        <v>741</v>
      </c>
      <c r="E762">
        <v>127.74931335399999</v>
      </c>
      <c r="F762">
        <v>741</v>
      </c>
      <c r="G762">
        <v>104.60357666</v>
      </c>
      <c r="H762">
        <v>741</v>
      </c>
      <c r="I762">
        <v>105.093658447</v>
      </c>
      <c r="K762">
        <f t="shared" si="43"/>
        <v>22.655654906999999</v>
      </c>
      <c r="L762">
        <v>741</v>
      </c>
      <c r="M762">
        <v>214</v>
      </c>
      <c r="N762">
        <v>741</v>
      </c>
      <c r="O762">
        <v>41</v>
      </c>
      <c r="P762">
        <f t="shared" si="41"/>
        <v>103.376296997</v>
      </c>
    </row>
    <row r="763" spans="1:16">
      <c r="A763">
        <f t="shared" si="42"/>
        <v>1367.1622206661068</v>
      </c>
      <c r="B763">
        <v>742</v>
      </c>
      <c r="C763">
        <v>109.14845275899999</v>
      </c>
      <c r="D763">
        <v>742</v>
      </c>
      <c r="E763">
        <v>126.05947113000001</v>
      </c>
      <c r="F763">
        <v>742</v>
      </c>
      <c r="G763">
        <v>104.549728394</v>
      </c>
      <c r="H763">
        <v>742</v>
      </c>
      <c r="I763">
        <v>106.393135071</v>
      </c>
      <c r="K763">
        <f t="shared" si="43"/>
        <v>19.666336059000002</v>
      </c>
      <c r="L763">
        <v>742</v>
      </c>
      <c r="M763">
        <v>214</v>
      </c>
      <c r="N763">
        <v>742</v>
      </c>
      <c r="O763">
        <v>41</v>
      </c>
      <c r="P763">
        <f t="shared" si="41"/>
        <v>104.85154724100001</v>
      </c>
    </row>
    <row r="764" spans="1:16">
      <c r="A764">
        <f t="shared" si="42"/>
        <v>1368.0883153031232</v>
      </c>
      <c r="B764">
        <v>743</v>
      </c>
      <c r="C764">
        <v>107.584213257</v>
      </c>
      <c r="D764">
        <v>743</v>
      </c>
      <c r="E764">
        <v>121.52772521999999</v>
      </c>
      <c r="F764">
        <v>743</v>
      </c>
      <c r="G764">
        <v>104.394187927</v>
      </c>
      <c r="H764">
        <v>743</v>
      </c>
      <c r="I764">
        <v>106.404373169</v>
      </c>
      <c r="K764">
        <f t="shared" si="43"/>
        <v>15.123352050999998</v>
      </c>
      <c r="L764">
        <v>743</v>
      </c>
      <c r="M764">
        <v>214</v>
      </c>
      <c r="N764">
        <v>743</v>
      </c>
      <c r="O764">
        <v>41</v>
      </c>
      <c r="P764">
        <f t="shared" si="41"/>
        <v>106.415786743</v>
      </c>
    </row>
    <row r="765" spans="1:16">
      <c r="A765">
        <f t="shared" si="42"/>
        <v>1369.0144099401396</v>
      </c>
      <c r="B765">
        <v>744</v>
      </c>
      <c r="C765">
        <v>110.985145569</v>
      </c>
      <c r="D765">
        <v>744</v>
      </c>
      <c r="E765">
        <v>124.769981384</v>
      </c>
      <c r="F765">
        <v>744</v>
      </c>
      <c r="G765">
        <v>104.931365967</v>
      </c>
      <c r="H765">
        <v>744</v>
      </c>
      <c r="I765">
        <v>107.010429382</v>
      </c>
      <c r="K765">
        <f t="shared" si="43"/>
        <v>17.759552002000007</v>
      </c>
      <c r="L765">
        <v>744</v>
      </c>
      <c r="M765">
        <v>214</v>
      </c>
      <c r="N765">
        <v>744</v>
      </c>
      <c r="O765">
        <v>41</v>
      </c>
      <c r="P765">
        <f t="shared" si="41"/>
        <v>103.014854431</v>
      </c>
    </row>
    <row r="766" spans="1:16">
      <c r="A766">
        <f t="shared" si="42"/>
        <v>1369.9405045771559</v>
      </c>
      <c r="B766">
        <v>745</v>
      </c>
      <c r="C766">
        <v>110.555549622</v>
      </c>
      <c r="D766">
        <v>745</v>
      </c>
      <c r="E766">
        <v>123.537437439</v>
      </c>
      <c r="F766">
        <v>745</v>
      </c>
      <c r="G766">
        <v>103.58669281</v>
      </c>
      <c r="H766">
        <v>745</v>
      </c>
      <c r="I766">
        <v>108.215797424</v>
      </c>
      <c r="K766">
        <f t="shared" si="43"/>
        <v>15.321640015</v>
      </c>
      <c r="L766">
        <v>745</v>
      </c>
      <c r="M766">
        <v>213.624435425</v>
      </c>
      <c r="N766">
        <v>745</v>
      </c>
      <c r="O766">
        <v>41.589599608999997</v>
      </c>
      <c r="P766">
        <f t="shared" si="41"/>
        <v>103.068885803</v>
      </c>
    </row>
    <row r="767" spans="1:16">
      <c r="A767">
        <f t="shared" si="42"/>
        <v>1370.8665992141723</v>
      </c>
      <c r="B767">
        <v>746</v>
      </c>
      <c r="C767">
        <v>110.178222656</v>
      </c>
      <c r="D767">
        <v>746</v>
      </c>
      <c r="E767">
        <v>126.70645141599999</v>
      </c>
      <c r="F767">
        <v>746</v>
      </c>
      <c r="G767">
        <v>101.212799072</v>
      </c>
      <c r="H767">
        <v>746</v>
      </c>
      <c r="I767">
        <v>107.259788513</v>
      </c>
      <c r="K767">
        <f t="shared" si="43"/>
        <v>19.446662902999989</v>
      </c>
      <c r="L767">
        <v>746</v>
      </c>
      <c r="M767">
        <v>213</v>
      </c>
      <c r="N767">
        <v>746</v>
      </c>
      <c r="O767">
        <v>42</v>
      </c>
      <c r="P767">
        <f t="shared" si="41"/>
        <v>102.821777344</v>
      </c>
    </row>
    <row r="768" spans="1:16">
      <c r="A768">
        <f t="shared" si="42"/>
        <v>1371.7926938511885</v>
      </c>
      <c r="B768">
        <v>747</v>
      </c>
      <c r="C768">
        <v>106.62031555199999</v>
      </c>
      <c r="D768">
        <v>747</v>
      </c>
      <c r="E768">
        <v>126.837646484</v>
      </c>
      <c r="F768">
        <v>747</v>
      </c>
      <c r="G768">
        <v>99.852981567</v>
      </c>
      <c r="H768">
        <v>747</v>
      </c>
      <c r="I768">
        <v>107.284065247</v>
      </c>
      <c r="K768">
        <f t="shared" si="43"/>
        <v>19.553581237000003</v>
      </c>
      <c r="L768">
        <v>747</v>
      </c>
      <c r="M768">
        <v>213</v>
      </c>
      <c r="N768">
        <v>747</v>
      </c>
      <c r="O768">
        <v>42</v>
      </c>
      <c r="P768">
        <f t="shared" si="41"/>
        <v>106.37968444800001</v>
      </c>
    </row>
    <row r="769" spans="1:16">
      <c r="A769">
        <f t="shared" si="42"/>
        <v>1372.7187884882048</v>
      </c>
      <c r="B769">
        <v>748</v>
      </c>
      <c r="C769">
        <v>104.979515076</v>
      </c>
      <c r="D769">
        <v>748</v>
      </c>
      <c r="E769">
        <v>125.09236908</v>
      </c>
      <c r="F769">
        <v>748</v>
      </c>
      <c r="G769">
        <v>101.227989197</v>
      </c>
      <c r="H769">
        <v>748</v>
      </c>
      <c r="I769">
        <v>107.64666748</v>
      </c>
      <c r="K769">
        <f t="shared" si="43"/>
        <v>17.445701599999992</v>
      </c>
      <c r="L769">
        <v>748</v>
      </c>
      <c r="M769">
        <v>213</v>
      </c>
      <c r="N769">
        <v>748</v>
      </c>
      <c r="O769">
        <v>42</v>
      </c>
      <c r="P769">
        <f t="shared" si="41"/>
        <v>108.020484924</v>
      </c>
    </row>
    <row r="770" spans="1:16">
      <c r="A770">
        <f t="shared" si="42"/>
        <v>1373.644883125221</v>
      </c>
      <c r="B770">
        <v>749</v>
      </c>
      <c r="C770">
        <v>108.210342407</v>
      </c>
      <c r="D770">
        <v>749</v>
      </c>
      <c r="E770">
        <v>125.69645690900001</v>
      </c>
      <c r="F770">
        <v>749</v>
      </c>
      <c r="G770">
        <v>101.96673584</v>
      </c>
      <c r="H770">
        <v>749</v>
      </c>
      <c r="I770">
        <v>107.802597046</v>
      </c>
      <c r="K770">
        <f t="shared" si="43"/>
        <v>17.893859863000003</v>
      </c>
      <c r="L770">
        <v>749</v>
      </c>
      <c r="M770">
        <v>213</v>
      </c>
      <c r="N770">
        <v>749</v>
      </c>
      <c r="O770">
        <v>42</v>
      </c>
      <c r="P770">
        <f t="shared" si="41"/>
        <v>104.789657593</v>
      </c>
    </row>
    <row r="771" spans="1:16">
      <c r="A771">
        <f t="shared" si="42"/>
        <v>1374.5709777622374</v>
      </c>
      <c r="B771">
        <v>750</v>
      </c>
      <c r="C771">
        <v>109.92766571</v>
      </c>
      <c r="D771">
        <v>750</v>
      </c>
      <c r="E771">
        <v>125.8411026</v>
      </c>
      <c r="F771">
        <v>750</v>
      </c>
      <c r="G771">
        <v>101.64580535899999</v>
      </c>
      <c r="H771">
        <v>750</v>
      </c>
      <c r="I771">
        <v>107.877449036</v>
      </c>
      <c r="K771">
        <f t="shared" si="43"/>
        <v>17.963653563999998</v>
      </c>
      <c r="L771">
        <v>750</v>
      </c>
      <c r="M771">
        <v>213</v>
      </c>
      <c r="N771">
        <v>750</v>
      </c>
      <c r="O771">
        <v>42</v>
      </c>
      <c r="P771">
        <f t="shared" si="41"/>
        <v>103.07233429</v>
      </c>
    </row>
    <row r="772" spans="1:16">
      <c r="A772">
        <f t="shared" si="42"/>
        <v>1375.4970723992537</v>
      </c>
      <c r="B772">
        <v>751</v>
      </c>
      <c r="C772">
        <v>109.98458862299999</v>
      </c>
      <c r="D772">
        <v>751</v>
      </c>
      <c r="E772">
        <v>125.883605957</v>
      </c>
      <c r="F772">
        <v>751</v>
      </c>
      <c r="G772">
        <v>101.21369934099999</v>
      </c>
      <c r="H772">
        <v>751</v>
      </c>
      <c r="I772">
        <v>106.279693604</v>
      </c>
      <c r="K772">
        <f t="shared" si="43"/>
        <v>19.603912352999998</v>
      </c>
      <c r="L772">
        <v>751</v>
      </c>
      <c r="M772">
        <v>213</v>
      </c>
      <c r="N772">
        <v>751</v>
      </c>
      <c r="O772">
        <v>42</v>
      </c>
      <c r="P772">
        <f t="shared" si="41"/>
        <v>103.01541137700001</v>
      </c>
    </row>
    <row r="773" spans="1:16">
      <c r="A773">
        <f t="shared" si="42"/>
        <v>1376.4231670362701</v>
      </c>
      <c r="B773">
        <v>752</v>
      </c>
      <c r="C773">
        <v>108.57373809800001</v>
      </c>
      <c r="D773">
        <v>752</v>
      </c>
      <c r="E773">
        <v>125.24369812</v>
      </c>
      <c r="F773">
        <v>752</v>
      </c>
      <c r="G773">
        <v>100.741928101</v>
      </c>
      <c r="H773">
        <v>752</v>
      </c>
      <c r="I773">
        <v>105.44516754199999</v>
      </c>
      <c r="K773">
        <f t="shared" si="43"/>
        <v>19.798530578000012</v>
      </c>
      <c r="L773">
        <v>752</v>
      </c>
      <c r="M773">
        <v>213</v>
      </c>
      <c r="N773">
        <v>752</v>
      </c>
      <c r="O773">
        <v>42</v>
      </c>
      <c r="P773">
        <f t="shared" si="41"/>
        <v>104.42626190199999</v>
      </c>
    </row>
    <row r="774" spans="1:16">
      <c r="A774">
        <f t="shared" si="42"/>
        <v>1377.3492616732865</v>
      </c>
      <c r="B774">
        <v>753</v>
      </c>
      <c r="C774">
        <v>110.16834258999999</v>
      </c>
      <c r="D774">
        <v>753</v>
      </c>
      <c r="E774">
        <v>124.88289642300001</v>
      </c>
      <c r="F774">
        <v>753</v>
      </c>
      <c r="G774">
        <v>101.774375916</v>
      </c>
      <c r="H774">
        <v>753</v>
      </c>
      <c r="I774">
        <v>104.60389709499999</v>
      </c>
      <c r="K774">
        <f t="shared" si="43"/>
        <v>20.278999328000012</v>
      </c>
      <c r="L774">
        <v>753</v>
      </c>
      <c r="M774">
        <v>213</v>
      </c>
      <c r="N774">
        <v>753</v>
      </c>
      <c r="O774">
        <v>42</v>
      </c>
      <c r="P774">
        <f t="shared" si="41"/>
        <v>102.83165741000001</v>
      </c>
    </row>
    <row r="775" spans="1:16">
      <c r="A775">
        <f t="shared" si="42"/>
        <v>1378.2753563103026</v>
      </c>
      <c r="B775">
        <v>754</v>
      </c>
      <c r="C775">
        <v>112.49899292000001</v>
      </c>
      <c r="D775">
        <v>754</v>
      </c>
      <c r="E775">
        <v>126.02557373</v>
      </c>
      <c r="F775">
        <v>754</v>
      </c>
      <c r="G775">
        <v>101.722312927</v>
      </c>
      <c r="H775">
        <v>754</v>
      </c>
      <c r="I775">
        <v>104.02156829800001</v>
      </c>
      <c r="K775">
        <f t="shared" si="43"/>
        <v>22.004005432</v>
      </c>
      <c r="L775">
        <v>754</v>
      </c>
      <c r="M775">
        <v>213</v>
      </c>
      <c r="N775">
        <v>754</v>
      </c>
      <c r="O775">
        <v>42</v>
      </c>
      <c r="P775">
        <f t="shared" si="41"/>
        <v>100.50100707999999</v>
      </c>
    </row>
    <row r="776" spans="1:16">
      <c r="A776">
        <f t="shared" si="42"/>
        <v>1379.201450947319</v>
      </c>
      <c r="B776">
        <v>755</v>
      </c>
      <c r="C776">
        <v>110.87862396200001</v>
      </c>
      <c r="D776">
        <v>755</v>
      </c>
      <c r="E776">
        <v>122.833763123</v>
      </c>
      <c r="F776">
        <v>755</v>
      </c>
      <c r="G776">
        <v>101.306800842</v>
      </c>
      <c r="H776">
        <v>755</v>
      </c>
      <c r="I776">
        <v>104.089286804</v>
      </c>
      <c r="K776">
        <f t="shared" si="43"/>
        <v>18.744476319</v>
      </c>
      <c r="L776">
        <v>755</v>
      </c>
      <c r="M776">
        <v>212.97064209000001</v>
      </c>
      <c r="N776">
        <v>755</v>
      </c>
      <c r="O776">
        <v>42.681968689000001</v>
      </c>
      <c r="P776">
        <f t="shared" si="41"/>
        <v>102.09201812800001</v>
      </c>
    </row>
    <row r="777" spans="1:16">
      <c r="A777">
        <f t="shared" si="42"/>
        <v>1380.1275455843352</v>
      </c>
      <c r="B777">
        <v>756</v>
      </c>
      <c r="C777">
        <v>109.14541626</v>
      </c>
      <c r="D777">
        <v>756</v>
      </c>
      <c r="E777">
        <v>124.176177979</v>
      </c>
      <c r="F777">
        <v>756</v>
      </c>
      <c r="G777">
        <v>101.949523926</v>
      </c>
      <c r="H777">
        <v>756</v>
      </c>
      <c r="I777">
        <v>103.93894195599999</v>
      </c>
      <c r="K777">
        <f t="shared" si="43"/>
        <v>20.237236023000008</v>
      </c>
      <c r="L777">
        <v>756</v>
      </c>
      <c r="M777">
        <v>212.2628479</v>
      </c>
      <c r="N777">
        <v>756</v>
      </c>
      <c r="O777">
        <v>43</v>
      </c>
      <c r="P777">
        <f t="shared" si="41"/>
        <v>103.11743163999999</v>
      </c>
    </row>
    <row r="778" spans="1:16">
      <c r="A778">
        <f t="shared" si="42"/>
        <v>1381.0536402213515</v>
      </c>
      <c r="B778">
        <v>757</v>
      </c>
      <c r="C778">
        <v>108.33333587600001</v>
      </c>
      <c r="D778">
        <v>757</v>
      </c>
      <c r="E778">
        <v>123.462791443</v>
      </c>
      <c r="F778">
        <v>757</v>
      </c>
      <c r="G778">
        <v>103.59463501</v>
      </c>
      <c r="H778">
        <v>757</v>
      </c>
      <c r="I778">
        <v>104.277839661</v>
      </c>
      <c r="K778">
        <f t="shared" si="43"/>
        <v>19.184951781999999</v>
      </c>
      <c r="L778">
        <v>757</v>
      </c>
      <c r="M778">
        <v>212</v>
      </c>
      <c r="N778">
        <v>757</v>
      </c>
      <c r="O778">
        <v>43</v>
      </c>
      <c r="P778">
        <f t="shared" si="41"/>
        <v>103.66666412399999</v>
      </c>
    </row>
    <row r="779" spans="1:16">
      <c r="A779">
        <f t="shared" si="42"/>
        <v>1381.9797348583679</v>
      </c>
      <c r="B779">
        <v>758</v>
      </c>
      <c r="C779">
        <v>108.316268921</v>
      </c>
      <c r="D779">
        <v>758</v>
      </c>
      <c r="E779">
        <v>125.497077942</v>
      </c>
      <c r="F779">
        <v>758</v>
      </c>
      <c r="G779">
        <v>103.04570770300001</v>
      </c>
      <c r="H779">
        <v>758</v>
      </c>
      <c r="I779">
        <v>103.550979614</v>
      </c>
      <c r="K779">
        <f t="shared" si="43"/>
        <v>21.946098328000005</v>
      </c>
      <c r="L779">
        <v>758</v>
      </c>
      <c r="M779">
        <v>212</v>
      </c>
      <c r="N779">
        <v>758</v>
      </c>
      <c r="O779">
        <v>43</v>
      </c>
      <c r="P779">
        <f t="shared" si="41"/>
        <v>103.683731079</v>
      </c>
    </row>
    <row r="780" spans="1:16">
      <c r="A780">
        <f t="shared" si="42"/>
        <v>1382.9058294953843</v>
      </c>
      <c r="B780">
        <v>759</v>
      </c>
      <c r="C780">
        <v>107.55907440199999</v>
      </c>
      <c r="D780">
        <v>759</v>
      </c>
      <c r="E780">
        <v>125.494895935</v>
      </c>
      <c r="F780">
        <v>759</v>
      </c>
      <c r="G780">
        <v>101.513664246</v>
      </c>
      <c r="H780">
        <v>759</v>
      </c>
      <c r="I780">
        <v>103.412742615</v>
      </c>
      <c r="K780">
        <f t="shared" si="43"/>
        <v>22.082153320000003</v>
      </c>
      <c r="L780">
        <v>759</v>
      </c>
      <c r="M780">
        <v>212</v>
      </c>
      <c r="N780">
        <v>759</v>
      </c>
      <c r="O780">
        <v>43</v>
      </c>
      <c r="P780">
        <f t="shared" si="41"/>
        <v>104.44092559800001</v>
      </c>
    </row>
    <row r="781" spans="1:16">
      <c r="A781">
        <f t="shared" si="42"/>
        <v>1383.8319241324007</v>
      </c>
      <c r="B781">
        <v>760</v>
      </c>
      <c r="C781">
        <v>107.070770264</v>
      </c>
      <c r="D781">
        <v>760</v>
      </c>
      <c r="E781">
        <v>125.40967559800001</v>
      </c>
      <c r="F781">
        <v>760</v>
      </c>
      <c r="G781">
        <v>100.605728149</v>
      </c>
      <c r="H781">
        <v>760</v>
      </c>
      <c r="I781">
        <v>102.509803772</v>
      </c>
      <c r="K781">
        <f t="shared" si="43"/>
        <v>22.899871826000009</v>
      </c>
      <c r="L781">
        <v>760</v>
      </c>
      <c r="M781">
        <v>212</v>
      </c>
      <c r="N781">
        <v>760</v>
      </c>
      <c r="O781">
        <v>43</v>
      </c>
      <c r="P781">
        <f t="shared" si="41"/>
        <v>104.929229736</v>
      </c>
    </row>
    <row r="782" spans="1:16">
      <c r="A782">
        <f t="shared" si="42"/>
        <v>1384.758018769417</v>
      </c>
      <c r="B782">
        <v>761</v>
      </c>
      <c r="C782">
        <v>105.96565246599999</v>
      </c>
      <c r="D782">
        <v>761</v>
      </c>
      <c r="E782">
        <v>124.846107483</v>
      </c>
      <c r="F782">
        <v>761</v>
      </c>
      <c r="G782">
        <v>101.38212585399999</v>
      </c>
      <c r="H782">
        <v>761</v>
      </c>
      <c r="I782">
        <v>102.33333587600001</v>
      </c>
      <c r="K782">
        <f t="shared" si="43"/>
        <v>22.512771606999991</v>
      </c>
      <c r="L782">
        <v>761</v>
      </c>
      <c r="M782">
        <v>212</v>
      </c>
      <c r="N782">
        <v>761</v>
      </c>
      <c r="O782">
        <v>43</v>
      </c>
      <c r="P782">
        <f t="shared" si="41"/>
        <v>106.03434753400001</v>
      </c>
    </row>
    <row r="783" spans="1:16">
      <c r="A783">
        <f t="shared" si="42"/>
        <v>1385.6841134064332</v>
      </c>
      <c r="B783">
        <v>762</v>
      </c>
      <c r="C783">
        <v>105.601493835</v>
      </c>
      <c r="D783">
        <v>762</v>
      </c>
      <c r="E783">
        <v>123.67497253400001</v>
      </c>
      <c r="F783">
        <v>762</v>
      </c>
      <c r="G783">
        <v>101.756584167</v>
      </c>
      <c r="H783">
        <v>762</v>
      </c>
      <c r="I783">
        <v>105.547042847</v>
      </c>
      <c r="K783">
        <f t="shared" si="43"/>
        <v>18.127929687000005</v>
      </c>
      <c r="L783">
        <v>762</v>
      </c>
      <c r="M783">
        <v>212</v>
      </c>
      <c r="N783">
        <v>762</v>
      </c>
      <c r="O783">
        <v>43</v>
      </c>
      <c r="P783">
        <f t="shared" si="41"/>
        <v>106.398506165</v>
      </c>
    </row>
    <row r="784" spans="1:16">
      <c r="A784">
        <f t="shared" si="42"/>
        <v>1386.6102080434496</v>
      </c>
      <c r="B784">
        <v>763</v>
      </c>
      <c r="C784">
        <v>108.81916809099999</v>
      </c>
      <c r="D784">
        <v>763</v>
      </c>
      <c r="E784">
        <v>127.172103882</v>
      </c>
      <c r="F784">
        <v>763</v>
      </c>
      <c r="G784">
        <v>101.84026336700001</v>
      </c>
      <c r="H784">
        <v>763</v>
      </c>
      <c r="I784">
        <v>104.09840393100001</v>
      </c>
      <c r="K784">
        <f t="shared" si="43"/>
        <v>23.073699950999995</v>
      </c>
      <c r="L784">
        <v>763</v>
      </c>
      <c r="M784">
        <v>211.99925231899999</v>
      </c>
      <c r="N784">
        <v>763</v>
      </c>
      <c r="O784">
        <v>43.007450104</v>
      </c>
      <c r="P784">
        <f t="shared" si="41"/>
        <v>103.180084228</v>
      </c>
    </row>
    <row r="785" spans="1:16">
      <c r="A785">
        <f t="shared" si="42"/>
        <v>1387.5363026804657</v>
      </c>
      <c r="B785">
        <v>764</v>
      </c>
      <c r="C785">
        <v>107.521659851</v>
      </c>
      <c r="D785">
        <v>764</v>
      </c>
      <c r="E785">
        <v>126.51008606000001</v>
      </c>
      <c r="F785">
        <v>764</v>
      </c>
      <c r="G785">
        <v>101.009216309</v>
      </c>
      <c r="H785">
        <v>764</v>
      </c>
      <c r="I785">
        <v>101.76288604699999</v>
      </c>
      <c r="K785">
        <f t="shared" si="43"/>
        <v>24.747200013000011</v>
      </c>
      <c r="L785">
        <v>764</v>
      </c>
      <c r="M785">
        <v>211.551635742</v>
      </c>
      <c r="N785">
        <v>764</v>
      </c>
      <c r="O785">
        <v>43.931446074999997</v>
      </c>
      <c r="P785">
        <f t="shared" si="41"/>
        <v>104.02997589100001</v>
      </c>
    </row>
    <row r="786" spans="1:16">
      <c r="A786">
        <f t="shared" si="42"/>
        <v>1388.4623973174821</v>
      </c>
      <c r="B786">
        <v>765</v>
      </c>
      <c r="C786">
        <v>105.30222320599999</v>
      </c>
      <c r="D786">
        <v>765</v>
      </c>
      <c r="E786">
        <v>126.358673096</v>
      </c>
      <c r="F786">
        <v>765</v>
      </c>
      <c r="G786">
        <v>100.33830261200001</v>
      </c>
      <c r="H786">
        <v>765</v>
      </c>
      <c r="I786">
        <v>102.42708587600001</v>
      </c>
      <c r="K786">
        <f t="shared" si="43"/>
        <v>23.931587219999997</v>
      </c>
      <c r="L786">
        <v>765</v>
      </c>
      <c r="M786">
        <v>211.019821167</v>
      </c>
      <c r="N786">
        <v>765</v>
      </c>
      <c r="O786">
        <v>44</v>
      </c>
      <c r="P786">
        <f t="shared" si="41"/>
        <v>105.71759796100001</v>
      </c>
    </row>
    <row r="787" spans="1:16">
      <c r="A787">
        <f t="shared" si="42"/>
        <v>1389.3884919544985</v>
      </c>
      <c r="B787">
        <v>766</v>
      </c>
      <c r="C787">
        <v>105.808166504</v>
      </c>
      <c r="D787">
        <v>766</v>
      </c>
      <c r="E787">
        <v>124.767570496</v>
      </c>
      <c r="F787">
        <v>766</v>
      </c>
      <c r="G787">
        <v>100.835319519</v>
      </c>
      <c r="H787">
        <v>766</v>
      </c>
      <c r="I787">
        <v>103.52268981899999</v>
      </c>
      <c r="K787">
        <f t="shared" si="43"/>
        <v>21.244880677000012</v>
      </c>
      <c r="L787">
        <v>766</v>
      </c>
      <c r="M787">
        <v>211</v>
      </c>
      <c r="N787">
        <v>766</v>
      </c>
      <c r="O787">
        <v>44</v>
      </c>
      <c r="P787">
        <f t="shared" si="41"/>
        <v>105.191833496</v>
      </c>
    </row>
    <row r="788" spans="1:16">
      <c r="A788">
        <f t="shared" si="42"/>
        <v>1390.3145865915149</v>
      </c>
      <c r="B788">
        <v>767</v>
      </c>
      <c r="C788">
        <v>107.08635711700001</v>
      </c>
      <c r="D788">
        <v>767</v>
      </c>
      <c r="E788">
        <v>122.45375824</v>
      </c>
      <c r="F788">
        <v>767</v>
      </c>
      <c r="G788">
        <v>100.922996521</v>
      </c>
      <c r="H788">
        <v>767</v>
      </c>
      <c r="I788">
        <v>100.61895752</v>
      </c>
      <c r="K788">
        <f t="shared" si="43"/>
        <v>21.834800720000004</v>
      </c>
      <c r="L788">
        <v>767</v>
      </c>
      <c r="M788">
        <v>211</v>
      </c>
      <c r="N788">
        <v>767</v>
      </c>
      <c r="O788">
        <v>44</v>
      </c>
      <c r="P788">
        <f t="shared" si="41"/>
        <v>103.91364288299999</v>
      </c>
    </row>
    <row r="789" spans="1:16">
      <c r="A789">
        <f t="shared" si="42"/>
        <v>1391.2406812285312</v>
      </c>
      <c r="B789">
        <v>768</v>
      </c>
      <c r="C789">
        <v>104.96627807599999</v>
      </c>
      <c r="D789">
        <v>768</v>
      </c>
      <c r="E789">
        <v>121.552825928</v>
      </c>
      <c r="F789">
        <v>768</v>
      </c>
      <c r="G789">
        <v>101.335327148</v>
      </c>
      <c r="H789">
        <v>768</v>
      </c>
      <c r="I789">
        <v>101.249641418</v>
      </c>
      <c r="K789">
        <f t="shared" si="43"/>
        <v>20.303184510000008</v>
      </c>
      <c r="L789">
        <v>768</v>
      </c>
      <c r="M789">
        <v>211</v>
      </c>
      <c r="N789">
        <v>768</v>
      </c>
      <c r="O789">
        <v>44</v>
      </c>
      <c r="P789">
        <f t="shared" ref="P789:P852" si="44">M789-C789</f>
        <v>106.03372192400001</v>
      </c>
    </row>
    <row r="790" spans="1:16">
      <c r="A790">
        <f t="shared" ref="A790:A853" si="45">680 +B790*COS(ABS($J$8)*PI()/180)</f>
        <v>1392.1667758655474</v>
      </c>
      <c r="B790">
        <v>769</v>
      </c>
      <c r="C790">
        <v>106.36332702599999</v>
      </c>
      <c r="D790">
        <v>769</v>
      </c>
      <c r="E790">
        <v>124.279037476</v>
      </c>
      <c r="F790">
        <v>769</v>
      </c>
      <c r="G790">
        <v>100.57327270499999</v>
      </c>
      <c r="H790">
        <v>769</v>
      </c>
      <c r="I790">
        <v>104.169624329</v>
      </c>
      <c r="K790">
        <f t="shared" ref="K790:K853" si="46">E790-I790</f>
        <v>20.109413146999998</v>
      </c>
      <c r="L790">
        <v>769</v>
      </c>
      <c r="M790">
        <v>211</v>
      </c>
      <c r="N790">
        <v>769</v>
      </c>
      <c r="O790">
        <v>44</v>
      </c>
      <c r="P790">
        <f t="shared" si="44"/>
        <v>104.63667297400001</v>
      </c>
    </row>
    <row r="791" spans="1:16">
      <c r="A791">
        <f t="shared" si="45"/>
        <v>1393.0928705025638</v>
      </c>
      <c r="B791">
        <v>770</v>
      </c>
      <c r="C791">
        <v>107.00629425</v>
      </c>
      <c r="D791">
        <v>770</v>
      </c>
      <c r="E791">
        <v>124.84359741199999</v>
      </c>
      <c r="F791">
        <v>770</v>
      </c>
      <c r="G791">
        <v>99.949386597</v>
      </c>
      <c r="H791">
        <v>770</v>
      </c>
      <c r="I791">
        <v>102.436279297</v>
      </c>
      <c r="K791">
        <f t="shared" si="46"/>
        <v>22.407318114999995</v>
      </c>
      <c r="L791">
        <v>770</v>
      </c>
      <c r="M791">
        <v>211</v>
      </c>
      <c r="N791">
        <v>770</v>
      </c>
      <c r="O791">
        <v>44</v>
      </c>
      <c r="P791">
        <f t="shared" si="44"/>
        <v>103.99370575</v>
      </c>
    </row>
    <row r="792" spans="1:16">
      <c r="A792">
        <f t="shared" si="45"/>
        <v>1394.0189651395799</v>
      </c>
      <c r="B792">
        <v>771</v>
      </c>
      <c r="C792">
        <v>99.916610718000001</v>
      </c>
      <c r="D792">
        <v>771</v>
      </c>
      <c r="E792">
        <v>122.466293335</v>
      </c>
      <c r="F792">
        <v>771</v>
      </c>
      <c r="G792">
        <v>100.5340271</v>
      </c>
      <c r="H792">
        <v>771</v>
      </c>
      <c r="I792">
        <v>101.311408997</v>
      </c>
      <c r="K792">
        <f t="shared" si="46"/>
        <v>21.154884338000002</v>
      </c>
      <c r="L792">
        <v>771</v>
      </c>
      <c r="M792">
        <v>211</v>
      </c>
      <c r="N792">
        <v>771</v>
      </c>
      <c r="O792">
        <v>44</v>
      </c>
      <c r="P792">
        <f t="shared" si="44"/>
        <v>111.083389282</v>
      </c>
    </row>
    <row r="793" spans="1:16">
      <c r="A793">
        <f t="shared" si="45"/>
        <v>1394.9450597765963</v>
      </c>
      <c r="B793">
        <v>772</v>
      </c>
      <c r="C793">
        <v>107.491363525</v>
      </c>
      <c r="D793">
        <v>772</v>
      </c>
      <c r="E793">
        <v>120.72290802000001</v>
      </c>
      <c r="F793">
        <v>772</v>
      </c>
      <c r="G793">
        <v>100.789367676</v>
      </c>
      <c r="H793">
        <v>772</v>
      </c>
      <c r="I793">
        <v>101.594116211</v>
      </c>
      <c r="K793">
        <f t="shared" si="46"/>
        <v>19.128791809000006</v>
      </c>
      <c r="L793">
        <v>772</v>
      </c>
      <c r="M793">
        <v>211</v>
      </c>
      <c r="N793">
        <v>772</v>
      </c>
      <c r="O793">
        <v>44</v>
      </c>
      <c r="P793">
        <f t="shared" si="44"/>
        <v>103.508636475</v>
      </c>
    </row>
    <row r="794" spans="1:16">
      <c r="A794">
        <f t="shared" si="45"/>
        <v>1395.8711544136127</v>
      </c>
      <c r="B794">
        <v>773</v>
      </c>
      <c r="C794">
        <v>107.799858093</v>
      </c>
      <c r="D794">
        <v>773</v>
      </c>
      <c r="E794">
        <v>122.55232238799999</v>
      </c>
      <c r="F794">
        <v>773</v>
      </c>
      <c r="G794">
        <v>101.03894805900001</v>
      </c>
      <c r="H794">
        <v>773</v>
      </c>
      <c r="I794">
        <v>101.43235015899999</v>
      </c>
      <c r="K794">
        <f t="shared" si="46"/>
        <v>21.119972228999998</v>
      </c>
      <c r="L794">
        <v>773</v>
      </c>
      <c r="M794">
        <v>211</v>
      </c>
      <c r="N794">
        <v>773</v>
      </c>
      <c r="O794">
        <v>44.247390746999997</v>
      </c>
      <c r="P794">
        <f t="shared" si="44"/>
        <v>103.200141907</v>
      </c>
    </row>
    <row r="795" spans="1:16">
      <c r="A795">
        <f t="shared" si="45"/>
        <v>1396.797249050629</v>
      </c>
      <c r="B795">
        <v>774</v>
      </c>
      <c r="C795">
        <v>108.074485779</v>
      </c>
      <c r="D795">
        <v>774</v>
      </c>
      <c r="E795">
        <v>124.166511536</v>
      </c>
      <c r="F795">
        <v>774</v>
      </c>
      <c r="G795">
        <v>101.65722656200001</v>
      </c>
      <c r="H795">
        <v>774</v>
      </c>
      <c r="I795">
        <v>101.575279236</v>
      </c>
      <c r="K795">
        <f t="shared" si="46"/>
        <v>22.591232300000001</v>
      </c>
      <c r="L795">
        <v>774</v>
      </c>
      <c r="M795">
        <v>210.58287048299999</v>
      </c>
      <c r="N795">
        <v>774</v>
      </c>
      <c r="O795">
        <v>45</v>
      </c>
      <c r="P795">
        <f t="shared" si="44"/>
        <v>102.50838470399999</v>
      </c>
    </row>
    <row r="796" spans="1:16">
      <c r="A796">
        <f t="shared" si="45"/>
        <v>1397.7233436876454</v>
      </c>
      <c r="B796">
        <v>775</v>
      </c>
      <c r="C796">
        <v>106.906471252</v>
      </c>
      <c r="D796">
        <v>775</v>
      </c>
      <c r="E796">
        <v>121.560974121</v>
      </c>
      <c r="F796">
        <v>775</v>
      </c>
      <c r="G796">
        <v>102.36465454099999</v>
      </c>
      <c r="H796">
        <v>775</v>
      </c>
      <c r="I796">
        <v>102.65476989699999</v>
      </c>
      <c r="K796">
        <f t="shared" si="46"/>
        <v>18.906204224000007</v>
      </c>
      <c r="L796">
        <v>775</v>
      </c>
      <c r="M796">
        <v>210</v>
      </c>
      <c r="N796">
        <v>775</v>
      </c>
      <c r="O796">
        <v>45</v>
      </c>
      <c r="P796">
        <f t="shared" si="44"/>
        <v>103.093528748</v>
      </c>
    </row>
    <row r="797" spans="1:16">
      <c r="A797">
        <f t="shared" si="45"/>
        <v>1398.6494383246618</v>
      </c>
      <c r="B797">
        <v>776</v>
      </c>
      <c r="C797">
        <v>107.968811035</v>
      </c>
      <c r="D797">
        <v>776</v>
      </c>
      <c r="E797">
        <v>125.47870636</v>
      </c>
      <c r="F797">
        <v>776</v>
      </c>
      <c r="G797">
        <v>101.13206481899999</v>
      </c>
      <c r="H797">
        <v>776</v>
      </c>
      <c r="I797">
        <v>102.52156829800001</v>
      </c>
      <c r="K797">
        <f t="shared" si="46"/>
        <v>22.957138061999999</v>
      </c>
      <c r="L797">
        <v>776</v>
      </c>
      <c r="M797">
        <v>210</v>
      </c>
      <c r="N797">
        <v>776</v>
      </c>
      <c r="O797">
        <v>45</v>
      </c>
      <c r="P797">
        <f t="shared" si="44"/>
        <v>102.031188965</v>
      </c>
    </row>
    <row r="798" spans="1:16">
      <c r="A798">
        <f t="shared" si="45"/>
        <v>1399.5755329616779</v>
      </c>
      <c r="B798">
        <v>777</v>
      </c>
      <c r="C798">
        <v>107.573455811</v>
      </c>
      <c r="D798">
        <v>777</v>
      </c>
      <c r="E798">
        <v>122.322044373</v>
      </c>
      <c r="F798">
        <v>777</v>
      </c>
      <c r="G798">
        <v>99.512374878000003</v>
      </c>
      <c r="H798">
        <v>777</v>
      </c>
      <c r="I798">
        <v>103.053924561</v>
      </c>
      <c r="K798">
        <f t="shared" si="46"/>
        <v>19.268119811999995</v>
      </c>
      <c r="L798">
        <v>777</v>
      </c>
      <c r="M798">
        <v>210</v>
      </c>
      <c r="N798">
        <v>777</v>
      </c>
      <c r="O798">
        <v>45</v>
      </c>
      <c r="P798">
        <f t="shared" si="44"/>
        <v>102.426544189</v>
      </c>
    </row>
    <row r="799" spans="1:16">
      <c r="A799">
        <f t="shared" si="45"/>
        <v>1400.5016275986943</v>
      </c>
      <c r="B799">
        <v>778</v>
      </c>
      <c r="C799">
        <v>105.669487</v>
      </c>
      <c r="D799">
        <v>778</v>
      </c>
      <c r="E799">
        <v>121.31354522700001</v>
      </c>
      <c r="F799">
        <v>778</v>
      </c>
      <c r="G799">
        <v>100.17563629199999</v>
      </c>
      <c r="H799">
        <v>778</v>
      </c>
      <c r="I799">
        <v>104.5025177</v>
      </c>
      <c r="K799">
        <f t="shared" si="46"/>
        <v>16.811027527000007</v>
      </c>
      <c r="L799">
        <v>778</v>
      </c>
      <c r="M799">
        <v>210</v>
      </c>
      <c r="N799">
        <v>778</v>
      </c>
      <c r="O799">
        <v>45</v>
      </c>
      <c r="P799">
        <f t="shared" si="44"/>
        <v>104.330513</v>
      </c>
    </row>
    <row r="800" spans="1:16">
      <c r="A800">
        <f t="shared" si="45"/>
        <v>1401.4277222357105</v>
      </c>
      <c r="B800">
        <v>779</v>
      </c>
      <c r="C800">
        <v>102.532119751</v>
      </c>
      <c r="D800">
        <v>779</v>
      </c>
      <c r="E800">
        <v>122.102180481</v>
      </c>
      <c r="F800">
        <v>779</v>
      </c>
      <c r="G800">
        <v>99.100669861</v>
      </c>
      <c r="H800">
        <v>779</v>
      </c>
      <c r="I800">
        <v>103.308670044</v>
      </c>
      <c r="K800">
        <f t="shared" si="46"/>
        <v>18.793510437000009</v>
      </c>
      <c r="L800">
        <v>779</v>
      </c>
      <c r="M800">
        <v>210</v>
      </c>
      <c r="N800">
        <v>779</v>
      </c>
      <c r="O800">
        <v>45</v>
      </c>
      <c r="P800">
        <f t="shared" si="44"/>
        <v>107.467880249</v>
      </c>
    </row>
    <row r="801" spans="1:16">
      <c r="A801">
        <f t="shared" si="45"/>
        <v>1402.3538168727268</v>
      </c>
      <c r="B801">
        <v>780</v>
      </c>
      <c r="C801">
        <v>104.169631958</v>
      </c>
      <c r="D801">
        <v>780</v>
      </c>
      <c r="E801">
        <v>120.617797852</v>
      </c>
      <c r="F801">
        <v>780</v>
      </c>
      <c r="G801">
        <v>98.585197449000006</v>
      </c>
      <c r="H801">
        <v>780</v>
      </c>
      <c r="I801">
        <v>101.67070770300001</v>
      </c>
      <c r="K801">
        <f t="shared" si="46"/>
        <v>18.94709014899999</v>
      </c>
      <c r="L801">
        <v>780</v>
      </c>
      <c r="M801">
        <v>210</v>
      </c>
      <c r="N801">
        <v>780</v>
      </c>
      <c r="O801">
        <v>45</v>
      </c>
      <c r="P801">
        <f t="shared" si="44"/>
        <v>105.830368042</v>
      </c>
    </row>
    <row r="802" spans="1:16">
      <c r="A802">
        <f t="shared" si="45"/>
        <v>1403.2799115097432</v>
      </c>
      <c r="B802">
        <v>781</v>
      </c>
      <c r="C802">
        <v>108.13196563699999</v>
      </c>
      <c r="D802">
        <v>781</v>
      </c>
      <c r="E802">
        <v>121.803726196</v>
      </c>
      <c r="F802">
        <v>781</v>
      </c>
      <c r="G802">
        <v>98.464485167999996</v>
      </c>
      <c r="H802">
        <v>781</v>
      </c>
      <c r="I802">
        <v>103.95201873800001</v>
      </c>
      <c r="K802">
        <f t="shared" si="46"/>
        <v>17.851707457999993</v>
      </c>
      <c r="L802">
        <v>781</v>
      </c>
      <c r="M802">
        <v>210</v>
      </c>
      <c r="N802">
        <v>781</v>
      </c>
      <c r="O802">
        <v>45</v>
      </c>
      <c r="P802">
        <f t="shared" si="44"/>
        <v>101.86803436300001</v>
      </c>
    </row>
    <row r="803" spans="1:16">
      <c r="A803">
        <f t="shared" si="45"/>
        <v>1404.2060061467596</v>
      </c>
      <c r="B803">
        <v>782</v>
      </c>
      <c r="C803">
        <v>106.504966736</v>
      </c>
      <c r="D803">
        <v>782</v>
      </c>
      <c r="E803">
        <v>122.46363830600001</v>
      </c>
      <c r="F803">
        <v>782</v>
      </c>
      <c r="G803">
        <v>98.847496032999999</v>
      </c>
      <c r="H803">
        <v>782</v>
      </c>
      <c r="I803">
        <v>105.033332825</v>
      </c>
      <c r="K803">
        <f t="shared" si="46"/>
        <v>17.430305481000005</v>
      </c>
      <c r="L803">
        <v>782</v>
      </c>
      <c r="M803">
        <v>210</v>
      </c>
      <c r="N803">
        <v>782</v>
      </c>
      <c r="O803">
        <v>45</v>
      </c>
      <c r="P803">
        <f t="shared" si="44"/>
        <v>103.495033264</v>
      </c>
    </row>
    <row r="804" spans="1:16">
      <c r="A804">
        <f t="shared" si="45"/>
        <v>1405.132100783776</v>
      </c>
      <c r="B804">
        <v>783</v>
      </c>
      <c r="C804">
        <v>103.58228302000001</v>
      </c>
      <c r="D804">
        <v>783</v>
      </c>
      <c r="E804">
        <v>122.47677612299999</v>
      </c>
      <c r="F804">
        <v>783</v>
      </c>
      <c r="G804">
        <v>99.426353454999997</v>
      </c>
      <c r="H804">
        <v>783</v>
      </c>
      <c r="I804">
        <v>105.03775787399999</v>
      </c>
      <c r="K804">
        <f t="shared" si="46"/>
        <v>17.439018249</v>
      </c>
      <c r="L804">
        <v>783</v>
      </c>
      <c r="M804">
        <v>210</v>
      </c>
      <c r="N804">
        <v>783</v>
      </c>
      <c r="O804">
        <v>45.874439240000001</v>
      </c>
      <c r="P804">
        <f t="shared" si="44"/>
        <v>106.41771697999999</v>
      </c>
    </row>
    <row r="805" spans="1:16">
      <c r="A805">
        <f t="shared" si="45"/>
        <v>1406.0581954207923</v>
      </c>
      <c r="B805">
        <v>784</v>
      </c>
      <c r="C805">
        <v>102.942329407</v>
      </c>
      <c r="D805">
        <v>784</v>
      </c>
      <c r="E805">
        <v>122.483123779</v>
      </c>
      <c r="F805">
        <v>784</v>
      </c>
      <c r="G805">
        <v>99.501731872999997</v>
      </c>
      <c r="H805">
        <v>784</v>
      </c>
      <c r="I805">
        <v>103.752944946</v>
      </c>
      <c r="K805">
        <f t="shared" si="46"/>
        <v>18.730178832999997</v>
      </c>
      <c r="L805">
        <v>784</v>
      </c>
      <c r="M805">
        <v>209.04574585</v>
      </c>
      <c r="N805">
        <v>784</v>
      </c>
      <c r="O805">
        <v>47</v>
      </c>
      <c r="P805">
        <f t="shared" si="44"/>
        <v>106.103416443</v>
      </c>
    </row>
    <row r="806" spans="1:16">
      <c r="A806">
        <f t="shared" si="45"/>
        <v>1406.9842900578085</v>
      </c>
      <c r="B806">
        <v>785</v>
      </c>
      <c r="C806">
        <v>103.093955994</v>
      </c>
      <c r="D806">
        <v>785</v>
      </c>
      <c r="E806">
        <v>122.481239319</v>
      </c>
      <c r="F806">
        <v>785</v>
      </c>
      <c r="G806">
        <v>99.553726196</v>
      </c>
      <c r="H806">
        <v>785</v>
      </c>
      <c r="I806">
        <v>102.20833587600001</v>
      </c>
      <c r="K806">
        <f t="shared" si="46"/>
        <v>20.27290344299999</v>
      </c>
      <c r="L806">
        <v>785</v>
      </c>
      <c r="M806">
        <v>208</v>
      </c>
      <c r="N806">
        <v>785</v>
      </c>
      <c r="O806">
        <v>47</v>
      </c>
      <c r="P806">
        <f t="shared" si="44"/>
        <v>104.906044006</v>
      </c>
    </row>
    <row r="807" spans="1:16">
      <c r="A807">
        <f t="shared" si="45"/>
        <v>1407.9103846948249</v>
      </c>
      <c r="B807">
        <v>786</v>
      </c>
      <c r="C807">
        <v>104.946311951</v>
      </c>
      <c r="D807">
        <v>786</v>
      </c>
      <c r="E807">
        <v>120.74868774399999</v>
      </c>
      <c r="F807">
        <v>786</v>
      </c>
      <c r="G807">
        <v>99.651268005000006</v>
      </c>
      <c r="H807">
        <v>786</v>
      </c>
      <c r="I807">
        <v>102.807594299</v>
      </c>
      <c r="K807">
        <f t="shared" si="46"/>
        <v>17.941093444999993</v>
      </c>
      <c r="L807">
        <v>786</v>
      </c>
      <c r="M807">
        <v>208</v>
      </c>
      <c r="N807">
        <v>786</v>
      </c>
      <c r="O807">
        <v>47</v>
      </c>
      <c r="P807">
        <f t="shared" si="44"/>
        <v>103.053688049</v>
      </c>
    </row>
    <row r="808" spans="1:16">
      <c r="A808">
        <f t="shared" si="45"/>
        <v>1408.836479331841</v>
      </c>
      <c r="B808">
        <v>787</v>
      </c>
      <c r="C808">
        <v>101.550224304</v>
      </c>
      <c r="D808">
        <v>787</v>
      </c>
      <c r="E808">
        <v>120.24614715600001</v>
      </c>
      <c r="F808">
        <v>787</v>
      </c>
      <c r="G808">
        <v>99.567398071</v>
      </c>
      <c r="H808">
        <v>787</v>
      </c>
      <c r="I808">
        <v>103.807357788</v>
      </c>
      <c r="K808">
        <f t="shared" si="46"/>
        <v>16.438789368000002</v>
      </c>
      <c r="L808">
        <v>787</v>
      </c>
      <c r="M808">
        <v>208</v>
      </c>
      <c r="N808">
        <v>787</v>
      </c>
      <c r="O808">
        <v>47</v>
      </c>
      <c r="P808">
        <f t="shared" si="44"/>
        <v>106.449775696</v>
      </c>
    </row>
    <row r="809" spans="1:16">
      <c r="A809">
        <f t="shared" si="45"/>
        <v>1409.7625739688574</v>
      </c>
      <c r="B809">
        <v>788</v>
      </c>
      <c r="C809">
        <v>102.68602752699999</v>
      </c>
      <c r="D809">
        <v>788</v>
      </c>
      <c r="E809">
        <v>119.6043396</v>
      </c>
      <c r="F809">
        <v>788</v>
      </c>
      <c r="G809">
        <v>100.145553589</v>
      </c>
      <c r="H809">
        <v>788</v>
      </c>
      <c r="I809">
        <v>101.94334411600001</v>
      </c>
      <c r="K809">
        <f t="shared" si="46"/>
        <v>17.660995483999997</v>
      </c>
      <c r="L809">
        <v>788</v>
      </c>
      <c r="M809">
        <v>208</v>
      </c>
      <c r="N809">
        <v>788</v>
      </c>
      <c r="O809">
        <v>47</v>
      </c>
      <c r="P809">
        <f t="shared" si="44"/>
        <v>105.31397247300001</v>
      </c>
    </row>
    <row r="810" spans="1:16">
      <c r="A810">
        <f t="shared" si="45"/>
        <v>1410.6886686058738</v>
      </c>
      <c r="B810">
        <v>789</v>
      </c>
      <c r="C810">
        <v>104.251785278</v>
      </c>
      <c r="D810">
        <v>789</v>
      </c>
      <c r="E810">
        <v>121.716033936</v>
      </c>
      <c r="F810">
        <v>789</v>
      </c>
      <c r="G810">
        <v>99.942871093999997</v>
      </c>
      <c r="H810">
        <v>789</v>
      </c>
      <c r="I810">
        <v>100.07254791299999</v>
      </c>
      <c r="K810">
        <f t="shared" si="46"/>
        <v>21.643486023000008</v>
      </c>
      <c r="L810">
        <v>789</v>
      </c>
      <c r="M810">
        <v>208</v>
      </c>
      <c r="N810">
        <v>789</v>
      </c>
      <c r="O810">
        <v>47</v>
      </c>
      <c r="P810">
        <f t="shared" si="44"/>
        <v>103.748214722</v>
      </c>
    </row>
    <row r="811" spans="1:16">
      <c r="A811">
        <f t="shared" si="45"/>
        <v>1411.6147632428901</v>
      </c>
      <c r="B811">
        <v>790</v>
      </c>
      <c r="C811">
        <v>104.58545684800001</v>
      </c>
      <c r="D811">
        <v>790</v>
      </c>
      <c r="E811">
        <v>120.53775024399999</v>
      </c>
      <c r="F811">
        <v>790</v>
      </c>
      <c r="G811">
        <v>99.176849364999995</v>
      </c>
      <c r="H811">
        <v>790</v>
      </c>
      <c r="I811">
        <v>100.796852112</v>
      </c>
      <c r="K811">
        <f t="shared" si="46"/>
        <v>19.740898131999998</v>
      </c>
      <c r="L811">
        <v>790</v>
      </c>
      <c r="M811">
        <v>208</v>
      </c>
      <c r="N811">
        <v>790</v>
      </c>
      <c r="O811">
        <v>47</v>
      </c>
      <c r="P811">
        <f t="shared" si="44"/>
        <v>103.41454315199999</v>
      </c>
    </row>
    <row r="812" spans="1:16">
      <c r="A812">
        <f t="shared" si="45"/>
        <v>1412.5408578799065</v>
      </c>
      <c r="B812">
        <v>791</v>
      </c>
      <c r="C812">
        <v>105.329833984</v>
      </c>
      <c r="D812">
        <v>791</v>
      </c>
      <c r="E812">
        <v>122.489616394</v>
      </c>
      <c r="F812">
        <v>791</v>
      </c>
      <c r="G812">
        <v>98.410835266000007</v>
      </c>
      <c r="H812">
        <v>791</v>
      </c>
      <c r="I812">
        <v>101.030975342</v>
      </c>
      <c r="K812">
        <f t="shared" si="46"/>
        <v>21.45864105199999</v>
      </c>
      <c r="L812">
        <v>791</v>
      </c>
      <c r="M812">
        <v>208</v>
      </c>
      <c r="N812">
        <v>791</v>
      </c>
      <c r="O812">
        <v>47</v>
      </c>
      <c r="P812">
        <f t="shared" si="44"/>
        <v>102.670166016</v>
      </c>
    </row>
    <row r="813" spans="1:16">
      <c r="A813">
        <f t="shared" si="45"/>
        <v>1413.4669525169227</v>
      </c>
      <c r="B813">
        <v>792</v>
      </c>
      <c r="C813">
        <v>107.12173461899999</v>
      </c>
      <c r="D813">
        <v>792</v>
      </c>
      <c r="E813">
        <v>122.808570862</v>
      </c>
      <c r="F813">
        <v>792</v>
      </c>
      <c r="G813">
        <v>97.392730713000006</v>
      </c>
      <c r="H813">
        <v>792</v>
      </c>
      <c r="I813">
        <v>101.02104187</v>
      </c>
      <c r="K813">
        <f t="shared" si="46"/>
        <v>21.787528991999991</v>
      </c>
      <c r="L813">
        <v>792</v>
      </c>
      <c r="M813">
        <v>208</v>
      </c>
      <c r="N813">
        <v>792</v>
      </c>
      <c r="O813">
        <v>47</v>
      </c>
      <c r="P813">
        <f t="shared" si="44"/>
        <v>100.87826538100001</v>
      </c>
    </row>
    <row r="814" spans="1:16">
      <c r="A814">
        <f t="shared" si="45"/>
        <v>1414.3930471539391</v>
      </c>
      <c r="B814">
        <v>793</v>
      </c>
      <c r="C814">
        <v>106.86714172400001</v>
      </c>
      <c r="D814">
        <v>793</v>
      </c>
      <c r="E814">
        <v>121.54685974100001</v>
      </c>
      <c r="F814">
        <v>793</v>
      </c>
      <c r="G814">
        <v>96.393936156999999</v>
      </c>
      <c r="H814">
        <v>793</v>
      </c>
      <c r="I814">
        <v>103.846984863</v>
      </c>
      <c r="K814">
        <f t="shared" si="46"/>
        <v>17.699874878000003</v>
      </c>
      <c r="L814">
        <v>793</v>
      </c>
      <c r="M814">
        <v>208</v>
      </c>
      <c r="N814">
        <v>793</v>
      </c>
      <c r="O814">
        <v>47</v>
      </c>
      <c r="P814">
        <f t="shared" si="44"/>
        <v>101.13285827599999</v>
      </c>
    </row>
    <row r="815" spans="1:16">
      <c r="A815">
        <f t="shared" si="45"/>
        <v>1415.3191417909552</v>
      </c>
      <c r="B815">
        <v>794</v>
      </c>
      <c r="C815">
        <v>104.207260132</v>
      </c>
      <c r="D815">
        <v>794</v>
      </c>
      <c r="E815">
        <v>119.263366699</v>
      </c>
      <c r="F815">
        <v>794</v>
      </c>
      <c r="G815">
        <v>96.600898743000002</v>
      </c>
      <c r="H815">
        <v>794</v>
      </c>
      <c r="I815">
        <v>102.12869262700001</v>
      </c>
      <c r="K815">
        <f t="shared" si="46"/>
        <v>17.134674071999996</v>
      </c>
      <c r="L815">
        <v>794</v>
      </c>
      <c r="M815">
        <v>208</v>
      </c>
      <c r="N815">
        <v>794</v>
      </c>
      <c r="O815">
        <v>47</v>
      </c>
      <c r="P815">
        <f t="shared" si="44"/>
        <v>103.792739868</v>
      </c>
    </row>
    <row r="816" spans="1:16">
      <c r="A816">
        <f t="shared" si="45"/>
        <v>1416.2452364279716</v>
      </c>
      <c r="B816">
        <v>795</v>
      </c>
      <c r="C816">
        <v>103.642608643</v>
      </c>
      <c r="D816">
        <v>795</v>
      </c>
      <c r="E816">
        <v>118.812423706</v>
      </c>
      <c r="F816">
        <v>795</v>
      </c>
      <c r="G816">
        <v>97.817680358999993</v>
      </c>
      <c r="H816">
        <v>795</v>
      </c>
      <c r="I816">
        <v>100.222824097</v>
      </c>
      <c r="K816">
        <f t="shared" si="46"/>
        <v>18.589599609000004</v>
      </c>
      <c r="L816">
        <v>795</v>
      </c>
      <c r="M816">
        <v>208</v>
      </c>
      <c r="N816">
        <v>795</v>
      </c>
      <c r="O816">
        <v>47</v>
      </c>
      <c r="P816">
        <f t="shared" si="44"/>
        <v>104.357391357</v>
      </c>
    </row>
    <row r="817" spans="1:16">
      <c r="A817">
        <f t="shared" si="45"/>
        <v>1417.171331064988</v>
      </c>
      <c r="B817">
        <v>796</v>
      </c>
      <c r="C817">
        <v>105.342948914</v>
      </c>
      <c r="D817">
        <v>796</v>
      </c>
      <c r="E817">
        <v>121.50067901600001</v>
      </c>
      <c r="F817">
        <v>796</v>
      </c>
      <c r="G817">
        <v>98.169212341000005</v>
      </c>
      <c r="H817">
        <v>796</v>
      </c>
      <c r="I817">
        <v>101.3959198</v>
      </c>
      <c r="K817">
        <f t="shared" si="46"/>
        <v>20.104759216000005</v>
      </c>
      <c r="L817">
        <v>796</v>
      </c>
      <c r="M817">
        <v>208</v>
      </c>
      <c r="N817">
        <v>796</v>
      </c>
      <c r="O817">
        <v>47</v>
      </c>
      <c r="P817">
        <f t="shared" si="44"/>
        <v>102.657051086</v>
      </c>
    </row>
    <row r="818" spans="1:16">
      <c r="A818">
        <f t="shared" si="45"/>
        <v>1418.0974257020043</v>
      </c>
      <c r="B818">
        <v>797</v>
      </c>
      <c r="C818">
        <v>105.336326599</v>
      </c>
      <c r="D818">
        <v>797</v>
      </c>
      <c r="E818">
        <v>119.67890930199999</v>
      </c>
      <c r="F818">
        <v>797</v>
      </c>
      <c r="G818">
        <v>97.839538574000002</v>
      </c>
      <c r="H818">
        <v>797</v>
      </c>
      <c r="I818">
        <v>102.438087463</v>
      </c>
      <c r="K818">
        <f t="shared" si="46"/>
        <v>17.240821838999992</v>
      </c>
      <c r="L818">
        <v>797</v>
      </c>
      <c r="M818">
        <v>208</v>
      </c>
      <c r="N818">
        <v>797</v>
      </c>
      <c r="O818">
        <v>47</v>
      </c>
      <c r="P818">
        <f t="shared" si="44"/>
        <v>102.663673401</v>
      </c>
    </row>
    <row r="819" spans="1:16">
      <c r="A819">
        <f t="shared" si="45"/>
        <v>1419.0235203390207</v>
      </c>
      <c r="B819">
        <v>798</v>
      </c>
      <c r="C819">
        <v>105.189361572</v>
      </c>
      <c r="D819">
        <v>798</v>
      </c>
      <c r="E819">
        <v>120.058532715</v>
      </c>
      <c r="F819">
        <v>798</v>
      </c>
      <c r="G819">
        <v>98.094886779999996</v>
      </c>
      <c r="H819">
        <v>798</v>
      </c>
      <c r="I819">
        <v>101.731369019</v>
      </c>
      <c r="K819">
        <f t="shared" si="46"/>
        <v>18.327163696</v>
      </c>
      <c r="L819">
        <v>798</v>
      </c>
      <c r="M819">
        <v>208</v>
      </c>
      <c r="N819">
        <v>798</v>
      </c>
      <c r="O819">
        <v>47</v>
      </c>
      <c r="P819">
        <f t="shared" si="44"/>
        <v>102.810638428</v>
      </c>
    </row>
    <row r="820" spans="1:16">
      <c r="A820">
        <f t="shared" si="45"/>
        <v>1419.9496149760371</v>
      </c>
      <c r="B820">
        <v>799</v>
      </c>
      <c r="C820">
        <v>103.308334351</v>
      </c>
      <c r="D820">
        <v>799</v>
      </c>
      <c r="E820">
        <v>120.998039246</v>
      </c>
      <c r="F820">
        <v>799</v>
      </c>
      <c r="G820">
        <v>98.052078246999997</v>
      </c>
      <c r="H820">
        <v>799</v>
      </c>
      <c r="I820">
        <v>101.66666412399999</v>
      </c>
      <c r="K820">
        <f t="shared" si="46"/>
        <v>19.331375122000011</v>
      </c>
      <c r="L820">
        <v>799</v>
      </c>
      <c r="M820">
        <v>208</v>
      </c>
      <c r="N820">
        <v>799</v>
      </c>
      <c r="O820">
        <v>47</v>
      </c>
      <c r="P820">
        <f t="shared" si="44"/>
        <v>104.691665649</v>
      </c>
    </row>
    <row r="821" spans="1:16">
      <c r="A821">
        <f t="shared" si="45"/>
        <v>1420.8757096130532</v>
      </c>
      <c r="B821">
        <v>800</v>
      </c>
      <c r="C821">
        <v>105.985099792</v>
      </c>
      <c r="D821">
        <v>800</v>
      </c>
      <c r="E821">
        <v>121.792243958</v>
      </c>
      <c r="F821">
        <v>800</v>
      </c>
      <c r="G821">
        <v>97.353942871000001</v>
      </c>
      <c r="H821">
        <v>800</v>
      </c>
      <c r="I821">
        <v>101.66666412399999</v>
      </c>
      <c r="K821">
        <f t="shared" si="46"/>
        <v>20.125579834000007</v>
      </c>
      <c r="L821">
        <v>800</v>
      </c>
      <c r="M821">
        <v>208</v>
      </c>
      <c r="N821">
        <v>800</v>
      </c>
      <c r="O821">
        <v>47</v>
      </c>
      <c r="P821">
        <f t="shared" si="44"/>
        <v>102.014900208</v>
      </c>
    </row>
    <row r="822" spans="1:16">
      <c r="A822">
        <f t="shared" si="45"/>
        <v>1421.8018042500696</v>
      </c>
      <c r="B822">
        <v>801</v>
      </c>
      <c r="C822">
        <v>101.985107422</v>
      </c>
      <c r="D822">
        <v>801</v>
      </c>
      <c r="E822">
        <v>121.647094727</v>
      </c>
      <c r="F822">
        <v>801</v>
      </c>
      <c r="G822">
        <v>97.413345336999996</v>
      </c>
      <c r="H822">
        <v>801</v>
      </c>
      <c r="I822">
        <v>101.981956482</v>
      </c>
      <c r="K822">
        <f t="shared" si="46"/>
        <v>19.665138244999994</v>
      </c>
      <c r="L822">
        <v>801</v>
      </c>
      <c r="M822">
        <v>208</v>
      </c>
      <c r="N822">
        <v>801</v>
      </c>
      <c r="O822">
        <v>47</v>
      </c>
      <c r="P822">
        <f t="shared" si="44"/>
        <v>106.014892578</v>
      </c>
    </row>
    <row r="823" spans="1:16">
      <c r="A823">
        <f t="shared" si="45"/>
        <v>1422.7278988870858</v>
      </c>
      <c r="B823">
        <v>802</v>
      </c>
      <c r="C823">
        <v>103.524291992</v>
      </c>
      <c r="D823">
        <v>802</v>
      </c>
      <c r="E823">
        <v>122.17119598399999</v>
      </c>
      <c r="F823">
        <v>802</v>
      </c>
      <c r="G823">
        <v>97.289787292</v>
      </c>
      <c r="H823">
        <v>802</v>
      </c>
      <c r="I823">
        <v>101.864707947</v>
      </c>
      <c r="K823">
        <f t="shared" si="46"/>
        <v>20.306488036999994</v>
      </c>
      <c r="L823">
        <v>802</v>
      </c>
      <c r="M823">
        <v>208</v>
      </c>
      <c r="N823">
        <v>802</v>
      </c>
      <c r="O823">
        <v>47.174365997000002</v>
      </c>
      <c r="P823">
        <f t="shared" si="44"/>
        <v>104.475708008</v>
      </c>
    </row>
    <row r="824" spans="1:16">
      <c r="A824">
        <f t="shared" si="45"/>
        <v>1423.6539935241021</v>
      </c>
      <c r="B824">
        <v>803</v>
      </c>
      <c r="C824">
        <v>104.29133606000001</v>
      </c>
      <c r="D824">
        <v>803</v>
      </c>
      <c r="E824">
        <v>119.43608856199999</v>
      </c>
      <c r="F824">
        <v>803</v>
      </c>
      <c r="G824">
        <v>96.662902832</v>
      </c>
      <c r="H824">
        <v>803</v>
      </c>
      <c r="I824">
        <v>102</v>
      </c>
      <c r="K824">
        <f t="shared" si="46"/>
        <v>17.436088561999995</v>
      </c>
      <c r="L824">
        <v>803</v>
      </c>
      <c r="M824">
        <v>208</v>
      </c>
      <c r="N824">
        <v>803</v>
      </c>
      <c r="O824">
        <v>47.557376861999998</v>
      </c>
      <c r="P824">
        <f t="shared" si="44"/>
        <v>103.70866393999999</v>
      </c>
    </row>
    <row r="825" spans="1:16">
      <c r="A825">
        <f t="shared" si="45"/>
        <v>1424.5800881611185</v>
      </c>
      <c r="B825">
        <v>804</v>
      </c>
      <c r="C825">
        <v>101.476325989</v>
      </c>
      <c r="D825">
        <v>804</v>
      </c>
      <c r="E825">
        <v>121.15693664600001</v>
      </c>
      <c r="F825">
        <v>804</v>
      </c>
      <c r="G825">
        <v>97.504745482999994</v>
      </c>
      <c r="H825">
        <v>804</v>
      </c>
      <c r="I825">
        <v>102</v>
      </c>
      <c r="K825">
        <f t="shared" si="46"/>
        <v>19.156936646000005</v>
      </c>
      <c r="L825">
        <v>804</v>
      </c>
      <c r="M825">
        <v>207.10879516599999</v>
      </c>
      <c r="N825">
        <v>804</v>
      </c>
      <c r="O825">
        <v>47.993515015</v>
      </c>
      <c r="P825">
        <f t="shared" si="44"/>
        <v>105.63246917699999</v>
      </c>
    </row>
    <row r="826" spans="1:16">
      <c r="A826">
        <f t="shared" si="45"/>
        <v>1425.5061827981349</v>
      </c>
      <c r="B826">
        <v>805</v>
      </c>
      <c r="C826">
        <v>101.776313782</v>
      </c>
      <c r="D826">
        <v>805</v>
      </c>
      <c r="E826">
        <v>122.545021057</v>
      </c>
      <c r="F826">
        <v>805</v>
      </c>
      <c r="G826">
        <v>97.195533752000003</v>
      </c>
      <c r="H826">
        <v>805</v>
      </c>
      <c r="I826">
        <v>102</v>
      </c>
      <c r="K826">
        <f t="shared" si="46"/>
        <v>20.545021057</v>
      </c>
      <c r="L826">
        <v>805</v>
      </c>
      <c r="M826">
        <v>207</v>
      </c>
      <c r="N826">
        <v>805</v>
      </c>
      <c r="O826">
        <v>48</v>
      </c>
      <c r="P826">
        <f t="shared" si="44"/>
        <v>105.223686218</v>
      </c>
    </row>
    <row r="827" spans="1:16">
      <c r="A827">
        <f t="shared" si="45"/>
        <v>1426.4322774351513</v>
      </c>
      <c r="B827">
        <v>806</v>
      </c>
      <c r="C827">
        <v>102.33886718799999</v>
      </c>
      <c r="D827">
        <v>806</v>
      </c>
      <c r="E827">
        <v>122.37505340600001</v>
      </c>
      <c r="F827">
        <v>806</v>
      </c>
      <c r="G827">
        <v>96.116249084000003</v>
      </c>
      <c r="H827">
        <v>806</v>
      </c>
      <c r="I827">
        <v>100.69241332999999</v>
      </c>
      <c r="K827">
        <f t="shared" si="46"/>
        <v>21.682640076000013</v>
      </c>
      <c r="L827">
        <v>806</v>
      </c>
      <c r="M827">
        <v>207</v>
      </c>
      <c r="N827">
        <v>806</v>
      </c>
      <c r="O827">
        <v>48</v>
      </c>
      <c r="P827">
        <f t="shared" si="44"/>
        <v>104.66113281200001</v>
      </c>
    </row>
    <row r="828" spans="1:16">
      <c r="A828">
        <f t="shared" si="45"/>
        <v>1427.3583720721674</v>
      </c>
      <c r="B828">
        <v>807</v>
      </c>
      <c r="C828">
        <v>103.933395386</v>
      </c>
      <c r="D828">
        <v>807</v>
      </c>
      <c r="E828">
        <v>121.503738403</v>
      </c>
      <c r="F828">
        <v>807</v>
      </c>
      <c r="G828">
        <v>94.699638367000006</v>
      </c>
      <c r="H828">
        <v>807</v>
      </c>
      <c r="I828">
        <v>100.34422302199999</v>
      </c>
      <c r="K828">
        <f t="shared" si="46"/>
        <v>21.159515381000006</v>
      </c>
      <c r="L828">
        <v>807</v>
      </c>
      <c r="M828">
        <v>207</v>
      </c>
      <c r="N828">
        <v>807</v>
      </c>
      <c r="O828">
        <v>48</v>
      </c>
      <c r="P828">
        <f t="shared" si="44"/>
        <v>103.066604614</v>
      </c>
    </row>
    <row r="829" spans="1:16">
      <c r="A829">
        <f t="shared" si="45"/>
        <v>1428.2844667091838</v>
      </c>
      <c r="B829">
        <v>808</v>
      </c>
      <c r="C829">
        <v>104.769264221</v>
      </c>
      <c r="D829">
        <v>808</v>
      </c>
      <c r="E829">
        <v>116.67695617699999</v>
      </c>
      <c r="F829">
        <v>808</v>
      </c>
      <c r="G829">
        <v>94.370887756000002</v>
      </c>
      <c r="H829">
        <v>808</v>
      </c>
      <c r="I829">
        <v>100.66957092299999</v>
      </c>
      <c r="K829">
        <f t="shared" si="46"/>
        <v>16.007385253999999</v>
      </c>
      <c r="L829">
        <v>808</v>
      </c>
      <c r="M829">
        <v>207</v>
      </c>
      <c r="N829">
        <v>808</v>
      </c>
      <c r="O829">
        <v>48</v>
      </c>
      <c r="P829">
        <f t="shared" si="44"/>
        <v>102.230735779</v>
      </c>
    </row>
    <row r="830" spans="1:16">
      <c r="A830">
        <f t="shared" si="45"/>
        <v>1429.2105613461999</v>
      </c>
      <c r="B830">
        <v>809</v>
      </c>
      <c r="C830">
        <v>101.387733459</v>
      </c>
      <c r="D830">
        <v>809</v>
      </c>
      <c r="E830">
        <v>115.957366943</v>
      </c>
      <c r="F830">
        <v>809</v>
      </c>
      <c r="G830">
        <v>94.072822571000003</v>
      </c>
      <c r="H830">
        <v>809</v>
      </c>
      <c r="I830">
        <v>100.09261322</v>
      </c>
      <c r="K830">
        <f t="shared" si="46"/>
        <v>15.864753722999993</v>
      </c>
      <c r="L830">
        <v>809</v>
      </c>
      <c r="M830">
        <v>207</v>
      </c>
      <c r="N830">
        <v>809</v>
      </c>
      <c r="O830">
        <v>48</v>
      </c>
      <c r="P830">
        <f t="shared" si="44"/>
        <v>105.612266541</v>
      </c>
    </row>
    <row r="831" spans="1:16">
      <c r="A831">
        <f t="shared" si="45"/>
        <v>1430.1366559832163</v>
      </c>
      <c r="B831">
        <v>810</v>
      </c>
      <c r="C831">
        <v>101.284973145</v>
      </c>
      <c r="D831">
        <v>810</v>
      </c>
      <c r="E831">
        <v>118.27935791</v>
      </c>
      <c r="F831">
        <v>810</v>
      </c>
      <c r="G831">
        <v>94.079483031999999</v>
      </c>
      <c r="H831">
        <v>810</v>
      </c>
      <c r="I831">
        <v>99.490196228000002</v>
      </c>
      <c r="K831">
        <f t="shared" si="46"/>
        <v>18.789161682</v>
      </c>
      <c r="L831">
        <v>810</v>
      </c>
      <c r="M831">
        <v>207</v>
      </c>
      <c r="N831">
        <v>810</v>
      </c>
      <c r="O831">
        <v>48</v>
      </c>
      <c r="P831">
        <f t="shared" si="44"/>
        <v>105.715026855</v>
      </c>
    </row>
    <row r="832" spans="1:16">
      <c r="A832">
        <f t="shared" si="45"/>
        <v>1431.0627506202327</v>
      </c>
      <c r="B832">
        <v>811</v>
      </c>
      <c r="C832">
        <v>105.614616394</v>
      </c>
      <c r="D832">
        <v>811</v>
      </c>
      <c r="E832">
        <v>119.8489151</v>
      </c>
      <c r="F832">
        <v>811</v>
      </c>
      <c r="G832">
        <v>94.119903563999998</v>
      </c>
      <c r="H832">
        <v>811</v>
      </c>
      <c r="I832">
        <v>99.946075438999998</v>
      </c>
      <c r="K832">
        <f t="shared" si="46"/>
        <v>19.902839661000002</v>
      </c>
      <c r="L832">
        <v>811</v>
      </c>
      <c r="M832">
        <v>207</v>
      </c>
      <c r="N832">
        <v>811</v>
      </c>
      <c r="O832">
        <v>48</v>
      </c>
      <c r="P832">
        <f t="shared" si="44"/>
        <v>101.385383606</v>
      </c>
    </row>
    <row r="833" spans="1:16">
      <c r="A833">
        <f t="shared" si="45"/>
        <v>1431.9888452572491</v>
      </c>
      <c r="B833">
        <v>812</v>
      </c>
      <c r="C833">
        <v>105.472961426</v>
      </c>
      <c r="D833">
        <v>812</v>
      </c>
      <c r="E833">
        <v>122.061378479</v>
      </c>
      <c r="F833">
        <v>812</v>
      </c>
      <c r="G833">
        <v>93.337806701999995</v>
      </c>
      <c r="H833">
        <v>812</v>
      </c>
      <c r="I833">
        <v>101.090332031</v>
      </c>
      <c r="K833">
        <f t="shared" si="46"/>
        <v>20.971046447999996</v>
      </c>
      <c r="L833">
        <v>812</v>
      </c>
      <c r="M833">
        <v>207</v>
      </c>
      <c r="N833">
        <v>812</v>
      </c>
      <c r="O833">
        <v>48.286365508999999</v>
      </c>
      <c r="P833">
        <f t="shared" si="44"/>
        <v>101.527038574</v>
      </c>
    </row>
    <row r="834" spans="1:16">
      <c r="A834">
        <f t="shared" si="45"/>
        <v>1432.9149398942654</v>
      </c>
      <c r="B834">
        <v>813</v>
      </c>
      <c r="C834">
        <v>102.501281738</v>
      </c>
      <c r="D834">
        <v>813</v>
      </c>
      <c r="E834">
        <v>120.72151184099999</v>
      </c>
      <c r="F834">
        <v>813</v>
      </c>
      <c r="G834">
        <v>93.874458313000005</v>
      </c>
      <c r="H834">
        <v>813</v>
      </c>
      <c r="I834">
        <v>100.755851746</v>
      </c>
      <c r="K834">
        <f t="shared" si="46"/>
        <v>19.96566009499999</v>
      </c>
      <c r="L834">
        <v>813</v>
      </c>
      <c r="M834">
        <v>206.65341186500001</v>
      </c>
      <c r="N834">
        <v>813</v>
      </c>
      <c r="O834">
        <v>49</v>
      </c>
      <c r="P834">
        <f t="shared" si="44"/>
        <v>104.15213012700001</v>
      </c>
    </row>
    <row r="835" spans="1:16">
      <c r="A835">
        <f t="shared" si="45"/>
        <v>1433.8410345312818</v>
      </c>
      <c r="B835">
        <v>814</v>
      </c>
      <c r="C835">
        <v>103.901329041</v>
      </c>
      <c r="D835">
        <v>814</v>
      </c>
      <c r="E835">
        <v>118.56837463399999</v>
      </c>
      <c r="F835">
        <v>814</v>
      </c>
      <c r="G835">
        <v>94.620262146000002</v>
      </c>
      <c r="H835">
        <v>814</v>
      </c>
      <c r="I835">
        <v>98.758872986</v>
      </c>
      <c r="K835">
        <f t="shared" si="46"/>
        <v>19.809501647999994</v>
      </c>
      <c r="L835">
        <v>814</v>
      </c>
      <c r="M835">
        <v>206</v>
      </c>
      <c r="N835">
        <v>814</v>
      </c>
      <c r="O835">
        <v>49</v>
      </c>
      <c r="P835">
        <f t="shared" si="44"/>
        <v>102.098670959</v>
      </c>
    </row>
    <row r="836" spans="1:16">
      <c r="A836">
        <f t="shared" si="45"/>
        <v>1434.767129168298</v>
      </c>
      <c r="B836">
        <v>815</v>
      </c>
      <c r="C836">
        <v>97.023086547999995</v>
      </c>
      <c r="D836">
        <v>815</v>
      </c>
      <c r="E836">
        <v>117.23120880099999</v>
      </c>
      <c r="F836">
        <v>815</v>
      </c>
      <c r="G836">
        <v>94.892105103000006</v>
      </c>
      <c r="H836">
        <v>815</v>
      </c>
      <c r="I836">
        <v>98.769607543999996</v>
      </c>
      <c r="K836">
        <f t="shared" si="46"/>
        <v>18.461601256999998</v>
      </c>
      <c r="L836">
        <v>815</v>
      </c>
      <c r="M836">
        <v>206</v>
      </c>
      <c r="N836">
        <v>815</v>
      </c>
      <c r="O836">
        <v>49</v>
      </c>
      <c r="P836">
        <f t="shared" si="44"/>
        <v>108.97691345200001</v>
      </c>
    </row>
    <row r="837" spans="1:16">
      <c r="A837">
        <f t="shared" si="45"/>
        <v>1435.6932238053143</v>
      </c>
      <c r="B837">
        <v>816</v>
      </c>
      <c r="C837">
        <v>99.029670714999995</v>
      </c>
      <c r="D837">
        <v>816</v>
      </c>
      <c r="E837">
        <v>116.94705200200001</v>
      </c>
      <c r="F837">
        <v>816</v>
      </c>
      <c r="G837">
        <v>95.335159301999994</v>
      </c>
      <c r="H837">
        <v>816</v>
      </c>
      <c r="I837">
        <v>98.986663817999997</v>
      </c>
      <c r="K837">
        <f t="shared" si="46"/>
        <v>17.96038818400001</v>
      </c>
      <c r="L837">
        <v>816</v>
      </c>
      <c r="M837">
        <v>206</v>
      </c>
      <c r="N837">
        <v>816</v>
      </c>
      <c r="O837">
        <v>49</v>
      </c>
      <c r="P837">
        <f t="shared" si="44"/>
        <v>106.97032928500001</v>
      </c>
    </row>
    <row r="838" spans="1:16">
      <c r="A838">
        <f t="shared" si="45"/>
        <v>1436.6193184423305</v>
      </c>
      <c r="B838">
        <v>817</v>
      </c>
      <c r="C838">
        <v>103.56523132300001</v>
      </c>
      <c r="D838">
        <v>817</v>
      </c>
      <c r="E838">
        <v>116.30149078399999</v>
      </c>
      <c r="F838">
        <v>817</v>
      </c>
      <c r="G838">
        <v>94.512519835999996</v>
      </c>
      <c r="H838">
        <v>817</v>
      </c>
      <c r="I838">
        <v>98.771072387999993</v>
      </c>
      <c r="K838">
        <f t="shared" si="46"/>
        <v>17.530418396000002</v>
      </c>
      <c r="L838">
        <v>817</v>
      </c>
      <c r="M838">
        <v>206</v>
      </c>
      <c r="N838">
        <v>817</v>
      </c>
      <c r="O838">
        <v>49</v>
      </c>
      <c r="P838">
        <f t="shared" si="44"/>
        <v>102.43476867699999</v>
      </c>
    </row>
    <row r="839" spans="1:16">
      <c r="A839">
        <f t="shared" si="45"/>
        <v>1437.5454130793469</v>
      </c>
      <c r="B839">
        <v>818</v>
      </c>
      <c r="C839">
        <v>103.455635071</v>
      </c>
      <c r="D839">
        <v>818</v>
      </c>
      <c r="E839">
        <v>116.10295105</v>
      </c>
      <c r="F839">
        <v>818</v>
      </c>
      <c r="G839">
        <v>96.740158081000004</v>
      </c>
      <c r="H839">
        <v>818</v>
      </c>
      <c r="I839">
        <v>98.591941833000007</v>
      </c>
      <c r="K839">
        <f t="shared" si="46"/>
        <v>17.511009216999994</v>
      </c>
      <c r="L839">
        <v>818</v>
      </c>
      <c r="M839">
        <v>206</v>
      </c>
      <c r="N839">
        <v>818</v>
      </c>
      <c r="O839">
        <v>49</v>
      </c>
      <c r="P839">
        <f t="shared" si="44"/>
        <v>102.544364929</v>
      </c>
    </row>
    <row r="840" spans="1:16">
      <c r="A840">
        <f t="shared" si="45"/>
        <v>1438.4715077163632</v>
      </c>
      <c r="B840">
        <v>819</v>
      </c>
      <c r="C840">
        <v>101.203582764</v>
      </c>
      <c r="D840">
        <v>819</v>
      </c>
      <c r="E840">
        <v>116.89775848399999</v>
      </c>
      <c r="F840">
        <v>819</v>
      </c>
      <c r="G840">
        <v>97.073478699000006</v>
      </c>
      <c r="H840">
        <v>819</v>
      </c>
      <c r="I840">
        <v>98.459930420000006</v>
      </c>
      <c r="K840">
        <f t="shared" si="46"/>
        <v>18.437828063999987</v>
      </c>
      <c r="L840">
        <v>819</v>
      </c>
      <c r="M840">
        <v>206</v>
      </c>
      <c r="N840">
        <v>819</v>
      </c>
      <c r="O840">
        <v>49</v>
      </c>
      <c r="P840">
        <f t="shared" si="44"/>
        <v>104.796417236</v>
      </c>
    </row>
    <row r="841" spans="1:16">
      <c r="A841">
        <f t="shared" si="45"/>
        <v>1439.3976023533796</v>
      </c>
      <c r="B841">
        <v>820</v>
      </c>
      <c r="C841">
        <v>100.30188751199999</v>
      </c>
      <c r="D841">
        <v>820</v>
      </c>
      <c r="E841">
        <v>117.375366211</v>
      </c>
      <c r="F841">
        <v>820</v>
      </c>
      <c r="G841">
        <v>94.199256896999998</v>
      </c>
      <c r="H841">
        <v>820</v>
      </c>
      <c r="I841">
        <v>97.362739563000005</v>
      </c>
      <c r="K841">
        <f t="shared" si="46"/>
        <v>20.012626647999994</v>
      </c>
      <c r="L841">
        <v>820</v>
      </c>
      <c r="M841">
        <v>206</v>
      </c>
      <c r="N841">
        <v>820</v>
      </c>
      <c r="O841">
        <v>49</v>
      </c>
      <c r="P841">
        <f t="shared" si="44"/>
        <v>105.69811248800001</v>
      </c>
    </row>
    <row r="842" spans="1:16">
      <c r="A842">
        <f t="shared" si="45"/>
        <v>1440.323696990396</v>
      </c>
      <c r="B842">
        <v>821</v>
      </c>
      <c r="C842">
        <v>101.114677429</v>
      </c>
      <c r="D842">
        <v>821</v>
      </c>
      <c r="E842">
        <v>118.615966797</v>
      </c>
      <c r="F842">
        <v>821</v>
      </c>
      <c r="G842">
        <v>92.222846985000004</v>
      </c>
      <c r="H842">
        <v>821</v>
      </c>
      <c r="I842">
        <v>97.623741150000001</v>
      </c>
      <c r="K842">
        <f t="shared" si="46"/>
        <v>20.992225646999998</v>
      </c>
      <c r="L842">
        <v>821</v>
      </c>
      <c r="M842">
        <v>206</v>
      </c>
      <c r="N842">
        <v>821</v>
      </c>
      <c r="O842">
        <v>49</v>
      </c>
      <c r="P842">
        <f t="shared" si="44"/>
        <v>104.885322571</v>
      </c>
    </row>
    <row r="843" spans="1:16">
      <c r="A843">
        <f t="shared" si="45"/>
        <v>1441.2497916274124</v>
      </c>
      <c r="B843">
        <v>822</v>
      </c>
      <c r="C843">
        <v>101.30648803699999</v>
      </c>
      <c r="D843">
        <v>822</v>
      </c>
      <c r="E843">
        <v>117.377174377</v>
      </c>
      <c r="F843">
        <v>822</v>
      </c>
      <c r="G843">
        <v>91.765335082999997</v>
      </c>
      <c r="H843">
        <v>822</v>
      </c>
      <c r="I843">
        <v>97.103767395000006</v>
      </c>
      <c r="K843">
        <f t="shared" si="46"/>
        <v>20.273406981999997</v>
      </c>
      <c r="L843">
        <v>822</v>
      </c>
      <c r="M843">
        <v>206</v>
      </c>
      <c r="N843">
        <v>822</v>
      </c>
      <c r="O843">
        <v>49</v>
      </c>
      <c r="P843">
        <f t="shared" si="44"/>
        <v>104.69351196300001</v>
      </c>
    </row>
    <row r="844" spans="1:16">
      <c r="A844">
        <f t="shared" si="45"/>
        <v>1442.1758862644285</v>
      </c>
      <c r="B844">
        <v>823</v>
      </c>
      <c r="C844">
        <v>100.390991211</v>
      </c>
      <c r="D844">
        <v>823</v>
      </c>
      <c r="E844">
        <v>114.737693787</v>
      </c>
      <c r="F844">
        <v>823</v>
      </c>
      <c r="G844">
        <v>92.047775268999999</v>
      </c>
      <c r="H844">
        <v>823</v>
      </c>
      <c r="I844">
        <v>97.186981200999995</v>
      </c>
      <c r="K844">
        <f t="shared" si="46"/>
        <v>17.550712586000003</v>
      </c>
      <c r="L844">
        <v>823</v>
      </c>
      <c r="M844">
        <v>206</v>
      </c>
      <c r="N844">
        <v>823</v>
      </c>
      <c r="O844">
        <v>49</v>
      </c>
      <c r="P844">
        <f t="shared" si="44"/>
        <v>105.609008789</v>
      </c>
    </row>
    <row r="845" spans="1:16">
      <c r="A845">
        <f t="shared" si="45"/>
        <v>1443.1019809014447</v>
      </c>
      <c r="B845">
        <v>824</v>
      </c>
      <c r="C845">
        <v>99.369911193999997</v>
      </c>
      <c r="D845">
        <v>824</v>
      </c>
      <c r="E845">
        <v>114.266593933</v>
      </c>
      <c r="F845">
        <v>824</v>
      </c>
      <c r="G845">
        <v>92.54234314</v>
      </c>
      <c r="H845">
        <v>824</v>
      </c>
      <c r="I845">
        <v>99.391883849999999</v>
      </c>
      <c r="K845">
        <f t="shared" si="46"/>
        <v>14.874710082999997</v>
      </c>
      <c r="L845">
        <v>824</v>
      </c>
      <c r="M845">
        <v>206</v>
      </c>
      <c r="N845">
        <v>824</v>
      </c>
      <c r="O845">
        <v>49</v>
      </c>
      <c r="P845">
        <f t="shared" si="44"/>
        <v>106.630088806</v>
      </c>
    </row>
    <row r="846" spans="1:16">
      <c r="A846">
        <f t="shared" si="45"/>
        <v>1444.0280755384611</v>
      </c>
      <c r="B846">
        <v>825</v>
      </c>
      <c r="C846">
        <v>100.521255493</v>
      </c>
      <c r="D846">
        <v>825</v>
      </c>
      <c r="E846">
        <v>119.995658875</v>
      </c>
      <c r="F846">
        <v>825</v>
      </c>
      <c r="G846">
        <v>94.021232604999994</v>
      </c>
      <c r="H846">
        <v>825</v>
      </c>
      <c r="I846">
        <v>96.352478027000004</v>
      </c>
      <c r="K846">
        <f t="shared" si="46"/>
        <v>23.643180848</v>
      </c>
      <c r="L846">
        <v>825</v>
      </c>
      <c r="M846">
        <v>206</v>
      </c>
      <c r="N846">
        <v>825</v>
      </c>
      <c r="O846">
        <v>49</v>
      </c>
      <c r="P846">
        <f t="shared" si="44"/>
        <v>105.478744507</v>
      </c>
    </row>
    <row r="847" spans="1:16">
      <c r="A847">
        <f t="shared" si="45"/>
        <v>1444.9541701754774</v>
      </c>
      <c r="B847">
        <v>826</v>
      </c>
      <c r="C847">
        <v>102.33383178699999</v>
      </c>
      <c r="D847">
        <v>826</v>
      </c>
      <c r="E847">
        <v>120.584838867</v>
      </c>
      <c r="F847">
        <v>826</v>
      </c>
      <c r="G847">
        <v>93.882034301999994</v>
      </c>
      <c r="H847">
        <v>826</v>
      </c>
      <c r="I847">
        <v>95.924354553000001</v>
      </c>
      <c r="K847">
        <f t="shared" si="46"/>
        <v>24.660484314000001</v>
      </c>
      <c r="L847">
        <v>826</v>
      </c>
      <c r="M847">
        <v>206</v>
      </c>
      <c r="N847">
        <v>826</v>
      </c>
      <c r="O847">
        <v>49</v>
      </c>
      <c r="P847">
        <f t="shared" si="44"/>
        <v>103.66616821300001</v>
      </c>
    </row>
    <row r="848" spans="1:16">
      <c r="A848">
        <f t="shared" si="45"/>
        <v>1445.8802648124938</v>
      </c>
      <c r="B848">
        <v>827</v>
      </c>
      <c r="C848">
        <v>103.274040222</v>
      </c>
      <c r="D848">
        <v>827</v>
      </c>
      <c r="E848">
        <v>117.03801727299999</v>
      </c>
      <c r="F848">
        <v>827</v>
      </c>
      <c r="G848">
        <v>94.655349731000001</v>
      </c>
      <c r="H848">
        <v>827</v>
      </c>
      <c r="I848">
        <v>94.793006896999998</v>
      </c>
      <c r="K848">
        <f t="shared" si="46"/>
        <v>22.245010375999996</v>
      </c>
      <c r="L848">
        <v>827</v>
      </c>
      <c r="M848">
        <v>206</v>
      </c>
      <c r="N848">
        <v>827</v>
      </c>
      <c r="O848">
        <v>49</v>
      </c>
      <c r="P848">
        <f t="shared" si="44"/>
        <v>102.725959778</v>
      </c>
    </row>
    <row r="849" spans="1:16">
      <c r="A849">
        <f t="shared" si="45"/>
        <v>1446.8063594495102</v>
      </c>
      <c r="B849">
        <v>828</v>
      </c>
      <c r="C849">
        <v>104.20581817599999</v>
      </c>
      <c r="D849">
        <v>828</v>
      </c>
      <c r="E849">
        <v>116.328414917</v>
      </c>
      <c r="F849">
        <v>828</v>
      </c>
      <c r="G849">
        <v>94.230346679999997</v>
      </c>
      <c r="H849">
        <v>828</v>
      </c>
      <c r="I849">
        <v>94.680397033999995</v>
      </c>
      <c r="K849">
        <f t="shared" si="46"/>
        <v>21.648017883000009</v>
      </c>
      <c r="L849">
        <v>828</v>
      </c>
      <c r="M849">
        <v>206</v>
      </c>
      <c r="N849">
        <v>828</v>
      </c>
      <c r="O849">
        <v>49</v>
      </c>
      <c r="P849">
        <f t="shared" si="44"/>
        <v>101.79418182400001</v>
      </c>
    </row>
    <row r="850" spans="1:16">
      <c r="A850">
        <f t="shared" si="45"/>
        <v>1447.7324540865266</v>
      </c>
      <c r="B850">
        <v>829</v>
      </c>
      <c r="C850">
        <v>101.62886047400001</v>
      </c>
      <c r="D850">
        <v>829</v>
      </c>
      <c r="E850">
        <v>116.06867217999999</v>
      </c>
      <c r="F850">
        <v>829</v>
      </c>
      <c r="G850">
        <v>95.521141052000004</v>
      </c>
      <c r="H850">
        <v>829</v>
      </c>
      <c r="I850">
        <v>96.443626404</v>
      </c>
      <c r="K850">
        <f t="shared" si="46"/>
        <v>19.625045775999993</v>
      </c>
      <c r="L850">
        <v>829</v>
      </c>
      <c r="M850">
        <v>206</v>
      </c>
      <c r="N850">
        <v>829</v>
      </c>
      <c r="O850">
        <v>49</v>
      </c>
      <c r="P850">
        <f t="shared" si="44"/>
        <v>104.37113952599999</v>
      </c>
    </row>
    <row r="851" spans="1:16">
      <c r="A851">
        <f t="shared" si="45"/>
        <v>1448.6585487235427</v>
      </c>
      <c r="B851">
        <v>830</v>
      </c>
      <c r="C851">
        <v>101.282653809</v>
      </c>
      <c r="D851">
        <v>830</v>
      </c>
      <c r="E851">
        <v>117.34942627</v>
      </c>
      <c r="F851">
        <v>830</v>
      </c>
      <c r="G851">
        <v>96.522933960000003</v>
      </c>
      <c r="H851">
        <v>830</v>
      </c>
      <c r="I851">
        <v>98.039939880000006</v>
      </c>
      <c r="K851">
        <f t="shared" si="46"/>
        <v>19.309486389999989</v>
      </c>
      <c r="L851">
        <v>830</v>
      </c>
      <c r="M851">
        <v>206</v>
      </c>
      <c r="N851">
        <v>830</v>
      </c>
      <c r="O851">
        <v>49</v>
      </c>
      <c r="P851">
        <f t="shared" si="44"/>
        <v>104.717346191</v>
      </c>
    </row>
    <row r="852" spans="1:16">
      <c r="A852">
        <f t="shared" si="45"/>
        <v>1449.5846433605591</v>
      </c>
      <c r="B852">
        <v>831</v>
      </c>
      <c r="C852">
        <v>100.328422546</v>
      </c>
      <c r="D852">
        <v>831</v>
      </c>
      <c r="E852">
        <v>116.59147643999999</v>
      </c>
      <c r="F852">
        <v>831</v>
      </c>
      <c r="G852">
        <v>95.031166076999995</v>
      </c>
      <c r="H852">
        <v>831</v>
      </c>
      <c r="I852">
        <v>98.085784911999994</v>
      </c>
      <c r="K852">
        <f t="shared" si="46"/>
        <v>18.505691528</v>
      </c>
      <c r="L852">
        <v>831</v>
      </c>
      <c r="M852">
        <v>206</v>
      </c>
      <c r="N852">
        <v>831</v>
      </c>
      <c r="O852">
        <v>49</v>
      </c>
      <c r="P852">
        <f t="shared" si="44"/>
        <v>105.671577454</v>
      </c>
    </row>
    <row r="853" spans="1:16">
      <c r="A853">
        <f t="shared" si="45"/>
        <v>1450.5107379975752</v>
      </c>
      <c r="B853">
        <v>832</v>
      </c>
      <c r="C853">
        <v>98.883407593000001</v>
      </c>
      <c r="D853">
        <v>832</v>
      </c>
      <c r="E853">
        <v>116.996459961</v>
      </c>
      <c r="F853">
        <v>832</v>
      </c>
      <c r="G853">
        <v>93.894187927000004</v>
      </c>
      <c r="H853">
        <v>832</v>
      </c>
      <c r="I853">
        <v>98.242118834999999</v>
      </c>
      <c r="K853">
        <f t="shared" si="46"/>
        <v>18.754341126</v>
      </c>
      <c r="L853">
        <v>832</v>
      </c>
      <c r="M853">
        <v>206</v>
      </c>
      <c r="N853">
        <v>832</v>
      </c>
      <c r="O853">
        <v>49</v>
      </c>
      <c r="P853">
        <f t="shared" ref="P853:P916" si="47">M853-C853</f>
        <v>107.116592407</v>
      </c>
    </row>
    <row r="854" spans="1:16">
      <c r="A854">
        <f t="shared" ref="A854:A917" si="48">680 +B854*COS(ABS($J$8)*PI()/180)</f>
        <v>1451.4368326345916</v>
      </c>
      <c r="B854">
        <v>833</v>
      </c>
      <c r="C854">
        <v>99.064994811999995</v>
      </c>
      <c r="D854">
        <v>833</v>
      </c>
      <c r="E854">
        <v>118.28076934800001</v>
      </c>
      <c r="F854">
        <v>833</v>
      </c>
      <c r="G854">
        <v>93.711906432999996</v>
      </c>
      <c r="H854">
        <v>833</v>
      </c>
      <c r="I854">
        <v>96.853332519999995</v>
      </c>
      <c r="K854">
        <f t="shared" ref="K854:K917" si="49">E854-I854</f>
        <v>21.427436828000012</v>
      </c>
      <c r="L854">
        <v>833</v>
      </c>
      <c r="M854">
        <v>205.446075439</v>
      </c>
      <c r="N854">
        <v>833</v>
      </c>
      <c r="O854">
        <v>49.687034607000001</v>
      </c>
      <c r="P854">
        <f t="shared" si="47"/>
        <v>106.381080627</v>
      </c>
    </row>
    <row r="855" spans="1:16">
      <c r="A855">
        <f t="shared" si="48"/>
        <v>1452.362927271608</v>
      </c>
      <c r="B855">
        <v>834</v>
      </c>
      <c r="C855">
        <v>100.619178772</v>
      </c>
      <c r="D855">
        <v>834</v>
      </c>
      <c r="E855">
        <v>119.483222961</v>
      </c>
      <c r="F855">
        <v>834</v>
      </c>
      <c r="G855">
        <v>94</v>
      </c>
      <c r="H855">
        <v>834</v>
      </c>
      <c r="I855">
        <v>96.714012146000002</v>
      </c>
      <c r="K855">
        <f t="shared" si="49"/>
        <v>22.769210814999994</v>
      </c>
      <c r="L855">
        <v>834</v>
      </c>
      <c r="M855">
        <v>205</v>
      </c>
      <c r="N855">
        <v>834</v>
      </c>
      <c r="O855">
        <v>50</v>
      </c>
      <c r="P855">
        <f t="shared" si="47"/>
        <v>104.380821228</v>
      </c>
    </row>
    <row r="856" spans="1:16">
      <c r="A856">
        <f t="shared" si="48"/>
        <v>1453.2890219086244</v>
      </c>
      <c r="B856">
        <v>835</v>
      </c>
      <c r="C856">
        <v>101.291419983</v>
      </c>
      <c r="D856">
        <v>835</v>
      </c>
      <c r="E856">
        <v>119.811798096</v>
      </c>
      <c r="F856">
        <v>835</v>
      </c>
      <c r="G856">
        <v>94.145118713000002</v>
      </c>
      <c r="H856">
        <v>835</v>
      </c>
      <c r="I856">
        <v>97.272567749000004</v>
      </c>
      <c r="K856">
        <f t="shared" si="49"/>
        <v>22.539230347</v>
      </c>
      <c r="L856">
        <v>835</v>
      </c>
      <c r="M856">
        <v>205</v>
      </c>
      <c r="N856">
        <v>835</v>
      </c>
      <c r="O856">
        <v>50</v>
      </c>
      <c r="P856">
        <f t="shared" si="47"/>
        <v>103.708580017</v>
      </c>
    </row>
    <row r="857" spans="1:16">
      <c r="A857">
        <f t="shared" si="48"/>
        <v>1454.2151165456407</v>
      </c>
      <c r="B857">
        <v>836</v>
      </c>
      <c r="C857">
        <v>99.402519225999995</v>
      </c>
      <c r="D857">
        <v>836</v>
      </c>
      <c r="E857">
        <v>117.50991821300001</v>
      </c>
      <c r="F857">
        <v>836</v>
      </c>
      <c r="G857">
        <v>94.333335876000007</v>
      </c>
      <c r="H857">
        <v>836</v>
      </c>
      <c r="I857">
        <v>93.622169494999994</v>
      </c>
      <c r="K857">
        <f t="shared" si="49"/>
        <v>23.887748718000012</v>
      </c>
      <c r="L857">
        <v>836</v>
      </c>
      <c r="M857">
        <v>205</v>
      </c>
      <c r="N857">
        <v>836</v>
      </c>
      <c r="O857">
        <v>50</v>
      </c>
      <c r="P857">
        <f t="shared" si="47"/>
        <v>105.597480774</v>
      </c>
    </row>
    <row r="858" spans="1:16">
      <c r="A858">
        <f t="shared" si="48"/>
        <v>1455.1412111826571</v>
      </c>
      <c r="B858">
        <v>837</v>
      </c>
      <c r="C858">
        <v>98.062133789000001</v>
      </c>
      <c r="D858">
        <v>837</v>
      </c>
      <c r="E858">
        <v>116.989562988</v>
      </c>
      <c r="F858">
        <v>837</v>
      </c>
      <c r="G858">
        <v>94.333335876000007</v>
      </c>
      <c r="H858">
        <v>837</v>
      </c>
      <c r="I858">
        <v>91.210380553999997</v>
      </c>
      <c r="K858">
        <f t="shared" si="49"/>
        <v>25.779182434000006</v>
      </c>
      <c r="L858">
        <v>837</v>
      </c>
      <c r="M858">
        <v>205</v>
      </c>
      <c r="N858">
        <v>837</v>
      </c>
      <c r="O858">
        <v>50</v>
      </c>
      <c r="P858">
        <f t="shared" si="47"/>
        <v>106.937866211</v>
      </c>
    </row>
    <row r="859" spans="1:16">
      <c r="A859">
        <f t="shared" si="48"/>
        <v>1456.0673058196733</v>
      </c>
      <c r="B859">
        <v>838</v>
      </c>
      <c r="C859">
        <v>99.533187866000006</v>
      </c>
      <c r="D859">
        <v>838</v>
      </c>
      <c r="E859">
        <v>117.20122528100001</v>
      </c>
      <c r="F859">
        <v>838</v>
      </c>
      <c r="G859">
        <v>94.333335876000007</v>
      </c>
      <c r="H859">
        <v>838</v>
      </c>
      <c r="I859">
        <v>93.080726623999993</v>
      </c>
      <c r="K859">
        <f t="shared" si="49"/>
        <v>24.120498657000013</v>
      </c>
      <c r="L859">
        <v>838</v>
      </c>
      <c r="M859">
        <v>205</v>
      </c>
      <c r="N859">
        <v>838</v>
      </c>
      <c r="O859">
        <v>50</v>
      </c>
      <c r="P859">
        <f t="shared" si="47"/>
        <v>105.46681213399999</v>
      </c>
    </row>
    <row r="860" spans="1:16">
      <c r="A860">
        <f t="shared" si="48"/>
        <v>1456.9934004566896</v>
      </c>
      <c r="B860">
        <v>839</v>
      </c>
      <c r="C860">
        <v>101.722587585</v>
      </c>
      <c r="D860">
        <v>839</v>
      </c>
      <c r="E860">
        <v>116.531707764</v>
      </c>
      <c r="F860">
        <v>839</v>
      </c>
      <c r="G860">
        <v>93.776969910000005</v>
      </c>
      <c r="H860">
        <v>839</v>
      </c>
      <c r="I860">
        <v>96.128509520999998</v>
      </c>
      <c r="K860">
        <f t="shared" si="49"/>
        <v>20.403198243000006</v>
      </c>
      <c r="L860">
        <v>839</v>
      </c>
      <c r="M860">
        <v>205</v>
      </c>
      <c r="N860">
        <v>839</v>
      </c>
      <c r="O860">
        <v>50</v>
      </c>
      <c r="P860">
        <f t="shared" si="47"/>
        <v>103.277412415</v>
      </c>
    </row>
    <row r="861" spans="1:16">
      <c r="A861">
        <f t="shared" si="48"/>
        <v>1457.9194950937058</v>
      </c>
      <c r="B861">
        <v>840</v>
      </c>
      <c r="C861">
        <v>101.620826721</v>
      </c>
      <c r="D861">
        <v>840</v>
      </c>
      <c r="E861">
        <v>116.178451538</v>
      </c>
      <c r="F861">
        <v>840</v>
      </c>
      <c r="G861">
        <v>92.107238769999995</v>
      </c>
      <c r="H861">
        <v>840</v>
      </c>
      <c r="I861">
        <v>96.032295227000006</v>
      </c>
      <c r="K861">
        <f t="shared" si="49"/>
        <v>20.146156310999999</v>
      </c>
      <c r="L861">
        <v>840</v>
      </c>
      <c r="M861">
        <v>205</v>
      </c>
      <c r="N861">
        <v>840</v>
      </c>
      <c r="O861">
        <v>50</v>
      </c>
      <c r="P861">
        <f t="shared" si="47"/>
        <v>103.379173279</v>
      </c>
    </row>
    <row r="862" spans="1:16">
      <c r="A862">
        <f t="shared" si="48"/>
        <v>1458.8455897307222</v>
      </c>
      <c r="B862">
        <v>841</v>
      </c>
      <c r="C862">
        <v>101.97227478000001</v>
      </c>
      <c r="D862">
        <v>841</v>
      </c>
      <c r="E862">
        <v>117.532318115</v>
      </c>
      <c r="F862">
        <v>841</v>
      </c>
      <c r="G862">
        <v>95.384048461999996</v>
      </c>
      <c r="H862">
        <v>841</v>
      </c>
      <c r="I862">
        <v>96.084747313999998</v>
      </c>
      <c r="K862">
        <f t="shared" si="49"/>
        <v>21.447570800999998</v>
      </c>
      <c r="L862">
        <v>841</v>
      </c>
      <c r="M862">
        <v>205</v>
      </c>
      <c r="N862">
        <v>841</v>
      </c>
      <c r="O862">
        <v>50</v>
      </c>
      <c r="P862">
        <f t="shared" si="47"/>
        <v>103.02772521999999</v>
      </c>
    </row>
    <row r="863" spans="1:16">
      <c r="A863">
        <f t="shared" si="48"/>
        <v>1459.7716843677385</v>
      </c>
      <c r="B863">
        <v>842</v>
      </c>
      <c r="C863">
        <v>98.908630371000001</v>
      </c>
      <c r="D863">
        <v>842</v>
      </c>
      <c r="E863">
        <v>117.137489319</v>
      </c>
      <c r="F863">
        <v>842</v>
      </c>
      <c r="G863">
        <v>92.491775512999993</v>
      </c>
      <c r="H863">
        <v>842</v>
      </c>
      <c r="I863">
        <v>97.268630981000001</v>
      </c>
      <c r="K863">
        <f t="shared" si="49"/>
        <v>19.868858337999995</v>
      </c>
      <c r="L863">
        <v>842</v>
      </c>
      <c r="M863">
        <v>205</v>
      </c>
      <c r="N863">
        <v>842</v>
      </c>
      <c r="O863">
        <v>50</v>
      </c>
      <c r="P863">
        <f t="shared" si="47"/>
        <v>106.091369629</v>
      </c>
    </row>
    <row r="864" spans="1:16">
      <c r="A864">
        <f t="shared" si="48"/>
        <v>1460.6977790047549</v>
      </c>
      <c r="B864">
        <v>843</v>
      </c>
      <c r="C864">
        <v>98.684608459000003</v>
      </c>
      <c r="D864">
        <v>843</v>
      </c>
      <c r="E864">
        <v>115.764808655</v>
      </c>
      <c r="F864">
        <v>843</v>
      </c>
      <c r="G864">
        <v>92.651229857999994</v>
      </c>
      <c r="H864">
        <v>843</v>
      </c>
      <c r="I864">
        <v>99.08921814</v>
      </c>
      <c r="K864">
        <f t="shared" si="49"/>
        <v>16.675590514999996</v>
      </c>
      <c r="L864">
        <v>843</v>
      </c>
      <c r="M864">
        <v>205</v>
      </c>
      <c r="N864">
        <v>843</v>
      </c>
      <c r="O864">
        <v>50</v>
      </c>
      <c r="P864">
        <f t="shared" si="47"/>
        <v>106.315391541</v>
      </c>
    </row>
    <row r="865" spans="1:16">
      <c r="A865">
        <f t="shared" si="48"/>
        <v>1461.6238736417713</v>
      </c>
      <c r="B865">
        <v>844</v>
      </c>
      <c r="C865">
        <v>99.519950867000006</v>
      </c>
      <c r="D865">
        <v>844</v>
      </c>
      <c r="E865">
        <v>116.908447266</v>
      </c>
      <c r="F865">
        <v>844</v>
      </c>
      <c r="G865">
        <v>92.485908507999994</v>
      </c>
      <c r="H865">
        <v>844</v>
      </c>
      <c r="I865">
        <v>100.045097351</v>
      </c>
      <c r="K865">
        <f t="shared" si="49"/>
        <v>16.863349915000001</v>
      </c>
      <c r="L865">
        <v>844</v>
      </c>
      <c r="M865">
        <v>205</v>
      </c>
      <c r="N865">
        <v>844</v>
      </c>
      <c r="O865">
        <v>50</v>
      </c>
      <c r="P865">
        <f t="shared" si="47"/>
        <v>105.48004913299999</v>
      </c>
    </row>
    <row r="866" spans="1:16">
      <c r="A866">
        <f t="shared" si="48"/>
        <v>1462.5499682787874</v>
      </c>
      <c r="B866">
        <v>845</v>
      </c>
      <c r="C866">
        <v>96.975563049000002</v>
      </c>
      <c r="D866">
        <v>845</v>
      </c>
      <c r="E866">
        <v>118.30460357699999</v>
      </c>
      <c r="F866">
        <v>845</v>
      </c>
      <c r="G866">
        <v>92.281028747999997</v>
      </c>
      <c r="H866">
        <v>845</v>
      </c>
      <c r="I866">
        <v>98.860366821</v>
      </c>
      <c r="K866">
        <f t="shared" si="49"/>
        <v>19.444236755999995</v>
      </c>
      <c r="L866">
        <v>845</v>
      </c>
      <c r="M866">
        <v>204.404052734</v>
      </c>
      <c r="N866">
        <v>845</v>
      </c>
      <c r="O866">
        <v>51.549926757999998</v>
      </c>
      <c r="P866">
        <f t="shared" si="47"/>
        <v>107.428489685</v>
      </c>
    </row>
    <row r="867" spans="1:16">
      <c r="A867">
        <f t="shared" si="48"/>
        <v>1463.4760629158038</v>
      </c>
      <c r="B867">
        <v>846</v>
      </c>
      <c r="C867">
        <v>96.250961304</v>
      </c>
      <c r="D867">
        <v>846</v>
      </c>
      <c r="E867">
        <v>116.260856628</v>
      </c>
      <c r="F867">
        <v>846</v>
      </c>
      <c r="G867">
        <v>95.080986022999994</v>
      </c>
      <c r="H867">
        <v>846</v>
      </c>
      <c r="I867">
        <v>97.118629455999994</v>
      </c>
      <c r="K867">
        <f t="shared" si="49"/>
        <v>19.142227172000005</v>
      </c>
      <c r="L867">
        <v>846</v>
      </c>
      <c r="M867">
        <v>203.140869141</v>
      </c>
      <c r="N867">
        <v>846</v>
      </c>
      <c r="O867">
        <v>52</v>
      </c>
      <c r="P867">
        <f t="shared" si="47"/>
        <v>106.889907837</v>
      </c>
    </row>
    <row r="868" spans="1:16">
      <c r="A868">
        <f t="shared" si="48"/>
        <v>1464.40215755282</v>
      </c>
      <c r="B868">
        <v>847</v>
      </c>
      <c r="C868">
        <v>97.548782349000007</v>
      </c>
      <c r="D868">
        <v>847</v>
      </c>
      <c r="E868">
        <v>117.63633728000001</v>
      </c>
      <c r="F868">
        <v>847</v>
      </c>
      <c r="G868">
        <v>93.265609741000006</v>
      </c>
      <c r="H868">
        <v>847</v>
      </c>
      <c r="I868">
        <v>96.352455139</v>
      </c>
      <c r="K868">
        <f t="shared" si="49"/>
        <v>21.283882141000007</v>
      </c>
      <c r="L868">
        <v>847</v>
      </c>
      <c r="M868">
        <v>203</v>
      </c>
      <c r="N868">
        <v>847</v>
      </c>
      <c r="O868">
        <v>52</v>
      </c>
      <c r="P868">
        <f t="shared" si="47"/>
        <v>105.45121765099999</v>
      </c>
    </row>
    <row r="869" spans="1:16">
      <c r="A869">
        <f t="shared" si="48"/>
        <v>1465.3282521898363</v>
      </c>
      <c r="B869">
        <v>848</v>
      </c>
      <c r="C869">
        <v>98.127189635999997</v>
      </c>
      <c r="D869">
        <v>848</v>
      </c>
      <c r="E869">
        <v>115.498039246</v>
      </c>
      <c r="F869">
        <v>848</v>
      </c>
      <c r="G869">
        <v>92.416374207000004</v>
      </c>
      <c r="H869">
        <v>848</v>
      </c>
      <c r="I869">
        <v>97.262748717999997</v>
      </c>
      <c r="K869">
        <f t="shared" si="49"/>
        <v>18.235290528000007</v>
      </c>
      <c r="L869">
        <v>848</v>
      </c>
      <c r="M869">
        <v>203</v>
      </c>
      <c r="N869">
        <v>848</v>
      </c>
      <c r="O869">
        <v>52</v>
      </c>
      <c r="P869">
        <f t="shared" si="47"/>
        <v>104.872810364</v>
      </c>
    </row>
    <row r="870" spans="1:16">
      <c r="A870">
        <f t="shared" si="48"/>
        <v>1466.2543468268527</v>
      </c>
      <c r="B870">
        <v>849</v>
      </c>
      <c r="C870">
        <v>98.188148498999993</v>
      </c>
      <c r="D870">
        <v>849</v>
      </c>
      <c r="E870">
        <v>114.60644531200001</v>
      </c>
      <c r="F870">
        <v>849</v>
      </c>
      <c r="G870">
        <v>91.824142456000004</v>
      </c>
      <c r="H870">
        <v>849</v>
      </c>
      <c r="I870">
        <v>98.897933960000003</v>
      </c>
      <c r="K870">
        <f t="shared" si="49"/>
        <v>15.708511352000002</v>
      </c>
      <c r="L870">
        <v>849</v>
      </c>
      <c r="M870">
        <v>203</v>
      </c>
      <c r="N870">
        <v>849</v>
      </c>
      <c r="O870">
        <v>52</v>
      </c>
      <c r="P870">
        <f t="shared" si="47"/>
        <v>104.81185150100001</v>
      </c>
    </row>
    <row r="871" spans="1:16">
      <c r="A871">
        <f t="shared" si="48"/>
        <v>1467.1804414638691</v>
      </c>
      <c r="B871">
        <v>850</v>
      </c>
      <c r="C871">
        <v>98.349311829000001</v>
      </c>
      <c r="D871">
        <v>850</v>
      </c>
      <c r="E871">
        <v>116.00505065900001</v>
      </c>
      <c r="F871">
        <v>850</v>
      </c>
      <c r="G871">
        <v>91.661849975999999</v>
      </c>
      <c r="H871">
        <v>850</v>
      </c>
      <c r="I871">
        <v>96.5</v>
      </c>
      <c r="K871">
        <f t="shared" si="49"/>
        <v>19.505050659000005</v>
      </c>
      <c r="L871">
        <v>850</v>
      </c>
      <c r="M871">
        <v>203</v>
      </c>
      <c r="N871">
        <v>850</v>
      </c>
      <c r="O871">
        <v>52</v>
      </c>
      <c r="P871">
        <f t="shared" si="47"/>
        <v>104.650688171</v>
      </c>
    </row>
    <row r="872" spans="1:16">
      <c r="A872">
        <f t="shared" si="48"/>
        <v>1468.1065361008855</v>
      </c>
      <c r="B872">
        <v>851</v>
      </c>
      <c r="C872">
        <v>100.63885498</v>
      </c>
      <c r="D872">
        <v>851</v>
      </c>
      <c r="E872">
        <v>116.824020386</v>
      </c>
      <c r="F872">
        <v>851</v>
      </c>
      <c r="G872">
        <v>92</v>
      </c>
      <c r="H872">
        <v>851</v>
      </c>
      <c r="I872">
        <v>92.817916870000005</v>
      </c>
      <c r="K872">
        <f t="shared" si="49"/>
        <v>24.006103515999996</v>
      </c>
      <c r="L872">
        <v>851</v>
      </c>
      <c r="M872">
        <v>203</v>
      </c>
      <c r="N872">
        <v>851</v>
      </c>
      <c r="O872">
        <v>52</v>
      </c>
      <c r="P872">
        <f t="shared" si="47"/>
        <v>102.36114502</v>
      </c>
    </row>
    <row r="873" spans="1:16">
      <c r="A873">
        <f t="shared" si="48"/>
        <v>1469.0326307379019</v>
      </c>
      <c r="B873">
        <v>852</v>
      </c>
      <c r="C873">
        <v>101.0051651</v>
      </c>
      <c r="D873">
        <v>852</v>
      </c>
      <c r="E873">
        <v>115.31278228799999</v>
      </c>
      <c r="F873">
        <v>852</v>
      </c>
      <c r="G873">
        <v>92</v>
      </c>
      <c r="H873">
        <v>852</v>
      </c>
      <c r="I873">
        <v>93.949851989999999</v>
      </c>
      <c r="K873">
        <f t="shared" si="49"/>
        <v>21.362930297999995</v>
      </c>
      <c r="L873">
        <v>852</v>
      </c>
      <c r="M873">
        <v>203</v>
      </c>
      <c r="N873">
        <v>852</v>
      </c>
      <c r="O873">
        <v>52</v>
      </c>
      <c r="P873">
        <f t="shared" si="47"/>
        <v>101.9948349</v>
      </c>
    </row>
    <row r="874" spans="1:16">
      <c r="A874">
        <f t="shared" si="48"/>
        <v>1469.958725374918</v>
      </c>
      <c r="B874">
        <v>853</v>
      </c>
      <c r="C874">
        <v>98.360183715999995</v>
      </c>
      <c r="D874">
        <v>853</v>
      </c>
      <c r="E874">
        <v>112.707885742</v>
      </c>
      <c r="F874">
        <v>853</v>
      </c>
      <c r="G874">
        <v>91.881843567000004</v>
      </c>
      <c r="H874">
        <v>853</v>
      </c>
      <c r="I874">
        <v>93.786315918</v>
      </c>
      <c r="K874">
        <f t="shared" si="49"/>
        <v>18.921569824000002</v>
      </c>
      <c r="L874">
        <v>853</v>
      </c>
      <c r="M874">
        <v>203</v>
      </c>
      <c r="N874">
        <v>853</v>
      </c>
      <c r="O874">
        <v>52</v>
      </c>
      <c r="P874">
        <f t="shared" si="47"/>
        <v>104.63981628400001</v>
      </c>
    </row>
    <row r="875" spans="1:16">
      <c r="A875">
        <f t="shared" si="48"/>
        <v>1470.8848200119344</v>
      </c>
      <c r="B875">
        <v>854</v>
      </c>
      <c r="C875">
        <v>98.439758300999998</v>
      </c>
      <c r="D875">
        <v>854</v>
      </c>
      <c r="E875">
        <v>115.843261719</v>
      </c>
      <c r="F875">
        <v>854</v>
      </c>
      <c r="G875">
        <v>91.112945557000003</v>
      </c>
      <c r="H875">
        <v>854</v>
      </c>
      <c r="I875">
        <v>93.863388061999999</v>
      </c>
      <c r="K875">
        <f t="shared" si="49"/>
        <v>21.979873656999999</v>
      </c>
      <c r="L875">
        <v>854</v>
      </c>
      <c r="M875">
        <v>203</v>
      </c>
      <c r="N875">
        <v>854</v>
      </c>
      <c r="O875">
        <v>52</v>
      </c>
      <c r="P875">
        <f t="shared" si="47"/>
        <v>104.560241699</v>
      </c>
    </row>
    <row r="876" spans="1:16">
      <c r="A876">
        <f t="shared" si="48"/>
        <v>1471.8109146489505</v>
      </c>
      <c r="B876">
        <v>855</v>
      </c>
      <c r="C876">
        <v>95.517486571999996</v>
      </c>
      <c r="D876">
        <v>855</v>
      </c>
      <c r="E876">
        <v>117.582168579</v>
      </c>
      <c r="F876">
        <v>855</v>
      </c>
      <c r="G876">
        <v>91.157974242999998</v>
      </c>
      <c r="H876">
        <v>855</v>
      </c>
      <c r="I876">
        <v>95.399291992000002</v>
      </c>
      <c r="K876">
        <f t="shared" si="49"/>
        <v>22.182876586999996</v>
      </c>
      <c r="L876">
        <v>855</v>
      </c>
      <c r="M876">
        <v>203</v>
      </c>
      <c r="N876">
        <v>855</v>
      </c>
      <c r="O876">
        <v>52</v>
      </c>
      <c r="P876">
        <f t="shared" si="47"/>
        <v>107.482513428</v>
      </c>
    </row>
    <row r="877" spans="1:16">
      <c r="A877">
        <f t="shared" si="48"/>
        <v>1472.7370092859669</v>
      </c>
      <c r="B877">
        <v>856</v>
      </c>
      <c r="C877">
        <v>93.874198914000004</v>
      </c>
      <c r="D877">
        <v>856</v>
      </c>
      <c r="E877">
        <v>116.965568542</v>
      </c>
      <c r="F877">
        <v>856</v>
      </c>
      <c r="G877">
        <v>91.285644531000003</v>
      </c>
      <c r="H877">
        <v>856</v>
      </c>
      <c r="I877">
        <v>94.813194275000001</v>
      </c>
      <c r="K877">
        <f t="shared" si="49"/>
        <v>22.152374266999999</v>
      </c>
      <c r="L877">
        <v>856</v>
      </c>
      <c r="M877">
        <v>203</v>
      </c>
      <c r="N877">
        <v>856</v>
      </c>
      <c r="O877">
        <v>52</v>
      </c>
      <c r="P877">
        <f t="shared" si="47"/>
        <v>109.125801086</v>
      </c>
    </row>
    <row r="878" spans="1:16">
      <c r="A878">
        <f t="shared" si="48"/>
        <v>1473.6631039229833</v>
      </c>
      <c r="B878">
        <v>857</v>
      </c>
      <c r="C878">
        <v>96.228477478000002</v>
      </c>
      <c r="D878">
        <v>857</v>
      </c>
      <c r="E878">
        <v>117.05166626</v>
      </c>
      <c r="F878">
        <v>857</v>
      </c>
      <c r="G878">
        <v>90.044784546000002</v>
      </c>
      <c r="H878">
        <v>857</v>
      </c>
      <c r="I878">
        <v>93.927124023000005</v>
      </c>
      <c r="K878">
        <f t="shared" si="49"/>
        <v>23.124542237</v>
      </c>
      <c r="L878">
        <v>857</v>
      </c>
      <c r="M878">
        <v>203</v>
      </c>
      <c r="N878">
        <v>857</v>
      </c>
      <c r="O878">
        <v>52</v>
      </c>
      <c r="P878">
        <f t="shared" si="47"/>
        <v>106.771522522</v>
      </c>
    </row>
    <row r="879" spans="1:16">
      <c r="A879">
        <f t="shared" si="48"/>
        <v>1474.5891985599997</v>
      </c>
      <c r="B879">
        <v>858</v>
      </c>
      <c r="C879">
        <v>97.504096985000004</v>
      </c>
      <c r="D879">
        <v>858</v>
      </c>
      <c r="E879">
        <v>116.984443665</v>
      </c>
      <c r="F879">
        <v>858</v>
      </c>
      <c r="G879">
        <v>88.307624817000004</v>
      </c>
      <c r="H879">
        <v>858</v>
      </c>
      <c r="I879">
        <v>93.834327697999996</v>
      </c>
      <c r="K879">
        <f t="shared" si="49"/>
        <v>23.150115967000005</v>
      </c>
      <c r="L879">
        <v>858</v>
      </c>
      <c r="M879">
        <v>203</v>
      </c>
      <c r="N879">
        <v>858</v>
      </c>
      <c r="O879">
        <v>52</v>
      </c>
      <c r="P879">
        <f t="shared" si="47"/>
        <v>105.495903015</v>
      </c>
    </row>
    <row r="880" spans="1:16">
      <c r="A880">
        <f t="shared" si="48"/>
        <v>1475.515293197016</v>
      </c>
      <c r="B880">
        <v>859</v>
      </c>
      <c r="C880">
        <v>98.757453917999996</v>
      </c>
      <c r="D880">
        <v>859</v>
      </c>
      <c r="E880">
        <v>116.947792053</v>
      </c>
      <c r="F880">
        <v>859</v>
      </c>
      <c r="G880">
        <v>87.336784363000007</v>
      </c>
      <c r="H880">
        <v>859</v>
      </c>
      <c r="I880">
        <v>95.199211121000005</v>
      </c>
      <c r="K880">
        <f t="shared" si="49"/>
        <v>21.748580931999996</v>
      </c>
      <c r="L880">
        <v>859</v>
      </c>
      <c r="M880">
        <v>203</v>
      </c>
      <c r="N880">
        <v>859</v>
      </c>
      <c r="O880">
        <v>52</v>
      </c>
      <c r="P880">
        <f t="shared" si="47"/>
        <v>104.242546082</v>
      </c>
    </row>
    <row r="881" spans="1:16">
      <c r="A881">
        <f t="shared" si="48"/>
        <v>1476.4413878340322</v>
      </c>
      <c r="B881">
        <v>860</v>
      </c>
      <c r="C881">
        <v>98.821029663000004</v>
      </c>
      <c r="D881">
        <v>860</v>
      </c>
      <c r="E881">
        <v>115.341171265</v>
      </c>
      <c r="F881">
        <v>860</v>
      </c>
      <c r="G881">
        <v>87.192359924000002</v>
      </c>
      <c r="H881">
        <v>860</v>
      </c>
      <c r="I881">
        <v>96.921569824000002</v>
      </c>
      <c r="K881">
        <f t="shared" si="49"/>
        <v>18.419601440999998</v>
      </c>
      <c r="L881">
        <v>860</v>
      </c>
      <c r="M881">
        <v>203</v>
      </c>
      <c r="N881">
        <v>860</v>
      </c>
      <c r="O881">
        <v>52</v>
      </c>
      <c r="P881">
        <f t="shared" si="47"/>
        <v>104.178970337</v>
      </c>
    </row>
    <row r="882" spans="1:16">
      <c r="A882">
        <f t="shared" si="48"/>
        <v>1477.3674824710486</v>
      </c>
      <c r="B882">
        <v>861</v>
      </c>
      <c r="C882">
        <v>97.533866881999998</v>
      </c>
      <c r="D882">
        <v>861</v>
      </c>
      <c r="E882">
        <v>115.166999817</v>
      </c>
      <c r="F882">
        <v>861</v>
      </c>
      <c r="G882">
        <v>87.919776916999993</v>
      </c>
      <c r="H882">
        <v>861</v>
      </c>
      <c r="I882">
        <v>98.100898743000002</v>
      </c>
      <c r="K882">
        <f t="shared" si="49"/>
        <v>17.066101074000002</v>
      </c>
      <c r="L882">
        <v>861</v>
      </c>
      <c r="M882">
        <v>203</v>
      </c>
      <c r="N882">
        <v>861</v>
      </c>
      <c r="O882">
        <v>52</v>
      </c>
      <c r="P882">
        <f t="shared" si="47"/>
        <v>105.466133118</v>
      </c>
    </row>
    <row r="883" spans="1:16">
      <c r="A883">
        <f t="shared" si="48"/>
        <v>1478.2935771080647</v>
      </c>
      <c r="B883">
        <v>862</v>
      </c>
      <c r="C883">
        <v>97.419586182000003</v>
      </c>
      <c r="D883">
        <v>862</v>
      </c>
      <c r="E883">
        <v>116.897239685</v>
      </c>
      <c r="F883">
        <v>862</v>
      </c>
      <c r="G883">
        <v>88.333335876000007</v>
      </c>
      <c r="H883">
        <v>862</v>
      </c>
      <c r="I883">
        <v>95.753921508999994</v>
      </c>
      <c r="K883">
        <f t="shared" si="49"/>
        <v>21.143318176000008</v>
      </c>
      <c r="L883">
        <v>862</v>
      </c>
      <c r="M883">
        <v>203</v>
      </c>
      <c r="N883">
        <v>862</v>
      </c>
      <c r="O883">
        <v>52.074840545999997</v>
      </c>
      <c r="P883">
        <f t="shared" si="47"/>
        <v>105.580413818</v>
      </c>
    </row>
    <row r="884" spans="1:16">
      <c r="A884">
        <f t="shared" si="48"/>
        <v>1479.2196717450811</v>
      </c>
      <c r="B884">
        <v>863</v>
      </c>
      <c r="C884">
        <v>97.755401610999996</v>
      </c>
      <c r="D884">
        <v>863</v>
      </c>
      <c r="E884">
        <v>117.101135254</v>
      </c>
      <c r="F884">
        <v>863</v>
      </c>
      <c r="G884">
        <v>88.552223205999994</v>
      </c>
      <c r="H884">
        <v>863</v>
      </c>
      <c r="I884">
        <v>94.292922974000007</v>
      </c>
      <c r="K884">
        <f t="shared" si="49"/>
        <v>22.808212279999992</v>
      </c>
      <c r="L884">
        <v>863</v>
      </c>
      <c r="M884">
        <v>202.593139648</v>
      </c>
      <c r="N884">
        <v>863</v>
      </c>
      <c r="O884">
        <v>52.725967406999999</v>
      </c>
      <c r="P884">
        <f t="shared" si="47"/>
        <v>104.83773803700001</v>
      </c>
    </row>
    <row r="885" spans="1:16">
      <c r="A885">
        <f t="shared" si="48"/>
        <v>1480.1457663820975</v>
      </c>
      <c r="B885">
        <v>864</v>
      </c>
      <c r="C885">
        <v>97.648765564000001</v>
      </c>
      <c r="D885">
        <v>864</v>
      </c>
      <c r="E885">
        <v>114.754608154</v>
      </c>
      <c r="F885">
        <v>864</v>
      </c>
      <c r="G885">
        <v>89.254348754999995</v>
      </c>
      <c r="H885">
        <v>864</v>
      </c>
      <c r="I885">
        <v>94.070587157999995</v>
      </c>
      <c r="K885">
        <f t="shared" si="49"/>
        <v>20.684020996000001</v>
      </c>
      <c r="L885">
        <v>864</v>
      </c>
      <c r="M885">
        <v>202</v>
      </c>
      <c r="N885">
        <v>864</v>
      </c>
      <c r="O885">
        <v>53</v>
      </c>
      <c r="P885">
        <f t="shared" si="47"/>
        <v>104.351234436</v>
      </c>
    </row>
    <row r="886" spans="1:16">
      <c r="A886">
        <f t="shared" si="48"/>
        <v>1481.0718610191138</v>
      </c>
      <c r="B886">
        <v>865</v>
      </c>
      <c r="C886">
        <v>97.114868164000001</v>
      </c>
      <c r="D886">
        <v>865</v>
      </c>
      <c r="E886">
        <v>116.960021973</v>
      </c>
      <c r="F886">
        <v>865</v>
      </c>
      <c r="G886">
        <v>89.437149047999995</v>
      </c>
      <c r="H886">
        <v>865</v>
      </c>
      <c r="I886">
        <v>92.617645264000004</v>
      </c>
      <c r="K886">
        <f t="shared" si="49"/>
        <v>24.342376708999993</v>
      </c>
      <c r="L886">
        <v>865</v>
      </c>
      <c r="M886">
        <v>202</v>
      </c>
      <c r="N886">
        <v>865</v>
      </c>
      <c r="O886">
        <v>53</v>
      </c>
      <c r="P886">
        <f t="shared" si="47"/>
        <v>104.885131836</v>
      </c>
    </row>
    <row r="887" spans="1:16">
      <c r="A887">
        <f t="shared" si="48"/>
        <v>1481.9979556561302</v>
      </c>
      <c r="B887">
        <v>866</v>
      </c>
      <c r="C887">
        <v>97.111610412999994</v>
      </c>
      <c r="D887">
        <v>866</v>
      </c>
      <c r="E887">
        <v>119.317169189</v>
      </c>
      <c r="F887">
        <v>866</v>
      </c>
      <c r="G887">
        <v>90.456199646000002</v>
      </c>
      <c r="H887">
        <v>866</v>
      </c>
      <c r="I887">
        <v>91.648040770999998</v>
      </c>
      <c r="K887">
        <f t="shared" si="49"/>
        <v>27.669128418</v>
      </c>
      <c r="L887">
        <v>866</v>
      </c>
      <c r="M887">
        <v>202</v>
      </c>
      <c r="N887">
        <v>866</v>
      </c>
      <c r="O887">
        <v>53</v>
      </c>
      <c r="P887">
        <f t="shared" si="47"/>
        <v>104.88838958700001</v>
      </c>
    </row>
    <row r="888" spans="1:16">
      <c r="A888">
        <f t="shared" si="48"/>
        <v>1482.9240502931466</v>
      </c>
      <c r="B888">
        <v>867</v>
      </c>
      <c r="C888">
        <v>96.243103027000004</v>
      </c>
      <c r="D888">
        <v>867</v>
      </c>
      <c r="E888">
        <v>117.469566345</v>
      </c>
      <c r="F888">
        <v>867</v>
      </c>
      <c r="G888">
        <v>91.281669617000006</v>
      </c>
      <c r="H888">
        <v>867</v>
      </c>
      <c r="I888">
        <v>92.843338012999993</v>
      </c>
      <c r="K888">
        <f t="shared" si="49"/>
        <v>24.626228332000011</v>
      </c>
      <c r="L888">
        <v>867</v>
      </c>
      <c r="M888">
        <v>202</v>
      </c>
      <c r="N888">
        <v>867</v>
      </c>
      <c r="O888">
        <v>53</v>
      </c>
      <c r="P888">
        <f t="shared" si="47"/>
        <v>105.756896973</v>
      </c>
    </row>
    <row r="889" spans="1:16">
      <c r="A889">
        <f t="shared" si="48"/>
        <v>1483.8501449301627</v>
      </c>
      <c r="B889">
        <v>868</v>
      </c>
      <c r="C889">
        <v>95.984840392999999</v>
      </c>
      <c r="D889">
        <v>868</v>
      </c>
      <c r="E889">
        <v>113.61796569800001</v>
      </c>
      <c r="F889">
        <v>868</v>
      </c>
      <c r="G889">
        <v>90.521118164000001</v>
      </c>
      <c r="H889">
        <v>868</v>
      </c>
      <c r="I889">
        <v>93.911766052000004</v>
      </c>
      <c r="K889">
        <f t="shared" si="49"/>
        <v>19.706199646000002</v>
      </c>
      <c r="L889">
        <v>868</v>
      </c>
      <c r="M889">
        <v>202</v>
      </c>
      <c r="N889">
        <v>868</v>
      </c>
      <c r="O889">
        <v>53</v>
      </c>
      <c r="P889">
        <f t="shared" si="47"/>
        <v>106.015159607</v>
      </c>
    </row>
    <row r="890" spans="1:16">
      <c r="A890">
        <f t="shared" si="48"/>
        <v>1484.7762395671791</v>
      </c>
      <c r="B890">
        <v>869</v>
      </c>
      <c r="C890">
        <v>95.733283997000001</v>
      </c>
      <c r="D890">
        <v>869</v>
      </c>
      <c r="E890">
        <v>116.907913208</v>
      </c>
      <c r="F890">
        <v>869</v>
      </c>
      <c r="G890">
        <v>88.989074707</v>
      </c>
      <c r="H890">
        <v>869</v>
      </c>
      <c r="I890">
        <v>93.446990967000005</v>
      </c>
      <c r="K890">
        <f t="shared" si="49"/>
        <v>23.460922240999992</v>
      </c>
      <c r="L890">
        <v>869</v>
      </c>
      <c r="M890">
        <v>202</v>
      </c>
      <c r="N890">
        <v>869</v>
      </c>
      <c r="O890">
        <v>53</v>
      </c>
      <c r="P890">
        <f t="shared" si="47"/>
        <v>106.266716003</v>
      </c>
    </row>
    <row r="891" spans="1:16">
      <c r="A891">
        <f t="shared" si="48"/>
        <v>1485.7023342041953</v>
      </c>
      <c r="B891">
        <v>870</v>
      </c>
      <c r="C891">
        <v>96.037506104000002</v>
      </c>
      <c r="D891">
        <v>870</v>
      </c>
      <c r="E891">
        <v>116.47370147700001</v>
      </c>
      <c r="F891">
        <v>870</v>
      </c>
      <c r="G891">
        <v>88.122901916999993</v>
      </c>
      <c r="H891">
        <v>870</v>
      </c>
      <c r="I891">
        <v>93.625434874999996</v>
      </c>
      <c r="K891">
        <f t="shared" si="49"/>
        <v>22.84826660200001</v>
      </c>
      <c r="L891">
        <v>870</v>
      </c>
      <c r="M891">
        <v>202</v>
      </c>
      <c r="N891">
        <v>870</v>
      </c>
      <c r="O891">
        <v>53</v>
      </c>
      <c r="P891">
        <f t="shared" si="47"/>
        <v>105.962493896</v>
      </c>
    </row>
    <row r="892" spans="1:16">
      <c r="A892">
        <f t="shared" si="48"/>
        <v>1486.6284288412116</v>
      </c>
      <c r="B892">
        <v>871</v>
      </c>
      <c r="C892">
        <v>96.218246460000003</v>
      </c>
      <c r="D892">
        <v>871</v>
      </c>
      <c r="E892">
        <v>112.794921875</v>
      </c>
      <c r="F892">
        <v>871</v>
      </c>
      <c r="G892">
        <v>87.261795043999996</v>
      </c>
      <c r="H892">
        <v>871</v>
      </c>
      <c r="I892">
        <v>93.438262938999998</v>
      </c>
      <c r="K892">
        <f t="shared" si="49"/>
        <v>19.356658936000002</v>
      </c>
      <c r="L892">
        <v>871</v>
      </c>
      <c r="M892">
        <v>202</v>
      </c>
      <c r="N892">
        <v>871</v>
      </c>
      <c r="O892">
        <v>53.480953217</v>
      </c>
      <c r="P892">
        <f t="shared" si="47"/>
        <v>105.78175354</v>
      </c>
    </row>
    <row r="893" spans="1:16">
      <c r="A893">
        <f t="shared" si="48"/>
        <v>1487.554523478228</v>
      </c>
      <c r="B893">
        <v>872</v>
      </c>
      <c r="C893">
        <v>96.311958313000005</v>
      </c>
      <c r="D893">
        <v>872</v>
      </c>
      <c r="E893">
        <v>112.380897522</v>
      </c>
      <c r="F893">
        <v>872</v>
      </c>
      <c r="G893">
        <v>87.069366454999994</v>
      </c>
      <c r="H893">
        <v>872</v>
      </c>
      <c r="I893">
        <v>92.638893127000003</v>
      </c>
      <c r="K893">
        <f t="shared" si="49"/>
        <v>19.742004394999995</v>
      </c>
      <c r="L893">
        <v>872</v>
      </c>
      <c r="M893">
        <v>201.27719116200001</v>
      </c>
      <c r="N893">
        <v>872</v>
      </c>
      <c r="O893">
        <v>53.995868682999998</v>
      </c>
      <c r="P893">
        <f t="shared" si="47"/>
        <v>104.965232849</v>
      </c>
    </row>
    <row r="894" spans="1:16">
      <c r="A894">
        <f t="shared" si="48"/>
        <v>1488.4806181152444</v>
      </c>
      <c r="B894">
        <v>873</v>
      </c>
      <c r="C894">
        <v>96.060401916999993</v>
      </c>
      <c r="D894">
        <v>873</v>
      </c>
      <c r="E894">
        <v>116.392318726</v>
      </c>
      <c r="F894">
        <v>873</v>
      </c>
      <c r="G894">
        <v>87.831459045000003</v>
      </c>
      <c r="H894">
        <v>873</v>
      </c>
      <c r="I894">
        <v>93.392860412999994</v>
      </c>
      <c r="K894">
        <f t="shared" si="49"/>
        <v>22.999458313000005</v>
      </c>
      <c r="L894">
        <v>873</v>
      </c>
      <c r="M894">
        <v>201</v>
      </c>
      <c r="N894">
        <v>873</v>
      </c>
      <c r="O894">
        <v>54</v>
      </c>
      <c r="P894">
        <f t="shared" si="47"/>
        <v>104.93959808300001</v>
      </c>
    </row>
    <row r="895" spans="1:16">
      <c r="A895">
        <f t="shared" si="48"/>
        <v>1489.4067127522608</v>
      </c>
      <c r="B895">
        <v>874</v>
      </c>
      <c r="C895">
        <v>96.147605896000002</v>
      </c>
      <c r="D895">
        <v>874</v>
      </c>
      <c r="E895">
        <v>116.14597320599999</v>
      </c>
      <c r="F895">
        <v>874</v>
      </c>
      <c r="G895">
        <v>87.750427246000001</v>
      </c>
      <c r="H895">
        <v>874</v>
      </c>
      <c r="I895">
        <v>93.799537658999995</v>
      </c>
      <c r="K895">
        <f t="shared" si="49"/>
        <v>22.346435546999999</v>
      </c>
      <c r="L895">
        <v>874</v>
      </c>
      <c r="M895">
        <v>201</v>
      </c>
      <c r="N895">
        <v>874</v>
      </c>
      <c r="O895">
        <v>54</v>
      </c>
      <c r="P895">
        <f t="shared" si="47"/>
        <v>104.852394104</v>
      </c>
    </row>
    <row r="896" spans="1:16">
      <c r="A896">
        <f t="shared" si="48"/>
        <v>1490.3328073892771</v>
      </c>
      <c r="B896">
        <v>875</v>
      </c>
      <c r="C896">
        <v>96.445739746000001</v>
      </c>
      <c r="D896">
        <v>875</v>
      </c>
      <c r="E896">
        <v>114.522018433</v>
      </c>
      <c r="F896">
        <v>875</v>
      </c>
      <c r="G896">
        <v>86.860206603999998</v>
      </c>
      <c r="H896">
        <v>875</v>
      </c>
      <c r="I896">
        <v>94.139709472999996</v>
      </c>
      <c r="K896">
        <f t="shared" si="49"/>
        <v>20.382308960000003</v>
      </c>
      <c r="L896">
        <v>875</v>
      </c>
      <c r="M896">
        <v>201</v>
      </c>
      <c r="N896">
        <v>875</v>
      </c>
      <c r="O896">
        <v>54</v>
      </c>
      <c r="P896">
        <f t="shared" si="47"/>
        <v>104.554260254</v>
      </c>
    </row>
    <row r="897" spans="1:16">
      <c r="A897">
        <f t="shared" si="48"/>
        <v>1491.2589020262933</v>
      </c>
      <c r="B897">
        <v>876</v>
      </c>
      <c r="C897">
        <v>95.954330443999993</v>
      </c>
      <c r="D897">
        <v>876</v>
      </c>
      <c r="E897">
        <v>117.061477661</v>
      </c>
      <c r="F897">
        <v>876</v>
      </c>
      <c r="G897">
        <v>86.692451477000006</v>
      </c>
      <c r="H897">
        <v>876</v>
      </c>
      <c r="I897">
        <v>93.979011536000002</v>
      </c>
      <c r="K897">
        <f t="shared" si="49"/>
        <v>23.082466124999996</v>
      </c>
      <c r="L897">
        <v>876</v>
      </c>
      <c r="M897">
        <v>201</v>
      </c>
      <c r="N897">
        <v>876</v>
      </c>
      <c r="O897">
        <v>54</v>
      </c>
      <c r="P897">
        <f t="shared" si="47"/>
        <v>105.04566955600001</v>
      </c>
    </row>
    <row r="898" spans="1:16">
      <c r="A898">
        <f t="shared" si="48"/>
        <v>1492.1849966633097</v>
      </c>
      <c r="B898">
        <v>877</v>
      </c>
      <c r="C898">
        <v>92.430175781000003</v>
      </c>
      <c r="D898">
        <v>877</v>
      </c>
      <c r="E898">
        <v>117.27782440199999</v>
      </c>
      <c r="F898">
        <v>877</v>
      </c>
      <c r="G898">
        <v>87.767959594999994</v>
      </c>
      <c r="H898">
        <v>877</v>
      </c>
      <c r="I898">
        <v>92.595100403000004</v>
      </c>
      <c r="K898">
        <f t="shared" si="49"/>
        <v>24.68272399899999</v>
      </c>
      <c r="L898">
        <v>877</v>
      </c>
      <c r="M898">
        <v>201</v>
      </c>
      <c r="N898">
        <v>877</v>
      </c>
      <c r="O898">
        <v>54</v>
      </c>
      <c r="P898">
        <f t="shared" si="47"/>
        <v>108.569824219</v>
      </c>
    </row>
    <row r="899" spans="1:16">
      <c r="A899">
        <f t="shared" si="48"/>
        <v>1493.1110913003258</v>
      </c>
      <c r="B899">
        <v>878</v>
      </c>
      <c r="C899">
        <v>88.779098511000001</v>
      </c>
      <c r="D899">
        <v>878</v>
      </c>
      <c r="E899">
        <v>112.13397979699999</v>
      </c>
      <c r="F899">
        <v>878</v>
      </c>
      <c r="G899">
        <v>87.560440063000001</v>
      </c>
      <c r="H899">
        <v>878</v>
      </c>
      <c r="I899">
        <v>93.418472289999997</v>
      </c>
      <c r="K899">
        <f t="shared" si="49"/>
        <v>18.715507506999998</v>
      </c>
      <c r="L899">
        <v>878</v>
      </c>
      <c r="M899">
        <v>200.479980469</v>
      </c>
      <c r="N899">
        <v>878</v>
      </c>
      <c r="O899">
        <v>54.948776244999998</v>
      </c>
      <c r="P899">
        <f t="shared" si="47"/>
        <v>111.700881958</v>
      </c>
    </row>
    <row r="900" spans="1:16">
      <c r="A900">
        <f t="shared" si="48"/>
        <v>1494.0371859373422</v>
      </c>
      <c r="B900">
        <v>879</v>
      </c>
      <c r="C900">
        <v>95.640693665000001</v>
      </c>
      <c r="D900">
        <v>879</v>
      </c>
      <c r="E900">
        <v>111.748222351</v>
      </c>
      <c r="F900">
        <v>879</v>
      </c>
      <c r="G900">
        <v>88.809547424000002</v>
      </c>
      <c r="H900">
        <v>879</v>
      </c>
      <c r="I900">
        <v>93.263000488000003</v>
      </c>
      <c r="K900">
        <f t="shared" si="49"/>
        <v>18.485221862999992</v>
      </c>
      <c r="L900">
        <v>879</v>
      </c>
      <c r="M900">
        <v>199</v>
      </c>
      <c r="N900">
        <v>879</v>
      </c>
      <c r="O900">
        <v>56</v>
      </c>
      <c r="P900">
        <f t="shared" si="47"/>
        <v>103.359306335</v>
      </c>
    </row>
    <row r="901" spans="1:16">
      <c r="A901">
        <f t="shared" si="48"/>
        <v>1494.9632805743586</v>
      </c>
      <c r="B901">
        <v>880</v>
      </c>
      <c r="C901">
        <v>94.184791564999998</v>
      </c>
      <c r="D901">
        <v>880</v>
      </c>
      <c r="E901">
        <v>115.75332641599999</v>
      </c>
      <c r="F901">
        <v>880</v>
      </c>
      <c r="G901">
        <v>90.268112183</v>
      </c>
      <c r="H901">
        <v>880</v>
      </c>
      <c r="I901">
        <v>93.355247497999997</v>
      </c>
      <c r="K901">
        <f t="shared" si="49"/>
        <v>22.398078917999996</v>
      </c>
      <c r="L901">
        <v>880</v>
      </c>
      <c r="M901">
        <v>199</v>
      </c>
      <c r="N901">
        <v>880</v>
      </c>
      <c r="O901">
        <v>56</v>
      </c>
      <c r="P901">
        <f t="shared" si="47"/>
        <v>104.815208435</v>
      </c>
    </row>
    <row r="902" spans="1:16">
      <c r="A902">
        <f t="shared" si="48"/>
        <v>1495.889375211375</v>
      </c>
      <c r="B902">
        <v>881</v>
      </c>
      <c r="C902">
        <v>91.710769653</v>
      </c>
      <c r="D902">
        <v>881</v>
      </c>
      <c r="E902">
        <v>115.177902222</v>
      </c>
      <c r="F902">
        <v>881</v>
      </c>
      <c r="G902">
        <v>87.858337402000004</v>
      </c>
      <c r="H902">
        <v>881</v>
      </c>
      <c r="I902">
        <v>94.269607543999996</v>
      </c>
      <c r="K902">
        <f t="shared" si="49"/>
        <v>20.908294678000004</v>
      </c>
      <c r="L902">
        <v>881</v>
      </c>
      <c r="M902">
        <v>199</v>
      </c>
      <c r="N902">
        <v>881</v>
      </c>
      <c r="O902">
        <v>56</v>
      </c>
      <c r="P902">
        <f t="shared" si="47"/>
        <v>107.289230347</v>
      </c>
    </row>
    <row r="903" spans="1:16">
      <c r="A903">
        <f t="shared" si="48"/>
        <v>1496.8154698483913</v>
      </c>
      <c r="B903">
        <v>882</v>
      </c>
      <c r="C903">
        <v>94.896598815999994</v>
      </c>
      <c r="D903">
        <v>882</v>
      </c>
      <c r="E903">
        <v>115.70388031</v>
      </c>
      <c r="F903">
        <v>882</v>
      </c>
      <c r="G903">
        <v>86.596343993999994</v>
      </c>
      <c r="H903">
        <v>882</v>
      </c>
      <c r="I903">
        <v>92.814918517999999</v>
      </c>
      <c r="K903">
        <f t="shared" si="49"/>
        <v>22.888961792000003</v>
      </c>
      <c r="L903">
        <v>882</v>
      </c>
      <c r="M903">
        <v>199</v>
      </c>
      <c r="N903">
        <v>882</v>
      </c>
      <c r="O903">
        <v>56</v>
      </c>
      <c r="P903">
        <f t="shared" si="47"/>
        <v>104.10340118400001</v>
      </c>
    </row>
    <row r="904" spans="1:16">
      <c r="A904">
        <f t="shared" si="48"/>
        <v>1497.7415644854075</v>
      </c>
      <c r="B904">
        <v>883</v>
      </c>
      <c r="C904">
        <v>96.939666747999993</v>
      </c>
      <c r="D904">
        <v>883</v>
      </c>
      <c r="E904">
        <v>114.887680054</v>
      </c>
      <c r="F904">
        <v>883</v>
      </c>
      <c r="G904">
        <v>86.822959900000001</v>
      </c>
      <c r="H904">
        <v>883</v>
      </c>
      <c r="I904">
        <v>90.196815490999995</v>
      </c>
      <c r="K904">
        <f t="shared" si="49"/>
        <v>24.690864563000005</v>
      </c>
      <c r="L904">
        <v>883</v>
      </c>
      <c r="M904">
        <v>199</v>
      </c>
      <c r="N904">
        <v>883</v>
      </c>
      <c r="O904">
        <v>56</v>
      </c>
      <c r="P904">
        <f t="shared" si="47"/>
        <v>102.06033325200001</v>
      </c>
    </row>
    <row r="905" spans="1:16">
      <c r="A905">
        <f t="shared" si="48"/>
        <v>1498.6676591224239</v>
      </c>
      <c r="B905">
        <v>884</v>
      </c>
      <c r="C905">
        <v>94.126495360999996</v>
      </c>
      <c r="D905">
        <v>884</v>
      </c>
      <c r="E905">
        <v>111.260498047</v>
      </c>
      <c r="F905">
        <v>884</v>
      </c>
      <c r="G905">
        <v>86.612518311000002</v>
      </c>
      <c r="H905">
        <v>884</v>
      </c>
      <c r="I905">
        <v>90.586669921999999</v>
      </c>
      <c r="K905">
        <f t="shared" si="49"/>
        <v>20.673828125</v>
      </c>
      <c r="L905">
        <v>884</v>
      </c>
      <c r="M905">
        <v>199</v>
      </c>
      <c r="N905">
        <v>884</v>
      </c>
      <c r="O905">
        <v>56</v>
      </c>
      <c r="P905">
        <f t="shared" si="47"/>
        <v>104.873504639</v>
      </c>
    </row>
    <row r="906" spans="1:16">
      <c r="A906">
        <f t="shared" si="48"/>
        <v>1499.59375375944</v>
      </c>
      <c r="B906">
        <v>885</v>
      </c>
      <c r="C906">
        <v>94.066368103000002</v>
      </c>
      <c r="D906">
        <v>885</v>
      </c>
      <c r="E906">
        <v>112.148475647</v>
      </c>
      <c r="F906">
        <v>885</v>
      </c>
      <c r="G906">
        <v>86.357177734000004</v>
      </c>
      <c r="H906">
        <v>885</v>
      </c>
      <c r="I906">
        <v>91.919952393000003</v>
      </c>
      <c r="K906">
        <f t="shared" si="49"/>
        <v>20.228523253999995</v>
      </c>
      <c r="L906">
        <v>885</v>
      </c>
      <c r="M906">
        <v>199</v>
      </c>
      <c r="N906">
        <v>885</v>
      </c>
      <c r="O906">
        <v>56</v>
      </c>
      <c r="P906">
        <f t="shared" si="47"/>
        <v>104.933631897</v>
      </c>
    </row>
    <row r="907" spans="1:16">
      <c r="A907">
        <f t="shared" si="48"/>
        <v>1500.5198483964564</v>
      </c>
      <c r="B907">
        <v>886</v>
      </c>
      <c r="C907">
        <v>94.776008606000005</v>
      </c>
      <c r="D907">
        <v>886</v>
      </c>
      <c r="E907">
        <v>114.703819275</v>
      </c>
      <c r="F907">
        <v>886</v>
      </c>
      <c r="G907">
        <v>86.564826964999995</v>
      </c>
      <c r="H907">
        <v>886</v>
      </c>
      <c r="I907">
        <v>91.177467346</v>
      </c>
      <c r="K907">
        <f t="shared" si="49"/>
        <v>23.526351929</v>
      </c>
      <c r="L907">
        <v>886</v>
      </c>
      <c r="M907">
        <v>198.982330322</v>
      </c>
      <c r="N907">
        <v>886</v>
      </c>
      <c r="O907">
        <v>56.777225494</v>
      </c>
      <c r="P907">
        <f t="shared" si="47"/>
        <v>104.20632171599999</v>
      </c>
    </row>
    <row r="908" spans="1:16">
      <c r="A908">
        <f t="shared" si="48"/>
        <v>1501.4459430334728</v>
      </c>
      <c r="B908">
        <v>887</v>
      </c>
      <c r="C908">
        <v>96.387092589999995</v>
      </c>
      <c r="D908">
        <v>887</v>
      </c>
      <c r="E908">
        <v>114.24344635</v>
      </c>
      <c r="F908">
        <v>887</v>
      </c>
      <c r="G908">
        <v>86.962013244999994</v>
      </c>
      <c r="H908">
        <v>887</v>
      </c>
      <c r="I908">
        <v>90.920097350999995</v>
      </c>
      <c r="K908">
        <f t="shared" si="49"/>
        <v>23.323348999000004</v>
      </c>
      <c r="L908">
        <v>887</v>
      </c>
      <c r="M908">
        <v>198.24688720699999</v>
      </c>
      <c r="N908">
        <v>887</v>
      </c>
      <c r="O908">
        <v>57</v>
      </c>
      <c r="P908">
        <f t="shared" si="47"/>
        <v>101.85979461699999</v>
      </c>
    </row>
    <row r="909" spans="1:16">
      <c r="A909">
        <f t="shared" si="48"/>
        <v>1502.3720376704891</v>
      </c>
      <c r="B909">
        <v>888</v>
      </c>
      <c r="C909">
        <v>96.518249511999997</v>
      </c>
      <c r="D909">
        <v>888</v>
      </c>
      <c r="E909">
        <v>111.754478455</v>
      </c>
      <c r="F909">
        <v>888</v>
      </c>
      <c r="G909">
        <v>87.371086121000005</v>
      </c>
      <c r="H909">
        <v>888</v>
      </c>
      <c r="I909">
        <v>90.903991699000002</v>
      </c>
      <c r="K909">
        <f t="shared" si="49"/>
        <v>20.850486755999995</v>
      </c>
      <c r="L909">
        <v>888</v>
      </c>
      <c r="M909">
        <v>198</v>
      </c>
      <c r="N909">
        <v>888</v>
      </c>
      <c r="O909">
        <v>57</v>
      </c>
      <c r="P909">
        <f t="shared" si="47"/>
        <v>101.481750488</v>
      </c>
    </row>
    <row r="910" spans="1:16">
      <c r="A910">
        <f t="shared" si="48"/>
        <v>1503.2981323075055</v>
      </c>
      <c r="B910">
        <v>889</v>
      </c>
      <c r="C910">
        <v>94.976371764999996</v>
      </c>
      <c r="D910">
        <v>889</v>
      </c>
      <c r="E910">
        <v>113.682373047</v>
      </c>
      <c r="F910">
        <v>889</v>
      </c>
      <c r="G910">
        <v>87.498756408999995</v>
      </c>
      <c r="H910">
        <v>889</v>
      </c>
      <c r="I910">
        <v>90.634162903000004</v>
      </c>
      <c r="K910">
        <f t="shared" si="49"/>
        <v>23.048210143999995</v>
      </c>
      <c r="L910">
        <v>889</v>
      </c>
      <c r="M910">
        <v>198</v>
      </c>
      <c r="N910">
        <v>889</v>
      </c>
      <c r="O910">
        <v>57</v>
      </c>
      <c r="P910">
        <f t="shared" si="47"/>
        <v>103.023628235</v>
      </c>
    </row>
    <row r="911" spans="1:16">
      <c r="A911">
        <f t="shared" si="48"/>
        <v>1504.2242269445219</v>
      </c>
      <c r="B911">
        <v>890</v>
      </c>
      <c r="C911">
        <v>94.672111510999997</v>
      </c>
      <c r="D911">
        <v>890</v>
      </c>
      <c r="E911">
        <v>113.746704102</v>
      </c>
      <c r="F911">
        <v>890</v>
      </c>
      <c r="G911">
        <v>87.314552307</v>
      </c>
      <c r="H911">
        <v>890</v>
      </c>
      <c r="I911">
        <v>90.888114928999997</v>
      </c>
      <c r="K911">
        <f t="shared" si="49"/>
        <v>22.858589172999999</v>
      </c>
      <c r="L911">
        <v>890</v>
      </c>
      <c r="M911">
        <v>198</v>
      </c>
      <c r="N911">
        <v>890</v>
      </c>
      <c r="O911">
        <v>57</v>
      </c>
      <c r="P911">
        <f t="shared" si="47"/>
        <v>103.327888489</v>
      </c>
    </row>
    <row r="912" spans="1:16">
      <c r="A912">
        <f t="shared" si="48"/>
        <v>1505.150321581538</v>
      </c>
      <c r="B912">
        <v>891</v>
      </c>
      <c r="C912">
        <v>93.375686646000005</v>
      </c>
      <c r="D912">
        <v>891</v>
      </c>
      <c r="E912">
        <v>111.61378479</v>
      </c>
      <c r="F912">
        <v>891</v>
      </c>
      <c r="G912">
        <v>86.398902892999999</v>
      </c>
      <c r="H912">
        <v>891</v>
      </c>
      <c r="I912">
        <v>91.127479553000001</v>
      </c>
      <c r="K912">
        <f t="shared" si="49"/>
        <v>20.486305236999996</v>
      </c>
      <c r="L912">
        <v>891</v>
      </c>
      <c r="M912">
        <v>198</v>
      </c>
      <c r="N912">
        <v>891</v>
      </c>
      <c r="O912">
        <v>57</v>
      </c>
      <c r="P912">
        <f t="shared" si="47"/>
        <v>104.62431335399999</v>
      </c>
    </row>
    <row r="913" spans="1:16">
      <c r="A913">
        <f t="shared" si="48"/>
        <v>1506.0764162185544</v>
      </c>
      <c r="B913">
        <v>892</v>
      </c>
      <c r="C913">
        <v>92.807609557999996</v>
      </c>
      <c r="D913">
        <v>892</v>
      </c>
      <c r="E913">
        <v>111.245101929</v>
      </c>
      <c r="F913">
        <v>892</v>
      </c>
      <c r="G913">
        <v>86.033920288000004</v>
      </c>
      <c r="H913">
        <v>892</v>
      </c>
      <c r="I913">
        <v>89.847564696999996</v>
      </c>
      <c r="K913">
        <f t="shared" si="49"/>
        <v>21.397537232000005</v>
      </c>
      <c r="L913">
        <v>892</v>
      </c>
      <c r="M913">
        <v>198</v>
      </c>
      <c r="N913">
        <v>892</v>
      </c>
      <c r="O913">
        <v>57</v>
      </c>
      <c r="P913">
        <f t="shared" si="47"/>
        <v>105.192390442</v>
      </c>
    </row>
    <row r="914" spans="1:16">
      <c r="A914">
        <f t="shared" si="48"/>
        <v>1507.0025108555706</v>
      </c>
      <c r="B914">
        <v>893</v>
      </c>
      <c r="C914">
        <v>98.130767821999996</v>
      </c>
      <c r="D914">
        <v>893</v>
      </c>
      <c r="E914">
        <v>112.866455078</v>
      </c>
      <c r="F914">
        <v>893</v>
      </c>
      <c r="G914">
        <v>86.62890625</v>
      </c>
      <c r="H914">
        <v>893</v>
      </c>
      <c r="I914">
        <v>89.294883728000002</v>
      </c>
      <c r="K914">
        <f t="shared" si="49"/>
        <v>23.571571349999999</v>
      </c>
      <c r="L914">
        <v>893</v>
      </c>
      <c r="M914">
        <v>198</v>
      </c>
      <c r="N914">
        <v>893</v>
      </c>
      <c r="O914">
        <v>57</v>
      </c>
      <c r="P914">
        <f t="shared" si="47"/>
        <v>99.869232178000004</v>
      </c>
    </row>
    <row r="915" spans="1:16">
      <c r="A915">
        <f t="shared" si="48"/>
        <v>1507.9286054925869</v>
      </c>
      <c r="B915">
        <v>894</v>
      </c>
      <c r="C915">
        <v>96</v>
      </c>
      <c r="D915">
        <v>894</v>
      </c>
      <c r="E915">
        <v>113.92256164600001</v>
      </c>
      <c r="F915">
        <v>894</v>
      </c>
      <c r="G915">
        <v>86.118232727000006</v>
      </c>
      <c r="H915">
        <v>894</v>
      </c>
      <c r="I915">
        <v>84.181991577000005</v>
      </c>
      <c r="K915">
        <f t="shared" si="49"/>
        <v>29.740570069</v>
      </c>
      <c r="L915">
        <v>894</v>
      </c>
      <c r="M915">
        <v>198</v>
      </c>
      <c r="N915">
        <v>894</v>
      </c>
      <c r="O915">
        <v>57</v>
      </c>
      <c r="P915">
        <f t="shared" si="47"/>
        <v>102</v>
      </c>
    </row>
    <row r="916" spans="1:16">
      <c r="A916">
        <f t="shared" si="48"/>
        <v>1508.8547001296033</v>
      </c>
      <c r="B916">
        <v>895</v>
      </c>
      <c r="C916">
        <v>93.150802612000007</v>
      </c>
      <c r="D916">
        <v>895</v>
      </c>
      <c r="E916">
        <v>114.143280029</v>
      </c>
      <c r="F916">
        <v>895</v>
      </c>
      <c r="G916">
        <v>85.607551575000002</v>
      </c>
      <c r="H916">
        <v>895</v>
      </c>
      <c r="I916">
        <v>85.288681030000006</v>
      </c>
      <c r="K916">
        <f t="shared" si="49"/>
        <v>28.85459899899999</v>
      </c>
      <c r="L916">
        <v>895</v>
      </c>
      <c r="M916">
        <v>198</v>
      </c>
      <c r="N916">
        <v>895</v>
      </c>
      <c r="O916">
        <v>57</v>
      </c>
      <c r="P916">
        <f t="shared" si="47"/>
        <v>104.84919738799999</v>
      </c>
    </row>
    <row r="917" spans="1:16">
      <c r="A917">
        <f t="shared" si="48"/>
        <v>1509.7807947666197</v>
      </c>
      <c r="B917">
        <v>896</v>
      </c>
      <c r="C917">
        <v>94.048675536999994</v>
      </c>
      <c r="D917">
        <v>896</v>
      </c>
      <c r="E917">
        <v>112.978652954</v>
      </c>
      <c r="F917">
        <v>896</v>
      </c>
      <c r="G917">
        <v>84.724266052000004</v>
      </c>
      <c r="H917">
        <v>896</v>
      </c>
      <c r="I917">
        <v>86.163368224999999</v>
      </c>
      <c r="K917">
        <f t="shared" si="49"/>
        <v>26.815284728999998</v>
      </c>
      <c r="L917">
        <v>896</v>
      </c>
      <c r="M917">
        <v>198</v>
      </c>
      <c r="N917">
        <v>896</v>
      </c>
      <c r="O917">
        <v>57</v>
      </c>
      <c r="P917">
        <f t="shared" ref="P917:P980" si="50">M917-C917</f>
        <v>103.95132446300001</v>
      </c>
    </row>
    <row r="918" spans="1:16">
      <c r="A918">
        <f t="shared" ref="A918:A981" si="51">680 +B918*COS(ABS($J$8)*PI()/180)</f>
        <v>1510.7068894036361</v>
      </c>
      <c r="B918">
        <v>897</v>
      </c>
      <c r="C918">
        <v>92.153915405000006</v>
      </c>
      <c r="D918">
        <v>897</v>
      </c>
      <c r="E918">
        <v>108.780723572</v>
      </c>
      <c r="F918">
        <v>897</v>
      </c>
      <c r="G918">
        <v>84.444610596000004</v>
      </c>
      <c r="H918">
        <v>897</v>
      </c>
      <c r="I918">
        <v>86.346870421999995</v>
      </c>
      <c r="K918">
        <f t="shared" ref="K918:K981" si="52">E918-I918</f>
        <v>22.433853150000004</v>
      </c>
      <c r="L918">
        <v>897</v>
      </c>
      <c r="M918">
        <v>198</v>
      </c>
      <c r="N918">
        <v>897</v>
      </c>
      <c r="O918">
        <v>57</v>
      </c>
      <c r="P918">
        <f t="shared" si="50"/>
        <v>105.84608459499999</v>
      </c>
    </row>
    <row r="919" spans="1:16">
      <c r="A919">
        <f t="shared" si="51"/>
        <v>1511.6329840406522</v>
      </c>
      <c r="B919">
        <v>898</v>
      </c>
      <c r="C919">
        <v>93.696266174000002</v>
      </c>
      <c r="D919">
        <v>898</v>
      </c>
      <c r="E919">
        <v>110.59651947</v>
      </c>
      <c r="F919">
        <v>898</v>
      </c>
      <c r="G919">
        <v>84.947898864999999</v>
      </c>
      <c r="H919">
        <v>898</v>
      </c>
      <c r="I919">
        <v>85.370292664000004</v>
      </c>
      <c r="K919">
        <f t="shared" si="52"/>
        <v>25.226226806</v>
      </c>
      <c r="L919">
        <v>898</v>
      </c>
      <c r="M919">
        <v>198</v>
      </c>
      <c r="N919">
        <v>898</v>
      </c>
      <c r="O919">
        <v>57</v>
      </c>
      <c r="P919">
        <f t="shared" si="50"/>
        <v>104.303733826</v>
      </c>
    </row>
    <row r="920" spans="1:16">
      <c r="A920">
        <f t="shared" si="51"/>
        <v>1512.5590786776686</v>
      </c>
      <c r="B920">
        <v>899</v>
      </c>
      <c r="C920">
        <v>95.404174804999997</v>
      </c>
      <c r="D920">
        <v>899</v>
      </c>
      <c r="E920">
        <v>113.56909942599999</v>
      </c>
      <c r="F920">
        <v>899</v>
      </c>
      <c r="G920">
        <v>85.780731200999995</v>
      </c>
      <c r="H920">
        <v>899</v>
      </c>
      <c r="I920">
        <v>83.256507873999993</v>
      </c>
      <c r="K920">
        <f t="shared" si="52"/>
        <v>30.312591552000001</v>
      </c>
      <c r="L920">
        <v>899</v>
      </c>
      <c r="M920">
        <v>198</v>
      </c>
      <c r="N920">
        <v>899</v>
      </c>
      <c r="O920">
        <v>57</v>
      </c>
      <c r="P920">
        <f t="shared" si="50"/>
        <v>102.595825195</v>
      </c>
    </row>
    <row r="921" spans="1:16">
      <c r="A921">
        <f t="shared" si="51"/>
        <v>1513.4851733146847</v>
      </c>
      <c r="B921">
        <v>900</v>
      </c>
      <c r="C921">
        <v>97.752967834000003</v>
      </c>
      <c r="D921">
        <v>900</v>
      </c>
      <c r="E921">
        <v>110.123252869</v>
      </c>
      <c r="F921">
        <v>900</v>
      </c>
      <c r="G921">
        <v>85.309059142999999</v>
      </c>
      <c r="H921">
        <v>900</v>
      </c>
      <c r="I921">
        <v>86.479240417</v>
      </c>
      <c r="K921">
        <f t="shared" si="52"/>
        <v>23.644012451999998</v>
      </c>
      <c r="L921">
        <v>900</v>
      </c>
      <c r="M921">
        <v>198</v>
      </c>
      <c r="N921">
        <v>900</v>
      </c>
      <c r="O921">
        <v>57</v>
      </c>
      <c r="P921">
        <f t="shared" si="50"/>
        <v>100.247032166</v>
      </c>
    </row>
    <row r="922" spans="1:16">
      <c r="A922">
        <f t="shared" si="51"/>
        <v>1514.4112679517011</v>
      </c>
      <c r="B922">
        <v>901</v>
      </c>
      <c r="C922">
        <v>99.161041260000005</v>
      </c>
      <c r="D922">
        <v>901</v>
      </c>
      <c r="E922">
        <v>110.348587036</v>
      </c>
      <c r="F922">
        <v>901</v>
      </c>
      <c r="G922">
        <v>84.863121032999999</v>
      </c>
      <c r="H922">
        <v>901</v>
      </c>
      <c r="I922">
        <v>90.625</v>
      </c>
      <c r="K922">
        <f t="shared" si="52"/>
        <v>19.723587035999998</v>
      </c>
      <c r="L922">
        <v>901</v>
      </c>
      <c r="M922">
        <v>198</v>
      </c>
      <c r="N922">
        <v>901</v>
      </c>
      <c r="O922">
        <v>57</v>
      </c>
      <c r="P922">
        <f t="shared" si="50"/>
        <v>98.838958739999995</v>
      </c>
    </row>
    <row r="923" spans="1:16">
      <c r="A923">
        <f t="shared" si="51"/>
        <v>1515.3373625887175</v>
      </c>
      <c r="B923">
        <v>902</v>
      </c>
      <c r="C923">
        <v>95.526748656999999</v>
      </c>
      <c r="D923">
        <v>902</v>
      </c>
      <c r="E923">
        <v>114.174621582</v>
      </c>
      <c r="F923">
        <v>902</v>
      </c>
      <c r="G923">
        <v>84.735015868999994</v>
      </c>
      <c r="H923">
        <v>902</v>
      </c>
      <c r="I923">
        <v>91.094009399000001</v>
      </c>
      <c r="K923">
        <f t="shared" si="52"/>
        <v>23.080612183</v>
      </c>
      <c r="L923">
        <v>902</v>
      </c>
      <c r="M923">
        <v>198</v>
      </c>
      <c r="N923">
        <v>902</v>
      </c>
      <c r="O923">
        <v>57.210426331000001</v>
      </c>
      <c r="P923">
        <f t="shared" si="50"/>
        <v>102.473251343</v>
      </c>
    </row>
    <row r="924" spans="1:16">
      <c r="A924">
        <f t="shared" si="51"/>
        <v>1516.2634572257339</v>
      </c>
      <c r="B924">
        <v>903</v>
      </c>
      <c r="C924">
        <v>92.757316588999998</v>
      </c>
      <c r="D924">
        <v>903</v>
      </c>
      <c r="E924">
        <v>113.737449646</v>
      </c>
      <c r="F924">
        <v>903</v>
      </c>
      <c r="G924">
        <v>85.314712524000001</v>
      </c>
      <c r="H924">
        <v>903</v>
      </c>
      <c r="I924">
        <v>89.778457642000006</v>
      </c>
      <c r="K924">
        <f t="shared" si="52"/>
        <v>23.958992003999995</v>
      </c>
      <c r="L924">
        <v>903</v>
      </c>
      <c r="M924">
        <v>197.812042236</v>
      </c>
      <c r="N924">
        <v>903</v>
      </c>
      <c r="O924">
        <v>57.910324097</v>
      </c>
      <c r="P924">
        <f t="shared" si="50"/>
        <v>105.054725647</v>
      </c>
    </row>
    <row r="925" spans="1:16">
      <c r="A925">
        <f t="shared" si="51"/>
        <v>1517.1895518627502</v>
      </c>
      <c r="B925">
        <v>904</v>
      </c>
      <c r="C925">
        <v>92.715179442999997</v>
      </c>
      <c r="D925">
        <v>904</v>
      </c>
      <c r="E925">
        <v>111.47915649399999</v>
      </c>
      <c r="F925">
        <v>904</v>
      </c>
      <c r="G925">
        <v>86</v>
      </c>
      <c r="H925">
        <v>904</v>
      </c>
      <c r="I925">
        <v>90.205726623999993</v>
      </c>
      <c r="K925">
        <f t="shared" si="52"/>
        <v>21.273429870000001</v>
      </c>
      <c r="L925">
        <v>904</v>
      </c>
      <c r="M925">
        <v>197.10581970199999</v>
      </c>
      <c r="N925">
        <v>904</v>
      </c>
      <c r="O925">
        <v>58</v>
      </c>
      <c r="P925">
        <f t="shared" si="50"/>
        <v>104.39064025899999</v>
      </c>
    </row>
    <row r="926" spans="1:16">
      <c r="A926">
        <f t="shared" si="51"/>
        <v>1518.1156464997666</v>
      </c>
      <c r="B926">
        <v>905</v>
      </c>
      <c r="C926">
        <v>93.542381286999998</v>
      </c>
      <c r="D926">
        <v>905</v>
      </c>
      <c r="E926">
        <v>109.077987671</v>
      </c>
      <c r="F926">
        <v>905</v>
      </c>
      <c r="G926">
        <v>85.919403075999995</v>
      </c>
      <c r="H926">
        <v>905</v>
      </c>
      <c r="I926">
        <v>89.573928832999997</v>
      </c>
      <c r="K926">
        <f t="shared" si="52"/>
        <v>19.504058838000006</v>
      </c>
      <c r="L926">
        <v>905</v>
      </c>
      <c r="M926">
        <v>197</v>
      </c>
      <c r="N926">
        <v>905</v>
      </c>
      <c r="O926">
        <v>58</v>
      </c>
      <c r="P926">
        <f t="shared" si="50"/>
        <v>103.457618713</v>
      </c>
    </row>
    <row r="927" spans="1:16">
      <c r="A927">
        <f t="shared" si="51"/>
        <v>1519.0417411367828</v>
      </c>
      <c r="B927">
        <v>906</v>
      </c>
      <c r="C927">
        <v>96.220787048000005</v>
      </c>
      <c r="D927">
        <v>906</v>
      </c>
      <c r="E927">
        <v>109.939796448</v>
      </c>
      <c r="F927">
        <v>906</v>
      </c>
      <c r="G927">
        <v>85.987579346000004</v>
      </c>
      <c r="H927">
        <v>906</v>
      </c>
      <c r="I927">
        <v>88.081245421999995</v>
      </c>
      <c r="K927">
        <f t="shared" si="52"/>
        <v>21.858551026000001</v>
      </c>
      <c r="L927">
        <v>906</v>
      </c>
      <c r="M927">
        <v>197</v>
      </c>
      <c r="N927">
        <v>906</v>
      </c>
      <c r="O927">
        <v>58</v>
      </c>
      <c r="P927">
        <f t="shared" si="50"/>
        <v>100.77921295199999</v>
      </c>
    </row>
    <row r="928" spans="1:16">
      <c r="A928">
        <f t="shared" si="51"/>
        <v>1519.9678357737992</v>
      </c>
      <c r="B928">
        <v>907</v>
      </c>
      <c r="C928">
        <v>93.712394713999998</v>
      </c>
      <c r="D928">
        <v>907</v>
      </c>
      <c r="E928">
        <v>112.101394653</v>
      </c>
      <c r="F928">
        <v>907</v>
      </c>
      <c r="G928">
        <v>85.324790954999997</v>
      </c>
      <c r="H928">
        <v>907</v>
      </c>
      <c r="I928">
        <v>88.736633300999998</v>
      </c>
      <c r="K928">
        <f t="shared" si="52"/>
        <v>23.364761352000002</v>
      </c>
      <c r="L928">
        <v>907</v>
      </c>
      <c r="M928">
        <v>197</v>
      </c>
      <c r="N928">
        <v>907</v>
      </c>
      <c r="O928">
        <v>58</v>
      </c>
      <c r="P928">
        <f t="shared" si="50"/>
        <v>103.287605286</v>
      </c>
    </row>
    <row r="929" spans="1:16">
      <c r="A929">
        <f t="shared" si="51"/>
        <v>1520.8939304108153</v>
      </c>
      <c r="B929">
        <v>908</v>
      </c>
      <c r="C929">
        <v>91.840934752999999</v>
      </c>
      <c r="D929">
        <v>908</v>
      </c>
      <c r="E929">
        <v>109.57291412399999</v>
      </c>
      <c r="F929">
        <v>908</v>
      </c>
      <c r="G929">
        <v>83.947784424000005</v>
      </c>
      <c r="H929">
        <v>908</v>
      </c>
      <c r="I929">
        <v>90.553840636999993</v>
      </c>
      <c r="K929">
        <f t="shared" si="52"/>
        <v>19.019073487</v>
      </c>
      <c r="L929">
        <v>908</v>
      </c>
      <c r="M929">
        <v>197</v>
      </c>
      <c r="N929">
        <v>908</v>
      </c>
      <c r="O929">
        <v>58</v>
      </c>
      <c r="P929">
        <f t="shared" si="50"/>
        <v>105.159065247</v>
      </c>
    </row>
    <row r="930" spans="1:16">
      <c r="A930">
        <f t="shared" si="51"/>
        <v>1521.8200250478317</v>
      </c>
      <c r="B930">
        <v>909</v>
      </c>
      <c r="C930">
        <v>91.826774596999996</v>
      </c>
      <c r="D930">
        <v>909</v>
      </c>
      <c r="E930">
        <v>107.772819519</v>
      </c>
      <c r="F930">
        <v>909</v>
      </c>
      <c r="G930">
        <v>83.475822449000006</v>
      </c>
      <c r="H930">
        <v>909</v>
      </c>
      <c r="I930">
        <v>89.776283264</v>
      </c>
      <c r="K930">
        <f t="shared" si="52"/>
        <v>17.996536254999995</v>
      </c>
      <c r="L930">
        <v>909</v>
      </c>
      <c r="M930">
        <v>197</v>
      </c>
      <c r="N930">
        <v>909</v>
      </c>
      <c r="O930">
        <v>58</v>
      </c>
      <c r="P930">
        <f t="shared" si="50"/>
        <v>105.173225403</v>
      </c>
    </row>
    <row r="931" spans="1:16">
      <c r="A931">
        <f t="shared" si="51"/>
        <v>1522.7461196848481</v>
      </c>
      <c r="B931">
        <v>910</v>
      </c>
      <c r="C931">
        <v>90.095855713000006</v>
      </c>
      <c r="D931">
        <v>910</v>
      </c>
      <c r="E931">
        <v>110.091171265</v>
      </c>
      <c r="F931">
        <v>910</v>
      </c>
      <c r="G931">
        <v>81.753433228000006</v>
      </c>
      <c r="H931">
        <v>910</v>
      </c>
      <c r="I931">
        <v>88.915367126000007</v>
      </c>
      <c r="K931">
        <f t="shared" si="52"/>
        <v>21.175804138999993</v>
      </c>
      <c r="L931">
        <v>910</v>
      </c>
      <c r="M931">
        <v>197</v>
      </c>
      <c r="N931">
        <v>910</v>
      </c>
      <c r="O931">
        <v>58</v>
      </c>
      <c r="P931">
        <f t="shared" si="50"/>
        <v>106.90414428699999</v>
      </c>
    </row>
    <row r="932" spans="1:16">
      <c r="A932">
        <f t="shared" si="51"/>
        <v>1523.6722143218644</v>
      </c>
      <c r="B932">
        <v>911</v>
      </c>
      <c r="C932">
        <v>87.926078795999999</v>
      </c>
      <c r="D932">
        <v>911</v>
      </c>
      <c r="E932">
        <v>110.65196991000001</v>
      </c>
      <c r="F932">
        <v>911</v>
      </c>
      <c r="G932">
        <v>80.574768066000004</v>
      </c>
      <c r="H932">
        <v>911</v>
      </c>
      <c r="I932">
        <v>90.828308105000005</v>
      </c>
      <c r="K932">
        <f t="shared" si="52"/>
        <v>19.823661805</v>
      </c>
      <c r="L932">
        <v>911</v>
      </c>
      <c r="M932">
        <v>197</v>
      </c>
      <c r="N932">
        <v>911</v>
      </c>
      <c r="O932">
        <v>58</v>
      </c>
      <c r="P932">
        <f t="shared" si="50"/>
        <v>109.073921204</v>
      </c>
    </row>
    <row r="933" spans="1:16">
      <c r="A933">
        <f t="shared" si="51"/>
        <v>1524.5983089588808</v>
      </c>
      <c r="B933">
        <v>912</v>
      </c>
      <c r="C933">
        <v>88.294921875</v>
      </c>
      <c r="D933">
        <v>912</v>
      </c>
      <c r="E933">
        <v>108.829780579</v>
      </c>
      <c r="F933">
        <v>912</v>
      </c>
      <c r="G933">
        <v>81.015899657999995</v>
      </c>
      <c r="H933">
        <v>912</v>
      </c>
      <c r="I933">
        <v>86.396728515999996</v>
      </c>
      <c r="K933">
        <f t="shared" si="52"/>
        <v>22.433052063000005</v>
      </c>
      <c r="L933">
        <v>912</v>
      </c>
      <c r="M933">
        <v>197</v>
      </c>
      <c r="N933">
        <v>912</v>
      </c>
      <c r="O933">
        <v>58.779544829999999</v>
      </c>
      <c r="P933">
        <f t="shared" si="50"/>
        <v>108.705078125</v>
      </c>
    </row>
    <row r="934" spans="1:16">
      <c r="A934">
        <f t="shared" si="51"/>
        <v>1525.5244035958972</v>
      </c>
      <c r="B934">
        <v>913</v>
      </c>
      <c r="C934">
        <v>91.355972289999997</v>
      </c>
      <c r="D934">
        <v>913</v>
      </c>
      <c r="E934">
        <v>111.702819824</v>
      </c>
      <c r="F934">
        <v>913</v>
      </c>
      <c r="G934">
        <v>82.609428406000006</v>
      </c>
      <c r="H934">
        <v>913</v>
      </c>
      <c r="I934">
        <v>86.549476623999993</v>
      </c>
      <c r="K934">
        <f t="shared" si="52"/>
        <v>25.153343200000009</v>
      </c>
      <c r="L934">
        <v>913</v>
      </c>
      <c r="M934">
        <v>196.26445007300001</v>
      </c>
      <c r="N934">
        <v>913</v>
      </c>
      <c r="O934">
        <v>59</v>
      </c>
      <c r="P934">
        <f t="shared" si="50"/>
        <v>104.90847778300001</v>
      </c>
    </row>
    <row r="935" spans="1:16">
      <c r="A935">
        <f t="shared" si="51"/>
        <v>1526.4504982329133</v>
      </c>
      <c r="B935">
        <v>914</v>
      </c>
      <c r="C935">
        <v>94.179183960000003</v>
      </c>
      <c r="D935">
        <v>914</v>
      </c>
      <c r="E935">
        <v>111.483886719</v>
      </c>
      <c r="F935">
        <v>914</v>
      </c>
      <c r="G935">
        <v>83.863883971999996</v>
      </c>
      <c r="H935">
        <v>914</v>
      </c>
      <c r="I935">
        <v>87.292526245000005</v>
      </c>
      <c r="K935">
        <f t="shared" si="52"/>
        <v>24.191360473999993</v>
      </c>
      <c r="L935">
        <v>914</v>
      </c>
      <c r="M935">
        <v>196</v>
      </c>
      <c r="N935">
        <v>914</v>
      </c>
      <c r="O935">
        <v>59</v>
      </c>
      <c r="P935">
        <f t="shared" si="50"/>
        <v>101.82081604</v>
      </c>
    </row>
    <row r="936" spans="1:16">
      <c r="A936">
        <f t="shared" si="51"/>
        <v>1527.3765928699295</v>
      </c>
      <c r="B936">
        <v>915</v>
      </c>
      <c r="C936">
        <v>91.845077515</v>
      </c>
      <c r="D936">
        <v>915</v>
      </c>
      <c r="E936">
        <v>111.98506164600001</v>
      </c>
      <c r="F936">
        <v>915</v>
      </c>
      <c r="G936">
        <v>83.424247742000006</v>
      </c>
      <c r="H936">
        <v>915</v>
      </c>
      <c r="I936">
        <v>87.296463012999993</v>
      </c>
      <c r="K936">
        <f t="shared" si="52"/>
        <v>24.688598633000012</v>
      </c>
      <c r="L936">
        <v>915</v>
      </c>
      <c r="M936">
        <v>196</v>
      </c>
      <c r="N936">
        <v>915</v>
      </c>
      <c r="O936">
        <v>59</v>
      </c>
      <c r="P936">
        <f t="shared" si="50"/>
        <v>104.154922485</v>
      </c>
    </row>
    <row r="937" spans="1:16">
      <c r="A937">
        <f t="shared" si="51"/>
        <v>1528.3026875069459</v>
      </c>
      <c r="B937">
        <v>916</v>
      </c>
      <c r="C937">
        <v>91.248947143999999</v>
      </c>
      <c r="D937">
        <v>916</v>
      </c>
      <c r="E937">
        <v>112.195213318</v>
      </c>
      <c r="F937">
        <v>916</v>
      </c>
      <c r="G937">
        <v>81.954795837000006</v>
      </c>
      <c r="H937">
        <v>916</v>
      </c>
      <c r="I937">
        <v>88.055412292</v>
      </c>
      <c r="K937">
        <f t="shared" si="52"/>
        <v>24.139801026000001</v>
      </c>
      <c r="L937">
        <v>916</v>
      </c>
      <c r="M937">
        <v>196</v>
      </c>
      <c r="N937">
        <v>916</v>
      </c>
      <c r="O937">
        <v>59</v>
      </c>
      <c r="P937">
        <f t="shared" si="50"/>
        <v>104.751052856</v>
      </c>
    </row>
    <row r="938" spans="1:16">
      <c r="A938">
        <f t="shared" si="51"/>
        <v>1529.2287821439622</v>
      </c>
      <c r="B938">
        <v>917</v>
      </c>
      <c r="C938">
        <v>92.170852660999998</v>
      </c>
      <c r="D938">
        <v>917</v>
      </c>
      <c r="E938">
        <v>110.565246582</v>
      </c>
      <c r="F938">
        <v>917</v>
      </c>
      <c r="G938">
        <v>81.605178832999997</v>
      </c>
      <c r="H938">
        <v>917</v>
      </c>
      <c r="I938">
        <v>87.762985228999995</v>
      </c>
      <c r="K938">
        <f t="shared" si="52"/>
        <v>22.802261353000006</v>
      </c>
      <c r="L938">
        <v>917</v>
      </c>
      <c r="M938">
        <v>196</v>
      </c>
      <c r="N938">
        <v>917</v>
      </c>
      <c r="O938">
        <v>59</v>
      </c>
      <c r="P938">
        <f t="shared" si="50"/>
        <v>103.829147339</v>
      </c>
    </row>
    <row r="939" spans="1:16">
      <c r="A939">
        <f t="shared" si="51"/>
        <v>1530.1548767809786</v>
      </c>
      <c r="B939">
        <v>918</v>
      </c>
      <c r="C939">
        <v>90.602447510000005</v>
      </c>
      <c r="D939">
        <v>918</v>
      </c>
      <c r="E939">
        <v>110.532203674</v>
      </c>
      <c r="F939">
        <v>918</v>
      </c>
      <c r="G939">
        <v>81.936912536999998</v>
      </c>
      <c r="H939">
        <v>918</v>
      </c>
      <c r="I939">
        <v>87.111663817999997</v>
      </c>
      <c r="K939">
        <f t="shared" si="52"/>
        <v>23.420539856000005</v>
      </c>
      <c r="L939">
        <v>918</v>
      </c>
      <c r="M939">
        <v>196</v>
      </c>
      <c r="N939">
        <v>918</v>
      </c>
      <c r="O939">
        <v>59</v>
      </c>
      <c r="P939">
        <f t="shared" si="50"/>
        <v>105.39755249</v>
      </c>
    </row>
    <row r="940" spans="1:16">
      <c r="A940">
        <f t="shared" si="51"/>
        <v>1531.080971417995</v>
      </c>
      <c r="B940">
        <v>919</v>
      </c>
      <c r="C940">
        <v>91.304199218999997</v>
      </c>
      <c r="D940">
        <v>919</v>
      </c>
      <c r="E940">
        <v>112.199317932</v>
      </c>
      <c r="F940">
        <v>919</v>
      </c>
      <c r="G940">
        <v>82.470443725999999</v>
      </c>
      <c r="H940">
        <v>919</v>
      </c>
      <c r="I940">
        <v>86.501518250000004</v>
      </c>
      <c r="K940">
        <f t="shared" si="52"/>
        <v>25.697799681999996</v>
      </c>
      <c r="L940">
        <v>919</v>
      </c>
      <c r="M940">
        <v>195.814254761</v>
      </c>
      <c r="N940">
        <v>919</v>
      </c>
      <c r="O940">
        <v>59.301044464</v>
      </c>
      <c r="P940">
        <f t="shared" si="50"/>
        <v>104.510055542</v>
      </c>
    </row>
    <row r="941" spans="1:16">
      <c r="A941">
        <f t="shared" si="51"/>
        <v>1532.0070660550114</v>
      </c>
      <c r="B941">
        <v>920</v>
      </c>
      <c r="C941">
        <v>94.853279114000003</v>
      </c>
      <c r="D941">
        <v>920</v>
      </c>
      <c r="E941">
        <v>110.16358947800001</v>
      </c>
      <c r="F941">
        <v>920</v>
      </c>
      <c r="G941">
        <v>83.333335876000007</v>
      </c>
      <c r="H941">
        <v>920</v>
      </c>
      <c r="I941">
        <v>86.727798461999996</v>
      </c>
      <c r="K941">
        <f t="shared" si="52"/>
        <v>23.43579101600001</v>
      </c>
      <c r="L941">
        <v>920</v>
      </c>
      <c r="M941">
        <v>194.002975464</v>
      </c>
      <c r="N941">
        <v>920</v>
      </c>
      <c r="O941">
        <v>61</v>
      </c>
      <c r="P941">
        <f t="shared" si="50"/>
        <v>99.149696349999999</v>
      </c>
    </row>
    <row r="942" spans="1:16">
      <c r="A942">
        <f t="shared" si="51"/>
        <v>1532.9331606920275</v>
      </c>
      <c r="B942">
        <v>921</v>
      </c>
      <c r="C942">
        <v>94.530929564999994</v>
      </c>
      <c r="D942">
        <v>921</v>
      </c>
      <c r="E942">
        <v>108.41066741900001</v>
      </c>
      <c r="F942">
        <v>921</v>
      </c>
      <c r="G942">
        <v>83.333335876000007</v>
      </c>
      <c r="H942">
        <v>921</v>
      </c>
      <c r="I942">
        <v>87.883255004999995</v>
      </c>
      <c r="K942">
        <f t="shared" si="52"/>
        <v>20.527412414000011</v>
      </c>
      <c r="L942">
        <v>921</v>
      </c>
      <c r="M942">
        <v>194</v>
      </c>
      <c r="N942">
        <v>921</v>
      </c>
      <c r="O942">
        <v>61</v>
      </c>
      <c r="P942">
        <f t="shared" si="50"/>
        <v>99.469070435000006</v>
      </c>
    </row>
    <row r="943" spans="1:16">
      <c r="A943">
        <f t="shared" si="51"/>
        <v>1533.8592553290439</v>
      </c>
      <c r="B943">
        <v>922</v>
      </c>
      <c r="C943">
        <v>90.959228515999996</v>
      </c>
      <c r="D943">
        <v>922</v>
      </c>
      <c r="E943">
        <v>111.15813446</v>
      </c>
      <c r="F943">
        <v>922</v>
      </c>
      <c r="G943">
        <v>83.599128723000007</v>
      </c>
      <c r="H943">
        <v>922</v>
      </c>
      <c r="I943">
        <v>86.750984192000004</v>
      </c>
      <c r="K943">
        <f t="shared" si="52"/>
        <v>24.407150267999995</v>
      </c>
      <c r="L943">
        <v>922</v>
      </c>
      <c r="M943">
        <v>194</v>
      </c>
      <c r="N943">
        <v>922</v>
      </c>
      <c r="O943">
        <v>61</v>
      </c>
      <c r="P943">
        <f t="shared" si="50"/>
        <v>103.040771484</v>
      </c>
    </row>
    <row r="944" spans="1:16">
      <c r="A944">
        <f t="shared" si="51"/>
        <v>1534.78534996606</v>
      </c>
      <c r="B944">
        <v>923</v>
      </c>
      <c r="C944">
        <v>87.173004149999997</v>
      </c>
      <c r="D944">
        <v>923</v>
      </c>
      <c r="E944">
        <v>109.807991028</v>
      </c>
      <c r="F944">
        <v>923</v>
      </c>
      <c r="G944">
        <v>83.493789672999995</v>
      </c>
      <c r="H944">
        <v>923</v>
      </c>
      <c r="I944">
        <v>85.333335876000007</v>
      </c>
      <c r="K944">
        <f t="shared" si="52"/>
        <v>24.474655151999997</v>
      </c>
      <c r="L944">
        <v>923</v>
      </c>
      <c r="M944">
        <v>194</v>
      </c>
      <c r="N944">
        <v>923</v>
      </c>
      <c r="O944">
        <v>61</v>
      </c>
      <c r="P944">
        <f t="shared" si="50"/>
        <v>106.82699585</v>
      </c>
    </row>
    <row r="945" spans="1:16">
      <c r="A945">
        <f t="shared" si="51"/>
        <v>1535.7114446030764</v>
      </c>
      <c r="B945">
        <v>924</v>
      </c>
      <c r="C945">
        <v>89.342285156000003</v>
      </c>
      <c r="D945">
        <v>924</v>
      </c>
      <c r="E945">
        <v>108.63213348399999</v>
      </c>
      <c r="F945">
        <v>924</v>
      </c>
      <c r="G945">
        <v>83.290336608999993</v>
      </c>
      <c r="H945">
        <v>924</v>
      </c>
      <c r="I945">
        <v>85.277900696000003</v>
      </c>
      <c r="K945">
        <f t="shared" si="52"/>
        <v>23.35423278799999</v>
      </c>
      <c r="L945">
        <v>924</v>
      </c>
      <c r="M945">
        <v>194</v>
      </c>
      <c r="N945">
        <v>924</v>
      </c>
      <c r="O945">
        <v>61</v>
      </c>
      <c r="P945">
        <f t="shared" si="50"/>
        <v>104.657714844</v>
      </c>
    </row>
    <row r="946" spans="1:16">
      <c r="A946">
        <f t="shared" si="51"/>
        <v>1536.6375392400928</v>
      </c>
      <c r="B946">
        <v>925</v>
      </c>
      <c r="C946">
        <v>90.923812866000006</v>
      </c>
      <c r="D946">
        <v>925</v>
      </c>
      <c r="E946">
        <v>107.525115967</v>
      </c>
      <c r="F946">
        <v>925</v>
      </c>
      <c r="G946">
        <v>82.551887511999993</v>
      </c>
      <c r="H946">
        <v>925</v>
      </c>
      <c r="I946">
        <v>86.333335876000007</v>
      </c>
      <c r="K946">
        <f t="shared" si="52"/>
        <v>21.191780090999998</v>
      </c>
      <c r="L946">
        <v>925</v>
      </c>
      <c r="M946">
        <v>194</v>
      </c>
      <c r="N946">
        <v>925</v>
      </c>
      <c r="O946">
        <v>61</v>
      </c>
      <c r="P946">
        <f t="shared" si="50"/>
        <v>103.07618713399999</v>
      </c>
    </row>
    <row r="947" spans="1:16">
      <c r="A947">
        <f t="shared" si="51"/>
        <v>1537.5636338771092</v>
      </c>
      <c r="B947">
        <v>926</v>
      </c>
      <c r="C947">
        <v>89.177749633999994</v>
      </c>
      <c r="D947">
        <v>926</v>
      </c>
      <c r="E947">
        <v>107.626068115</v>
      </c>
      <c r="F947">
        <v>926</v>
      </c>
      <c r="G947">
        <v>81.920402526999993</v>
      </c>
      <c r="H947">
        <v>926</v>
      </c>
      <c r="I947">
        <v>86.33921814</v>
      </c>
      <c r="K947">
        <f t="shared" si="52"/>
        <v>21.286849974999996</v>
      </c>
      <c r="L947">
        <v>926</v>
      </c>
      <c r="M947">
        <v>194</v>
      </c>
      <c r="N947">
        <v>926</v>
      </c>
      <c r="O947">
        <v>61</v>
      </c>
      <c r="P947">
        <f t="shared" si="50"/>
        <v>104.82225036600001</v>
      </c>
    </row>
    <row r="948" spans="1:16">
      <c r="A948">
        <f t="shared" si="51"/>
        <v>1538.4897285141255</v>
      </c>
      <c r="B948">
        <v>927</v>
      </c>
      <c r="C948">
        <v>87.921966553000004</v>
      </c>
      <c r="D948">
        <v>927</v>
      </c>
      <c r="E948">
        <v>109.00911712600001</v>
      </c>
      <c r="F948">
        <v>927</v>
      </c>
      <c r="G948">
        <v>81.333335876000007</v>
      </c>
      <c r="H948">
        <v>927</v>
      </c>
      <c r="I948">
        <v>85.634803771999998</v>
      </c>
      <c r="K948">
        <f t="shared" si="52"/>
        <v>23.374313354000009</v>
      </c>
      <c r="L948">
        <v>927</v>
      </c>
      <c r="M948">
        <v>194</v>
      </c>
      <c r="N948">
        <v>927</v>
      </c>
      <c r="O948">
        <v>61</v>
      </c>
      <c r="P948">
        <f t="shared" si="50"/>
        <v>106.078033447</v>
      </c>
    </row>
    <row r="949" spans="1:16">
      <c r="A949">
        <f t="shared" si="51"/>
        <v>1539.4158231511419</v>
      </c>
      <c r="B949">
        <v>928</v>
      </c>
      <c r="C949">
        <v>86.897880553999997</v>
      </c>
      <c r="D949">
        <v>928</v>
      </c>
      <c r="E949">
        <v>110.923400879</v>
      </c>
      <c r="F949">
        <v>928</v>
      </c>
      <c r="G949">
        <v>81.069168090999995</v>
      </c>
      <c r="H949">
        <v>928</v>
      </c>
      <c r="I949">
        <v>84.109802246000001</v>
      </c>
      <c r="K949">
        <f t="shared" si="52"/>
        <v>26.813598632999998</v>
      </c>
      <c r="L949">
        <v>928</v>
      </c>
      <c r="M949">
        <v>194</v>
      </c>
      <c r="N949">
        <v>928</v>
      </c>
      <c r="O949">
        <v>61</v>
      </c>
      <c r="P949">
        <f t="shared" si="50"/>
        <v>107.102119446</v>
      </c>
    </row>
    <row r="950" spans="1:16">
      <c r="A950">
        <f t="shared" si="51"/>
        <v>1540.3419177881581</v>
      </c>
      <c r="B950">
        <v>929</v>
      </c>
      <c r="C950">
        <v>86.139343261999997</v>
      </c>
      <c r="D950">
        <v>929</v>
      </c>
      <c r="E950">
        <v>109.764228821</v>
      </c>
      <c r="F950">
        <v>929</v>
      </c>
      <c r="G950">
        <v>81.150024414000001</v>
      </c>
      <c r="H950">
        <v>929</v>
      </c>
      <c r="I950">
        <v>84.686599731000001</v>
      </c>
      <c r="K950">
        <f t="shared" si="52"/>
        <v>25.077629090000002</v>
      </c>
      <c r="L950">
        <v>929</v>
      </c>
      <c r="M950">
        <v>193.609542847</v>
      </c>
      <c r="N950">
        <v>929</v>
      </c>
      <c r="O950">
        <v>61.390460967999999</v>
      </c>
      <c r="P950">
        <f t="shared" si="50"/>
        <v>107.470199585</v>
      </c>
    </row>
    <row r="951" spans="1:16">
      <c r="A951">
        <f t="shared" si="51"/>
        <v>1541.2680124251744</v>
      </c>
      <c r="B951">
        <v>930</v>
      </c>
      <c r="C951">
        <v>88.538429260000001</v>
      </c>
      <c r="D951">
        <v>930</v>
      </c>
      <c r="E951">
        <v>106.276977539</v>
      </c>
      <c r="F951">
        <v>930</v>
      </c>
      <c r="G951">
        <v>81.238449097</v>
      </c>
      <c r="H951">
        <v>930</v>
      </c>
      <c r="I951">
        <v>84.859291076999995</v>
      </c>
      <c r="K951">
        <f t="shared" si="52"/>
        <v>21.417686462000006</v>
      </c>
      <c r="L951">
        <v>930</v>
      </c>
      <c r="M951">
        <v>193</v>
      </c>
      <c r="N951">
        <v>930</v>
      </c>
      <c r="O951">
        <v>62</v>
      </c>
      <c r="P951">
        <f t="shared" si="50"/>
        <v>104.46157074</v>
      </c>
    </row>
    <row r="952" spans="1:16">
      <c r="A952">
        <f t="shared" si="51"/>
        <v>1542.1941070621906</v>
      </c>
      <c r="B952">
        <v>931</v>
      </c>
      <c r="C952">
        <v>91.743034363000007</v>
      </c>
      <c r="D952">
        <v>931</v>
      </c>
      <c r="E952">
        <v>107.942199707</v>
      </c>
      <c r="F952">
        <v>931</v>
      </c>
      <c r="G952">
        <v>81.083953856999997</v>
      </c>
      <c r="H952">
        <v>931</v>
      </c>
      <c r="I952">
        <v>85.333335876000007</v>
      </c>
      <c r="K952">
        <f t="shared" si="52"/>
        <v>22.608863830999994</v>
      </c>
      <c r="L952">
        <v>931</v>
      </c>
      <c r="M952">
        <v>193</v>
      </c>
      <c r="N952">
        <v>931</v>
      </c>
      <c r="O952">
        <v>62</v>
      </c>
      <c r="P952">
        <f t="shared" si="50"/>
        <v>101.25696563699999</v>
      </c>
    </row>
    <row r="953" spans="1:16">
      <c r="A953">
        <f t="shared" si="51"/>
        <v>1543.120201699207</v>
      </c>
      <c r="B953">
        <v>932</v>
      </c>
      <c r="C953">
        <v>88.991477966000005</v>
      </c>
      <c r="D953">
        <v>932</v>
      </c>
      <c r="E953">
        <v>111.590026855</v>
      </c>
      <c r="F953">
        <v>932</v>
      </c>
      <c r="G953">
        <v>80.700942992999998</v>
      </c>
      <c r="H953">
        <v>932</v>
      </c>
      <c r="I953">
        <v>84.939216614000003</v>
      </c>
      <c r="K953">
        <f t="shared" si="52"/>
        <v>26.650810241000002</v>
      </c>
      <c r="L953">
        <v>932</v>
      </c>
      <c r="M953">
        <v>193</v>
      </c>
      <c r="N953">
        <v>932</v>
      </c>
      <c r="O953">
        <v>62</v>
      </c>
      <c r="P953">
        <f t="shared" si="50"/>
        <v>104.00852203399999</v>
      </c>
    </row>
    <row r="954" spans="1:16">
      <c r="A954">
        <f t="shared" si="51"/>
        <v>1544.0462963362233</v>
      </c>
      <c r="B954">
        <v>933</v>
      </c>
      <c r="C954">
        <v>88.481773376000007</v>
      </c>
      <c r="D954">
        <v>933</v>
      </c>
      <c r="E954">
        <v>109.040122986</v>
      </c>
      <c r="F954">
        <v>933</v>
      </c>
      <c r="G954">
        <v>80.899154663000004</v>
      </c>
      <c r="H954">
        <v>933</v>
      </c>
      <c r="I954">
        <v>83.732566833000007</v>
      </c>
      <c r="K954">
        <f t="shared" si="52"/>
        <v>25.307556152999993</v>
      </c>
      <c r="L954">
        <v>933</v>
      </c>
      <c r="M954">
        <v>193</v>
      </c>
      <c r="N954">
        <v>933</v>
      </c>
      <c r="O954">
        <v>62</v>
      </c>
      <c r="P954">
        <f t="shared" si="50"/>
        <v>104.51822662399999</v>
      </c>
    </row>
    <row r="955" spans="1:16">
      <c r="A955">
        <f t="shared" si="51"/>
        <v>1544.9723909732397</v>
      </c>
      <c r="B955">
        <v>934</v>
      </c>
      <c r="C955">
        <v>91.181648253999995</v>
      </c>
      <c r="D955">
        <v>934</v>
      </c>
      <c r="E955">
        <v>109.91206359900001</v>
      </c>
      <c r="F955">
        <v>934</v>
      </c>
      <c r="G955">
        <v>81.143135071000003</v>
      </c>
      <c r="H955">
        <v>934</v>
      </c>
      <c r="I955">
        <v>82.596641540999997</v>
      </c>
      <c r="K955">
        <f t="shared" si="52"/>
        <v>27.31542205800001</v>
      </c>
      <c r="L955">
        <v>934</v>
      </c>
      <c r="M955">
        <v>193</v>
      </c>
      <c r="N955">
        <v>934</v>
      </c>
      <c r="O955">
        <v>62</v>
      </c>
      <c r="P955">
        <f t="shared" si="50"/>
        <v>101.818351746</v>
      </c>
    </row>
    <row r="956" spans="1:16">
      <c r="A956">
        <f t="shared" si="51"/>
        <v>1545.8984856102561</v>
      </c>
      <c r="B956">
        <v>935</v>
      </c>
      <c r="C956">
        <v>88.673789978000002</v>
      </c>
      <c r="D956">
        <v>935</v>
      </c>
      <c r="E956">
        <v>105.187606812</v>
      </c>
      <c r="F956">
        <v>935</v>
      </c>
      <c r="G956">
        <v>80.176925659000005</v>
      </c>
      <c r="H956">
        <v>935</v>
      </c>
      <c r="I956">
        <v>82.427085876000007</v>
      </c>
      <c r="K956">
        <f t="shared" si="52"/>
        <v>22.760520935999992</v>
      </c>
      <c r="L956">
        <v>935</v>
      </c>
      <c r="M956">
        <v>193</v>
      </c>
      <c r="N956">
        <v>935</v>
      </c>
      <c r="O956">
        <v>62</v>
      </c>
      <c r="P956">
        <f t="shared" si="50"/>
        <v>104.326210022</v>
      </c>
    </row>
    <row r="957" spans="1:16">
      <c r="A957">
        <f t="shared" si="51"/>
        <v>1546.8245802472723</v>
      </c>
      <c r="B957">
        <v>936</v>
      </c>
      <c r="C957">
        <v>88.641021729000002</v>
      </c>
      <c r="D957">
        <v>936</v>
      </c>
      <c r="E957">
        <v>104.554512024</v>
      </c>
      <c r="F957">
        <v>936</v>
      </c>
      <c r="G957">
        <v>78.906677246000001</v>
      </c>
      <c r="H957">
        <v>936</v>
      </c>
      <c r="I957">
        <v>83.617721558</v>
      </c>
      <c r="K957">
        <f t="shared" si="52"/>
        <v>20.936790466000005</v>
      </c>
      <c r="L957">
        <v>936</v>
      </c>
      <c r="M957">
        <v>193</v>
      </c>
      <c r="N957">
        <v>936</v>
      </c>
      <c r="O957">
        <v>62</v>
      </c>
      <c r="P957">
        <f t="shared" si="50"/>
        <v>104.358978271</v>
      </c>
    </row>
    <row r="958" spans="1:16">
      <c r="A958">
        <f t="shared" si="51"/>
        <v>1547.7506748842886</v>
      </c>
      <c r="B958">
        <v>937</v>
      </c>
      <c r="C958">
        <v>88.681953429999993</v>
      </c>
      <c r="D958">
        <v>937</v>
      </c>
      <c r="E958">
        <v>107.86021423299999</v>
      </c>
      <c r="F958">
        <v>937</v>
      </c>
      <c r="G958">
        <v>78.861839294000006</v>
      </c>
      <c r="H958">
        <v>937</v>
      </c>
      <c r="I958">
        <v>85.449172974000007</v>
      </c>
      <c r="K958">
        <f t="shared" si="52"/>
        <v>22.411041258999987</v>
      </c>
      <c r="L958">
        <v>937</v>
      </c>
      <c r="M958">
        <v>193</v>
      </c>
      <c r="N958">
        <v>937</v>
      </c>
      <c r="O958">
        <v>62</v>
      </c>
      <c r="P958">
        <f t="shared" si="50"/>
        <v>104.31804657000001</v>
      </c>
    </row>
    <row r="959" spans="1:16">
      <c r="A959">
        <f t="shared" si="51"/>
        <v>1548.6767695213048</v>
      </c>
      <c r="B959">
        <v>938</v>
      </c>
      <c r="C959">
        <v>89.396965026999993</v>
      </c>
      <c r="D959">
        <v>938</v>
      </c>
      <c r="E959">
        <v>108.52620697</v>
      </c>
      <c r="F959">
        <v>938</v>
      </c>
      <c r="G959">
        <v>79.224441528</v>
      </c>
      <c r="H959">
        <v>938</v>
      </c>
      <c r="I959">
        <v>85.085723877000007</v>
      </c>
      <c r="K959">
        <f t="shared" si="52"/>
        <v>23.440483092999997</v>
      </c>
      <c r="L959">
        <v>938</v>
      </c>
      <c r="M959">
        <v>193</v>
      </c>
      <c r="N959">
        <v>938</v>
      </c>
      <c r="O959">
        <v>62</v>
      </c>
      <c r="P959">
        <f t="shared" si="50"/>
        <v>103.60303497300001</v>
      </c>
    </row>
    <row r="960" spans="1:16">
      <c r="A960">
        <f t="shared" si="51"/>
        <v>1549.6028641583212</v>
      </c>
      <c r="B960">
        <v>939</v>
      </c>
      <c r="C960">
        <v>89.785385132000002</v>
      </c>
      <c r="D960">
        <v>939</v>
      </c>
      <c r="E960">
        <v>106.288070679</v>
      </c>
      <c r="F960">
        <v>939</v>
      </c>
      <c r="G960">
        <v>78.822448730000005</v>
      </c>
      <c r="H960">
        <v>939</v>
      </c>
      <c r="I960">
        <v>83.125961304</v>
      </c>
      <c r="K960">
        <f t="shared" si="52"/>
        <v>23.162109375</v>
      </c>
      <c r="L960">
        <v>939</v>
      </c>
      <c r="M960">
        <v>193</v>
      </c>
      <c r="N960">
        <v>939</v>
      </c>
      <c r="O960">
        <v>62</v>
      </c>
      <c r="P960">
        <f t="shared" si="50"/>
        <v>103.214614868</v>
      </c>
    </row>
    <row r="961" spans="1:16">
      <c r="A961">
        <f t="shared" si="51"/>
        <v>1550.5289587953375</v>
      </c>
      <c r="B961">
        <v>940</v>
      </c>
      <c r="C961">
        <v>89.285606384000005</v>
      </c>
      <c r="D961">
        <v>940</v>
      </c>
      <c r="E961">
        <v>106.614082336</v>
      </c>
      <c r="F961">
        <v>940</v>
      </c>
      <c r="G961">
        <v>78.696472168</v>
      </c>
      <c r="H961">
        <v>940</v>
      </c>
      <c r="I961">
        <v>83.592849731000001</v>
      </c>
      <c r="K961">
        <f t="shared" si="52"/>
        <v>23.021232604999994</v>
      </c>
      <c r="L961">
        <v>940</v>
      </c>
      <c r="M961">
        <v>193</v>
      </c>
      <c r="N961">
        <v>940</v>
      </c>
      <c r="O961">
        <v>62</v>
      </c>
      <c r="P961">
        <f t="shared" si="50"/>
        <v>103.714393616</v>
      </c>
    </row>
    <row r="962" spans="1:16">
      <c r="A962">
        <f t="shared" si="51"/>
        <v>1551.4550534323539</v>
      </c>
      <c r="B962">
        <v>941</v>
      </c>
      <c r="C962">
        <v>89.015907287999994</v>
      </c>
      <c r="D962">
        <v>941</v>
      </c>
      <c r="E962">
        <v>107.80854797400001</v>
      </c>
      <c r="F962">
        <v>941</v>
      </c>
      <c r="G962">
        <v>79.360382079999994</v>
      </c>
      <c r="H962">
        <v>941</v>
      </c>
      <c r="I962">
        <v>81.932029724000003</v>
      </c>
      <c r="K962">
        <f t="shared" si="52"/>
        <v>25.876518250000004</v>
      </c>
      <c r="L962">
        <v>941</v>
      </c>
      <c r="M962">
        <v>193</v>
      </c>
      <c r="N962">
        <v>941</v>
      </c>
      <c r="O962">
        <v>62</v>
      </c>
      <c r="P962">
        <f t="shared" si="50"/>
        <v>103.98409271200001</v>
      </c>
    </row>
    <row r="963" spans="1:16">
      <c r="A963">
        <f t="shared" si="51"/>
        <v>1552.3811480693703</v>
      </c>
      <c r="B963">
        <v>942</v>
      </c>
      <c r="C963">
        <v>88.682662964000002</v>
      </c>
      <c r="D963">
        <v>942</v>
      </c>
      <c r="E963">
        <v>106.644340515</v>
      </c>
      <c r="F963">
        <v>942</v>
      </c>
      <c r="G963">
        <v>79.666664123999993</v>
      </c>
      <c r="H963">
        <v>942</v>
      </c>
      <c r="I963">
        <v>80.768203735</v>
      </c>
      <c r="K963">
        <f t="shared" si="52"/>
        <v>25.876136779999996</v>
      </c>
      <c r="L963">
        <v>942</v>
      </c>
      <c r="M963">
        <v>193</v>
      </c>
      <c r="N963">
        <v>942</v>
      </c>
      <c r="O963">
        <v>62</v>
      </c>
      <c r="P963">
        <f t="shared" si="50"/>
        <v>104.317337036</v>
      </c>
    </row>
    <row r="964" spans="1:16">
      <c r="A964">
        <f t="shared" si="51"/>
        <v>1553.3072427063867</v>
      </c>
      <c r="B964">
        <v>943</v>
      </c>
      <c r="C964">
        <v>88.590011597</v>
      </c>
      <c r="D964">
        <v>943</v>
      </c>
      <c r="E964">
        <v>106.360862732</v>
      </c>
      <c r="F964">
        <v>943</v>
      </c>
      <c r="G964">
        <v>79.397247313999998</v>
      </c>
      <c r="H964">
        <v>943</v>
      </c>
      <c r="I964">
        <v>81.893867493000002</v>
      </c>
      <c r="K964">
        <f t="shared" si="52"/>
        <v>24.466995238999999</v>
      </c>
      <c r="L964">
        <v>943</v>
      </c>
      <c r="M964">
        <v>193</v>
      </c>
      <c r="N964">
        <v>943</v>
      </c>
      <c r="O964">
        <v>62</v>
      </c>
      <c r="P964">
        <f t="shared" si="50"/>
        <v>104.409988403</v>
      </c>
    </row>
    <row r="965" spans="1:16">
      <c r="A965">
        <f t="shared" si="51"/>
        <v>1554.2333373434028</v>
      </c>
      <c r="B965">
        <v>944</v>
      </c>
      <c r="C965">
        <v>87.044548035000005</v>
      </c>
      <c r="D965">
        <v>944</v>
      </c>
      <c r="E965">
        <v>108.270820618</v>
      </c>
      <c r="F965">
        <v>944</v>
      </c>
      <c r="G965">
        <v>78.832588196000003</v>
      </c>
      <c r="H965">
        <v>944</v>
      </c>
      <c r="I965">
        <v>84.681243895999998</v>
      </c>
      <c r="K965">
        <f t="shared" si="52"/>
        <v>23.589576722000004</v>
      </c>
      <c r="L965">
        <v>944</v>
      </c>
      <c r="M965">
        <v>193</v>
      </c>
      <c r="N965">
        <v>944</v>
      </c>
      <c r="O965">
        <v>62</v>
      </c>
      <c r="P965">
        <f t="shared" si="50"/>
        <v>105.95545196499999</v>
      </c>
    </row>
    <row r="966" spans="1:16">
      <c r="A966">
        <f t="shared" si="51"/>
        <v>1555.1594319804192</v>
      </c>
      <c r="B966">
        <v>945</v>
      </c>
      <c r="C966">
        <v>85.480094910000005</v>
      </c>
      <c r="D966">
        <v>945</v>
      </c>
      <c r="E966">
        <v>107.639427185</v>
      </c>
      <c r="F966">
        <v>945</v>
      </c>
      <c r="G966">
        <v>77.168586731000005</v>
      </c>
      <c r="H966">
        <v>945</v>
      </c>
      <c r="I966">
        <v>84.039901732999994</v>
      </c>
      <c r="K966">
        <f t="shared" si="52"/>
        <v>23.599525452000009</v>
      </c>
      <c r="L966">
        <v>945</v>
      </c>
      <c r="M966">
        <v>193</v>
      </c>
      <c r="N966">
        <v>945</v>
      </c>
      <c r="O966">
        <v>62</v>
      </c>
      <c r="P966">
        <f t="shared" si="50"/>
        <v>107.51990508999999</v>
      </c>
    </row>
    <row r="967" spans="1:16">
      <c r="A967">
        <f t="shared" si="51"/>
        <v>1556.0855266174353</v>
      </c>
      <c r="B967">
        <v>946</v>
      </c>
      <c r="C967">
        <v>85.673988342000001</v>
      </c>
      <c r="D967">
        <v>946</v>
      </c>
      <c r="E967">
        <v>108.31784820599999</v>
      </c>
      <c r="F967">
        <v>946</v>
      </c>
      <c r="G967">
        <v>76.332801818999997</v>
      </c>
      <c r="H967">
        <v>946</v>
      </c>
      <c r="I967">
        <v>84.013771057</v>
      </c>
      <c r="K967">
        <f t="shared" si="52"/>
        <v>24.304077148999994</v>
      </c>
      <c r="L967">
        <v>946</v>
      </c>
      <c r="M967">
        <v>193</v>
      </c>
      <c r="N967">
        <v>946</v>
      </c>
      <c r="O967">
        <v>62.393981934000003</v>
      </c>
      <c r="P967">
        <f t="shared" si="50"/>
        <v>107.326011658</v>
      </c>
    </row>
    <row r="968" spans="1:16">
      <c r="A968">
        <f t="shared" si="51"/>
        <v>1557.0116212544517</v>
      </c>
      <c r="B968">
        <v>947</v>
      </c>
      <c r="C968">
        <v>86.501434325999995</v>
      </c>
      <c r="D968">
        <v>947</v>
      </c>
      <c r="E968">
        <v>109.42345428500001</v>
      </c>
      <c r="F968">
        <v>947</v>
      </c>
      <c r="G968">
        <v>79.358657836999996</v>
      </c>
      <c r="H968">
        <v>947</v>
      </c>
      <c r="I968">
        <v>81.439292907999999</v>
      </c>
      <c r="K968">
        <f t="shared" si="52"/>
        <v>27.984161377000007</v>
      </c>
      <c r="L968">
        <v>947</v>
      </c>
      <c r="M968">
        <v>192.684783936</v>
      </c>
      <c r="N968">
        <v>947</v>
      </c>
      <c r="O968">
        <v>63</v>
      </c>
      <c r="P968">
        <f t="shared" si="50"/>
        <v>106.18334961000001</v>
      </c>
    </row>
    <row r="969" spans="1:16">
      <c r="A969">
        <f t="shared" si="51"/>
        <v>1557.9377158914681</v>
      </c>
      <c r="B969">
        <v>948</v>
      </c>
      <c r="C969">
        <v>88.407554626000007</v>
      </c>
      <c r="D969">
        <v>948</v>
      </c>
      <c r="E969">
        <v>109.61104583700001</v>
      </c>
      <c r="F969">
        <v>948</v>
      </c>
      <c r="G969">
        <v>80.989089965999995</v>
      </c>
      <c r="H969">
        <v>948</v>
      </c>
      <c r="I969">
        <v>77.921569824000002</v>
      </c>
      <c r="K969">
        <f t="shared" si="52"/>
        <v>31.689476013000004</v>
      </c>
      <c r="L969">
        <v>948</v>
      </c>
      <c r="M969">
        <v>192.01710510300001</v>
      </c>
      <c r="N969">
        <v>948</v>
      </c>
      <c r="O969">
        <v>63</v>
      </c>
      <c r="P969">
        <f t="shared" si="50"/>
        <v>103.609550477</v>
      </c>
    </row>
    <row r="970" spans="1:16">
      <c r="A970">
        <f t="shared" si="51"/>
        <v>1558.8638105284845</v>
      </c>
      <c r="B970">
        <v>949</v>
      </c>
      <c r="C970">
        <v>86.275138854999994</v>
      </c>
      <c r="D970">
        <v>949</v>
      </c>
      <c r="E970">
        <v>104.852165222</v>
      </c>
      <c r="F970">
        <v>949</v>
      </c>
      <c r="G970">
        <v>77.905845642000003</v>
      </c>
      <c r="H970">
        <v>949</v>
      </c>
      <c r="I970">
        <v>83.249435425000001</v>
      </c>
      <c r="K970">
        <f t="shared" si="52"/>
        <v>21.602729796999995</v>
      </c>
      <c r="L970">
        <v>949</v>
      </c>
      <c r="M970">
        <v>192</v>
      </c>
      <c r="N970">
        <v>949</v>
      </c>
      <c r="O970">
        <v>63</v>
      </c>
      <c r="P970">
        <f t="shared" si="50"/>
        <v>105.72486114500001</v>
      </c>
    </row>
    <row r="971" spans="1:16">
      <c r="A971">
        <f t="shared" si="51"/>
        <v>1559.7899051655008</v>
      </c>
      <c r="B971">
        <v>950</v>
      </c>
      <c r="C971">
        <v>83.719230651999993</v>
      </c>
      <c r="D971">
        <v>950</v>
      </c>
      <c r="E971">
        <v>103.22504425</v>
      </c>
      <c r="F971">
        <v>950</v>
      </c>
      <c r="G971">
        <v>75.846488953000005</v>
      </c>
      <c r="H971">
        <v>950</v>
      </c>
      <c r="I971">
        <v>80.590255737000007</v>
      </c>
      <c r="K971">
        <f t="shared" si="52"/>
        <v>22.63478851299999</v>
      </c>
      <c r="L971">
        <v>950</v>
      </c>
      <c r="M971">
        <v>192</v>
      </c>
      <c r="N971">
        <v>950</v>
      </c>
      <c r="O971">
        <v>63</v>
      </c>
      <c r="P971">
        <f t="shared" si="50"/>
        <v>108.28076934800001</v>
      </c>
    </row>
    <row r="972" spans="1:16">
      <c r="A972">
        <f t="shared" si="51"/>
        <v>1560.715999802517</v>
      </c>
      <c r="B972">
        <v>951</v>
      </c>
      <c r="C972">
        <v>85.212646484000004</v>
      </c>
      <c r="D972">
        <v>951</v>
      </c>
      <c r="E972">
        <v>105.74210357699999</v>
      </c>
      <c r="F972">
        <v>951</v>
      </c>
      <c r="G972">
        <v>77.541084290000001</v>
      </c>
      <c r="H972">
        <v>951</v>
      </c>
      <c r="I972">
        <v>79.963928222999996</v>
      </c>
      <c r="K972">
        <f t="shared" si="52"/>
        <v>25.778175353999998</v>
      </c>
      <c r="L972">
        <v>951</v>
      </c>
      <c r="M972">
        <v>192</v>
      </c>
      <c r="N972">
        <v>951</v>
      </c>
      <c r="O972">
        <v>63</v>
      </c>
      <c r="P972">
        <f t="shared" si="50"/>
        <v>106.787353516</v>
      </c>
    </row>
    <row r="973" spans="1:16">
      <c r="A973">
        <f t="shared" si="51"/>
        <v>1561.6420944395334</v>
      </c>
      <c r="B973">
        <v>952</v>
      </c>
      <c r="C973">
        <v>86.704833984000004</v>
      </c>
      <c r="D973">
        <v>952</v>
      </c>
      <c r="E973">
        <v>109.73575592</v>
      </c>
      <c r="F973">
        <v>952</v>
      </c>
      <c r="G973">
        <v>77.043701171999999</v>
      </c>
      <c r="H973">
        <v>952</v>
      </c>
      <c r="I973">
        <v>82.319999695000007</v>
      </c>
      <c r="K973">
        <f t="shared" si="52"/>
        <v>27.415756224999996</v>
      </c>
      <c r="L973">
        <v>952</v>
      </c>
      <c r="M973">
        <v>192</v>
      </c>
      <c r="N973">
        <v>952</v>
      </c>
      <c r="O973">
        <v>63</v>
      </c>
      <c r="P973">
        <f t="shared" si="50"/>
        <v>105.295166016</v>
      </c>
    </row>
    <row r="974" spans="1:16">
      <c r="A974">
        <f t="shared" si="51"/>
        <v>1562.5681890765495</v>
      </c>
      <c r="B974">
        <v>953</v>
      </c>
      <c r="C974">
        <v>88.621925353999998</v>
      </c>
      <c r="D974">
        <v>953</v>
      </c>
      <c r="E974">
        <v>109.62071228000001</v>
      </c>
      <c r="F974">
        <v>953</v>
      </c>
      <c r="G974">
        <v>77.218582153</v>
      </c>
      <c r="H974">
        <v>953</v>
      </c>
      <c r="I974">
        <v>82.292907714999998</v>
      </c>
      <c r="K974">
        <f t="shared" si="52"/>
        <v>27.327804565000008</v>
      </c>
      <c r="L974">
        <v>953</v>
      </c>
      <c r="M974">
        <v>192</v>
      </c>
      <c r="N974">
        <v>953</v>
      </c>
      <c r="O974">
        <v>63.570198058999999</v>
      </c>
      <c r="P974">
        <f t="shared" si="50"/>
        <v>103.378074646</v>
      </c>
    </row>
    <row r="975" spans="1:16">
      <c r="A975">
        <f t="shared" si="51"/>
        <v>1563.4942837135659</v>
      </c>
      <c r="B975">
        <v>954</v>
      </c>
      <c r="C975">
        <v>87.812080382999994</v>
      </c>
      <c r="D975">
        <v>954</v>
      </c>
      <c r="E975">
        <v>106.113952637</v>
      </c>
      <c r="F975">
        <v>954</v>
      </c>
      <c r="G975">
        <v>76.328796386999997</v>
      </c>
      <c r="H975">
        <v>954</v>
      </c>
      <c r="I975">
        <v>82.436241150000001</v>
      </c>
      <c r="K975">
        <f t="shared" si="52"/>
        <v>23.677711486999996</v>
      </c>
      <c r="L975">
        <v>954</v>
      </c>
      <c r="M975">
        <v>191.52430725100001</v>
      </c>
      <c r="N975">
        <v>954</v>
      </c>
      <c r="O975">
        <v>64</v>
      </c>
      <c r="P975">
        <f t="shared" si="50"/>
        <v>103.71222686800002</v>
      </c>
    </row>
    <row r="976" spans="1:16">
      <c r="A976">
        <f t="shared" si="51"/>
        <v>1564.4203783505823</v>
      </c>
      <c r="B976">
        <v>955</v>
      </c>
      <c r="C976">
        <v>86.142112732000001</v>
      </c>
      <c r="D976">
        <v>955</v>
      </c>
      <c r="E976">
        <v>105.87411499</v>
      </c>
      <c r="F976">
        <v>955</v>
      </c>
      <c r="G976">
        <v>77.393600464000002</v>
      </c>
      <c r="H976">
        <v>955</v>
      </c>
      <c r="I976">
        <v>82.879722595000004</v>
      </c>
      <c r="K976">
        <f t="shared" si="52"/>
        <v>22.994392394999991</v>
      </c>
      <c r="L976">
        <v>955</v>
      </c>
      <c r="M976">
        <v>191</v>
      </c>
      <c r="N976">
        <v>955</v>
      </c>
      <c r="O976">
        <v>64</v>
      </c>
      <c r="P976">
        <f t="shared" si="50"/>
        <v>104.857887268</v>
      </c>
    </row>
    <row r="977" spans="1:16">
      <c r="A977">
        <f t="shared" si="51"/>
        <v>1565.3464729875986</v>
      </c>
      <c r="B977">
        <v>956</v>
      </c>
      <c r="C977">
        <v>85.671371460000003</v>
      </c>
      <c r="D977">
        <v>956</v>
      </c>
      <c r="E977">
        <v>108.11524963399999</v>
      </c>
      <c r="F977">
        <v>956</v>
      </c>
      <c r="G977">
        <v>79.093185425000001</v>
      </c>
      <c r="H977">
        <v>956</v>
      </c>
      <c r="I977">
        <v>84.680137634000005</v>
      </c>
      <c r="K977">
        <f t="shared" si="52"/>
        <v>23.43511199999999</v>
      </c>
      <c r="L977">
        <v>956</v>
      </c>
      <c r="M977">
        <v>191</v>
      </c>
      <c r="N977">
        <v>956</v>
      </c>
      <c r="O977">
        <v>64</v>
      </c>
      <c r="P977">
        <f t="shared" si="50"/>
        <v>105.32862854</v>
      </c>
    </row>
    <row r="978" spans="1:16">
      <c r="A978">
        <f t="shared" si="51"/>
        <v>1566.272567624615</v>
      </c>
      <c r="B978">
        <v>957</v>
      </c>
      <c r="C978">
        <v>85.540046692000004</v>
      </c>
      <c r="D978">
        <v>957</v>
      </c>
      <c r="E978">
        <v>111.826599121</v>
      </c>
      <c r="F978">
        <v>957</v>
      </c>
      <c r="G978">
        <v>78.731887817</v>
      </c>
      <c r="H978">
        <v>957</v>
      </c>
      <c r="I978">
        <v>86.204490661999998</v>
      </c>
      <c r="K978">
        <f t="shared" si="52"/>
        <v>25.622108459000003</v>
      </c>
      <c r="L978">
        <v>957</v>
      </c>
      <c r="M978">
        <v>191</v>
      </c>
      <c r="N978">
        <v>957</v>
      </c>
      <c r="O978">
        <v>64</v>
      </c>
      <c r="P978">
        <f t="shared" si="50"/>
        <v>105.459953308</v>
      </c>
    </row>
    <row r="979" spans="1:16">
      <c r="A979">
        <f t="shared" si="51"/>
        <v>1567.1986622616314</v>
      </c>
      <c r="B979">
        <v>958</v>
      </c>
      <c r="C979">
        <v>87.500396729000002</v>
      </c>
      <c r="D979">
        <v>958</v>
      </c>
      <c r="E979">
        <v>109.049186707</v>
      </c>
      <c r="F979">
        <v>958</v>
      </c>
      <c r="G979">
        <v>77.980125427000004</v>
      </c>
      <c r="H979">
        <v>958</v>
      </c>
      <c r="I979">
        <v>83.124153136999993</v>
      </c>
      <c r="K979">
        <f t="shared" si="52"/>
        <v>25.925033570000011</v>
      </c>
      <c r="L979">
        <v>958</v>
      </c>
      <c r="M979">
        <v>191</v>
      </c>
      <c r="N979">
        <v>958</v>
      </c>
      <c r="O979">
        <v>64</v>
      </c>
      <c r="P979">
        <f t="shared" si="50"/>
        <v>103.499603271</v>
      </c>
    </row>
    <row r="980" spans="1:16">
      <c r="A980">
        <f t="shared" si="51"/>
        <v>1568.1247568986475</v>
      </c>
      <c r="B980">
        <v>959</v>
      </c>
      <c r="C980">
        <v>88.160217285000002</v>
      </c>
      <c r="D980">
        <v>959</v>
      </c>
      <c r="E980">
        <v>104.233314514</v>
      </c>
      <c r="F980">
        <v>959</v>
      </c>
      <c r="G980">
        <v>77.553405761999997</v>
      </c>
      <c r="H980">
        <v>959</v>
      </c>
      <c r="I980">
        <v>79.494964600000003</v>
      </c>
      <c r="K980">
        <f t="shared" si="52"/>
        <v>24.738349913999997</v>
      </c>
      <c r="L980">
        <v>959</v>
      </c>
      <c r="M980">
        <v>191</v>
      </c>
      <c r="N980">
        <v>959</v>
      </c>
      <c r="O980">
        <v>64</v>
      </c>
      <c r="P980">
        <f t="shared" si="50"/>
        <v>102.839782715</v>
      </c>
    </row>
    <row r="981" spans="1:16">
      <c r="A981">
        <f t="shared" si="51"/>
        <v>1569.0508515356639</v>
      </c>
      <c r="B981">
        <v>960</v>
      </c>
      <c r="C981">
        <v>86.896942139000004</v>
      </c>
      <c r="D981">
        <v>960</v>
      </c>
      <c r="E981">
        <v>104.58684539799999</v>
      </c>
      <c r="F981">
        <v>960</v>
      </c>
      <c r="G981">
        <v>78.268211364999999</v>
      </c>
      <c r="H981">
        <v>960</v>
      </c>
      <c r="I981">
        <v>78.598617554</v>
      </c>
      <c r="K981">
        <f t="shared" si="52"/>
        <v>25.988227843999994</v>
      </c>
      <c r="L981">
        <v>960</v>
      </c>
      <c r="M981">
        <v>191</v>
      </c>
      <c r="N981">
        <v>960</v>
      </c>
      <c r="O981">
        <v>64</v>
      </c>
      <c r="P981">
        <f t="shared" ref="P981:P1044" si="53">M981-C981</f>
        <v>104.103057861</v>
      </c>
    </row>
    <row r="982" spans="1:16">
      <c r="A982">
        <f t="shared" ref="A982:A1045" si="54">680 +B982*COS(ABS($J$8)*PI()/180)</f>
        <v>1569.9769461726801</v>
      </c>
      <c r="B982">
        <v>961</v>
      </c>
      <c r="C982">
        <v>81.425056458</v>
      </c>
      <c r="D982">
        <v>961</v>
      </c>
      <c r="E982">
        <v>106.33148956300001</v>
      </c>
      <c r="F982">
        <v>961</v>
      </c>
      <c r="G982">
        <v>77.278556824000006</v>
      </c>
      <c r="H982">
        <v>961</v>
      </c>
      <c r="I982">
        <v>77.895591736</v>
      </c>
      <c r="K982">
        <f t="shared" ref="K982:K1045" si="55">E982-I982</f>
        <v>28.435897827000005</v>
      </c>
      <c r="L982">
        <v>961</v>
      </c>
      <c r="M982">
        <v>191</v>
      </c>
      <c r="N982">
        <v>961</v>
      </c>
      <c r="O982">
        <v>64</v>
      </c>
      <c r="P982">
        <f t="shared" si="53"/>
        <v>109.574943542</v>
      </c>
    </row>
    <row r="983" spans="1:16">
      <c r="A983">
        <f t="shared" si="54"/>
        <v>1570.9030408096964</v>
      </c>
      <c r="B983">
        <v>962</v>
      </c>
      <c r="C983">
        <v>84.923934936999999</v>
      </c>
      <c r="D983">
        <v>962</v>
      </c>
      <c r="E983">
        <v>106.61988830600001</v>
      </c>
      <c r="F983">
        <v>962</v>
      </c>
      <c r="G983">
        <v>76.421264648000005</v>
      </c>
      <c r="H983">
        <v>962</v>
      </c>
      <c r="I983">
        <v>77.336196899000001</v>
      </c>
      <c r="K983">
        <f t="shared" si="55"/>
        <v>29.283691407000006</v>
      </c>
      <c r="L983">
        <v>962</v>
      </c>
      <c r="M983">
        <v>190.96055602999999</v>
      </c>
      <c r="N983">
        <v>962</v>
      </c>
      <c r="O983">
        <v>65.764533997000001</v>
      </c>
      <c r="P983">
        <f t="shared" si="53"/>
        <v>106.03662109299999</v>
      </c>
    </row>
    <row r="984" spans="1:16">
      <c r="A984">
        <f t="shared" si="54"/>
        <v>1571.8291354467128</v>
      </c>
      <c r="B984">
        <v>963</v>
      </c>
      <c r="C984">
        <v>86.205802917</v>
      </c>
      <c r="D984">
        <v>963</v>
      </c>
      <c r="E984">
        <v>104.527313232</v>
      </c>
      <c r="F984">
        <v>963</v>
      </c>
      <c r="G984">
        <v>75.525474548000005</v>
      </c>
      <c r="H984">
        <v>963</v>
      </c>
      <c r="I984">
        <v>78.616600036999998</v>
      </c>
      <c r="K984">
        <f t="shared" si="55"/>
        <v>25.910713195</v>
      </c>
      <c r="L984">
        <v>963</v>
      </c>
      <c r="M984">
        <v>190.19224548299999</v>
      </c>
      <c r="N984">
        <v>963</v>
      </c>
      <c r="O984">
        <v>66</v>
      </c>
      <c r="P984">
        <f t="shared" si="53"/>
        <v>103.98644256599999</v>
      </c>
    </row>
    <row r="985" spans="1:16">
      <c r="A985">
        <f t="shared" si="54"/>
        <v>1572.7552300837292</v>
      </c>
      <c r="B985">
        <v>964</v>
      </c>
      <c r="C985">
        <v>85.914245605000005</v>
      </c>
      <c r="D985">
        <v>964</v>
      </c>
      <c r="E985">
        <v>103.160850525</v>
      </c>
      <c r="F985">
        <v>964</v>
      </c>
      <c r="G985">
        <v>75.333335876000007</v>
      </c>
      <c r="H985">
        <v>964</v>
      </c>
      <c r="I985">
        <v>80.193496703999998</v>
      </c>
      <c r="K985">
        <f t="shared" si="55"/>
        <v>22.967353821000003</v>
      </c>
      <c r="L985">
        <v>964</v>
      </c>
      <c r="M985">
        <v>189.42921447800001</v>
      </c>
      <c r="N985">
        <v>964</v>
      </c>
      <c r="O985">
        <v>66</v>
      </c>
      <c r="P985">
        <f t="shared" si="53"/>
        <v>103.514968873</v>
      </c>
    </row>
    <row r="986" spans="1:16">
      <c r="A986">
        <f t="shared" si="54"/>
        <v>1573.6813247207456</v>
      </c>
      <c r="B986">
        <v>965</v>
      </c>
      <c r="C986">
        <v>81.736526488999999</v>
      </c>
      <c r="D986">
        <v>965</v>
      </c>
      <c r="E986">
        <v>104.344940186</v>
      </c>
      <c r="F986">
        <v>965</v>
      </c>
      <c r="G986">
        <v>75.419464110999996</v>
      </c>
      <c r="H986">
        <v>965</v>
      </c>
      <c r="I986">
        <v>80.840286254999995</v>
      </c>
      <c r="K986">
        <f t="shared" si="55"/>
        <v>23.504653931000007</v>
      </c>
      <c r="L986">
        <v>965</v>
      </c>
      <c r="M986">
        <v>189</v>
      </c>
      <c r="N986">
        <v>965</v>
      </c>
      <c r="O986">
        <v>66</v>
      </c>
      <c r="P986">
        <f t="shared" si="53"/>
        <v>107.263473511</v>
      </c>
    </row>
    <row r="987" spans="1:16">
      <c r="A987">
        <f t="shared" si="54"/>
        <v>1574.607419357762</v>
      </c>
      <c r="B987">
        <v>966</v>
      </c>
      <c r="C987">
        <v>82.203582764000004</v>
      </c>
      <c r="D987">
        <v>966</v>
      </c>
      <c r="E987">
        <v>104.982559204</v>
      </c>
      <c r="F987">
        <v>966</v>
      </c>
      <c r="G987">
        <v>75.337310790999993</v>
      </c>
      <c r="H987">
        <v>966</v>
      </c>
      <c r="I987">
        <v>80.982353209999999</v>
      </c>
      <c r="K987">
        <f t="shared" si="55"/>
        <v>24.000205993999998</v>
      </c>
      <c r="L987">
        <v>966</v>
      </c>
      <c r="M987">
        <v>189</v>
      </c>
      <c r="N987">
        <v>966</v>
      </c>
      <c r="O987">
        <v>66</v>
      </c>
      <c r="P987">
        <f t="shared" si="53"/>
        <v>106.796417236</v>
      </c>
    </row>
    <row r="988" spans="1:16">
      <c r="A988">
        <f t="shared" si="54"/>
        <v>1575.5335139947781</v>
      </c>
      <c r="B988">
        <v>967</v>
      </c>
      <c r="C988">
        <v>82.854110718000001</v>
      </c>
      <c r="D988">
        <v>967</v>
      </c>
      <c r="E988">
        <v>108.36756133999999</v>
      </c>
      <c r="F988">
        <v>967</v>
      </c>
      <c r="G988">
        <v>75.333335876000007</v>
      </c>
      <c r="H988">
        <v>967</v>
      </c>
      <c r="I988">
        <v>81.312744140999996</v>
      </c>
      <c r="K988">
        <f t="shared" si="55"/>
        <v>27.054817198999999</v>
      </c>
      <c r="L988">
        <v>967</v>
      </c>
      <c r="M988">
        <v>189</v>
      </c>
      <c r="N988">
        <v>967</v>
      </c>
      <c r="O988">
        <v>66</v>
      </c>
      <c r="P988">
        <f t="shared" si="53"/>
        <v>106.145889282</v>
      </c>
    </row>
    <row r="989" spans="1:16">
      <c r="A989">
        <f t="shared" si="54"/>
        <v>1576.4596086317945</v>
      </c>
      <c r="B989">
        <v>968</v>
      </c>
      <c r="C989">
        <v>83.596687317000004</v>
      </c>
      <c r="D989">
        <v>968</v>
      </c>
      <c r="E989">
        <v>109.40510559099999</v>
      </c>
      <c r="F989">
        <v>968</v>
      </c>
      <c r="G989">
        <v>75.333335876000007</v>
      </c>
      <c r="H989">
        <v>968</v>
      </c>
      <c r="I989">
        <v>80.623527526999993</v>
      </c>
      <c r="K989">
        <f t="shared" si="55"/>
        <v>28.781578064000001</v>
      </c>
      <c r="L989">
        <v>968</v>
      </c>
      <c r="M989">
        <v>189</v>
      </c>
      <c r="N989">
        <v>968</v>
      </c>
      <c r="O989">
        <v>66</v>
      </c>
      <c r="P989">
        <f t="shared" si="53"/>
        <v>105.403312683</v>
      </c>
    </row>
    <row r="990" spans="1:16">
      <c r="A990">
        <f t="shared" si="54"/>
        <v>1577.3857032688106</v>
      </c>
      <c r="B990">
        <v>969</v>
      </c>
      <c r="C990">
        <v>84.979499817000004</v>
      </c>
      <c r="D990">
        <v>969</v>
      </c>
      <c r="E990">
        <v>107.27358245800001</v>
      </c>
      <c r="F990">
        <v>969</v>
      </c>
      <c r="G990">
        <v>73.826942443999997</v>
      </c>
      <c r="H990">
        <v>969</v>
      </c>
      <c r="I990">
        <v>78.707916260000005</v>
      </c>
      <c r="K990">
        <f t="shared" si="55"/>
        <v>28.565666198000002</v>
      </c>
      <c r="L990">
        <v>969</v>
      </c>
      <c r="M990">
        <v>189</v>
      </c>
      <c r="N990">
        <v>969</v>
      </c>
      <c r="O990">
        <v>66</v>
      </c>
      <c r="P990">
        <f t="shared" si="53"/>
        <v>104.020500183</v>
      </c>
    </row>
    <row r="991" spans="1:16">
      <c r="A991">
        <f t="shared" si="54"/>
        <v>1578.311797905827</v>
      </c>
      <c r="B991">
        <v>970</v>
      </c>
      <c r="C991">
        <v>84.273338318</v>
      </c>
      <c r="D991">
        <v>970</v>
      </c>
      <c r="E991">
        <v>106.04898071300001</v>
      </c>
      <c r="F991">
        <v>970</v>
      </c>
      <c r="G991">
        <v>74.416969299000002</v>
      </c>
      <c r="H991">
        <v>970</v>
      </c>
      <c r="I991">
        <v>78.920555114999999</v>
      </c>
      <c r="K991">
        <f t="shared" si="55"/>
        <v>27.128425598000007</v>
      </c>
      <c r="L991">
        <v>970</v>
      </c>
      <c r="M991">
        <v>189</v>
      </c>
      <c r="N991">
        <v>970</v>
      </c>
      <c r="O991">
        <v>66.142623900999993</v>
      </c>
      <c r="P991">
        <f t="shared" si="53"/>
        <v>104.726661682</v>
      </c>
    </row>
    <row r="992" spans="1:16">
      <c r="A992">
        <f t="shared" si="54"/>
        <v>1579.2378925428434</v>
      </c>
      <c r="B992">
        <v>971</v>
      </c>
      <c r="C992">
        <v>84.242378235000004</v>
      </c>
      <c r="D992">
        <v>971</v>
      </c>
      <c r="E992">
        <v>106.23191070599999</v>
      </c>
      <c r="F992">
        <v>971</v>
      </c>
      <c r="G992">
        <v>76.870986938000001</v>
      </c>
      <c r="H992">
        <v>971</v>
      </c>
      <c r="I992">
        <v>79.907424926999994</v>
      </c>
      <c r="K992">
        <f t="shared" si="55"/>
        <v>26.324485779</v>
      </c>
      <c r="L992">
        <v>971</v>
      </c>
      <c r="M992">
        <v>188.90960693400001</v>
      </c>
      <c r="N992">
        <v>971</v>
      </c>
      <c r="O992">
        <v>66.922332764000004</v>
      </c>
      <c r="P992">
        <f t="shared" si="53"/>
        <v>104.66722869900001</v>
      </c>
    </row>
    <row r="993" spans="1:16">
      <c r="A993">
        <f t="shared" si="54"/>
        <v>1580.1639871798598</v>
      </c>
      <c r="B993">
        <v>972</v>
      </c>
      <c r="C993">
        <v>86.091728209999999</v>
      </c>
      <c r="D993">
        <v>972</v>
      </c>
      <c r="E993">
        <v>104.550445557</v>
      </c>
      <c r="F993">
        <v>972</v>
      </c>
      <c r="G993">
        <v>77.361839294000006</v>
      </c>
      <c r="H993">
        <v>972</v>
      </c>
      <c r="I993">
        <v>77.669876099000007</v>
      </c>
      <c r="K993">
        <f t="shared" si="55"/>
        <v>26.880569457999997</v>
      </c>
      <c r="L993">
        <v>972</v>
      </c>
      <c r="M993">
        <v>188.14259338400001</v>
      </c>
      <c r="N993">
        <v>972</v>
      </c>
      <c r="O993">
        <v>67</v>
      </c>
      <c r="P993">
        <f t="shared" si="53"/>
        <v>102.05086517400001</v>
      </c>
    </row>
    <row r="994" spans="1:16">
      <c r="A994">
        <f t="shared" si="54"/>
        <v>1581.0900818168761</v>
      </c>
      <c r="B994">
        <v>973</v>
      </c>
      <c r="C994">
        <v>85.298393250000004</v>
      </c>
      <c r="D994">
        <v>973</v>
      </c>
      <c r="E994">
        <v>103.20664978000001</v>
      </c>
      <c r="F994">
        <v>973</v>
      </c>
      <c r="G994">
        <v>76.128166199000006</v>
      </c>
      <c r="H994">
        <v>973</v>
      </c>
      <c r="I994">
        <v>78.093711853000002</v>
      </c>
      <c r="K994">
        <f t="shared" si="55"/>
        <v>25.112937927000004</v>
      </c>
      <c r="L994">
        <v>973</v>
      </c>
      <c r="M994">
        <v>188</v>
      </c>
      <c r="N994">
        <v>973</v>
      </c>
      <c r="O994">
        <v>67</v>
      </c>
      <c r="P994">
        <f t="shared" si="53"/>
        <v>102.70160675</v>
      </c>
    </row>
    <row r="995" spans="1:16">
      <c r="A995">
        <f t="shared" si="54"/>
        <v>1582.0161764538923</v>
      </c>
      <c r="B995">
        <v>974</v>
      </c>
      <c r="C995">
        <v>85.538825989000003</v>
      </c>
      <c r="D995">
        <v>974</v>
      </c>
      <c r="E995">
        <v>103.002967834</v>
      </c>
      <c r="F995">
        <v>974</v>
      </c>
      <c r="G995">
        <v>76.709411621000001</v>
      </c>
      <c r="H995">
        <v>974</v>
      </c>
      <c r="I995">
        <v>79</v>
      </c>
      <c r="K995">
        <f t="shared" si="55"/>
        <v>24.002967834000003</v>
      </c>
      <c r="L995">
        <v>974</v>
      </c>
      <c r="M995">
        <v>188</v>
      </c>
      <c r="N995">
        <v>974</v>
      </c>
      <c r="O995">
        <v>67</v>
      </c>
      <c r="P995">
        <f t="shared" si="53"/>
        <v>102.461174011</v>
      </c>
    </row>
    <row r="996" spans="1:16">
      <c r="A996">
        <f t="shared" si="54"/>
        <v>1582.9422710909087</v>
      </c>
      <c r="B996">
        <v>975</v>
      </c>
      <c r="C996">
        <v>84.201179503999995</v>
      </c>
      <c r="D996">
        <v>975</v>
      </c>
      <c r="E996">
        <v>102.952735901</v>
      </c>
      <c r="F996">
        <v>975</v>
      </c>
      <c r="G996">
        <v>77.217773437999995</v>
      </c>
      <c r="H996">
        <v>975</v>
      </c>
      <c r="I996">
        <v>79.492828368999994</v>
      </c>
      <c r="K996">
        <f t="shared" si="55"/>
        <v>23.459907532000003</v>
      </c>
      <c r="L996">
        <v>975</v>
      </c>
      <c r="M996">
        <v>188</v>
      </c>
      <c r="N996">
        <v>975</v>
      </c>
      <c r="O996">
        <v>67</v>
      </c>
      <c r="P996">
        <f t="shared" si="53"/>
        <v>103.798820496</v>
      </c>
    </row>
    <row r="997" spans="1:16">
      <c r="A997">
        <f t="shared" si="54"/>
        <v>1583.8683657279248</v>
      </c>
      <c r="B997">
        <v>976</v>
      </c>
      <c r="C997">
        <v>83.150451660000002</v>
      </c>
      <c r="D997">
        <v>976</v>
      </c>
      <c r="E997">
        <v>103.45164489699999</v>
      </c>
      <c r="F997">
        <v>976</v>
      </c>
      <c r="G997">
        <v>75.881538391000007</v>
      </c>
      <c r="H997">
        <v>976</v>
      </c>
      <c r="I997">
        <v>80.924201964999995</v>
      </c>
      <c r="K997">
        <f t="shared" si="55"/>
        <v>22.527442932</v>
      </c>
      <c r="L997">
        <v>976</v>
      </c>
      <c r="M997">
        <v>188</v>
      </c>
      <c r="N997">
        <v>976</v>
      </c>
      <c r="O997">
        <v>67</v>
      </c>
      <c r="P997">
        <f t="shared" si="53"/>
        <v>104.84954834</v>
      </c>
    </row>
    <row r="998" spans="1:16">
      <c r="A998">
        <f t="shared" si="54"/>
        <v>1584.7944603649412</v>
      </c>
      <c r="B998">
        <v>977</v>
      </c>
      <c r="C998">
        <v>84.411964416999993</v>
      </c>
      <c r="D998">
        <v>977</v>
      </c>
      <c r="E998">
        <v>104.986160278</v>
      </c>
      <c r="F998">
        <v>977</v>
      </c>
      <c r="G998">
        <v>75.398406981999997</v>
      </c>
      <c r="H998">
        <v>977</v>
      </c>
      <c r="I998">
        <v>82.929626464999998</v>
      </c>
      <c r="K998">
        <f t="shared" si="55"/>
        <v>22.056533813000001</v>
      </c>
      <c r="L998">
        <v>977</v>
      </c>
      <c r="M998">
        <v>188</v>
      </c>
      <c r="N998">
        <v>977</v>
      </c>
      <c r="O998">
        <v>67</v>
      </c>
      <c r="P998">
        <f t="shared" si="53"/>
        <v>103.58803558300001</v>
      </c>
    </row>
    <row r="999" spans="1:16">
      <c r="A999">
        <f t="shared" si="54"/>
        <v>1585.7205550019576</v>
      </c>
      <c r="B999">
        <v>978</v>
      </c>
      <c r="C999">
        <v>83.223236084000007</v>
      </c>
      <c r="D999">
        <v>978</v>
      </c>
      <c r="E999">
        <v>106.34883117699999</v>
      </c>
      <c r="F999">
        <v>978</v>
      </c>
      <c r="G999">
        <v>73.852241516000007</v>
      </c>
      <c r="H999">
        <v>978</v>
      </c>
      <c r="I999">
        <v>83.560836792000003</v>
      </c>
      <c r="K999">
        <f t="shared" si="55"/>
        <v>22.78799438499999</v>
      </c>
      <c r="L999">
        <v>978</v>
      </c>
      <c r="M999">
        <v>188</v>
      </c>
      <c r="N999">
        <v>978</v>
      </c>
      <c r="O999">
        <v>67</v>
      </c>
      <c r="P999">
        <f t="shared" si="53"/>
        <v>104.77676391599999</v>
      </c>
    </row>
    <row r="1000" spans="1:16">
      <c r="A1000">
        <f t="shared" si="54"/>
        <v>1586.6466496389739</v>
      </c>
      <c r="B1000">
        <v>979</v>
      </c>
      <c r="C1000">
        <v>84.602409363000007</v>
      </c>
      <c r="D1000">
        <v>979</v>
      </c>
      <c r="E1000">
        <v>105.81313324</v>
      </c>
      <c r="F1000">
        <v>979</v>
      </c>
      <c r="G1000">
        <v>73.333335876000007</v>
      </c>
      <c r="H1000">
        <v>979</v>
      </c>
      <c r="I1000">
        <v>78.958366393999995</v>
      </c>
      <c r="K1000">
        <f t="shared" si="55"/>
        <v>26.854766846000004</v>
      </c>
      <c r="L1000">
        <v>979</v>
      </c>
      <c r="M1000">
        <v>188</v>
      </c>
      <c r="N1000">
        <v>979</v>
      </c>
      <c r="O1000">
        <v>67</v>
      </c>
      <c r="P1000">
        <f t="shared" si="53"/>
        <v>103.39759063699999</v>
      </c>
    </row>
    <row r="1001" spans="1:16">
      <c r="A1001">
        <f t="shared" si="54"/>
        <v>1587.5727442759903</v>
      </c>
      <c r="B1001">
        <v>980</v>
      </c>
      <c r="C1001">
        <v>84.791046143000003</v>
      </c>
      <c r="D1001">
        <v>980</v>
      </c>
      <c r="E1001">
        <v>106.44763946499999</v>
      </c>
      <c r="F1001">
        <v>980</v>
      </c>
      <c r="G1001">
        <v>73.333335876000007</v>
      </c>
      <c r="H1001">
        <v>980</v>
      </c>
      <c r="I1001">
        <v>75.271629333000007</v>
      </c>
      <c r="K1001">
        <f t="shared" si="55"/>
        <v>31.176010131999988</v>
      </c>
      <c r="L1001">
        <v>980</v>
      </c>
      <c r="M1001">
        <v>188</v>
      </c>
      <c r="N1001">
        <v>980</v>
      </c>
      <c r="O1001">
        <v>67</v>
      </c>
      <c r="P1001">
        <f t="shared" si="53"/>
        <v>103.208953857</v>
      </c>
    </row>
    <row r="1002" spans="1:16">
      <c r="A1002">
        <f t="shared" si="54"/>
        <v>1588.4988389130067</v>
      </c>
      <c r="B1002">
        <v>981</v>
      </c>
      <c r="C1002">
        <v>84.750175475999995</v>
      </c>
      <c r="D1002">
        <v>981</v>
      </c>
      <c r="E1002">
        <v>105.331794739</v>
      </c>
      <c r="F1002">
        <v>981</v>
      </c>
      <c r="G1002">
        <v>73.012069702000005</v>
      </c>
      <c r="H1002">
        <v>981</v>
      </c>
      <c r="I1002">
        <v>80.554672241000006</v>
      </c>
      <c r="K1002">
        <f t="shared" si="55"/>
        <v>24.777122497999997</v>
      </c>
      <c r="L1002">
        <v>981</v>
      </c>
      <c r="M1002">
        <v>188</v>
      </c>
      <c r="N1002">
        <v>981</v>
      </c>
      <c r="O1002">
        <v>67</v>
      </c>
      <c r="P1002">
        <f t="shared" si="53"/>
        <v>103.249824524</v>
      </c>
    </row>
    <row r="1003" spans="1:16">
      <c r="A1003">
        <f t="shared" si="54"/>
        <v>1589.4249335500228</v>
      </c>
      <c r="B1003">
        <v>982</v>
      </c>
      <c r="C1003">
        <v>85.372650145999998</v>
      </c>
      <c r="D1003">
        <v>982</v>
      </c>
      <c r="E1003">
        <v>104.84707641599999</v>
      </c>
      <c r="F1003">
        <v>982</v>
      </c>
      <c r="G1003">
        <v>72.570297241000006</v>
      </c>
      <c r="H1003">
        <v>982</v>
      </c>
      <c r="I1003">
        <v>82.993835449000002</v>
      </c>
      <c r="K1003">
        <f t="shared" si="55"/>
        <v>21.853240966999991</v>
      </c>
      <c r="L1003">
        <v>982</v>
      </c>
      <c r="M1003">
        <v>188</v>
      </c>
      <c r="N1003">
        <v>982</v>
      </c>
      <c r="O1003">
        <v>67</v>
      </c>
      <c r="P1003">
        <f t="shared" si="53"/>
        <v>102.627349854</v>
      </c>
    </row>
    <row r="1004" spans="1:16">
      <c r="A1004">
        <f t="shared" si="54"/>
        <v>1590.3510281870392</v>
      </c>
      <c r="B1004">
        <v>983</v>
      </c>
      <c r="C1004">
        <v>86.562858582000004</v>
      </c>
      <c r="D1004">
        <v>983</v>
      </c>
      <c r="E1004">
        <v>102.957992554</v>
      </c>
      <c r="F1004">
        <v>983</v>
      </c>
      <c r="G1004">
        <v>73.165916443</v>
      </c>
      <c r="H1004">
        <v>983</v>
      </c>
      <c r="I1004">
        <v>83.897079468000001</v>
      </c>
      <c r="K1004">
        <f t="shared" si="55"/>
        <v>19.060913085999999</v>
      </c>
      <c r="L1004">
        <v>983</v>
      </c>
      <c r="M1004">
        <v>188</v>
      </c>
      <c r="N1004">
        <v>983</v>
      </c>
      <c r="O1004">
        <v>67</v>
      </c>
      <c r="P1004">
        <f t="shared" si="53"/>
        <v>101.437141418</v>
      </c>
    </row>
    <row r="1005" spans="1:16">
      <c r="A1005">
        <f t="shared" si="54"/>
        <v>1591.2771228240554</v>
      </c>
      <c r="B1005">
        <v>984</v>
      </c>
      <c r="C1005">
        <v>82.768081664999997</v>
      </c>
      <c r="D1005">
        <v>984</v>
      </c>
      <c r="E1005">
        <v>101.64530944800001</v>
      </c>
      <c r="F1005">
        <v>984</v>
      </c>
      <c r="G1005">
        <v>73.548927307</v>
      </c>
      <c r="H1005">
        <v>984</v>
      </c>
      <c r="I1005">
        <v>81.145103454999997</v>
      </c>
      <c r="K1005">
        <f t="shared" si="55"/>
        <v>20.500205993000009</v>
      </c>
      <c r="L1005">
        <v>984</v>
      </c>
      <c r="M1005">
        <v>188</v>
      </c>
      <c r="N1005">
        <v>984</v>
      </c>
      <c r="O1005">
        <v>67</v>
      </c>
      <c r="P1005">
        <f t="shared" si="53"/>
        <v>105.231918335</v>
      </c>
    </row>
    <row r="1006" spans="1:16">
      <c r="A1006">
        <f t="shared" si="54"/>
        <v>1592.2032174610717</v>
      </c>
      <c r="B1006">
        <v>985</v>
      </c>
      <c r="C1006">
        <v>79.433197020999998</v>
      </c>
      <c r="D1006">
        <v>985</v>
      </c>
      <c r="E1006">
        <v>102.53474426299999</v>
      </c>
      <c r="F1006">
        <v>985</v>
      </c>
      <c r="G1006">
        <v>73.578239440999994</v>
      </c>
      <c r="H1006">
        <v>985</v>
      </c>
      <c r="I1006">
        <v>78.724662781000006</v>
      </c>
      <c r="K1006">
        <f t="shared" si="55"/>
        <v>23.810081481999987</v>
      </c>
      <c r="L1006">
        <v>985</v>
      </c>
      <c r="M1006">
        <v>188</v>
      </c>
      <c r="N1006">
        <v>985</v>
      </c>
      <c r="O1006">
        <v>67.035583496000001</v>
      </c>
      <c r="P1006">
        <f t="shared" si="53"/>
        <v>108.566802979</v>
      </c>
    </row>
    <row r="1007" spans="1:16">
      <c r="A1007">
        <f t="shared" si="54"/>
        <v>1593.1293120980881</v>
      </c>
      <c r="B1007">
        <v>986</v>
      </c>
      <c r="C1007">
        <v>80.707130432</v>
      </c>
      <c r="D1007">
        <v>986</v>
      </c>
      <c r="E1007">
        <v>103.68907165500001</v>
      </c>
      <c r="F1007">
        <v>986</v>
      </c>
      <c r="G1007">
        <v>73.460998535000002</v>
      </c>
      <c r="H1007">
        <v>986</v>
      </c>
      <c r="I1007">
        <v>77.793334960999999</v>
      </c>
      <c r="K1007">
        <f t="shared" si="55"/>
        <v>25.895736694000007</v>
      </c>
      <c r="L1007">
        <v>986</v>
      </c>
      <c r="M1007">
        <v>187.94187927199999</v>
      </c>
      <c r="N1007">
        <v>986</v>
      </c>
      <c r="O1007">
        <v>67.668731688999998</v>
      </c>
      <c r="P1007">
        <f t="shared" si="53"/>
        <v>107.23474883999999</v>
      </c>
    </row>
    <row r="1008" spans="1:16">
      <c r="A1008">
        <f t="shared" si="54"/>
        <v>1594.0554067351045</v>
      </c>
      <c r="B1008">
        <v>987</v>
      </c>
      <c r="C1008">
        <v>80.489944457999997</v>
      </c>
      <c r="D1008">
        <v>987</v>
      </c>
      <c r="E1008">
        <v>103.63885498</v>
      </c>
      <c r="F1008">
        <v>987</v>
      </c>
      <c r="G1008">
        <v>74.253417968999997</v>
      </c>
      <c r="H1008">
        <v>987</v>
      </c>
      <c r="I1008">
        <v>78.586524963000002</v>
      </c>
      <c r="K1008">
        <f t="shared" si="55"/>
        <v>25.052330017000003</v>
      </c>
      <c r="L1008">
        <v>987</v>
      </c>
      <c r="M1008">
        <v>187.01788330100001</v>
      </c>
      <c r="N1008">
        <v>987</v>
      </c>
      <c r="O1008">
        <v>68</v>
      </c>
      <c r="P1008">
        <f t="shared" si="53"/>
        <v>106.52793884300002</v>
      </c>
    </row>
    <row r="1009" spans="1:16">
      <c r="A1009">
        <f t="shared" si="54"/>
        <v>1594.9815013721209</v>
      </c>
      <c r="B1009">
        <v>988</v>
      </c>
      <c r="C1009">
        <v>82.395988463999998</v>
      </c>
      <c r="D1009">
        <v>988</v>
      </c>
      <c r="E1009">
        <v>99.889175414999997</v>
      </c>
      <c r="F1009">
        <v>988</v>
      </c>
      <c r="G1009">
        <v>71.006507873999993</v>
      </c>
      <c r="H1009">
        <v>988</v>
      </c>
      <c r="I1009">
        <v>79.484588622999993</v>
      </c>
      <c r="K1009">
        <f t="shared" si="55"/>
        <v>20.404586792000003</v>
      </c>
      <c r="L1009">
        <v>988</v>
      </c>
      <c r="M1009">
        <v>187</v>
      </c>
      <c r="N1009">
        <v>988</v>
      </c>
      <c r="O1009">
        <v>68</v>
      </c>
      <c r="P1009">
        <f t="shared" si="53"/>
        <v>104.604011536</v>
      </c>
    </row>
    <row r="1010" spans="1:16">
      <c r="A1010">
        <f t="shared" si="54"/>
        <v>1595.907596009137</v>
      </c>
      <c r="B1010">
        <v>989</v>
      </c>
      <c r="C1010">
        <v>81.045707703000005</v>
      </c>
      <c r="D1010">
        <v>989</v>
      </c>
      <c r="E1010">
        <v>99.992980957</v>
      </c>
      <c r="F1010">
        <v>989</v>
      </c>
      <c r="G1010">
        <v>70.625907897999994</v>
      </c>
      <c r="H1010">
        <v>989</v>
      </c>
      <c r="I1010">
        <v>77.775978088000002</v>
      </c>
      <c r="K1010">
        <f t="shared" si="55"/>
        <v>22.217002868999998</v>
      </c>
      <c r="L1010">
        <v>989</v>
      </c>
      <c r="M1010">
        <v>187</v>
      </c>
      <c r="N1010">
        <v>989</v>
      </c>
      <c r="O1010">
        <v>68</v>
      </c>
      <c r="P1010">
        <f t="shared" si="53"/>
        <v>105.95429229699999</v>
      </c>
    </row>
    <row r="1011" spans="1:16">
      <c r="A1011">
        <f t="shared" si="54"/>
        <v>1596.8336906461534</v>
      </c>
      <c r="B1011">
        <v>990</v>
      </c>
      <c r="C1011">
        <v>81.376449585000003</v>
      </c>
      <c r="D1011">
        <v>990</v>
      </c>
      <c r="E1011">
        <v>103.094772339</v>
      </c>
      <c r="F1011">
        <v>990</v>
      </c>
      <c r="G1011">
        <v>70.928337096999996</v>
      </c>
      <c r="H1011">
        <v>990</v>
      </c>
      <c r="I1011">
        <v>76.889846801999994</v>
      </c>
      <c r="K1011">
        <f t="shared" si="55"/>
        <v>26.204925537000008</v>
      </c>
      <c r="L1011">
        <v>990</v>
      </c>
      <c r="M1011">
        <v>187</v>
      </c>
      <c r="N1011">
        <v>990</v>
      </c>
      <c r="O1011">
        <v>68</v>
      </c>
      <c r="P1011">
        <f t="shared" si="53"/>
        <v>105.623550415</v>
      </c>
    </row>
    <row r="1012" spans="1:16">
      <c r="A1012">
        <f t="shared" si="54"/>
        <v>1597.7597852831695</v>
      </c>
      <c r="B1012">
        <v>991</v>
      </c>
      <c r="C1012">
        <v>81.796028136999993</v>
      </c>
      <c r="D1012">
        <v>991</v>
      </c>
      <c r="E1012">
        <v>101.54347229</v>
      </c>
      <c r="F1012">
        <v>991</v>
      </c>
      <c r="G1012">
        <v>71.479972838999998</v>
      </c>
      <c r="H1012">
        <v>991</v>
      </c>
      <c r="I1012">
        <v>77.658180236999996</v>
      </c>
      <c r="K1012">
        <f t="shared" si="55"/>
        <v>23.885292053000001</v>
      </c>
      <c r="L1012">
        <v>991</v>
      </c>
      <c r="M1012">
        <v>187</v>
      </c>
      <c r="N1012">
        <v>991</v>
      </c>
      <c r="O1012">
        <v>68</v>
      </c>
      <c r="P1012">
        <f t="shared" si="53"/>
        <v>105.20397186300001</v>
      </c>
    </row>
    <row r="1013" spans="1:16">
      <c r="A1013">
        <f t="shared" si="54"/>
        <v>1598.6858799201859</v>
      </c>
      <c r="B1013">
        <v>992</v>
      </c>
      <c r="C1013">
        <v>80.927490234000004</v>
      </c>
      <c r="D1013">
        <v>992</v>
      </c>
      <c r="E1013">
        <v>102.607810974</v>
      </c>
      <c r="F1013">
        <v>992</v>
      </c>
      <c r="G1013">
        <v>73.766998290999993</v>
      </c>
      <c r="H1013">
        <v>992</v>
      </c>
      <c r="I1013">
        <v>73.507125853999995</v>
      </c>
      <c r="K1013">
        <f t="shared" si="55"/>
        <v>29.100685120000009</v>
      </c>
      <c r="L1013">
        <v>992</v>
      </c>
      <c r="M1013">
        <v>187</v>
      </c>
      <c r="N1013">
        <v>992</v>
      </c>
      <c r="O1013">
        <v>68</v>
      </c>
      <c r="P1013">
        <f t="shared" si="53"/>
        <v>106.072509766</v>
      </c>
    </row>
    <row r="1014" spans="1:16">
      <c r="A1014">
        <f t="shared" si="54"/>
        <v>1599.6119745572023</v>
      </c>
      <c r="B1014">
        <v>993</v>
      </c>
      <c r="C1014">
        <v>81.255935668999996</v>
      </c>
      <c r="D1014">
        <v>993</v>
      </c>
      <c r="E1014">
        <v>103.370071411</v>
      </c>
      <c r="F1014">
        <v>993</v>
      </c>
      <c r="G1014">
        <v>72.972961425999998</v>
      </c>
      <c r="H1014">
        <v>993</v>
      </c>
      <c r="I1014">
        <v>74.680221558</v>
      </c>
      <c r="K1014">
        <f t="shared" si="55"/>
        <v>28.689849852999998</v>
      </c>
      <c r="L1014">
        <v>993</v>
      </c>
      <c r="M1014">
        <v>187</v>
      </c>
      <c r="N1014">
        <v>993</v>
      </c>
      <c r="O1014">
        <v>68</v>
      </c>
      <c r="P1014">
        <f t="shared" si="53"/>
        <v>105.744064331</v>
      </c>
    </row>
    <row r="1015" spans="1:16">
      <c r="A1015">
        <f t="shared" si="54"/>
        <v>1600.5380691942187</v>
      </c>
      <c r="B1015">
        <v>994</v>
      </c>
      <c r="C1015">
        <v>81.788574218999997</v>
      </c>
      <c r="D1015">
        <v>994</v>
      </c>
      <c r="E1015">
        <v>102.54413604699999</v>
      </c>
      <c r="F1015">
        <v>994</v>
      </c>
      <c r="G1015">
        <v>71.436477660999998</v>
      </c>
      <c r="H1015">
        <v>994</v>
      </c>
      <c r="I1015">
        <v>76.277107239000003</v>
      </c>
      <c r="K1015">
        <f t="shared" si="55"/>
        <v>26.267028807999992</v>
      </c>
      <c r="L1015">
        <v>994</v>
      </c>
      <c r="M1015">
        <v>187</v>
      </c>
      <c r="N1015">
        <v>994</v>
      </c>
      <c r="O1015">
        <v>68</v>
      </c>
      <c r="P1015">
        <f t="shared" si="53"/>
        <v>105.211425781</v>
      </c>
    </row>
    <row r="1016" spans="1:16">
      <c r="A1016">
        <f t="shared" si="54"/>
        <v>1601.4641638312351</v>
      </c>
      <c r="B1016">
        <v>995</v>
      </c>
      <c r="C1016">
        <v>78.986404418999996</v>
      </c>
      <c r="D1016">
        <v>995</v>
      </c>
      <c r="E1016">
        <v>101.56192016599999</v>
      </c>
      <c r="F1016">
        <v>995</v>
      </c>
      <c r="G1016">
        <v>71.522079468000001</v>
      </c>
      <c r="H1016">
        <v>995</v>
      </c>
      <c r="I1016">
        <v>76.232986449999999</v>
      </c>
      <c r="K1016">
        <f t="shared" si="55"/>
        <v>25.328933715999995</v>
      </c>
      <c r="L1016">
        <v>995</v>
      </c>
      <c r="M1016">
        <v>187</v>
      </c>
      <c r="N1016">
        <v>995</v>
      </c>
      <c r="O1016">
        <v>68</v>
      </c>
      <c r="P1016">
        <f t="shared" si="53"/>
        <v>108.013595581</v>
      </c>
    </row>
    <row r="1017" spans="1:16">
      <c r="A1017">
        <f t="shared" si="54"/>
        <v>1602.3902584682514</v>
      </c>
      <c r="B1017">
        <v>996</v>
      </c>
      <c r="C1017">
        <v>80.083709717000005</v>
      </c>
      <c r="D1017">
        <v>996</v>
      </c>
      <c r="E1017">
        <v>100.245895386</v>
      </c>
      <c r="F1017">
        <v>996</v>
      </c>
      <c r="G1017">
        <v>71.333335876000007</v>
      </c>
      <c r="H1017">
        <v>996</v>
      </c>
      <c r="I1017">
        <v>77.867317200000002</v>
      </c>
      <c r="K1017">
        <f t="shared" si="55"/>
        <v>22.378578185999999</v>
      </c>
      <c r="L1017">
        <v>996</v>
      </c>
      <c r="M1017">
        <v>187</v>
      </c>
      <c r="N1017">
        <v>996</v>
      </c>
      <c r="O1017">
        <v>68</v>
      </c>
      <c r="P1017">
        <f t="shared" si="53"/>
        <v>106.916290283</v>
      </c>
    </row>
    <row r="1018" spans="1:16">
      <c r="A1018">
        <f t="shared" si="54"/>
        <v>1603.3163531052676</v>
      </c>
      <c r="B1018">
        <v>997</v>
      </c>
      <c r="C1018">
        <v>81.341461182000003</v>
      </c>
      <c r="D1018">
        <v>997</v>
      </c>
      <c r="E1018">
        <v>99.955917357999994</v>
      </c>
      <c r="F1018">
        <v>997</v>
      </c>
      <c r="G1018">
        <v>70.950775145999998</v>
      </c>
      <c r="H1018">
        <v>997</v>
      </c>
      <c r="I1018">
        <v>79.190055846999996</v>
      </c>
      <c r="K1018">
        <f t="shared" si="55"/>
        <v>20.765861510999997</v>
      </c>
      <c r="L1018">
        <v>997</v>
      </c>
      <c r="M1018">
        <v>187</v>
      </c>
      <c r="N1018">
        <v>997</v>
      </c>
      <c r="O1018">
        <v>68</v>
      </c>
      <c r="P1018">
        <f t="shared" si="53"/>
        <v>105.658538818</v>
      </c>
    </row>
    <row r="1019" spans="1:16">
      <c r="A1019">
        <f t="shared" si="54"/>
        <v>1604.242447742284</v>
      </c>
      <c r="B1019">
        <v>998</v>
      </c>
      <c r="C1019">
        <v>81.329826354999994</v>
      </c>
      <c r="D1019">
        <v>998</v>
      </c>
      <c r="E1019">
        <v>101.98094940199999</v>
      </c>
      <c r="F1019">
        <v>998</v>
      </c>
      <c r="G1019">
        <v>69.711807250999996</v>
      </c>
      <c r="H1019">
        <v>998</v>
      </c>
      <c r="I1019">
        <v>78.964706421000002</v>
      </c>
      <c r="K1019">
        <f t="shared" si="55"/>
        <v>23.016242980999991</v>
      </c>
      <c r="L1019">
        <v>998</v>
      </c>
      <c r="M1019">
        <v>187</v>
      </c>
      <c r="N1019">
        <v>998</v>
      </c>
      <c r="O1019">
        <v>68</v>
      </c>
      <c r="P1019">
        <f t="shared" si="53"/>
        <v>105.67017364500001</v>
      </c>
    </row>
    <row r="1020" spans="1:16">
      <c r="A1020">
        <f t="shared" si="54"/>
        <v>1605.1685423793001</v>
      </c>
      <c r="B1020">
        <v>999</v>
      </c>
      <c r="C1020">
        <v>80.608123778999996</v>
      </c>
      <c r="D1020">
        <v>999</v>
      </c>
      <c r="E1020">
        <v>102.507522583</v>
      </c>
      <c r="F1020">
        <v>999</v>
      </c>
      <c r="G1020">
        <v>70.171653747999997</v>
      </c>
      <c r="H1020">
        <v>999</v>
      </c>
      <c r="I1020">
        <v>77.077934264999996</v>
      </c>
      <c r="K1020">
        <f t="shared" si="55"/>
        <v>25.429588318</v>
      </c>
      <c r="L1020">
        <v>999</v>
      </c>
      <c r="M1020">
        <v>187</v>
      </c>
      <c r="N1020">
        <v>999</v>
      </c>
      <c r="O1020">
        <v>68</v>
      </c>
      <c r="P1020">
        <f t="shared" si="53"/>
        <v>106.391876221</v>
      </c>
    </row>
    <row r="1021" spans="1:16">
      <c r="A1021">
        <f t="shared" si="54"/>
        <v>1606.0946370163165</v>
      </c>
      <c r="B1021">
        <v>1000</v>
      </c>
      <c r="C1021">
        <v>82.528984070000007</v>
      </c>
      <c r="D1021">
        <v>1000</v>
      </c>
      <c r="E1021">
        <v>103.929916382</v>
      </c>
      <c r="F1021">
        <v>1000</v>
      </c>
      <c r="G1021">
        <v>70.353126525999997</v>
      </c>
      <c r="H1021">
        <v>1000</v>
      </c>
      <c r="I1021">
        <v>77.532875060999999</v>
      </c>
      <c r="K1021">
        <f t="shared" si="55"/>
        <v>26.397041321000003</v>
      </c>
      <c r="L1021">
        <v>1000</v>
      </c>
      <c r="M1021">
        <v>187</v>
      </c>
      <c r="N1021">
        <v>1000</v>
      </c>
      <c r="O1021">
        <v>68</v>
      </c>
      <c r="P1021">
        <f t="shared" si="53"/>
        <v>104.47101592999999</v>
      </c>
    </row>
    <row r="1022" spans="1:16">
      <c r="A1022">
        <f t="shared" si="54"/>
        <v>1607.0207316533329</v>
      </c>
      <c r="B1022">
        <v>1001</v>
      </c>
      <c r="C1022">
        <v>79.479164123999993</v>
      </c>
      <c r="D1022">
        <v>1001</v>
      </c>
      <c r="E1022">
        <v>102.672058105</v>
      </c>
      <c r="F1022">
        <v>1001</v>
      </c>
      <c r="G1022">
        <v>69.939887999999996</v>
      </c>
      <c r="H1022">
        <v>1001</v>
      </c>
      <c r="I1022">
        <v>77.938583374000004</v>
      </c>
      <c r="K1022">
        <f t="shared" si="55"/>
        <v>24.733474731000001</v>
      </c>
      <c r="L1022">
        <v>1001</v>
      </c>
      <c r="M1022">
        <v>187</v>
      </c>
      <c r="N1022">
        <v>1001</v>
      </c>
      <c r="O1022">
        <v>68.722389221</v>
      </c>
      <c r="P1022">
        <f t="shared" si="53"/>
        <v>107.52083587600001</v>
      </c>
    </row>
    <row r="1023" spans="1:16">
      <c r="A1023">
        <f t="shared" si="54"/>
        <v>1607.9468262903492</v>
      </c>
      <c r="B1023">
        <v>1002</v>
      </c>
      <c r="C1023">
        <v>79.310440063000001</v>
      </c>
      <c r="D1023">
        <v>1002</v>
      </c>
      <c r="E1023">
        <v>102.17389679</v>
      </c>
      <c r="F1023">
        <v>1002</v>
      </c>
      <c r="G1023">
        <v>69.526573181000003</v>
      </c>
      <c r="H1023">
        <v>1002</v>
      </c>
      <c r="I1023">
        <v>77.218009949000006</v>
      </c>
      <c r="K1023">
        <f t="shared" si="55"/>
        <v>24.955886840999995</v>
      </c>
      <c r="L1023">
        <v>1002</v>
      </c>
      <c r="M1023">
        <v>185.315948486</v>
      </c>
      <c r="N1023">
        <v>1002</v>
      </c>
      <c r="O1023">
        <v>69.929374695000007</v>
      </c>
      <c r="P1023">
        <f t="shared" si="53"/>
        <v>106.00550842299999</v>
      </c>
    </row>
    <row r="1024" spans="1:16">
      <c r="A1024">
        <f t="shared" si="54"/>
        <v>1608.8729209273656</v>
      </c>
      <c r="B1024">
        <v>1003</v>
      </c>
      <c r="C1024">
        <v>84.577949524000005</v>
      </c>
      <c r="D1024">
        <v>1003</v>
      </c>
      <c r="E1024">
        <v>101.67572784399999</v>
      </c>
      <c r="F1024">
        <v>1003</v>
      </c>
      <c r="G1024">
        <v>69.507202148000005</v>
      </c>
      <c r="H1024">
        <v>1003</v>
      </c>
      <c r="I1024">
        <v>74.165000915999997</v>
      </c>
      <c r="K1024">
        <f t="shared" si="55"/>
        <v>27.510726927999997</v>
      </c>
      <c r="L1024">
        <v>1003</v>
      </c>
      <c r="M1024">
        <v>185</v>
      </c>
      <c r="N1024">
        <v>1003</v>
      </c>
      <c r="O1024">
        <v>70</v>
      </c>
      <c r="P1024">
        <f t="shared" si="53"/>
        <v>100.422050476</v>
      </c>
    </row>
    <row r="1025" spans="1:16">
      <c r="A1025">
        <f t="shared" si="54"/>
        <v>1609.799015564382</v>
      </c>
      <c r="B1025">
        <v>1004</v>
      </c>
      <c r="C1025">
        <v>78.092079162999994</v>
      </c>
      <c r="D1025">
        <v>1004</v>
      </c>
      <c r="E1025">
        <v>103.210403442</v>
      </c>
      <c r="F1025">
        <v>1004</v>
      </c>
      <c r="G1025">
        <v>68.578491210999999</v>
      </c>
      <c r="H1025">
        <v>1004</v>
      </c>
      <c r="I1025">
        <v>73.178405761999997</v>
      </c>
      <c r="K1025">
        <f t="shared" si="55"/>
        <v>30.031997680000003</v>
      </c>
      <c r="L1025">
        <v>1004</v>
      </c>
      <c r="M1025">
        <v>185</v>
      </c>
      <c r="N1025">
        <v>1004</v>
      </c>
      <c r="O1025">
        <v>70</v>
      </c>
      <c r="P1025">
        <f t="shared" si="53"/>
        <v>106.90792083700001</v>
      </c>
    </row>
    <row r="1026" spans="1:16">
      <c r="A1026">
        <f t="shared" si="54"/>
        <v>1610.7251102013981</v>
      </c>
      <c r="B1026">
        <v>1005</v>
      </c>
      <c r="C1026">
        <v>77.206970214999998</v>
      </c>
      <c r="D1026">
        <v>1005</v>
      </c>
      <c r="E1026">
        <v>102.943916321</v>
      </c>
      <c r="F1026">
        <v>1005</v>
      </c>
      <c r="G1026">
        <v>68.379089355000005</v>
      </c>
      <c r="H1026">
        <v>1005</v>
      </c>
      <c r="I1026">
        <v>76.082580566000004</v>
      </c>
      <c r="K1026">
        <f t="shared" si="55"/>
        <v>26.861335754999999</v>
      </c>
      <c r="L1026">
        <v>1005</v>
      </c>
      <c r="M1026">
        <v>185</v>
      </c>
      <c r="N1026">
        <v>1005</v>
      </c>
      <c r="O1026">
        <v>70</v>
      </c>
      <c r="P1026">
        <f t="shared" si="53"/>
        <v>107.793029785</v>
      </c>
    </row>
    <row r="1027" spans="1:16">
      <c r="A1027">
        <f t="shared" si="54"/>
        <v>1611.6512048384143</v>
      </c>
      <c r="B1027">
        <v>1006</v>
      </c>
      <c r="C1027">
        <v>78.237846375000004</v>
      </c>
      <c r="D1027">
        <v>1006</v>
      </c>
      <c r="E1027">
        <v>97.912086486999996</v>
      </c>
      <c r="F1027">
        <v>1006</v>
      </c>
      <c r="G1027">
        <v>68.871337890999996</v>
      </c>
      <c r="H1027">
        <v>1006</v>
      </c>
      <c r="I1027">
        <v>77.601638793999996</v>
      </c>
      <c r="K1027">
        <f t="shared" si="55"/>
        <v>20.310447693</v>
      </c>
      <c r="L1027">
        <v>1006</v>
      </c>
      <c r="M1027">
        <v>185</v>
      </c>
      <c r="N1027">
        <v>1006</v>
      </c>
      <c r="O1027">
        <v>70</v>
      </c>
      <c r="P1027">
        <f t="shared" si="53"/>
        <v>106.762153625</v>
      </c>
    </row>
    <row r="1028" spans="1:16">
      <c r="A1028">
        <f t="shared" si="54"/>
        <v>1612.5772994754307</v>
      </c>
      <c r="B1028">
        <v>1007</v>
      </c>
      <c r="C1028">
        <v>81.021629333000007</v>
      </c>
      <c r="D1028">
        <v>1007</v>
      </c>
      <c r="E1028">
        <v>98.206710814999994</v>
      </c>
      <c r="F1028">
        <v>1007</v>
      </c>
      <c r="G1028">
        <v>69.333335876000007</v>
      </c>
      <c r="H1028">
        <v>1007</v>
      </c>
      <c r="I1028">
        <v>75.290115356000001</v>
      </c>
      <c r="K1028">
        <f t="shared" si="55"/>
        <v>22.916595458999993</v>
      </c>
      <c r="L1028">
        <v>1007</v>
      </c>
      <c r="M1028">
        <v>185</v>
      </c>
      <c r="N1028">
        <v>1007</v>
      </c>
      <c r="O1028">
        <v>70</v>
      </c>
      <c r="P1028">
        <f t="shared" si="53"/>
        <v>103.97837066699999</v>
      </c>
    </row>
    <row r="1029" spans="1:16">
      <c r="A1029">
        <f t="shared" si="54"/>
        <v>1613.503394112447</v>
      </c>
      <c r="B1029">
        <v>1008</v>
      </c>
      <c r="C1029">
        <v>78.962104796999995</v>
      </c>
      <c r="D1029">
        <v>1008</v>
      </c>
      <c r="E1029">
        <v>100.344841003</v>
      </c>
      <c r="F1029">
        <v>1008</v>
      </c>
      <c r="G1029">
        <v>69.333335876000007</v>
      </c>
      <c r="H1029">
        <v>1008</v>
      </c>
      <c r="I1029">
        <v>72.891075134000005</v>
      </c>
      <c r="K1029">
        <f t="shared" si="55"/>
        <v>27.453765868999994</v>
      </c>
      <c r="L1029">
        <v>1008</v>
      </c>
      <c r="M1029">
        <v>184.614013672</v>
      </c>
      <c r="N1029">
        <v>1008</v>
      </c>
      <c r="O1029">
        <v>70.431747436999999</v>
      </c>
      <c r="P1029">
        <f t="shared" si="53"/>
        <v>105.651908875</v>
      </c>
    </row>
    <row r="1030" spans="1:16">
      <c r="A1030">
        <f t="shared" si="54"/>
        <v>1614.4294887494634</v>
      </c>
      <c r="B1030">
        <v>1009</v>
      </c>
      <c r="C1030">
        <v>79.806175232000001</v>
      </c>
      <c r="D1030">
        <v>1009</v>
      </c>
      <c r="E1030">
        <v>100.04788207999999</v>
      </c>
      <c r="F1030">
        <v>1009</v>
      </c>
      <c r="G1030">
        <v>69.333335876000007</v>
      </c>
      <c r="H1030">
        <v>1009</v>
      </c>
      <c r="I1030">
        <v>73.266098021999994</v>
      </c>
      <c r="K1030">
        <f t="shared" si="55"/>
        <v>26.781784058</v>
      </c>
      <c r="L1030">
        <v>1009</v>
      </c>
      <c r="M1030">
        <v>184</v>
      </c>
      <c r="N1030">
        <v>1009</v>
      </c>
      <c r="O1030">
        <v>71</v>
      </c>
      <c r="P1030">
        <f t="shared" si="53"/>
        <v>104.193824768</v>
      </c>
    </row>
    <row r="1031" spans="1:16">
      <c r="A1031">
        <f t="shared" si="54"/>
        <v>1615.3555833864798</v>
      </c>
      <c r="B1031">
        <v>1010</v>
      </c>
      <c r="C1031">
        <v>81.796241760000001</v>
      </c>
      <c r="D1031">
        <v>1010</v>
      </c>
      <c r="E1031">
        <v>102.596862793</v>
      </c>
      <c r="F1031">
        <v>1010</v>
      </c>
      <c r="G1031">
        <v>69.333335876000007</v>
      </c>
      <c r="H1031">
        <v>1010</v>
      </c>
      <c r="I1031">
        <v>72.426033020000006</v>
      </c>
      <c r="K1031">
        <f t="shared" si="55"/>
        <v>30.170829772999994</v>
      </c>
      <c r="L1031">
        <v>1010</v>
      </c>
      <c r="M1031">
        <v>184</v>
      </c>
      <c r="N1031">
        <v>1010</v>
      </c>
      <c r="O1031">
        <v>71</v>
      </c>
      <c r="P1031">
        <f t="shared" si="53"/>
        <v>102.20375824</v>
      </c>
    </row>
    <row r="1032" spans="1:16">
      <c r="A1032">
        <f t="shared" si="54"/>
        <v>1616.2816780234962</v>
      </c>
      <c r="B1032">
        <v>1011</v>
      </c>
      <c r="C1032">
        <v>79.952293396000002</v>
      </c>
      <c r="D1032">
        <v>1011</v>
      </c>
      <c r="E1032">
        <v>104.725204468</v>
      </c>
      <c r="F1032">
        <v>1011</v>
      </c>
      <c r="G1032">
        <v>69.184303283999995</v>
      </c>
      <c r="H1032">
        <v>1011</v>
      </c>
      <c r="I1032">
        <v>71.620002747000001</v>
      </c>
      <c r="K1032">
        <f t="shared" si="55"/>
        <v>33.105201721</v>
      </c>
      <c r="L1032">
        <v>1011</v>
      </c>
      <c r="M1032">
        <v>184</v>
      </c>
      <c r="N1032">
        <v>1011</v>
      </c>
      <c r="O1032">
        <v>71</v>
      </c>
      <c r="P1032">
        <f t="shared" si="53"/>
        <v>104.047706604</v>
      </c>
    </row>
    <row r="1033" spans="1:16">
      <c r="A1033">
        <f t="shared" si="54"/>
        <v>1617.2077726605123</v>
      </c>
      <c r="B1033">
        <v>1012</v>
      </c>
      <c r="C1033">
        <v>80.703582764000004</v>
      </c>
      <c r="D1033">
        <v>1012</v>
      </c>
      <c r="E1033">
        <v>103.521575928</v>
      </c>
      <c r="F1033">
        <v>1012</v>
      </c>
      <c r="G1033">
        <v>68.751144409000005</v>
      </c>
      <c r="H1033">
        <v>1012</v>
      </c>
      <c r="I1033">
        <v>71.803924561000002</v>
      </c>
      <c r="K1033">
        <f t="shared" si="55"/>
        <v>31.717651367000002</v>
      </c>
      <c r="L1033">
        <v>1012</v>
      </c>
      <c r="M1033">
        <v>184</v>
      </c>
      <c r="N1033">
        <v>1012</v>
      </c>
      <c r="O1033">
        <v>71</v>
      </c>
      <c r="P1033">
        <f t="shared" si="53"/>
        <v>103.296417236</v>
      </c>
    </row>
    <row r="1034" spans="1:16">
      <c r="A1034">
        <f t="shared" si="54"/>
        <v>1618.1338672975287</v>
      </c>
      <c r="B1034">
        <v>1013</v>
      </c>
      <c r="C1034">
        <v>84.423957825000002</v>
      </c>
      <c r="D1034">
        <v>1013</v>
      </c>
      <c r="E1034">
        <v>96.239295959000003</v>
      </c>
      <c r="F1034">
        <v>1013</v>
      </c>
      <c r="G1034">
        <v>68.291793823000006</v>
      </c>
      <c r="H1034">
        <v>1013</v>
      </c>
      <c r="I1034">
        <v>72.268630981000001</v>
      </c>
      <c r="K1034">
        <f t="shared" si="55"/>
        <v>23.970664978000002</v>
      </c>
      <c r="L1034">
        <v>1013</v>
      </c>
      <c r="M1034">
        <v>184</v>
      </c>
      <c r="N1034">
        <v>1013</v>
      </c>
      <c r="O1034">
        <v>71</v>
      </c>
      <c r="P1034">
        <f t="shared" si="53"/>
        <v>99.576042174999998</v>
      </c>
    </row>
    <row r="1035" spans="1:16">
      <c r="A1035">
        <f t="shared" si="54"/>
        <v>1619.0599619345448</v>
      </c>
      <c r="B1035">
        <v>1014</v>
      </c>
      <c r="C1035">
        <v>83.258476256999998</v>
      </c>
      <c r="D1035">
        <v>1014</v>
      </c>
      <c r="E1035">
        <v>100.017089844</v>
      </c>
      <c r="F1035">
        <v>1014</v>
      </c>
      <c r="G1035">
        <v>68.202850342000005</v>
      </c>
      <c r="H1035">
        <v>1014</v>
      </c>
      <c r="I1035">
        <v>71.992156981999997</v>
      </c>
      <c r="K1035">
        <f t="shared" si="55"/>
        <v>28.024932862</v>
      </c>
      <c r="L1035">
        <v>1014</v>
      </c>
      <c r="M1035">
        <v>184</v>
      </c>
      <c r="N1035">
        <v>1014</v>
      </c>
      <c r="O1035">
        <v>71</v>
      </c>
      <c r="P1035">
        <f t="shared" si="53"/>
        <v>100.741523743</v>
      </c>
    </row>
    <row r="1036" spans="1:16">
      <c r="A1036">
        <f t="shared" si="54"/>
        <v>1619.9860565715612</v>
      </c>
      <c r="B1036">
        <v>1015</v>
      </c>
      <c r="C1036">
        <v>78.589202881000006</v>
      </c>
      <c r="D1036">
        <v>1015</v>
      </c>
      <c r="E1036">
        <v>100.988609314</v>
      </c>
      <c r="F1036">
        <v>1015</v>
      </c>
      <c r="G1036">
        <v>70.686470032000003</v>
      </c>
      <c r="H1036">
        <v>1015</v>
      </c>
      <c r="I1036">
        <v>71.715682982999994</v>
      </c>
      <c r="K1036">
        <f t="shared" si="55"/>
        <v>29.272926331000008</v>
      </c>
      <c r="L1036">
        <v>1015</v>
      </c>
      <c r="M1036">
        <v>183.14605712900001</v>
      </c>
      <c r="N1036">
        <v>1015</v>
      </c>
      <c r="O1036">
        <v>71.853950499999996</v>
      </c>
      <c r="P1036">
        <f t="shared" si="53"/>
        <v>104.55685424800001</v>
      </c>
    </row>
    <row r="1037" spans="1:16">
      <c r="A1037">
        <f t="shared" si="54"/>
        <v>1620.9121512085776</v>
      </c>
      <c r="B1037">
        <v>1016</v>
      </c>
      <c r="C1037">
        <v>78.776283264</v>
      </c>
      <c r="D1037">
        <v>1016</v>
      </c>
      <c r="E1037">
        <v>97.387023925999998</v>
      </c>
      <c r="F1037">
        <v>1016</v>
      </c>
      <c r="G1037">
        <v>69.777450561999999</v>
      </c>
      <c r="H1037">
        <v>1016</v>
      </c>
      <c r="I1037">
        <v>70.714324950999995</v>
      </c>
      <c r="K1037">
        <f t="shared" si="55"/>
        <v>26.672698975000003</v>
      </c>
      <c r="L1037">
        <v>1016</v>
      </c>
      <c r="M1037">
        <v>183</v>
      </c>
      <c r="N1037">
        <v>1016</v>
      </c>
      <c r="O1037">
        <v>72</v>
      </c>
      <c r="P1037">
        <f t="shared" si="53"/>
        <v>104.223716736</v>
      </c>
    </row>
    <row r="1038" spans="1:16">
      <c r="A1038">
        <f t="shared" si="54"/>
        <v>1621.838245845594</v>
      </c>
      <c r="B1038">
        <v>1017</v>
      </c>
      <c r="C1038">
        <v>77.521659850999995</v>
      </c>
      <c r="D1038">
        <v>1017</v>
      </c>
      <c r="E1038">
        <v>96.562332153</v>
      </c>
      <c r="F1038">
        <v>1017</v>
      </c>
      <c r="G1038">
        <v>66.667854309000006</v>
      </c>
      <c r="H1038">
        <v>1017</v>
      </c>
      <c r="I1038">
        <v>69.106567382999998</v>
      </c>
      <c r="K1038">
        <f t="shared" si="55"/>
        <v>27.455764770000002</v>
      </c>
      <c r="L1038">
        <v>1017</v>
      </c>
      <c r="M1038">
        <v>183</v>
      </c>
      <c r="N1038">
        <v>1017</v>
      </c>
      <c r="O1038">
        <v>72</v>
      </c>
      <c r="P1038">
        <f t="shared" si="53"/>
        <v>105.478340149</v>
      </c>
    </row>
    <row r="1039" spans="1:16">
      <c r="A1039">
        <f t="shared" si="54"/>
        <v>1622.7643404826104</v>
      </c>
      <c r="B1039">
        <v>1018</v>
      </c>
      <c r="C1039">
        <v>78.559051514000004</v>
      </c>
      <c r="D1039">
        <v>1018</v>
      </c>
      <c r="E1039">
        <v>97.067840575999995</v>
      </c>
      <c r="F1039">
        <v>1018</v>
      </c>
      <c r="G1039">
        <v>65.488739014000004</v>
      </c>
      <c r="H1039">
        <v>1018</v>
      </c>
      <c r="I1039">
        <v>69.408615112000007</v>
      </c>
      <c r="K1039">
        <f t="shared" si="55"/>
        <v>27.659225463999988</v>
      </c>
      <c r="L1039">
        <v>1018</v>
      </c>
      <c r="M1039">
        <v>183</v>
      </c>
      <c r="N1039">
        <v>1018</v>
      </c>
      <c r="O1039">
        <v>72</v>
      </c>
      <c r="P1039">
        <f t="shared" si="53"/>
        <v>104.440948486</v>
      </c>
    </row>
    <row r="1040" spans="1:16">
      <c r="A1040">
        <f t="shared" si="54"/>
        <v>1623.6904351196267</v>
      </c>
      <c r="B1040">
        <v>1019</v>
      </c>
      <c r="C1040">
        <v>78.561927795000003</v>
      </c>
      <c r="D1040">
        <v>1019</v>
      </c>
      <c r="E1040">
        <v>98.001296996999997</v>
      </c>
      <c r="F1040">
        <v>1019</v>
      </c>
      <c r="G1040">
        <v>65.599014281999999</v>
      </c>
      <c r="H1040">
        <v>1019</v>
      </c>
      <c r="I1040">
        <v>70.403327942000004</v>
      </c>
      <c r="K1040">
        <f t="shared" si="55"/>
        <v>27.597969054999993</v>
      </c>
      <c r="L1040">
        <v>1019</v>
      </c>
      <c r="M1040">
        <v>183</v>
      </c>
      <c r="N1040">
        <v>1019</v>
      </c>
      <c r="O1040">
        <v>72</v>
      </c>
      <c r="P1040">
        <f t="shared" si="53"/>
        <v>104.438072205</v>
      </c>
    </row>
    <row r="1041" spans="1:16">
      <c r="A1041">
        <f t="shared" si="54"/>
        <v>1624.6165297566429</v>
      </c>
      <c r="B1041">
        <v>1020</v>
      </c>
      <c r="C1041">
        <v>76.967315674000005</v>
      </c>
      <c r="D1041">
        <v>1020</v>
      </c>
      <c r="E1041">
        <v>101.463066101</v>
      </c>
      <c r="F1041">
        <v>1020</v>
      </c>
      <c r="G1041">
        <v>67.731643676999994</v>
      </c>
      <c r="H1041">
        <v>1020</v>
      </c>
      <c r="I1041">
        <v>70.833335876000007</v>
      </c>
      <c r="K1041">
        <f t="shared" si="55"/>
        <v>30.629730224999989</v>
      </c>
      <c r="L1041">
        <v>1020</v>
      </c>
      <c r="M1041">
        <v>183</v>
      </c>
      <c r="N1041">
        <v>1020</v>
      </c>
      <c r="O1041">
        <v>72</v>
      </c>
      <c r="P1041">
        <f t="shared" si="53"/>
        <v>106.03268432599999</v>
      </c>
    </row>
    <row r="1042" spans="1:16">
      <c r="A1042">
        <f t="shared" si="54"/>
        <v>1625.5426243936593</v>
      </c>
      <c r="B1042">
        <v>1021</v>
      </c>
      <c r="C1042">
        <v>76.174621582</v>
      </c>
      <c r="D1042">
        <v>1021</v>
      </c>
      <c r="E1042">
        <v>100.797943115</v>
      </c>
      <c r="F1042">
        <v>1021</v>
      </c>
      <c r="G1042">
        <v>68.989448546999995</v>
      </c>
      <c r="H1042">
        <v>1021</v>
      </c>
      <c r="I1042">
        <v>70.678489685000002</v>
      </c>
      <c r="K1042">
        <f t="shared" si="55"/>
        <v>30.119453429999993</v>
      </c>
      <c r="L1042">
        <v>1021</v>
      </c>
      <c r="M1042">
        <v>183</v>
      </c>
      <c r="N1042">
        <v>1021</v>
      </c>
      <c r="O1042">
        <v>72</v>
      </c>
      <c r="P1042">
        <f t="shared" si="53"/>
        <v>106.825378418</v>
      </c>
    </row>
    <row r="1043" spans="1:16">
      <c r="A1043">
        <f t="shared" si="54"/>
        <v>1626.4687190306754</v>
      </c>
      <c r="B1043">
        <v>1022</v>
      </c>
      <c r="C1043">
        <v>76.802391052000004</v>
      </c>
      <c r="D1043">
        <v>1022</v>
      </c>
      <c r="E1043">
        <v>98.311004639000004</v>
      </c>
      <c r="F1043">
        <v>1022</v>
      </c>
      <c r="G1043">
        <v>67.715332031000003</v>
      </c>
      <c r="H1043">
        <v>1022</v>
      </c>
      <c r="I1043">
        <v>70.333335876000007</v>
      </c>
      <c r="K1043">
        <f t="shared" si="55"/>
        <v>27.977668762999997</v>
      </c>
      <c r="L1043">
        <v>1022</v>
      </c>
      <c r="M1043">
        <v>183</v>
      </c>
      <c r="N1043">
        <v>1022</v>
      </c>
      <c r="O1043">
        <v>72</v>
      </c>
      <c r="P1043">
        <f t="shared" si="53"/>
        <v>106.197608948</v>
      </c>
    </row>
    <row r="1044" spans="1:16">
      <c r="A1044">
        <f t="shared" si="54"/>
        <v>1627.3948136676918</v>
      </c>
      <c r="B1044">
        <v>1023</v>
      </c>
      <c r="C1044">
        <v>78.426872252999999</v>
      </c>
      <c r="D1044">
        <v>1023</v>
      </c>
      <c r="E1044">
        <v>99.625442504999995</v>
      </c>
      <c r="F1044">
        <v>1023</v>
      </c>
      <c r="G1044">
        <v>67.244651794000006</v>
      </c>
      <c r="H1044">
        <v>1023</v>
      </c>
      <c r="I1044">
        <v>69.969596863000007</v>
      </c>
      <c r="K1044">
        <f t="shared" si="55"/>
        <v>29.655845641999989</v>
      </c>
      <c r="L1044">
        <v>1023</v>
      </c>
      <c r="M1044">
        <v>183</v>
      </c>
      <c r="N1044">
        <v>1023</v>
      </c>
      <c r="O1044">
        <v>72</v>
      </c>
      <c r="P1044">
        <f t="shared" si="53"/>
        <v>104.573127747</v>
      </c>
    </row>
    <row r="1045" spans="1:16">
      <c r="A1045">
        <f t="shared" si="54"/>
        <v>1628.3209083047082</v>
      </c>
      <c r="B1045">
        <v>1024</v>
      </c>
      <c r="C1045">
        <v>77.642021178999997</v>
      </c>
      <c r="D1045">
        <v>1024</v>
      </c>
      <c r="E1045">
        <v>101.054023743</v>
      </c>
      <c r="F1045">
        <v>1024</v>
      </c>
      <c r="G1045">
        <v>66.893539429</v>
      </c>
      <c r="H1045">
        <v>1024</v>
      </c>
      <c r="I1045">
        <v>70.328300475999995</v>
      </c>
      <c r="K1045">
        <f t="shared" si="55"/>
        <v>30.725723267000006</v>
      </c>
      <c r="L1045">
        <v>1024</v>
      </c>
      <c r="M1045">
        <v>183</v>
      </c>
      <c r="N1045">
        <v>1024</v>
      </c>
      <c r="O1045">
        <v>72</v>
      </c>
      <c r="P1045">
        <f t="shared" ref="P1045:P1108" si="56">M1045-C1045</f>
        <v>105.357978821</v>
      </c>
    </row>
    <row r="1046" spans="1:16">
      <c r="A1046">
        <f t="shared" ref="A1046:A1109" si="57">680 +B1046*COS(ABS($J$8)*PI()/180)</f>
        <v>1629.2470029417245</v>
      </c>
      <c r="B1046">
        <v>1025</v>
      </c>
      <c r="C1046">
        <v>76.019569396999998</v>
      </c>
      <c r="D1046">
        <v>1025</v>
      </c>
      <c r="E1046">
        <v>99.586807250999996</v>
      </c>
      <c r="F1046">
        <v>1025</v>
      </c>
      <c r="G1046">
        <v>65.607551575000002</v>
      </c>
      <c r="H1046">
        <v>1025</v>
      </c>
      <c r="I1046">
        <v>71.148857117000006</v>
      </c>
      <c r="K1046">
        <f t="shared" ref="K1046:K1109" si="58">E1046-I1046</f>
        <v>28.43795013399999</v>
      </c>
      <c r="L1046">
        <v>1025</v>
      </c>
      <c r="M1046">
        <v>183</v>
      </c>
      <c r="N1046">
        <v>1025</v>
      </c>
      <c r="O1046">
        <v>72</v>
      </c>
      <c r="P1046">
        <f t="shared" si="56"/>
        <v>106.980430603</v>
      </c>
    </row>
    <row r="1047" spans="1:16">
      <c r="A1047">
        <f t="shared" si="57"/>
        <v>1630.1730975787409</v>
      </c>
      <c r="B1047">
        <v>1026</v>
      </c>
      <c r="C1047">
        <v>75.696937560999999</v>
      </c>
      <c r="D1047">
        <v>1026</v>
      </c>
      <c r="E1047">
        <v>96.766044617000006</v>
      </c>
      <c r="F1047">
        <v>1026</v>
      </c>
      <c r="G1047">
        <v>64.777877808</v>
      </c>
      <c r="H1047">
        <v>1026</v>
      </c>
      <c r="I1047">
        <v>79.055145264000004</v>
      </c>
      <c r="K1047">
        <f t="shared" si="58"/>
        <v>17.710899353000002</v>
      </c>
      <c r="L1047">
        <v>1026</v>
      </c>
      <c r="M1047">
        <v>182.99214172399999</v>
      </c>
      <c r="N1047">
        <v>1026</v>
      </c>
      <c r="O1047">
        <v>72.017883300999998</v>
      </c>
      <c r="P1047">
        <f t="shared" si="56"/>
        <v>107.29520416299999</v>
      </c>
    </row>
    <row r="1048" spans="1:16">
      <c r="A1048">
        <f t="shared" si="57"/>
        <v>1631.0991922157571</v>
      </c>
      <c r="B1048">
        <v>1027</v>
      </c>
      <c r="C1048">
        <v>76.495964049999998</v>
      </c>
      <c r="D1048">
        <v>1027</v>
      </c>
      <c r="E1048">
        <v>97.738487243999998</v>
      </c>
      <c r="F1048">
        <v>1027</v>
      </c>
      <c r="G1048">
        <v>65.180473328000005</v>
      </c>
      <c r="H1048">
        <v>1027</v>
      </c>
      <c r="I1048">
        <v>71.326309203999998</v>
      </c>
      <c r="K1048">
        <f t="shared" si="58"/>
        <v>26.412178040000001</v>
      </c>
      <c r="L1048">
        <v>1027</v>
      </c>
      <c r="M1048">
        <v>182.2265625</v>
      </c>
      <c r="N1048">
        <v>1027</v>
      </c>
      <c r="O1048">
        <v>72.962318420000003</v>
      </c>
      <c r="P1048">
        <f t="shared" si="56"/>
        <v>105.73059845</v>
      </c>
    </row>
    <row r="1049" spans="1:16">
      <c r="A1049">
        <f t="shared" si="57"/>
        <v>1632.0252868527734</v>
      </c>
      <c r="B1049">
        <v>1028</v>
      </c>
      <c r="C1049">
        <v>79.337486267000003</v>
      </c>
      <c r="D1049">
        <v>1028</v>
      </c>
      <c r="E1049">
        <v>97.428962708</v>
      </c>
      <c r="F1049">
        <v>1028</v>
      </c>
      <c r="G1049">
        <v>65.146423339999998</v>
      </c>
      <c r="H1049">
        <v>1028</v>
      </c>
      <c r="I1049">
        <v>70.940605164000004</v>
      </c>
      <c r="K1049">
        <f t="shared" si="58"/>
        <v>26.488357543999996</v>
      </c>
      <c r="L1049">
        <v>1028</v>
      </c>
      <c r="M1049">
        <v>182</v>
      </c>
      <c r="N1049">
        <v>1028</v>
      </c>
      <c r="O1049">
        <v>73</v>
      </c>
      <c r="P1049">
        <f t="shared" si="56"/>
        <v>102.662513733</v>
      </c>
    </row>
    <row r="1050" spans="1:16">
      <c r="A1050">
        <f t="shared" si="57"/>
        <v>1632.9513814897896</v>
      </c>
      <c r="B1050">
        <v>1029</v>
      </c>
      <c r="C1050">
        <v>80.752563476999995</v>
      </c>
      <c r="D1050">
        <v>1029</v>
      </c>
      <c r="E1050">
        <v>96.991378784000005</v>
      </c>
      <c r="F1050">
        <v>1029</v>
      </c>
      <c r="G1050">
        <v>64.358078003000003</v>
      </c>
      <c r="H1050">
        <v>1029</v>
      </c>
      <c r="I1050">
        <v>74.101074218999997</v>
      </c>
      <c r="K1050">
        <f t="shared" si="58"/>
        <v>22.890304565000008</v>
      </c>
      <c r="L1050">
        <v>1029</v>
      </c>
      <c r="M1050">
        <v>182</v>
      </c>
      <c r="N1050">
        <v>1029</v>
      </c>
      <c r="O1050">
        <v>73</v>
      </c>
      <c r="P1050">
        <f t="shared" si="56"/>
        <v>101.247436523</v>
      </c>
    </row>
    <row r="1051" spans="1:16">
      <c r="A1051">
        <f t="shared" si="57"/>
        <v>1633.877476126806</v>
      </c>
      <c r="B1051">
        <v>1030</v>
      </c>
      <c r="C1051">
        <v>75.868446349999999</v>
      </c>
      <c r="D1051">
        <v>1030</v>
      </c>
      <c r="E1051">
        <v>96.403152465999995</v>
      </c>
      <c r="F1051">
        <v>1030</v>
      </c>
      <c r="G1051">
        <v>64.214179993000002</v>
      </c>
      <c r="H1051">
        <v>1030</v>
      </c>
      <c r="I1051">
        <v>74.230827332000004</v>
      </c>
      <c r="K1051">
        <f t="shared" si="58"/>
        <v>22.17232513399999</v>
      </c>
      <c r="L1051">
        <v>1030</v>
      </c>
      <c r="M1051">
        <v>182</v>
      </c>
      <c r="N1051">
        <v>1030</v>
      </c>
      <c r="O1051">
        <v>73</v>
      </c>
      <c r="P1051">
        <f t="shared" si="56"/>
        <v>106.13155365</v>
      </c>
    </row>
    <row r="1052" spans="1:16">
      <c r="A1052">
        <f t="shared" si="57"/>
        <v>1634.8035707638223</v>
      </c>
      <c r="B1052">
        <v>1031</v>
      </c>
      <c r="C1052">
        <v>73.990798949999999</v>
      </c>
      <c r="D1052">
        <v>1031</v>
      </c>
      <c r="E1052">
        <v>94.990287781000006</v>
      </c>
      <c r="F1052">
        <v>1031</v>
      </c>
      <c r="G1052">
        <v>62.911334990999997</v>
      </c>
      <c r="H1052">
        <v>1031</v>
      </c>
      <c r="I1052">
        <v>71.909889221</v>
      </c>
      <c r="K1052">
        <f t="shared" si="58"/>
        <v>23.080398560000006</v>
      </c>
      <c r="L1052">
        <v>1031</v>
      </c>
      <c r="M1052">
        <v>182</v>
      </c>
      <c r="N1052">
        <v>1031</v>
      </c>
      <c r="O1052">
        <v>73</v>
      </c>
      <c r="P1052">
        <f t="shared" si="56"/>
        <v>108.00920105</v>
      </c>
    </row>
    <row r="1053" spans="1:16">
      <c r="A1053">
        <f t="shared" si="57"/>
        <v>1635.7296654008387</v>
      </c>
      <c r="B1053">
        <v>1032</v>
      </c>
      <c r="C1053">
        <v>75.523574828999998</v>
      </c>
      <c r="D1053">
        <v>1032</v>
      </c>
      <c r="E1053">
        <v>94.828163146999998</v>
      </c>
      <c r="F1053">
        <v>1032</v>
      </c>
      <c r="G1053">
        <v>61.257110595999997</v>
      </c>
      <c r="H1053">
        <v>1032</v>
      </c>
      <c r="I1053">
        <v>69.539978027000004</v>
      </c>
      <c r="K1053">
        <f t="shared" si="58"/>
        <v>25.288185119999994</v>
      </c>
      <c r="L1053">
        <v>1032</v>
      </c>
      <c r="M1053">
        <v>182</v>
      </c>
      <c r="N1053">
        <v>1032</v>
      </c>
      <c r="O1053">
        <v>73</v>
      </c>
      <c r="P1053">
        <f t="shared" si="56"/>
        <v>106.476425171</v>
      </c>
    </row>
    <row r="1054" spans="1:16">
      <c r="A1054">
        <f t="shared" si="57"/>
        <v>1636.6557600378551</v>
      </c>
      <c r="B1054">
        <v>1033</v>
      </c>
      <c r="C1054">
        <v>72.900390625</v>
      </c>
      <c r="D1054">
        <v>1033</v>
      </c>
      <c r="E1054">
        <v>97.456161499000004</v>
      </c>
      <c r="F1054">
        <v>1033</v>
      </c>
      <c r="G1054">
        <v>62.102592467999997</v>
      </c>
      <c r="H1054">
        <v>1033</v>
      </c>
      <c r="I1054">
        <v>67.478134155000006</v>
      </c>
      <c r="K1054">
        <f t="shared" si="58"/>
        <v>29.978027343999997</v>
      </c>
      <c r="L1054">
        <v>1033</v>
      </c>
      <c r="M1054">
        <v>182</v>
      </c>
      <c r="N1054">
        <v>1033</v>
      </c>
      <c r="O1054">
        <v>73.631378174000005</v>
      </c>
      <c r="P1054">
        <f t="shared" si="56"/>
        <v>109.099609375</v>
      </c>
    </row>
    <row r="1055" spans="1:16">
      <c r="A1055">
        <f t="shared" si="57"/>
        <v>1637.5818546748715</v>
      </c>
      <c r="B1055">
        <v>1034</v>
      </c>
      <c r="C1055">
        <v>71.321395874000004</v>
      </c>
      <c r="D1055">
        <v>1034</v>
      </c>
      <c r="E1055">
        <v>101.895591736</v>
      </c>
      <c r="F1055">
        <v>1034</v>
      </c>
      <c r="G1055">
        <v>63.516170502000001</v>
      </c>
      <c r="H1055">
        <v>1034</v>
      </c>
      <c r="I1055">
        <v>67.334091186999999</v>
      </c>
      <c r="K1055">
        <f t="shared" si="58"/>
        <v>34.561500549000002</v>
      </c>
      <c r="L1055">
        <v>1034</v>
      </c>
      <c r="M1055">
        <v>181.18032836899999</v>
      </c>
      <c r="N1055">
        <v>1034</v>
      </c>
      <c r="O1055">
        <v>75</v>
      </c>
      <c r="P1055">
        <f t="shared" si="56"/>
        <v>109.85893249499999</v>
      </c>
    </row>
    <row r="1056" spans="1:16">
      <c r="A1056">
        <f t="shared" si="57"/>
        <v>1638.5079493118876</v>
      </c>
      <c r="B1056">
        <v>1035</v>
      </c>
      <c r="C1056">
        <v>74.332801818999997</v>
      </c>
      <c r="D1056">
        <v>1035</v>
      </c>
      <c r="E1056">
        <v>96.290977478000002</v>
      </c>
      <c r="F1056">
        <v>1035</v>
      </c>
      <c r="G1056">
        <v>64.637069702000005</v>
      </c>
      <c r="H1056">
        <v>1035</v>
      </c>
      <c r="I1056">
        <v>69</v>
      </c>
      <c r="K1056">
        <f t="shared" si="58"/>
        <v>27.290977478000002</v>
      </c>
      <c r="L1056">
        <v>1035</v>
      </c>
      <c r="M1056">
        <v>180</v>
      </c>
      <c r="N1056">
        <v>1035</v>
      </c>
      <c r="O1056">
        <v>75</v>
      </c>
      <c r="P1056">
        <f t="shared" si="56"/>
        <v>105.667198181</v>
      </c>
    </row>
    <row r="1057" spans="1:16">
      <c r="A1057">
        <f t="shared" si="57"/>
        <v>1639.434043948904</v>
      </c>
      <c r="B1057">
        <v>1036</v>
      </c>
      <c r="C1057">
        <v>74.851814270000006</v>
      </c>
      <c r="D1057">
        <v>1036</v>
      </c>
      <c r="E1057">
        <v>98.324676514000004</v>
      </c>
      <c r="F1057">
        <v>1036</v>
      </c>
      <c r="G1057">
        <v>65.857139587000006</v>
      </c>
      <c r="H1057">
        <v>1036</v>
      </c>
      <c r="I1057">
        <v>69</v>
      </c>
      <c r="K1057">
        <f t="shared" si="58"/>
        <v>29.324676514000004</v>
      </c>
      <c r="L1057">
        <v>1036</v>
      </c>
      <c r="M1057">
        <v>180</v>
      </c>
      <c r="N1057">
        <v>1036</v>
      </c>
      <c r="O1057">
        <v>75</v>
      </c>
      <c r="P1057">
        <f t="shared" si="56"/>
        <v>105.14818572999999</v>
      </c>
    </row>
    <row r="1058" spans="1:16">
      <c r="A1058">
        <f t="shared" si="57"/>
        <v>1640.3601385859201</v>
      </c>
      <c r="B1058">
        <v>1037</v>
      </c>
      <c r="C1058">
        <v>73.470977782999995</v>
      </c>
      <c r="D1058">
        <v>1037</v>
      </c>
      <c r="E1058">
        <v>98.738182068</v>
      </c>
      <c r="F1058">
        <v>1037</v>
      </c>
      <c r="G1058">
        <v>64.944900512999993</v>
      </c>
      <c r="H1058">
        <v>1037</v>
      </c>
      <c r="I1058">
        <v>69</v>
      </c>
      <c r="K1058">
        <f t="shared" si="58"/>
        <v>29.738182068</v>
      </c>
      <c r="L1058">
        <v>1037</v>
      </c>
      <c r="M1058">
        <v>180</v>
      </c>
      <c r="N1058">
        <v>1037</v>
      </c>
      <c r="O1058">
        <v>75</v>
      </c>
      <c r="P1058">
        <f t="shared" si="56"/>
        <v>106.529022217</v>
      </c>
    </row>
    <row r="1059" spans="1:16">
      <c r="A1059">
        <f t="shared" si="57"/>
        <v>1641.2862332229365</v>
      </c>
      <c r="B1059">
        <v>1038</v>
      </c>
      <c r="C1059">
        <v>75.195213318</v>
      </c>
      <c r="D1059">
        <v>1038</v>
      </c>
      <c r="E1059">
        <v>97.793663025000001</v>
      </c>
      <c r="F1059">
        <v>1038</v>
      </c>
      <c r="G1059">
        <v>63.576370238999999</v>
      </c>
      <c r="H1059">
        <v>1038</v>
      </c>
      <c r="I1059">
        <v>69</v>
      </c>
      <c r="K1059">
        <f t="shared" si="58"/>
        <v>28.793663025000001</v>
      </c>
      <c r="L1059">
        <v>1038</v>
      </c>
      <c r="M1059">
        <v>179.89418029800001</v>
      </c>
      <c r="N1059">
        <v>1038</v>
      </c>
      <c r="O1059">
        <v>75.105812072999996</v>
      </c>
      <c r="P1059">
        <f t="shared" si="56"/>
        <v>104.69896698000001</v>
      </c>
    </row>
    <row r="1060" spans="1:16">
      <c r="A1060">
        <f t="shared" si="57"/>
        <v>1642.2123278599529</v>
      </c>
      <c r="B1060">
        <v>1039</v>
      </c>
      <c r="C1060">
        <v>75.119544982999997</v>
      </c>
      <c r="D1060">
        <v>1039</v>
      </c>
      <c r="E1060">
        <v>97.319923400999997</v>
      </c>
      <c r="F1060">
        <v>1039</v>
      </c>
      <c r="G1060">
        <v>65.695739746000001</v>
      </c>
      <c r="H1060">
        <v>1039</v>
      </c>
      <c r="I1060">
        <v>68.702819824000002</v>
      </c>
      <c r="K1060">
        <f t="shared" si="58"/>
        <v>28.617103576999995</v>
      </c>
      <c r="L1060">
        <v>1039</v>
      </c>
      <c r="M1060">
        <v>179</v>
      </c>
      <c r="N1060">
        <v>1039</v>
      </c>
      <c r="O1060">
        <v>76</v>
      </c>
      <c r="P1060">
        <f t="shared" si="56"/>
        <v>103.880455017</v>
      </c>
    </row>
    <row r="1061" spans="1:16">
      <c r="A1061">
        <f t="shared" si="57"/>
        <v>1643.1384224969693</v>
      </c>
      <c r="B1061">
        <v>1040</v>
      </c>
      <c r="C1061">
        <v>72.091873168999996</v>
      </c>
      <c r="D1061">
        <v>1040</v>
      </c>
      <c r="E1061">
        <v>97.871910095000004</v>
      </c>
      <c r="F1061">
        <v>1040</v>
      </c>
      <c r="G1061">
        <v>62.454505920000003</v>
      </c>
      <c r="H1061">
        <v>1040</v>
      </c>
      <c r="I1061">
        <v>68.470588684000006</v>
      </c>
      <c r="K1061">
        <f t="shared" si="58"/>
        <v>29.401321410999998</v>
      </c>
      <c r="L1061">
        <v>1040</v>
      </c>
      <c r="M1061">
        <v>179</v>
      </c>
      <c r="N1061">
        <v>1040</v>
      </c>
      <c r="O1061">
        <v>76</v>
      </c>
      <c r="P1061">
        <f t="shared" si="56"/>
        <v>106.908126831</v>
      </c>
    </row>
    <row r="1062" spans="1:16">
      <c r="A1062">
        <f t="shared" si="57"/>
        <v>1644.0645171339856</v>
      </c>
      <c r="B1062">
        <v>1041</v>
      </c>
      <c r="C1062">
        <v>71.426971436000002</v>
      </c>
      <c r="D1062">
        <v>1041</v>
      </c>
      <c r="E1062">
        <v>97.945777892999999</v>
      </c>
      <c r="F1062">
        <v>1041</v>
      </c>
      <c r="G1062">
        <v>61.960342406999999</v>
      </c>
      <c r="H1062">
        <v>1041</v>
      </c>
      <c r="I1062">
        <v>68.074508667000003</v>
      </c>
      <c r="K1062">
        <f t="shared" si="58"/>
        <v>29.871269225999995</v>
      </c>
      <c r="L1062">
        <v>1041</v>
      </c>
      <c r="M1062">
        <v>179</v>
      </c>
      <c r="N1062">
        <v>1041</v>
      </c>
      <c r="O1062">
        <v>76</v>
      </c>
      <c r="P1062">
        <f t="shared" si="56"/>
        <v>107.573028564</v>
      </c>
    </row>
    <row r="1063" spans="1:16">
      <c r="A1063">
        <f t="shared" si="57"/>
        <v>1644.990611771002</v>
      </c>
      <c r="B1063">
        <v>1042</v>
      </c>
      <c r="C1063">
        <v>74.615867614999999</v>
      </c>
      <c r="D1063">
        <v>1042</v>
      </c>
      <c r="E1063">
        <v>96.445587157999995</v>
      </c>
      <c r="F1063">
        <v>1042</v>
      </c>
      <c r="G1063">
        <v>62.883930206000002</v>
      </c>
      <c r="H1063">
        <v>1042</v>
      </c>
      <c r="I1063">
        <v>67.976142882999994</v>
      </c>
      <c r="K1063">
        <f t="shared" si="58"/>
        <v>28.469444275000001</v>
      </c>
      <c r="L1063">
        <v>1042</v>
      </c>
      <c r="M1063">
        <v>179</v>
      </c>
      <c r="N1063">
        <v>1042</v>
      </c>
      <c r="O1063">
        <v>76</v>
      </c>
      <c r="P1063">
        <f t="shared" si="56"/>
        <v>104.384132385</v>
      </c>
    </row>
    <row r="1064" spans="1:16">
      <c r="A1064">
        <f t="shared" si="57"/>
        <v>1645.9167064080182</v>
      </c>
      <c r="B1064">
        <v>1043</v>
      </c>
      <c r="C1064">
        <v>75.962959290000001</v>
      </c>
      <c r="D1064">
        <v>1043</v>
      </c>
      <c r="E1064">
        <v>96.435409546000002</v>
      </c>
      <c r="F1064">
        <v>1043</v>
      </c>
      <c r="G1064">
        <v>63.332794188999998</v>
      </c>
      <c r="H1064">
        <v>1043</v>
      </c>
      <c r="I1064">
        <v>66.062400818</v>
      </c>
      <c r="K1064">
        <f t="shared" si="58"/>
        <v>30.373008728000002</v>
      </c>
      <c r="L1064">
        <v>1043</v>
      </c>
      <c r="M1064">
        <v>179</v>
      </c>
      <c r="N1064">
        <v>1043</v>
      </c>
      <c r="O1064">
        <v>76</v>
      </c>
      <c r="P1064">
        <f t="shared" si="56"/>
        <v>103.03704071</v>
      </c>
    </row>
    <row r="1065" spans="1:16">
      <c r="A1065">
        <f t="shared" si="57"/>
        <v>1646.8428010450343</v>
      </c>
      <c r="B1065">
        <v>1044</v>
      </c>
      <c r="C1065">
        <v>73.859054564999994</v>
      </c>
      <c r="D1065">
        <v>1044</v>
      </c>
      <c r="E1065">
        <v>96.698532103999995</v>
      </c>
      <c r="F1065">
        <v>1044</v>
      </c>
      <c r="G1065">
        <v>64.711212157999995</v>
      </c>
      <c r="H1065">
        <v>1044</v>
      </c>
      <c r="I1065">
        <v>63.183666229000004</v>
      </c>
      <c r="K1065">
        <f t="shared" si="58"/>
        <v>33.514865874999991</v>
      </c>
      <c r="L1065">
        <v>1044</v>
      </c>
      <c r="M1065">
        <v>179</v>
      </c>
      <c r="N1065">
        <v>1044</v>
      </c>
      <c r="O1065">
        <v>76</v>
      </c>
      <c r="P1065">
        <f t="shared" si="56"/>
        <v>105.14094543500001</v>
      </c>
    </row>
    <row r="1066" spans="1:16">
      <c r="A1066">
        <f t="shared" si="57"/>
        <v>1647.7688956820507</v>
      </c>
      <c r="B1066">
        <v>1045</v>
      </c>
      <c r="C1066">
        <v>73.842941284000005</v>
      </c>
      <c r="D1066">
        <v>1045</v>
      </c>
      <c r="E1066">
        <v>92.228935242000006</v>
      </c>
      <c r="F1066">
        <v>1045</v>
      </c>
      <c r="G1066">
        <v>63.976169585999997</v>
      </c>
      <c r="H1066">
        <v>1045</v>
      </c>
      <c r="I1066">
        <v>64.441650390999996</v>
      </c>
      <c r="K1066">
        <f t="shared" si="58"/>
        <v>27.78728485100001</v>
      </c>
      <c r="L1066">
        <v>1045</v>
      </c>
      <c r="M1066">
        <v>179</v>
      </c>
      <c r="N1066">
        <v>1045</v>
      </c>
      <c r="O1066">
        <v>76</v>
      </c>
      <c r="P1066">
        <f t="shared" si="56"/>
        <v>105.15705871599999</v>
      </c>
    </row>
    <row r="1067" spans="1:16">
      <c r="A1067">
        <f t="shared" si="57"/>
        <v>1648.6949903190671</v>
      </c>
      <c r="B1067">
        <v>1046</v>
      </c>
      <c r="C1067">
        <v>74.903556824000006</v>
      </c>
      <c r="D1067">
        <v>1046</v>
      </c>
      <c r="E1067">
        <v>96.440811156999999</v>
      </c>
      <c r="F1067">
        <v>1046</v>
      </c>
      <c r="G1067">
        <v>62.707233428999999</v>
      </c>
      <c r="H1067">
        <v>1046</v>
      </c>
      <c r="I1067">
        <v>63.761978149000001</v>
      </c>
      <c r="K1067">
        <f t="shared" si="58"/>
        <v>32.678833007999998</v>
      </c>
      <c r="L1067">
        <v>1046</v>
      </c>
      <c r="M1067">
        <v>179</v>
      </c>
      <c r="N1067">
        <v>1046</v>
      </c>
      <c r="O1067">
        <v>76</v>
      </c>
      <c r="P1067">
        <f t="shared" si="56"/>
        <v>104.09644317599999</v>
      </c>
    </row>
    <row r="1068" spans="1:16">
      <c r="A1068">
        <f t="shared" si="57"/>
        <v>1649.6210849560835</v>
      </c>
      <c r="B1068">
        <v>1047</v>
      </c>
      <c r="C1068">
        <v>73.968643188000001</v>
      </c>
      <c r="D1068">
        <v>1047</v>
      </c>
      <c r="E1068">
        <v>100.925811768</v>
      </c>
      <c r="F1068">
        <v>1047</v>
      </c>
      <c r="G1068">
        <v>59.669330596999998</v>
      </c>
      <c r="H1068">
        <v>1047</v>
      </c>
      <c r="I1068">
        <v>62.967430114999999</v>
      </c>
      <c r="K1068">
        <f t="shared" si="58"/>
        <v>37.958381653000004</v>
      </c>
      <c r="L1068">
        <v>1047</v>
      </c>
      <c r="M1068">
        <v>179</v>
      </c>
      <c r="N1068">
        <v>1047</v>
      </c>
      <c r="O1068">
        <v>76.005027771000002</v>
      </c>
      <c r="P1068">
        <f t="shared" si="56"/>
        <v>105.031356812</v>
      </c>
    </row>
    <row r="1069" spans="1:16">
      <c r="A1069">
        <f t="shared" si="57"/>
        <v>1650.5471795930998</v>
      </c>
      <c r="B1069">
        <v>1048</v>
      </c>
      <c r="C1069">
        <v>73.054359435999999</v>
      </c>
      <c r="D1069">
        <v>1048</v>
      </c>
      <c r="E1069">
        <v>95.506843567000004</v>
      </c>
      <c r="F1069">
        <v>1048</v>
      </c>
      <c r="G1069">
        <v>58.363014221</v>
      </c>
      <c r="H1069">
        <v>1048</v>
      </c>
      <c r="I1069">
        <v>63.708282470999997</v>
      </c>
      <c r="K1069">
        <f t="shared" si="58"/>
        <v>31.798561096000007</v>
      </c>
      <c r="L1069">
        <v>1048</v>
      </c>
      <c r="M1069">
        <v>178.711959839</v>
      </c>
      <c r="N1069">
        <v>1048</v>
      </c>
      <c r="O1069">
        <v>76.604133606000005</v>
      </c>
      <c r="P1069">
        <f t="shared" si="56"/>
        <v>105.657600403</v>
      </c>
    </row>
    <row r="1070" spans="1:16">
      <c r="A1070">
        <f t="shared" si="57"/>
        <v>1651.4732742301162</v>
      </c>
      <c r="B1070">
        <v>1049</v>
      </c>
      <c r="C1070">
        <v>70.827285767000006</v>
      </c>
      <c r="D1070">
        <v>1049</v>
      </c>
      <c r="E1070">
        <v>90.202026367000002</v>
      </c>
      <c r="F1070">
        <v>1049</v>
      </c>
      <c r="G1070">
        <v>59.651630402000002</v>
      </c>
      <c r="H1070">
        <v>1049</v>
      </c>
      <c r="I1070">
        <v>66.075729370000005</v>
      </c>
      <c r="K1070">
        <f t="shared" si="58"/>
        <v>24.126296996999997</v>
      </c>
      <c r="L1070">
        <v>1049</v>
      </c>
      <c r="M1070">
        <v>178</v>
      </c>
      <c r="N1070">
        <v>1049</v>
      </c>
      <c r="O1070">
        <v>77</v>
      </c>
      <c r="P1070">
        <f t="shared" si="56"/>
        <v>107.17271423299999</v>
      </c>
    </row>
    <row r="1071" spans="1:16">
      <c r="A1071">
        <f t="shared" si="57"/>
        <v>1652.3993688671324</v>
      </c>
      <c r="B1071">
        <v>1050</v>
      </c>
      <c r="C1071">
        <v>70.250663756999998</v>
      </c>
      <c r="D1071">
        <v>1050</v>
      </c>
      <c r="E1071">
        <v>90.230453491000006</v>
      </c>
      <c r="F1071">
        <v>1050</v>
      </c>
      <c r="G1071">
        <v>60.020862579000003</v>
      </c>
      <c r="H1071">
        <v>1050</v>
      </c>
      <c r="I1071">
        <v>67.972610474000007</v>
      </c>
      <c r="K1071">
        <f t="shared" si="58"/>
        <v>22.257843016999999</v>
      </c>
      <c r="L1071">
        <v>1050</v>
      </c>
      <c r="M1071">
        <v>178</v>
      </c>
      <c r="N1071">
        <v>1050</v>
      </c>
      <c r="O1071">
        <v>77</v>
      </c>
      <c r="P1071">
        <f t="shared" si="56"/>
        <v>107.749336243</v>
      </c>
    </row>
    <row r="1072" spans="1:16">
      <c r="A1072">
        <f t="shared" si="57"/>
        <v>1653.3254635041487</v>
      </c>
      <c r="B1072">
        <v>1051</v>
      </c>
      <c r="C1072">
        <v>70.189407349000007</v>
      </c>
      <c r="D1072">
        <v>1051</v>
      </c>
      <c r="E1072">
        <v>92.335693359000004</v>
      </c>
      <c r="F1072">
        <v>1051</v>
      </c>
      <c r="G1072">
        <v>59.697036742999998</v>
      </c>
      <c r="H1072">
        <v>1051</v>
      </c>
      <c r="I1072">
        <v>68.151679993000002</v>
      </c>
      <c r="K1072">
        <f t="shared" si="58"/>
        <v>24.184013366000002</v>
      </c>
      <c r="L1072">
        <v>1051</v>
      </c>
      <c r="M1072">
        <v>178</v>
      </c>
      <c r="N1072">
        <v>1051</v>
      </c>
      <c r="O1072">
        <v>77</v>
      </c>
      <c r="P1072">
        <f t="shared" si="56"/>
        <v>107.81059265099999</v>
      </c>
    </row>
    <row r="1073" spans="1:16">
      <c r="A1073">
        <f t="shared" si="57"/>
        <v>1654.2515581411649</v>
      </c>
      <c r="B1073">
        <v>1052</v>
      </c>
      <c r="C1073">
        <v>69.826858521000005</v>
      </c>
      <c r="D1073">
        <v>1052</v>
      </c>
      <c r="E1073">
        <v>94.126701354999994</v>
      </c>
      <c r="F1073">
        <v>1052</v>
      </c>
      <c r="G1073">
        <v>59.247722625999998</v>
      </c>
      <c r="H1073">
        <v>1052</v>
      </c>
      <c r="I1073">
        <v>65.318107604999994</v>
      </c>
      <c r="K1073">
        <f t="shared" si="58"/>
        <v>28.80859375</v>
      </c>
      <c r="L1073">
        <v>1052</v>
      </c>
      <c r="M1073">
        <v>178</v>
      </c>
      <c r="N1073">
        <v>1052</v>
      </c>
      <c r="O1073">
        <v>77</v>
      </c>
      <c r="P1073">
        <f t="shared" si="56"/>
        <v>108.17314147899999</v>
      </c>
    </row>
    <row r="1074" spans="1:16">
      <c r="A1074">
        <f t="shared" si="57"/>
        <v>1655.1776527781813</v>
      </c>
      <c r="B1074">
        <v>1053</v>
      </c>
      <c r="C1074">
        <v>71.906143188000001</v>
      </c>
      <c r="D1074">
        <v>1053</v>
      </c>
      <c r="E1074">
        <v>94.519599915000001</v>
      </c>
      <c r="F1074">
        <v>1053</v>
      </c>
      <c r="G1074">
        <v>57.426944732999999</v>
      </c>
      <c r="H1074">
        <v>1053</v>
      </c>
      <c r="I1074">
        <v>62.053180695000002</v>
      </c>
      <c r="K1074">
        <f t="shared" si="58"/>
        <v>32.466419219999999</v>
      </c>
      <c r="L1074">
        <v>1053</v>
      </c>
      <c r="M1074">
        <v>178</v>
      </c>
      <c r="N1074">
        <v>1053</v>
      </c>
      <c r="O1074">
        <v>77.598716736</v>
      </c>
      <c r="P1074">
        <f t="shared" si="56"/>
        <v>106.093856812</v>
      </c>
    </row>
    <row r="1075" spans="1:16">
      <c r="A1075">
        <f t="shared" si="57"/>
        <v>1656.1037474151976</v>
      </c>
      <c r="B1075">
        <v>1054</v>
      </c>
      <c r="C1075">
        <v>71.854583739999995</v>
      </c>
      <c r="D1075">
        <v>1054</v>
      </c>
      <c r="E1075">
        <v>93.099693298000005</v>
      </c>
      <c r="F1075">
        <v>1054</v>
      </c>
      <c r="G1075">
        <v>57.683326721</v>
      </c>
      <c r="H1075">
        <v>1054</v>
      </c>
      <c r="I1075">
        <v>61.513332366999997</v>
      </c>
      <c r="K1075">
        <f t="shared" si="58"/>
        <v>31.586360931000009</v>
      </c>
      <c r="L1075">
        <v>1054</v>
      </c>
      <c r="M1075">
        <v>176.22056579599999</v>
      </c>
      <c r="N1075">
        <v>1054</v>
      </c>
      <c r="O1075">
        <v>78.932281493999994</v>
      </c>
      <c r="P1075">
        <f t="shared" si="56"/>
        <v>104.36598205599999</v>
      </c>
    </row>
    <row r="1076" spans="1:16">
      <c r="A1076">
        <f t="shared" si="57"/>
        <v>1657.029842052214</v>
      </c>
      <c r="B1076">
        <v>1055</v>
      </c>
      <c r="C1076">
        <v>72.976303100999999</v>
      </c>
      <c r="D1076">
        <v>1055</v>
      </c>
      <c r="E1076">
        <v>92.053207396999994</v>
      </c>
      <c r="F1076">
        <v>1055</v>
      </c>
      <c r="G1076">
        <v>56.314952849999997</v>
      </c>
      <c r="H1076">
        <v>1055</v>
      </c>
      <c r="I1076">
        <v>61.830089569000002</v>
      </c>
      <c r="K1076">
        <f t="shared" si="58"/>
        <v>30.223117827999992</v>
      </c>
      <c r="L1076">
        <v>1055</v>
      </c>
      <c r="M1076">
        <v>176</v>
      </c>
      <c r="N1076">
        <v>1055</v>
      </c>
      <c r="O1076">
        <v>79</v>
      </c>
      <c r="P1076">
        <f t="shared" si="56"/>
        <v>103.023696899</v>
      </c>
    </row>
    <row r="1077" spans="1:16">
      <c r="A1077">
        <f t="shared" si="57"/>
        <v>1657.9559366892304</v>
      </c>
      <c r="B1077">
        <v>1056</v>
      </c>
      <c r="C1077">
        <v>74.408332825000002</v>
      </c>
      <c r="D1077">
        <v>1056</v>
      </c>
      <c r="E1077">
        <v>90.565521239999995</v>
      </c>
      <c r="F1077">
        <v>1056</v>
      </c>
      <c r="G1077">
        <v>55.624202728</v>
      </c>
      <c r="H1077">
        <v>1056</v>
      </c>
      <c r="I1077">
        <v>61.653011321999998</v>
      </c>
      <c r="K1077">
        <f t="shared" si="58"/>
        <v>28.912509917999998</v>
      </c>
      <c r="L1077">
        <v>1056</v>
      </c>
      <c r="M1077">
        <v>176</v>
      </c>
      <c r="N1077">
        <v>1056</v>
      </c>
      <c r="O1077">
        <v>79</v>
      </c>
      <c r="P1077">
        <f t="shared" si="56"/>
        <v>101.591667175</v>
      </c>
    </row>
    <row r="1078" spans="1:16">
      <c r="A1078">
        <f t="shared" si="57"/>
        <v>1658.8820313262468</v>
      </c>
      <c r="B1078">
        <v>1057</v>
      </c>
      <c r="C1078">
        <v>71.754356384000005</v>
      </c>
      <c r="D1078">
        <v>1057</v>
      </c>
      <c r="E1078">
        <v>92.400451660000002</v>
      </c>
      <c r="F1078">
        <v>1057</v>
      </c>
      <c r="G1078">
        <v>55.68781662</v>
      </c>
      <c r="H1078">
        <v>1057</v>
      </c>
      <c r="I1078">
        <v>64.195602417000003</v>
      </c>
      <c r="K1078">
        <f t="shared" si="58"/>
        <v>28.204849242999998</v>
      </c>
      <c r="L1078">
        <v>1057</v>
      </c>
      <c r="M1078">
        <v>176</v>
      </c>
      <c r="N1078">
        <v>1057</v>
      </c>
      <c r="O1078">
        <v>79</v>
      </c>
      <c r="P1078">
        <f t="shared" si="56"/>
        <v>104.245643616</v>
      </c>
    </row>
    <row r="1079" spans="1:16">
      <c r="A1079">
        <f t="shared" si="57"/>
        <v>1659.8081259632629</v>
      </c>
      <c r="B1079">
        <v>1058</v>
      </c>
      <c r="C1079">
        <v>71.228118895999998</v>
      </c>
      <c r="D1079">
        <v>1058</v>
      </c>
      <c r="E1079">
        <v>95.037185668999996</v>
      </c>
      <c r="F1079">
        <v>1058</v>
      </c>
      <c r="G1079">
        <v>58.505733489999997</v>
      </c>
      <c r="H1079">
        <v>1058</v>
      </c>
      <c r="I1079">
        <v>65.344543457</v>
      </c>
      <c r="K1079">
        <f t="shared" si="58"/>
        <v>29.692642211999996</v>
      </c>
      <c r="L1079">
        <v>1058</v>
      </c>
      <c r="M1079">
        <v>175.62030029300001</v>
      </c>
      <c r="N1079">
        <v>1058</v>
      </c>
      <c r="O1079">
        <v>79.585693359000004</v>
      </c>
      <c r="P1079">
        <f t="shared" si="56"/>
        <v>104.39218139700002</v>
      </c>
    </row>
    <row r="1080" spans="1:16">
      <c r="A1080">
        <f t="shared" si="57"/>
        <v>1660.7342206002793</v>
      </c>
      <c r="B1080">
        <v>1059</v>
      </c>
      <c r="C1080">
        <v>73.304298400999997</v>
      </c>
      <c r="D1080">
        <v>1059</v>
      </c>
      <c r="E1080">
        <v>96.040115356000001</v>
      </c>
      <c r="F1080">
        <v>1059</v>
      </c>
      <c r="G1080">
        <v>59.137744904000002</v>
      </c>
      <c r="H1080">
        <v>1059</v>
      </c>
      <c r="I1080">
        <v>64.681610106999997</v>
      </c>
      <c r="K1080">
        <f t="shared" si="58"/>
        <v>31.358505249000004</v>
      </c>
      <c r="L1080">
        <v>1059</v>
      </c>
      <c r="M1080">
        <v>175</v>
      </c>
      <c r="N1080">
        <v>1059</v>
      </c>
      <c r="O1080">
        <v>80</v>
      </c>
      <c r="P1080">
        <f t="shared" si="56"/>
        <v>101.695701599</v>
      </c>
    </row>
    <row r="1081" spans="1:16">
      <c r="A1081">
        <f t="shared" si="57"/>
        <v>1661.6603152372954</v>
      </c>
      <c r="B1081">
        <v>1060</v>
      </c>
      <c r="C1081">
        <v>71.332138061999999</v>
      </c>
      <c r="D1081">
        <v>1060</v>
      </c>
      <c r="E1081">
        <v>95.875091553000004</v>
      </c>
      <c r="F1081">
        <v>1060</v>
      </c>
      <c r="G1081">
        <v>59.874118805000002</v>
      </c>
      <c r="H1081">
        <v>1060</v>
      </c>
      <c r="I1081">
        <v>65.885238646999994</v>
      </c>
      <c r="K1081">
        <f t="shared" si="58"/>
        <v>29.98985290600001</v>
      </c>
      <c r="L1081">
        <v>1060</v>
      </c>
      <c r="M1081">
        <v>175</v>
      </c>
      <c r="N1081">
        <v>1060</v>
      </c>
      <c r="O1081">
        <v>80</v>
      </c>
      <c r="P1081">
        <f t="shared" si="56"/>
        <v>103.667861938</v>
      </c>
    </row>
    <row r="1082" spans="1:16">
      <c r="A1082">
        <f t="shared" si="57"/>
        <v>1662.5864098743118</v>
      </c>
      <c r="B1082">
        <v>1061</v>
      </c>
      <c r="C1082">
        <v>68.510437011999997</v>
      </c>
      <c r="D1082">
        <v>1061</v>
      </c>
      <c r="E1082">
        <v>96.040168761999993</v>
      </c>
      <c r="F1082">
        <v>1061</v>
      </c>
      <c r="G1082">
        <v>56.292591094999999</v>
      </c>
      <c r="H1082">
        <v>1061</v>
      </c>
      <c r="I1082">
        <v>63.866981506000002</v>
      </c>
      <c r="K1082">
        <f t="shared" si="58"/>
        <v>32.173187255999991</v>
      </c>
      <c r="L1082">
        <v>1061</v>
      </c>
      <c r="M1082">
        <v>175</v>
      </c>
      <c r="N1082">
        <v>1061</v>
      </c>
      <c r="O1082">
        <v>80</v>
      </c>
      <c r="P1082">
        <f t="shared" si="56"/>
        <v>106.489562988</v>
      </c>
    </row>
    <row r="1083" spans="1:16">
      <c r="A1083">
        <f t="shared" si="57"/>
        <v>1663.5125045113282</v>
      </c>
      <c r="B1083">
        <v>1062</v>
      </c>
      <c r="C1083">
        <v>67.358078003000003</v>
      </c>
      <c r="D1083">
        <v>1062</v>
      </c>
      <c r="E1083">
        <v>91.930656432999996</v>
      </c>
      <c r="F1083">
        <v>1062</v>
      </c>
      <c r="G1083">
        <v>54.802223206000001</v>
      </c>
      <c r="H1083">
        <v>1062</v>
      </c>
      <c r="I1083">
        <v>62.600978851000001</v>
      </c>
      <c r="K1083">
        <f t="shared" si="58"/>
        <v>29.329677581999995</v>
      </c>
      <c r="L1083">
        <v>1062</v>
      </c>
      <c r="M1083">
        <v>175</v>
      </c>
      <c r="N1083">
        <v>1062</v>
      </c>
      <c r="O1083">
        <v>80.213249207000004</v>
      </c>
      <c r="P1083">
        <f t="shared" si="56"/>
        <v>107.641921997</v>
      </c>
    </row>
    <row r="1084" spans="1:16">
      <c r="A1084">
        <f t="shared" si="57"/>
        <v>1664.4385991483446</v>
      </c>
      <c r="B1084">
        <v>1063</v>
      </c>
      <c r="C1084">
        <v>67.700721740999995</v>
      </c>
      <c r="D1084">
        <v>1063</v>
      </c>
      <c r="E1084">
        <v>88.966903686999999</v>
      </c>
      <c r="F1084">
        <v>1063</v>
      </c>
      <c r="G1084">
        <v>57.326374053999999</v>
      </c>
      <c r="H1084">
        <v>1063</v>
      </c>
      <c r="I1084">
        <v>62.333332061999997</v>
      </c>
      <c r="K1084">
        <f t="shared" si="58"/>
        <v>26.633571625000002</v>
      </c>
      <c r="L1084">
        <v>1063</v>
      </c>
      <c r="M1084">
        <v>174.79434204099999</v>
      </c>
      <c r="N1084">
        <v>1063</v>
      </c>
      <c r="O1084">
        <v>81</v>
      </c>
      <c r="P1084">
        <f t="shared" si="56"/>
        <v>107.0936203</v>
      </c>
    </row>
    <row r="1085" spans="1:16">
      <c r="A1085">
        <f t="shared" si="57"/>
        <v>1665.3646937853609</v>
      </c>
      <c r="B1085">
        <v>1064</v>
      </c>
      <c r="C1085">
        <v>67.904518127000003</v>
      </c>
      <c r="D1085">
        <v>1064</v>
      </c>
      <c r="E1085">
        <v>89.516029357999997</v>
      </c>
      <c r="F1085">
        <v>1064</v>
      </c>
      <c r="G1085">
        <v>58.311203003000003</v>
      </c>
      <c r="H1085">
        <v>1064</v>
      </c>
      <c r="I1085">
        <v>61.780391692999999</v>
      </c>
      <c r="K1085">
        <f t="shared" si="58"/>
        <v>27.735637664999999</v>
      </c>
      <c r="L1085">
        <v>1064</v>
      </c>
      <c r="M1085">
        <v>174</v>
      </c>
      <c r="N1085">
        <v>1064</v>
      </c>
      <c r="O1085">
        <v>81</v>
      </c>
      <c r="P1085">
        <f t="shared" si="56"/>
        <v>106.095481873</v>
      </c>
    </row>
    <row r="1086" spans="1:16">
      <c r="A1086">
        <f t="shared" si="57"/>
        <v>1666.2907884223771</v>
      </c>
      <c r="B1086">
        <v>1065</v>
      </c>
      <c r="C1086">
        <v>66.872482300000001</v>
      </c>
      <c r="D1086">
        <v>1065</v>
      </c>
      <c r="E1086">
        <v>88.666664123999993</v>
      </c>
      <c r="F1086">
        <v>1065</v>
      </c>
      <c r="G1086">
        <v>56.674186706999997</v>
      </c>
      <c r="H1086">
        <v>1065</v>
      </c>
      <c r="I1086">
        <v>61.017696381</v>
      </c>
      <c r="K1086">
        <f t="shared" si="58"/>
        <v>27.648967742999993</v>
      </c>
      <c r="L1086">
        <v>1065</v>
      </c>
      <c r="M1086">
        <v>174</v>
      </c>
      <c r="N1086">
        <v>1065</v>
      </c>
      <c r="O1086">
        <v>81</v>
      </c>
      <c r="P1086">
        <f t="shared" si="56"/>
        <v>107.1275177</v>
      </c>
    </row>
    <row r="1087" spans="1:16">
      <c r="A1087">
        <f t="shared" si="57"/>
        <v>1667.2168830593935</v>
      </c>
      <c r="B1087">
        <v>1066</v>
      </c>
      <c r="C1087">
        <v>65.467025757000002</v>
      </c>
      <c r="D1087">
        <v>1066</v>
      </c>
      <c r="E1087">
        <v>88.977622986</v>
      </c>
      <c r="F1087">
        <v>1066</v>
      </c>
      <c r="G1087">
        <v>52.766998291</v>
      </c>
      <c r="H1087">
        <v>1066</v>
      </c>
      <c r="I1087">
        <v>61.813461304</v>
      </c>
      <c r="K1087">
        <f t="shared" si="58"/>
        <v>27.164161682</v>
      </c>
      <c r="L1087">
        <v>1066</v>
      </c>
      <c r="M1087">
        <v>174</v>
      </c>
      <c r="N1087">
        <v>1066</v>
      </c>
      <c r="O1087">
        <v>81</v>
      </c>
      <c r="P1087">
        <f t="shared" si="56"/>
        <v>108.532974243</v>
      </c>
    </row>
    <row r="1088" spans="1:16">
      <c r="A1088">
        <f t="shared" si="57"/>
        <v>1668.1429776964096</v>
      </c>
      <c r="B1088">
        <v>1067</v>
      </c>
      <c r="C1088">
        <v>66.735832213999998</v>
      </c>
      <c r="D1088">
        <v>1067</v>
      </c>
      <c r="E1088">
        <v>90.445915221999996</v>
      </c>
      <c r="F1088">
        <v>1067</v>
      </c>
      <c r="G1088">
        <v>51.252620696999998</v>
      </c>
      <c r="H1088">
        <v>1067</v>
      </c>
      <c r="I1088">
        <v>61.431480407999999</v>
      </c>
      <c r="K1088">
        <f t="shared" si="58"/>
        <v>29.014434813999998</v>
      </c>
      <c r="L1088">
        <v>1067</v>
      </c>
      <c r="M1088">
        <v>174</v>
      </c>
      <c r="N1088">
        <v>1067</v>
      </c>
      <c r="O1088">
        <v>81</v>
      </c>
      <c r="P1088">
        <f t="shared" si="56"/>
        <v>107.264167786</v>
      </c>
    </row>
    <row r="1089" spans="1:16">
      <c r="A1089">
        <f t="shared" si="57"/>
        <v>1669.069072333426</v>
      </c>
      <c r="B1089">
        <v>1068</v>
      </c>
      <c r="C1089">
        <v>69.330795288000004</v>
      </c>
      <c r="D1089">
        <v>1068</v>
      </c>
      <c r="E1089">
        <v>88.591812133999994</v>
      </c>
      <c r="F1089">
        <v>1068</v>
      </c>
      <c r="G1089">
        <v>55.218372344999999</v>
      </c>
      <c r="H1089">
        <v>1068</v>
      </c>
      <c r="I1089">
        <v>59.107128142999997</v>
      </c>
      <c r="K1089">
        <f t="shared" si="58"/>
        <v>29.484683990999997</v>
      </c>
      <c r="L1089">
        <v>1068</v>
      </c>
      <c r="M1089">
        <v>174</v>
      </c>
      <c r="N1089">
        <v>1068</v>
      </c>
      <c r="O1089">
        <v>81</v>
      </c>
      <c r="P1089">
        <f t="shared" si="56"/>
        <v>104.669204712</v>
      </c>
    </row>
    <row r="1090" spans="1:16">
      <c r="A1090">
        <f t="shared" si="57"/>
        <v>1669.9951669704424</v>
      </c>
      <c r="B1090">
        <v>1069</v>
      </c>
      <c r="C1090">
        <v>70.415153502999999</v>
      </c>
      <c r="D1090">
        <v>1069</v>
      </c>
      <c r="E1090">
        <v>88.319389342999997</v>
      </c>
      <c r="F1090">
        <v>1069</v>
      </c>
      <c r="G1090">
        <v>62.157657622999999</v>
      </c>
      <c r="H1090">
        <v>1069</v>
      </c>
      <c r="I1090">
        <v>58.268276215</v>
      </c>
      <c r="K1090">
        <f t="shared" si="58"/>
        <v>30.051113127999997</v>
      </c>
      <c r="L1090">
        <v>1069</v>
      </c>
      <c r="M1090">
        <v>174</v>
      </c>
      <c r="N1090">
        <v>1069</v>
      </c>
      <c r="O1090">
        <v>81</v>
      </c>
      <c r="P1090">
        <f t="shared" si="56"/>
        <v>103.584846497</v>
      </c>
    </row>
    <row r="1091" spans="1:16">
      <c r="A1091">
        <f t="shared" si="57"/>
        <v>1670.9212616074587</v>
      </c>
      <c r="B1091">
        <v>1070</v>
      </c>
      <c r="C1091">
        <v>73.207199097</v>
      </c>
      <c r="D1091">
        <v>1070</v>
      </c>
      <c r="E1091">
        <v>92.184600829999994</v>
      </c>
      <c r="F1091">
        <v>1070</v>
      </c>
      <c r="G1091">
        <v>57.448089600000003</v>
      </c>
      <c r="H1091">
        <v>1070</v>
      </c>
      <c r="I1091">
        <v>56.790225982999999</v>
      </c>
      <c r="K1091">
        <f t="shared" si="58"/>
        <v>35.394374846999995</v>
      </c>
      <c r="L1091">
        <v>1070</v>
      </c>
      <c r="M1091">
        <v>174</v>
      </c>
      <c r="N1091">
        <v>1070</v>
      </c>
      <c r="O1091">
        <v>81</v>
      </c>
      <c r="P1091">
        <f t="shared" si="56"/>
        <v>100.792800903</v>
      </c>
    </row>
    <row r="1092" spans="1:16">
      <c r="A1092">
        <f t="shared" si="57"/>
        <v>1671.8473562444751</v>
      </c>
      <c r="B1092">
        <v>1071</v>
      </c>
      <c r="C1092">
        <v>68.852348328000005</v>
      </c>
      <c r="D1092">
        <v>1071</v>
      </c>
      <c r="E1092">
        <v>90.974861145000006</v>
      </c>
      <c r="F1092">
        <v>1071</v>
      </c>
      <c r="G1092">
        <v>52.765720367</v>
      </c>
      <c r="H1092">
        <v>1071</v>
      </c>
      <c r="I1092">
        <v>56.566249847000002</v>
      </c>
      <c r="K1092">
        <f t="shared" si="58"/>
        <v>34.408611298000004</v>
      </c>
      <c r="L1092">
        <v>1071</v>
      </c>
      <c r="M1092">
        <v>173.40238952600001</v>
      </c>
      <c r="N1092">
        <v>1071</v>
      </c>
      <c r="O1092">
        <v>81.597618103000002</v>
      </c>
      <c r="P1092">
        <f t="shared" si="56"/>
        <v>104.550041198</v>
      </c>
    </row>
    <row r="1093" spans="1:16">
      <c r="A1093">
        <f t="shared" si="57"/>
        <v>1672.7734508814915</v>
      </c>
      <c r="B1093">
        <v>1072</v>
      </c>
      <c r="C1093">
        <v>68.719169617000006</v>
      </c>
      <c r="D1093">
        <v>1072</v>
      </c>
      <c r="E1093">
        <v>90.658508300999998</v>
      </c>
      <c r="F1093">
        <v>1072</v>
      </c>
      <c r="G1093">
        <v>52.064579010000003</v>
      </c>
      <c r="H1093">
        <v>1072</v>
      </c>
      <c r="I1093">
        <v>59.094116210999999</v>
      </c>
      <c r="K1093">
        <f t="shared" si="58"/>
        <v>31.564392089999998</v>
      </c>
      <c r="L1093">
        <v>1072</v>
      </c>
      <c r="M1093">
        <v>173</v>
      </c>
      <c r="N1093">
        <v>1072</v>
      </c>
      <c r="O1093">
        <v>82</v>
      </c>
      <c r="P1093">
        <f t="shared" si="56"/>
        <v>104.28083038299999</v>
      </c>
    </row>
    <row r="1094" spans="1:16">
      <c r="A1094">
        <f t="shared" si="57"/>
        <v>1673.6995455185076</v>
      </c>
      <c r="B1094">
        <v>1073</v>
      </c>
      <c r="C1094">
        <v>68.443916321000003</v>
      </c>
      <c r="D1094">
        <v>1073</v>
      </c>
      <c r="E1094">
        <v>88.734680175999998</v>
      </c>
      <c r="F1094">
        <v>1073</v>
      </c>
      <c r="G1094">
        <v>50.631584167</v>
      </c>
      <c r="H1094">
        <v>1073</v>
      </c>
      <c r="I1094">
        <v>59.472522736000002</v>
      </c>
      <c r="K1094">
        <f t="shared" si="58"/>
        <v>29.262157439999996</v>
      </c>
      <c r="L1094">
        <v>1073</v>
      </c>
      <c r="M1094">
        <v>173</v>
      </c>
      <c r="N1094">
        <v>1073</v>
      </c>
      <c r="O1094">
        <v>82</v>
      </c>
      <c r="P1094">
        <f t="shared" si="56"/>
        <v>104.556083679</v>
      </c>
    </row>
    <row r="1095" spans="1:16">
      <c r="A1095">
        <f t="shared" si="57"/>
        <v>1674.625640155524</v>
      </c>
      <c r="B1095">
        <v>1074</v>
      </c>
      <c r="C1095">
        <v>66.910514832000004</v>
      </c>
      <c r="D1095">
        <v>1074</v>
      </c>
      <c r="E1095">
        <v>86.372016907000003</v>
      </c>
      <c r="F1095">
        <v>1074</v>
      </c>
      <c r="G1095">
        <v>48.778652190999999</v>
      </c>
      <c r="H1095">
        <v>1074</v>
      </c>
      <c r="I1095">
        <v>58.698368072999997</v>
      </c>
      <c r="K1095">
        <f t="shared" si="58"/>
        <v>27.673648834000005</v>
      </c>
      <c r="L1095">
        <v>1074</v>
      </c>
      <c r="M1095">
        <v>173</v>
      </c>
      <c r="N1095">
        <v>1074</v>
      </c>
      <c r="O1095">
        <v>82.739196777000004</v>
      </c>
      <c r="P1095">
        <f t="shared" si="56"/>
        <v>106.089485168</v>
      </c>
    </row>
    <row r="1096" spans="1:16">
      <c r="A1096">
        <f t="shared" si="57"/>
        <v>1675.5517347925402</v>
      </c>
      <c r="B1096">
        <v>1075</v>
      </c>
      <c r="C1096">
        <v>66.490554810000006</v>
      </c>
      <c r="D1096">
        <v>1075</v>
      </c>
      <c r="E1096">
        <v>85.602699279999996</v>
      </c>
      <c r="F1096">
        <v>1075</v>
      </c>
      <c r="G1096">
        <v>49.152851105000003</v>
      </c>
      <c r="H1096">
        <v>1075</v>
      </c>
      <c r="I1096">
        <v>56.176864623999997</v>
      </c>
      <c r="K1096">
        <f t="shared" si="58"/>
        <v>29.425834655999999</v>
      </c>
      <c r="L1096">
        <v>1075</v>
      </c>
      <c r="M1096">
        <v>172.223312378</v>
      </c>
      <c r="N1096">
        <v>1075</v>
      </c>
      <c r="O1096">
        <v>84</v>
      </c>
      <c r="P1096">
        <f t="shared" si="56"/>
        <v>105.732757568</v>
      </c>
    </row>
    <row r="1097" spans="1:16">
      <c r="A1097">
        <f t="shared" si="57"/>
        <v>1676.4778294295566</v>
      </c>
      <c r="B1097">
        <v>1076</v>
      </c>
      <c r="C1097">
        <v>66.344047545999999</v>
      </c>
      <c r="D1097">
        <v>1076</v>
      </c>
      <c r="E1097">
        <v>86.365631104000002</v>
      </c>
      <c r="F1097">
        <v>1076</v>
      </c>
      <c r="G1097">
        <v>51.048355102999999</v>
      </c>
      <c r="H1097">
        <v>1076</v>
      </c>
      <c r="I1097">
        <v>54.482353209999999</v>
      </c>
      <c r="K1097">
        <f t="shared" si="58"/>
        <v>31.883277894000003</v>
      </c>
      <c r="L1097">
        <v>1076</v>
      </c>
      <c r="M1097">
        <v>171</v>
      </c>
      <c r="N1097">
        <v>1076</v>
      </c>
      <c r="O1097">
        <v>84</v>
      </c>
      <c r="P1097">
        <f t="shared" si="56"/>
        <v>104.655952454</v>
      </c>
    </row>
    <row r="1098" spans="1:16">
      <c r="A1098">
        <f t="shared" si="57"/>
        <v>1677.4039240665729</v>
      </c>
      <c r="B1098">
        <v>1077</v>
      </c>
      <c r="C1098">
        <v>66.780960082999997</v>
      </c>
      <c r="D1098">
        <v>1077</v>
      </c>
      <c r="E1098">
        <v>89.628837584999999</v>
      </c>
      <c r="F1098">
        <v>1077</v>
      </c>
      <c r="G1098">
        <v>52.214820862000003</v>
      </c>
      <c r="H1098">
        <v>1077</v>
      </c>
      <c r="I1098">
        <v>55.919116973999998</v>
      </c>
      <c r="K1098">
        <f t="shared" si="58"/>
        <v>33.709720611000002</v>
      </c>
      <c r="L1098">
        <v>1077</v>
      </c>
      <c r="M1098">
        <v>171</v>
      </c>
      <c r="N1098">
        <v>1077</v>
      </c>
      <c r="O1098">
        <v>84.141578674000002</v>
      </c>
      <c r="P1098">
        <f t="shared" si="56"/>
        <v>104.219039917</v>
      </c>
    </row>
    <row r="1099" spans="1:16">
      <c r="A1099">
        <f t="shared" si="57"/>
        <v>1678.3300187035893</v>
      </c>
      <c r="B1099">
        <v>1078</v>
      </c>
      <c r="C1099">
        <v>67.032363892000006</v>
      </c>
      <c r="D1099">
        <v>1078</v>
      </c>
      <c r="E1099">
        <v>89.903480529999996</v>
      </c>
      <c r="F1099">
        <v>1078</v>
      </c>
      <c r="G1099">
        <v>50.719253539999997</v>
      </c>
      <c r="H1099">
        <v>1078</v>
      </c>
      <c r="I1099">
        <v>57.490276336999997</v>
      </c>
      <c r="K1099">
        <f t="shared" si="58"/>
        <v>32.413204192999999</v>
      </c>
      <c r="L1099">
        <v>1078</v>
      </c>
      <c r="M1099">
        <v>170.67401122999999</v>
      </c>
      <c r="N1099">
        <v>1078</v>
      </c>
      <c r="O1099">
        <v>85</v>
      </c>
      <c r="P1099">
        <f t="shared" si="56"/>
        <v>103.64164733799998</v>
      </c>
    </row>
    <row r="1100" spans="1:16">
      <c r="A1100">
        <f t="shared" si="57"/>
        <v>1679.2561133406057</v>
      </c>
      <c r="B1100">
        <v>1079</v>
      </c>
      <c r="C1100">
        <v>65.942085266000007</v>
      </c>
      <c r="D1100">
        <v>1079</v>
      </c>
      <c r="E1100">
        <v>85.781044006000002</v>
      </c>
      <c r="F1100">
        <v>1079</v>
      </c>
      <c r="G1100">
        <v>49.313465118000003</v>
      </c>
      <c r="H1100">
        <v>1079</v>
      </c>
      <c r="I1100">
        <v>57.098621368000003</v>
      </c>
      <c r="K1100">
        <f t="shared" si="58"/>
        <v>28.682422637999998</v>
      </c>
      <c r="L1100">
        <v>1079</v>
      </c>
      <c r="M1100">
        <v>170.003540039</v>
      </c>
      <c r="N1100">
        <v>1079</v>
      </c>
      <c r="O1100">
        <v>85</v>
      </c>
      <c r="P1100">
        <f t="shared" si="56"/>
        <v>104.06145477299999</v>
      </c>
    </row>
    <row r="1101" spans="1:16">
      <c r="A1101">
        <f t="shared" si="57"/>
        <v>1680.1822079776218</v>
      </c>
      <c r="B1101">
        <v>1080</v>
      </c>
      <c r="C1101">
        <v>64.923934936999999</v>
      </c>
      <c r="D1101">
        <v>1080</v>
      </c>
      <c r="E1101">
        <v>89.345649718999994</v>
      </c>
      <c r="F1101">
        <v>1080</v>
      </c>
      <c r="G1101">
        <v>50.228496552000003</v>
      </c>
      <c r="H1101">
        <v>1080</v>
      </c>
      <c r="I1101">
        <v>56.557094573999997</v>
      </c>
      <c r="K1101">
        <f t="shared" si="58"/>
        <v>32.788555144999997</v>
      </c>
      <c r="L1101">
        <v>1080</v>
      </c>
      <c r="M1101">
        <v>170</v>
      </c>
      <c r="N1101">
        <v>1080</v>
      </c>
      <c r="O1101">
        <v>85</v>
      </c>
      <c r="P1101">
        <f t="shared" si="56"/>
        <v>105.076065063</v>
      </c>
    </row>
    <row r="1102" spans="1:16">
      <c r="A1102">
        <f t="shared" si="57"/>
        <v>1681.1083026146382</v>
      </c>
      <c r="B1102">
        <v>1081</v>
      </c>
      <c r="C1102">
        <v>65.478721618999998</v>
      </c>
      <c r="D1102">
        <v>1081</v>
      </c>
      <c r="E1102">
        <v>86.273818969999994</v>
      </c>
      <c r="F1102">
        <v>1081</v>
      </c>
      <c r="G1102">
        <v>50.028709411999998</v>
      </c>
      <c r="H1102">
        <v>1081</v>
      </c>
      <c r="I1102">
        <v>54.377941131999997</v>
      </c>
      <c r="K1102">
        <f t="shared" si="58"/>
        <v>31.895877837999997</v>
      </c>
      <c r="L1102">
        <v>1081</v>
      </c>
      <c r="M1102">
        <v>170</v>
      </c>
      <c r="N1102">
        <v>1081</v>
      </c>
      <c r="O1102">
        <v>85</v>
      </c>
      <c r="P1102">
        <f t="shared" si="56"/>
        <v>104.521278381</v>
      </c>
    </row>
    <row r="1103" spans="1:16">
      <c r="A1103">
        <f t="shared" si="57"/>
        <v>1682.0343972516544</v>
      </c>
      <c r="B1103">
        <v>1082</v>
      </c>
      <c r="C1103">
        <v>65.703163146999998</v>
      </c>
      <c r="D1103">
        <v>1082</v>
      </c>
      <c r="E1103">
        <v>83.932159424000005</v>
      </c>
      <c r="F1103">
        <v>1082</v>
      </c>
      <c r="G1103">
        <v>50.461174010999997</v>
      </c>
      <c r="H1103">
        <v>1082</v>
      </c>
      <c r="I1103">
        <v>52.638236999999997</v>
      </c>
      <c r="K1103">
        <f t="shared" si="58"/>
        <v>31.293922424000009</v>
      </c>
      <c r="L1103">
        <v>1082</v>
      </c>
      <c r="M1103">
        <v>170</v>
      </c>
      <c r="N1103">
        <v>1082</v>
      </c>
      <c r="O1103">
        <v>85</v>
      </c>
      <c r="P1103">
        <f t="shared" si="56"/>
        <v>104.296836853</v>
      </c>
    </row>
    <row r="1104" spans="1:16">
      <c r="A1104">
        <f t="shared" si="57"/>
        <v>1682.9604918886707</v>
      </c>
      <c r="B1104">
        <v>1083</v>
      </c>
      <c r="C1104">
        <v>64.269584656000006</v>
      </c>
      <c r="D1104">
        <v>1083</v>
      </c>
      <c r="E1104">
        <v>84.107276916999993</v>
      </c>
      <c r="F1104">
        <v>1083</v>
      </c>
      <c r="G1104">
        <v>51.174251556000002</v>
      </c>
      <c r="H1104">
        <v>1083</v>
      </c>
      <c r="I1104">
        <v>53.618095398000001</v>
      </c>
      <c r="K1104">
        <f t="shared" si="58"/>
        <v>30.489181518999992</v>
      </c>
      <c r="L1104">
        <v>1083</v>
      </c>
      <c r="M1104">
        <v>170</v>
      </c>
      <c r="N1104">
        <v>1083</v>
      </c>
      <c r="O1104">
        <v>85</v>
      </c>
      <c r="P1104">
        <f t="shared" si="56"/>
        <v>105.73041534399999</v>
      </c>
    </row>
    <row r="1105" spans="1:16">
      <c r="A1105">
        <f t="shared" si="57"/>
        <v>1683.8865865256871</v>
      </c>
      <c r="B1105">
        <v>1084</v>
      </c>
      <c r="C1105">
        <v>63.028991699000002</v>
      </c>
      <c r="D1105">
        <v>1084</v>
      </c>
      <c r="E1105">
        <v>84.424972534000005</v>
      </c>
      <c r="F1105">
        <v>1084</v>
      </c>
      <c r="G1105">
        <v>49.826141356999997</v>
      </c>
      <c r="H1105">
        <v>1084</v>
      </c>
      <c r="I1105">
        <v>56.667518616000002</v>
      </c>
      <c r="K1105">
        <f t="shared" si="58"/>
        <v>27.757453918000003</v>
      </c>
      <c r="L1105">
        <v>1084</v>
      </c>
      <c r="M1105">
        <v>169.65390014600001</v>
      </c>
      <c r="N1105">
        <v>1084</v>
      </c>
      <c r="O1105">
        <v>85.609535217000001</v>
      </c>
      <c r="P1105">
        <f t="shared" si="56"/>
        <v>106.62490844700001</v>
      </c>
    </row>
    <row r="1106" spans="1:16">
      <c r="A1106">
        <f t="shared" si="57"/>
        <v>1684.8126811627035</v>
      </c>
      <c r="B1106">
        <v>1085</v>
      </c>
      <c r="C1106">
        <v>62.422874450999998</v>
      </c>
      <c r="D1106">
        <v>1085</v>
      </c>
      <c r="E1106">
        <v>84.901733398000005</v>
      </c>
      <c r="F1106">
        <v>1085</v>
      </c>
      <c r="G1106">
        <v>48.587680816999999</v>
      </c>
      <c r="H1106">
        <v>1085</v>
      </c>
      <c r="I1106">
        <v>59.811382293999998</v>
      </c>
      <c r="K1106">
        <f t="shared" si="58"/>
        <v>25.090351104000007</v>
      </c>
      <c r="L1106">
        <v>1085</v>
      </c>
      <c r="M1106">
        <v>169.023635864</v>
      </c>
      <c r="N1106">
        <v>1085</v>
      </c>
      <c r="O1106">
        <v>86</v>
      </c>
      <c r="P1106">
        <f t="shared" si="56"/>
        <v>106.600761413</v>
      </c>
    </row>
    <row r="1107" spans="1:16">
      <c r="A1107">
        <f t="shared" si="57"/>
        <v>1685.7387757997199</v>
      </c>
      <c r="B1107">
        <v>1086</v>
      </c>
      <c r="C1107">
        <v>63.425281525000003</v>
      </c>
      <c r="D1107">
        <v>1086</v>
      </c>
      <c r="E1107">
        <v>86.088775635000005</v>
      </c>
      <c r="F1107">
        <v>1086</v>
      </c>
      <c r="G1107">
        <v>47.482921599999997</v>
      </c>
      <c r="H1107">
        <v>1086</v>
      </c>
      <c r="I1107">
        <v>59.415668488000001</v>
      </c>
      <c r="K1107">
        <f t="shared" si="58"/>
        <v>26.673107147000003</v>
      </c>
      <c r="L1107">
        <v>1086</v>
      </c>
      <c r="M1107">
        <v>169</v>
      </c>
      <c r="N1107">
        <v>1086</v>
      </c>
      <c r="O1107">
        <v>86</v>
      </c>
      <c r="P1107">
        <f t="shared" si="56"/>
        <v>105.574718475</v>
      </c>
    </row>
    <row r="1108" spans="1:16">
      <c r="A1108">
        <f t="shared" si="57"/>
        <v>1686.6648704367362</v>
      </c>
      <c r="B1108">
        <v>1087</v>
      </c>
      <c r="C1108">
        <v>65.383460998999993</v>
      </c>
      <c r="D1108">
        <v>1087</v>
      </c>
      <c r="E1108">
        <v>84.584770203000005</v>
      </c>
      <c r="F1108">
        <v>1087</v>
      </c>
      <c r="G1108">
        <v>48.979778289999999</v>
      </c>
      <c r="H1108">
        <v>1087</v>
      </c>
      <c r="I1108">
        <v>53.354167938000003</v>
      </c>
      <c r="K1108">
        <f t="shared" si="58"/>
        <v>31.230602265000002</v>
      </c>
      <c r="L1108">
        <v>1087</v>
      </c>
      <c r="M1108">
        <v>169</v>
      </c>
      <c r="N1108">
        <v>1087</v>
      </c>
      <c r="O1108">
        <v>86</v>
      </c>
      <c r="P1108">
        <f t="shared" si="56"/>
        <v>103.61653900100001</v>
      </c>
    </row>
    <row r="1109" spans="1:16">
      <c r="A1109">
        <f t="shared" si="57"/>
        <v>1687.5909650737524</v>
      </c>
      <c r="B1109">
        <v>1088</v>
      </c>
      <c r="C1109">
        <v>62.847579955999997</v>
      </c>
      <c r="D1109">
        <v>1088</v>
      </c>
      <c r="E1109">
        <v>80.412322997999993</v>
      </c>
      <c r="F1109">
        <v>1088</v>
      </c>
      <c r="G1109">
        <v>51.083255768000001</v>
      </c>
      <c r="H1109">
        <v>1088</v>
      </c>
      <c r="I1109">
        <v>49.479999542000002</v>
      </c>
      <c r="K1109">
        <f t="shared" si="58"/>
        <v>30.932323455999992</v>
      </c>
      <c r="L1109">
        <v>1088</v>
      </c>
      <c r="M1109">
        <v>169</v>
      </c>
      <c r="N1109">
        <v>1088</v>
      </c>
      <c r="O1109">
        <v>86</v>
      </c>
      <c r="P1109">
        <f t="shared" ref="P1109:P1172" si="59">M1109-C1109</f>
        <v>106.152420044</v>
      </c>
    </row>
    <row r="1110" spans="1:16">
      <c r="A1110">
        <f t="shared" ref="A1110:A1173" si="60">680 +B1110*COS(ABS($J$8)*PI()/180)</f>
        <v>1688.5170597107688</v>
      </c>
      <c r="B1110">
        <v>1089</v>
      </c>
      <c r="C1110">
        <v>60.742218018000003</v>
      </c>
      <c r="D1110">
        <v>1089</v>
      </c>
      <c r="E1110">
        <v>78.531471252000003</v>
      </c>
      <c r="F1110">
        <v>1089</v>
      </c>
      <c r="G1110">
        <v>49.000717162999997</v>
      </c>
      <c r="H1110">
        <v>1089</v>
      </c>
      <c r="I1110">
        <v>52.557353972999998</v>
      </c>
      <c r="K1110">
        <f t="shared" ref="K1110:K1173" si="61">E1110-I1110</f>
        <v>25.974117279000005</v>
      </c>
      <c r="L1110">
        <v>1089</v>
      </c>
      <c r="M1110">
        <v>168.77049255399999</v>
      </c>
      <c r="N1110">
        <v>1089</v>
      </c>
      <c r="O1110">
        <v>86.305297851999995</v>
      </c>
      <c r="P1110">
        <f t="shared" si="59"/>
        <v>108.02827453599998</v>
      </c>
    </row>
    <row r="1111" spans="1:16">
      <c r="A1111">
        <f t="shared" si="60"/>
        <v>1689.4431543477849</v>
      </c>
      <c r="B1111">
        <v>1090</v>
      </c>
      <c r="C1111">
        <v>61.141681671000001</v>
      </c>
      <c r="D1111">
        <v>1090</v>
      </c>
      <c r="E1111">
        <v>79.930984496999997</v>
      </c>
      <c r="F1111">
        <v>1090</v>
      </c>
      <c r="G1111">
        <v>46.825935364000003</v>
      </c>
      <c r="H1111">
        <v>1090</v>
      </c>
      <c r="I1111">
        <v>55.841262817</v>
      </c>
      <c r="K1111">
        <f t="shared" si="61"/>
        <v>24.089721679999997</v>
      </c>
      <c r="L1111">
        <v>1090</v>
      </c>
      <c r="M1111">
        <v>168</v>
      </c>
      <c r="N1111">
        <v>1090</v>
      </c>
      <c r="O1111">
        <v>87</v>
      </c>
      <c r="P1111">
        <f t="shared" si="59"/>
        <v>106.858318329</v>
      </c>
    </row>
    <row r="1112" spans="1:16">
      <c r="A1112">
        <f t="shared" si="60"/>
        <v>1690.3692489848013</v>
      </c>
      <c r="B1112">
        <v>1091</v>
      </c>
      <c r="C1112">
        <v>61.585018157999997</v>
      </c>
      <c r="D1112">
        <v>1091</v>
      </c>
      <c r="E1112">
        <v>81.162620544000006</v>
      </c>
      <c r="F1112">
        <v>1091</v>
      </c>
      <c r="G1112">
        <v>44.384269713999998</v>
      </c>
      <c r="H1112">
        <v>1091</v>
      </c>
      <c r="I1112">
        <v>51.700412749999998</v>
      </c>
      <c r="K1112">
        <f t="shared" si="61"/>
        <v>29.462207794000008</v>
      </c>
      <c r="L1112">
        <v>1091</v>
      </c>
      <c r="M1112">
        <v>167.84500122099999</v>
      </c>
      <c r="N1112">
        <v>1091</v>
      </c>
      <c r="O1112">
        <v>87.154991150000001</v>
      </c>
      <c r="P1112">
        <f t="shared" si="59"/>
        <v>106.25998306299999</v>
      </c>
    </row>
    <row r="1113" spans="1:16">
      <c r="A1113">
        <f t="shared" si="60"/>
        <v>1691.2953436218177</v>
      </c>
      <c r="B1113">
        <v>1092</v>
      </c>
      <c r="C1113">
        <v>59.076808929000002</v>
      </c>
      <c r="D1113">
        <v>1092</v>
      </c>
      <c r="E1113">
        <v>81.660789489999999</v>
      </c>
      <c r="F1113">
        <v>1092</v>
      </c>
      <c r="G1113">
        <v>48.092414855999998</v>
      </c>
      <c r="H1113">
        <v>1092</v>
      </c>
      <c r="I1113">
        <v>46.515270233000003</v>
      </c>
      <c r="K1113">
        <f t="shared" si="61"/>
        <v>35.145519256999997</v>
      </c>
      <c r="L1113">
        <v>1092</v>
      </c>
      <c r="M1113">
        <v>166</v>
      </c>
      <c r="N1113">
        <v>1092</v>
      </c>
      <c r="O1113">
        <v>89</v>
      </c>
      <c r="P1113">
        <f t="shared" si="59"/>
        <v>106.92319107099999</v>
      </c>
    </row>
    <row r="1114" spans="1:16">
      <c r="A1114">
        <f t="shared" si="60"/>
        <v>1692.221438258834</v>
      </c>
      <c r="B1114">
        <v>1093</v>
      </c>
      <c r="C1114">
        <v>56.803539276000002</v>
      </c>
      <c r="D1114">
        <v>1093</v>
      </c>
      <c r="E1114">
        <v>82.216918945000003</v>
      </c>
      <c r="F1114">
        <v>1093</v>
      </c>
      <c r="G1114">
        <v>47.638469696000001</v>
      </c>
      <c r="H1114">
        <v>1093</v>
      </c>
      <c r="I1114">
        <v>48.546802520999996</v>
      </c>
      <c r="K1114">
        <f t="shared" si="61"/>
        <v>33.670116424000007</v>
      </c>
      <c r="L1114">
        <v>1093</v>
      </c>
      <c r="M1114">
        <v>166</v>
      </c>
      <c r="N1114">
        <v>1093</v>
      </c>
      <c r="O1114">
        <v>89</v>
      </c>
      <c r="P1114">
        <f t="shared" si="59"/>
        <v>109.19646072399999</v>
      </c>
    </row>
    <row r="1115" spans="1:16">
      <c r="A1115">
        <f t="shared" si="60"/>
        <v>1693.1475328958504</v>
      </c>
      <c r="B1115">
        <v>1094</v>
      </c>
      <c r="C1115">
        <v>59.719409943000002</v>
      </c>
      <c r="D1115">
        <v>1094</v>
      </c>
      <c r="E1115">
        <v>80.444030761999997</v>
      </c>
      <c r="F1115">
        <v>1094</v>
      </c>
      <c r="G1115">
        <v>47.048152924</v>
      </c>
      <c r="H1115">
        <v>1094</v>
      </c>
      <c r="I1115">
        <v>49.542400360000002</v>
      </c>
      <c r="K1115">
        <f t="shared" si="61"/>
        <v>30.901630401999995</v>
      </c>
      <c r="L1115">
        <v>1094</v>
      </c>
      <c r="M1115">
        <v>165.15052795400001</v>
      </c>
      <c r="N1115">
        <v>1094</v>
      </c>
      <c r="O1115">
        <v>89.849479674999998</v>
      </c>
      <c r="P1115">
        <f t="shared" si="59"/>
        <v>105.43111801100001</v>
      </c>
    </row>
    <row r="1116" spans="1:16">
      <c r="A1116">
        <f t="shared" si="60"/>
        <v>1694.0736275328668</v>
      </c>
      <c r="B1116">
        <v>1095</v>
      </c>
      <c r="C1116">
        <v>61.616443633999999</v>
      </c>
      <c r="D1116">
        <v>1095</v>
      </c>
      <c r="E1116">
        <v>78.419616699000002</v>
      </c>
      <c r="F1116">
        <v>1095</v>
      </c>
      <c r="G1116">
        <v>44.301158905000001</v>
      </c>
      <c r="H1116">
        <v>1095</v>
      </c>
      <c r="I1116">
        <v>51.064769745</v>
      </c>
      <c r="K1116">
        <f t="shared" si="61"/>
        <v>27.354846954000003</v>
      </c>
      <c r="L1116">
        <v>1095</v>
      </c>
      <c r="M1116">
        <v>165</v>
      </c>
      <c r="N1116">
        <v>1095</v>
      </c>
      <c r="O1116">
        <v>90</v>
      </c>
      <c r="P1116">
        <f t="shared" si="59"/>
        <v>103.38355636599999</v>
      </c>
    </row>
    <row r="1117" spans="1:16">
      <c r="A1117">
        <f t="shared" si="60"/>
        <v>1694.9997221698829</v>
      </c>
      <c r="B1117">
        <v>1096</v>
      </c>
      <c r="C1117">
        <v>57.512756348000003</v>
      </c>
      <c r="D1117">
        <v>1096</v>
      </c>
      <c r="E1117">
        <v>79.168502808</v>
      </c>
      <c r="F1117">
        <v>1096</v>
      </c>
      <c r="G1117">
        <v>41.669822693</v>
      </c>
      <c r="H1117">
        <v>1096</v>
      </c>
      <c r="I1117">
        <v>50.667404175000001</v>
      </c>
      <c r="K1117">
        <f t="shared" si="61"/>
        <v>28.501098632999998</v>
      </c>
      <c r="L1117">
        <v>1096</v>
      </c>
      <c r="M1117">
        <v>164.302536011</v>
      </c>
      <c r="N1117">
        <v>1096</v>
      </c>
      <c r="O1117">
        <v>90.697463988999999</v>
      </c>
      <c r="P1117">
        <f t="shared" si="59"/>
        <v>106.78977966299999</v>
      </c>
    </row>
    <row r="1118" spans="1:16">
      <c r="A1118">
        <f t="shared" si="60"/>
        <v>1695.9258168068993</v>
      </c>
      <c r="B1118">
        <v>1097</v>
      </c>
      <c r="C1118">
        <v>54.88804245</v>
      </c>
      <c r="D1118">
        <v>1097</v>
      </c>
      <c r="E1118">
        <v>80.478828429999993</v>
      </c>
      <c r="F1118">
        <v>1097</v>
      </c>
      <c r="G1118">
        <v>43.818031310999999</v>
      </c>
      <c r="H1118">
        <v>1097</v>
      </c>
      <c r="I1118">
        <v>50.600383759000003</v>
      </c>
      <c r="K1118">
        <f t="shared" si="61"/>
        <v>29.87844467099999</v>
      </c>
      <c r="L1118">
        <v>1097</v>
      </c>
      <c r="M1118">
        <v>164</v>
      </c>
      <c r="N1118">
        <v>1097</v>
      </c>
      <c r="O1118">
        <v>91</v>
      </c>
      <c r="P1118">
        <f t="shared" si="59"/>
        <v>109.11195755</v>
      </c>
    </row>
    <row r="1119" spans="1:16">
      <c r="A1119">
        <f t="shared" si="60"/>
        <v>1696.8519114439155</v>
      </c>
      <c r="B1119">
        <v>1098</v>
      </c>
      <c r="C1119">
        <v>57.794185638000002</v>
      </c>
      <c r="D1119">
        <v>1098</v>
      </c>
      <c r="E1119">
        <v>79.622184752999999</v>
      </c>
      <c r="F1119">
        <v>1098</v>
      </c>
      <c r="G1119">
        <v>45.170799254999999</v>
      </c>
      <c r="H1119">
        <v>1098</v>
      </c>
      <c r="I1119">
        <v>49.407844543000003</v>
      </c>
      <c r="K1119">
        <f t="shared" si="61"/>
        <v>30.214340209999996</v>
      </c>
      <c r="L1119">
        <v>1098</v>
      </c>
      <c r="M1119">
        <v>164</v>
      </c>
      <c r="N1119">
        <v>1098</v>
      </c>
      <c r="O1119">
        <v>91</v>
      </c>
      <c r="P1119">
        <f t="shared" si="59"/>
        <v>106.205814362</v>
      </c>
    </row>
    <row r="1120" spans="1:16">
      <c r="A1120">
        <f t="shared" si="60"/>
        <v>1697.7780060809318</v>
      </c>
      <c r="B1120">
        <v>1099</v>
      </c>
      <c r="C1120">
        <v>55.738620758000003</v>
      </c>
      <c r="D1120">
        <v>1099</v>
      </c>
      <c r="E1120">
        <v>77.759902953999998</v>
      </c>
      <c r="F1120">
        <v>1099</v>
      </c>
      <c r="G1120">
        <v>43.721942902000002</v>
      </c>
      <c r="H1120">
        <v>1099</v>
      </c>
      <c r="I1120">
        <v>48.203514099000003</v>
      </c>
      <c r="K1120">
        <f t="shared" si="61"/>
        <v>29.556388854999994</v>
      </c>
      <c r="L1120">
        <v>1099</v>
      </c>
      <c r="M1120">
        <v>164</v>
      </c>
      <c r="N1120">
        <v>1099</v>
      </c>
      <c r="O1120">
        <v>91</v>
      </c>
      <c r="P1120">
        <f t="shared" si="59"/>
        <v>108.261379242</v>
      </c>
    </row>
    <row r="1121" spans="1:16">
      <c r="A1121">
        <f t="shared" si="60"/>
        <v>1698.7041007179482</v>
      </c>
      <c r="B1121">
        <v>1100</v>
      </c>
      <c r="C1121">
        <v>54.541385650999999</v>
      </c>
      <c r="D1121">
        <v>1100</v>
      </c>
      <c r="E1121">
        <v>75.182823181000003</v>
      </c>
      <c r="F1121">
        <v>1100</v>
      </c>
      <c r="G1121">
        <v>42.868850707999997</v>
      </c>
      <c r="H1121">
        <v>1100</v>
      </c>
      <c r="I1121">
        <v>47.685699462999999</v>
      </c>
      <c r="K1121">
        <f t="shared" si="61"/>
        <v>27.497123718000005</v>
      </c>
      <c r="L1121">
        <v>1100</v>
      </c>
      <c r="M1121">
        <v>163.21311950699999</v>
      </c>
      <c r="N1121">
        <v>1100</v>
      </c>
      <c r="O1121">
        <v>91.786888122999997</v>
      </c>
      <c r="P1121">
        <f t="shared" si="59"/>
        <v>108.67173385599999</v>
      </c>
    </row>
    <row r="1122" spans="1:16">
      <c r="A1122">
        <f t="shared" si="60"/>
        <v>1699.6301953549646</v>
      </c>
      <c r="B1122">
        <v>1101</v>
      </c>
      <c r="C1122">
        <v>55.290828705000003</v>
      </c>
      <c r="D1122">
        <v>1101</v>
      </c>
      <c r="E1122">
        <v>75.038902282999999</v>
      </c>
      <c r="F1122">
        <v>1101</v>
      </c>
      <c r="G1122">
        <v>45.197216034</v>
      </c>
      <c r="H1122">
        <v>1101</v>
      </c>
      <c r="I1122">
        <v>47.863727570000002</v>
      </c>
      <c r="K1122">
        <f t="shared" si="61"/>
        <v>27.175174712999997</v>
      </c>
      <c r="L1122">
        <v>1101</v>
      </c>
      <c r="M1122">
        <v>162</v>
      </c>
      <c r="N1122">
        <v>1101</v>
      </c>
      <c r="O1122">
        <v>93</v>
      </c>
      <c r="P1122">
        <f t="shared" si="59"/>
        <v>106.709171295</v>
      </c>
    </row>
    <row r="1123" spans="1:16">
      <c r="A1123">
        <f t="shared" si="60"/>
        <v>1700.556289991981</v>
      </c>
      <c r="B1123">
        <v>1102</v>
      </c>
      <c r="C1123">
        <v>57.072490692000002</v>
      </c>
      <c r="D1123">
        <v>1102</v>
      </c>
      <c r="E1123">
        <v>73.742469787999994</v>
      </c>
      <c r="F1123">
        <v>1102</v>
      </c>
      <c r="G1123">
        <v>46.265949249000002</v>
      </c>
      <c r="H1123">
        <v>1102</v>
      </c>
      <c r="I1123">
        <v>47.850849152000002</v>
      </c>
      <c r="K1123">
        <f t="shared" si="61"/>
        <v>25.891620635999992</v>
      </c>
      <c r="L1123">
        <v>1102</v>
      </c>
      <c r="M1123">
        <v>161.89494323700001</v>
      </c>
      <c r="N1123">
        <v>1102</v>
      </c>
      <c r="O1123">
        <v>93.241432189999998</v>
      </c>
      <c r="P1123">
        <f t="shared" si="59"/>
        <v>104.822452545</v>
      </c>
    </row>
    <row r="1124" spans="1:16">
      <c r="A1124">
        <f t="shared" si="60"/>
        <v>1701.4823846289971</v>
      </c>
      <c r="B1124">
        <v>1103</v>
      </c>
      <c r="C1124">
        <v>55.143466949</v>
      </c>
      <c r="D1124">
        <v>1103</v>
      </c>
      <c r="E1124">
        <v>74.633163452000005</v>
      </c>
      <c r="F1124">
        <v>1103</v>
      </c>
      <c r="G1124">
        <v>40.210941314999999</v>
      </c>
      <c r="H1124">
        <v>1103</v>
      </c>
      <c r="I1124">
        <v>47</v>
      </c>
      <c r="K1124">
        <f t="shared" si="61"/>
        <v>27.633163452000005</v>
      </c>
      <c r="L1124">
        <v>1103</v>
      </c>
      <c r="M1124">
        <v>161.15298461899999</v>
      </c>
      <c r="N1124">
        <v>1103</v>
      </c>
      <c r="O1124">
        <v>94</v>
      </c>
      <c r="P1124">
        <f t="shared" si="59"/>
        <v>106.00951766999999</v>
      </c>
    </row>
    <row r="1125" spans="1:16">
      <c r="A1125">
        <f t="shared" si="60"/>
        <v>1702.4084792660135</v>
      </c>
      <c r="B1125">
        <v>1104</v>
      </c>
      <c r="C1125">
        <v>52.583263397000003</v>
      </c>
      <c r="D1125">
        <v>1104</v>
      </c>
      <c r="E1125">
        <v>77.317344665999997</v>
      </c>
      <c r="F1125">
        <v>1104</v>
      </c>
      <c r="G1125">
        <v>35.495609283</v>
      </c>
      <c r="H1125">
        <v>1104</v>
      </c>
      <c r="I1125">
        <v>47</v>
      </c>
      <c r="K1125">
        <f t="shared" si="61"/>
        <v>30.317344665999997</v>
      </c>
      <c r="L1125">
        <v>1104</v>
      </c>
      <c r="M1125">
        <v>161</v>
      </c>
      <c r="N1125">
        <v>1104</v>
      </c>
      <c r="O1125">
        <v>94</v>
      </c>
      <c r="P1125">
        <f t="shared" si="59"/>
        <v>108.416736603</v>
      </c>
    </row>
    <row r="1126" spans="1:16">
      <c r="A1126">
        <f t="shared" si="60"/>
        <v>1703.3345739030296</v>
      </c>
      <c r="B1126">
        <v>1105</v>
      </c>
      <c r="C1126">
        <v>50.873146057</v>
      </c>
      <c r="D1126">
        <v>1105</v>
      </c>
      <c r="E1126">
        <v>77.211120605000005</v>
      </c>
      <c r="F1126">
        <v>1105</v>
      </c>
      <c r="G1126">
        <v>37.120388030999997</v>
      </c>
      <c r="H1126">
        <v>1105</v>
      </c>
      <c r="I1126">
        <v>44.510417938000003</v>
      </c>
      <c r="K1126">
        <f t="shared" si="61"/>
        <v>32.700702667000002</v>
      </c>
      <c r="L1126">
        <v>1105</v>
      </c>
      <c r="M1126">
        <v>160.98658752399999</v>
      </c>
      <c r="N1126">
        <v>1105</v>
      </c>
      <c r="O1126">
        <v>94.236900329999997</v>
      </c>
      <c r="P1126">
        <f t="shared" si="59"/>
        <v>110.11344146699999</v>
      </c>
    </row>
    <row r="1127" spans="1:16">
      <c r="A1127">
        <f t="shared" si="60"/>
        <v>1704.260668540046</v>
      </c>
      <c r="B1127">
        <v>1106</v>
      </c>
      <c r="C1127">
        <v>52.745246887</v>
      </c>
      <c r="D1127">
        <v>1106</v>
      </c>
      <c r="E1127">
        <v>77.739059448000006</v>
      </c>
      <c r="F1127">
        <v>1106</v>
      </c>
      <c r="G1127">
        <v>38.564437865999999</v>
      </c>
      <c r="H1127">
        <v>1106</v>
      </c>
      <c r="I1127">
        <v>43.688796996999997</v>
      </c>
      <c r="K1127">
        <f t="shared" si="61"/>
        <v>34.050262451000009</v>
      </c>
      <c r="L1127">
        <v>1106</v>
      </c>
      <c r="M1127">
        <v>160.062591553</v>
      </c>
      <c r="N1127">
        <v>1106</v>
      </c>
      <c r="O1127">
        <v>94.975563049000002</v>
      </c>
      <c r="P1127">
        <f t="shared" si="59"/>
        <v>107.317344666</v>
      </c>
    </row>
    <row r="1128" spans="1:16">
      <c r="A1128">
        <f t="shared" si="60"/>
        <v>1705.1867631770624</v>
      </c>
      <c r="B1128">
        <v>1107</v>
      </c>
      <c r="C1128">
        <v>54.690315247000001</v>
      </c>
      <c r="D1128">
        <v>1107</v>
      </c>
      <c r="E1128">
        <v>75.683097838999998</v>
      </c>
      <c r="F1128">
        <v>1107</v>
      </c>
      <c r="G1128">
        <v>40.249000549000002</v>
      </c>
      <c r="H1128">
        <v>1107</v>
      </c>
      <c r="I1128">
        <v>42.403251648000001</v>
      </c>
      <c r="K1128">
        <f t="shared" si="61"/>
        <v>33.279846190999997</v>
      </c>
      <c r="L1128">
        <v>1107</v>
      </c>
      <c r="M1128">
        <v>160</v>
      </c>
      <c r="N1128">
        <v>1107</v>
      </c>
      <c r="O1128">
        <v>95</v>
      </c>
      <c r="P1128">
        <f t="shared" si="59"/>
        <v>105.309684753</v>
      </c>
    </row>
    <row r="1129" spans="1:16">
      <c r="A1129">
        <f t="shared" si="60"/>
        <v>1706.1128578140788</v>
      </c>
      <c r="B1129">
        <v>1108</v>
      </c>
      <c r="C1129">
        <v>53.304141997999999</v>
      </c>
      <c r="D1129">
        <v>1108</v>
      </c>
      <c r="E1129">
        <v>74.435157775999997</v>
      </c>
      <c r="F1129">
        <v>1108</v>
      </c>
      <c r="G1129">
        <v>39.314197540000002</v>
      </c>
      <c r="H1129">
        <v>1108</v>
      </c>
      <c r="I1129">
        <v>41.868537903000004</v>
      </c>
      <c r="K1129">
        <f t="shared" si="61"/>
        <v>32.566619872999993</v>
      </c>
      <c r="L1129">
        <v>1108</v>
      </c>
      <c r="M1129">
        <v>159.214599609</v>
      </c>
      <c r="N1129">
        <v>1108</v>
      </c>
      <c r="O1129">
        <v>95.785392760999997</v>
      </c>
      <c r="P1129">
        <f t="shared" si="59"/>
        <v>105.910457611</v>
      </c>
    </row>
    <row r="1130" spans="1:16">
      <c r="A1130">
        <f t="shared" si="60"/>
        <v>1707.0389524510952</v>
      </c>
      <c r="B1130">
        <v>1109</v>
      </c>
      <c r="C1130">
        <v>54.198432922000002</v>
      </c>
      <c r="D1130">
        <v>1109</v>
      </c>
      <c r="E1130">
        <v>73.835418700999995</v>
      </c>
      <c r="F1130">
        <v>1109</v>
      </c>
      <c r="G1130">
        <v>36.385990143000001</v>
      </c>
      <c r="H1130">
        <v>1109</v>
      </c>
      <c r="I1130">
        <v>40.896083832000002</v>
      </c>
      <c r="K1130">
        <f t="shared" si="61"/>
        <v>32.939334868999993</v>
      </c>
      <c r="L1130">
        <v>1109</v>
      </c>
      <c r="M1130">
        <v>159</v>
      </c>
      <c r="N1130">
        <v>1109</v>
      </c>
      <c r="O1130">
        <v>96</v>
      </c>
      <c r="P1130">
        <f t="shared" si="59"/>
        <v>104.80156707800001</v>
      </c>
    </row>
    <row r="1131" spans="1:16">
      <c r="A1131">
        <f t="shared" si="60"/>
        <v>1707.9650470881113</v>
      </c>
      <c r="B1131">
        <v>1110</v>
      </c>
      <c r="C1131">
        <v>55.027385711999997</v>
      </c>
      <c r="D1131">
        <v>1110</v>
      </c>
      <c r="E1131">
        <v>74.431983947999996</v>
      </c>
      <c r="F1131">
        <v>1110</v>
      </c>
      <c r="G1131">
        <v>34.881980896000002</v>
      </c>
      <c r="H1131">
        <v>1110</v>
      </c>
      <c r="I1131">
        <v>40.822090148999997</v>
      </c>
      <c r="K1131">
        <f t="shared" si="61"/>
        <v>33.609893798999998</v>
      </c>
      <c r="L1131">
        <v>1110</v>
      </c>
      <c r="M1131">
        <v>159</v>
      </c>
      <c r="N1131">
        <v>1110</v>
      </c>
      <c r="O1131">
        <v>96</v>
      </c>
      <c r="P1131">
        <f t="shared" si="59"/>
        <v>103.972614288</v>
      </c>
    </row>
    <row r="1132" spans="1:16">
      <c r="A1132">
        <f t="shared" si="60"/>
        <v>1708.8911417251277</v>
      </c>
      <c r="B1132">
        <v>1111</v>
      </c>
      <c r="C1132">
        <v>56.185268401999998</v>
      </c>
      <c r="D1132">
        <v>1111</v>
      </c>
      <c r="E1132">
        <v>75.004463196000003</v>
      </c>
      <c r="F1132">
        <v>1111</v>
      </c>
      <c r="G1132">
        <v>34.926006317000002</v>
      </c>
      <c r="H1132">
        <v>1111</v>
      </c>
      <c r="I1132">
        <v>40.174510955999999</v>
      </c>
      <c r="K1132">
        <f t="shared" si="61"/>
        <v>34.829952240000004</v>
      </c>
      <c r="L1132">
        <v>1111</v>
      </c>
      <c r="M1132">
        <v>159</v>
      </c>
      <c r="N1132">
        <v>1111</v>
      </c>
      <c r="O1132">
        <v>96</v>
      </c>
      <c r="P1132">
        <f t="shared" si="59"/>
        <v>102.81473159800001</v>
      </c>
    </row>
    <row r="1133" spans="1:16">
      <c r="A1133">
        <f t="shared" si="60"/>
        <v>1709.8172363621441</v>
      </c>
      <c r="B1133">
        <v>1112</v>
      </c>
      <c r="C1133">
        <v>52.129390717</v>
      </c>
      <c r="D1133">
        <v>1112</v>
      </c>
      <c r="E1133">
        <v>73.533180236999996</v>
      </c>
      <c r="F1133">
        <v>1112</v>
      </c>
      <c r="G1133">
        <v>34.144840240000001</v>
      </c>
      <c r="H1133">
        <v>1112</v>
      </c>
      <c r="I1133">
        <v>38.799999237000002</v>
      </c>
      <c r="K1133">
        <f t="shared" si="61"/>
        <v>34.733180999999995</v>
      </c>
      <c r="L1133">
        <v>1112</v>
      </c>
      <c r="M1133">
        <v>158.03726196299999</v>
      </c>
      <c r="N1133">
        <v>1112</v>
      </c>
      <c r="O1133">
        <v>96.962745666999993</v>
      </c>
      <c r="P1133">
        <f t="shared" si="59"/>
        <v>105.90787124599998</v>
      </c>
    </row>
    <row r="1134" spans="1:16">
      <c r="A1134">
        <f t="shared" si="60"/>
        <v>1710.7433309991604</v>
      </c>
      <c r="B1134">
        <v>1113</v>
      </c>
      <c r="C1134">
        <v>50.002239226999997</v>
      </c>
      <c r="D1134">
        <v>1113</v>
      </c>
      <c r="E1134">
        <v>70.453735351999995</v>
      </c>
      <c r="F1134">
        <v>1113</v>
      </c>
      <c r="G1134">
        <v>36.643249511999997</v>
      </c>
      <c r="H1134">
        <v>1113</v>
      </c>
      <c r="I1134">
        <v>36.645202636999997</v>
      </c>
      <c r="K1134">
        <f t="shared" si="61"/>
        <v>33.808532714999998</v>
      </c>
      <c r="L1134">
        <v>1113</v>
      </c>
      <c r="M1134">
        <v>157</v>
      </c>
      <c r="N1134">
        <v>1113</v>
      </c>
      <c r="O1134">
        <v>98</v>
      </c>
      <c r="P1134">
        <f t="shared" si="59"/>
        <v>106.99776077300001</v>
      </c>
    </row>
    <row r="1135" spans="1:16">
      <c r="A1135">
        <f t="shared" si="60"/>
        <v>1711.6694256361766</v>
      </c>
      <c r="B1135">
        <v>1114</v>
      </c>
      <c r="C1135">
        <v>47.999919890999998</v>
      </c>
      <c r="D1135">
        <v>1114</v>
      </c>
      <c r="E1135">
        <v>68.751403808999996</v>
      </c>
      <c r="F1135">
        <v>1114</v>
      </c>
      <c r="G1135">
        <v>38.284584045000003</v>
      </c>
      <c r="H1135">
        <v>1114</v>
      </c>
      <c r="I1135">
        <v>43.100555419999999</v>
      </c>
      <c r="K1135">
        <f t="shared" si="61"/>
        <v>25.650848388999997</v>
      </c>
      <c r="L1135">
        <v>1114</v>
      </c>
      <c r="M1135">
        <v>156.67063903799999</v>
      </c>
      <c r="N1135">
        <v>1114</v>
      </c>
      <c r="O1135">
        <v>98.329360961999996</v>
      </c>
      <c r="P1135">
        <f t="shared" si="59"/>
        <v>108.670719147</v>
      </c>
    </row>
    <row r="1136" spans="1:16">
      <c r="A1136">
        <f t="shared" si="60"/>
        <v>1712.595520273193</v>
      </c>
      <c r="B1136">
        <v>1115</v>
      </c>
      <c r="C1136">
        <v>47.428787231000001</v>
      </c>
      <c r="D1136">
        <v>1115</v>
      </c>
      <c r="E1136">
        <v>68.918579101999995</v>
      </c>
      <c r="F1136">
        <v>1115</v>
      </c>
      <c r="G1136">
        <v>37.389846802000001</v>
      </c>
      <c r="H1136">
        <v>1115</v>
      </c>
      <c r="I1136">
        <v>43.201339722</v>
      </c>
      <c r="K1136">
        <f t="shared" si="61"/>
        <v>25.717239379999995</v>
      </c>
      <c r="L1136">
        <v>1115</v>
      </c>
      <c r="M1136">
        <v>156</v>
      </c>
      <c r="N1136">
        <v>1115</v>
      </c>
      <c r="O1136">
        <v>99</v>
      </c>
      <c r="P1136">
        <f t="shared" si="59"/>
        <v>108.571212769</v>
      </c>
    </row>
    <row r="1137" spans="1:16">
      <c r="A1137">
        <f t="shared" si="60"/>
        <v>1713.5216149102093</v>
      </c>
      <c r="B1137">
        <v>1116</v>
      </c>
      <c r="C1137">
        <v>47.928127289000003</v>
      </c>
      <c r="D1137">
        <v>1116</v>
      </c>
      <c r="E1137">
        <v>69.151832580999994</v>
      </c>
      <c r="F1137">
        <v>1116</v>
      </c>
      <c r="G1137">
        <v>35.628707886000001</v>
      </c>
      <c r="H1137">
        <v>1116</v>
      </c>
      <c r="I1137">
        <v>40.934394836000003</v>
      </c>
      <c r="K1137">
        <f t="shared" si="61"/>
        <v>28.217437744999991</v>
      </c>
      <c r="L1137">
        <v>1116</v>
      </c>
      <c r="M1137">
        <v>155.82264709500001</v>
      </c>
      <c r="N1137">
        <v>1116</v>
      </c>
      <c r="O1137">
        <v>99.177345275999997</v>
      </c>
      <c r="P1137">
        <f t="shared" si="59"/>
        <v>107.89451980600001</v>
      </c>
    </row>
    <row r="1138" spans="1:16">
      <c r="A1138">
        <f t="shared" si="60"/>
        <v>1714.4477095472255</v>
      </c>
      <c r="B1138">
        <v>1117</v>
      </c>
      <c r="C1138">
        <v>48.681468963999997</v>
      </c>
      <c r="D1138">
        <v>1117</v>
      </c>
      <c r="E1138">
        <v>69.594261169000006</v>
      </c>
      <c r="F1138">
        <v>1117</v>
      </c>
      <c r="G1138">
        <v>35.078895568999997</v>
      </c>
      <c r="H1138">
        <v>1117</v>
      </c>
      <c r="I1138">
        <v>38.583786011000001</v>
      </c>
      <c r="K1138">
        <f t="shared" si="61"/>
        <v>31.010475158000006</v>
      </c>
      <c r="L1138">
        <v>1117</v>
      </c>
      <c r="M1138">
        <v>155</v>
      </c>
      <c r="N1138">
        <v>1117</v>
      </c>
      <c r="O1138">
        <v>100</v>
      </c>
      <c r="P1138">
        <f t="shared" si="59"/>
        <v>106.318531036</v>
      </c>
    </row>
    <row r="1139" spans="1:16">
      <c r="A1139">
        <f t="shared" si="60"/>
        <v>1715.3738041842419</v>
      </c>
      <c r="B1139">
        <v>1118</v>
      </c>
      <c r="C1139">
        <v>47.482868195000002</v>
      </c>
      <c r="D1139">
        <v>1118</v>
      </c>
      <c r="E1139">
        <v>68.932815551999994</v>
      </c>
      <c r="F1139">
        <v>1118</v>
      </c>
      <c r="G1139">
        <v>36.087429047000001</v>
      </c>
      <c r="H1139">
        <v>1118</v>
      </c>
      <c r="I1139">
        <v>39.349998474000003</v>
      </c>
      <c r="K1139">
        <f t="shared" si="61"/>
        <v>29.582817077999991</v>
      </c>
      <c r="L1139">
        <v>1118</v>
      </c>
      <c r="M1139">
        <v>155</v>
      </c>
      <c r="N1139">
        <v>1118</v>
      </c>
      <c r="O1139">
        <v>100</v>
      </c>
      <c r="P1139">
        <f t="shared" si="59"/>
        <v>107.51713180499999</v>
      </c>
    </row>
    <row r="1140" spans="1:16">
      <c r="A1140">
        <f t="shared" si="60"/>
        <v>1716.2998988212582</v>
      </c>
      <c r="B1140">
        <v>1119</v>
      </c>
      <c r="C1140">
        <v>46.933967590000002</v>
      </c>
      <c r="D1140">
        <v>1119</v>
      </c>
      <c r="E1140">
        <v>67.621765136999997</v>
      </c>
      <c r="F1140">
        <v>1119</v>
      </c>
      <c r="G1140">
        <v>37.491802216000004</v>
      </c>
      <c r="H1140">
        <v>1119</v>
      </c>
      <c r="I1140">
        <v>40.581863403</v>
      </c>
      <c r="K1140">
        <f t="shared" si="61"/>
        <v>27.039901733999997</v>
      </c>
      <c r="L1140">
        <v>1119</v>
      </c>
      <c r="M1140">
        <v>155</v>
      </c>
      <c r="N1140">
        <v>1119</v>
      </c>
      <c r="O1140">
        <v>100</v>
      </c>
      <c r="P1140">
        <f t="shared" si="59"/>
        <v>108.06603240999999</v>
      </c>
    </row>
    <row r="1141" spans="1:16">
      <c r="A1141">
        <f t="shared" si="60"/>
        <v>1717.2259934582746</v>
      </c>
      <c r="B1141">
        <v>1120</v>
      </c>
      <c r="C1141">
        <v>47.471282959</v>
      </c>
      <c r="D1141">
        <v>1120</v>
      </c>
      <c r="E1141">
        <v>67.401664733999993</v>
      </c>
      <c r="F1141">
        <v>1120</v>
      </c>
      <c r="G1141">
        <v>31.234096526999998</v>
      </c>
      <c r="H1141">
        <v>1120</v>
      </c>
      <c r="I1141">
        <v>40.405998230000002</v>
      </c>
      <c r="K1141">
        <f t="shared" si="61"/>
        <v>26.995666503999992</v>
      </c>
      <c r="L1141">
        <v>1120</v>
      </c>
      <c r="M1141">
        <v>155</v>
      </c>
      <c r="N1141">
        <v>1120</v>
      </c>
      <c r="O1141">
        <v>100</v>
      </c>
      <c r="P1141">
        <f t="shared" si="59"/>
        <v>107.52871704099999</v>
      </c>
    </row>
    <row r="1142" spans="1:16">
      <c r="A1142">
        <f t="shared" si="60"/>
        <v>1718.1520880952908</v>
      </c>
      <c r="B1142">
        <v>1121</v>
      </c>
      <c r="C1142">
        <v>47.455863952999998</v>
      </c>
      <c r="D1142">
        <v>1121</v>
      </c>
      <c r="E1142">
        <v>67.000404357999997</v>
      </c>
      <c r="F1142">
        <v>1121</v>
      </c>
      <c r="G1142">
        <v>32.211341857999997</v>
      </c>
      <c r="H1142">
        <v>1121</v>
      </c>
      <c r="I1142">
        <v>40.244659423999998</v>
      </c>
      <c r="K1142">
        <f t="shared" si="61"/>
        <v>26.755744933999999</v>
      </c>
      <c r="L1142">
        <v>1121</v>
      </c>
      <c r="M1142">
        <v>154.202682495</v>
      </c>
      <c r="N1142">
        <v>1121</v>
      </c>
      <c r="O1142">
        <v>100.797317505</v>
      </c>
      <c r="P1142">
        <f t="shared" si="59"/>
        <v>106.746818542</v>
      </c>
    </row>
    <row r="1143" spans="1:16">
      <c r="A1143">
        <f t="shared" si="60"/>
        <v>1719.0781827323071</v>
      </c>
      <c r="B1143">
        <v>1122</v>
      </c>
      <c r="C1143">
        <v>44.792484283</v>
      </c>
      <c r="D1143">
        <v>1122</v>
      </c>
      <c r="E1143">
        <v>66.759078978999995</v>
      </c>
      <c r="F1143">
        <v>1122</v>
      </c>
      <c r="G1143">
        <v>33.894115448000001</v>
      </c>
      <c r="H1143">
        <v>1122</v>
      </c>
      <c r="I1143">
        <v>41.886665344000001</v>
      </c>
      <c r="K1143">
        <f t="shared" si="61"/>
        <v>24.872413634999994</v>
      </c>
      <c r="L1143">
        <v>1122</v>
      </c>
      <c r="M1143">
        <v>154</v>
      </c>
      <c r="N1143">
        <v>1122</v>
      </c>
      <c r="O1143">
        <v>101</v>
      </c>
      <c r="P1143">
        <f t="shared" si="59"/>
        <v>109.20751571700001</v>
      </c>
    </row>
    <row r="1144" spans="1:16">
      <c r="A1144">
        <f t="shared" si="60"/>
        <v>1720.0042773693235</v>
      </c>
      <c r="B1144">
        <v>1123</v>
      </c>
      <c r="C1144">
        <v>46.082862853999998</v>
      </c>
      <c r="D1144">
        <v>1123</v>
      </c>
      <c r="E1144">
        <v>66.385597228999998</v>
      </c>
      <c r="F1144">
        <v>1123</v>
      </c>
      <c r="G1144">
        <v>33.532230376999998</v>
      </c>
      <c r="H1144">
        <v>1123</v>
      </c>
      <c r="I1144">
        <v>41.447067261000001</v>
      </c>
      <c r="K1144">
        <f t="shared" si="61"/>
        <v>24.938529967999997</v>
      </c>
      <c r="L1144">
        <v>1123</v>
      </c>
      <c r="M1144">
        <v>153.35469055199999</v>
      </c>
      <c r="N1144">
        <v>1123</v>
      </c>
      <c r="O1144">
        <v>101.645301819</v>
      </c>
      <c r="P1144">
        <f t="shared" si="59"/>
        <v>107.271827698</v>
      </c>
    </row>
    <row r="1145" spans="1:16">
      <c r="A1145">
        <f t="shared" si="60"/>
        <v>1720.9303720063399</v>
      </c>
      <c r="B1145">
        <v>1124</v>
      </c>
      <c r="C1145">
        <v>44.855136870999999</v>
      </c>
      <c r="D1145">
        <v>1124</v>
      </c>
      <c r="E1145">
        <v>66.344810486</v>
      </c>
      <c r="F1145">
        <v>1124</v>
      </c>
      <c r="G1145">
        <v>32.043354033999996</v>
      </c>
      <c r="H1145">
        <v>1124</v>
      </c>
      <c r="I1145">
        <v>40.022075653000002</v>
      </c>
      <c r="K1145">
        <f t="shared" si="61"/>
        <v>26.322734832999998</v>
      </c>
      <c r="L1145">
        <v>1124</v>
      </c>
      <c r="M1145">
        <v>153</v>
      </c>
      <c r="N1145">
        <v>1124</v>
      </c>
      <c r="O1145">
        <v>102</v>
      </c>
      <c r="P1145">
        <f t="shared" si="59"/>
        <v>108.144863129</v>
      </c>
    </row>
    <row r="1146" spans="1:16">
      <c r="A1146">
        <f t="shared" si="60"/>
        <v>1721.856466643356</v>
      </c>
      <c r="B1146">
        <v>1125</v>
      </c>
      <c r="C1146">
        <v>45.125339508000003</v>
      </c>
      <c r="D1146">
        <v>1125</v>
      </c>
      <c r="E1146">
        <v>65.664894103999998</v>
      </c>
      <c r="F1146">
        <v>1125</v>
      </c>
      <c r="G1146">
        <v>32.212879180999998</v>
      </c>
      <c r="H1146">
        <v>1125</v>
      </c>
      <c r="I1146">
        <v>40.463233948000003</v>
      </c>
      <c r="K1146">
        <f t="shared" si="61"/>
        <v>25.201660155999996</v>
      </c>
      <c r="L1146">
        <v>1125</v>
      </c>
      <c r="M1146">
        <v>152.506713867</v>
      </c>
      <c r="N1146">
        <v>1125</v>
      </c>
      <c r="O1146">
        <v>102.49329376199999</v>
      </c>
      <c r="P1146">
        <f t="shared" si="59"/>
        <v>107.38137435900001</v>
      </c>
    </row>
    <row r="1147" spans="1:16">
      <c r="A1147">
        <f t="shared" si="60"/>
        <v>1722.7825612803724</v>
      </c>
      <c r="B1147">
        <v>1126</v>
      </c>
      <c r="C1147">
        <v>44.030166626000003</v>
      </c>
      <c r="D1147">
        <v>1126</v>
      </c>
      <c r="E1147">
        <v>65.701431274000001</v>
      </c>
      <c r="F1147">
        <v>1126</v>
      </c>
      <c r="G1147">
        <v>32.695274353000002</v>
      </c>
      <c r="H1147">
        <v>1126</v>
      </c>
      <c r="I1147">
        <v>39.967647552000003</v>
      </c>
      <c r="K1147">
        <f t="shared" si="61"/>
        <v>25.733783721999998</v>
      </c>
      <c r="L1147">
        <v>1126</v>
      </c>
      <c r="M1147">
        <v>152</v>
      </c>
      <c r="N1147">
        <v>1126</v>
      </c>
      <c r="O1147">
        <v>103</v>
      </c>
      <c r="P1147">
        <f t="shared" si="59"/>
        <v>107.96983337399999</v>
      </c>
    </row>
    <row r="1148" spans="1:16">
      <c r="A1148">
        <f t="shared" si="60"/>
        <v>1723.7086559173888</v>
      </c>
      <c r="B1148">
        <v>1127</v>
      </c>
      <c r="C1148">
        <v>42.583534241000002</v>
      </c>
      <c r="D1148">
        <v>1127</v>
      </c>
      <c r="E1148">
        <v>63.783077239999997</v>
      </c>
      <c r="F1148">
        <v>1127</v>
      </c>
      <c r="G1148">
        <v>32.088703156000001</v>
      </c>
      <c r="H1148">
        <v>1127</v>
      </c>
      <c r="I1148">
        <v>38.724998474000003</v>
      </c>
      <c r="K1148">
        <f t="shared" si="61"/>
        <v>25.058078765999994</v>
      </c>
      <c r="L1148">
        <v>1127</v>
      </c>
      <c r="M1148">
        <v>151.65872192399999</v>
      </c>
      <c r="N1148">
        <v>1127</v>
      </c>
      <c r="O1148">
        <v>103.34127807599999</v>
      </c>
      <c r="P1148">
        <f t="shared" si="59"/>
        <v>109.075187683</v>
      </c>
    </row>
    <row r="1149" spans="1:16">
      <c r="A1149">
        <f t="shared" si="60"/>
        <v>1724.6347505544052</v>
      </c>
      <c r="B1149">
        <v>1128</v>
      </c>
      <c r="C1149">
        <v>42.470619202000002</v>
      </c>
      <c r="D1149">
        <v>1128</v>
      </c>
      <c r="E1149">
        <v>64.478813170999999</v>
      </c>
      <c r="F1149">
        <v>1128</v>
      </c>
      <c r="G1149">
        <v>31.320020675999999</v>
      </c>
      <c r="H1149">
        <v>1128</v>
      </c>
      <c r="I1149">
        <v>37.228096008000001</v>
      </c>
      <c r="K1149">
        <f t="shared" si="61"/>
        <v>27.250717162999997</v>
      </c>
      <c r="L1149">
        <v>1128</v>
      </c>
      <c r="M1149">
        <v>151</v>
      </c>
      <c r="N1149">
        <v>1128</v>
      </c>
      <c r="O1149">
        <v>104</v>
      </c>
      <c r="P1149">
        <f t="shared" si="59"/>
        <v>108.52938079800001</v>
      </c>
    </row>
    <row r="1150" spans="1:16">
      <c r="A1150">
        <f t="shared" si="60"/>
        <v>1725.5608451914213</v>
      </c>
      <c r="B1150">
        <v>1129</v>
      </c>
      <c r="C1150">
        <v>43.755084990999997</v>
      </c>
      <c r="D1150">
        <v>1129</v>
      </c>
      <c r="E1150">
        <v>61.869949341000002</v>
      </c>
      <c r="F1150">
        <v>1129</v>
      </c>
      <c r="G1150">
        <v>32.798530579000001</v>
      </c>
      <c r="H1150">
        <v>1129</v>
      </c>
      <c r="I1150">
        <v>35.872058868000003</v>
      </c>
      <c r="K1150">
        <f t="shared" si="61"/>
        <v>25.997890472999998</v>
      </c>
      <c r="L1150">
        <v>1129</v>
      </c>
      <c r="M1150">
        <v>150.81072997999999</v>
      </c>
      <c r="N1150">
        <v>1129</v>
      </c>
      <c r="O1150">
        <v>104.18927002</v>
      </c>
      <c r="P1150">
        <f t="shared" si="59"/>
        <v>107.055644989</v>
      </c>
    </row>
    <row r="1151" spans="1:16">
      <c r="A1151">
        <f t="shared" si="60"/>
        <v>1726.4869398284377</v>
      </c>
      <c r="B1151">
        <v>1130</v>
      </c>
      <c r="C1151">
        <v>41.654499053999999</v>
      </c>
      <c r="D1151">
        <v>1130</v>
      </c>
      <c r="E1151">
        <v>61.611316680999998</v>
      </c>
      <c r="F1151">
        <v>1130</v>
      </c>
      <c r="G1151">
        <v>31.648477553999999</v>
      </c>
      <c r="H1151">
        <v>1130</v>
      </c>
      <c r="I1151">
        <v>34.764705657999997</v>
      </c>
      <c r="K1151">
        <f t="shared" si="61"/>
        <v>26.846611023000001</v>
      </c>
      <c r="L1151">
        <v>1130</v>
      </c>
      <c r="M1151">
        <v>150</v>
      </c>
      <c r="N1151">
        <v>1130</v>
      </c>
      <c r="O1151">
        <v>105</v>
      </c>
      <c r="P1151">
        <f t="shared" si="59"/>
        <v>108.345500946</v>
      </c>
    </row>
    <row r="1152" spans="1:16">
      <c r="A1152">
        <f t="shared" si="60"/>
        <v>1727.4130344654541</v>
      </c>
      <c r="B1152">
        <v>1131</v>
      </c>
      <c r="C1152">
        <v>40.545642852999997</v>
      </c>
      <c r="D1152">
        <v>1131</v>
      </c>
      <c r="E1152">
        <v>63.011524199999997</v>
      </c>
      <c r="F1152">
        <v>1131</v>
      </c>
      <c r="G1152">
        <v>32.076763153000002</v>
      </c>
      <c r="H1152">
        <v>1131</v>
      </c>
      <c r="I1152">
        <v>34.084743500000002</v>
      </c>
      <c r="K1152">
        <f t="shared" si="61"/>
        <v>28.926780699999995</v>
      </c>
      <c r="L1152">
        <v>1131</v>
      </c>
      <c r="M1152">
        <v>149.96273803700001</v>
      </c>
      <c r="N1152">
        <v>1131</v>
      </c>
      <c r="O1152">
        <v>105.03725433300001</v>
      </c>
      <c r="P1152">
        <f t="shared" si="59"/>
        <v>109.417095184</v>
      </c>
    </row>
    <row r="1153" spans="1:16">
      <c r="A1153">
        <f t="shared" si="60"/>
        <v>1728.3391291024705</v>
      </c>
      <c r="B1153">
        <v>1132</v>
      </c>
      <c r="C1153">
        <v>40.844436645999998</v>
      </c>
      <c r="D1153">
        <v>1132</v>
      </c>
      <c r="E1153">
        <v>60.820716857999997</v>
      </c>
      <c r="F1153">
        <v>1132</v>
      </c>
      <c r="G1153">
        <v>30.689544678000001</v>
      </c>
      <c r="H1153">
        <v>1132</v>
      </c>
      <c r="I1153">
        <v>34.047058104999998</v>
      </c>
      <c r="K1153">
        <f t="shared" si="61"/>
        <v>26.773658752999999</v>
      </c>
      <c r="L1153">
        <v>1132</v>
      </c>
      <c r="M1153">
        <v>149.03874206500001</v>
      </c>
      <c r="N1153">
        <v>1132</v>
      </c>
      <c r="O1153">
        <v>105.96125030499999</v>
      </c>
      <c r="P1153">
        <f t="shared" si="59"/>
        <v>108.19430541900002</v>
      </c>
    </row>
    <row r="1154" spans="1:16">
      <c r="A1154">
        <f t="shared" si="60"/>
        <v>1729.2652237394866</v>
      </c>
      <c r="B1154">
        <v>1133</v>
      </c>
      <c r="C1154">
        <v>41.777603149000001</v>
      </c>
      <c r="D1154">
        <v>1133</v>
      </c>
      <c r="E1154">
        <v>58.572547913000001</v>
      </c>
      <c r="F1154">
        <v>1133</v>
      </c>
      <c r="G1154">
        <v>30.322584152000001</v>
      </c>
      <c r="H1154">
        <v>1133</v>
      </c>
      <c r="I1154">
        <v>33.884658813000001</v>
      </c>
      <c r="K1154">
        <f t="shared" si="61"/>
        <v>24.6878891</v>
      </c>
      <c r="L1154">
        <v>1133</v>
      </c>
      <c r="M1154">
        <v>149</v>
      </c>
      <c r="N1154">
        <v>1133</v>
      </c>
      <c r="O1154">
        <v>106</v>
      </c>
      <c r="P1154">
        <f t="shared" si="59"/>
        <v>107.222396851</v>
      </c>
    </row>
    <row r="1155" spans="1:16">
      <c r="A1155">
        <f t="shared" si="60"/>
        <v>1730.191318376503</v>
      </c>
      <c r="B1155">
        <v>1134</v>
      </c>
      <c r="C1155">
        <v>40.707988739000001</v>
      </c>
      <c r="D1155">
        <v>1134</v>
      </c>
      <c r="E1155">
        <v>58.988491058000001</v>
      </c>
      <c r="F1155">
        <v>1134</v>
      </c>
      <c r="G1155">
        <v>30.158777236999999</v>
      </c>
      <c r="H1155">
        <v>1134</v>
      </c>
      <c r="I1155">
        <v>33.804321289000001</v>
      </c>
      <c r="K1155">
        <f t="shared" si="61"/>
        <v>25.184169769</v>
      </c>
      <c r="L1155">
        <v>1134</v>
      </c>
      <c r="M1155">
        <v>148.19076538100001</v>
      </c>
      <c r="N1155">
        <v>1134</v>
      </c>
      <c r="O1155">
        <v>106.80924224899999</v>
      </c>
      <c r="P1155">
        <f t="shared" si="59"/>
        <v>107.482776642</v>
      </c>
    </row>
    <row r="1156" spans="1:16">
      <c r="A1156">
        <f t="shared" si="60"/>
        <v>1731.1174130135194</v>
      </c>
      <c r="B1156">
        <v>1135</v>
      </c>
      <c r="C1156">
        <v>39.671115874999998</v>
      </c>
      <c r="D1156">
        <v>1135</v>
      </c>
      <c r="E1156">
        <v>59.684581756999997</v>
      </c>
      <c r="F1156">
        <v>1135</v>
      </c>
      <c r="G1156">
        <v>30.477893828999999</v>
      </c>
      <c r="H1156">
        <v>1135</v>
      </c>
      <c r="I1156">
        <v>33.962875365999999</v>
      </c>
      <c r="K1156">
        <f t="shared" si="61"/>
        <v>25.721706390999998</v>
      </c>
      <c r="L1156">
        <v>1135</v>
      </c>
      <c r="M1156">
        <v>148</v>
      </c>
      <c r="N1156">
        <v>1135</v>
      </c>
      <c r="O1156">
        <v>107</v>
      </c>
      <c r="P1156">
        <f t="shared" si="59"/>
        <v>108.328884125</v>
      </c>
    </row>
    <row r="1157" spans="1:16">
      <c r="A1157">
        <f t="shared" si="60"/>
        <v>1732.0435076505355</v>
      </c>
      <c r="B1157">
        <v>1136</v>
      </c>
      <c r="C1157">
        <v>38.890510558999999</v>
      </c>
      <c r="D1157">
        <v>1136</v>
      </c>
      <c r="E1157">
        <v>61.502010345000002</v>
      </c>
      <c r="F1157">
        <v>1136</v>
      </c>
      <c r="G1157">
        <v>29.460641860999999</v>
      </c>
      <c r="H1157">
        <v>1136</v>
      </c>
      <c r="I1157">
        <v>28.520599364999999</v>
      </c>
      <c r="K1157">
        <f t="shared" si="61"/>
        <v>32.981410980000007</v>
      </c>
      <c r="L1157">
        <v>1136</v>
      </c>
      <c r="M1157">
        <v>147.73260497999999</v>
      </c>
      <c r="N1157">
        <v>1136</v>
      </c>
      <c r="O1157">
        <v>107.65722656200001</v>
      </c>
      <c r="P1157">
        <f t="shared" si="59"/>
        <v>108.84209442099998</v>
      </c>
    </row>
    <row r="1158" spans="1:16">
      <c r="A1158">
        <f t="shared" si="60"/>
        <v>1732.9696022875519</v>
      </c>
      <c r="B1158">
        <v>1137</v>
      </c>
      <c r="C1158">
        <v>39.184425353999998</v>
      </c>
      <c r="D1158">
        <v>1137</v>
      </c>
      <c r="E1158">
        <v>58.089565276999998</v>
      </c>
      <c r="F1158">
        <v>1137</v>
      </c>
      <c r="G1158">
        <v>29.952884674</v>
      </c>
      <c r="H1158">
        <v>1137</v>
      </c>
      <c r="I1158">
        <v>33.024971008000001</v>
      </c>
      <c r="K1158">
        <f t="shared" si="61"/>
        <v>25.064594268999997</v>
      </c>
      <c r="L1158">
        <v>1137</v>
      </c>
      <c r="M1158">
        <v>147.088623047</v>
      </c>
      <c r="N1158">
        <v>1137</v>
      </c>
      <c r="O1158">
        <v>108</v>
      </c>
      <c r="P1158">
        <f t="shared" si="59"/>
        <v>107.904197693</v>
      </c>
    </row>
    <row r="1159" spans="1:16">
      <c r="A1159">
        <f t="shared" si="60"/>
        <v>1733.8956969245683</v>
      </c>
      <c r="B1159">
        <v>1138</v>
      </c>
      <c r="C1159">
        <v>37.893890380999999</v>
      </c>
      <c r="D1159">
        <v>1138</v>
      </c>
      <c r="E1159">
        <v>58.041255950999997</v>
      </c>
      <c r="F1159">
        <v>1138</v>
      </c>
      <c r="G1159">
        <v>29.431104659999999</v>
      </c>
      <c r="H1159">
        <v>1138</v>
      </c>
      <c r="I1159">
        <v>31.928541183</v>
      </c>
      <c r="K1159">
        <f t="shared" si="61"/>
        <v>26.112714767999996</v>
      </c>
      <c r="L1159">
        <v>1138</v>
      </c>
      <c r="M1159">
        <v>147</v>
      </c>
      <c r="N1159">
        <v>1138</v>
      </c>
      <c r="O1159">
        <v>108</v>
      </c>
      <c r="P1159">
        <f t="shared" si="59"/>
        <v>109.10610961899999</v>
      </c>
    </row>
    <row r="1160" spans="1:16">
      <c r="A1160">
        <f t="shared" si="60"/>
        <v>1734.8217915615846</v>
      </c>
      <c r="B1160">
        <v>1139</v>
      </c>
      <c r="C1160">
        <v>38.494667053000001</v>
      </c>
      <c r="D1160">
        <v>1139</v>
      </c>
      <c r="E1160">
        <v>57.561107634999999</v>
      </c>
      <c r="F1160">
        <v>1139</v>
      </c>
      <c r="G1160">
        <v>29.276203156000001</v>
      </c>
      <c r="H1160">
        <v>1139</v>
      </c>
      <c r="I1160">
        <v>31.894166945999999</v>
      </c>
      <c r="K1160">
        <f t="shared" si="61"/>
        <v>25.666940689</v>
      </c>
      <c r="L1160">
        <v>1139</v>
      </c>
      <c r="M1160">
        <v>146.57078552199999</v>
      </c>
      <c r="N1160">
        <v>1139</v>
      </c>
      <c r="O1160">
        <v>108.42920684800001</v>
      </c>
      <c r="P1160">
        <f t="shared" si="59"/>
        <v>108.07611846899999</v>
      </c>
    </row>
    <row r="1161" spans="1:16">
      <c r="A1161">
        <f t="shared" si="60"/>
        <v>1735.7478861986008</v>
      </c>
      <c r="B1161">
        <v>1140</v>
      </c>
      <c r="C1161">
        <v>38.275817871000001</v>
      </c>
      <c r="D1161">
        <v>1140</v>
      </c>
      <c r="E1161">
        <v>56.362480163999997</v>
      </c>
      <c r="F1161">
        <v>1140</v>
      </c>
      <c r="G1161">
        <v>29.272743224999999</v>
      </c>
      <c r="H1161">
        <v>1140</v>
      </c>
      <c r="I1161">
        <v>32.907150268999999</v>
      </c>
      <c r="K1161">
        <f t="shared" si="61"/>
        <v>23.455329894999998</v>
      </c>
      <c r="L1161">
        <v>1140</v>
      </c>
      <c r="M1161">
        <v>146</v>
      </c>
      <c r="N1161">
        <v>1140</v>
      </c>
      <c r="O1161">
        <v>109.223190308</v>
      </c>
      <c r="P1161">
        <f t="shared" si="59"/>
        <v>107.724182129</v>
      </c>
    </row>
    <row r="1162" spans="1:16">
      <c r="A1162">
        <f t="shared" si="60"/>
        <v>1736.6739808356172</v>
      </c>
      <c r="B1162">
        <v>1141</v>
      </c>
      <c r="C1162">
        <v>37.277187347000002</v>
      </c>
      <c r="D1162">
        <v>1141</v>
      </c>
      <c r="E1162">
        <v>53.644573211999997</v>
      </c>
      <c r="F1162">
        <v>1141</v>
      </c>
      <c r="G1162">
        <v>27.990064620999998</v>
      </c>
      <c r="H1162">
        <v>1141</v>
      </c>
      <c r="I1162">
        <v>31.991806029999999</v>
      </c>
      <c r="K1162">
        <f t="shared" si="61"/>
        <v>21.652767181999998</v>
      </c>
      <c r="L1162">
        <v>1141</v>
      </c>
      <c r="M1162">
        <v>145.72280883799999</v>
      </c>
      <c r="N1162">
        <v>1141</v>
      </c>
      <c r="O1162">
        <v>110</v>
      </c>
      <c r="P1162">
        <f t="shared" si="59"/>
        <v>108.445621491</v>
      </c>
    </row>
    <row r="1163" spans="1:16">
      <c r="A1163">
        <f t="shared" si="60"/>
        <v>1737.6000754726335</v>
      </c>
      <c r="B1163">
        <v>1142</v>
      </c>
      <c r="C1163">
        <v>37.477203369000001</v>
      </c>
      <c r="D1163">
        <v>1142</v>
      </c>
      <c r="E1163">
        <v>54.514209747000002</v>
      </c>
      <c r="F1163">
        <v>1142</v>
      </c>
      <c r="G1163">
        <v>27.399404526000001</v>
      </c>
      <c r="H1163">
        <v>1142</v>
      </c>
      <c r="I1163">
        <v>30.679544449000002</v>
      </c>
      <c r="K1163">
        <f t="shared" si="61"/>
        <v>23.834665298000001</v>
      </c>
      <c r="L1163">
        <v>1142</v>
      </c>
      <c r="M1163">
        <v>145</v>
      </c>
      <c r="N1163">
        <v>1142</v>
      </c>
      <c r="O1163">
        <v>110</v>
      </c>
      <c r="P1163">
        <f t="shared" si="59"/>
        <v>107.52279663100001</v>
      </c>
    </row>
    <row r="1164" spans="1:16">
      <c r="A1164">
        <f t="shared" si="60"/>
        <v>1738.5261701096499</v>
      </c>
      <c r="B1164">
        <v>1143</v>
      </c>
      <c r="C1164">
        <v>36.061183929000002</v>
      </c>
      <c r="D1164">
        <v>1143</v>
      </c>
      <c r="E1164">
        <v>55.643127440999997</v>
      </c>
      <c r="F1164">
        <v>1143</v>
      </c>
      <c r="G1164">
        <v>25.812717438</v>
      </c>
      <c r="H1164">
        <v>1143</v>
      </c>
      <c r="I1164">
        <v>29.348039626999999</v>
      </c>
      <c r="K1164">
        <f t="shared" si="61"/>
        <v>26.295087813999999</v>
      </c>
      <c r="L1164">
        <v>1143</v>
      </c>
      <c r="M1164">
        <v>144.87481689500001</v>
      </c>
      <c r="N1164">
        <v>1143</v>
      </c>
      <c r="O1164">
        <v>110.125183105</v>
      </c>
      <c r="P1164">
        <f t="shared" si="59"/>
        <v>108.813632966</v>
      </c>
    </row>
    <row r="1165" spans="1:16">
      <c r="A1165">
        <f t="shared" si="60"/>
        <v>1739.4522647466661</v>
      </c>
      <c r="B1165">
        <v>1144</v>
      </c>
      <c r="C1165">
        <v>34.920024871999999</v>
      </c>
      <c r="D1165">
        <v>1144</v>
      </c>
      <c r="E1165">
        <v>53.583374022999998</v>
      </c>
      <c r="F1165">
        <v>1144</v>
      </c>
      <c r="G1165">
        <v>25.674818039000002</v>
      </c>
      <c r="H1165">
        <v>1144</v>
      </c>
      <c r="I1165">
        <v>29.735086441</v>
      </c>
      <c r="K1165">
        <f t="shared" si="61"/>
        <v>23.848287581999998</v>
      </c>
      <c r="L1165">
        <v>1144</v>
      </c>
      <c r="M1165">
        <v>144</v>
      </c>
      <c r="N1165">
        <v>1144</v>
      </c>
      <c r="O1165">
        <v>111</v>
      </c>
      <c r="P1165">
        <f t="shared" si="59"/>
        <v>109.079975128</v>
      </c>
    </row>
    <row r="1166" spans="1:16">
      <c r="A1166">
        <f t="shared" si="60"/>
        <v>1740.3783593836824</v>
      </c>
      <c r="B1166">
        <v>1145</v>
      </c>
      <c r="C1166">
        <v>34.948112488</v>
      </c>
      <c r="D1166">
        <v>1145</v>
      </c>
      <c r="E1166">
        <v>53.843914032000001</v>
      </c>
      <c r="F1166">
        <v>1145</v>
      </c>
      <c r="G1166">
        <v>25.053232192999999</v>
      </c>
      <c r="H1166">
        <v>1145</v>
      </c>
      <c r="I1166">
        <v>29.784313202</v>
      </c>
      <c r="K1166">
        <f t="shared" si="61"/>
        <v>24.059600830000001</v>
      </c>
      <c r="L1166">
        <v>1145</v>
      </c>
      <c r="M1166">
        <v>144</v>
      </c>
      <c r="N1166">
        <v>1145</v>
      </c>
      <c r="O1166">
        <v>111</v>
      </c>
      <c r="P1166">
        <f t="shared" si="59"/>
        <v>109.05188751200001</v>
      </c>
    </row>
    <row r="1167" spans="1:16">
      <c r="A1167">
        <f t="shared" si="60"/>
        <v>1741.3044540206988</v>
      </c>
      <c r="B1167">
        <v>1146</v>
      </c>
      <c r="C1167">
        <v>35.540309905999997</v>
      </c>
      <c r="D1167">
        <v>1146</v>
      </c>
      <c r="E1167">
        <v>52.325695037999999</v>
      </c>
      <c r="F1167">
        <v>1146</v>
      </c>
      <c r="G1167">
        <v>25.412321090999999</v>
      </c>
      <c r="H1167">
        <v>1146</v>
      </c>
      <c r="I1167">
        <v>29.887254715000001</v>
      </c>
      <c r="K1167">
        <f t="shared" si="61"/>
        <v>22.438440322999998</v>
      </c>
      <c r="L1167">
        <v>1146</v>
      </c>
      <c r="M1167">
        <v>143.10282897900001</v>
      </c>
      <c r="N1167">
        <v>1146</v>
      </c>
      <c r="O1167">
        <v>111.89717102100001</v>
      </c>
      <c r="P1167">
        <f t="shared" si="59"/>
        <v>107.562519073</v>
      </c>
    </row>
    <row r="1168" spans="1:16">
      <c r="A1168">
        <f t="shared" si="60"/>
        <v>1742.2305486577152</v>
      </c>
      <c r="B1168">
        <v>1147</v>
      </c>
      <c r="C1168">
        <v>34.736289978000002</v>
      </c>
      <c r="D1168">
        <v>1147</v>
      </c>
      <c r="E1168">
        <v>52.197509766000003</v>
      </c>
      <c r="F1168">
        <v>1147</v>
      </c>
      <c r="G1168">
        <v>27.079980849999998</v>
      </c>
      <c r="H1168">
        <v>1147</v>
      </c>
      <c r="I1168">
        <v>29.222549438000001</v>
      </c>
      <c r="K1168">
        <f t="shared" si="61"/>
        <v>22.974960328000002</v>
      </c>
      <c r="L1168">
        <v>1147</v>
      </c>
      <c r="M1168">
        <v>143</v>
      </c>
      <c r="N1168">
        <v>1147</v>
      </c>
      <c r="O1168">
        <v>112</v>
      </c>
      <c r="P1168">
        <f t="shared" si="59"/>
        <v>108.263710022</v>
      </c>
    </row>
    <row r="1169" spans="1:16">
      <c r="A1169">
        <f t="shared" si="60"/>
        <v>1743.1566432947313</v>
      </c>
      <c r="B1169">
        <v>1148</v>
      </c>
      <c r="C1169">
        <v>34.681564330999997</v>
      </c>
      <c r="D1169">
        <v>1148</v>
      </c>
      <c r="E1169">
        <v>49.855823516999997</v>
      </c>
      <c r="F1169">
        <v>1148</v>
      </c>
      <c r="G1169">
        <v>27.112234116</v>
      </c>
      <c r="H1169">
        <v>1148</v>
      </c>
      <c r="I1169">
        <v>29.496585845999999</v>
      </c>
      <c r="K1169">
        <f t="shared" si="61"/>
        <v>20.359237670999999</v>
      </c>
      <c r="L1169">
        <v>1148</v>
      </c>
      <c r="M1169">
        <v>142.254837036</v>
      </c>
      <c r="N1169">
        <v>1148</v>
      </c>
      <c r="O1169">
        <v>112.745155334</v>
      </c>
      <c r="P1169">
        <f t="shared" si="59"/>
        <v>107.57327270499999</v>
      </c>
    </row>
    <row r="1170" spans="1:16">
      <c r="A1170">
        <f t="shared" si="60"/>
        <v>1744.0827379317477</v>
      </c>
      <c r="B1170">
        <v>1149</v>
      </c>
      <c r="C1170">
        <v>34.027366637999997</v>
      </c>
      <c r="D1170">
        <v>1149</v>
      </c>
      <c r="E1170">
        <v>49.206848145000002</v>
      </c>
      <c r="F1170">
        <v>1149</v>
      </c>
      <c r="G1170">
        <v>26.158168793000002</v>
      </c>
      <c r="H1170">
        <v>1149</v>
      </c>
      <c r="I1170">
        <v>29.866210937999998</v>
      </c>
      <c r="K1170">
        <f t="shared" si="61"/>
        <v>19.340637207000004</v>
      </c>
      <c r="L1170">
        <v>1149</v>
      </c>
      <c r="M1170">
        <v>142</v>
      </c>
      <c r="N1170">
        <v>1149</v>
      </c>
      <c r="O1170">
        <v>113</v>
      </c>
      <c r="P1170">
        <f t="shared" si="59"/>
        <v>107.97263336200001</v>
      </c>
    </row>
    <row r="1171" spans="1:16">
      <c r="A1171">
        <f t="shared" si="60"/>
        <v>1745.0088325687641</v>
      </c>
      <c r="B1171">
        <v>1150</v>
      </c>
      <c r="C1171">
        <v>32.119178771999998</v>
      </c>
      <c r="D1171">
        <v>1150</v>
      </c>
      <c r="E1171">
        <v>51.455577849999997</v>
      </c>
      <c r="F1171">
        <v>1150</v>
      </c>
      <c r="G1171">
        <v>24.928155899</v>
      </c>
      <c r="H1171">
        <v>1150</v>
      </c>
      <c r="I1171">
        <v>28.494667053000001</v>
      </c>
      <c r="K1171">
        <f t="shared" si="61"/>
        <v>22.960910796999997</v>
      </c>
      <c r="L1171">
        <v>1150</v>
      </c>
      <c r="M1171">
        <v>142</v>
      </c>
      <c r="N1171">
        <v>1150</v>
      </c>
      <c r="O1171">
        <v>113</v>
      </c>
      <c r="P1171">
        <f t="shared" si="59"/>
        <v>109.880821228</v>
      </c>
    </row>
    <row r="1172" spans="1:16">
      <c r="A1172">
        <f t="shared" si="60"/>
        <v>1745.9349272057805</v>
      </c>
      <c r="B1172">
        <v>1151</v>
      </c>
      <c r="C1172">
        <v>32.231666564999998</v>
      </c>
      <c r="D1172">
        <v>1151</v>
      </c>
      <c r="E1172">
        <v>51.141311645999998</v>
      </c>
      <c r="F1172">
        <v>1151</v>
      </c>
      <c r="G1172">
        <v>24.226463318</v>
      </c>
      <c r="H1172">
        <v>1151</v>
      </c>
      <c r="I1172">
        <v>27.829816818000001</v>
      </c>
      <c r="K1172">
        <f t="shared" si="61"/>
        <v>23.311494827999997</v>
      </c>
      <c r="L1172">
        <v>1151</v>
      </c>
      <c r="M1172">
        <v>142</v>
      </c>
      <c r="N1172">
        <v>1151</v>
      </c>
      <c r="O1172">
        <v>113</v>
      </c>
      <c r="P1172">
        <f t="shared" si="59"/>
        <v>109.768333435</v>
      </c>
    </row>
    <row r="1173" spans="1:16">
      <c r="A1173">
        <f t="shared" si="60"/>
        <v>1746.8610218427966</v>
      </c>
      <c r="B1173">
        <v>1152</v>
      </c>
      <c r="C1173">
        <v>33.409397124999998</v>
      </c>
      <c r="D1173">
        <v>1152</v>
      </c>
      <c r="E1173">
        <v>49.375877379999999</v>
      </c>
      <c r="F1173">
        <v>1152</v>
      </c>
      <c r="G1173">
        <v>24.637357712</v>
      </c>
      <c r="H1173">
        <v>1152</v>
      </c>
      <c r="I1173">
        <v>27.827451706000002</v>
      </c>
      <c r="K1173">
        <f t="shared" si="61"/>
        <v>21.548425673999997</v>
      </c>
      <c r="L1173">
        <v>1152</v>
      </c>
      <c r="M1173">
        <v>142</v>
      </c>
      <c r="N1173">
        <v>1152</v>
      </c>
      <c r="O1173">
        <v>113</v>
      </c>
      <c r="P1173">
        <f t="shared" ref="P1173:P1236" si="62">M1173-C1173</f>
        <v>108.590602875</v>
      </c>
    </row>
    <row r="1174" spans="1:16">
      <c r="A1174">
        <f t="shared" ref="A1174:A1237" si="63">680 +B1174*COS(ABS($J$8)*PI()/180)</f>
        <v>1747.787116479813</v>
      </c>
      <c r="B1174">
        <v>1153</v>
      </c>
      <c r="C1174">
        <v>33.075553894000002</v>
      </c>
      <c r="D1174">
        <v>1153</v>
      </c>
      <c r="E1174">
        <v>48.286685943999998</v>
      </c>
      <c r="F1174">
        <v>1153</v>
      </c>
      <c r="G1174">
        <v>24.735569000000002</v>
      </c>
      <c r="H1174">
        <v>1153</v>
      </c>
      <c r="I1174">
        <v>27.731693268000001</v>
      </c>
      <c r="K1174">
        <f t="shared" ref="K1174:K1237" si="64">E1174-I1174</f>
        <v>20.554992675999998</v>
      </c>
      <c r="L1174">
        <v>1153</v>
      </c>
      <c r="M1174">
        <v>141.63487243700001</v>
      </c>
      <c r="N1174">
        <v>1153</v>
      </c>
      <c r="O1174">
        <v>113.365127563</v>
      </c>
      <c r="P1174">
        <f t="shared" si="62"/>
        <v>108.55931854300002</v>
      </c>
    </row>
    <row r="1175" spans="1:16">
      <c r="A1175">
        <f t="shared" si="63"/>
        <v>1748.7132111168294</v>
      </c>
      <c r="B1175">
        <v>1154</v>
      </c>
      <c r="C1175">
        <v>31.743000031000001</v>
      </c>
      <c r="D1175">
        <v>1154</v>
      </c>
      <c r="E1175">
        <v>49.257205962999997</v>
      </c>
      <c r="F1175">
        <v>1154</v>
      </c>
      <c r="G1175">
        <v>24.658454894999998</v>
      </c>
      <c r="H1175">
        <v>1154</v>
      </c>
      <c r="I1175">
        <v>27.971603393999999</v>
      </c>
      <c r="K1175">
        <f t="shared" si="64"/>
        <v>21.285602568999998</v>
      </c>
      <c r="L1175">
        <v>1154</v>
      </c>
      <c r="M1175">
        <v>141</v>
      </c>
      <c r="N1175">
        <v>1154</v>
      </c>
      <c r="O1175">
        <v>114</v>
      </c>
      <c r="P1175">
        <f t="shared" si="62"/>
        <v>109.25699996899999</v>
      </c>
    </row>
    <row r="1176" spans="1:16">
      <c r="A1176">
        <f t="shared" si="63"/>
        <v>1749.6393057538455</v>
      </c>
      <c r="B1176">
        <v>1155</v>
      </c>
      <c r="C1176">
        <v>31.841102599999999</v>
      </c>
      <c r="D1176">
        <v>1155</v>
      </c>
      <c r="E1176">
        <v>48.664218902999998</v>
      </c>
      <c r="F1176">
        <v>1155</v>
      </c>
      <c r="G1176">
        <v>23.489652633999999</v>
      </c>
      <c r="H1176">
        <v>1155</v>
      </c>
      <c r="I1176">
        <v>28.901420593000001</v>
      </c>
      <c r="K1176">
        <f t="shared" si="64"/>
        <v>19.762798309999997</v>
      </c>
      <c r="L1176">
        <v>1155</v>
      </c>
      <c r="M1176">
        <v>141</v>
      </c>
      <c r="N1176">
        <v>1155</v>
      </c>
      <c r="O1176">
        <v>114</v>
      </c>
      <c r="P1176">
        <f t="shared" si="62"/>
        <v>109.1588974</v>
      </c>
    </row>
    <row r="1177" spans="1:16">
      <c r="A1177">
        <f t="shared" si="63"/>
        <v>1750.5654003908619</v>
      </c>
      <c r="B1177">
        <v>1156</v>
      </c>
      <c r="C1177">
        <v>31.008947372000002</v>
      </c>
      <c r="D1177">
        <v>1156</v>
      </c>
      <c r="E1177">
        <v>47.808475494</v>
      </c>
      <c r="F1177">
        <v>1156</v>
      </c>
      <c r="G1177">
        <v>21.032897948999999</v>
      </c>
      <c r="H1177">
        <v>1156</v>
      </c>
      <c r="I1177">
        <v>27.893333434999999</v>
      </c>
      <c r="K1177">
        <f t="shared" si="64"/>
        <v>19.915142059000001</v>
      </c>
      <c r="L1177">
        <v>1156</v>
      </c>
      <c r="M1177">
        <v>140.86288452100001</v>
      </c>
      <c r="N1177">
        <v>1156</v>
      </c>
      <c r="O1177">
        <v>114.137107849</v>
      </c>
      <c r="P1177">
        <f t="shared" si="62"/>
        <v>109.85393714900002</v>
      </c>
    </row>
    <row r="1178" spans="1:16">
      <c r="A1178">
        <f t="shared" si="63"/>
        <v>1751.4914950278783</v>
      </c>
      <c r="B1178">
        <v>1157</v>
      </c>
      <c r="C1178">
        <v>31.417179107999999</v>
      </c>
      <c r="D1178">
        <v>1157</v>
      </c>
      <c r="E1178">
        <v>47.139358520999998</v>
      </c>
      <c r="F1178">
        <v>1157</v>
      </c>
      <c r="G1178">
        <v>21.447294235000001</v>
      </c>
      <c r="H1178">
        <v>1157</v>
      </c>
      <c r="I1178">
        <v>25.689956665</v>
      </c>
      <c r="K1178">
        <f t="shared" si="64"/>
        <v>21.449401855999998</v>
      </c>
      <c r="L1178">
        <v>1157</v>
      </c>
      <c r="M1178">
        <v>140</v>
      </c>
      <c r="N1178">
        <v>1157</v>
      </c>
      <c r="O1178">
        <v>115</v>
      </c>
      <c r="P1178">
        <f t="shared" si="62"/>
        <v>108.582820892</v>
      </c>
    </row>
    <row r="1179" spans="1:16">
      <c r="A1179">
        <f t="shared" si="63"/>
        <v>1752.4175896648946</v>
      </c>
      <c r="B1179">
        <v>1158</v>
      </c>
      <c r="C1179">
        <v>32.580909728999998</v>
      </c>
      <c r="D1179">
        <v>1158</v>
      </c>
      <c r="E1179">
        <v>45.370136260999999</v>
      </c>
      <c r="F1179">
        <v>1158</v>
      </c>
      <c r="G1179">
        <v>23.679475784000001</v>
      </c>
      <c r="H1179">
        <v>1158</v>
      </c>
      <c r="I1179">
        <v>26.252174376999999</v>
      </c>
      <c r="K1179">
        <f t="shared" si="64"/>
        <v>19.117961884</v>
      </c>
      <c r="L1179">
        <v>1158</v>
      </c>
      <c r="M1179">
        <v>140</v>
      </c>
      <c r="N1179">
        <v>1158</v>
      </c>
      <c r="O1179">
        <v>115</v>
      </c>
      <c r="P1179">
        <f t="shared" si="62"/>
        <v>107.419090271</v>
      </c>
    </row>
    <row r="1180" spans="1:16">
      <c r="A1180">
        <f t="shared" si="63"/>
        <v>1753.3436843019108</v>
      </c>
      <c r="B1180">
        <v>1159</v>
      </c>
      <c r="C1180">
        <v>33.323638916</v>
      </c>
      <c r="D1180">
        <v>1159</v>
      </c>
      <c r="E1180">
        <v>44.833904265999998</v>
      </c>
      <c r="F1180">
        <v>1159</v>
      </c>
      <c r="G1180">
        <v>25.203857421999999</v>
      </c>
      <c r="H1180">
        <v>1159</v>
      </c>
      <c r="I1180">
        <v>27.329669952</v>
      </c>
      <c r="K1180">
        <f t="shared" si="64"/>
        <v>17.504234313999998</v>
      </c>
      <c r="L1180">
        <v>1159</v>
      </c>
      <c r="M1180">
        <v>140</v>
      </c>
      <c r="N1180">
        <v>1159</v>
      </c>
      <c r="O1180">
        <v>115</v>
      </c>
      <c r="P1180">
        <f t="shared" si="62"/>
        <v>106.67636108400001</v>
      </c>
    </row>
    <row r="1181" spans="1:16">
      <c r="A1181">
        <f t="shared" si="63"/>
        <v>1754.2697789389272</v>
      </c>
      <c r="B1181">
        <v>1160</v>
      </c>
      <c r="C1181">
        <v>33.427860260000003</v>
      </c>
      <c r="D1181">
        <v>1160</v>
      </c>
      <c r="E1181">
        <v>44.664997100999997</v>
      </c>
      <c r="F1181">
        <v>1160</v>
      </c>
      <c r="G1181">
        <v>24.127033233999999</v>
      </c>
      <c r="H1181">
        <v>1160</v>
      </c>
      <c r="I1181">
        <v>27.199539184999999</v>
      </c>
      <c r="K1181">
        <f t="shared" si="64"/>
        <v>17.465457915999998</v>
      </c>
      <c r="L1181">
        <v>1160</v>
      </c>
      <c r="M1181">
        <v>139.166915894</v>
      </c>
      <c r="N1181">
        <v>1160</v>
      </c>
      <c r="O1181">
        <v>115.833084106</v>
      </c>
      <c r="P1181">
        <f t="shared" si="62"/>
        <v>105.739055634</v>
      </c>
    </row>
    <row r="1182" spans="1:16">
      <c r="A1182">
        <f t="shared" si="63"/>
        <v>1755.1958735759436</v>
      </c>
      <c r="B1182">
        <v>1161</v>
      </c>
      <c r="C1182">
        <v>31.732248305999999</v>
      </c>
      <c r="D1182">
        <v>1161</v>
      </c>
      <c r="E1182">
        <v>42.970745086999997</v>
      </c>
      <c r="F1182">
        <v>1161</v>
      </c>
      <c r="G1182">
        <v>23.944297791</v>
      </c>
      <c r="H1182">
        <v>1161</v>
      </c>
      <c r="I1182">
        <v>24.883609772</v>
      </c>
      <c r="K1182">
        <f t="shared" si="64"/>
        <v>18.087135314999998</v>
      </c>
      <c r="L1182">
        <v>1161</v>
      </c>
      <c r="M1182">
        <v>139</v>
      </c>
      <c r="N1182">
        <v>1161</v>
      </c>
      <c r="O1182">
        <v>116</v>
      </c>
      <c r="P1182">
        <f t="shared" si="62"/>
        <v>107.267751694</v>
      </c>
    </row>
    <row r="1183" spans="1:16">
      <c r="A1183">
        <f t="shared" si="63"/>
        <v>1756.1219682129599</v>
      </c>
      <c r="B1183">
        <v>1162</v>
      </c>
      <c r="C1183">
        <v>32.170967101999999</v>
      </c>
      <c r="D1183">
        <v>1162</v>
      </c>
      <c r="E1183">
        <v>42.370079040999997</v>
      </c>
      <c r="F1183">
        <v>1162</v>
      </c>
      <c r="G1183">
        <v>24.129316330000002</v>
      </c>
      <c r="H1183">
        <v>1162</v>
      </c>
      <c r="I1183">
        <v>26.956861495999998</v>
      </c>
      <c r="K1183">
        <f t="shared" si="64"/>
        <v>15.413217544999998</v>
      </c>
      <c r="L1183">
        <v>1162</v>
      </c>
      <c r="M1183">
        <v>139</v>
      </c>
      <c r="N1183">
        <v>1162</v>
      </c>
      <c r="O1183">
        <v>116.68107605</v>
      </c>
      <c r="P1183">
        <f t="shared" si="62"/>
        <v>106.82903289800001</v>
      </c>
    </row>
    <row r="1184" spans="1:16">
      <c r="A1184">
        <f t="shared" si="63"/>
        <v>1757.0480628499761</v>
      </c>
      <c r="B1184">
        <v>1163</v>
      </c>
      <c r="C1184">
        <v>30.572181702000002</v>
      </c>
      <c r="D1184">
        <v>1163</v>
      </c>
      <c r="E1184">
        <v>42.713466644</v>
      </c>
      <c r="F1184">
        <v>1163</v>
      </c>
      <c r="G1184">
        <v>23.646745681999999</v>
      </c>
      <c r="H1184">
        <v>1163</v>
      </c>
      <c r="I1184">
        <v>26.830717087</v>
      </c>
      <c r="K1184">
        <f t="shared" si="64"/>
        <v>15.882749557</v>
      </c>
      <c r="L1184">
        <v>1163</v>
      </c>
      <c r="M1184">
        <v>138.39492797899999</v>
      </c>
      <c r="N1184">
        <v>1163</v>
      </c>
      <c r="O1184">
        <v>117</v>
      </c>
      <c r="P1184">
        <f t="shared" si="62"/>
        <v>107.82274627699999</v>
      </c>
    </row>
    <row r="1185" spans="1:16">
      <c r="A1185">
        <f t="shared" si="63"/>
        <v>1757.9741574869925</v>
      </c>
      <c r="B1185">
        <v>1164</v>
      </c>
      <c r="C1185">
        <v>29.652402878</v>
      </c>
      <c r="D1185">
        <v>1164</v>
      </c>
      <c r="E1185">
        <v>42.268184662000003</v>
      </c>
      <c r="F1185">
        <v>1164</v>
      </c>
      <c r="G1185">
        <v>24.250516891</v>
      </c>
      <c r="H1185">
        <v>1164</v>
      </c>
      <c r="I1185">
        <v>26.062284470000002</v>
      </c>
      <c r="K1185">
        <f t="shared" si="64"/>
        <v>16.205900192000001</v>
      </c>
      <c r="L1185">
        <v>1164</v>
      </c>
      <c r="M1185">
        <v>138</v>
      </c>
      <c r="N1185">
        <v>1164</v>
      </c>
      <c r="O1185">
        <v>117</v>
      </c>
      <c r="P1185">
        <f t="shared" si="62"/>
        <v>108.347597122</v>
      </c>
    </row>
    <row r="1186" spans="1:16">
      <c r="A1186">
        <f t="shared" si="63"/>
        <v>1758.9002521240088</v>
      </c>
      <c r="B1186">
        <v>1165</v>
      </c>
      <c r="C1186">
        <v>29.080766678</v>
      </c>
      <c r="D1186">
        <v>1165</v>
      </c>
      <c r="E1186">
        <v>41.316390990999999</v>
      </c>
      <c r="F1186">
        <v>1165</v>
      </c>
      <c r="G1186">
        <v>24.377584457000001</v>
      </c>
      <c r="H1186">
        <v>1165</v>
      </c>
      <c r="I1186">
        <v>24.905889511000002</v>
      </c>
      <c r="K1186">
        <f t="shared" si="64"/>
        <v>16.410501479999997</v>
      </c>
      <c r="L1186">
        <v>1165</v>
      </c>
      <c r="M1186">
        <v>138</v>
      </c>
      <c r="N1186">
        <v>1165</v>
      </c>
      <c r="O1186">
        <v>117.453056335</v>
      </c>
      <c r="P1186">
        <f t="shared" si="62"/>
        <v>108.919233322</v>
      </c>
    </row>
    <row r="1187" spans="1:16">
      <c r="A1187">
        <f t="shared" si="63"/>
        <v>1759.8263467610252</v>
      </c>
      <c r="B1187">
        <v>1166</v>
      </c>
      <c r="C1187">
        <v>29.618940352999999</v>
      </c>
      <c r="D1187">
        <v>1166</v>
      </c>
      <c r="E1187">
        <v>40.666667938000003</v>
      </c>
      <c r="F1187">
        <v>1166</v>
      </c>
      <c r="G1187">
        <v>23.605033875</v>
      </c>
      <c r="H1187">
        <v>1166</v>
      </c>
      <c r="I1187">
        <v>25.734470367</v>
      </c>
      <c r="K1187">
        <f t="shared" si="64"/>
        <v>14.932197571000003</v>
      </c>
      <c r="L1187">
        <v>1166</v>
      </c>
      <c r="M1187">
        <v>137.622955322</v>
      </c>
      <c r="N1187">
        <v>1166</v>
      </c>
      <c r="O1187">
        <v>118</v>
      </c>
      <c r="P1187">
        <f t="shared" si="62"/>
        <v>108.004014969</v>
      </c>
    </row>
    <row r="1188" spans="1:16">
      <c r="A1188">
        <f t="shared" si="63"/>
        <v>1760.7524413980414</v>
      </c>
      <c r="B1188">
        <v>1167</v>
      </c>
      <c r="C1188">
        <v>29.322147369</v>
      </c>
      <c r="D1188">
        <v>1167</v>
      </c>
      <c r="E1188">
        <v>40.354469299000002</v>
      </c>
      <c r="F1188">
        <v>1167</v>
      </c>
      <c r="G1188">
        <v>23.291234970000001</v>
      </c>
      <c r="H1188">
        <v>1167</v>
      </c>
      <c r="I1188">
        <v>27</v>
      </c>
      <c r="K1188">
        <f t="shared" si="64"/>
        <v>13.354469299000002</v>
      </c>
      <c r="L1188">
        <v>1167</v>
      </c>
      <c r="M1188">
        <v>137</v>
      </c>
      <c r="N1188">
        <v>1167</v>
      </c>
      <c r="O1188">
        <v>118</v>
      </c>
      <c r="P1188">
        <f t="shared" si="62"/>
        <v>107.67785263100001</v>
      </c>
    </row>
    <row r="1189" spans="1:16">
      <c r="A1189">
        <f t="shared" si="63"/>
        <v>1761.6785360350577</v>
      </c>
      <c r="B1189">
        <v>1168</v>
      </c>
      <c r="C1189">
        <v>29.087936401</v>
      </c>
      <c r="D1189">
        <v>1168</v>
      </c>
      <c r="E1189">
        <v>39.536125183000003</v>
      </c>
      <c r="F1189">
        <v>1168</v>
      </c>
      <c r="G1189">
        <v>23.389925002999998</v>
      </c>
      <c r="H1189">
        <v>1168</v>
      </c>
      <c r="I1189">
        <v>26.456701279000001</v>
      </c>
      <c r="K1189">
        <f t="shared" si="64"/>
        <v>13.079423904000002</v>
      </c>
      <c r="L1189">
        <v>1168</v>
      </c>
      <c r="M1189">
        <v>137</v>
      </c>
      <c r="N1189">
        <v>1168</v>
      </c>
      <c r="O1189">
        <v>118</v>
      </c>
      <c r="P1189">
        <f t="shared" si="62"/>
        <v>107.91206359899999</v>
      </c>
    </row>
    <row r="1190" spans="1:16">
      <c r="A1190">
        <f t="shared" si="63"/>
        <v>1762.6046306720741</v>
      </c>
      <c r="B1190">
        <v>1169</v>
      </c>
      <c r="C1190">
        <v>28.735891341999999</v>
      </c>
      <c r="D1190">
        <v>1169</v>
      </c>
      <c r="E1190">
        <v>39.631858825999998</v>
      </c>
      <c r="F1190">
        <v>1169</v>
      </c>
      <c r="G1190">
        <v>23.074138641000001</v>
      </c>
      <c r="H1190">
        <v>1169</v>
      </c>
      <c r="I1190">
        <v>26.338726044000001</v>
      </c>
      <c r="K1190">
        <f t="shared" si="64"/>
        <v>13.293132781999997</v>
      </c>
      <c r="L1190">
        <v>1169</v>
      </c>
      <c r="M1190">
        <v>136.85096740700001</v>
      </c>
      <c r="N1190">
        <v>1169</v>
      </c>
      <c r="O1190">
        <v>118.149032593</v>
      </c>
      <c r="P1190">
        <f t="shared" si="62"/>
        <v>108.11507606500001</v>
      </c>
    </row>
    <row r="1191" spans="1:16">
      <c r="A1191">
        <f t="shared" si="63"/>
        <v>1763.5307253090905</v>
      </c>
      <c r="B1191">
        <v>1170</v>
      </c>
      <c r="C1191">
        <v>28.102907180999999</v>
      </c>
      <c r="D1191">
        <v>1170</v>
      </c>
      <c r="E1191">
        <v>37.210044861</v>
      </c>
      <c r="F1191">
        <v>1170</v>
      </c>
      <c r="G1191">
        <v>21.324409485</v>
      </c>
      <c r="H1191">
        <v>1170</v>
      </c>
      <c r="I1191">
        <v>24.95098114</v>
      </c>
      <c r="K1191">
        <f t="shared" si="64"/>
        <v>12.259063721</v>
      </c>
      <c r="L1191">
        <v>1170</v>
      </c>
      <c r="M1191">
        <v>136</v>
      </c>
      <c r="N1191">
        <v>1170</v>
      </c>
      <c r="O1191">
        <v>119</v>
      </c>
      <c r="P1191">
        <f t="shared" si="62"/>
        <v>107.89709281899999</v>
      </c>
    </row>
    <row r="1192" spans="1:16">
      <c r="A1192">
        <f t="shared" si="63"/>
        <v>1764.4568199461066</v>
      </c>
      <c r="B1192">
        <v>1171</v>
      </c>
      <c r="C1192">
        <v>27.303504944</v>
      </c>
      <c r="D1192">
        <v>1171</v>
      </c>
      <c r="E1192">
        <v>33.933380127</v>
      </c>
      <c r="F1192">
        <v>1171</v>
      </c>
      <c r="G1192">
        <v>20.829624175999999</v>
      </c>
      <c r="H1192">
        <v>1171</v>
      </c>
      <c r="I1192">
        <v>24.728431702000002</v>
      </c>
      <c r="K1192">
        <f t="shared" si="64"/>
        <v>9.2049484249999978</v>
      </c>
      <c r="L1192">
        <v>1171</v>
      </c>
      <c r="M1192">
        <v>136</v>
      </c>
      <c r="N1192">
        <v>1171</v>
      </c>
      <c r="O1192">
        <v>119</v>
      </c>
      <c r="P1192">
        <f t="shared" si="62"/>
        <v>108.696495056</v>
      </c>
    </row>
    <row r="1193" spans="1:16">
      <c r="A1193">
        <f t="shared" si="63"/>
        <v>1765.382914583123</v>
      </c>
      <c r="B1193">
        <v>1172</v>
      </c>
      <c r="C1193">
        <v>26.768829346</v>
      </c>
      <c r="D1193">
        <v>1172</v>
      </c>
      <c r="E1193">
        <v>32.605998993</v>
      </c>
      <c r="F1193">
        <v>1172</v>
      </c>
      <c r="G1193">
        <v>21.366121291999999</v>
      </c>
      <c r="H1193">
        <v>1172</v>
      </c>
      <c r="I1193">
        <v>24.030519484999999</v>
      </c>
      <c r="K1193">
        <f t="shared" si="64"/>
        <v>8.5754795080000008</v>
      </c>
      <c r="L1193">
        <v>1172</v>
      </c>
      <c r="M1193">
        <v>136</v>
      </c>
      <c r="N1193">
        <v>1172</v>
      </c>
      <c r="O1193">
        <v>119</v>
      </c>
      <c r="P1193">
        <f t="shared" si="62"/>
        <v>109.231170654</v>
      </c>
    </row>
    <row r="1194" spans="1:16">
      <c r="A1194">
        <f t="shared" si="63"/>
        <v>1766.3090092201394</v>
      </c>
      <c r="B1194">
        <v>1173</v>
      </c>
      <c r="C1194">
        <v>26.391498565999999</v>
      </c>
      <c r="D1194">
        <v>1173</v>
      </c>
      <c r="E1194">
        <v>33.867118834999999</v>
      </c>
      <c r="F1194">
        <v>1173</v>
      </c>
      <c r="G1194">
        <v>21.048084258999999</v>
      </c>
      <c r="H1194">
        <v>1173</v>
      </c>
      <c r="I1194">
        <v>23.842916489</v>
      </c>
      <c r="K1194">
        <f t="shared" si="64"/>
        <v>10.024202345999999</v>
      </c>
      <c r="L1194">
        <v>1173</v>
      </c>
      <c r="M1194">
        <v>136</v>
      </c>
      <c r="N1194">
        <v>1173</v>
      </c>
      <c r="O1194">
        <v>119</v>
      </c>
      <c r="P1194">
        <f t="shared" si="62"/>
        <v>109.608501434</v>
      </c>
    </row>
    <row r="1195" spans="1:16">
      <c r="A1195">
        <f t="shared" si="63"/>
        <v>1767.2351038571555</v>
      </c>
      <c r="B1195">
        <v>1174</v>
      </c>
      <c r="C1195">
        <v>26.228748322000001</v>
      </c>
      <c r="D1195">
        <v>1174</v>
      </c>
      <c r="E1195">
        <v>35.095054626</v>
      </c>
      <c r="F1195">
        <v>1174</v>
      </c>
      <c r="G1195">
        <v>20.944971084999999</v>
      </c>
      <c r="H1195">
        <v>1174</v>
      </c>
      <c r="I1195">
        <v>25.037254333</v>
      </c>
      <c r="K1195">
        <f t="shared" si="64"/>
        <v>10.057800293</v>
      </c>
      <c r="L1195">
        <v>1174</v>
      </c>
      <c r="M1195">
        <v>135.30435180699999</v>
      </c>
      <c r="N1195">
        <v>1174</v>
      </c>
      <c r="O1195">
        <v>119.769004822</v>
      </c>
      <c r="P1195">
        <f t="shared" si="62"/>
        <v>109.07560348499999</v>
      </c>
    </row>
    <row r="1196" spans="1:16">
      <c r="A1196">
        <f t="shared" si="63"/>
        <v>1768.1611984941719</v>
      </c>
      <c r="B1196">
        <v>1175</v>
      </c>
      <c r="C1196">
        <v>27.262039184999999</v>
      </c>
      <c r="D1196">
        <v>1175</v>
      </c>
      <c r="E1196">
        <v>36.860397339000002</v>
      </c>
      <c r="F1196">
        <v>1175</v>
      </c>
      <c r="G1196">
        <v>20.277881621999999</v>
      </c>
      <c r="H1196">
        <v>1175</v>
      </c>
      <c r="I1196">
        <v>25.522706984999999</v>
      </c>
      <c r="K1196">
        <f t="shared" si="64"/>
        <v>11.337690354000003</v>
      </c>
      <c r="L1196">
        <v>1175</v>
      </c>
      <c r="M1196">
        <v>135</v>
      </c>
      <c r="N1196">
        <v>1175</v>
      </c>
      <c r="O1196">
        <v>120</v>
      </c>
      <c r="P1196">
        <f t="shared" si="62"/>
        <v>107.73796081500001</v>
      </c>
    </row>
    <row r="1197" spans="1:16">
      <c r="A1197">
        <f t="shared" si="63"/>
        <v>1769.0872931311883</v>
      </c>
      <c r="B1197">
        <v>1176</v>
      </c>
      <c r="C1197">
        <v>27.4674263</v>
      </c>
      <c r="D1197">
        <v>1176</v>
      </c>
      <c r="E1197">
        <v>38.420742035000004</v>
      </c>
      <c r="F1197">
        <v>1176</v>
      </c>
      <c r="G1197">
        <v>20.270700455</v>
      </c>
      <c r="H1197">
        <v>1176</v>
      </c>
      <c r="I1197">
        <v>24.67058754</v>
      </c>
      <c r="K1197">
        <f t="shared" si="64"/>
        <v>13.750154495000004</v>
      </c>
      <c r="L1197">
        <v>1176</v>
      </c>
      <c r="M1197">
        <v>135</v>
      </c>
      <c r="N1197">
        <v>1176</v>
      </c>
      <c r="O1197">
        <v>120</v>
      </c>
      <c r="P1197">
        <f t="shared" si="62"/>
        <v>107.5325737</v>
      </c>
    </row>
    <row r="1198" spans="1:16">
      <c r="A1198">
        <f t="shared" si="63"/>
        <v>1770.0133877682047</v>
      </c>
      <c r="B1198">
        <v>1177</v>
      </c>
      <c r="C1198">
        <v>28.774795531999999</v>
      </c>
      <c r="D1198">
        <v>1177</v>
      </c>
      <c r="E1198">
        <v>37.550880432</v>
      </c>
      <c r="F1198">
        <v>1177</v>
      </c>
      <c r="G1198">
        <v>22.218580245999998</v>
      </c>
      <c r="H1198">
        <v>1177</v>
      </c>
      <c r="I1198">
        <v>23.570297240999999</v>
      </c>
      <c r="K1198">
        <f t="shared" si="64"/>
        <v>13.980583191000001</v>
      </c>
      <c r="L1198">
        <v>1177</v>
      </c>
      <c r="M1198">
        <v>135</v>
      </c>
      <c r="N1198">
        <v>1177</v>
      </c>
      <c r="O1198">
        <v>120</v>
      </c>
      <c r="P1198">
        <f t="shared" si="62"/>
        <v>106.225204468</v>
      </c>
    </row>
    <row r="1199" spans="1:16">
      <c r="A1199">
        <f t="shared" si="63"/>
        <v>1770.9394824052208</v>
      </c>
      <c r="B1199">
        <v>1178</v>
      </c>
      <c r="C1199">
        <v>27.454349518000001</v>
      </c>
      <c r="D1199">
        <v>1178</v>
      </c>
      <c r="E1199">
        <v>35.236858368</v>
      </c>
      <c r="F1199">
        <v>1178</v>
      </c>
      <c r="G1199">
        <v>22.781736374000001</v>
      </c>
      <c r="H1199">
        <v>1178</v>
      </c>
      <c r="I1199">
        <v>23.006862640000001</v>
      </c>
      <c r="K1199">
        <f t="shared" si="64"/>
        <v>12.229995727999999</v>
      </c>
      <c r="L1199">
        <v>1178</v>
      </c>
      <c r="M1199">
        <v>135</v>
      </c>
      <c r="N1199">
        <v>1178</v>
      </c>
      <c r="O1199">
        <v>120</v>
      </c>
      <c r="P1199">
        <f t="shared" si="62"/>
        <v>107.545650482</v>
      </c>
    </row>
    <row r="1200" spans="1:16">
      <c r="A1200">
        <f t="shared" si="63"/>
        <v>1771.8655770422372</v>
      </c>
      <c r="B1200">
        <v>1179</v>
      </c>
      <c r="C1200">
        <v>26.045402527</v>
      </c>
      <c r="D1200">
        <v>1179</v>
      </c>
      <c r="E1200">
        <v>34.564861297999997</v>
      </c>
      <c r="F1200">
        <v>1179</v>
      </c>
      <c r="G1200">
        <v>21.596504210999999</v>
      </c>
      <c r="H1200">
        <v>1179</v>
      </c>
      <c r="I1200">
        <v>22.249538422000001</v>
      </c>
      <c r="K1200">
        <f t="shared" si="64"/>
        <v>12.315322875999996</v>
      </c>
      <c r="L1200">
        <v>1179</v>
      </c>
      <c r="M1200">
        <v>135</v>
      </c>
      <c r="N1200">
        <v>1179</v>
      </c>
      <c r="O1200">
        <v>120</v>
      </c>
      <c r="P1200">
        <f t="shared" si="62"/>
        <v>108.95459747300001</v>
      </c>
    </row>
    <row r="1201" spans="1:16">
      <c r="A1201">
        <f t="shared" si="63"/>
        <v>1772.7916716792536</v>
      </c>
      <c r="B1201">
        <v>1180</v>
      </c>
      <c r="C1201">
        <v>25.557376862000002</v>
      </c>
      <c r="D1201">
        <v>1180</v>
      </c>
      <c r="E1201">
        <v>33.821147918999998</v>
      </c>
      <c r="F1201">
        <v>1180</v>
      </c>
      <c r="G1201">
        <v>21.363183974999998</v>
      </c>
      <c r="H1201">
        <v>1180</v>
      </c>
      <c r="I1201">
        <v>22.051902771000002</v>
      </c>
      <c r="K1201">
        <f t="shared" si="64"/>
        <v>11.769245147999996</v>
      </c>
      <c r="L1201">
        <v>1180</v>
      </c>
      <c r="M1201">
        <v>134.68702697800001</v>
      </c>
      <c r="N1201">
        <v>1180</v>
      </c>
      <c r="O1201">
        <v>120.312965393</v>
      </c>
      <c r="P1201">
        <f t="shared" si="62"/>
        <v>109.12965011600001</v>
      </c>
    </row>
    <row r="1202" spans="1:16">
      <c r="A1202">
        <f t="shared" si="63"/>
        <v>1773.7177663162699</v>
      </c>
      <c r="B1202">
        <v>1181</v>
      </c>
      <c r="C1202">
        <v>27.388456345000002</v>
      </c>
      <c r="D1202">
        <v>1181</v>
      </c>
      <c r="E1202">
        <v>34.215526580999999</v>
      </c>
      <c r="F1202">
        <v>1181</v>
      </c>
      <c r="G1202">
        <v>20.662693023999999</v>
      </c>
      <c r="H1202">
        <v>1181</v>
      </c>
      <c r="I1202">
        <v>22.719177246000001</v>
      </c>
      <c r="K1202">
        <f t="shared" si="64"/>
        <v>11.496349334999998</v>
      </c>
      <c r="L1202">
        <v>1181</v>
      </c>
      <c r="M1202">
        <v>134</v>
      </c>
      <c r="N1202">
        <v>1181</v>
      </c>
      <c r="O1202">
        <v>121</v>
      </c>
      <c r="P1202">
        <f t="shared" si="62"/>
        <v>106.61154365499999</v>
      </c>
    </row>
    <row r="1203" spans="1:16">
      <c r="A1203">
        <f t="shared" si="63"/>
        <v>1774.6438609532861</v>
      </c>
      <c r="B1203">
        <v>1182</v>
      </c>
      <c r="C1203">
        <v>27.256099701</v>
      </c>
      <c r="D1203">
        <v>1182</v>
      </c>
      <c r="E1203">
        <v>33.163871765000003</v>
      </c>
      <c r="F1203">
        <v>1182</v>
      </c>
      <c r="G1203">
        <v>20.127908707</v>
      </c>
      <c r="H1203">
        <v>1182</v>
      </c>
      <c r="I1203">
        <v>22.265657425000001</v>
      </c>
      <c r="K1203">
        <f t="shared" si="64"/>
        <v>10.898214340000003</v>
      </c>
      <c r="L1203">
        <v>1182</v>
      </c>
      <c r="M1203">
        <v>134</v>
      </c>
      <c r="N1203">
        <v>1182</v>
      </c>
      <c r="O1203">
        <v>121</v>
      </c>
      <c r="P1203">
        <f t="shared" si="62"/>
        <v>106.743900299</v>
      </c>
    </row>
    <row r="1204" spans="1:16">
      <c r="A1204">
        <f t="shared" si="63"/>
        <v>1775.5699555903025</v>
      </c>
      <c r="B1204">
        <v>1183</v>
      </c>
      <c r="C1204">
        <v>26.87187767</v>
      </c>
      <c r="D1204">
        <v>1183</v>
      </c>
      <c r="E1204">
        <v>33.501193999999998</v>
      </c>
      <c r="F1204">
        <v>1183</v>
      </c>
      <c r="G1204">
        <v>21.245515823000002</v>
      </c>
      <c r="H1204">
        <v>1183</v>
      </c>
      <c r="I1204">
        <v>23.320261001999999</v>
      </c>
      <c r="K1204">
        <f t="shared" si="64"/>
        <v>10.180932997999999</v>
      </c>
      <c r="L1204">
        <v>1183</v>
      </c>
      <c r="M1204">
        <v>134</v>
      </c>
      <c r="N1204">
        <v>1183</v>
      </c>
      <c r="O1204">
        <v>121</v>
      </c>
      <c r="P1204">
        <f t="shared" si="62"/>
        <v>107.12812233</v>
      </c>
    </row>
    <row r="1205" spans="1:16">
      <c r="A1205">
        <f t="shared" si="63"/>
        <v>1776.4960502273188</v>
      </c>
      <c r="B1205">
        <v>1184</v>
      </c>
      <c r="C1205">
        <v>27</v>
      </c>
      <c r="D1205">
        <v>1184</v>
      </c>
      <c r="E1205">
        <v>34.561351776000002</v>
      </c>
      <c r="F1205">
        <v>1184</v>
      </c>
      <c r="G1205">
        <v>20.162940978999998</v>
      </c>
      <c r="H1205">
        <v>1184</v>
      </c>
      <c r="I1205">
        <v>24.331672668</v>
      </c>
      <c r="K1205">
        <f t="shared" si="64"/>
        <v>10.229679108000003</v>
      </c>
      <c r="L1205">
        <v>1184</v>
      </c>
      <c r="M1205">
        <v>134</v>
      </c>
      <c r="N1205">
        <v>1184</v>
      </c>
      <c r="O1205">
        <v>121</v>
      </c>
      <c r="P1205">
        <f t="shared" si="62"/>
        <v>107</v>
      </c>
    </row>
    <row r="1206" spans="1:16">
      <c r="A1206">
        <f t="shared" si="63"/>
        <v>1777.4221448643352</v>
      </c>
      <c r="B1206">
        <v>1185</v>
      </c>
      <c r="C1206">
        <v>26.085046768000002</v>
      </c>
      <c r="D1206">
        <v>1185</v>
      </c>
      <c r="E1206">
        <v>33.013195037999999</v>
      </c>
      <c r="F1206">
        <v>1185</v>
      </c>
      <c r="G1206">
        <v>19.111276626999999</v>
      </c>
      <c r="H1206">
        <v>1185</v>
      </c>
      <c r="I1206">
        <v>22.936275481999999</v>
      </c>
      <c r="K1206">
        <f t="shared" si="64"/>
        <v>10.076919556</v>
      </c>
      <c r="L1206">
        <v>1185</v>
      </c>
      <c r="M1206">
        <v>134</v>
      </c>
      <c r="N1206">
        <v>1185</v>
      </c>
      <c r="O1206">
        <v>121</v>
      </c>
      <c r="P1206">
        <f t="shared" si="62"/>
        <v>107.914953232</v>
      </c>
    </row>
    <row r="1207" spans="1:16">
      <c r="A1207">
        <f t="shared" si="63"/>
        <v>1778.3482395013514</v>
      </c>
      <c r="B1207">
        <v>1186</v>
      </c>
      <c r="C1207">
        <v>24.98160553</v>
      </c>
      <c r="D1207">
        <v>1186</v>
      </c>
      <c r="E1207">
        <v>32.488121032999999</v>
      </c>
      <c r="F1207">
        <v>1186</v>
      </c>
      <c r="G1207">
        <v>20.143123627000001</v>
      </c>
      <c r="H1207">
        <v>1186</v>
      </c>
      <c r="I1207">
        <v>22.536273955999999</v>
      </c>
      <c r="K1207">
        <f t="shared" si="64"/>
        <v>9.951847077</v>
      </c>
      <c r="L1207">
        <v>1186</v>
      </c>
      <c r="M1207">
        <v>134</v>
      </c>
      <c r="N1207">
        <v>1186</v>
      </c>
      <c r="O1207">
        <v>121</v>
      </c>
      <c r="P1207">
        <f t="shared" si="62"/>
        <v>109.01839447</v>
      </c>
    </row>
    <row r="1208" spans="1:16">
      <c r="A1208">
        <f t="shared" si="63"/>
        <v>1779.2743341383677</v>
      </c>
      <c r="B1208">
        <v>1187</v>
      </c>
      <c r="C1208">
        <v>24.465103149000001</v>
      </c>
      <c r="D1208">
        <v>1187</v>
      </c>
      <c r="E1208">
        <v>33.149398804</v>
      </c>
      <c r="F1208">
        <v>1187</v>
      </c>
      <c r="G1208">
        <v>20.711359024</v>
      </c>
      <c r="H1208">
        <v>1187</v>
      </c>
      <c r="I1208">
        <v>22.318136214999999</v>
      </c>
      <c r="K1208">
        <f t="shared" si="64"/>
        <v>10.831262589000001</v>
      </c>
      <c r="L1208">
        <v>1187</v>
      </c>
      <c r="M1208">
        <v>133.324981689</v>
      </c>
      <c r="N1208">
        <v>1187</v>
      </c>
      <c r="O1208">
        <v>121.780921936</v>
      </c>
      <c r="P1208">
        <f t="shared" si="62"/>
        <v>108.85987854</v>
      </c>
    </row>
    <row r="1209" spans="1:16">
      <c r="A1209">
        <f t="shared" si="63"/>
        <v>1780.2004287753841</v>
      </c>
      <c r="B1209">
        <v>1188</v>
      </c>
      <c r="C1209">
        <v>24.064878464</v>
      </c>
      <c r="D1209">
        <v>1188</v>
      </c>
      <c r="E1209">
        <v>33.089118958</v>
      </c>
      <c r="F1209">
        <v>1188</v>
      </c>
      <c r="G1209">
        <v>21.170024871999999</v>
      </c>
      <c r="H1209">
        <v>1188</v>
      </c>
      <c r="I1209">
        <v>21.729780197</v>
      </c>
      <c r="K1209">
        <f t="shared" si="64"/>
        <v>11.359338761</v>
      </c>
      <c r="L1209">
        <v>1188</v>
      </c>
      <c r="M1209">
        <v>133</v>
      </c>
      <c r="N1209">
        <v>1188</v>
      </c>
      <c r="O1209">
        <v>122</v>
      </c>
      <c r="P1209">
        <f t="shared" si="62"/>
        <v>108.935121536</v>
      </c>
    </row>
    <row r="1210" spans="1:16">
      <c r="A1210">
        <f t="shared" si="63"/>
        <v>1781.1265234124003</v>
      </c>
      <c r="B1210">
        <v>1189</v>
      </c>
      <c r="C1210">
        <v>23.761371613000001</v>
      </c>
      <c r="D1210">
        <v>1189</v>
      </c>
      <c r="E1210">
        <v>32.260746001999998</v>
      </c>
      <c r="F1210">
        <v>1189</v>
      </c>
      <c r="G1210">
        <v>22.044387817</v>
      </c>
      <c r="H1210">
        <v>1189</v>
      </c>
      <c r="I1210">
        <v>21.027887344</v>
      </c>
      <c r="K1210">
        <f t="shared" si="64"/>
        <v>11.232858657999998</v>
      </c>
      <c r="L1210">
        <v>1189</v>
      </c>
      <c r="M1210">
        <v>133</v>
      </c>
      <c r="N1210">
        <v>1189</v>
      </c>
      <c r="O1210">
        <v>122</v>
      </c>
      <c r="P1210">
        <f t="shared" si="62"/>
        <v>109.23862838700001</v>
      </c>
    </row>
    <row r="1211" spans="1:16">
      <c r="A1211">
        <f t="shared" si="63"/>
        <v>1782.0526180494167</v>
      </c>
      <c r="B1211">
        <v>1190</v>
      </c>
      <c r="C1211">
        <v>23.826314925999998</v>
      </c>
      <c r="D1211">
        <v>1190</v>
      </c>
      <c r="E1211">
        <v>30.13417244</v>
      </c>
      <c r="F1211">
        <v>1190</v>
      </c>
      <c r="G1211">
        <v>21.908147811999999</v>
      </c>
      <c r="H1211">
        <v>1190</v>
      </c>
      <c r="I1211">
        <v>21</v>
      </c>
      <c r="K1211">
        <f t="shared" si="64"/>
        <v>9.1341724400000004</v>
      </c>
      <c r="L1211">
        <v>1190</v>
      </c>
      <c r="M1211">
        <v>133</v>
      </c>
      <c r="N1211">
        <v>1190</v>
      </c>
      <c r="O1211">
        <v>122</v>
      </c>
      <c r="P1211">
        <f t="shared" si="62"/>
        <v>109.17368507400001</v>
      </c>
    </row>
    <row r="1212" spans="1:16">
      <c r="A1212">
        <f t="shared" si="63"/>
        <v>1782.978712686433</v>
      </c>
      <c r="B1212">
        <v>1191</v>
      </c>
      <c r="C1212">
        <v>24.597154617000001</v>
      </c>
      <c r="D1212">
        <v>1191</v>
      </c>
      <c r="E1212">
        <v>31.436809539999999</v>
      </c>
      <c r="F1212">
        <v>1191</v>
      </c>
      <c r="G1212">
        <v>21.944858550999999</v>
      </c>
      <c r="H1212">
        <v>1191</v>
      </c>
      <c r="I1212">
        <v>21.085294724000001</v>
      </c>
      <c r="K1212">
        <f t="shared" si="64"/>
        <v>10.351514815999998</v>
      </c>
      <c r="L1212">
        <v>1191</v>
      </c>
      <c r="M1212">
        <v>133</v>
      </c>
      <c r="N1212">
        <v>1191</v>
      </c>
      <c r="O1212">
        <v>122</v>
      </c>
      <c r="P1212">
        <f t="shared" si="62"/>
        <v>108.402845383</v>
      </c>
    </row>
    <row r="1213" spans="1:16">
      <c r="A1213">
        <f t="shared" si="63"/>
        <v>1783.9048073234494</v>
      </c>
      <c r="B1213">
        <v>1192</v>
      </c>
      <c r="C1213">
        <v>25.148147583</v>
      </c>
      <c r="D1213">
        <v>1192</v>
      </c>
      <c r="E1213">
        <v>32.479766845999997</v>
      </c>
      <c r="F1213">
        <v>1192</v>
      </c>
      <c r="G1213">
        <v>21.817188262999998</v>
      </c>
      <c r="H1213">
        <v>1192</v>
      </c>
      <c r="I1213">
        <v>21.133241652999999</v>
      </c>
      <c r="K1213">
        <f t="shared" si="64"/>
        <v>11.346525192999998</v>
      </c>
      <c r="L1213">
        <v>1192</v>
      </c>
      <c r="M1213">
        <v>133</v>
      </c>
      <c r="N1213">
        <v>1192</v>
      </c>
      <c r="O1213">
        <v>122</v>
      </c>
      <c r="P1213">
        <f t="shared" si="62"/>
        <v>107.851852417</v>
      </c>
    </row>
    <row r="1214" spans="1:16">
      <c r="A1214">
        <f t="shared" si="63"/>
        <v>1784.8309019604656</v>
      </c>
      <c r="B1214">
        <v>1193</v>
      </c>
      <c r="C1214">
        <v>23.199354172</v>
      </c>
      <c r="D1214">
        <v>1193</v>
      </c>
      <c r="E1214">
        <v>31.187171935999999</v>
      </c>
      <c r="F1214">
        <v>1193</v>
      </c>
      <c r="G1214">
        <v>21.992134094000001</v>
      </c>
      <c r="H1214">
        <v>1193</v>
      </c>
      <c r="I1214">
        <v>20.431531906</v>
      </c>
      <c r="K1214">
        <f t="shared" si="64"/>
        <v>10.755640029999999</v>
      </c>
      <c r="L1214">
        <v>1193</v>
      </c>
      <c r="M1214">
        <v>133</v>
      </c>
      <c r="N1214">
        <v>1193</v>
      </c>
      <c r="O1214">
        <v>122</v>
      </c>
      <c r="P1214">
        <f t="shared" si="62"/>
        <v>109.800645828</v>
      </c>
    </row>
    <row r="1215" spans="1:16">
      <c r="A1215">
        <f t="shared" si="63"/>
        <v>1785.7569965974819</v>
      </c>
      <c r="B1215">
        <v>1194</v>
      </c>
      <c r="C1215">
        <v>23.310321808000001</v>
      </c>
      <c r="D1215">
        <v>1194</v>
      </c>
      <c r="E1215">
        <v>29.799848557000001</v>
      </c>
      <c r="F1215">
        <v>1194</v>
      </c>
      <c r="G1215">
        <v>22.037754059000001</v>
      </c>
      <c r="H1215">
        <v>1194</v>
      </c>
      <c r="I1215">
        <v>20.383586884</v>
      </c>
      <c r="K1215">
        <f t="shared" si="64"/>
        <v>9.4162616730000011</v>
      </c>
      <c r="L1215">
        <v>1194</v>
      </c>
      <c r="M1215">
        <v>133</v>
      </c>
      <c r="N1215">
        <v>1194</v>
      </c>
      <c r="O1215">
        <v>122</v>
      </c>
      <c r="P1215">
        <f t="shared" si="62"/>
        <v>109.689678192</v>
      </c>
    </row>
    <row r="1216" spans="1:16">
      <c r="A1216">
        <f t="shared" si="63"/>
        <v>1786.6830912344983</v>
      </c>
      <c r="B1216">
        <v>1195</v>
      </c>
      <c r="C1216">
        <v>22.625057219999999</v>
      </c>
      <c r="D1216">
        <v>1195</v>
      </c>
      <c r="E1216">
        <v>28.413532257</v>
      </c>
      <c r="F1216">
        <v>1195</v>
      </c>
      <c r="G1216">
        <v>21.167131424000001</v>
      </c>
      <c r="H1216">
        <v>1195</v>
      </c>
      <c r="I1216">
        <v>20.737529755000001</v>
      </c>
      <c r="K1216">
        <f t="shared" si="64"/>
        <v>7.6760025019999993</v>
      </c>
      <c r="L1216">
        <v>1195</v>
      </c>
      <c r="M1216">
        <v>133</v>
      </c>
      <c r="N1216">
        <v>1195</v>
      </c>
      <c r="O1216">
        <v>122</v>
      </c>
      <c r="P1216">
        <f t="shared" si="62"/>
        <v>110.37494278</v>
      </c>
    </row>
    <row r="1217" spans="1:16">
      <c r="A1217">
        <f t="shared" si="63"/>
        <v>1787.6091858715147</v>
      </c>
      <c r="B1217">
        <v>1196</v>
      </c>
      <c r="C1217">
        <v>22.118053436</v>
      </c>
      <c r="D1217">
        <v>1196</v>
      </c>
      <c r="E1217">
        <v>26.931783675999998</v>
      </c>
      <c r="F1217">
        <v>1196</v>
      </c>
      <c r="G1217">
        <v>20.666666030999998</v>
      </c>
      <c r="H1217">
        <v>1196</v>
      </c>
      <c r="I1217">
        <v>20.075410843</v>
      </c>
      <c r="K1217">
        <f t="shared" si="64"/>
        <v>6.8563728329999982</v>
      </c>
      <c r="L1217">
        <v>1196</v>
      </c>
      <c r="M1217">
        <v>133</v>
      </c>
      <c r="N1217">
        <v>1196</v>
      </c>
      <c r="O1217">
        <v>122</v>
      </c>
      <c r="P1217">
        <f t="shared" si="62"/>
        <v>110.881946564</v>
      </c>
    </row>
    <row r="1218" spans="1:16">
      <c r="A1218">
        <f t="shared" si="63"/>
        <v>1788.5352805085308</v>
      </c>
      <c r="B1218">
        <v>1197</v>
      </c>
      <c r="C1218">
        <v>23.085597992</v>
      </c>
      <c r="D1218">
        <v>1197</v>
      </c>
      <c r="E1218">
        <v>26.705608368</v>
      </c>
      <c r="F1218">
        <v>1197</v>
      </c>
      <c r="G1218">
        <v>20.645801544000001</v>
      </c>
      <c r="H1218">
        <v>1197</v>
      </c>
      <c r="I1218">
        <v>21.234531402999998</v>
      </c>
      <c r="K1218">
        <f t="shared" si="64"/>
        <v>5.4710769650000017</v>
      </c>
      <c r="L1218">
        <v>1197</v>
      </c>
      <c r="M1218">
        <v>133</v>
      </c>
      <c r="N1218">
        <v>1197</v>
      </c>
      <c r="O1218">
        <v>122</v>
      </c>
      <c r="P1218">
        <f t="shared" si="62"/>
        <v>109.914402008</v>
      </c>
    </row>
    <row r="1219" spans="1:16">
      <c r="A1219">
        <f t="shared" si="63"/>
        <v>1789.4613751455472</v>
      </c>
      <c r="B1219">
        <v>1198</v>
      </c>
      <c r="C1219">
        <v>23.333333969000002</v>
      </c>
      <c r="D1219">
        <v>1198</v>
      </c>
      <c r="E1219">
        <v>27.470478058000001</v>
      </c>
      <c r="F1219">
        <v>1198</v>
      </c>
      <c r="G1219">
        <v>19.721807479999999</v>
      </c>
      <c r="H1219">
        <v>1198</v>
      </c>
      <c r="I1219">
        <v>21.993120192999999</v>
      </c>
      <c r="K1219">
        <f t="shared" si="64"/>
        <v>5.4773578650000019</v>
      </c>
      <c r="L1219">
        <v>1198</v>
      </c>
      <c r="M1219">
        <v>133</v>
      </c>
      <c r="N1219">
        <v>1198</v>
      </c>
      <c r="O1219">
        <v>122</v>
      </c>
      <c r="P1219">
        <f t="shared" si="62"/>
        <v>109.66666603100001</v>
      </c>
    </row>
    <row r="1220" spans="1:16">
      <c r="A1220">
        <f t="shared" si="63"/>
        <v>1790.3874697825636</v>
      </c>
      <c r="B1220">
        <v>1199</v>
      </c>
      <c r="C1220">
        <v>22.850112915</v>
      </c>
      <c r="D1220">
        <v>1199</v>
      </c>
      <c r="E1220">
        <v>27.499567032000002</v>
      </c>
      <c r="F1220">
        <v>1199</v>
      </c>
      <c r="G1220">
        <v>19.696765899999999</v>
      </c>
      <c r="H1220">
        <v>1199</v>
      </c>
      <c r="I1220">
        <v>22.100980758999999</v>
      </c>
      <c r="K1220">
        <f t="shared" si="64"/>
        <v>5.3985862730000029</v>
      </c>
      <c r="L1220">
        <v>1199</v>
      </c>
      <c r="M1220">
        <v>132.131149292</v>
      </c>
      <c r="N1220">
        <v>1199</v>
      </c>
      <c r="O1220">
        <v>122.868850708</v>
      </c>
      <c r="P1220">
        <f t="shared" si="62"/>
        <v>109.28103637700001</v>
      </c>
    </row>
    <row r="1221" spans="1:16">
      <c r="A1221">
        <f t="shared" si="63"/>
        <v>1791.31356441958</v>
      </c>
      <c r="B1221">
        <v>1200</v>
      </c>
      <c r="C1221">
        <v>22.469799041999998</v>
      </c>
      <c r="D1221">
        <v>1200</v>
      </c>
      <c r="E1221">
        <v>27.028963089000001</v>
      </c>
      <c r="F1221">
        <v>1200</v>
      </c>
      <c r="G1221">
        <v>19.666666030999998</v>
      </c>
      <c r="H1221">
        <v>1200</v>
      </c>
      <c r="I1221">
        <v>21.810842514000001</v>
      </c>
      <c r="K1221">
        <f t="shared" si="64"/>
        <v>5.2181205750000004</v>
      </c>
      <c r="L1221">
        <v>1200</v>
      </c>
      <c r="M1221">
        <v>132</v>
      </c>
      <c r="N1221">
        <v>1200</v>
      </c>
      <c r="O1221">
        <v>123</v>
      </c>
      <c r="P1221">
        <f t="shared" si="62"/>
        <v>109.53020095799999</v>
      </c>
    </row>
    <row r="1222" spans="1:16">
      <c r="A1222">
        <f t="shared" si="63"/>
        <v>1792.2396590565961</v>
      </c>
      <c r="B1222">
        <v>1201</v>
      </c>
      <c r="C1222">
        <v>22.030357361</v>
      </c>
      <c r="D1222">
        <v>1201</v>
      </c>
      <c r="E1222">
        <v>26.991083145000001</v>
      </c>
      <c r="F1222">
        <v>1201</v>
      </c>
      <c r="G1222">
        <v>19.667734146000001</v>
      </c>
      <c r="H1222">
        <v>1201</v>
      </c>
      <c r="I1222">
        <v>22.126306534000001</v>
      </c>
      <c r="K1222">
        <f t="shared" si="64"/>
        <v>4.8647766109999999</v>
      </c>
      <c r="L1222">
        <v>1201</v>
      </c>
      <c r="M1222">
        <v>132</v>
      </c>
      <c r="N1222">
        <v>1201</v>
      </c>
      <c r="O1222">
        <v>123</v>
      </c>
      <c r="P1222">
        <f t="shared" si="62"/>
        <v>109.969642639</v>
      </c>
    </row>
    <row r="1223" spans="1:16">
      <c r="A1223">
        <f t="shared" si="63"/>
        <v>1793.1657536936125</v>
      </c>
      <c r="B1223">
        <v>1202</v>
      </c>
      <c r="C1223">
        <v>21.630128859999999</v>
      </c>
      <c r="D1223">
        <v>1202</v>
      </c>
      <c r="E1223">
        <v>27.496881484999999</v>
      </c>
      <c r="F1223">
        <v>1202</v>
      </c>
      <c r="G1223">
        <v>19.79284668</v>
      </c>
      <c r="H1223">
        <v>1202</v>
      </c>
      <c r="I1223">
        <v>23.743789672999998</v>
      </c>
      <c r="K1223">
        <f t="shared" si="64"/>
        <v>3.753091812000001</v>
      </c>
      <c r="L1223">
        <v>1202</v>
      </c>
      <c r="M1223">
        <v>132</v>
      </c>
      <c r="N1223">
        <v>1202</v>
      </c>
      <c r="O1223">
        <v>123</v>
      </c>
      <c r="P1223">
        <f t="shared" si="62"/>
        <v>110.36987114</v>
      </c>
    </row>
    <row r="1224" spans="1:16">
      <c r="A1224">
        <f t="shared" si="63"/>
        <v>1794.0918483306289</v>
      </c>
      <c r="B1224">
        <v>1203</v>
      </c>
      <c r="C1224">
        <v>22.333333969000002</v>
      </c>
      <c r="D1224">
        <v>1203</v>
      </c>
      <c r="E1224">
        <v>27.336986541999998</v>
      </c>
      <c r="F1224">
        <v>1203</v>
      </c>
      <c r="G1224">
        <v>19.813331603999998</v>
      </c>
      <c r="H1224">
        <v>1203</v>
      </c>
      <c r="I1224">
        <v>21.95999527</v>
      </c>
      <c r="K1224">
        <f t="shared" si="64"/>
        <v>5.3769912719999979</v>
      </c>
      <c r="L1224">
        <v>1203</v>
      </c>
      <c r="M1224">
        <v>132</v>
      </c>
      <c r="N1224">
        <v>1203</v>
      </c>
      <c r="O1224">
        <v>123</v>
      </c>
      <c r="P1224">
        <f t="shared" si="62"/>
        <v>109.66666603100001</v>
      </c>
    </row>
    <row r="1225" spans="1:16">
      <c r="A1225">
        <f t="shared" si="63"/>
        <v>1795.0179429676452</v>
      </c>
      <c r="B1225">
        <v>1204</v>
      </c>
      <c r="C1225">
        <v>22.356590271000002</v>
      </c>
      <c r="D1225">
        <v>1204</v>
      </c>
      <c r="E1225">
        <v>27.682346343999999</v>
      </c>
      <c r="F1225">
        <v>1204</v>
      </c>
      <c r="G1225">
        <v>19.718828201000001</v>
      </c>
      <c r="H1225">
        <v>1204</v>
      </c>
      <c r="I1225">
        <v>20.341339111</v>
      </c>
      <c r="K1225">
        <f t="shared" si="64"/>
        <v>7.3410072329999991</v>
      </c>
      <c r="L1225">
        <v>1204</v>
      </c>
      <c r="M1225">
        <v>132</v>
      </c>
      <c r="N1225">
        <v>1204</v>
      </c>
      <c r="O1225">
        <v>123</v>
      </c>
      <c r="P1225">
        <f t="shared" si="62"/>
        <v>109.643409729</v>
      </c>
    </row>
    <row r="1226" spans="1:16">
      <c r="A1226">
        <f t="shared" si="63"/>
        <v>1795.9440376046614</v>
      </c>
      <c r="B1226">
        <v>1205</v>
      </c>
      <c r="C1226">
        <v>22.763191223</v>
      </c>
      <c r="D1226">
        <v>1205</v>
      </c>
      <c r="E1226">
        <v>27.872993469000001</v>
      </c>
      <c r="F1226">
        <v>1205</v>
      </c>
      <c r="G1226">
        <v>20.434627533</v>
      </c>
      <c r="H1226">
        <v>1205</v>
      </c>
      <c r="I1226">
        <v>20.985042572000001</v>
      </c>
      <c r="K1226">
        <f t="shared" si="64"/>
        <v>6.8879508969999996</v>
      </c>
      <c r="L1226">
        <v>1205</v>
      </c>
      <c r="M1226">
        <v>132</v>
      </c>
      <c r="N1226">
        <v>1205</v>
      </c>
      <c r="O1226">
        <v>123</v>
      </c>
      <c r="P1226">
        <f t="shared" si="62"/>
        <v>109.23680877699999</v>
      </c>
    </row>
    <row r="1227" spans="1:16">
      <c r="A1227">
        <f t="shared" si="63"/>
        <v>1796.8701322416778</v>
      </c>
      <c r="B1227">
        <v>1206</v>
      </c>
      <c r="C1227">
        <v>22.959732056</v>
      </c>
      <c r="D1227">
        <v>1206</v>
      </c>
      <c r="E1227">
        <v>27.996559142999999</v>
      </c>
      <c r="F1227">
        <v>1206</v>
      </c>
      <c r="G1227">
        <v>20</v>
      </c>
      <c r="H1227">
        <v>1206</v>
      </c>
      <c r="I1227">
        <v>20.555370330999999</v>
      </c>
      <c r="K1227">
        <f t="shared" si="64"/>
        <v>7.441188812</v>
      </c>
      <c r="L1227">
        <v>1206</v>
      </c>
      <c r="M1227">
        <v>132</v>
      </c>
      <c r="N1227">
        <v>1206</v>
      </c>
      <c r="O1227">
        <v>123</v>
      </c>
      <c r="P1227">
        <f t="shared" si="62"/>
        <v>109.04026794399999</v>
      </c>
    </row>
    <row r="1228" spans="1:16">
      <c r="A1228">
        <f t="shared" si="63"/>
        <v>1797.7962268786941</v>
      </c>
      <c r="B1228">
        <v>1207</v>
      </c>
      <c r="C1228">
        <v>21.834642410000001</v>
      </c>
      <c r="D1228">
        <v>1207</v>
      </c>
      <c r="E1228">
        <v>27.182527541999999</v>
      </c>
      <c r="F1228">
        <v>1207</v>
      </c>
      <c r="G1228">
        <v>20.142211914000001</v>
      </c>
      <c r="H1228">
        <v>1207</v>
      </c>
      <c r="I1228">
        <v>21.241666794</v>
      </c>
      <c r="K1228">
        <f t="shared" si="64"/>
        <v>5.9408607479999986</v>
      </c>
      <c r="L1228">
        <v>1207</v>
      </c>
      <c r="M1228">
        <v>132</v>
      </c>
      <c r="N1228">
        <v>1207</v>
      </c>
      <c r="O1228">
        <v>123</v>
      </c>
      <c r="P1228">
        <f t="shared" si="62"/>
        <v>110.16535759</v>
      </c>
    </row>
    <row r="1229" spans="1:16">
      <c r="A1229">
        <f t="shared" si="63"/>
        <v>1798.7223215157103</v>
      </c>
      <c r="B1229">
        <v>1208</v>
      </c>
      <c r="C1229">
        <v>21.691070557</v>
      </c>
      <c r="D1229">
        <v>1208</v>
      </c>
      <c r="E1229">
        <v>27</v>
      </c>
      <c r="F1229">
        <v>1208</v>
      </c>
      <c r="G1229">
        <v>21.461004256999999</v>
      </c>
      <c r="H1229">
        <v>1208</v>
      </c>
      <c r="I1229">
        <v>21.654901505000002</v>
      </c>
      <c r="K1229">
        <f t="shared" si="64"/>
        <v>5.3450984949999985</v>
      </c>
      <c r="L1229">
        <v>1208</v>
      </c>
      <c r="M1229">
        <v>132</v>
      </c>
      <c r="N1229">
        <v>1208</v>
      </c>
      <c r="O1229">
        <v>123</v>
      </c>
      <c r="P1229">
        <f t="shared" si="62"/>
        <v>110.308929443</v>
      </c>
    </row>
    <row r="1230" spans="1:16">
      <c r="A1230">
        <f t="shared" si="63"/>
        <v>1799.6484161527267</v>
      </c>
      <c r="B1230">
        <v>1209</v>
      </c>
      <c r="C1230">
        <v>23.406162261999999</v>
      </c>
      <c r="D1230">
        <v>1209</v>
      </c>
      <c r="E1230">
        <v>27.108009337999999</v>
      </c>
      <c r="F1230">
        <v>1209</v>
      </c>
      <c r="G1230">
        <v>21.879928588999999</v>
      </c>
      <c r="H1230">
        <v>1209</v>
      </c>
      <c r="I1230">
        <v>20.787605286000002</v>
      </c>
      <c r="K1230">
        <f t="shared" si="64"/>
        <v>6.3204040519999971</v>
      </c>
      <c r="L1230">
        <v>1209</v>
      </c>
      <c r="M1230">
        <v>132</v>
      </c>
      <c r="N1230">
        <v>1209</v>
      </c>
      <c r="O1230">
        <v>123</v>
      </c>
      <c r="P1230">
        <f t="shared" si="62"/>
        <v>108.593837738</v>
      </c>
    </row>
    <row r="1231" spans="1:16">
      <c r="A1231">
        <f t="shared" si="63"/>
        <v>1800.574510789743</v>
      </c>
      <c r="B1231">
        <v>1210</v>
      </c>
      <c r="C1231">
        <v>22.379941939999998</v>
      </c>
      <c r="D1231">
        <v>1210</v>
      </c>
      <c r="E1231">
        <v>27.019348144999999</v>
      </c>
      <c r="F1231">
        <v>1210</v>
      </c>
      <c r="G1231">
        <v>20.781419754000002</v>
      </c>
      <c r="H1231">
        <v>1210</v>
      </c>
      <c r="I1231">
        <v>19.974336623999999</v>
      </c>
      <c r="K1231">
        <f t="shared" si="64"/>
        <v>7.0450115209999993</v>
      </c>
      <c r="L1231">
        <v>1210</v>
      </c>
      <c r="M1231">
        <v>132</v>
      </c>
      <c r="N1231">
        <v>1210</v>
      </c>
      <c r="O1231">
        <v>123</v>
      </c>
      <c r="P1231">
        <f t="shared" si="62"/>
        <v>109.62005806000001</v>
      </c>
    </row>
    <row r="1232" spans="1:16">
      <c r="A1232">
        <f t="shared" si="63"/>
        <v>1801.5006054267594</v>
      </c>
      <c r="B1232">
        <v>1211</v>
      </c>
      <c r="C1232">
        <v>20.147853851000001</v>
      </c>
      <c r="D1232">
        <v>1211</v>
      </c>
      <c r="E1232">
        <v>26.429323195999999</v>
      </c>
      <c r="F1232">
        <v>1211</v>
      </c>
      <c r="G1232">
        <v>20.015399933000001</v>
      </c>
      <c r="H1232">
        <v>1211</v>
      </c>
      <c r="I1232">
        <v>20.132356644000001</v>
      </c>
      <c r="K1232">
        <f t="shared" si="64"/>
        <v>6.2969665519999971</v>
      </c>
      <c r="L1232">
        <v>1211</v>
      </c>
      <c r="M1232">
        <v>132</v>
      </c>
      <c r="N1232">
        <v>1211</v>
      </c>
      <c r="O1232">
        <v>123</v>
      </c>
      <c r="P1232">
        <f t="shared" si="62"/>
        <v>111.85214614899999</v>
      </c>
    </row>
    <row r="1233" spans="1:16">
      <c r="A1233">
        <f t="shared" si="63"/>
        <v>1802.4267000637756</v>
      </c>
      <c r="B1233">
        <v>1212</v>
      </c>
      <c r="C1233">
        <v>21.850858687999999</v>
      </c>
      <c r="D1233">
        <v>1212</v>
      </c>
      <c r="E1233">
        <v>25.684545517</v>
      </c>
      <c r="F1233">
        <v>1212</v>
      </c>
      <c r="G1233">
        <v>20.316289902000001</v>
      </c>
      <c r="H1233">
        <v>1212</v>
      </c>
      <c r="I1233">
        <v>20.172388077000001</v>
      </c>
      <c r="K1233">
        <f t="shared" si="64"/>
        <v>5.5121574399999993</v>
      </c>
      <c r="L1233">
        <v>1212</v>
      </c>
      <c r="M1233">
        <v>131.645584106</v>
      </c>
      <c r="N1233">
        <v>1212</v>
      </c>
      <c r="O1233">
        <v>123.88077545199999</v>
      </c>
      <c r="P1233">
        <f t="shared" si="62"/>
        <v>109.794725418</v>
      </c>
    </row>
    <row r="1234" spans="1:16">
      <c r="A1234">
        <f t="shared" si="63"/>
        <v>1803.3527947007919</v>
      </c>
      <c r="B1234">
        <v>1213</v>
      </c>
      <c r="C1234">
        <v>25.986328125</v>
      </c>
      <c r="D1234">
        <v>1213</v>
      </c>
      <c r="E1234">
        <v>25.555236816000001</v>
      </c>
      <c r="F1234">
        <v>1213</v>
      </c>
      <c r="G1234">
        <v>20.986089706000001</v>
      </c>
      <c r="H1234">
        <v>1213</v>
      </c>
      <c r="I1234">
        <v>20.954624175999999</v>
      </c>
      <c r="K1234">
        <f t="shared" si="64"/>
        <v>4.6006126400000014</v>
      </c>
      <c r="L1234">
        <v>1213</v>
      </c>
      <c r="M1234">
        <v>131.04219055199999</v>
      </c>
      <c r="N1234">
        <v>1213</v>
      </c>
      <c r="O1234">
        <v>124</v>
      </c>
      <c r="P1234">
        <f t="shared" si="62"/>
        <v>105.05586242699999</v>
      </c>
    </row>
    <row r="1235" spans="1:16">
      <c r="A1235">
        <f t="shared" si="63"/>
        <v>1804.2788893378083</v>
      </c>
      <c r="B1235">
        <v>1214</v>
      </c>
      <c r="C1235">
        <v>25.092845916999998</v>
      </c>
      <c r="D1235">
        <v>1214</v>
      </c>
      <c r="E1235">
        <v>26.394563675000001</v>
      </c>
      <c r="F1235">
        <v>1214</v>
      </c>
      <c r="G1235">
        <v>21.618286133000002</v>
      </c>
      <c r="H1235">
        <v>1214</v>
      </c>
      <c r="I1235">
        <v>19.997058868</v>
      </c>
      <c r="K1235">
        <f t="shared" si="64"/>
        <v>6.3975048070000007</v>
      </c>
      <c r="L1235">
        <v>1214</v>
      </c>
      <c r="M1235">
        <v>131</v>
      </c>
      <c r="N1235">
        <v>1214</v>
      </c>
      <c r="O1235">
        <v>124</v>
      </c>
      <c r="P1235">
        <f t="shared" si="62"/>
        <v>105.90715408299999</v>
      </c>
    </row>
    <row r="1236" spans="1:16">
      <c r="A1236">
        <f t="shared" si="63"/>
        <v>1805.2049839748247</v>
      </c>
      <c r="B1236">
        <v>1215</v>
      </c>
      <c r="C1236">
        <v>19.616415023999998</v>
      </c>
      <c r="D1236">
        <v>1215</v>
      </c>
      <c r="E1236">
        <v>24.847661972000001</v>
      </c>
      <c r="F1236">
        <v>1215</v>
      </c>
      <c r="G1236">
        <v>21.194740294999999</v>
      </c>
      <c r="H1236">
        <v>1215</v>
      </c>
      <c r="I1236">
        <v>18.285791397000001</v>
      </c>
      <c r="K1236">
        <f t="shared" si="64"/>
        <v>6.5618705750000004</v>
      </c>
      <c r="L1236">
        <v>1215</v>
      </c>
      <c r="M1236">
        <v>131</v>
      </c>
      <c r="N1236">
        <v>1215</v>
      </c>
      <c r="O1236">
        <v>124</v>
      </c>
      <c r="P1236">
        <f t="shared" si="62"/>
        <v>111.38358497600001</v>
      </c>
    </row>
    <row r="1237" spans="1:16">
      <c r="A1237">
        <f t="shared" si="63"/>
        <v>1806.1310786118408</v>
      </c>
      <c r="B1237">
        <v>1216</v>
      </c>
      <c r="C1237">
        <v>20.160243988000001</v>
      </c>
      <c r="D1237">
        <v>1216</v>
      </c>
      <c r="E1237">
        <v>25.78445816</v>
      </c>
      <c r="F1237">
        <v>1216</v>
      </c>
      <c r="G1237">
        <v>20.282630919999999</v>
      </c>
      <c r="H1237">
        <v>1216</v>
      </c>
      <c r="I1237">
        <v>20.564706802</v>
      </c>
      <c r="K1237">
        <f t="shared" si="64"/>
        <v>5.2197513579999999</v>
      </c>
      <c r="L1237">
        <v>1216</v>
      </c>
      <c r="M1237">
        <v>131</v>
      </c>
      <c r="N1237">
        <v>1216</v>
      </c>
      <c r="O1237">
        <v>124</v>
      </c>
      <c r="P1237">
        <f t="shared" ref="P1237:P1300" si="65">M1237-C1237</f>
        <v>110.839756012</v>
      </c>
    </row>
    <row r="1238" spans="1:16">
      <c r="A1238">
        <f t="shared" ref="A1238:A1301" si="66">680 +B1238*COS(ABS($J$8)*PI()/180)</f>
        <v>1807.0571732488572</v>
      </c>
      <c r="B1238">
        <v>1217</v>
      </c>
      <c r="C1238">
        <v>20.949069977000001</v>
      </c>
      <c r="D1238">
        <v>1217</v>
      </c>
      <c r="E1238">
        <v>26.756769179999999</v>
      </c>
      <c r="F1238">
        <v>1217</v>
      </c>
      <c r="G1238">
        <v>20.082464217999998</v>
      </c>
      <c r="H1238">
        <v>1217</v>
      </c>
      <c r="I1238">
        <v>20.535295485999999</v>
      </c>
      <c r="K1238">
        <f t="shared" ref="K1238:K1301" si="67">E1238-I1238</f>
        <v>6.2214736940000002</v>
      </c>
      <c r="L1238">
        <v>1217</v>
      </c>
      <c r="M1238">
        <v>131</v>
      </c>
      <c r="N1238">
        <v>1217</v>
      </c>
      <c r="O1238">
        <v>124</v>
      </c>
      <c r="P1238">
        <f t="shared" si="65"/>
        <v>110.05093002300001</v>
      </c>
    </row>
    <row r="1239" spans="1:16">
      <c r="A1239">
        <f t="shared" si="66"/>
        <v>1807.9832678858736</v>
      </c>
      <c r="B1239">
        <v>1218</v>
      </c>
      <c r="C1239">
        <v>20.212593079000001</v>
      </c>
      <c r="D1239">
        <v>1218</v>
      </c>
      <c r="E1239">
        <v>27.901542664000001</v>
      </c>
      <c r="F1239">
        <v>1218</v>
      </c>
      <c r="G1239">
        <v>20.334005355999999</v>
      </c>
      <c r="H1239">
        <v>1218</v>
      </c>
      <c r="I1239">
        <v>20.221569061</v>
      </c>
      <c r="K1239">
        <f t="shared" si="67"/>
        <v>7.6799736030000005</v>
      </c>
      <c r="L1239">
        <v>1218</v>
      </c>
      <c r="M1239">
        <v>131</v>
      </c>
      <c r="N1239">
        <v>1218</v>
      </c>
      <c r="O1239">
        <v>124</v>
      </c>
      <c r="P1239">
        <f t="shared" si="65"/>
        <v>110.787406921</v>
      </c>
    </row>
    <row r="1240" spans="1:16">
      <c r="A1240">
        <f t="shared" si="66"/>
        <v>1808.90936252289</v>
      </c>
      <c r="B1240">
        <v>1219</v>
      </c>
      <c r="C1240">
        <v>22.566129684</v>
      </c>
      <c r="D1240">
        <v>1219</v>
      </c>
      <c r="E1240">
        <v>25.989822388</v>
      </c>
      <c r="F1240">
        <v>1219</v>
      </c>
      <c r="G1240">
        <v>20.111982346000001</v>
      </c>
      <c r="H1240">
        <v>1219</v>
      </c>
      <c r="I1240">
        <v>19.932117462000001</v>
      </c>
      <c r="K1240">
        <f t="shared" si="67"/>
        <v>6.0577049259999995</v>
      </c>
      <c r="L1240">
        <v>1219</v>
      </c>
      <c r="M1240">
        <v>131</v>
      </c>
      <c r="N1240">
        <v>1219</v>
      </c>
      <c r="O1240">
        <v>124</v>
      </c>
      <c r="P1240">
        <f t="shared" si="65"/>
        <v>108.433870316</v>
      </c>
    </row>
    <row r="1241" spans="1:16">
      <c r="A1241">
        <f t="shared" si="66"/>
        <v>1809.8354571599061</v>
      </c>
      <c r="B1241">
        <v>1220</v>
      </c>
      <c r="C1241">
        <v>23.930028915000001</v>
      </c>
      <c r="D1241">
        <v>1220</v>
      </c>
      <c r="E1241">
        <v>26.132009505999999</v>
      </c>
      <c r="F1241">
        <v>1220</v>
      </c>
      <c r="G1241">
        <v>20.462810516000001</v>
      </c>
      <c r="H1241">
        <v>1220</v>
      </c>
      <c r="I1241">
        <v>20</v>
      </c>
      <c r="K1241">
        <f t="shared" si="67"/>
        <v>6.1320095059999993</v>
      </c>
      <c r="L1241">
        <v>1220</v>
      </c>
      <c r="M1241">
        <v>131</v>
      </c>
      <c r="N1241">
        <v>1220</v>
      </c>
      <c r="O1241">
        <v>124</v>
      </c>
      <c r="P1241">
        <f t="shared" si="65"/>
        <v>107.06997108499999</v>
      </c>
    </row>
    <row r="1242" spans="1:16">
      <c r="A1242">
        <f t="shared" si="66"/>
        <v>1810.7615517969225</v>
      </c>
      <c r="B1242">
        <v>1221</v>
      </c>
      <c r="C1242">
        <v>22.366779327</v>
      </c>
      <c r="D1242">
        <v>1221</v>
      </c>
      <c r="E1242">
        <v>26.540288924999999</v>
      </c>
      <c r="F1242">
        <v>1221</v>
      </c>
      <c r="G1242">
        <v>20.573770523</v>
      </c>
      <c r="H1242">
        <v>1221</v>
      </c>
      <c r="I1242">
        <v>20</v>
      </c>
      <c r="K1242">
        <f t="shared" si="67"/>
        <v>6.5402889249999987</v>
      </c>
      <c r="L1242">
        <v>1221</v>
      </c>
      <c r="M1242">
        <v>131</v>
      </c>
      <c r="N1242">
        <v>1221</v>
      </c>
      <c r="O1242">
        <v>124</v>
      </c>
      <c r="P1242">
        <f t="shared" si="65"/>
        <v>108.633220673</v>
      </c>
    </row>
    <row r="1243" spans="1:16">
      <c r="A1243">
        <f t="shared" si="66"/>
        <v>1811.6876464339389</v>
      </c>
      <c r="B1243">
        <v>1222</v>
      </c>
      <c r="C1243">
        <v>21.527648926000001</v>
      </c>
      <c r="D1243">
        <v>1222</v>
      </c>
      <c r="E1243">
        <v>26.095335006999999</v>
      </c>
      <c r="F1243">
        <v>1222</v>
      </c>
      <c r="G1243">
        <v>19.948472977000002</v>
      </c>
      <c r="H1243">
        <v>1222</v>
      </c>
      <c r="I1243">
        <v>20</v>
      </c>
      <c r="K1243">
        <f t="shared" si="67"/>
        <v>6.0953350069999992</v>
      </c>
      <c r="L1243">
        <v>1222</v>
      </c>
      <c r="M1243">
        <v>131</v>
      </c>
      <c r="N1243">
        <v>1222</v>
      </c>
      <c r="O1243">
        <v>124</v>
      </c>
      <c r="P1243">
        <f t="shared" si="65"/>
        <v>109.472351074</v>
      </c>
    </row>
    <row r="1244" spans="1:16">
      <c r="A1244">
        <f t="shared" si="66"/>
        <v>1812.6137410709553</v>
      </c>
      <c r="B1244">
        <v>1223</v>
      </c>
      <c r="C1244">
        <v>21.987945557</v>
      </c>
      <c r="D1244">
        <v>1223</v>
      </c>
      <c r="E1244">
        <v>24.109708785999999</v>
      </c>
      <c r="F1244">
        <v>1223</v>
      </c>
      <c r="G1244">
        <v>19.895677567</v>
      </c>
      <c r="H1244">
        <v>1223</v>
      </c>
      <c r="I1244">
        <v>20</v>
      </c>
      <c r="K1244">
        <f t="shared" si="67"/>
        <v>4.1097087859999988</v>
      </c>
      <c r="L1244">
        <v>1223</v>
      </c>
      <c r="M1244">
        <v>131</v>
      </c>
      <c r="N1244">
        <v>1223</v>
      </c>
      <c r="O1244">
        <v>124</v>
      </c>
      <c r="P1244">
        <f t="shared" si="65"/>
        <v>109.012054443</v>
      </c>
    </row>
    <row r="1245" spans="1:16">
      <c r="A1245">
        <f t="shared" si="66"/>
        <v>1813.5398357079714</v>
      </c>
      <c r="B1245">
        <v>1224</v>
      </c>
      <c r="C1245">
        <v>23.234598160000001</v>
      </c>
      <c r="D1245">
        <v>1224</v>
      </c>
      <c r="E1245">
        <v>24.784070968999998</v>
      </c>
      <c r="F1245">
        <v>1224</v>
      </c>
      <c r="G1245">
        <v>20.406358719</v>
      </c>
      <c r="H1245">
        <v>1224</v>
      </c>
      <c r="I1245">
        <v>20.200000762999998</v>
      </c>
      <c r="K1245">
        <f t="shared" si="67"/>
        <v>4.5840702059999998</v>
      </c>
      <c r="L1245">
        <v>1224</v>
      </c>
      <c r="M1245">
        <v>131</v>
      </c>
      <c r="N1245">
        <v>1224</v>
      </c>
      <c r="O1245">
        <v>124</v>
      </c>
      <c r="P1245">
        <f t="shared" si="65"/>
        <v>107.76540184</v>
      </c>
    </row>
    <row r="1246" spans="1:16">
      <c r="A1246">
        <f t="shared" si="66"/>
        <v>1814.4659303449878</v>
      </c>
      <c r="B1246">
        <v>1225</v>
      </c>
      <c r="C1246">
        <v>23.053442001000001</v>
      </c>
      <c r="D1246">
        <v>1225</v>
      </c>
      <c r="E1246">
        <v>24.788391112999999</v>
      </c>
      <c r="F1246">
        <v>1225</v>
      </c>
      <c r="G1246">
        <v>19.574724196999998</v>
      </c>
      <c r="H1246">
        <v>1225</v>
      </c>
      <c r="I1246">
        <v>21</v>
      </c>
      <c r="K1246">
        <f t="shared" si="67"/>
        <v>3.7883911129999994</v>
      </c>
      <c r="L1246">
        <v>1225</v>
      </c>
      <c r="M1246">
        <v>131</v>
      </c>
      <c r="N1246">
        <v>1225</v>
      </c>
      <c r="O1246">
        <v>124</v>
      </c>
      <c r="P1246">
        <f t="shared" si="65"/>
        <v>107.94655799899999</v>
      </c>
    </row>
    <row r="1247" spans="1:16">
      <c r="A1247">
        <f t="shared" si="66"/>
        <v>1815.3920249820042</v>
      </c>
      <c r="B1247">
        <v>1226</v>
      </c>
      <c r="C1247">
        <v>22.635837554999998</v>
      </c>
      <c r="D1247">
        <v>1226</v>
      </c>
      <c r="E1247">
        <v>24.574647902999999</v>
      </c>
      <c r="F1247">
        <v>1226</v>
      </c>
      <c r="G1247">
        <v>20.53055191</v>
      </c>
      <c r="H1247">
        <v>1226</v>
      </c>
      <c r="I1247">
        <v>21.011747360000001</v>
      </c>
      <c r="K1247">
        <f t="shared" si="67"/>
        <v>3.5629005429999978</v>
      </c>
      <c r="L1247">
        <v>1226</v>
      </c>
      <c r="M1247">
        <v>131</v>
      </c>
      <c r="N1247">
        <v>1226</v>
      </c>
      <c r="O1247">
        <v>124</v>
      </c>
      <c r="P1247">
        <f t="shared" si="65"/>
        <v>108.36416244500001</v>
      </c>
    </row>
    <row r="1248" spans="1:16">
      <c r="A1248">
        <f t="shared" si="66"/>
        <v>1816.3181196190203</v>
      </c>
      <c r="B1248">
        <v>1227</v>
      </c>
      <c r="C1248">
        <v>22.461790085000001</v>
      </c>
      <c r="D1248">
        <v>1227</v>
      </c>
      <c r="E1248">
        <v>23.584087371999999</v>
      </c>
      <c r="F1248">
        <v>1227</v>
      </c>
      <c r="G1248">
        <v>20.980606079000001</v>
      </c>
      <c r="H1248">
        <v>1227</v>
      </c>
      <c r="I1248">
        <v>21.145107269</v>
      </c>
      <c r="K1248">
        <f t="shared" si="67"/>
        <v>2.4389801029999987</v>
      </c>
      <c r="L1248">
        <v>1227</v>
      </c>
      <c r="M1248">
        <v>131</v>
      </c>
      <c r="N1248">
        <v>1227</v>
      </c>
      <c r="O1248">
        <v>124.706466675</v>
      </c>
      <c r="P1248">
        <f t="shared" si="65"/>
        <v>108.538209915</v>
      </c>
    </row>
    <row r="1249" spans="1:16">
      <c r="A1249">
        <f t="shared" si="66"/>
        <v>1817.2442142560367</v>
      </c>
      <c r="B1249">
        <v>1228</v>
      </c>
      <c r="C1249">
        <v>23.710405349999998</v>
      </c>
      <c r="D1249">
        <v>1228</v>
      </c>
      <c r="E1249">
        <v>22.601659775000002</v>
      </c>
      <c r="F1249">
        <v>1228</v>
      </c>
      <c r="G1249">
        <v>19.669971466</v>
      </c>
      <c r="H1249">
        <v>1228</v>
      </c>
      <c r="I1249">
        <v>19.317647934</v>
      </c>
      <c r="K1249">
        <f t="shared" si="67"/>
        <v>3.2840118410000017</v>
      </c>
      <c r="L1249">
        <v>1228</v>
      </c>
      <c r="M1249">
        <v>130.663208008</v>
      </c>
      <c r="N1249">
        <v>1228</v>
      </c>
      <c r="O1249">
        <v>125</v>
      </c>
      <c r="P1249">
        <f t="shared" si="65"/>
        <v>106.952802658</v>
      </c>
    </row>
    <row r="1250" spans="1:16">
      <c r="A1250">
        <f t="shared" si="66"/>
        <v>1818.1703088930531</v>
      </c>
      <c r="B1250">
        <v>1229</v>
      </c>
      <c r="C1250">
        <v>23.509599686000001</v>
      </c>
      <c r="D1250">
        <v>1229</v>
      </c>
      <c r="E1250">
        <v>22.869823455999999</v>
      </c>
      <c r="F1250">
        <v>1229</v>
      </c>
      <c r="G1250">
        <v>18.400064468</v>
      </c>
      <c r="H1250">
        <v>1229</v>
      </c>
      <c r="I1250">
        <v>19</v>
      </c>
      <c r="K1250">
        <f t="shared" si="67"/>
        <v>3.8698234559999989</v>
      </c>
      <c r="L1250">
        <v>1229</v>
      </c>
      <c r="M1250">
        <v>130.045974731</v>
      </c>
      <c r="N1250">
        <v>1229</v>
      </c>
      <c r="O1250">
        <v>125</v>
      </c>
      <c r="P1250">
        <f t="shared" si="65"/>
        <v>106.536375045</v>
      </c>
    </row>
    <row r="1251" spans="1:16">
      <c r="A1251">
        <f t="shared" si="66"/>
        <v>1819.0964035300694</v>
      </c>
      <c r="B1251">
        <v>1230</v>
      </c>
      <c r="C1251">
        <v>23.410322188999999</v>
      </c>
      <c r="D1251">
        <v>1230</v>
      </c>
      <c r="E1251">
        <v>23.239286422999999</v>
      </c>
      <c r="F1251">
        <v>1230</v>
      </c>
      <c r="G1251">
        <v>18.954175949</v>
      </c>
      <c r="H1251">
        <v>1230</v>
      </c>
      <c r="I1251">
        <v>19.088235855000001</v>
      </c>
      <c r="K1251">
        <f t="shared" si="67"/>
        <v>4.1510505679999987</v>
      </c>
      <c r="L1251">
        <v>1230</v>
      </c>
      <c r="M1251">
        <v>130</v>
      </c>
      <c r="N1251">
        <v>1230</v>
      </c>
      <c r="O1251">
        <v>125</v>
      </c>
      <c r="P1251">
        <f t="shared" si="65"/>
        <v>106.589677811</v>
      </c>
    </row>
    <row r="1252" spans="1:16">
      <c r="A1252">
        <f t="shared" si="66"/>
        <v>1820.0224981670856</v>
      </c>
      <c r="B1252">
        <v>1231</v>
      </c>
      <c r="C1252">
        <v>22.782728195000001</v>
      </c>
      <c r="D1252">
        <v>1231</v>
      </c>
      <c r="E1252">
        <v>23.451889038000001</v>
      </c>
      <c r="F1252">
        <v>1231</v>
      </c>
      <c r="G1252">
        <v>19.107183456000001</v>
      </c>
      <c r="H1252">
        <v>1231</v>
      </c>
      <c r="I1252">
        <v>19.502941132</v>
      </c>
      <c r="K1252">
        <f t="shared" si="67"/>
        <v>3.9489479060000008</v>
      </c>
      <c r="L1252">
        <v>1231</v>
      </c>
      <c r="M1252">
        <v>130</v>
      </c>
      <c r="N1252">
        <v>1231</v>
      </c>
      <c r="O1252">
        <v>125</v>
      </c>
      <c r="P1252">
        <f t="shared" si="65"/>
        <v>107.217271805</v>
      </c>
    </row>
    <row r="1253" spans="1:16">
      <c r="A1253">
        <f t="shared" si="66"/>
        <v>1820.948592804102</v>
      </c>
      <c r="B1253">
        <v>1232</v>
      </c>
      <c r="C1253">
        <v>22.128944397000001</v>
      </c>
      <c r="D1253">
        <v>1232</v>
      </c>
      <c r="E1253">
        <v>24.289983749000001</v>
      </c>
      <c r="F1253">
        <v>1232</v>
      </c>
      <c r="G1253">
        <v>19.047298431000002</v>
      </c>
      <c r="H1253">
        <v>1232</v>
      </c>
      <c r="I1253">
        <v>20.439723968999999</v>
      </c>
      <c r="K1253">
        <f t="shared" si="67"/>
        <v>3.8502597800000018</v>
      </c>
      <c r="L1253">
        <v>1232</v>
      </c>
      <c r="M1253">
        <v>130</v>
      </c>
      <c r="N1253">
        <v>1232</v>
      </c>
      <c r="O1253">
        <v>125</v>
      </c>
      <c r="P1253">
        <f t="shared" si="65"/>
        <v>107.871055603</v>
      </c>
    </row>
    <row r="1254" spans="1:16">
      <c r="A1254">
        <f t="shared" si="66"/>
        <v>1821.8746874411183</v>
      </c>
      <c r="B1254">
        <v>1233</v>
      </c>
      <c r="C1254">
        <v>22.979820251</v>
      </c>
      <c r="D1254">
        <v>1233</v>
      </c>
      <c r="E1254">
        <v>25.000204086</v>
      </c>
      <c r="F1254">
        <v>1233</v>
      </c>
      <c r="G1254">
        <v>19.094175339</v>
      </c>
      <c r="H1254">
        <v>1233</v>
      </c>
      <c r="I1254">
        <v>21</v>
      </c>
      <c r="K1254">
        <f t="shared" si="67"/>
        <v>4.0002040860000001</v>
      </c>
      <c r="L1254">
        <v>1233</v>
      </c>
      <c r="M1254">
        <v>130</v>
      </c>
      <c r="N1254">
        <v>1233</v>
      </c>
      <c r="O1254">
        <v>125</v>
      </c>
      <c r="P1254">
        <f t="shared" si="65"/>
        <v>107.02017974899999</v>
      </c>
    </row>
    <row r="1255" spans="1:16">
      <c r="A1255">
        <f t="shared" si="66"/>
        <v>1822.8007820781347</v>
      </c>
      <c r="B1255">
        <v>1234</v>
      </c>
      <c r="C1255">
        <v>22.663337708</v>
      </c>
      <c r="D1255">
        <v>1234</v>
      </c>
      <c r="E1255">
        <v>24.961547851999999</v>
      </c>
      <c r="F1255">
        <v>1234</v>
      </c>
      <c r="G1255">
        <v>18.743988037000001</v>
      </c>
      <c r="H1255">
        <v>1234</v>
      </c>
      <c r="I1255">
        <v>21</v>
      </c>
      <c r="K1255">
        <f t="shared" si="67"/>
        <v>3.9615478519999989</v>
      </c>
      <c r="L1255">
        <v>1234</v>
      </c>
      <c r="M1255">
        <v>130</v>
      </c>
      <c r="N1255">
        <v>1234</v>
      </c>
      <c r="O1255">
        <v>125</v>
      </c>
      <c r="P1255">
        <f t="shared" si="65"/>
        <v>107.336662292</v>
      </c>
    </row>
    <row r="1256" spans="1:16">
      <c r="A1256">
        <f t="shared" si="66"/>
        <v>1823.7268767151509</v>
      </c>
      <c r="B1256">
        <v>1235</v>
      </c>
      <c r="C1256">
        <v>22.168357849</v>
      </c>
      <c r="D1256">
        <v>1235</v>
      </c>
      <c r="E1256">
        <v>24.882377625</v>
      </c>
      <c r="F1256">
        <v>1235</v>
      </c>
      <c r="G1256">
        <v>18.333333969000002</v>
      </c>
      <c r="H1256">
        <v>1235</v>
      </c>
      <c r="I1256">
        <v>21.107843399</v>
      </c>
      <c r="K1256">
        <f t="shared" si="67"/>
        <v>3.7745342260000001</v>
      </c>
      <c r="L1256">
        <v>1235</v>
      </c>
      <c r="M1256">
        <v>130</v>
      </c>
      <c r="N1256">
        <v>1235</v>
      </c>
      <c r="O1256">
        <v>125</v>
      </c>
      <c r="P1256">
        <f t="shared" si="65"/>
        <v>107.831642151</v>
      </c>
    </row>
    <row r="1257" spans="1:16">
      <c r="A1257">
        <f t="shared" si="66"/>
        <v>1824.6529713521672</v>
      </c>
      <c r="B1257">
        <v>1236</v>
      </c>
      <c r="C1257">
        <v>21.99105072</v>
      </c>
      <c r="D1257">
        <v>1236</v>
      </c>
      <c r="E1257">
        <v>25.565174103</v>
      </c>
      <c r="F1257">
        <v>1236</v>
      </c>
      <c r="G1257">
        <v>18.356037140000002</v>
      </c>
      <c r="H1257">
        <v>1236</v>
      </c>
      <c r="I1257">
        <v>21.112064362000002</v>
      </c>
      <c r="K1257">
        <f t="shared" si="67"/>
        <v>4.4531097409999987</v>
      </c>
      <c r="L1257">
        <v>1236</v>
      </c>
      <c r="M1257">
        <v>130</v>
      </c>
      <c r="N1257">
        <v>1236</v>
      </c>
      <c r="O1257">
        <v>125</v>
      </c>
      <c r="P1257">
        <f t="shared" si="65"/>
        <v>108.00894928</v>
      </c>
    </row>
    <row r="1258" spans="1:16">
      <c r="A1258">
        <f t="shared" si="66"/>
        <v>1825.5790659891836</v>
      </c>
      <c r="B1258">
        <v>1237</v>
      </c>
      <c r="C1258">
        <v>22.511854172</v>
      </c>
      <c r="D1258">
        <v>1237</v>
      </c>
      <c r="E1258">
        <v>24.800004958999999</v>
      </c>
      <c r="F1258">
        <v>1237</v>
      </c>
      <c r="G1258">
        <v>19.102050780999999</v>
      </c>
      <c r="H1258">
        <v>1237</v>
      </c>
      <c r="I1258">
        <v>18.350980758999999</v>
      </c>
      <c r="K1258">
        <f t="shared" si="67"/>
        <v>6.4490242000000002</v>
      </c>
      <c r="L1258">
        <v>1237</v>
      </c>
      <c r="M1258">
        <v>130</v>
      </c>
      <c r="N1258">
        <v>1237</v>
      </c>
      <c r="O1258">
        <v>125</v>
      </c>
      <c r="P1258">
        <f t="shared" si="65"/>
        <v>107.488145828</v>
      </c>
    </row>
    <row r="1259" spans="1:16">
      <c r="A1259">
        <f t="shared" si="66"/>
        <v>1826.5051606262</v>
      </c>
      <c r="B1259">
        <v>1238</v>
      </c>
      <c r="C1259">
        <v>22.289081573000001</v>
      </c>
      <c r="D1259">
        <v>1238</v>
      </c>
      <c r="E1259">
        <v>24.28609848</v>
      </c>
      <c r="F1259">
        <v>1238</v>
      </c>
      <c r="G1259">
        <v>19.031793594</v>
      </c>
      <c r="H1259">
        <v>1238</v>
      </c>
      <c r="I1259">
        <v>18.739215851000001</v>
      </c>
      <c r="K1259">
        <f t="shared" si="67"/>
        <v>5.5468826289999988</v>
      </c>
      <c r="L1259">
        <v>1238</v>
      </c>
      <c r="M1259">
        <v>130</v>
      </c>
      <c r="N1259">
        <v>1238</v>
      </c>
      <c r="O1259">
        <v>125</v>
      </c>
      <c r="P1259">
        <f t="shared" si="65"/>
        <v>107.710918427</v>
      </c>
    </row>
    <row r="1260" spans="1:16">
      <c r="A1260">
        <f t="shared" si="66"/>
        <v>1827.4312552632161</v>
      </c>
      <c r="B1260">
        <v>1239</v>
      </c>
      <c r="C1260">
        <v>22.797475814999999</v>
      </c>
      <c r="D1260">
        <v>1239</v>
      </c>
      <c r="E1260">
        <v>24.125888824</v>
      </c>
      <c r="F1260">
        <v>1239</v>
      </c>
      <c r="G1260">
        <v>19</v>
      </c>
      <c r="H1260">
        <v>1239</v>
      </c>
      <c r="I1260">
        <v>19.153923034999998</v>
      </c>
      <c r="K1260">
        <f t="shared" si="67"/>
        <v>4.9719657890000022</v>
      </c>
      <c r="L1260">
        <v>1239</v>
      </c>
      <c r="M1260">
        <v>130</v>
      </c>
      <c r="N1260">
        <v>1239</v>
      </c>
      <c r="O1260">
        <v>125</v>
      </c>
      <c r="P1260">
        <f t="shared" si="65"/>
        <v>107.202524185</v>
      </c>
    </row>
    <row r="1261" spans="1:16">
      <c r="A1261">
        <f t="shared" si="66"/>
        <v>1828.3573499002325</v>
      </c>
      <c r="B1261">
        <v>1240</v>
      </c>
      <c r="C1261">
        <v>23.629877090000001</v>
      </c>
      <c r="D1261">
        <v>1240</v>
      </c>
      <c r="E1261">
        <v>23.556610107000001</v>
      </c>
      <c r="F1261">
        <v>1240</v>
      </c>
      <c r="G1261">
        <v>18.782779693999998</v>
      </c>
      <c r="H1261">
        <v>1240</v>
      </c>
      <c r="I1261">
        <v>19.333333969000002</v>
      </c>
      <c r="K1261">
        <f t="shared" si="67"/>
        <v>4.2232761379999992</v>
      </c>
      <c r="L1261">
        <v>1240</v>
      </c>
      <c r="M1261">
        <v>130</v>
      </c>
      <c r="N1261">
        <v>1240</v>
      </c>
      <c r="O1261">
        <v>125</v>
      </c>
      <c r="P1261">
        <f t="shared" si="65"/>
        <v>106.37012290999999</v>
      </c>
    </row>
    <row r="1262" spans="1:16">
      <c r="A1262">
        <f t="shared" si="66"/>
        <v>1829.2834445372489</v>
      </c>
      <c r="B1262">
        <v>1241</v>
      </c>
      <c r="C1262">
        <v>23.229169846000001</v>
      </c>
      <c r="D1262">
        <v>1241</v>
      </c>
      <c r="E1262">
        <v>23.780654906999999</v>
      </c>
      <c r="F1262">
        <v>1241</v>
      </c>
      <c r="G1262">
        <v>19.553899765000001</v>
      </c>
      <c r="H1262">
        <v>1241</v>
      </c>
      <c r="I1262">
        <v>19.772083282000001</v>
      </c>
      <c r="K1262">
        <f t="shared" si="67"/>
        <v>4.0085716249999983</v>
      </c>
      <c r="L1262">
        <v>1241</v>
      </c>
      <c r="M1262">
        <v>130</v>
      </c>
      <c r="N1262">
        <v>1241</v>
      </c>
      <c r="O1262">
        <v>125</v>
      </c>
      <c r="P1262">
        <f t="shared" si="65"/>
        <v>106.770830154</v>
      </c>
    </row>
    <row r="1263" spans="1:16">
      <c r="A1263">
        <f t="shared" si="66"/>
        <v>1830.2095391742653</v>
      </c>
      <c r="B1263">
        <v>1242</v>
      </c>
      <c r="C1263">
        <v>22.975391387999998</v>
      </c>
      <c r="D1263">
        <v>1242</v>
      </c>
      <c r="E1263">
        <v>24.320735931000002</v>
      </c>
      <c r="F1263">
        <v>1242</v>
      </c>
      <c r="G1263">
        <v>20.812894821</v>
      </c>
      <c r="H1263">
        <v>1242</v>
      </c>
      <c r="I1263">
        <v>20.333333969000002</v>
      </c>
      <c r="K1263">
        <f t="shared" si="67"/>
        <v>3.9874019619999999</v>
      </c>
      <c r="L1263">
        <v>1242</v>
      </c>
      <c r="M1263">
        <v>130</v>
      </c>
      <c r="N1263">
        <v>1242</v>
      </c>
      <c r="O1263">
        <v>125</v>
      </c>
      <c r="P1263">
        <f t="shared" si="65"/>
        <v>107.02460861200001</v>
      </c>
    </row>
    <row r="1264" spans="1:16">
      <c r="A1264">
        <f t="shared" si="66"/>
        <v>1831.1356338112814</v>
      </c>
      <c r="B1264">
        <v>1243</v>
      </c>
      <c r="C1264">
        <v>23.195001602000001</v>
      </c>
      <c r="D1264">
        <v>1243</v>
      </c>
      <c r="E1264">
        <v>24.748903275</v>
      </c>
      <c r="F1264">
        <v>1243</v>
      </c>
      <c r="G1264">
        <v>21.032785415999999</v>
      </c>
      <c r="H1264">
        <v>1243</v>
      </c>
      <c r="I1264">
        <v>19.837745667</v>
      </c>
      <c r="K1264">
        <f t="shared" si="67"/>
        <v>4.9111576079999999</v>
      </c>
      <c r="L1264">
        <v>1243</v>
      </c>
      <c r="M1264">
        <v>130</v>
      </c>
      <c r="N1264">
        <v>1243</v>
      </c>
      <c r="O1264">
        <v>125</v>
      </c>
      <c r="P1264">
        <f t="shared" si="65"/>
        <v>106.804998398</v>
      </c>
    </row>
    <row r="1265" spans="1:16">
      <c r="A1265">
        <f t="shared" si="66"/>
        <v>1832.0617284482978</v>
      </c>
      <c r="B1265">
        <v>1244</v>
      </c>
      <c r="C1265">
        <v>21.302522659000001</v>
      </c>
      <c r="D1265">
        <v>1244</v>
      </c>
      <c r="E1265">
        <v>24.409223557000001</v>
      </c>
      <c r="F1265">
        <v>1244</v>
      </c>
      <c r="G1265">
        <v>19.886693953999998</v>
      </c>
      <c r="H1265">
        <v>1244</v>
      </c>
      <c r="I1265">
        <v>19.333333969000002</v>
      </c>
      <c r="K1265">
        <f t="shared" si="67"/>
        <v>5.075889587999999</v>
      </c>
      <c r="L1265">
        <v>1244</v>
      </c>
      <c r="M1265">
        <v>130</v>
      </c>
      <c r="N1265">
        <v>1244</v>
      </c>
      <c r="O1265">
        <v>125</v>
      </c>
      <c r="P1265">
        <f t="shared" si="65"/>
        <v>108.697477341</v>
      </c>
    </row>
    <row r="1266" spans="1:16">
      <c r="A1266">
        <f t="shared" si="66"/>
        <v>1832.9878230853142</v>
      </c>
      <c r="B1266">
        <v>1245</v>
      </c>
      <c r="C1266">
        <v>21.316928864000001</v>
      </c>
      <c r="D1266">
        <v>1245</v>
      </c>
      <c r="E1266">
        <v>24.833456039000001</v>
      </c>
      <c r="F1266">
        <v>1245</v>
      </c>
      <c r="G1266">
        <v>19.434675216999999</v>
      </c>
      <c r="H1266">
        <v>1245</v>
      </c>
      <c r="I1266">
        <v>19.205089568999998</v>
      </c>
      <c r="K1266">
        <f t="shared" si="67"/>
        <v>5.6283664700000031</v>
      </c>
      <c r="L1266">
        <v>1245</v>
      </c>
      <c r="M1266">
        <v>130</v>
      </c>
      <c r="N1266">
        <v>1245</v>
      </c>
      <c r="O1266">
        <v>125</v>
      </c>
      <c r="P1266">
        <f t="shared" si="65"/>
        <v>108.683071136</v>
      </c>
    </row>
    <row r="1267" spans="1:16">
      <c r="A1267">
        <f t="shared" si="66"/>
        <v>1833.9139177223303</v>
      </c>
      <c r="B1267">
        <v>1246</v>
      </c>
      <c r="C1267">
        <v>21.973154067999999</v>
      </c>
      <c r="D1267">
        <v>1246</v>
      </c>
      <c r="E1267">
        <v>23.764053345000001</v>
      </c>
      <c r="F1267">
        <v>1246</v>
      </c>
      <c r="G1267">
        <v>19.595659256000001</v>
      </c>
      <c r="H1267">
        <v>1246</v>
      </c>
      <c r="I1267">
        <v>19.340065001999999</v>
      </c>
      <c r="K1267">
        <f t="shared" si="67"/>
        <v>4.4239883430000013</v>
      </c>
      <c r="L1267">
        <v>1246</v>
      </c>
      <c r="M1267">
        <v>130</v>
      </c>
      <c r="N1267">
        <v>1246</v>
      </c>
      <c r="O1267">
        <v>125</v>
      </c>
      <c r="P1267">
        <f t="shared" si="65"/>
        <v>108.026845932</v>
      </c>
    </row>
    <row r="1268" spans="1:16">
      <c r="A1268">
        <f t="shared" si="66"/>
        <v>1834.8400123593467</v>
      </c>
      <c r="B1268">
        <v>1247</v>
      </c>
      <c r="C1268">
        <v>20.120805740000002</v>
      </c>
      <c r="D1268">
        <v>1247</v>
      </c>
      <c r="E1268">
        <v>20.780073166000001</v>
      </c>
      <c r="F1268">
        <v>1247</v>
      </c>
      <c r="G1268">
        <v>19.742671967</v>
      </c>
      <c r="H1268">
        <v>1247</v>
      </c>
      <c r="I1268">
        <v>19.491945266999998</v>
      </c>
      <c r="K1268">
        <f t="shared" si="67"/>
        <v>1.2881278990000027</v>
      </c>
      <c r="L1268">
        <v>1247</v>
      </c>
      <c r="M1268">
        <v>130</v>
      </c>
      <c r="N1268">
        <v>1247</v>
      </c>
      <c r="O1268">
        <v>125</v>
      </c>
      <c r="P1268">
        <f t="shared" si="65"/>
        <v>109.87919425999999</v>
      </c>
    </row>
    <row r="1269" spans="1:16">
      <c r="A1269">
        <f t="shared" si="66"/>
        <v>1835.7661069963631</v>
      </c>
      <c r="B1269">
        <v>1248</v>
      </c>
      <c r="C1269">
        <v>20</v>
      </c>
      <c r="D1269">
        <v>1248</v>
      </c>
      <c r="E1269">
        <v>22.472110747999999</v>
      </c>
      <c r="F1269">
        <v>1248</v>
      </c>
      <c r="G1269">
        <v>19.998012543000002</v>
      </c>
      <c r="H1269">
        <v>1248</v>
      </c>
      <c r="I1269">
        <v>19.919078827</v>
      </c>
      <c r="K1269">
        <f t="shared" si="67"/>
        <v>2.5530319209999988</v>
      </c>
      <c r="L1269">
        <v>1248</v>
      </c>
      <c r="M1269">
        <v>130</v>
      </c>
      <c r="N1269">
        <v>1248</v>
      </c>
      <c r="O1269">
        <v>125</v>
      </c>
      <c r="P1269">
        <f t="shared" si="65"/>
        <v>110</v>
      </c>
    </row>
    <row r="1270" spans="1:16">
      <c r="A1270">
        <f t="shared" si="66"/>
        <v>1836.6922016333795</v>
      </c>
      <c r="B1270">
        <v>1249</v>
      </c>
      <c r="C1270">
        <v>20.85136795</v>
      </c>
      <c r="D1270">
        <v>1249</v>
      </c>
      <c r="E1270">
        <v>23.117113112999998</v>
      </c>
      <c r="F1270">
        <v>1249</v>
      </c>
      <c r="G1270">
        <v>19.746646881</v>
      </c>
      <c r="H1270">
        <v>1249</v>
      </c>
      <c r="I1270">
        <v>19.352542877000001</v>
      </c>
      <c r="K1270">
        <f t="shared" si="67"/>
        <v>3.7645702359999973</v>
      </c>
      <c r="L1270">
        <v>1249</v>
      </c>
      <c r="M1270">
        <v>130</v>
      </c>
      <c r="N1270">
        <v>1249</v>
      </c>
      <c r="O1270">
        <v>125</v>
      </c>
      <c r="P1270">
        <f t="shared" si="65"/>
        <v>109.14863205</v>
      </c>
    </row>
    <row r="1271" spans="1:16">
      <c r="A1271">
        <f t="shared" si="66"/>
        <v>1837.6182962703956</v>
      </c>
      <c r="B1271">
        <v>1250</v>
      </c>
      <c r="C1271">
        <v>20.765981673999999</v>
      </c>
      <c r="D1271">
        <v>1250</v>
      </c>
      <c r="E1271">
        <v>22.992595673</v>
      </c>
      <c r="F1271">
        <v>1250</v>
      </c>
      <c r="G1271">
        <v>19.491306304999998</v>
      </c>
      <c r="H1271">
        <v>1250</v>
      </c>
      <c r="I1271">
        <v>19.521337508999999</v>
      </c>
      <c r="K1271">
        <f t="shared" si="67"/>
        <v>3.4712581640000018</v>
      </c>
      <c r="L1271">
        <v>1250</v>
      </c>
      <c r="M1271">
        <v>130</v>
      </c>
      <c r="N1271">
        <v>1250</v>
      </c>
      <c r="O1271">
        <v>125</v>
      </c>
      <c r="P1271">
        <f t="shared" si="65"/>
        <v>109.234018326</v>
      </c>
    </row>
    <row r="1272" spans="1:16">
      <c r="A1272">
        <f t="shared" si="66"/>
        <v>1838.544390907412</v>
      </c>
      <c r="B1272">
        <v>1251</v>
      </c>
      <c r="C1272">
        <v>19.407594680999999</v>
      </c>
      <c r="D1272">
        <v>1251</v>
      </c>
      <c r="E1272">
        <v>22.666656494000001</v>
      </c>
      <c r="F1272">
        <v>1251</v>
      </c>
      <c r="G1272">
        <v>18.514158249000001</v>
      </c>
      <c r="H1272">
        <v>1251</v>
      </c>
      <c r="I1272">
        <v>19.666666030999998</v>
      </c>
      <c r="K1272">
        <f t="shared" si="67"/>
        <v>2.9999904630000032</v>
      </c>
      <c r="L1272">
        <v>1251</v>
      </c>
      <c r="M1272">
        <v>130</v>
      </c>
      <c r="N1272">
        <v>1251</v>
      </c>
      <c r="O1272">
        <v>125</v>
      </c>
      <c r="P1272">
        <f t="shared" si="65"/>
        <v>110.59240531899999</v>
      </c>
    </row>
    <row r="1273" spans="1:16">
      <c r="A1273">
        <f t="shared" si="66"/>
        <v>1839.4704855444284</v>
      </c>
      <c r="B1273">
        <v>1252</v>
      </c>
      <c r="C1273">
        <v>20.215511322000001</v>
      </c>
      <c r="D1273">
        <v>1252</v>
      </c>
      <c r="E1273">
        <v>25.733102798000001</v>
      </c>
      <c r="F1273">
        <v>1252</v>
      </c>
      <c r="G1273">
        <v>19.081882477000001</v>
      </c>
      <c r="H1273">
        <v>1252</v>
      </c>
      <c r="I1273">
        <v>19.666666030999998</v>
      </c>
      <c r="K1273">
        <f t="shared" si="67"/>
        <v>6.0664367670000026</v>
      </c>
      <c r="L1273">
        <v>1252</v>
      </c>
      <c r="M1273">
        <v>130</v>
      </c>
      <c r="N1273">
        <v>1252</v>
      </c>
      <c r="O1273">
        <v>125</v>
      </c>
      <c r="P1273">
        <f t="shared" si="65"/>
        <v>109.784488678</v>
      </c>
    </row>
    <row r="1274" spans="1:16">
      <c r="A1274">
        <f t="shared" si="66"/>
        <v>1840.3965801814447</v>
      </c>
      <c r="B1274">
        <v>1253</v>
      </c>
      <c r="C1274">
        <v>21.460218430000001</v>
      </c>
      <c r="D1274">
        <v>1253</v>
      </c>
      <c r="E1274">
        <v>25.697551727</v>
      </c>
      <c r="F1274">
        <v>1253</v>
      </c>
      <c r="G1274">
        <v>19.029310226</v>
      </c>
      <c r="H1274">
        <v>1253</v>
      </c>
      <c r="I1274">
        <v>19.666666030999998</v>
      </c>
      <c r="K1274">
        <f t="shared" si="67"/>
        <v>6.0308856960000021</v>
      </c>
      <c r="L1274">
        <v>1253</v>
      </c>
      <c r="M1274">
        <v>130</v>
      </c>
      <c r="N1274">
        <v>1253</v>
      </c>
      <c r="O1274">
        <v>125</v>
      </c>
      <c r="P1274">
        <f t="shared" si="65"/>
        <v>108.53978157</v>
      </c>
    </row>
    <row r="1275" spans="1:16">
      <c r="A1275">
        <f t="shared" si="66"/>
        <v>1841.3226748184609</v>
      </c>
      <c r="B1275">
        <v>1254</v>
      </c>
      <c r="C1275">
        <v>21.1608181</v>
      </c>
      <c r="D1275">
        <v>1254</v>
      </c>
      <c r="E1275">
        <v>23.966463089000001</v>
      </c>
      <c r="F1275">
        <v>1254</v>
      </c>
      <c r="G1275">
        <v>19.196722031</v>
      </c>
      <c r="H1275">
        <v>1254</v>
      </c>
      <c r="I1275">
        <v>19.863967895999998</v>
      </c>
      <c r="K1275">
        <f t="shared" si="67"/>
        <v>4.1024951930000029</v>
      </c>
      <c r="L1275">
        <v>1254</v>
      </c>
      <c r="M1275">
        <v>130</v>
      </c>
      <c r="N1275">
        <v>1254</v>
      </c>
      <c r="O1275">
        <v>125</v>
      </c>
      <c r="P1275">
        <f t="shared" si="65"/>
        <v>108.8391819</v>
      </c>
    </row>
    <row r="1276" spans="1:16">
      <c r="A1276">
        <f t="shared" si="66"/>
        <v>1842.2487694554773</v>
      </c>
      <c r="B1276">
        <v>1255</v>
      </c>
      <c r="C1276">
        <v>19.842809677000002</v>
      </c>
      <c r="D1276">
        <v>1255</v>
      </c>
      <c r="E1276">
        <v>23.115379333</v>
      </c>
      <c r="F1276">
        <v>1255</v>
      </c>
      <c r="G1276">
        <v>19.306613922</v>
      </c>
      <c r="H1276">
        <v>1255</v>
      </c>
      <c r="I1276">
        <v>20.227832794000001</v>
      </c>
      <c r="K1276">
        <f t="shared" si="67"/>
        <v>2.8875465389999988</v>
      </c>
      <c r="L1276">
        <v>1255</v>
      </c>
      <c r="M1276">
        <v>130</v>
      </c>
      <c r="N1276">
        <v>1255</v>
      </c>
      <c r="O1276">
        <v>125</v>
      </c>
      <c r="P1276">
        <f t="shared" si="65"/>
        <v>110.15719032299999</v>
      </c>
    </row>
    <row r="1277" spans="1:16">
      <c r="A1277">
        <f t="shared" si="66"/>
        <v>1843.1748640924936</v>
      </c>
      <c r="B1277">
        <v>1256</v>
      </c>
      <c r="C1277">
        <v>19.947029113999999</v>
      </c>
      <c r="D1277">
        <v>1256</v>
      </c>
      <c r="E1277">
        <v>23.188465118</v>
      </c>
      <c r="F1277">
        <v>1256</v>
      </c>
      <c r="G1277">
        <v>19.503730774000001</v>
      </c>
      <c r="H1277">
        <v>1256</v>
      </c>
      <c r="I1277">
        <v>20.454395294000001</v>
      </c>
      <c r="K1277">
        <f t="shared" si="67"/>
        <v>2.7340698239999988</v>
      </c>
      <c r="L1277">
        <v>1256</v>
      </c>
      <c r="M1277">
        <v>130</v>
      </c>
      <c r="N1277">
        <v>1256</v>
      </c>
      <c r="O1277">
        <v>125</v>
      </c>
      <c r="P1277">
        <f t="shared" si="65"/>
        <v>110.052970886</v>
      </c>
    </row>
    <row r="1278" spans="1:16">
      <c r="A1278">
        <f t="shared" si="66"/>
        <v>1844.10095872951</v>
      </c>
      <c r="B1278">
        <v>1257</v>
      </c>
      <c r="C1278">
        <v>19.959840775</v>
      </c>
      <c r="D1278">
        <v>1257</v>
      </c>
      <c r="E1278">
        <v>23.122835159000001</v>
      </c>
      <c r="F1278">
        <v>1257</v>
      </c>
      <c r="G1278">
        <v>19.299896239999999</v>
      </c>
      <c r="H1278">
        <v>1257</v>
      </c>
      <c r="I1278">
        <v>20</v>
      </c>
      <c r="K1278">
        <f t="shared" si="67"/>
        <v>3.122835159000001</v>
      </c>
      <c r="L1278">
        <v>1257</v>
      </c>
      <c r="M1278">
        <v>130</v>
      </c>
      <c r="N1278">
        <v>1257</v>
      </c>
      <c r="O1278">
        <v>125</v>
      </c>
      <c r="P1278">
        <f t="shared" si="65"/>
        <v>110.040159225</v>
      </c>
    </row>
    <row r="1279" spans="1:16">
      <c r="A1279">
        <f t="shared" si="66"/>
        <v>1845.0270533665262</v>
      </c>
      <c r="B1279">
        <v>1258</v>
      </c>
      <c r="C1279">
        <v>20.498794556</v>
      </c>
      <c r="D1279">
        <v>1258</v>
      </c>
      <c r="E1279">
        <v>23.198627471999998</v>
      </c>
      <c r="F1279">
        <v>1258</v>
      </c>
      <c r="G1279">
        <v>19.066471100000001</v>
      </c>
      <c r="H1279">
        <v>1258</v>
      </c>
      <c r="I1279">
        <v>20</v>
      </c>
      <c r="K1279">
        <f t="shared" si="67"/>
        <v>3.1986274719999983</v>
      </c>
      <c r="L1279">
        <v>1258</v>
      </c>
      <c r="M1279">
        <v>129.61549377399999</v>
      </c>
      <c r="N1279">
        <v>1258</v>
      </c>
      <c r="O1279">
        <v>125.384498596</v>
      </c>
      <c r="P1279">
        <f t="shared" si="65"/>
        <v>109.11669921799998</v>
      </c>
    </row>
    <row r="1280" spans="1:16">
      <c r="A1280">
        <f t="shared" si="66"/>
        <v>1845.9531480035425</v>
      </c>
      <c r="B1280">
        <v>1259</v>
      </c>
      <c r="C1280">
        <v>21.254785538</v>
      </c>
      <c r="D1280">
        <v>1259</v>
      </c>
      <c r="E1280">
        <v>22.725498199</v>
      </c>
      <c r="F1280">
        <v>1259</v>
      </c>
      <c r="G1280">
        <v>19.291357040000001</v>
      </c>
      <c r="H1280">
        <v>1259</v>
      </c>
      <c r="I1280">
        <v>20.114706039000001</v>
      </c>
      <c r="K1280">
        <f t="shared" si="67"/>
        <v>2.610792159999999</v>
      </c>
      <c r="L1280">
        <v>1259</v>
      </c>
      <c r="M1280">
        <v>129</v>
      </c>
      <c r="N1280">
        <v>1259</v>
      </c>
      <c r="O1280">
        <v>126</v>
      </c>
      <c r="P1280">
        <f t="shared" si="65"/>
        <v>107.74521446200001</v>
      </c>
    </row>
    <row r="1281" spans="1:16">
      <c r="A1281">
        <f t="shared" si="66"/>
        <v>1846.8792426405589</v>
      </c>
      <c r="B1281">
        <v>1260</v>
      </c>
      <c r="C1281">
        <v>20.751678467000001</v>
      </c>
      <c r="D1281">
        <v>1260</v>
      </c>
      <c r="E1281">
        <v>22.271011352999999</v>
      </c>
      <c r="F1281">
        <v>1260</v>
      </c>
      <c r="G1281">
        <v>19.728763579999999</v>
      </c>
      <c r="H1281">
        <v>1260</v>
      </c>
      <c r="I1281">
        <v>20.529411316000001</v>
      </c>
      <c r="K1281">
        <f t="shared" si="67"/>
        <v>1.7416000369999978</v>
      </c>
      <c r="L1281">
        <v>1260</v>
      </c>
      <c r="M1281">
        <v>129</v>
      </c>
      <c r="N1281">
        <v>1260</v>
      </c>
      <c r="O1281">
        <v>126</v>
      </c>
      <c r="P1281">
        <f t="shared" si="65"/>
        <v>108.248321533</v>
      </c>
    </row>
    <row r="1282" spans="1:16">
      <c r="A1282">
        <f t="shared" si="66"/>
        <v>1847.8053372775753</v>
      </c>
      <c r="B1282">
        <v>1261</v>
      </c>
      <c r="C1282">
        <v>20.437976837000001</v>
      </c>
      <c r="D1282">
        <v>1261</v>
      </c>
      <c r="E1282">
        <v>22.450881958</v>
      </c>
      <c r="F1282">
        <v>1261</v>
      </c>
      <c r="G1282">
        <v>19.984104156000001</v>
      </c>
      <c r="H1282">
        <v>1261</v>
      </c>
      <c r="I1282">
        <v>20.944118499999998</v>
      </c>
      <c r="K1282">
        <f t="shared" si="67"/>
        <v>1.5067634580000018</v>
      </c>
      <c r="L1282">
        <v>1261</v>
      </c>
      <c r="M1282">
        <v>129</v>
      </c>
      <c r="N1282">
        <v>1261</v>
      </c>
      <c r="O1282">
        <v>126</v>
      </c>
      <c r="P1282">
        <f t="shared" si="65"/>
        <v>108.56202316299999</v>
      </c>
    </row>
    <row r="1283" spans="1:16">
      <c r="A1283">
        <f t="shared" si="66"/>
        <v>1848.7314319145914</v>
      </c>
      <c r="B1283">
        <v>1262</v>
      </c>
      <c r="C1283">
        <v>20.842407226999999</v>
      </c>
      <c r="D1283">
        <v>1262</v>
      </c>
      <c r="E1283">
        <v>22.706586838</v>
      </c>
      <c r="F1283">
        <v>1262</v>
      </c>
      <c r="G1283">
        <v>19.760557174999999</v>
      </c>
      <c r="H1283">
        <v>1262</v>
      </c>
      <c r="I1283">
        <v>21</v>
      </c>
      <c r="K1283">
        <f t="shared" si="67"/>
        <v>1.7065868379999998</v>
      </c>
      <c r="L1283">
        <v>1262</v>
      </c>
      <c r="M1283">
        <v>129</v>
      </c>
      <c r="N1283">
        <v>1262</v>
      </c>
      <c r="O1283">
        <v>126</v>
      </c>
      <c r="P1283">
        <f t="shared" si="65"/>
        <v>108.157592773</v>
      </c>
    </row>
    <row r="1284" spans="1:16">
      <c r="A1284">
        <f t="shared" si="66"/>
        <v>1849.6575265516078</v>
      </c>
      <c r="B1284">
        <v>1263</v>
      </c>
      <c r="C1284">
        <v>21.205036162999999</v>
      </c>
      <c r="D1284">
        <v>1263</v>
      </c>
      <c r="E1284">
        <v>22.844232559000002</v>
      </c>
      <c r="F1284">
        <v>1263</v>
      </c>
      <c r="G1284">
        <v>19.510408400999999</v>
      </c>
      <c r="H1284">
        <v>1263</v>
      </c>
      <c r="I1284">
        <v>20.766176223999999</v>
      </c>
      <c r="K1284">
        <f t="shared" si="67"/>
        <v>2.078056335000003</v>
      </c>
      <c r="L1284">
        <v>1263</v>
      </c>
      <c r="M1284">
        <v>129</v>
      </c>
      <c r="N1284">
        <v>1263</v>
      </c>
      <c r="O1284">
        <v>126</v>
      </c>
      <c r="P1284">
        <f t="shared" si="65"/>
        <v>107.794963837</v>
      </c>
    </row>
    <row r="1285" spans="1:16">
      <c r="A1285">
        <f t="shared" si="66"/>
        <v>1850.5836211886242</v>
      </c>
      <c r="B1285">
        <v>1264</v>
      </c>
      <c r="C1285">
        <v>21</v>
      </c>
      <c r="D1285">
        <v>1264</v>
      </c>
      <c r="E1285">
        <v>22.85308075</v>
      </c>
      <c r="F1285">
        <v>1264</v>
      </c>
      <c r="G1285">
        <v>20.461025238000001</v>
      </c>
      <c r="H1285">
        <v>1264</v>
      </c>
      <c r="I1285">
        <v>20.426019668999999</v>
      </c>
      <c r="K1285">
        <f t="shared" si="67"/>
        <v>2.4270610810000015</v>
      </c>
      <c r="L1285">
        <v>1264</v>
      </c>
      <c r="M1285">
        <v>129</v>
      </c>
      <c r="N1285">
        <v>1264</v>
      </c>
      <c r="O1285">
        <v>126</v>
      </c>
      <c r="P1285">
        <f t="shared" si="65"/>
        <v>108</v>
      </c>
    </row>
    <row r="1286" spans="1:16">
      <c r="A1286">
        <f t="shared" si="66"/>
        <v>1851.5097158256403</v>
      </c>
      <c r="B1286">
        <v>1265</v>
      </c>
      <c r="C1286">
        <v>20.311845778999999</v>
      </c>
      <c r="D1286">
        <v>1265</v>
      </c>
      <c r="E1286">
        <v>23.726892470999999</v>
      </c>
      <c r="F1286">
        <v>1265</v>
      </c>
      <c r="G1286">
        <v>19.739227294999999</v>
      </c>
      <c r="H1286">
        <v>1265</v>
      </c>
      <c r="I1286">
        <v>19.976535797</v>
      </c>
      <c r="K1286">
        <f t="shared" si="67"/>
        <v>3.7503566739999989</v>
      </c>
      <c r="L1286">
        <v>1265</v>
      </c>
      <c r="M1286">
        <v>129</v>
      </c>
      <c r="N1286">
        <v>1265</v>
      </c>
      <c r="O1286">
        <v>126</v>
      </c>
      <c r="P1286">
        <f t="shared" si="65"/>
        <v>108.688154221</v>
      </c>
    </row>
    <row r="1287" spans="1:16">
      <c r="A1287">
        <f t="shared" si="66"/>
        <v>1852.4358104626567</v>
      </c>
      <c r="B1287">
        <v>1266</v>
      </c>
      <c r="C1287">
        <v>19.472156524999999</v>
      </c>
      <c r="D1287">
        <v>1266</v>
      </c>
      <c r="E1287">
        <v>24.450937271000001</v>
      </c>
      <c r="F1287">
        <v>1266</v>
      </c>
      <c r="G1287">
        <v>19.666666030999998</v>
      </c>
      <c r="H1287">
        <v>1266</v>
      </c>
      <c r="I1287">
        <v>20</v>
      </c>
      <c r="K1287">
        <f t="shared" si="67"/>
        <v>4.4509372710000008</v>
      </c>
      <c r="L1287">
        <v>1266</v>
      </c>
      <c r="M1287">
        <v>129</v>
      </c>
      <c r="N1287">
        <v>1266</v>
      </c>
      <c r="O1287">
        <v>126</v>
      </c>
      <c r="P1287">
        <f t="shared" si="65"/>
        <v>109.527843475</v>
      </c>
    </row>
    <row r="1288" spans="1:16">
      <c r="A1288">
        <f t="shared" si="66"/>
        <v>1853.3619050996731</v>
      </c>
      <c r="B1288">
        <v>1267</v>
      </c>
      <c r="C1288">
        <v>20.122842789</v>
      </c>
      <c r="D1288">
        <v>1267</v>
      </c>
      <c r="E1288">
        <v>24.344299316000001</v>
      </c>
      <c r="F1288">
        <v>1267</v>
      </c>
      <c r="G1288">
        <v>19.758071899000001</v>
      </c>
      <c r="H1288">
        <v>1267</v>
      </c>
      <c r="I1288">
        <v>20</v>
      </c>
      <c r="K1288">
        <f t="shared" si="67"/>
        <v>4.3442993160000007</v>
      </c>
      <c r="L1288">
        <v>1267</v>
      </c>
      <c r="M1288">
        <v>129</v>
      </c>
      <c r="N1288">
        <v>1267</v>
      </c>
      <c r="O1288">
        <v>126</v>
      </c>
      <c r="P1288">
        <f t="shared" si="65"/>
        <v>108.877157211</v>
      </c>
    </row>
    <row r="1289" spans="1:16">
      <c r="A1289">
        <f t="shared" si="66"/>
        <v>1854.2879997366895</v>
      </c>
      <c r="B1289">
        <v>1268</v>
      </c>
      <c r="C1289">
        <v>20.484550475999999</v>
      </c>
      <c r="D1289">
        <v>1268</v>
      </c>
      <c r="E1289">
        <v>23.352724075000001</v>
      </c>
      <c r="F1289">
        <v>1268</v>
      </c>
      <c r="G1289">
        <v>19.748941422000001</v>
      </c>
      <c r="H1289">
        <v>1268</v>
      </c>
      <c r="I1289">
        <v>20</v>
      </c>
      <c r="K1289">
        <f t="shared" si="67"/>
        <v>3.3527240750000011</v>
      </c>
      <c r="L1289">
        <v>1268</v>
      </c>
      <c r="M1289">
        <v>129</v>
      </c>
      <c r="N1289">
        <v>1268</v>
      </c>
      <c r="O1289">
        <v>126</v>
      </c>
      <c r="P1289">
        <f t="shared" si="65"/>
        <v>108.515449524</v>
      </c>
    </row>
    <row r="1290" spans="1:16">
      <c r="A1290">
        <f t="shared" si="66"/>
        <v>1855.2140943737056</v>
      </c>
      <c r="B1290">
        <v>1269</v>
      </c>
      <c r="C1290">
        <v>20.452411651999999</v>
      </c>
      <c r="D1290">
        <v>1269</v>
      </c>
      <c r="E1290">
        <v>22.515075683999999</v>
      </c>
      <c r="F1290">
        <v>1269</v>
      </c>
      <c r="G1290">
        <v>19.140298843</v>
      </c>
      <c r="H1290">
        <v>1269</v>
      </c>
      <c r="I1290">
        <v>20.108823776000001</v>
      </c>
      <c r="K1290">
        <f t="shared" si="67"/>
        <v>2.406251907999998</v>
      </c>
      <c r="L1290">
        <v>1269</v>
      </c>
      <c r="M1290">
        <v>129</v>
      </c>
      <c r="N1290">
        <v>1269</v>
      </c>
      <c r="O1290">
        <v>126</v>
      </c>
      <c r="P1290">
        <f t="shared" si="65"/>
        <v>108.547588348</v>
      </c>
    </row>
    <row r="1291" spans="1:16">
      <c r="A1291">
        <f t="shared" si="66"/>
        <v>1856.140189010722</v>
      </c>
      <c r="B1291">
        <v>1270</v>
      </c>
      <c r="C1291">
        <v>21.241611481</v>
      </c>
      <c r="D1291">
        <v>1270</v>
      </c>
      <c r="E1291">
        <v>23.484365463</v>
      </c>
      <c r="F1291">
        <v>1270</v>
      </c>
      <c r="G1291">
        <v>18.914133071999998</v>
      </c>
      <c r="H1291">
        <v>1270</v>
      </c>
      <c r="I1291">
        <v>20.666666030999998</v>
      </c>
      <c r="K1291">
        <f t="shared" si="67"/>
        <v>2.8176994320000013</v>
      </c>
      <c r="L1291">
        <v>1270</v>
      </c>
      <c r="M1291">
        <v>129</v>
      </c>
      <c r="N1291">
        <v>1270</v>
      </c>
      <c r="O1291">
        <v>126</v>
      </c>
      <c r="P1291">
        <f t="shared" si="65"/>
        <v>107.75838851899999</v>
      </c>
    </row>
    <row r="1292" spans="1:16">
      <c r="A1292">
        <f t="shared" si="66"/>
        <v>1857.0662836477384</v>
      </c>
      <c r="B1292">
        <v>1271</v>
      </c>
      <c r="C1292">
        <v>21.766569138000001</v>
      </c>
      <c r="D1292">
        <v>1271</v>
      </c>
      <c r="E1292">
        <v>24.283361435</v>
      </c>
      <c r="F1292">
        <v>1271</v>
      </c>
      <c r="G1292">
        <v>18.462493896000002</v>
      </c>
      <c r="H1292">
        <v>1271</v>
      </c>
      <c r="I1292">
        <v>20.666666030999998</v>
      </c>
      <c r="K1292">
        <f t="shared" si="67"/>
        <v>3.6166954040000014</v>
      </c>
      <c r="L1292">
        <v>1271</v>
      </c>
      <c r="M1292">
        <v>129</v>
      </c>
      <c r="N1292">
        <v>1271</v>
      </c>
      <c r="O1292">
        <v>126</v>
      </c>
      <c r="P1292">
        <f t="shared" si="65"/>
        <v>107.23343086200001</v>
      </c>
    </row>
    <row r="1293" spans="1:16">
      <c r="A1293">
        <f t="shared" si="66"/>
        <v>1857.9923782847547</v>
      </c>
      <c r="B1293">
        <v>1272</v>
      </c>
      <c r="C1293">
        <v>20.353834152000001</v>
      </c>
      <c r="D1293">
        <v>1272</v>
      </c>
      <c r="E1293">
        <v>23.710544586000001</v>
      </c>
      <c r="F1293">
        <v>1272</v>
      </c>
      <c r="G1293">
        <v>18.733770369999998</v>
      </c>
      <c r="H1293">
        <v>1272</v>
      </c>
      <c r="I1293">
        <v>20.074094771999999</v>
      </c>
      <c r="K1293">
        <f t="shared" si="67"/>
        <v>3.6364498140000023</v>
      </c>
      <c r="L1293">
        <v>1272</v>
      </c>
      <c r="M1293">
        <v>129</v>
      </c>
      <c r="N1293">
        <v>1272</v>
      </c>
      <c r="O1293">
        <v>126</v>
      </c>
      <c r="P1293">
        <f t="shared" si="65"/>
        <v>108.646165848</v>
      </c>
    </row>
    <row r="1294" spans="1:16">
      <c r="A1294">
        <f t="shared" si="66"/>
        <v>1858.9184729217709</v>
      </c>
      <c r="B1294">
        <v>1273</v>
      </c>
      <c r="C1294">
        <v>20.219488144</v>
      </c>
      <c r="D1294">
        <v>1273</v>
      </c>
      <c r="E1294">
        <v>23.299318314000001</v>
      </c>
      <c r="F1294">
        <v>1273</v>
      </c>
      <c r="G1294">
        <v>19.953800201</v>
      </c>
      <c r="H1294">
        <v>1273</v>
      </c>
      <c r="I1294">
        <v>20.2803936</v>
      </c>
      <c r="K1294">
        <f t="shared" si="67"/>
        <v>3.0189247140000006</v>
      </c>
      <c r="L1294">
        <v>1273</v>
      </c>
      <c r="M1294">
        <v>129</v>
      </c>
      <c r="N1294">
        <v>1273</v>
      </c>
      <c r="O1294">
        <v>126</v>
      </c>
      <c r="P1294">
        <f t="shared" si="65"/>
        <v>108.780511856</v>
      </c>
    </row>
    <row r="1295" spans="1:16">
      <c r="A1295">
        <f t="shared" si="66"/>
        <v>1859.8445675587873</v>
      </c>
      <c r="B1295">
        <v>1274</v>
      </c>
      <c r="C1295">
        <v>20.093711852999999</v>
      </c>
      <c r="D1295">
        <v>1274</v>
      </c>
      <c r="E1295">
        <v>22.703609467</v>
      </c>
      <c r="F1295">
        <v>1274</v>
      </c>
      <c r="G1295">
        <v>20.479879379</v>
      </c>
      <c r="H1295">
        <v>1274</v>
      </c>
      <c r="I1295">
        <v>19.856863021999999</v>
      </c>
      <c r="K1295">
        <f t="shared" si="67"/>
        <v>2.8467464450000008</v>
      </c>
      <c r="L1295">
        <v>1274</v>
      </c>
      <c r="M1295">
        <v>129</v>
      </c>
      <c r="N1295">
        <v>1274</v>
      </c>
      <c r="O1295">
        <v>126</v>
      </c>
      <c r="P1295">
        <f t="shared" si="65"/>
        <v>108.906288147</v>
      </c>
    </row>
    <row r="1296" spans="1:16">
      <c r="A1296">
        <f t="shared" si="66"/>
        <v>1860.7706621958037</v>
      </c>
      <c r="B1296">
        <v>1275</v>
      </c>
      <c r="C1296">
        <v>18.134304047000001</v>
      </c>
      <c r="D1296">
        <v>1275</v>
      </c>
      <c r="E1296">
        <v>22.831367492999998</v>
      </c>
      <c r="F1296">
        <v>1275</v>
      </c>
      <c r="G1296">
        <v>19.436164856000001</v>
      </c>
      <c r="H1296">
        <v>1275</v>
      </c>
      <c r="I1296">
        <v>19.666666030999998</v>
      </c>
      <c r="K1296">
        <f t="shared" si="67"/>
        <v>3.164701462</v>
      </c>
      <c r="L1296">
        <v>1275</v>
      </c>
      <c r="M1296">
        <v>129</v>
      </c>
      <c r="N1296">
        <v>1275</v>
      </c>
      <c r="O1296">
        <v>126</v>
      </c>
      <c r="P1296">
        <f t="shared" si="65"/>
        <v>110.865695953</v>
      </c>
    </row>
    <row r="1297" spans="1:16">
      <c r="A1297">
        <f t="shared" si="66"/>
        <v>1861.69675683282</v>
      </c>
      <c r="B1297">
        <v>1276</v>
      </c>
      <c r="C1297">
        <v>19.207565308</v>
      </c>
      <c r="D1297">
        <v>1276</v>
      </c>
      <c r="E1297">
        <v>22.933872223000002</v>
      </c>
      <c r="F1297">
        <v>1276</v>
      </c>
      <c r="G1297">
        <v>18.825136185000002</v>
      </c>
      <c r="H1297">
        <v>1276</v>
      </c>
      <c r="I1297">
        <v>19.607889175</v>
      </c>
      <c r="K1297">
        <f t="shared" si="67"/>
        <v>3.3259830480000012</v>
      </c>
      <c r="L1297">
        <v>1276</v>
      </c>
      <c r="M1297">
        <v>129</v>
      </c>
      <c r="N1297">
        <v>1276</v>
      </c>
      <c r="O1297">
        <v>126</v>
      </c>
      <c r="P1297">
        <f t="shared" si="65"/>
        <v>109.792434692</v>
      </c>
    </row>
    <row r="1298" spans="1:16">
      <c r="A1298">
        <f t="shared" si="66"/>
        <v>1862.6228514698362</v>
      </c>
      <c r="B1298">
        <v>1277</v>
      </c>
      <c r="C1298">
        <v>20.350683212</v>
      </c>
      <c r="D1298">
        <v>1277</v>
      </c>
      <c r="E1298">
        <v>22.643997192</v>
      </c>
      <c r="F1298">
        <v>1277</v>
      </c>
      <c r="G1298">
        <v>19.970193862999999</v>
      </c>
      <c r="H1298">
        <v>1277</v>
      </c>
      <c r="I1298">
        <v>19.913389206000002</v>
      </c>
      <c r="K1298">
        <f t="shared" si="67"/>
        <v>2.730607985999999</v>
      </c>
      <c r="L1298">
        <v>1277</v>
      </c>
      <c r="M1298">
        <v>129</v>
      </c>
      <c r="N1298">
        <v>1277</v>
      </c>
      <c r="O1298">
        <v>126</v>
      </c>
      <c r="P1298">
        <f t="shared" si="65"/>
        <v>108.64931678799999</v>
      </c>
    </row>
    <row r="1299" spans="1:16">
      <c r="A1299">
        <f t="shared" si="66"/>
        <v>1863.5489461068526</v>
      </c>
      <c r="B1299">
        <v>1278</v>
      </c>
      <c r="C1299">
        <v>20.066814423</v>
      </c>
      <c r="D1299">
        <v>1278</v>
      </c>
      <c r="E1299">
        <v>21.409748077</v>
      </c>
      <c r="F1299">
        <v>1278</v>
      </c>
      <c r="G1299">
        <v>20.324888228999999</v>
      </c>
      <c r="H1299">
        <v>1278</v>
      </c>
      <c r="I1299">
        <v>20.006315230999999</v>
      </c>
      <c r="K1299">
        <f t="shared" si="67"/>
        <v>1.4034328460000012</v>
      </c>
      <c r="L1299">
        <v>1278</v>
      </c>
      <c r="M1299">
        <v>129</v>
      </c>
      <c r="N1299">
        <v>1278</v>
      </c>
      <c r="O1299">
        <v>126</v>
      </c>
      <c r="P1299">
        <f t="shared" si="65"/>
        <v>108.933185577</v>
      </c>
    </row>
    <row r="1300" spans="1:16">
      <c r="A1300">
        <f t="shared" si="66"/>
        <v>1864.4750407438689</v>
      </c>
      <c r="B1300">
        <v>1279</v>
      </c>
      <c r="C1300">
        <v>19.448665619</v>
      </c>
      <c r="D1300">
        <v>1279</v>
      </c>
      <c r="E1300">
        <v>20.999229431</v>
      </c>
      <c r="F1300">
        <v>1279</v>
      </c>
      <c r="G1300">
        <v>20.877092360999999</v>
      </c>
      <c r="H1300">
        <v>1279</v>
      </c>
      <c r="I1300">
        <v>20</v>
      </c>
      <c r="K1300">
        <f t="shared" si="67"/>
        <v>0.99922943099999983</v>
      </c>
      <c r="L1300">
        <v>1279</v>
      </c>
      <c r="M1300">
        <v>129</v>
      </c>
      <c r="N1300">
        <v>1279</v>
      </c>
      <c r="O1300">
        <v>126</v>
      </c>
      <c r="P1300">
        <f t="shared" si="65"/>
        <v>109.551334381</v>
      </c>
    </row>
    <row r="1301" spans="1:16">
      <c r="A1301">
        <f t="shared" si="66"/>
        <v>1865.4011353808851</v>
      </c>
      <c r="B1301">
        <v>1280</v>
      </c>
      <c r="C1301">
        <v>19.010717392</v>
      </c>
      <c r="D1301">
        <v>1280</v>
      </c>
      <c r="E1301">
        <v>21.770202637000001</v>
      </c>
      <c r="F1301">
        <v>1280</v>
      </c>
      <c r="G1301">
        <v>20.915548325</v>
      </c>
      <c r="H1301">
        <v>1280</v>
      </c>
      <c r="I1301">
        <v>20.096885681</v>
      </c>
      <c r="K1301">
        <f t="shared" si="67"/>
        <v>1.6733169560000007</v>
      </c>
      <c r="L1301">
        <v>1280</v>
      </c>
      <c r="M1301">
        <v>129</v>
      </c>
      <c r="N1301">
        <v>1280</v>
      </c>
      <c r="O1301">
        <v>126</v>
      </c>
      <c r="P1301">
        <f t="shared" ref="P1301:P1364" si="68">M1301-C1301</f>
        <v>109.989282608</v>
      </c>
    </row>
    <row r="1302" spans="1:16">
      <c r="A1302">
        <f t="shared" ref="A1302:A1365" si="69">680 +B1302*COS(ABS($J$8)*PI()/180)</f>
        <v>1866.3272300179015</v>
      </c>
      <c r="B1302">
        <v>1281</v>
      </c>
      <c r="C1302">
        <v>19.213274001999999</v>
      </c>
      <c r="D1302">
        <v>1281</v>
      </c>
      <c r="E1302">
        <v>23.172283173</v>
      </c>
      <c r="F1302">
        <v>1281</v>
      </c>
      <c r="G1302">
        <v>20.055095673</v>
      </c>
      <c r="H1302">
        <v>1281</v>
      </c>
      <c r="I1302">
        <v>20.507843017999999</v>
      </c>
      <c r="K1302">
        <f t="shared" ref="K1302:K1365" si="70">E1302-I1302</f>
        <v>2.6644401550000012</v>
      </c>
      <c r="L1302">
        <v>1281</v>
      </c>
      <c r="M1302">
        <v>129</v>
      </c>
      <c r="N1302">
        <v>1281</v>
      </c>
      <c r="O1302">
        <v>126</v>
      </c>
      <c r="P1302">
        <f t="shared" si="68"/>
        <v>109.78672599800001</v>
      </c>
    </row>
    <row r="1303" spans="1:16">
      <c r="A1303">
        <f t="shared" si="69"/>
        <v>1867.2533246549178</v>
      </c>
      <c r="B1303">
        <v>1282</v>
      </c>
      <c r="C1303">
        <v>19.056373596</v>
      </c>
      <c r="D1303">
        <v>1282</v>
      </c>
      <c r="E1303">
        <v>22.567806244</v>
      </c>
      <c r="F1303">
        <v>1282</v>
      </c>
      <c r="G1303">
        <v>19.420269011999999</v>
      </c>
      <c r="H1303">
        <v>1282</v>
      </c>
      <c r="I1303">
        <v>20.231372833000002</v>
      </c>
      <c r="K1303">
        <f t="shared" si="70"/>
        <v>2.336433410999998</v>
      </c>
      <c r="L1303">
        <v>1282</v>
      </c>
      <c r="M1303">
        <v>129</v>
      </c>
      <c r="N1303">
        <v>1282</v>
      </c>
      <c r="O1303">
        <v>126</v>
      </c>
      <c r="P1303">
        <f t="shared" si="68"/>
        <v>109.943626404</v>
      </c>
    </row>
    <row r="1304" spans="1:16">
      <c r="A1304">
        <f t="shared" si="69"/>
        <v>1868.1794192919342</v>
      </c>
      <c r="B1304">
        <v>1283</v>
      </c>
      <c r="C1304">
        <v>18.967628478999998</v>
      </c>
      <c r="D1304">
        <v>1283</v>
      </c>
      <c r="E1304">
        <v>21.381721497000001</v>
      </c>
      <c r="F1304">
        <v>1283</v>
      </c>
      <c r="G1304">
        <v>19.081966399999999</v>
      </c>
      <c r="H1304">
        <v>1283</v>
      </c>
      <c r="I1304">
        <v>19.887254715000001</v>
      </c>
      <c r="K1304">
        <f t="shared" si="70"/>
        <v>1.4944667819999999</v>
      </c>
      <c r="L1304">
        <v>1283</v>
      </c>
      <c r="M1304">
        <v>129</v>
      </c>
      <c r="N1304">
        <v>1283</v>
      </c>
      <c r="O1304">
        <v>126</v>
      </c>
      <c r="P1304">
        <f t="shared" si="68"/>
        <v>110.032371521</v>
      </c>
    </row>
    <row r="1305" spans="1:16">
      <c r="A1305">
        <f t="shared" si="69"/>
        <v>1869.1055139289504</v>
      </c>
      <c r="B1305">
        <v>1284</v>
      </c>
      <c r="C1305">
        <v>18.614572525</v>
      </c>
      <c r="D1305">
        <v>1284</v>
      </c>
      <c r="E1305">
        <v>21.945306777999999</v>
      </c>
      <c r="F1305">
        <v>1284</v>
      </c>
      <c r="G1305">
        <v>19.622951508</v>
      </c>
      <c r="H1305">
        <v>1284</v>
      </c>
      <c r="I1305">
        <v>19.196079254000001</v>
      </c>
      <c r="K1305">
        <f t="shared" si="70"/>
        <v>2.7492275239999984</v>
      </c>
      <c r="L1305">
        <v>1284</v>
      </c>
      <c r="M1305">
        <v>129</v>
      </c>
      <c r="N1305">
        <v>1284</v>
      </c>
      <c r="O1305">
        <v>126</v>
      </c>
      <c r="P1305">
        <f t="shared" si="68"/>
        <v>110.385427475</v>
      </c>
    </row>
    <row r="1306" spans="1:16">
      <c r="A1306">
        <f t="shared" si="69"/>
        <v>1870.0316085659667</v>
      </c>
      <c r="B1306">
        <v>1285</v>
      </c>
      <c r="C1306">
        <v>18.131376266</v>
      </c>
      <c r="D1306">
        <v>1285</v>
      </c>
      <c r="E1306">
        <v>21.561258316</v>
      </c>
      <c r="F1306">
        <v>1285</v>
      </c>
      <c r="G1306">
        <v>20</v>
      </c>
      <c r="H1306">
        <v>1285</v>
      </c>
      <c r="I1306">
        <v>19.300642014000001</v>
      </c>
      <c r="K1306">
        <f t="shared" si="70"/>
        <v>2.260616301999999</v>
      </c>
      <c r="L1306">
        <v>1285</v>
      </c>
      <c r="M1306">
        <v>129</v>
      </c>
      <c r="N1306">
        <v>1285</v>
      </c>
      <c r="O1306">
        <v>126</v>
      </c>
      <c r="P1306">
        <f t="shared" si="68"/>
        <v>110.868623734</v>
      </c>
    </row>
    <row r="1307" spans="1:16">
      <c r="A1307">
        <f t="shared" si="69"/>
        <v>1870.9577032029831</v>
      </c>
      <c r="B1307">
        <v>1286</v>
      </c>
      <c r="C1307">
        <v>19.071596146000001</v>
      </c>
      <c r="D1307">
        <v>1286</v>
      </c>
      <c r="E1307">
        <v>21.091562271000001</v>
      </c>
      <c r="F1307">
        <v>1286</v>
      </c>
      <c r="G1307">
        <v>19.858654022</v>
      </c>
      <c r="H1307">
        <v>1286</v>
      </c>
      <c r="I1307">
        <v>19.028430939</v>
      </c>
      <c r="K1307">
        <f t="shared" si="70"/>
        <v>2.0631313320000011</v>
      </c>
      <c r="L1307">
        <v>1286</v>
      </c>
      <c r="M1307">
        <v>129</v>
      </c>
      <c r="N1307">
        <v>1286</v>
      </c>
      <c r="O1307">
        <v>126</v>
      </c>
      <c r="P1307">
        <f t="shared" si="68"/>
        <v>109.928403854</v>
      </c>
    </row>
    <row r="1308" spans="1:16">
      <c r="A1308">
        <f t="shared" si="69"/>
        <v>1871.8837978399995</v>
      </c>
      <c r="B1308">
        <v>1287</v>
      </c>
      <c r="C1308">
        <v>20.116872786999998</v>
      </c>
      <c r="D1308">
        <v>1287</v>
      </c>
      <c r="E1308">
        <v>22.258295059000002</v>
      </c>
      <c r="F1308">
        <v>1287</v>
      </c>
      <c r="G1308">
        <v>19.065574646000002</v>
      </c>
      <c r="H1308">
        <v>1287</v>
      </c>
      <c r="I1308">
        <v>18.666666030999998</v>
      </c>
      <c r="K1308">
        <f t="shared" si="70"/>
        <v>3.5916290280000034</v>
      </c>
      <c r="L1308">
        <v>1287</v>
      </c>
      <c r="M1308">
        <v>129</v>
      </c>
      <c r="N1308">
        <v>1287</v>
      </c>
      <c r="O1308">
        <v>126</v>
      </c>
      <c r="P1308">
        <f t="shared" si="68"/>
        <v>108.88312721299999</v>
      </c>
    </row>
    <row r="1309" spans="1:16">
      <c r="A1309">
        <f t="shared" si="69"/>
        <v>1872.8098924770156</v>
      </c>
      <c r="B1309">
        <v>1288</v>
      </c>
      <c r="C1309">
        <v>19.997278214000001</v>
      </c>
      <c r="D1309">
        <v>1288</v>
      </c>
      <c r="E1309">
        <v>22.340476989999999</v>
      </c>
      <c r="F1309">
        <v>1288</v>
      </c>
      <c r="G1309">
        <v>19.034606933999999</v>
      </c>
      <c r="H1309">
        <v>1288</v>
      </c>
      <c r="I1309">
        <v>18.554832458</v>
      </c>
      <c r="K1309">
        <f t="shared" si="70"/>
        <v>3.7856445319999992</v>
      </c>
      <c r="L1309">
        <v>1288</v>
      </c>
      <c r="M1309">
        <v>129</v>
      </c>
      <c r="N1309">
        <v>1288</v>
      </c>
      <c r="O1309">
        <v>126</v>
      </c>
      <c r="P1309">
        <f t="shared" si="68"/>
        <v>109.002721786</v>
      </c>
    </row>
    <row r="1310" spans="1:16">
      <c r="A1310">
        <f t="shared" si="69"/>
        <v>1873.735987114032</v>
      </c>
      <c r="B1310">
        <v>1289</v>
      </c>
      <c r="C1310">
        <v>18.373819351000002</v>
      </c>
      <c r="D1310">
        <v>1289</v>
      </c>
      <c r="E1310">
        <v>22.945142745999998</v>
      </c>
      <c r="F1310">
        <v>1289</v>
      </c>
      <c r="G1310">
        <v>18.946195602</v>
      </c>
      <c r="H1310">
        <v>1289</v>
      </c>
      <c r="I1310">
        <v>18.568189620999998</v>
      </c>
      <c r="K1310">
        <f t="shared" si="70"/>
        <v>4.376953125</v>
      </c>
      <c r="L1310">
        <v>1289</v>
      </c>
      <c r="M1310">
        <v>129</v>
      </c>
      <c r="N1310">
        <v>1289</v>
      </c>
      <c r="O1310">
        <v>126</v>
      </c>
      <c r="P1310">
        <f t="shared" si="68"/>
        <v>110.62618064899999</v>
      </c>
    </row>
    <row r="1311" spans="1:16">
      <c r="A1311">
        <f t="shared" si="69"/>
        <v>1874.6620817510484</v>
      </c>
      <c r="B1311">
        <v>1290</v>
      </c>
      <c r="C1311">
        <v>18.846384048000001</v>
      </c>
      <c r="D1311">
        <v>1290</v>
      </c>
      <c r="E1311">
        <v>23.483942032000002</v>
      </c>
      <c r="F1311">
        <v>1290</v>
      </c>
      <c r="G1311">
        <v>19.650770186999999</v>
      </c>
      <c r="H1311">
        <v>1290</v>
      </c>
      <c r="I1311">
        <v>19.674884796000001</v>
      </c>
      <c r="K1311">
        <f t="shared" si="70"/>
        <v>3.809057236000001</v>
      </c>
      <c r="L1311">
        <v>1290</v>
      </c>
      <c r="M1311">
        <v>129</v>
      </c>
      <c r="N1311">
        <v>1290</v>
      </c>
      <c r="O1311">
        <v>126</v>
      </c>
      <c r="P1311">
        <f t="shared" si="68"/>
        <v>110.153615952</v>
      </c>
    </row>
    <row r="1312" spans="1:16">
      <c r="A1312">
        <f t="shared" si="69"/>
        <v>1875.5881763880648</v>
      </c>
      <c r="B1312">
        <v>1291</v>
      </c>
      <c r="C1312">
        <v>19.264467238999998</v>
      </c>
      <c r="D1312">
        <v>1291</v>
      </c>
      <c r="E1312">
        <v>23.858436584</v>
      </c>
      <c r="F1312">
        <v>1291</v>
      </c>
      <c r="G1312">
        <v>19.666666030999998</v>
      </c>
      <c r="H1312">
        <v>1291</v>
      </c>
      <c r="I1312">
        <v>19.666666030999998</v>
      </c>
      <c r="K1312">
        <f t="shared" si="70"/>
        <v>4.1917705530000013</v>
      </c>
      <c r="L1312">
        <v>1291</v>
      </c>
      <c r="M1312">
        <v>129</v>
      </c>
      <c r="N1312">
        <v>1291</v>
      </c>
      <c r="O1312">
        <v>126</v>
      </c>
      <c r="P1312">
        <f t="shared" si="68"/>
        <v>109.735532761</v>
      </c>
    </row>
    <row r="1313" spans="1:16">
      <c r="A1313">
        <f t="shared" si="69"/>
        <v>1876.5142710250809</v>
      </c>
      <c r="B1313">
        <v>1292</v>
      </c>
      <c r="C1313">
        <v>19.673875808999998</v>
      </c>
      <c r="D1313">
        <v>1292</v>
      </c>
      <c r="E1313">
        <v>24.36089325</v>
      </c>
      <c r="F1313">
        <v>1292</v>
      </c>
      <c r="G1313">
        <v>19.666666030999998</v>
      </c>
      <c r="H1313">
        <v>1292</v>
      </c>
      <c r="I1313">
        <v>19.666666030999998</v>
      </c>
      <c r="K1313">
        <f t="shared" si="70"/>
        <v>4.6942272190000018</v>
      </c>
      <c r="L1313">
        <v>1292</v>
      </c>
      <c r="M1313">
        <v>129</v>
      </c>
      <c r="N1313">
        <v>1292</v>
      </c>
      <c r="O1313">
        <v>126</v>
      </c>
      <c r="P1313">
        <f t="shared" si="68"/>
        <v>109.32612419100001</v>
      </c>
    </row>
    <row r="1314" spans="1:16">
      <c r="A1314">
        <f t="shared" si="69"/>
        <v>1877.4403656620973</v>
      </c>
      <c r="B1314">
        <v>1293</v>
      </c>
      <c r="C1314">
        <v>20.047044754000002</v>
      </c>
      <c r="D1314">
        <v>1293</v>
      </c>
      <c r="E1314">
        <v>22.476552963</v>
      </c>
      <c r="F1314">
        <v>1293</v>
      </c>
      <c r="G1314">
        <v>19.666666030999998</v>
      </c>
      <c r="H1314">
        <v>1293</v>
      </c>
      <c r="I1314">
        <v>19.666666030999998</v>
      </c>
      <c r="K1314">
        <f t="shared" si="70"/>
        <v>2.8098869320000013</v>
      </c>
      <c r="L1314">
        <v>1293</v>
      </c>
      <c r="M1314">
        <v>129</v>
      </c>
      <c r="N1314">
        <v>1293</v>
      </c>
      <c r="O1314">
        <v>126</v>
      </c>
      <c r="P1314">
        <f t="shared" si="68"/>
        <v>108.952955246</v>
      </c>
    </row>
    <row r="1315" spans="1:16">
      <c r="A1315">
        <f t="shared" si="69"/>
        <v>1878.3664602991137</v>
      </c>
      <c r="B1315">
        <v>1294</v>
      </c>
      <c r="C1315">
        <v>19.911508560000001</v>
      </c>
      <c r="D1315">
        <v>1294</v>
      </c>
      <c r="E1315">
        <v>22.474151611</v>
      </c>
      <c r="F1315">
        <v>1294</v>
      </c>
      <c r="G1315">
        <v>19.666666030999998</v>
      </c>
      <c r="H1315">
        <v>1294</v>
      </c>
      <c r="I1315">
        <v>19.666666030999998</v>
      </c>
      <c r="K1315">
        <f t="shared" si="70"/>
        <v>2.8074855800000016</v>
      </c>
      <c r="L1315">
        <v>1294</v>
      </c>
      <c r="M1315">
        <v>129</v>
      </c>
      <c r="N1315">
        <v>1294</v>
      </c>
      <c r="O1315">
        <v>126</v>
      </c>
      <c r="P1315">
        <f t="shared" si="68"/>
        <v>109.08849144</v>
      </c>
    </row>
    <row r="1316" spans="1:16">
      <c r="A1316">
        <f t="shared" si="69"/>
        <v>1879.29255493613</v>
      </c>
      <c r="B1316">
        <v>1295</v>
      </c>
      <c r="C1316">
        <v>19.785732269</v>
      </c>
      <c r="D1316">
        <v>1295</v>
      </c>
      <c r="E1316">
        <v>22.306175232000001</v>
      </c>
      <c r="F1316">
        <v>1295</v>
      </c>
      <c r="G1316">
        <v>19.666666030999998</v>
      </c>
      <c r="H1316">
        <v>1295</v>
      </c>
      <c r="I1316">
        <v>18.835783005</v>
      </c>
      <c r="K1316">
        <f t="shared" si="70"/>
        <v>3.4703922270000014</v>
      </c>
      <c r="L1316">
        <v>1295</v>
      </c>
      <c r="M1316">
        <v>129</v>
      </c>
      <c r="N1316">
        <v>1295</v>
      </c>
      <c r="O1316">
        <v>126</v>
      </c>
      <c r="P1316">
        <f t="shared" si="68"/>
        <v>109.21426773100001</v>
      </c>
    </row>
    <row r="1317" spans="1:16">
      <c r="A1317">
        <f t="shared" si="69"/>
        <v>1880.2186495731462</v>
      </c>
      <c r="B1317">
        <v>1296</v>
      </c>
      <c r="C1317">
        <v>19.673603058000001</v>
      </c>
      <c r="D1317">
        <v>1296</v>
      </c>
      <c r="E1317">
        <v>22.365159987999998</v>
      </c>
      <c r="F1317">
        <v>1296</v>
      </c>
      <c r="G1317">
        <v>19.856004715000001</v>
      </c>
      <c r="H1317">
        <v>1296</v>
      </c>
      <c r="I1317">
        <v>19.407842636000002</v>
      </c>
      <c r="K1317">
        <f t="shared" si="70"/>
        <v>2.9573173519999969</v>
      </c>
      <c r="L1317">
        <v>1296</v>
      </c>
      <c r="M1317">
        <v>129</v>
      </c>
      <c r="N1317">
        <v>1296</v>
      </c>
      <c r="O1317">
        <v>126</v>
      </c>
      <c r="P1317">
        <f t="shared" si="68"/>
        <v>109.326396942</v>
      </c>
    </row>
    <row r="1318" spans="1:16">
      <c r="A1318">
        <f t="shared" si="69"/>
        <v>1881.1447442101626</v>
      </c>
      <c r="B1318">
        <v>1297</v>
      </c>
      <c r="C1318">
        <v>18.903837203999998</v>
      </c>
      <c r="D1318">
        <v>1297</v>
      </c>
      <c r="E1318">
        <v>22.317619323999999</v>
      </c>
      <c r="F1318">
        <v>1297</v>
      </c>
      <c r="G1318">
        <v>20.109888077000001</v>
      </c>
      <c r="H1318">
        <v>1297</v>
      </c>
      <c r="I1318">
        <v>19.666666030999998</v>
      </c>
      <c r="K1318">
        <f t="shared" si="70"/>
        <v>2.6509532930000006</v>
      </c>
      <c r="L1318">
        <v>1297</v>
      </c>
      <c r="M1318">
        <v>129</v>
      </c>
      <c r="N1318">
        <v>1297</v>
      </c>
      <c r="O1318">
        <v>126</v>
      </c>
      <c r="P1318">
        <f t="shared" si="68"/>
        <v>110.096162796</v>
      </c>
    </row>
    <row r="1319" spans="1:16">
      <c r="A1319">
        <f t="shared" si="69"/>
        <v>1882.0708388471789</v>
      </c>
      <c r="B1319">
        <v>1298</v>
      </c>
      <c r="C1319">
        <v>17.759857178000001</v>
      </c>
      <c r="D1319">
        <v>1298</v>
      </c>
      <c r="E1319">
        <v>22.922561645999998</v>
      </c>
      <c r="F1319">
        <v>1298</v>
      </c>
      <c r="G1319">
        <v>19.372659682999998</v>
      </c>
      <c r="H1319">
        <v>1298</v>
      </c>
      <c r="I1319">
        <v>19.054233550999999</v>
      </c>
      <c r="K1319">
        <f t="shared" si="70"/>
        <v>3.868328094999999</v>
      </c>
      <c r="L1319">
        <v>1298</v>
      </c>
      <c r="M1319">
        <v>129</v>
      </c>
      <c r="N1319">
        <v>1298</v>
      </c>
      <c r="O1319">
        <v>126</v>
      </c>
      <c r="P1319">
        <f t="shared" si="68"/>
        <v>111.240142822</v>
      </c>
    </row>
    <row r="1320" spans="1:16">
      <c r="A1320">
        <f t="shared" si="69"/>
        <v>1882.9969334841951</v>
      </c>
      <c r="B1320">
        <v>1299</v>
      </c>
      <c r="C1320">
        <v>18.999254227000002</v>
      </c>
      <c r="D1320">
        <v>1299</v>
      </c>
      <c r="E1320">
        <v>21.975614547999999</v>
      </c>
      <c r="F1320">
        <v>1299</v>
      </c>
      <c r="G1320">
        <v>19</v>
      </c>
      <c r="H1320">
        <v>1299</v>
      </c>
      <c r="I1320">
        <v>20.01817131</v>
      </c>
      <c r="K1320">
        <f t="shared" si="70"/>
        <v>1.9574432379999998</v>
      </c>
      <c r="L1320">
        <v>1299</v>
      </c>
      <c r="M1320">
        <v>129</v>
      </c>
      <c r="N1320">
        <v>1299</v>
      </c>
      <c r="O1320">
        <v>126</v>
      </c>
      <c r="P1320">
        <f t="shared" si="68"/>
        <v>110.00074577300001</v>
      </c>
    </row>
    <row r="1321" spans="1:16">
      <c r="A1321">
        <f t="shared" si="69"/>
        <v>1883.9230281212115</v>
      </c>
      <c r="B1321">
        <v>1300</v>
      </c>
      <c r="C1321">
        <v>19.647029877000001</v>
      </c>
      <c r="D1321">
        <v>1300</v>
      </c>
      <c r="E1321">
        <v>20.442249298</v>
      </c>
      <c r="F1321">
        <v>1300</v>
      </c>
      <c r="G1321">
        <v>19.016616821</v>
      </c>
      <c r="H1321">
        <v>1300</v>
      </c>
      <c r="I1321">
        <v>21.092271804999999</v>
      </c>
      <c r="K1321">
        <f t="shared" si="70"/>
        <v>-0.65002250699999919</v>
      </c>
      <c r="L1321">
        <v>1300</v>
      </c>
      <c r="M1321">
        <v>129</v>
      </c>
      <c r="N1321">
        <v>1300</v>
      </c>
      <c r="O1321">
        <v>126</v>
      </c>
      <c r="P1321">
        <f t="shared" si="68"/>
        <v>109.35297012300001</v>
      </c>
    </row>
    <row r="1322" spans="1:16">
      <c r="A1322">
        <f t="shared" si="69"/>
        <v>1884.8491227582278</v>
      </c>
      <c r="B1322">
        <v>1301</v>
      </c>
      <c r="C1322">
        <v>19.395477294999999</v>
      </c>
      <c r="D1322">
        <v>1301</v>
      </c>
      <c r="E1322">
        <v>20.3960495</v>
      </c>
      <c r="F1322">
        <v>1301</v>
      </c>
      <c r="G1322">
        <v>19</v>
      </c>
      <c r="H1322">
        <v>1301</v>
      </c>
      <c r="I1322">
        <v>20.465105056999999</v>
      </c>
      <c r="K1322">
        <f t="shared" si="70"/>
        <v>-6.9055556999998657E-2</v>
      </c>
      <c r="L1322">
        <v>1301</v>
      </c>
      <c r="M1322">
        <v>129</v>
      </c>
      <c r="N1322">
        <v>1301</v>
      </c>
      <c r="O1322">
        <v>126</v>
      </c>
      <c r="P1322">
        <f t="shared" si="68"/>
        <v>109.60452270499999</v>
      </c>
    </row>
    <row r="1323" spans="1:16">
      <c r="A1323">
        <f t="shared" si="69"/>
        <v>1885.7752173952442</v>
      </c>
      <c r="B1323">
        <v>1302</v>
      </c>
      <c r="C1323">
        <v>20.534145355</v>
      </c>
      <c r="D1323">
        <v>1302</v>
      </c>
      <c r="E1323">
        <v>20.457752228</v>
      </c>
      <c r="F1323">
        <v>1302</v>
      </c>
      <c r="G1323">
        <v>19</v>
      </c>
      <c r="H1323">
        <v>1302</v>
      </c>
      <c r="I1323">
        <v>19.708864212000002</v>
      </c>
      <c r="K1323">
        <f t="shared" si="70"/>
        <v>0.74888801599999866</v>
      </c>
      <c r="L1323">
        <v>1302</v>
      </c>
      <c r="M1323">
        <v>129</v>
      </c>
      <c r="N1323">
        <v>1302</v>
      </c>
      <c r="O1323">
        <v>126</v>
      </c>
      <c r="P1323">
        <f t="shared" si="68"/>
        <v>108.46585464500001</v>
      </c>
    </row>
    <row r="1324" spans="1:16">
      <c r="A1324">
        <f t="shared" si="69"/>
        <v>1886.7013120322604</v>
      </c>
      <c r="B1324">
        <v>1303</v>
      </c>
      <c r="C1324">
        <v>21.215261459000001</v>
      </c>
      <c r="D1324">
        <v>1303</v>
      </c>
      <c r="E1324">
        <v>21.403171538999999</v>
      </c>
      <c r="F1324">
        <v>1303</v>
      </c>
      <c r="G1324">
        <v>19</v>
      </c>
      <c r="H1324">
        <v>1303</v>
      </c>
      <c r="I1324">
        <v>19.104690552000001</v>
      </c>
      <c r="K1324">
        <f t="shared" si="70"/>
        <v>2.2984809869999978</v>
      </c>
      <c r="L1324">
        <v>1303</v>
      </c>
      <c r="M1324">
        <v>129</v>
      </c>
      <c r="N1324">
        <v>1303</v>
      </c>
      <c r="O1324">
        <v>126</v>
      </c>
      <c r="P1324">
        <f t="shared" si="68"/>
        <v>107.784738541</v>
      </c>
    </row>
    <row r="1325" spans="1:16">
      <c r="A1325">
        <f t="shared" si="69"/>
        <v>1887.6274066692768</v>
      </c>
      <c r="B1325">
        <v>1304</v>
      </c>
      <c r="C1325">
        <v>21.140193939</v>
      </c>
      <c r="D1325">
        <v>1304</v>
      </c>
      <c r="E1325">
        <v>21.013166428000002</v>
      </c>
      <c r="F1325">
        <v>1304</v>
      </c>
      <c r="G1325">
        <v>19</v>
      </c>
      <c r="H1325">
        <v>1304</v>
      </c>
      <c r="I1325">
        <v>19.150772095000001</v>
      </c>
      <c r="K1325">
        <f t="shared" si="70"/>
        <v>1.862394333000001</v>
      </c>
      <c r="L1325">
        <v>1304</v>
      </c>
      <c r="M1325">
        <v>129</v>
      </c>
      <c r="N1325">
        <v>1304</v>
      </c>
      <c r="O1325">
        <v>126</v>
      </c>
      <c r="P1325">
        <f t="shared" si="68"/>
        <v>107.859806061</v>
      </c>
    </row>
    <row r="1326" spans="1:16">
      <c r="A1326">
        <f t="shared" si="69"/>
        <v>1888.5535013062931</v>
      </c>
      <c r="B1326">
        <v>1305</v>
      </c>
      <c r="C1326">
        <v>19.542137146000002</v>
      </c>
      <c r="D1326">
        <v>1305</v>
      </c>
      <c r="E1326">
        <v>20.377370834000001</v>
      </c>
      <c r="F1326">
        <v>1305</v>
      </c>
      <c r="G1326">
        <v>20.353700637999999</v>
      </c>
      <c r="H1326">
        <v>1305</v>
      </c>
      <c r="I1326">
        <v>19</v>
      </c>
      <c r="K1326">
        <f t="shared" si="70"/>
        <v>1.3773708340000006</v>
      </c>
      <c r="L1326">
        <v>1305</v>
      </c>
      <c r="M1326">
        <v>129</v>
      </c>
      <c r="N1326">
        <v>1305</v>
      </c>
      <c r="O1326">
        <v>126</v>
      </c>
      <c r="P1326">
        <f t="shared" si="68"/>
        <v>109.457862854</v>
      </c>
    </row>
    <row r="1327" spans="1:16">
      <c r="A1327">
        <f t="shared" si="69"/>
        <v>1889.4795959433095</v>
      </c>
      <c r="B1327">
        <v>1306</v>
      </c>
      <c r="C1327">
        <v>19.194631576999999</v>
      </c>
      <c r="D1327">
        <v>1306</v>
      </c>
      <c r="E1327">
        <v>21.919624329000001</v>
      </c>
      <c r="F1327">
        <v>1306</v>
      </c>
      <c r="G1327">
        <v>20.666666030999998</v>
      </c>
      <c r="H1327">
        <v>1306</v>
      </c>
      <c r="I1327">
        <v>18.667318344000002</v>
      </c>
      <c r="K1327">
        <f t="shared" si="70"/>
        <v>3.2523059849999996</v>
      </c>
      <c r="L1327">
        <v>1306</v>
      </c>
      <c r="M1327">
        <v>129</v>
      </c>
      <c r="N1327">
        <v>1306</v>
      </c>
      <c r="O1327">
        <v>126</v>
      </c>
      <c r="P1327">
        <f t="shared" si="68"/>
        <v>109.805368423</v>
      </c>
    </row>
    <row r="1328" spans="1:16">
      <c r="A1328">
        <f t="shared" si="69"/>
        <v>1890.4056905803257</v>
      </c>
      <c r="B1328">
        <v>1307</v>
      </c>
      <c r="C1328">
        <v>19.138061523000001</v>
      </c>
      <c r="D1328">
        <v>1307</v>
      </c>
      <c r="E1328">
        <v>21.631643295</v>
      </c>
      <c r="F1328">
        <v>1307</v>
      </c>
      <c r="G1328">
        <v>20.226528168000002</v>
      </c>
      <c r="H1328">
        <v>1307</v>
      </c>
      <c r="I1328">
        <v>19.235939026</v>
      </c>
      <c r="K1328">
        <f t="shared" si="70"/>
        <v>2.3957042689999994</v>
      </c>
      <c r="L1328">
        <v>1307</v>
      </c>
      <c r="M1328">
        <v>129</v>
      </c>
      <c r="N1328">
        <v>1307</v>
      </c>
      <c r="O1328">
        <v>126</v>
      </c>
      <c r="P1328">
        <f t="shared" si="68"/>
        <v>109.861938477</v>
      </c>
    </row>
    <row r="1329" spans="1:16">
      <c r="A1329">
        <f t="shared" si="69"/>
        <v>1891.331785217342</v>
      </c>
      <c r="B1329">
        <v>1308</v>
      </c>
      <c r="C1329">
        <v>19.823356627999999</v>
      </c>
      <c r="D1329">
        <v>1308</v>
      </c>
      <c r="E1329">
        <v>20.245128632</v>
      </c>
      <c r="F1329">
        <v>1308</v>
      </c>
      <c r="G1329">
        <v>20</v>
      </c>
      <c r="H1329">
        <v>1308</v>
      </c>
      <c r="I1329">
        <v>18.898040771000002</v>
      </c>
      <c r="K1329">
        <f t="shared" si="70"/>
        <v>1.3470878609999986</v>
      </c>
      <c r="L1329">
        <v>1308</v>
      </c>
      <c r="M1329">
        <v>129</v>
      </c>
      <c r="N1329">
        <v>1308</v>
      </c>
      <c r="O1329">
        <v>126</v>
      </c>
      <c r="P1329">
        <f t="shared" si="68"/>
        <v>109.176643372</v>
      </c>
    </row>
    <row r="1330" spans="1:16">
      <c r="A1330">
        <f t="shared" si="69"/>
        <v>1892.2578798543584</v>
      </c>
      <c r="B1330">
        <v>1309</v>
      </c>
      <c r="C1330">
        <v>20.488441467000001</v>
      </c>
      <c r="D1330">
        <v>1309</v>
      </c>
      <c r="E1330">
        <v>20.641439437999999</v>
      </c>
      <c r="F1330">
        <v>1309</v>
      </c>
      <c r="G1330">
        <v>19.458478928000002</v>
      </c>
      <c r="H1330">
        <v>1309</v>
      </c>
      <c r="I1330">
        <v>18.483333588000001</v>
      </c>
      <c r="K1330">
        <f t="shared" si="70"/>
        <v>2.1581058499999983</v>
      </c>
      <c r="L1330">
        <v>1309</v>
      </c>
      <c r="M1330">
        <v>129</v>
      </c>
      <c r="N1330">
        <v>1309</v>
      </c>
      <c r="O1330">
        <v>126</v>
      </c>
      <c r="P1330">
        <f t="shared" si="68"/>
        <v>108.511558533</v>
      </c>
    </row>
    <row r="1331" spans="1:16">
      <c r="A1331">
        <f t="shared" si="69"/>
        <v>1893.1839744913748</v>
      </c>
      <c r="B1331">
        <v>1310</v>
      </c>
      <c r="C1331">
        <v>19.755489349000001</v>
      </c>
      <c r="D1331">
        <v>1310</v>
      </c>
      <c r="E1331">
        <v>21.849018096999998</v>
      </c>
      <c r="F1331">
        <v>1310</v>
      </c>
      <c r="G1331">
        <v>19.572776793999999</v>
      </c>
      <c r="H1331">
        <v>1310</v>
      </c>
      <c r="I1331">
        <v>18.818628311000001</v>
      </c>
      <c r="K1331">
        <f t="shared" si="70"/>
        <v>3.0303897859999971</v>
      </c>
      <c r="L1331">
        <v>1310</v>
      </c>
      <c r="M1331">
        <v>129</v>
      </c>
      <c r="N1331">
        <v>1310</v>
      </c>
      <c r="O1331">
        <v>126</v>
      </c>
      <c r="P1331">
        <f t="shared" si="68"/>
        <v>109.244510651</v>
      </c>
    </row>
    <row r="1332" spans="1:16">
      <c r="A1332">
        <f t="shared" si="69"/>
        <v>1894.1100691283909</v>
      </c>
      <c r="B1332">
        <v>1311</v>
      </c>
      <c r="C1332">
        <v>19.773303985999998</v>
      </c>
      <c r="D1332">
        <v>1311</v>
      </c>
      <c r="E1332">
        <v>21.626501083000001</v>
      </c>
      <c r="F1332">
        <v>1311</v>
      </c>
      <c r="G1332">
        <v>19.935642242</v>
      </c>
      <c r="H1332">
        <v>1311</v>
      </c>
      <c r="I1332">
        <v>18.937746048000001</v>
      </c>
      <c r="K1332">
        <f t="shared" si="70"/>
        <v>2.6887550349999998</v>
      </c>
      <c r="L1332">
        <v>1311</v>
      </c>
      <c r="M1332">
        <v>129</v>
      </c>
      <c r="N1332">
        <v>1311</v>
      </c>
      <c r="O1332">
        <v>126</v>
      </c>
      <c r="P1332">
        <f t="shared" si="68"/>
        <v>109.226696014</v>
      </c>
    </row>
    <row r="1333" spans="1:16">
      <c r="A1333">
        <f t="shared" si="69"/>
        <v>1895.0361637654073</v>
      </c>
      <c r="B1333">
        <v>1312</v>
      </c>
      <c r="C1333">
        <v>19.769325255999998</v>
      </c>
      <c r="D1333">
        <v>1312</v>
      </c>
      <c r="E1333">
        <v>20.661865234</v>
      </c>
      <c r="F1333">
        <v>1312</v>
      </c>
      <c r="G1333">
        <v>19.666666030999998</v>
      </c>
      <c r="H1333">
        <v>1312</v>
      </c>
      <c r="I1333">
        <v>18.830034256000001</v>
      </c>
      <c r="K1333">
        <f t="shared" si="70"/>
        <v>1.8318309779999993</v>
      </c>
      <c r="L1333">
        <v>1312</v>
      </c>
      <c r="M1333">
        <v>129</v>
      </c>
      <c r="N1333">
        <v>1312</v>
      </c>
      <c r="O1333">
        <v>126</v>
      </c>
      <c r="P1333">
        <f t="shared" si="68"/>
        <v>109.230674744</v>
      </c>
    </row>
    <row r="1334" spans="1:16">
      <c r="A1334">
        <f t="shared" si="69"/>
        <v>1895.9622584024237</v>
      </c>
      <c r="B1334">
        <v>1313</v>
      </c>
      <c r="C1334">
        <v>20.376832962000002</v>
      </c>
      <c r="D1334">
        <v>1313</v>
      </c>
      <c r="E1334">
        <v>20.600784302000001</v>
      </c>
      <c r="F1334">
        <v>1313</v>
      </c>
      <c r="G1334">
        <v>19.340984343999999</v>
      </c>
      <c r="H1334">
        <v>1313</v>
      </c>
      <c r="I1334">
        <v>20.121761322000001</v>
      </c>
      <c r="K1334">
        <f t="shared" si="70"/>
        <v>0.47902297999999988</v>
      </c>
      <c r="L1334">
        <v>1313</v>
      </c>
      <c r="M1334">
        <v>129</v>
      </c>
      <c r="N1334">
        <v>1313</v>
      </c>
      <c r="O1334">
        <v>126</v>
      </c>
      <c r="P1334">
        <f t="shared" si="68"/>
        <v>108.62316703799999</v>
      </c>
    </row>
    <row r="1335" spans="1:16">
      <c r="A1335">
        <f t="shared" si="69"/>
        <v>1896.8883530394401</v>
      </c>
      <c r="B1335">
        <v>1314</v>
      </c>
      <c r="C1335">
        <v>20.12528038</v>
      </c>
      <c r="D1335">
        <v>1314</v>
      </c>
      <c r="E1335">
        <v>21.40382576</v>
      </c>
      <c r="F1335">
        <v>1314</v>
      </c>
      <c r="G1335">
        <v>18.183805465999999</v>
      </c>
      <c r="H1335">
        <v>1314</v>
      </c>
      <c r="I1335">
        <v>21.361764908000001</v>
      </c>
      <c r="K1335">
        <f t="shared" si="70"/>
        <v>4.2060851999998761E-2</v>
      </c>
      <c r="L1335">
        <v>1314</v>
      </c>
      <c r="M1335">
        <v>129</v>
      </c>
      <c r="N1335">
        <v>1314</v>
      </c>
      <c r="O1335">
        <v>126</v>
      </c>
      <c r="P1335">
        <f t="shared" si="68"/>
        <v>108.87471962000001</v>
      </c>
    </row>
    <row r="1336" spans="1:16">
      <c r="A1336">
        <f t="shared" si="69"/>
        <v>1897.8144476764562</v>
      </c>
      <c r="B1336">
        <v>1315</v>
      </c>
      <c r="C1336">
        <v>19.090705872000001</v>
      </c>
      <c r="D1336">
        <v>1315</v>
      </c>
      <c r="E1336">
        <v>21.906930923000001</v>
      </c>
      <c r="F1336">
        <v>1315</v>
      </c>
      <c r="G1336">
        <v>18.381465911999999</v>
      </c>
      <c r="H1336">
        <v>1315</v>
      </c>
      <c r="I1336">
        <v>20.365196227999999</v>
      </c>
      <c r="K1336">
        <f t="shared" si="70"/>
        <v>1.5417346950000024</v>
      </c>
      <c r="L1336">
        <v>1315</v>
      </c>
      <c r="M1336">
        <v>129</v>
      </c>
      <c r="N1336">
        <v>1315</v>
      </c>
      <c r="O1336">
        <v>126</v>
      </c>
      <c r="P1336">
        <f t="shared" si="68"/>
        <v>109.909294128</v>
      </c>
    </row>
    <row r="1337" spans="1:16">
      <c r="A1337">
        <f t="shared" si="69"/>
        <v>1898.7405423134726</v>
      </c>
      <c r="B1337">
        <v>1316</v>
      </c>
      <c r="C1337">
        <v>19</v>
      </c>
      <c r="D1337">
        <v>1316</v>
      </c>
      <c r="E1337">
        <v>20.720895766999998</v>
      </c>
      <c r="F1337">
        <v>1316</v>
      </c>
      <c r="G1337">
        <v>17.364463806</v>
      </c>
      <c r="H1337">
        <v>1316</v>
      </c>
      <c r="I1337">
        <v>20.860784531</v>
      </c>
      <c r="K1337">
        <f t="shared" si="70"/>
        <v>-0.13988876400000194</v>
      </c>
      <c r="L1337">
        <v>1316</v>
      </c>
      <c r="M1337">
        <v>129</v>
      </c>
      <c r="N1337">
        <v>1316</v>
      </c>
      <c r="O1337">
        <v>126</v>
      </c>
      <c r="P1337">
        <f t="shared" si="68"/>
        <v>110</v>
      </c>
    </row>
    <row r="1338" spans="1:16">
      <c r="A1338">
        <f t="shared" si="69"/>
        <v>1899.666636950489</v>
      </c>
      <c r="B1338">
        <v>1317</v>
      </c>
      <c r="C1338">
        <v>19.728645324999999</v>
      </c>
      <c r="D1338">
        <v>1317</v>
      </c>
      <c r="E1338">
        <v>20.090688705000002</v>
      </c>
      <c r="F1338">
        <v>1317</v>
      </c>
      <c r="G1338">
        <v>17.333333969000002</v>
      </c>
      <c r="H1338">
        <v>1317</v>
      </c>
      <c r="I1338">
        <v>20.834312439000001</v>
      </c>
      <c r="K1338">
        <f t="shared" si="70"/>
        <v>-0.74362373399999981</v>
      </c>
      <c r="L1338">
        <v>1317</v>
      </c>
      <c r="M1338">
        <v>129</v>
      </c>
      <c r="N1338">
        <v>1317</v>
      </c>
      <c r="O1338">
        <v>126</v>
      </c>
      <c r="P1338">
        <f t="shared" si="68"/>
        <v>109.271354675</v>
      </c>
    </row>
    <row r="1339" spans="1:16">
      <c r="A1339">
        <f t="shared" si="69"/>
        <v>1900.5927315875051</v>
      </c>
      <c r="B1339">
        <v>1318</v>
      </c>
      <c r="C1339">
        <v>19.302013397</v>
      </c>
      <c r="D1339">
        <v>1318</v>
      </c>
      <c r="E1339">
        <v>20</v>
      </c>
      <c r="F1339">
        <v>1318</v>
      </c>
      <c r="G1339">
        <v>17.227705002</v>
      </c>
      <c r="H1339">
        <v>1318</v>
      </c>
      <c r="I1339">
        <v>21.249019622999999</v>
      </c>
      <c r="K1339">
        <f t="shared" si="70"/>
        <v>-1.2490196229999988</v>
      </c>
      <c r="L1339">
        <v>1318</v>
      </c>
      <c r="M1339">
        <v>129</v>
      </c>
      <c r="N1339">
        <v>1318</v>
      </c>
      <c r="O1339">
        <v>126</v>
      </c>
      <c r="P1339">
        <f t="shared" si="68"/>
        <v>109.697986603</v>
      </c>
    </row>
    <row r="1340" spans="1:16">
      <c r="A1340">
        <f t="shared" si="69"/>
        <v>1901.5188262245215</v>
      </c>
      <c r="B1340">
        <v>1319</v>
      </c>
      <c r="C1340">
        <v>19.436120986999999</v>
      </c>
      <c r="D1340">
        <v>1319</v>
      </c>
      <c r="E1340">
        <v>20.734018326000001</v>
      </c>
      <c r="F1340">
        <v>1319</v>
      </c>
      <c r="G1340">
        <v>17.778440475</v>
      </c>
      <c r="H1340">
        <v>1319</v>
      </c>
      <c r="I1340">
        <v>20.98777771</v>
      </c>
      <c r="K1340">
        <f t="shared" si="70"/>
        <v>-0.25375938399999853</v>
      </c>
      <c r="L1340">
        <v>1319</v>
      </c>
      <c r="M1340">
        <v>129</v>
      </c>
      <c r="N1340">
        <v>1319</v>
      </c>
      <c r="O1340">
        <v>126</v>
      </c>
      <c r="P1340">
        <f t="shared" si="68"/>
        <v>109.563879013</v>
      </c>
    </row>
    <row r="1341" spans="1:16">
      <c r="A1341">
        <f t="shared" si="69"/>
        <v>1902.4449208615379</v>
      </c>
      <c r="B1341">
        <v>1320</v>
      </c>
      <c r="C1341">
        <v>19.915088654000002</v>
      </c>
      <c r="D1341">
        <v>1320</v>
      </c>
      <c r="E1341">
        <v>21</v>
      </c>
      <c r="F1341">
        <v>1320</v>
      </c>
      <c r="G1341">
        <v>19.63441658</v>
      </c>
      <c r="H1341">
        <v>1320</v>
      </c>
      <c r="I1341">
        <v>20.274509429999998</v>
      </c>
      <c r="K1341">
        <f t="shared" si="70"/>
        <v>0.72549057000000161</v>
      </c>
      <c r="L1341">
        <v>1320</v>
      </c>
      <c r="M1341">
        <v>129</v>
      </c>
      <c r="N1341">
        <v>1320</v>
      </c>
      <c r="O1341">
        <v>126</v>
      </c>
      <c r="P1341">
        <f t="shared" si="68"/>
        <v>109.084911346</v>
      </c>
    </row>
    <row r="1342" spans="1:16">
      <c r="A1342">
        <f t="shared" si="69"/>
        <v>1903.3710154985542</v>
      </c>
      <c r="B1342">
        <v>1321</v>
      </c>
      <c r="C1342">
        <v>19.149211884</v>
      </c>
      <c r="D1342">
        <v>1321</v>
      </c>
      <c r="E1342">
        <v>21.185403824000002</v>
      </c>
      <c r="F1342">
        <v>1321</v>
      </c>
      <c r="G1342">
        <v>22.078557967999998</v>
      </c>
      <c r="H1342">
        <v>1321</v>
      </c>
      <c r="I1342">
        <v>19.913490294999999</v>
      </c>
      <c r="K1342">
        <f t="shared" si="70"/>
        <v>1.2719135290000025</v>
      </c>
      <c r="L1342">
        <v>1321</v>
      </c>
      <c r="M1342">
        <v>129</v>
      </c>
      <c r="N1342">
        <v>1321</v>
      </c>
      <c r="O1342">
        <v>126</v>
      </c>
      <c r="P1342">
        <f t="shared" si="68"/>
        <v>109.850788116</v>
      </c>
    </row>
    <row r="1343" spans="1:16">
      <c r="A1343">
        <f t="shared" si="69"/>
        <v>1904.2971101355704</v>
      </c>
      <c r="B1343">
        <v>1322</v>
      </c>
      <c r="C1343">
        <v>18.503795623999999</v>
      </c>
      <c r="D1343">
        <v>1322</v>
      </c>
      <c r="E1343">
        <v>21.333333969000002</v>
      </c>
      <c r="F1343">
        <v>1322</v>
      </c>
      <c r="G1343">
        <v>22.84651947</v>
      </c>
      <c r="H1343">
        <v>1322</v>
      </c>
      <c r="I1343">
        <v>20.277359009000001</v>
      </c>
      <c r="K1343">
        <f t="shared" si="70"/>
        <v>1.0559749600000004</v>
      </c>
      <c r="L1343">
        <v>1322</v>
      </c>
      <c r="M1343">
        <v>129</v>
      </c>
      <c r="N1343">
        <v>1322</v>
      </c>
      <c r="O1343">
        <v>126</v>
      </c>
      <c r="P1343">
        <f t="shared" si="68"/>
        <v>110.49620437600001</v>
      </c>
    </row>
    <row r="1344" spans="1:16">
      <c r="A1344">
        <f t="shared" si="69"/>
        <v>1905.2232047725868</v>
      </c>
      <c r="B1344">
        <v>1323</v>
      </c>
      <c r="C1344">
        <v>18.693946837999999</v>
      </c>
      <c r="D1344">
        <v>1323</v>
      </c>
      <c r="E1344">
        <v>20.86772728</v>
      </c>
      <c r="F1344">
        <v>1323</v>
      </c>
      <c r="G1344">
        <v>22.490076065</v>
      </c>
      <c r="H1344">
        <v>1323</v>
      </c>
      <c r="I1344">
        <v>20.224979400999999</v>
      </c>
      <c r="K1344">
        <f t="shared" si="70"/>
        <v>0.64274787900000163</v>
      </c>
      <c r="L1344">
        <v>1323</v>
      </c>
      <c r="M1344">
        <v>129</v>
      </c>
      <c r="N1344">
        <v>1323</v>
      </c>
      <c r="O1344">
        <v>126</v>
      </c>
      <c r="P1344">
        <f t="shared" si="68"/>
        <v>110.306053162</v>
      </c>
    </row>
    <row r="1345" spans="1:16">
      <c r="A1345">
        <f t="shared" si="69"/>
        <v>1906.1492994096031</v>
      </c>
      <c r="B1345">
        <v>1324</v>
      </c>
      <c r="C1345">
        <v>18.450162888000001</v>
      </c>
      <c r="D1345">
        <v>1324</v>
      </c>
      <c r="E1345">
        <v>20.240509032999999</v>
      </c>
      <c r="F1345">
        <v>1324</v>
      </c>
      <c r="G1345">
        <v>19.01102066</v>
      </c>
      <c r="H1345">
        <v>1324</v>
      </c>
      <c r="I1345">
        <v>20.513725280999999</v>
      </c>
      <c r="K1345">
        <f t="shared" si="70"/>
        <v>-0.27321624800000066</v>
      </c>
      <c r="L1345">
        <v>1324</v>
      </c>
      <c r="M1345">
        <v>129</v>
      </c>
      <c r="N1345">
        <v>1324</v>
      </c>
      <c r="O1345">
        <v>126</v>
      </c>
      <c r="P1345">
        <f t="shared" si="68"/>
        <v>110.54983711200001</v>
      </c>
    </row>
    <row r="1346" spans="1:16">
      <c r="A1346">
        <f t="shared" si="69"/>
        <v>1907.0753940466195</v>
      </c>
      <c r="B1346">
        <v>1325</v>
      </c>
      <c r="C1346">
        <v>19.146453857000001</v>
      </c>
      <c r="D1346">
        <v>1325</v>
      </c>
      <c r="E1346">
        <v>20.404390334999999</v>
      </c>
      <c r="F1346">
        <v>1325</v>
      </c>
      <c r="G1346">
        <v>18.666666030999998</v>
      </c>
      <c r="H1346">
        <v>1325</v>
      </c>
      <c r="I1346">
        <v>20</v>
      </c>
      <c r="K1346">
        <f t="shared" si="70"/>
        <v>0.40439033499999866</v>
      </c>
      <c r="L1346">
        <v>1325</v>
      </c>
      <c r="M1346">
        <v>129</v>
      </c>
      <c r="N1346">
        <v>1325</v>
      </c>
      <c r="O1346">
        <v>126</v>
      </c>
      <c r="P1346">
        <f t="shared" si="68"/>
        <v>109.853546143</v>
      </c>
    </row>
    <row r="1347" spans="1:16">
      <c r="A1347">
        <f t="shared" si="69"/>
        <v>1908.0014886836357</v>
      </c>
      <c r="B1347">
        <v>1326</v>
      </c>
      <c r="C1347">
        <v>18.112602234000001</v>
      </c>
      <c r="D1347">
        <v>1326</v>
      </c>
      <c r="E1347">
        <v>21.182464599999999</v>
      </c>
      <c r="F1347">
        <v>1326</v>
      </c>
      <c r="G1347">
        <v>18.522602080999999</v>
      </c>
      <c r="H1347">
        <v>1326</v>
      </c>
      <c r="I1347">
        <v>20</v>
      </c>
      <c r="K1347">
        <f t="shared" si="70"/>
        <v>1.1824645999999994</v>
      </c>
      <c r="L1347">
        <v>1326</v>
      </c>
      <c r="M1347">
        <v>129</v>
      </c>
      <c r="N1347">
        <v>1326</v>
      </c>
      <c r="O1347">
        <v>126</v>
      </c>
      <c r="P1347">
        <f t="shared" si="68"/>
        <v>110.88739776599999</v>
      </c>
    </row>
    <row r="1348" spans="1:16">
      <c r="A1348">
        <f t="shared" si="69"/>
        <v>1908.927583320652</v>
      </c>
      <c r="B1348">
        <v>1327</v>
      </c>
      <c r="C1348">
        <v>17.138950348000002</v>
      </c>
      <c r="D1348">
        <v>1327</v>
      </c>
      <c r="E1348">
        <v>21.319204330000002</v>
      </c>
      <c r="F1348">
        <v>1327</v>
      </c>
      <c r="G1348">
        <v>18</v>
      </c>
      <c r="H1348">
        <v>1327</v>
      </c>
      <c r="I1348">
        <v>20</v>
      </c>
      <c r="K1348">
        <f t="shared" si="70"/>
        <v>1.3192043300000016</v>
      </c>
      <c r="L1348">
        <v>1327</v>
      </c>
      <c r="M1348">
        <v>129</v>
      </c>
      <c r="N1348">
        <v>1327</v>
      </c>
      <c r="O1348">
        <v>126</v>
      </c>
      <c r="P1348">
        <f t="shared" si="68"/>
        <v>111.86104965199999</v>
      </c>
    </row>
    <row r="1349" spans="1:16">
      <c r="A1349">
        <f t="shared" si="69"/>
        <v>1909.8536779576684</v>
      </c>
      <c r="B1349">
        <v>1328</v>
      </c>
      <c r="C1349">
        <v>18.162267685</v>
      </c>
      <c r="D1349">
        <v>1328</v>
      </c>
      <c r="E1349">
        <v>20.984762192000002</v>
      </c>
      <c r="F1349">
        <v>1328</v>
      </c>
      <c r="G1349">
        <v>18.056346893000001</v>
      </c>
      <c r="H1349">
        <v>1328</v>
      </c>
      <c r="I1349">
        <v>20</v>
      </c>
      <c r="K1349">
        <f t="shared" si="70"/>
        <v>0.98476219200000159</v>
      </c>
      <c r="L1349">
        <v>1328</v>
      </c>
      <c r="M1349">
        <v>129</v>
      </c>
      <c r="N1349">
        <v>1328</v>
      </c>
      <c r="O1349">
        <v>126</v>
      </c>
      <c r="P1349">
        <f t="shared" si="68"/>
        <v>110.837732315</v>
      </c>
    </row>
    <row r="1350" spans="1:16">
      <c r="A1350">
        <f t="shared" si="69"/>
        <v>1910.7797725946848</v>
      </c>
      <c r="B1350">
        <v>1329</v>
      </c>
      <c r="C1350">
        <v>18.122131348</v>
      </c>
      <c r="D1350">
        <v>1329</v>
      </c>
      <c r="E1350">
        <v>19.521514892999999</v>
      </c>
      <c r="F1350">
        <v>1329</v>
      </c>
      <c r="G1350">
        <v>18.988327026</v>
      </c>
      <c r="H1350">
        <v>1329</v>
      </c>
      <c r="I1350">
        <v>18.698530197</v>
      </c>
      <c r="K1350">
        <f t="shared" si="70"/>
        <v>0.82298469599999891</v>
      </c>
      <c r="L1350">
        <v>1329</v>
      </c>
      <c r="M1350">
        <v>129</v>
      </c>
      <c r="N1350">
        <v>1329</v>
      </c>
      <c r="O1350">
        <v>126</v>
      </c>
      <c r="P1350">
        <f t="shared" si="68"/>
        <v>110.877868652</v>
      </c>
    </row>
    <row r="1351" spans="1:16">
      <c r="A1351">
        <f t="shared" si="69"/>
        <v>1911.7058672317009</v>
      </c>
      <c r="B1351">
        <v>1330</v>
      </c>
      <c r="C1351">
        <v>18.280130386</v>
      </c>
      <c r="D1351">
        <v>1330</v>
      </c>
      <c r="E1351">
        <v>20.189760207999999</v>
      </c>
      <c r="F1351">
        <v>1330</v>
      </c>
      <c r="G1351">
        <v>19</v>
      </c>
      <c r="H1351">
        <v>1330</v>
      </c>
      <c r="I1351">
        <v>18.333333969000002</v>
      </c>
      <c r="K1351">
        <f t="shared" si="70"/>
        <v>1.8564262389999975</v>
      </c>
      <c r="L1351">
        <v>1330</v>
      </c>
      <c r="M1351">
        <v>129</v>
      </c>
      <c r="N1351">
        <v>1330</v>
      </c>
      <c r="O1351">
        <v>126</v>
      </c>
      <c r="P1351">
        <f t="shared" si="68"/>
        <v>110.719869614</v>
      </c>
    </row>
    <row r="1352" spans="1:16">
      <c r="A1352">
        <f t="shared" si="69"/>
        <v>1912.6319618687173</v>
      </c>
      <c r="B1352">
        <v>1331</v>
      </c>
      <c r="C1352">
        <v>18.333333969000002</v>
      </c>
      <c r="D1352">
        <v>1331</v>
      </c>
      <c r="E1352">
        <v>20.482543945</v>
      </c>
      <c r="F1352">
        <v>1331</v>
      </c>
      <c r="G1352">
        <v>19.438591002999999</v>
      </c>
      <c r="H1352">
        <v>1331</v>
      </c>
      <c r="I1352">
        <v>18.132843017999999</v>
      </c>
      <c r="K1352">
        <f t="shared" si="70"/>
        <v>2.3497009270000007</v>
      </c>
      <c r="L1352">
        <v>1331</v>
      </c>
      <c r="M1352">
        <v>129</v>
      </c>
      <c r="N1352">
        <v>1331</v>
      </c>
      <c r="O1352">
        <v>126</v>
      </c>
      <c r="P1352">
        <f t="shared" si="68"/>
        <v>110.66666603100001</v>
      </c>
    </row>
    <row r="1353" spans="1:16">
      <c r="A1353">
        <f t="shared" si="69"/>
        <v>1913.5580565057337</v>
      </c>
      <c r="B1353">
        <v>1332</v>
      </c>
      <c r="C1353">
        <v>18.863985062000001</v>
      </c>
      <c r="D1353">
        <v>1332</v>
      </c>
      <c r="E1353">
        <v>20.983345031999999</v>
      </c>
      <c r="F1353">
        <v>1332</v>
      </c>
      <c r="G1353">
        <v>19.553401947000001</v>
      </c>
      <c r="H1353">
        <v>1332</v>
      </c>
      <c r="I1353">
        <v>18.517646790000001</v>
      </c>
      <c r="K1353">
        <f t="shared" si="70"/>
        <v>2.4656982419999984</v>
      </c>
      <c r="L1353">
        <v>1332</v>
      </c>
      <c r="M1353">
        <v>129</v>
      </c>
      <c r="N1353">
        <v>1332</v>
      </c>
      <c r="O1353">
        <v>126</v>
      </c>
      <c r="P1353">
        <f t="shared" si="68"/>
        <v>110.136014938</v>
      </c>
    </row>
    <row r="1354" spans="1:16">
      <c r="A1354">
        <f t="shared" si="69"/>
        <v>1914.4841511427501</v>
      </c>
      <c r="B1354">
        <v>1333</v>
      </c>
      <c r="C1354">
        <v>18.426620483000001</v>
      </c>
      <c r="D1354">
        <v>1333</v>
      </c>
      <c r="E1354">
        <v>20.922349929999999</v>
      </c>
      <c r="F1354">
        <v>1333</v>
      </c>
      <c r="G1354">
        <v>18.890281677000001</v>
      </c>
      <c r="H1354">
        <v>1333</v>
      </c>
      <c r="I1354">
        <v>18.842594147</v>
      </c>
      <c r="K1354">
        <f t="shared" si="70"/>
        <v>2.0797557829999995</v>
      </c>
      <c r="L1354">
        <v>1333</v>
      </c>
      <c r="M1354">
        <v>129</v>
      </c>
      <c r="N1354">
        <v>1333</v>
      </c>
      <c r="O1354">
        <v>126</v>
      </c>
      <c r="P1354">
        <f t="shared" si="68"/>
        <v>110.57337951700001</v>
      </c>
    </row>
    <row r="1355" spans="1:16">
      <c r="A1355">
        <f t="shared" si="69"/>
        <v>1915.4102457797662</v>
      </c>
      <c r="B1355">
        <v>1334</v>
      </c>
      <c r="C1355">
        <v>18.747879028</v>
      </c>
      <c r="D1355">
        <v>1334</v>
      </c>
      <c r="E1355">
        <v>21.130226135000001</v>
      </c>
      <c r="F1355">
        <v>1334</v>
      </c>
      <c r="G1355">
        <v>18.957277298000001</v>
      </c>
      <c r="H1355">
        <v>1334</v>
      </c>
      <c r="I1355">
        <v>18.333333969000002</v>
      </c>
      <c r="K1355">
        <f t="shared" si="70"/>
        <v>2.7968921659999992</v>
      </c>
      <c r="L1355">
        <v>1334</v>
      </c>
      <c r="M1355">
        <v>129</v>
      </c>
      <c r="N1355">
        <v>1334</v>
      </c>
      <c r="O1355">
        <v>126</v>
      </c>
      <c r="P1355">
        <f t="shared" si="68"/>
        <v>110.252120972</v>
      </c>
    </row>
    <row r="1356" spans="1:16">
      <c r="A1356">
        <f t="shared" si="69"/>
        <v>1916.3363404167826</v>
      </c>
      <c r="B1356">
        <v>1335</v>
      </c>
      <c r="C1356">
        <v>19</v>
      </c>
      <c r="D1356">
        <v>1335</v>
      </c>
      <c r="E1356">
        <v>20.824148178000002</v>
      </c>
      <c r="F1356">
        <v>1335</v>
      </c>
      <c r="G1356">
        <v>18.980058669999998</v>
      </c>
      <c r="H1356">
        <v>1335</v>
      </c>
      <c r="I1356">
        <v>18.333333969000002</v>
      </c>
      <c r="K1356">
        <f t="shared" si="70"/>
        <v>2.4908142089999998</v>
      </c>
      <c r="L1356">
        <v>1335</v>
      </c>
      <c r="M1356">
        <v>129</v>
      </c>
      <c r="N1356">
        <v>1335</v>
      </c>
      <c r="O1356">
        <v>126</v>
      </c>
      <c r="P1356">
        <f t="shared" si="68"/>
        <v>110</v>
      </c>
    </row>
    <row r="1357" spans="1:16">
      <c r="A1357">
        <f t="shared" si="69"/>
        <v>1917.262435053799</v>
      </c>
      <c r="B1357">
        <v>1336</v>
      </c>
      <c r="C1357">
        <v>18.313280106000001</v>
      </c>
      <c r="D1357">
        <v>1336</v>
      </c>
      <c r="E1357">
        <v>20.426668166999999</v>
      </c>
      <c r="F1357">
        <v>1336</v>
      </c>
      <c r="G1357">
        <v>18.312349318999999</v>
      </c>
      <c r="H1357">
        <v>1336</v>
      </c>
      <c r="I1357">
        <v>18.333333969000002</v>
      </c>
      <c r="K1357">
        <f t="shared" si="70"/>
        <v>2.0933341979999973</v>
      </c>
      <c r="L1357">
        <v>1336</v>
      </c>
      <c r="M1357">
        <v>129</v>
      </c>
      <c r="N1357">
        <v>1336</v>
      </c>
      <c r="O1357">
        <v>126</v>
      </c>
      <c r="P1357">
        <f t="shared" si="68"/>
        <v>110.68671989399999</v>
      </c>
    </row>
    <row r="1358" spans="1:16">
      <c r="A1358">
        <f t="shared" si="69"/>
        <v>1918.1885296908151</v>
      </c>
      <c r="B1358">
        <v>1337</v>
      </c>
      <c r="C1358">
        <v>17.333333969000002</v>
      </c>
      <c r="D1358">
        <v>1337</v>
      </c>
      <c r="E1358">
        <v>20</v>
      </c>
      <c r="F1358">
        <v>1337</v>
      </c>
      <c r="G1358">
        <v>18.737712859999998</v>
      </c>
      <c r="H1358">
        <v>1337</v>
      </c>
      <c r="I1358">
        <v>18.396570206</v>
      </c>
      <c r="K1358">
        <f t="shared" si="70"/>
        <v>1.6034297940000002</v>
      </c>
      <c r="L1358">
        <v>1337</v>
      </c>
      <c r="M1358">
        <v>129</v>
      </c>
      <c r="N1358">
        <v>1337</v>
      </c>
      <c r="O1358">
        <v>126</v>
      </c>
      <c r="P1358">
        <f t="shared" si="68"/>
        <v>111.66666603100001</v>
      </c>
    </row>
    <row r="1359" spans="1:16">
      <c r="A1359">
        <f t="shared" si="69"/>
        <v>1919.1146243278315</v>
      </c>
      <c r="B1359">
        <v>1338</v>
      </c>
      <c r="C1359">
        <v>17.333333969000002</v>
      </c>
      <c r="D1359">
        <v>1338</v>
      </c>
      <c r="E1359">
        <v>20.014940262</v>
      </c>
      <c r="F1359">
        <v>1338</v>
      </c>
      <c r="G1359">
        <v>19.177347182999998</v>
      </c>
      <c r="H1359">
        <v>1338</v>
      </c>
      <c r="I1359">
        <v>19.306863785000001</v>
      </c>
      <c r="K1359">
        <f t="shared" si="70"/>
        <v>0.70807647699999876</v>
      </c>
      <c r="L1359">
        <v>1338</v>
      </c>
      <c r="M1359">
        <v>129</v>
      </c>
      <c r="N1359">
        <v>1338</v>
      </c>
      <c r="O1359">
        <v>126</v>
      </c>
      <c r="P1359">
        <f t="shared" si="68"/>
        <v>111.66666603100001</v>
      </c>
    </row>
    <row r="1360" spans="1:16">
      <c r="A1360">
        <f t="shared" si="69"/>
        <v>1920.0407189648479</v>
      </c>
      <c r="B1360">
        <v>1339</v>
      </c>
      <c r="C1360">
        <v>17.578672408999999</v>
      </c>
      <c r="D1360">
        <v>1339</v>
      </c>
      <c r="E1360">
        <v>20.318639755</v>
      </c>
      <c r="F1360">
        <v>1339</v>
      </c>
      <c r="G1360">
        <v>19.049676895000001</v>
      </c>
      <c r="H1360">
        <v>1339</v>
      </c>
      <c r="I1360">
        <v>19.333333969000002</v>
      </c>
      <c r="K1360">
        <f t="shared" si="70"/>
        <v>0.98530578599999785</v>
      </c>
      <c r="L1360">
        <v>1339</v>
      </c>
      <c r="M1360">
        <v>129</v>
      </c>
      <c r="N1360">
        <v>1339</v>
      </c>
      <c r="O1360">
        <v>126</v>
      </c>
      <c r="P1360">
        <f t="shared" si="68"/>
        <v>111.42132759099999</v>
      </c>
    </row>
    <row r="1361" spans="1:16">
      <c r="A1361">
        <f t="shared" si="69"/>
        <v>1920.9668136018643</v>
      </c>
      <c r="B1361">
        <v>1340</v>
      </c>
      <c r="C1361">
        <v>17.956003189</v>
      </c>
      <c r="D1361">
        <v>1340</v>
      </c>
      <c r="E1361">
        <v>20.333333969000002</v>
      </c>
      <c r="F1361">
        <v>1340</v>
      </c>
      <c r="G1361">
        <v>19</v>
      </c>
      <c r="H1361">
        <v>1340</v>
      </c>
      <c r="I1361">
        <v>19.333333969000002</v>
      </c>
      <c r="K1361">
        <f t="shared" si="70"/>
        <v>1</v>
      </c>
      <c r="L1361">
        <v>1340</v>
      </c>
      <c r="M1361">
        <v>129</v>
      </c>
      <c r="N1361">
        <v>1340</v>
      </c>
      <c r="O1361">
        <v>126</v>
      </c>
      <c r="P1361">
        <f t="shared" si="68"/>
        <v>111.043996811</v>
      </c>
    </row>
    <row r="1362" spans="1:16">
      <c r="A1362">
        <f t="shared" si="69"/>
        <v>1921.8929082388804</v>
      </c>
      <c r="B1362">
        <v>1341</v>
      </c>
      <c r="C1362">
        <v>0</v>
      </c>
      <c r="D1362">
        <v>1341</v>
      </c>
      <c r="E1362">
        <v>20.986232758</v>
      </c>
      <c r="F1362">
        <v>1341</v>
      </c>
      <c r="G1362">
        <v>19</v>
      </c>
      <c r="H1362">
        <v>1341</v>
      </c>
      <c r="I1362">
        <v>19.293138504000002</v>
      </c>
      <c r="K1362">
        <f t="shared" si="70"/>
        <v>1.6930942539999982</v>
      </c>
      <c r="L1362">
        <v>1341</v>
      </c>
      <c r="M1362">
        <v>129</v>
      </c>
      <c r="N1362">
        <v>1341</v>
      </c>
      <c r="O1362">
        <v>126</v>
      </c>
      <c r="P1362">
        <f t="shared" si="68"/>
        <v>129</v>
      </c>
    </row>
    <row r="1363" spans="1:16">
      <c r="A1363">
        <f t="shared" si="69"/>
        <v>1922.8190028758968</v>
      </c>
      <c r="B1363">
        <v>1342</v>
      </c>
      <c r="D1363">
        <v>1342</v>
      </c>
      <c r="E1363">
        <v>21.102865219000002</v>
      </c>
      <c r="F1363">
        <v>1342</v>
      </c>
      <c r="G1363">
        <v>19</v>
      </c>
      <c r="H1363">
        <v>1342</v>
      </c>
      <c r="I1363">
        <v>20.765190125</v>
      </c>
      <c r="K1363">
        <f t="shared" si="70"/>
        <v>0.33767509400000151</v>
      </c>
      <c r="L1363">
        <v>1342</v>
      </c>
      <c r="M1363">
        <v>129</v>
      </c>
      <c r="N1363">
        <v>1342</v>
      </c>
      <c r="O1363">
        <v>126</v>
      </c>
      <c r="P1363">
        <f t="shared" si="68"/>
        <v>129</v>
      </c>
    </row>
    <row r="1364" spans="1:16">
      <c r="A1364">
        <f t="shared" si="69"/>
        <v>1923.7450975129132</v>
      </c>
      <c r="B1364">
        <v>1343</v>
      </c>
      <c r="D1364">
        <v>1343</v>
      </c>
      <c r="E1364">
        <v>20.691263199000002</v>
      </c>
      <c r="H1364">
        <v>1343</v>
      </c>
      <c r="I1364">
        <v>20.558332443000001</v>
      </c>
      <c r="K1364">
        <f t="shared" si="70"/>
        <v>0.13293075600000037</v>
      </c>
      <c r="L1364">
        <v>1343</v>
      </c>
      <c r="M1364">
        <v>0</v>
      </c>
      <c r="P1364">
        <f t="shared" si="68"/>
        <v>0</v>
      </c>
    </row>
    <row r="1365" spans="1:16">
      <c r="A1365">
        <f t="shared" si="69"/>
        <v>1924.6711921499295</v>
      </c>
      <c r="B1365">
        <v>1344</v>
      </c>
      <c r="D1365">
        <v>1344</v>
      </c>
      <c r="E1365">
        <v>21.168361663999999</v>
      </c>
      <c r="H1365">
        <v>1344</v>
      </c>
      <c r="I1365">
        <v>20</v>
      </c>
      <c r="K1365">
        <f t="shared" si="70"/>
        <v>1.168361663999999</v>
      </c>
      <c r="L1365">
        <v>1344</v>
      </c>
      <c r="M1365">
        <v>105</v>
      </c>
      <c r="P1365">
        <f t="shared" ref="P1365:P1383" si="71">M1365-C1365</f>
        <v>105</v>
      </c>
    </row>
    <row r="1366" spans="1:16">
      <c r="A1366">
        <f t="shared" ref="A1366:A1382" si="72">680 +B1366*COS(ABS($J$8)*PI()/180)</f>
        <v>1925.5972867869457</v>
      </c>
      <c r="B1366">
        <v>1345</v>
      </c>
      <c r="D1366">
        <v>1345</v>
      </c>
      <c r="E1366">
        <v>21.133464813</v>
      </c>
      <c r="H1366">
        <v>1345</v>
      </c>
      <c r="I1366">
        <v>19.308822631999998</v>
      </c>
      <c r="K1366">
        <f t="shared" ref="K1366:K1381" si="73">E1366-I1366</f>
        <v>1.8246421810000015</v>
      </c>
      <c r="L1366">
        <v>1345</v>
      </c>
      <c r="M1366">
        <v>105</v>
      </c>
      <c r="P1366">
        <f t="shared" si="71"/>
        <v>105</v>
      </c>
    </row>
    <row r="1367" spans="1:16">
      <c r="A1367">
        <f t="shared" si="72"/>
        <v>1926.5233814239621</v>
      </c>
      <c r="B1367">
        <v>1346</v>
      </c>
      <c r="D1367">
        <v>1346</v>
      </c>
      <c r="E1367">
        <v>19.591571808000001</v>
      </c>
      <c r="H1367">
        <v>1346</v>
      </c>
      <c r="I1367">
        <v>18.689222336</v>
      </c>
      <c r="K1367">
        <f t="shared" si="73"/>
        <v>0.90234947200000093</v>
      </c>
      <c r="L1367">
        <v>1346</v>
      </c>
      <c r="M1367">
        <v>104.566810608</v>
      </c>
      <c r="P1367">
        <f t="shared" si="71"/>
        <v>104.566810608</v>
      </c>
    </row>
    <row r="1368" spans="1:16">
      <c r="A1368">
        <f t="shared" si="72"/>
        <v>1927.4494760609784</v>
      </c>
      <c r="B1368">
        <v>1347</v>
      </c>
      <c r="D1368">
        <v>1347</v>
      </c>
      <c r="E1368">
        <v>18.947513579999999</v>
      </c>
      <c r="H1368">
        <v>1347</v>
      </c>
      <c r="I1368">
        <v>19.065004348999999</v>
      </c>
      <c r="K1368">
        <f t="shared" si="73"/>
        <v>-0.11749076899999977</v>
      </c>
      <c r="L1368">
        <v>1347</v>
      </c>
      <c r="M1368">
        <v>104</v>
      </c>
      <c r="P1368">
        <f t="shared" si="71"/>
        <v>104</v>
      </c>
    </row>
    <row r="1369" spans="1:16">
      <c r="A1369">
        <f t="shared" si="72"/>
        <v>1928.3755706979948</v>
      </c>
      <c r="B1369">
        <v>1348</v>
      </c>
      <c r="D1369">
        <v>1348</v>
      </c>
      <c r="E1369">
        <v>20.245407104000002</v>
      </c>
      <c r="H1369">
        <v>1348</v>
      </c>
      <c r="I1369">
        <v>19.076471329</v>
      </c>
      <c r="K1369">
        <f t="shared" si="73"/>
        <v>1.1689357750000013</v>
      </c>
      <c r="L1369">
        <v>1348</v>
      </c>
      <c r="M1369">
        <v>104</v>
      </c>
      <c r="P1369">
        <f t="shared" si="71"/>
        <v>104</v>
      </c>
    </row>
    <row r="1370" spans="1:16">
      <c r="A1370">
        <f t="shared" si="72"/>
        <v>1929.301665335011</v>
      </c>
      <c r="B1370">
        <v>1349</v>
      </c>
      <c r="D1370">
        <v>1349</v>
      </c>
      <c r="E1370">
        <v>20.04992485</v>
      </c>
      <c r="H1370">
        <v>1349</v>
      </c>
      <c r="I1370">
        <v>19.986764908000001</v>
      </c>
      <c r="K1370">
        <f t="shared" si="73"/>
        <v>6.3159941999998637E-2</v>
      </c>
      <c r="L1370">
        <v>1349</v>
      </c>
      <c r="M1370">
        <v>104</v>
      </c>
      <c r="P1370">
        <f t="shared" si="71"/>
        <v>104</v>
      </c>
    </row>
    <row r="1371" spans="1:16">
      <c r="A1371">
        <f t="shared" si="72"/>
        <v>1930.2277599720273</v>
      </c>
      <c r="B1371">
        <v>1350</v>
      </c>
      <c r="D1371">
        <v>1350</v>
      </c>
      <c r="E1371">
        <v>20.526931763</v>
      </c>
      <c r="H1371">
        <v>1350</v>
      </c>
      <c r="I1371">
        <v>20</v>
      </c>
      <c r="K1371">
        <f t="shared" si="73"/>
        <v>0.52693176300000033</v>
      </c>
      <c r="L1371">
        <v>1350</v>
      </c>
      <c r="M1371">
        <v>104</v>
      </c>
      <c r="P1371">
        <f t="shared" si="71"/>
        <v>104</v>
      </c>
    </row>
    <row r="1372" spans="1:16">
      <c r="A1372">
        <f t="shared" si="72"/>
        <v>1931.1538546090437</v>
      </c>
      <c r="B1372">
        <v>1351</v>
      </c>
      <c r="D1372">
        <v>1351</v>
      </c>
      <c r="E1372">
        <v>20.129316330000002</v>
      </c>
      <c r="H1372">
        <v>1351</v>
      </c>
      <c r="I1372">
        <v>19.048589706000001</v>
      </c>
      <c r="K1372">
        <f t="shared" si="73"/>
        <v>1.0807266240000004</v>
      </c>
      <c r="L1372">
        <v>1351</v>
      </c>
      <c r="M1372">
        <v>104</v>
      </c>
      <c r="P1372">
        <f t="shared" si="71"/>
        <v>104</v>
      </c>
    </row>
    <row r="1373" spans="1:16">
      <c r="A1373">
        <f t="shared" si="72"/>
        <v>1932.0799492460601</v>
      </c>
      <c r="B1373">
        <v>1352</v>
      </c>
      <c r="D1373">
        <v>1352</v>
      </c>
      <c r="E1373">
        <v>19.328260422</v>
      </c>
      <c r="H1373">
        <v>1352</v>
      </c>
      <c r="I1373">
        <v>18.545099258</v>
      </c>
      <c r="K1373">
        <f t="shared" si="73"/>
        <v>0.78316116399999913</v>
      </c>
      <c r="L1373">
        <v>1352</v>
      </c>
      <c r="M1373">
        <v>104</v>
      </c>
      <c r="P1373">
        <f t="shared" si="71"/>
        <v>104</v>
      </c>
    </row>
    <row r="1374" spans="1:16">
      <c r="A1374">
        <f t="shared" si="72"/>
        <v>1933.0060438830762</v>
      </c>
      <c r="B1374">
        <v>1353</v>
      </c>
      <c r="D1374">
        <v>1353</v>
      </c>
      <c r="E1374">
        <v>19.911207199</v>
      </c>
      <c r="H1374">
        <v>1353</v>
      </c>
      <c r="I1374">
        <v>18.462745667</v>
      </c>
      <c r="K1374">
        <f t="shared" si="73"/>
        <v>1.4484615319999996</v>
      </c>
      <c r="L1374">
        <v>1353</v>
      </c>
      <c r="M1374">
        <v>104</v>
      </c>
      <c r="P1374">
        <f t="shared" si="71"/>
        <v>104</v>
      </c>
    </row>
    <row r="1375" spans="1:16">
      <c r="A1375">
        <f t="shared" si="72"/>
        <v>1933.9321385200926</v>
      </c>
      <c r="B1375">
        <v>1354</v>
      </c>
      <c r="D1375">
        <v>1354</v>
      </c>
      <c r="E1375">
        <v>19.580255508</v>
      </c>
      <c r="H1375">
        <v>1354</v>
      </c>
      <c r="I1375">
        <v>19.015686035000002</v>
      </c>
      <c r="K1375">
        <f t="shared" si="73"/>
        <v>0.56456947299999882</v>
      </c>
      <c r="L1375">
        <v>1354</v>
      </c>
      <c r="M1375">
        <v>104</v>
      </c>
      <c r="P1375">
        <f t="shared" si="71"/>
        <v>104</v>
      </c>
    </row>
    <row r="1376" spans="1:16">
      <c r="A1376">
        <f t="shared" si="72"/>
        <v>1934.858233157109</v>
      </c>
      <c r="B1376">
        <v>1355</v>
      </c>
      <c r="D1376">
        <v>1355</v>
      </c>
      <c r="E1376">
        <v>19.762231827000001</v>
      </c>
      <c r="H1376">
        <v>1355</v>
      </c>
      <c r="I1376">
        <v>19.579620361</v>
      </c>
      <c r="K1376">
        <f t="shared" si="73"/>
        <v>0.18261146600000089</v>
      </c>
      <c r="L1376">
        <v>1355</v>
      </c>
      <c r="M1376">
        <v>104</v>
      </c>
      <c r="P1376">
        <f t="shared" si="71"/>
        <v>104</v>
      </c>
    </row>
    <row r="1377" spans="1:16">
      <c r="A1377">
        <f t="shared" si="72"/>
        <v>1935.7843277941251</v>
      </c>
      <c r="B1377">
        <v>1356</v>
      </c>
      <c r="D1377">
        <v>1356</v>
      </c>
      <c r="E1377">
        <v>19.986961364999999</v>
      </c>
      <c r="H1377">
        <v>1356</v>
      </c>
      <c r="I1377">
        <v>19.552940369000002</v>
      </c>
      <c r="K1377">
        <f t="shared" si="73"/>
        <v>0.43402099599999744</v>
      </c>
      <c r="L1377">
        <v>1356</v>
      </c>
      <c r="M1377">
        <v>104</v>
      </c>
      <c r="P1377">
        <f t="shared" si="71"/>
        <v>104</v>
      </c>
    </row>
    <row r="1378" spans="1:16">
      <c r="A1378">
        <f t="shared" si="72"/>
        <v>1936.7104224311415</v>
      </c>
      <c r="B1378">
        <v>1357</v>
      </c>
      <c r="D1378">
        <v>1357</v>
      </c>
      <c r="E1378">
        <v>20.449424744000002</v>
      </c>
      <c r="H1378">
        <v>1357</v>
      </c>
      <c r="I1378">
        <v>19.414705275999999</v>
      </c>
      <c r="K1378">
        <f t="shared" si="73"/>
        <v>1.0347194680000023</v>
      </c>
      <c r="L1378">
        <v>1357</v>
      </c>
      <c r="M1378">
        <v>104</v>
      </c>
      <c r="P1378">
        <f t="shared" si="71"/>
        <v>104</v>
      </c>
    </row>
    <row r="1379" spans="1:16">
      <c r="A1379">
        <f t="shared" si="72"/>
        <v>1937.6365170681579</v>
      </c>
      <c r="B1379">
        <v>1358</v>
      </c>
      <c r="D1379">
        <v>1358</v>
      </c>
      <c r="E1379">
        <v>20.697202682</v>
      </c>
      <c r="H1379">
        <v>1358</v>
      </c>
      <c r="I1379">
        <v>19.560785293999999</v>
      </c>
      <c r="K1379">
        <f t="shared" si="73"/>
        <v>1.1364173880000017</v>
      </c>
      <c r="L1379">
        <v>1358</v>
      </c>
      <c r="M1379">
        <v>104</v>
      </c>
      <c r="P1379">
        <f t="shared" si="71"/>
        <v>104</v>
      </c>
    </row>
    <row r="1380" spans="1:16">
      <c r="A1380">
        <f t="shared" si="72"/>
        <v>1938.5626117051743</v>
      </c>
      <c r="B1380">
        <v>1359</v>
      </c>
      <c r="D1380">
        <v>1359</v>
      </c>
      <c r="E1380">
        <v>21</v>
      </c>
      <c r="H1380">
        <v>1359</v>
      </c>
      <c r="I1380">
        <v>20.113725662</v>
      </c>
      <c r="K1380">
        <f t="shared" si="73"/>
        <v>0.88627433799999977</v>
      </c>
      <c r="L1380">
        <v>1359</v>
      </c>
      <c r="M1380">
        <v>104</v>
      </c>
      <c r="P1380">
        <f t="shared" si="71"/>
        <v>104</v>
      </c>
    </row>
    <row r="1381" spans="1:16">
      <c r="A1381">
        <f t="shared" si="72"/>
        <v>1939.4887063421904</v>
      </c>
      <c r="B1381">
        <v>1360</v>
      </c>
      <c r="D1381">
        <v>1360</v>
      </c>
      <c r="E1381">
        <v>21</v>
      </c>
      <c r="H1381">
        <v>1360</v>
      </c>
      <c r="I1381">
        <v>20.666666030999998</v>
      </c>
      <c r="K1381">
        <f t="shared" si="73"/>
        <v>0.33333396900000167</v>
      </c>
      <c r="L1381">
        <v>1360</v>
      </c>
      <c r="M1381">
        <v>104</v>
      </c>
      <c r="P1381">
        <f t="shared" si="71"/>
        <v>104</v>
      </c>
    </row>
    <row r="1382" spans="1:16">
      <c r="A1382">
        <f t="shared" si="72"/>
        <v>1940.4148009792068</v>
      </c>
      <c r="B1382">
        <v>1361</v>
      </c>
      <c r="D1382">
        <v>1361</v>
      </c>
      <c r="E1382">
        <v>21</v>
      </c>
      <c r="K1382" s="13">
        <f>AVERAGE(K21:K1381)</f>
        <v>13.774813561665683</v>
      </c>
      <c r="L1382" s="13">
        <v>1361</v>
      </c>
      <c r="M1382">
        <v>104</v>
      </c>
      <c r="P1382">
        <f t="shared" si="71"/>
        <v>104</v>
      </c>
    </row>
    <row r="1383" spans="1:16">
      <c r="L1383">
        <v>1362</v>
      </c>
      <c r="M1383">
        <v>104</v>
      </c>
      <c r="P1383">
        <f t="shared" si="71"/>
        <v>104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4"/>
  <dimension ref="A1:AB103"/>
  <sheetViews>
    <sheetView topLeftCell="A7" workbookViewId="0">
      <selection activeCell="C11" sqref="C11"/>
    </sheetView>
  </sheetViews>
  <sheetFormatPr defaultRowHeight="15"/>
  <cols>
    <col min="5" max="5" width="9.42578125" customWidth="1"/>
    <col min="7" max="7" width="11.85546875" customWidth="1"/>
    <col min="8" max="8" width="14.7109375" customWidth="1"/>
    <col min="14" max="16" width="9.140625" customWidth="1"/>
  </cols>
  <sheetData>
    <row r="1" spans="1:28">
      <c r="A1" s="24" t="s">
        <v>142</v>
      </c>
      <c r="B1" s="24"/>
      <c r="C1" s="24"/>
      <c r="D1" s="24"/>
      <c r="E1" s="24"/>
      <c r="F1" s="24"/>
      <c r="G1" s="24"/>
    </row>
    <row r="3" spans="1:28">
      <c r="A3" t="s">
        <v>27</v>
      </c>
      <c r="C3" t="s">
        <v>37</v>
      </c>
      <c r="L3" t="s">
        <v>131</v>
      </c>
    </row>
    <row r="4" spans="1:28">
      <c r="L4" t="s">
        <v>34</v>
      </c>
      <c r="M4">
        <v>163</v>
      </c>
    </row>
    <row r="5" spans="1:28">
      <c r="A5" t="s">
        <v>29</v>
      </c>
      <c r="E5">
        <v>163</v>
      </c>
      <c r="F5" t="s">
        <v>132</v>
      </c>
      <c r="L5" t="s">
        <v>35</v>
      </c>
      <c r="M5">
        <v>53</v>
      </c>
    </row>
    <row r="6" spans="1:28">
      <c r="A6" t="s">
        <v>133</v>
      </c>
      <c r="J6">
        <v>173</v>
      </c>
      <c r="L6" t="s">
        <v>36</v>
      </c>
    </row>
    <row r="7" spans="1:28">
      <c r="A7" t="s">
        <v>38</v>
      </c>
    </row>
    <row r="9" spans="1:28">
      <c r="A9" t="s">
        <v>135</v>
      </c>
    </row>
    <row r="10" spans="1:28" s="1" customFormat="1" ht="30">
      <c r="A10" s="1" t="s">
        <v>30</v>
      </c>
      <c r="B10" s="1" t="s">
        <v>158</v>
      </c>
      <c r="C10" s="1" t="s">
        <v>159</v>
      </c>
      <c r="D10" s="1" t="s">
        <v>134</v>
      </c>
      <c r="E10" s="1" t="s">
        <v>33</v>
      </c>
      <c r="F10" s="1" t="s">
        <v>155</v>
      </c>
      <c r="G10" s="1" t="s">
        <v>69</v>
      </c>
      <c r="H10" s="1" t="s">
        <v>70</v>
      </c>
    </row>
    <row r="11" spans="1:28">
      <c r="A11">
        <v>680</v>
      </c>
      <c r="B11">
        <v>149.666671753</v>
      </c>
      <c r="C11">
        <v>146.333328247</v>
      </c>
      <c r="D11">
        <v>1</v>
      </c>
      <c r="E11">
        <v>173</v>
      </c>
      <c r="F11">
        <f>E11-B11</f>
        <v>23.333328246999997</v>
      </c>
      <c r="G11">
        <f>B11*D11/40000</f>
        <v>3.7416667938249999E-3</v>
      </c>
      <c r="H11">
        <f>D11^2/100000</f>
        <v>1.0000000000000001E-5</v>
      </c>
      <c r="M11" s="8"/>
      <c r="N11" s="8"/>
      <c r="O11" s="8"/>
      <c r="P11" s="8"/>
      <c r="Q11" s="8"/>
      <c r="R11" s="8"/>
      <c r="S11" s="8"/>
      <c r="T11" s="8"/>
      <c r="U11" s="8"/>
      <c r="V11" s="8"/>
      <c r="W11" s="8"/>
      <c r="X11" s="8"/>
      <c r="Y11" s="8"/>
      <c r="Z11" s="8"/>
      <c r="AA11" s="8"/>
      <c r="AB11" s="8"/>
    </row>
    <row r="12" spans="1:28">
      <c r="A12">
        <v>698.52189274032628</v>
      </c>
      <c r="B12">
        <v>149.90823364299999</v>
      </c>
      <c r="C12">
        <v>148.655151367</v>
      </c>
      <c r="D12">
        <v>0</v>
      </c>
      <c r="E12">
        <v>173</v>
      </c>
      <c r="F12">
        <f t="shared" ref="F12:F64" si="0">E12-B12</f>
        <v>23.091766357000012</v>
      </c>
      <c r="G12">
        <f t="shared" ref="G12:G64" si="1">B12*D12/40000</f>
        <v>0</v>
      </c>
      <c r="H12">
        <f t="shared" ref="H12:H64" si="2">D12^2/100000</f>
        <v>0</v>
      </c>
      <c r="M12" s="8"/>
      <c r="N12" s="8"/>
      <c r="O12" s="8"/>
      <c r="P12" s="8"/>
      <c r="Q12" s="8"/>
      <c r="R12" s="8"/>
      <c r="S12" s="8"/>
      <c r="T12" s="8"/>
      <c r="U12" s="8"/>
      <c r="V12" s="8"/>
      <c r="W12" s="8"/>
      <c r="X12" s="8"/>
      <c r="Y12" s="8"/>
      <c r="Z12" s="8"/>
      <c r="AA12" s="8"/>
      <c r="AB12" s="8"/>
    </row>
    <row r="13" spans="1:28">
      <c r="A13">
        <v>717.04378548065267</v>
      </c>
      <c r="B13">
        <v>148.77317810100001</v>
      </c>
      <c r="C13">
        <v>149.753448486</v>
      </c>
      <c r="D13">
        <v>1</v>
      </c>
      <c r="E13">
        <v>173</v>
      </c>
      <c r="F13">
        <f t="shared" si="0"/>
        <v>24.226821898999987</v>
      </c>
      <c r="G13">
        <f t="shared" si="1"/>
        <v>3.7193294525250005E-3</v>
      </c>
      <c r="H13">
        <f t="shared" si="2"/>
        <v>1.0000000000000001E-5</v>
      </c>
      <c r="M13" s="9"/>
      <c r="N13" s="9"/>
      <c r="O13" s="8"/>
      <c r="P13" s="8"/>
      <c r="Q13" s="8"/>
      <c r="R13" s="8"/>
      <c r="S13" s="8"/>
      <c r="T13" s="8"/>
      <c r="U13" s="8"/>
      <c r="V13" s="8"/>
      <c r="W13" s="8"/>
      <c r="X13" s="8"/>
      <c r="Y13" s="8"/>
      <c r="Z13" s="8"/>
      <c r="AA13" s="8"/>
      <c r="AB13" s="8"/>
    </row>
    <row r="14" spans="1:28">
      <c r="A14">
        <v>735.56567822097895</v>
      </c>
      <c r="B14">
        <v>152.86456298799999</v>
      </c>
      <c r="C14">
        <v>146.96157836899999</v>
      </c>
      <c r="D14">
        <v>1</v>
      </c>
      <c r="E14">
        <v>173</v>
      </c>
      <c r="F14">
        <f t="shared" si="0"/>
        <v>20.135437012000011</v>
      </c>
      <c r="G14">
        <f t="shared" si="1"/>
        <v>3.8216140746999997E-3</v>
      </c>
      <c r="H14">
        <f t="shared" si="2"/>
        <v>1.0000000000000001E-5</v>
      </c>
      <c r="M14" s="4"/>
      <c r="N14" s="4"/>
      <c r="O14" s="8"/>
      <c r="P14" s="8"/>
      <c r="Q14" s="8"/>
      <c r="R14" s="8"/>
      <c r="S14" s="8"/>
      <c r="T14" s="8"/>
      <c r="U14" s="8"/>
      <c r="V14" s="8"/>
      <c r="W14" s="8"/>
      <c r="X14" s="8"/>
      <c r="Y14" s="8"/>
      <c r="Z14" s="8"/>
      <c r="AA14" s="8"/>
      <c r="AB14" s="8"/>
    </row>
    <row r="15" spans="1:28">
      <c r="A15">
        <v>754.08757096130535</v>
      </c>
      <c r="B15">
        <v>149.93336486800001</v>
      </c>
      <c r="C15">
        <v>146.37161254899999</v>
      </c>
      <c r="D15">
        <v>2</v>
      </c>
      <c r="E15">
        <v>173</v>
      </c>
      <c r="F15">
        <f t="shared" si="0"/>
        <v>23.066635131999988</v>
      </c>
      <c r="G15">
        <f t="shared" si="1"/>
        <v>7.4966682434000004E-3</v>
      </c>
      <c r="H15">
        <f t="shared" si="2"/>
        <v>4.0000000000000003E-5</v>
      </c>
      <c r="M15" s="4"/>
      <c r="N15" s="4"/>
      <c r="O15" s="8"/>
      <c r="P15" s="8"/>
      <c r="Q15" s="8"/>
      <c r="R15" s="8"/>
      <c r="S15" s="8"/>
      <c r="T15" s="8"/>
      <c r="U15" s="8"/>
      <c r="V15" s="8"/>
      <c r="W15" s="8"/>
      <c r="X15" s="8"/>
      <c r="Y15" s="8"/>
      <c r="Z15" s="8"/>
      <c r="AA15" s="8"/>
      <c r="AB15" s="8"/>
    </row>
    <row r="16" spans="1:28">
      <c r="A16">
        <v>772.60946370163163</v>
      </c>
      <c r="B16">
        <v>150.53790283199999</v>
      </c>
      <c r="C16">
        <v>154.46469116200001</v>
      </c>
      <c r="D16">
        <v>1</v>
      </c>
      <c r="E16">
        <v>173</v>
      </c>
      <c r="F16">
        <f t="shared" si="0"/>
        <v>22.462097168000014</v>
      </c>
      <c r="G16">
        <f t="shared" si="1"/>
        <v>3.7634475707999998E-3</v>
      </c>
      <c r="H16">
        <f t="shared" si="2"/>
        <v>1.0000000000000001E-5</v>
      </c>
      <c r="M16" s="4"/>
      <c r="N16" s="4"/>
      <c r="O16" s="8"/>
      <c r="P16" s="8"/>
      <c r="Q16" s="8"/>
      <c r="R16" s="8"/>
      <c r="S16" s="8"/>
      <c r="T16" s="8"/>
      <c r="U16" s="8"/>
      <c r="V16" s="8"/>
      <c r="W16" s="8"/>
      <c r="X16" s="8"/>
      <c r="Y16" s="8"/>
      <c r="Z16" s="8"/>
      <c r="AA16" s="8"/>
      <c r="AB16" s="8"/>
    </row>
    <row r="17" spans="1:28">
      <c r="A17">
        <v>791.13135644195802</v>
      </c>
      <c r="B17">
        <v>148.85423278799999</v>
      </c>
      <c r="C17">
        <v>149.574493408</v>
      </c>
      <c r="D17">
        <v>2.8452138900000001</v>
      </c>
      <c r="E17">
        <v>173</v>
      </c>
      <c r="F17">
        <f t="shared" si="0"/>
        <v>24.14576721200001</v>
      </c>
      <c r="G17">
        <f t="shared" si="1"/>
        <v>1.0588053267842776E-2</v>
      </c>
      <c r="H17">
        <f t="shared" si="2"/>
        <v>8.0952420798489336E-5</v>
      </c>
      <c r="M17" s="4"/>
      <c r="N17" s="4"/>
      <c r="O17" s="8"/>
      <c r="P17" s="8"/>
      <c r="Q17" s="8"/>
      <c r="R17" s="8"/>
      <c r="S17" s="8"/>
      <c r="T17" s="8"/>
      <c r="U17" s="8"/>
      <c r="V17" s="8"/>
      <c r="W17" s="8"/>
      <c r="X17" s="8"/>
      <c r="Y17" s="8"/>
      <c r="Z17" s="8"/>
      <c r="AA17" s="8"/>
      <c r="AB17" s="8"/>
    </row>
    <row r="18" spans="1:28">
      <c r="A18">
        <v>809.6532491822843</v>
      </c>
      <c r="B18">
        <v>147.63609314000001</v>
      </c>
      <c r="C18">
        <v>149.18476867699999</v>
      </c>
      <c r="D18">
        <v>4</v>
      </c>
      <c r="E18">
        <v>173</v>
      </c>
      <c r="F18">
        <f t="shared" si="0"/>
        <v>25.363906859999986</v>
      </c>
      <c r="G18">
        <f t="shared" si="1"/>
        <v>1.4763609314000002E-2</v>
      </c>
      <c r="H18">
        <f t="shared" si="2"/>
        <v>1.6000000000000001E-4</v>
      </c>
      <c r="M18" s="4"/>
      <c r="N18" s="4"/>
      <c r="O18" s="8"/>
      <c r="P18" s="8"/>
      <c r="Q18" s="8"/>
      <c r="R18" s="8"/>
      <c r="S18" s="8"/>
      <c r="T18" s="8"/>
      <c r="U18" s="8"/>
      <c r="V18" s="8"/>
      <c r="W18" s="8"/>
      <c r="X18" s="8"/>
      <c r="Y18" s="8"/>
      <c r="Z18" s="8"/>
      <c r="AA18" s="8"/>
      <c r="AB18" s="8"/>
    </row>
    <row r="19" spans="1:28">
      <c r="A19">
        <v>828.17514192261069</v>
      </c>
      <c r="B19">
        <v>146.706176758</v>
      </c>
      <c r="C19">
        <v>146.434890747</v>
      </c>
      <c r="D19">
        <v>4</v>
      </c>
      <c r="E19">
        <v>173</v>
      </c>
      <c r="F19">
        <f t="shared" si="0"/>
        <v>26.293823242000002</v>
      </c>
      <c r="G19">
        <f t="shared" si="1"/>
        <v>1.46706176758E-2</v>
      </c>
      <c r="H19">
        <f t="shared" si="2"/>
        <v>1.6000000000000001E-4</v>
      </c>
      <c r="M19" s="8"/>
      <c r="N19" s="8"/>
      <c r="O19" s="8"/>
      <c r="P19" s="8"/>
      <c r="Q19" s="8"/>
      <c r="R19" s="8"/>
      <c r="S19" s="8"/>
      <c r="T19" s="8"/>
      <c r="U19" s="8"/>
      <c r="V19" s="8"/>
      <c r="W19" s="8"/>
      <c r="X19" s="8"/>
      <c r="Y19" s="8"/>
      <c r="Z19" s="8"/>
      <c r="AA19" s="8"/>
      <c r="AB19" s="8"/>
    </row>
    <row r="20" spans="1:28">
      <c r="A20">
        <v>846.69703466293697</v>
      </c>
      <c r="B20">
        <v>144.66307067899999</v>
      </c>
      <c r="C20">
        <v>142.60906982399999</v>
      </c>
      <c r="D20">
        <v>5</v>
      </c>
      <c r="E20">
        <v>173</v>
      </c>
      <c r="F20">
        <f t="shared" si="0"/>
        <v>28.336929321000014</v>
      </c>
      <c r="G20">
        <f t="shared" si="1"/>
        <v>1.8082883834874997E-2</v>
      </c>
      <c r="H20">
        <f t="shared" si="2"/>
        <v>2.5000000000000001E-4</v>
      </c>
      <c r="M20" s="8"/>
      <c r="N20" s="8"/>
      <c r="O20" s="8"/>
      <c r="P20" s="8"/>
      <c r="Q20" s="8"/>
      <c r="R20" s="8"/>
      <c r="S20" s="8"/>
      <c r="T20" s="8"/>
      <c r="U20" s="8"/>
      <c r="V20" s="8"/>
      <c r="W20" s="8"/>
      <c r="X20" s="8"/>
      <c r="Y20" s="8"/>
      <c r="Z20" s="8"/>
      <c r="AA20" s="8"/>
      <c r="AB20" s="8"/>
    </row>
    <row r="21" spans="1:28">
      <c r="A21">
        <v>865.21892740326325</v>
      </c>
      <c r="B21">
        <v>147.04222106899999</v>
      </c>
      <c r="C21">
        <v>149.023513794</v>
      </c>
      <c r="D21">
        <v>6</v>
      </c>
      <c r="E21">
        <v>173</v>
      </c>
      <c r="F21">
        <f t="shared" si="0"/>
        <v>25.957778931000007</v>
      </c>
      <c r="G21">
        <f t="shared" si="1"/>
        <v>2.2056333160349998E-2</v>
      </c>
      <c r="H21">
        <f t="shared" si="2"/>
        <v>3.6000000000000002E-4</v>
      </c>
      <c r="M21" s="10"/>
      <c r="N21" s="10"/>
      <c r="O21" s="10"/>
      <c r="P21" s="10"/>
      <c r="Q21" s="10"/>
      <c r="R21" s="10"/>
      <c r="S21" s="8"/>
      <c r="T21" s="8"/>
      <c r="U21" s="8"/>
      <c r="V21" s="8"/>
      <c r="W21" s="8"/>
      <c r="X21" s="8"/>
      <c r="Y21" s="8"/>
      <c r="Z21" s="8"/>
      <c r="AA21" s="8"/>
      <c r="AB21" s="8"/>
    </row>
    <row r="22" spans="1:28">
      <c r="A22">
        <v>883.74082014358964</v>
      </c>
      <c r="B22">
        <v>144.81936645499999</v>
      </c>
      <c r="C22">
        <v>148.09333801299999</v>
      </c>
      <c r="D22">
        <v>7</v>
      </c>
      <c r="E22">
        <v>173</v>
      </c>
      <c r="F22">
        <f t="shared" si="0"/>
        <v>28.180633545000006</v>
      </c>
      <c r="G22">
        <f t="shared" si="1"/>
        <v>2.5343389129624999E-2</v>
      </c>
      <c r="H22">
        <f t="shared" si="2"/>
        <v>4.8999999999999998E-4</v>
      </c>
      <c r="M22" s="4"/>
      <c r="N22" s="4"/>
      <c r="O22" s="4"/>
      <c r="P22" s="4"/>
      <c r="Q22" s="4"/>
      <c r="R22" s="4"/>
      <c r="S22" s="8"/>
      <c r="T22" s="8"/>
      <c r="U22" s="8"/>
      <c r="V22" s="8"/>
      <c r="W22" s="8"/>
      <c r="X22" s="8"/>
      <c r="Y22" s="8"/>
      <c r="Z22" s="8"/>
      <c r="AA22" s="8"/>
      <c r="AB22" s="8"/>
    </row>
    <row r="23" spans="1:28">
      <c r="A23">
        <v>902.26271288391604</v>
      </c>
      <c r="B23">
        <v>142.01986694300001</v>
      </c>
      <c r="C23">
        <v>146.679153442</v>
      </c>
      <c r="D23">
        <v>7</v>
      </c>
      <c r="E23">
        <v>173</v>
      </c>
      <c r="F23">
        <f t="shared" si="0"/>
        <v>30.980133056999989</v>
      </c>
      <c r="G23">
        <f t="shared" si="1"/>
        <v>2.4853476715025E-2</v>
      </c>
      <c r="H23">
        <f t="shared" si="2"/>
        <v>4.8999999999999998E-4</v>
      </c>
      <c r="M23" s="4"/>
      <c r="N23" s="4"/>
      <c r="O23" s="4"/>
      <c r="P23" s="4"/>
      <c r="Q23" s="4"/>
      <c r="R23" s="4"/>
      <c r="S23" s="8"/>
      <c r="T23" s="8"/>
      <c r="U23" s="8"/>
      <c r="V23" s="8"/>
      <c r="W23" s="8"/>
      <c r="X23" s="8"/>
      <c r="Y23" s="8"/>
      <c r="Z23" s="8"/>
      <c r="AA23" s="8"/>
      <c r="AB23" s="8"/>
    </row>
    <row r="24" spans="1:28">
      <c r="A24">
        <v>920.78460562424232</v>
      </c>
      <c r="B24">
        <v>143.737258911</v>
      </c>
      <c r="C24">
        <v>148.47158813499999</v>
      </c>
      <c r="D24">
        <v>8</v>
      </c>
      <c r="E24">
        <v>173</v>
      </c>
      <c r="F24">
        <f t="shared" si="0"/>
        <v>29.262741089000002</v>
      </c>
      <c r="G24">
        <f t="shared" si="1"/>
        <v>2.8747451782199999E-2</v>
      </c>
      <c r="H24">
        <f t="shared" si="2"/>
        <v>6.4000000000000005E-4</v>
      </c>
      <c r="M24" s="4"/>
      <c r="N24" s="4"/>
      <c r="O24" s="4"/>
      <c r="P24" s="4"/>
      <c r="Q24" s="4"/>
      <c r="R24" s="4"/>
      <c r="S24" s="8"/>
      <c r="T24" s="8"/>
      <c r="U24" s="8"/>
      <c r="V24" s="8"/>
      <c r="W24" s="8"/>
      <c r="X24" s="8"/>
      <c r="Y24" s="8"/>
      <c r="Z24" s="8"/>
      <c r="AA24" s="8"/>
      <c r="AB24" s="8"/>
    </row>
    <row r="25" spans="1:28">
      <c r="A25">
        <v>939.3064983645686</v>
      </c>
      <c r="B25">
        <v>140.68511962900001</v>
      </c>
      <c r="C25">
        <v>148.73545837399999</v>
      </c>
      <c r="D25">
        <v>10</v>
      </c>
      <c r="E25">
        <v>173</v>
      </c>
      <c r="F25">
        <f t="shared" si="0"/>
        <v>32.314880370999987</v>
      </c>
      <c r="G25">
        <f t="shared" si="1"/>
        <v>3.5171279907250004E-2</v>
      </c>
      <c r="H25">
        <f t="shared" si="2"/>
        <v>1E-3</v>
      </c>
      <c r="M25" s="8"/>
      <c r="N25" s="8"/>
      <c r="O25" s="8"/>
      <c r="P25" s="8"/>
      <c r="Q25" s="8"/>
      <c r="R25" s="8"/>
      <c r="S25" s="8"/>
      <c r="T25" s="8"/>
      <c r="U25" s="8"/>
      <c r="V25" s="8"/>
      <c r="W25" s="8"/>
      <c r="X25" s="8"/>
      <c r="Y25" s="8"/>
      <c r="Z25" s="8"/>
      <c r="AA25" s="8"/>
      <c r="AB25" s="8"/>
    </row>
    <row r="26" spans="1:28">
      <c r="A26">
        <v>957.82839110489499</v>
      </c>
      <c r="B26">
        <v>141.135528564</v>
      </c>
      <c r="C26">
        <v>146.52986145</v>
      </c>
      <c r="D26">
        <v>11</v>
      </c>
      <c r="E26">
        <v>173</v>
      </c>
      <c r="F26">
        <f t="shared" si="0"/>
        <v>31.864471436000002</v>
      </c>
      <c r="G26">
        <f t="shared" si="1"/>
        <v>3.8812270355099994E-2</v>
      </c>
      <c r="H26">
        <f t="shared" si="2"/>
        <v>1.2099999999999999E-3</v>
      </c>
      <c r="M26" s="10"/>
      <c r="N26" s="10"/>
      <c r="O26" s="10"/>
      <c r="P26" s="10"/>
      <c r="Q26" s="10"/>
      <c r="R26" s="10"/>
      <c r="S26" s="10"/>
      <c r="T26" s="10"/>
      <c r="U26" s="10"/>
      <c r="V26" s="8"/>
      <c r="W26" s="8"/>
      <c r="X26" s="8"/>
      <c r="Y26" s="8"/>
      <c r="Z26" s="8"/>
      <c r="AA26" s="8"/>
      <c r="AB26" s="8"/>
    </row>
    <row r="27" spans="1:28">
      <c r="A27">
        <v>976.35028384522127</v>
      </c>
      <c r="B27">
        <v>139.0262146</v>
      </c>
      <c r="C27">
        <v>147.088134766</v>
      </c>
      <c r="D27">
        <v>12</v>
      </c>
      <c r="E27">
        <v>173</v>
      </c>
      <c r="F27">
        <f t="shared" si="0"/>
        <v>33.973785399999997</v>
      </c>
      <c r="G27">
        <f t="shared" si="1"/>
        <v>4.1707864380000001E-2</v>
      </c>
      <c r="H27">
        <f t="shared" si="2"/>
        <v>1.4400000000000001E-3</v>
      </c>
      <c r="M27" s="4"/>
      <c r="N27" s="4"/>
      <c r="O27" s="4"/>
      <c r="P27" s="4"/>
      <c r="Q27" s="4"/>
      <c r="R27" s="4"/>
      <c r="S27" s="4"/>
      <c r="T27" s="4"/>
      <c r="U27" s="4"/>
      <c r="V27" s="8"/>
      <c r="W27" s="8"/>
      <c r="X27" s="8"/>
      <c r="Y27" s="8"/>
      <c r="Z27" s="8"/>
      <c r="AA27" s="8"/>
      <c r="AB27" s="8"/>
    </row>
    <row r="28" spans="1:28">
      <c r="A28">
        <v>994.87217658554755</v>
      </c>
      <c r="B28">
        <v>139.041015625</v>
      </c>
      <c r="C28">
        <v>147.27455139200001</v>
      </c>
      <c r="D28">
        <v>12</v>
      </c>
      <c r="E28">
        <v>173</v>
      </c>
      <c r="F28">
        <f t="shared" si="0"/>
        <v>33.958984375</v>
      </c>
      <c r="G28">
        <f t="shared" si="1"/>
        <v>4.17123046875E-2</v>
      </c>
      <c r="H28">
        <f t="shared" si="2"/>
        <v>1.4400000000000001E-3</v>
      </c>
      <c r="M28" s="4"/>
      <c r="N28" s="4"/>
      <c r="O28" s="4"/>
      <c r="P28" s="4"/>
      <c r="Q28" s="4"/>
      <c r="R28" s="4"/>
      <c r="S28" s="4"/>
      <c r="T28" s="4"/>
      <c r="U28" s="4"/>
      <c r="V28" s="8"/>
      <c r="W28" s="8"/>
      <c r="X28" s="8"/>
      <c r="Y28" s="8"/>
      <c r="Z28" s="8"/>
      <c r="AA28" s="8"/>
      <c r="AB28" s="8"/>
    </row>
    <row r="29" spans="1:28">
      <c r="A29">
        <v>1013.3940693258739</v>
      </c>
      <c r="B29">
        <v>139.48985290499999</v>
      </c>
      <c r="C29">
        <v>149.01431274399999</v>
      </c>
      <c r="D29">
        <v>13</v>
      </c>
      <c r="E29">
        <v>173</v>
      </c>
      <c r="F29">
        <f t="shared" si="0"/>
        <v>33.510147095000008</v>
      </c>
      <c r="G29">
        <f t="shared" si="1"/>
        <v>4.5334202194124998E-2</v>
      </c>
      <c r="H29">
        <f t="shared" si="2"/>
        <v>1.6900000000000001E-3</v>
      </c>
      <c r="M29" s="4"/>
      <c r="N29" s="4"/>
      <c r="O29" s="4"/>
      <c r="P29" s="4"/>
      <c r="Q29" s="4"/>
      <c r="R29" s="4"/>
      <c r="S29" s="4"/>
      <c r="T29" s="4"/>
      <c r="U29" s="4"/>
      <c r="V29" s="8"/>
      <c r="W29" s="8"/>
      <c r="X29" s="8"/>
      <c r="Y29" s="8"/>
      <c r="Z29" s="8"/>
      <c r="AA29" s="8"/>
      <c r="AB29" s="8"/>
    </row>
    <row r="30" spans="1:28">
      <c r="A30">
        <v>1031.9159620662003</v>
      </c>
      <c r="B30">
        <v>136.439651489</v>
      </c>
      <c r="C30">
        <v>147.287200928</v>
      </c>
      <c r="D30">
        <v>15</v>
      </c>
      <c r="E30">
        <v>173</v>
      </c>
      <c r="F30">
        <f t="shared" si="0"/>
        <v>36.560348511000001</v>
      </c>
      <c r="G30">
        <f t="shared" si="1"/>
        <v>5.1164869308375001E-2</v>
      </c>
      <c r="H30">
        <f t="shared" si="2"/>
        <v>2.2499999999999998E-3</v>
      </c>
      <c r="M30" s="8"/>
      <c r="N30" s="8"/>
      <c r="O30" s="8"/>
      <c r="P30" s="8"/>
      <c r="Q30" s="8"/>
      <c r="R30" s="8"/>
      <c r="S30" s="8"/>
      <c r="T30" s="8"/>
      <c r="U30" s="8"/>
      <c r="V30" s="8"/>
      <c r="W30" s="8"/>
      <c r="X30" s="8"/>
      <c r="Y30" s="8"/>
      <c r="Z30" s="8"/>
      <c r="AA30" s="8"/>
      <c r="AB30" s="8"/>
    </row>
    <row r="31" spans="1:28">
      <c r="A31">
        <v>1050.4378548065265</v>
      </c>
      <c r="B31">
        <v>134.30480957</v>
      </c>
      <c r="C31">
        <v>141.15980529800001</v>
      </c>
      <c r="D31">
        <v>17</v>
      </c>
      <c r="E31">
        <v>173</v>
      </c>
      <c r="F31">
        <f t="shared" si="0"/>
        <v>38.695190429999997</v>
      </c>
      <c r="G31">
        <f t="shared" si="1"/>
        <v>5.707954406725E-2</v>
      </c>
      <c r="H31">
        <f t="shared" si="2"/>
        <v>2.8900000000000002E-3</v>
      </c>
      <c r="M31" s="8"/>
      <c r="N31" s="8"/>
      <c r="O31" s="8"/>
      <c r="P31" s="8"/>
      <c r="Q31" s="8"/>
      <c r="R31" s="8"/>
      <c r="S31" s="8"/>
      <c r="T31" s="8"/>
      <c r="U31" s="8"/>
      <c r="V31" s="8"/>
      <c r="W31" s="8"/>
      <c r="X31" s="8"/>
      <c r="Y31" s="8"/>
      <c r="Z31" s="8"/>
      <c r="AA31" s="8"/>
      <c r="AB31" s="8"/>
    </row>
    <row r="32" spans="1:28">
      <c r="A32">
        <v>1068.9597475468529</v>
      </c>
      <c r="B32">
        <v>133.898925781</v>
      </c>
      <c r="C32">
        <v>147.109664917</v>
      </c>
      <c r="D32">
        <v>18</v>
      </c>
      <c r="E32">
        <v>173</v>
      </c>
      <c r="F32">
        <f t="shared" si="0"/>
        <v>39.101074218999997</v>
      </c>
      <c r="G32">
        <f t="shared" si="1"/>
        <v>6.0254516601449995E-2</v>
      </c>
      <c r="H32">
        <f t="shared" si="2"/>
        <v>3.2399999999999998E-3</v>
      </c>
      <c r="M32" s="8"/>
      <c r="N32" s="8"/>
      <c r="O32" s="8"/>
      <c r="P32" s="8"/>
      <c r="Q32" s="8"/>
      <c r="R32" s="8"/>
      <c r="S32" s="8"/>
      <c r="T32" s="8"/>
      <c r="U32" s="8"/>
      <c r="V32" s="8"/>
      <c r="W32" s="8"/>
      <c r="X32" s="8"/>
      <c r="Y32" s="8"/>
      <c r="Z32" s="8"/>
      <c r="AA32" s="8"/>
      <c r="AB32" s="8"/>
    </row>
    <row r="33" spans="1:28">
      <c r="A33">
        <v>1087.4816402871793</v>
      </c>
      <c r="B33">
        <v>133.84950256299999</v>
      </c>
      <c r="C33">
        <v>142.00962829599999</v>
      </c>
      <c r="D33">
        <v>19</v>
      </c>
      <c r="E33">
        <v>173</v>
      </c>
      <c r="F33">
        <f t="shared" si="0"/>
        <v>39.150497437000013</v>
      </c>
      <c r="G33">
        <f t="shared" si="1"/>
        <v>6.3578513717424998E-2</v>
      </c>
      <c r="H33">
        <f t="shared" si="2"/>
        <v>3.6099999999999999E-3</v>
      </c>
      <c r="L33" s="8"/>
      <c r="M33" s="8"/>
      <c r="N33" s="8"/>
      <c r="O33" s="8"/>
      <c r="P33" s="8"/>
      <c r="Q33" s="8"/>
      <c r="R33" s="8"/>
      <c r="S33" s="8"/>
      <c r="T33" s="8"/>
      <c r="U33" s="8"/>
      <c r="V33" s="8"/>
      <c r="W33" s="8"/>
      <c r="X33" s="8"/>
      <c r="Y33" s="8"/>
      <c r="Z33" s="8"/>
      <c r="AA33" s="8"/>
      <c r="AB33" s="8"/>
    </row>
    <row r="34" spans="1:28">
      <c r="A34">
        <v>1106.0035330275057</v>
      </c>
      <c r="B34">
        <v>127.0885849</v>
      </c>
      <c r="C34">
        <v>139.56973266599999</v>
      </c>
      <c r="D34">
        <v>20</v>
      </c>
      <c r="E34">
        <v>173</v>
      </c>
      <c r="F34">
        <f t="shared" si="0"/>
        <v>45.911415099999999</v>
      </c>
      <c r="G34">
        <f t="shared" si="1"/>
        <v>6.3544292449999998E-2</v>
      </c>
      <c r="H34">
        <f t="shared" si="2"/>
        <v>4.0000000000000001E-3</v>
      </c>
      <c r="L34" s="8"/>
      <c r="M34" s="8"/>
      <c r="N34" s="8"/>
      <c r="O34" s="8"/>
      <c r="P34" s="8"/>
      <c r="Q34" s="8"/>
      <c r="R34" s="8"/>
      <c r="S34" s="8"/>
      <c r="T34" s="8"/>
      <c r="U34" s="8"/>
      <c r="V34" s="8"/>
      <c r="W34" s="8"/>
      <c r="X34" s="8"/>
      <c r="Y34" s="8"/>
      <c r="Z34" s="8"/>
      <c r="AA34" s="8"/>
      <c r="AB34" s="8"/>
    </row>
    <row r="35" spans="1:28">
      <c r="A35">
        <v>1124.5254257678321</v>
      </c>
      <c r="B35">
        <v>128.91275024399999</v>
      </c>
      <c r="C35">
        <v>140.84780883799999</v>
      </c>
      <c r="D35">
        <v>22</v>
      </c>
      <c r="E35">
        <v>173</v>
      </c>
      <c r="F35">
        <f t="shared" si="0"/>
        <v>44.087249756000006</v>
      </c>
      <c r="G35">
        <f t="shared" si="1"/>
        <v>7.0902012634199985E-2</v>
      </c>
      <c r="H35">
        <f t="shared" si="2"/>
        <v>4.8399999999999997E-3</v>
      </c>
      <c r="L35" s="8"/>
      <c r="M35" s="10"/>
      <c r="N35" s="10"/>
      <c r="O35" s="10"/>
      <c r="P35" s="10"/>
      <c r="Q35" s="8"/>
      <c r="R35" s="8"/>
      <c r="S35" s="8"/>
      <c r="T35" s="8"/>
      <c r="U35" s="8"/>
      <c r="V35" s="8"/>
      <c r="W35" s="8"/>
      <c r="X35" s="8"/>
      <c r="Y35" s="8"/>
      <c r="Z35" s="8"/>
      <c r="AA35" s="8"/>
      <c r="AB35" s="8"/>
    </row>
    <row r="36" spans="1:28">
      <c r="A36">
        <v>1143.0473185081582</v>
      </c>
      <c r="B36">
        <v>128.940475464</v>
      </c>
      <c r="C36">
        <v>141.81321716299999</v>
      </c>
      <c r="D36">
        <v>23</v>
      </c>
      <c r="E36">
        <v>173</v>
      </c>
      <c r="F36">
        <f t="shared" si="0"/>
        <v>44.059524535999998</v>
      </c>
      <c r="G36">
        <f t="shared" si="1"/>
        <v>7.4140773391800002E-2</v>
      </c>
      <c r="H36">
        <f t="shared" si="2"/>
        <v>5.2900000000000004E-3</v>
      </c>
      <c r="L36" s="8"/>
      <c r="M36" s="4"/>
      <c r="N36" s="4"/>
      <c r="O36" s="4"/>
      <c r="P36" s="4"/>
      <c r="Q36" s="8"/>
    </row>
    <row r="37" spans="1:28">
      <c r="A37">
        <v>1161.5692112484846</v>
      </c>
      <c r="B37">
        <v>123.46241760300001</v>
      </c>
      <c r="C37">
        <v>141.18447875999999</v>
      </c>
      <c r="D37">
        <v>24</v>
      </c>
      <c r="E37">
        <v>173</v>
      </c>
      <c r="F37">
        <f t="shared" si="0"/>
        <v>49.537582396999994</v>
      </c>
      <c r="G37">
        <f t="shared" si="1"/>
        <v>7.4077450561799998E-2</v>
      </c>
      <c r="H37">
        <f t="shared" si="2"/>
        <v>5.7600000000000004E-3</v>
      </c>
      <c r="M37" s="4"/>
      <c r="N37" s="4"/>
      <c r="O37" s="4"/>
      <c r="P37" s="4"/>
    </row>
    <row r="38" spans="1:28">
      <c r="A38">
        <v>1180.091103988811</v>
      </c>
      <c r="B38">
        <v>126.356803894</v>
      </c>
      <c r="C38">
        <v>138.31040954599999</v>
      </c>
      <c r="D38">
        <v>25</v>
      </c>
      <c r="E38">
        <v>173</v>
      </c>
      <c r="F38">
        <f t="shared" si="0"/>
        <v>46.643196106000005</v>
      </c>
      <c r="G38">
        <f t="shared" si="1"/>
        <v>7.8973002433750009E-2</v>
      </c>
      <c r="H38">
        <f t="shared" si="2"/>
        <v>6.2500000000000003E-3</v>
      </c>
      <c r="M38" s="4"/>
      <c r="N38" s="4"/>
      <c r="O38" s="4"/>
      <c r="P38" s="4"/>
    </row>
    <row r="39" spans="1:28">
      <c r="A39">
        <v>1198.6129967291372</v>
      </c>
      <c r="B39">
        <v>121.66891479500001</v>
      </c>
      <c r="C39">
        <v>139.92880249000001</v>
      </c>
      <c r="D39">
        <v>26.710355758999999</v>
      </c>
      <c r="E39">
        <v>173</v>
      </c>
      <c r="F39">
        <f t="shared" si="0"/>
        <v>51.331085204999994</v>
      </c>
      <c r="G39">
        <f t="shared" si="1"/>
        <v>8.1245499974647709E-2</v>
      </c>
      <c r="H39">
        <f t="shared" si="2"/>
        <v>7.1344310477234442E-3</v>
      </c>
      <c r="M39" s="4"/>
      <c r="N39" s="4"/>
      <c r="O39" s="4"/>
      <c r="P39" s="4"/>
    </row>
    <row r="40" spans="1:28">
      <c r="A40">
        <v>1217.1348894694636</v>
      </c>
      <c r="B40">
        <v>121.261749268</v>
      </c>
      <c r="C40">
        <v>136.333328247</v>
      </c>
      <c r="D40">
        <v>28</v>
      </c>
      <c r="E40">
        <v>173</v>
      </c>
      <c r="F40">
        <f t="shared" si="0"/>
        <v>51.738250731999997</v>
      </c>
      <c r="G40">
        <f t="shared" si="1"/>
        <v>8.4883224487599995E-2</v>
      </c>
      <c r="H40">
        <f t="shared" si="2"/>
        <v>7.8399999999999997E-3</v>
      </c>
      <c r="M40" s="4"/>
      <c r="N40" s="4"/>
      <c r="O40" s="4"/>
      <c r="P40" s="4"/>
    </row>
    <row r="41" spans="1:28">
      <c r="A41">
        <v>1235.65678220979</v>
      </c>
      <c r="B41">
        <v>120.901847839</v>
      </c>
      <c r="C41">
        <v>137.94146728499999</v>
      </c>
      <c r="D41">
        <v>29</v>
      </c>
      <c r="E41">
        <v>173</v>
      </c>
      <c r="F41">
        <f t="shared" si="0"/>
        <v>52.098152161000002</v>
      </c>
      <c r="G41">
        <f t="shared" si="1"/>
        <v>8.7653839683275003E-2</v>
      </c>
      <c r="H41">
        <f t="shared" si="2"/>
        <v>8.4100000000000008E-3</v>
      </c>
      <c r="M41" s="4"/>
      <c r="N41" s="4"/>
      <c r="O41" s="4"/>
      <c r="P41" s="4"/>
    </row>
    <row r="42" spans="1:28">
      <c r="A42">
        <v>1254.1786749501161</v>
      </c>
      <c r="B42">
        <v>117.16986846899999</v>
      </c>
      <c r="C42">
        <v>132.58915710400001</v>
      </c>
      <c r="D42">
        <v>31</v>
      </c>
      <c r="E42">
        <v>173</v>
      </c>
      <c r="F42">
        <f t="shared" si="0"/>
        <v>55.830131531000006</v>
      </c>
      <c r="G42">
        <f t="shared" si="1"/>
        <v>9.0806648063474993E-2</v>
      </c>
      <c r="H42">
        <f t="shared" si="2"/>
        <v>9.6100000000000005E-3</v>
      </c>
      <c r="M42" s="4"/>
      <c r="N42" s="4"/>
      <c r="O42" s="4"/>
      <c r="P42" s="4"/>
    </row>
    <row r="43" spans="1:28">
      <c r="A43">
        <v>1272.7005676904425</v>
      </c>
      <c r="B43">
        <v>117.01143646200001</v>
      </c>
      <c r="C43">
        <v>131.31195068400001</v>
      </c>
      <c r="D43">
        <v>33</v>
      </c>
      <c r="E43">
        <v>173</v>
      </c>
      <c r="F43">
        <f t="shared" si="0"/>
        <v>55.988563537999994</v>
      </c>
      <c r="G43">
        <f t="shared" si="1"/>
        <v>9.6534435081150005E-2</v>
      </c>
      <c r="H43">
        <f t="shared" si="2"/>
        <v>1.089E-2</v>
      </c>
      <c r="M43" s="4"/>
      <c r="N43" s="4"/>
      <c r="O43" s="4"/>
      <c r="P43" s="4"/>
    </row>
    <row r="44" spans="1:28">
      <c r="A44">
        <v>1291.2224604307689</v>
      </c>
      <c r="B44">
        <v>113.487098694</v>
      </c>
      <c r="C44">
        <v>129.849975586</v>
      </c>
      <c r="D44">
        <v>34</v>
      </c>
      <c r="E44">
        <v>173</v>
      </c>
      <c r="F44">
        <f t="shared" si="0"/>
        <v>59.512901306000003</v>
      </c>
      <c r="G44">
        <f t="shared" si="1"/>
        <v>9.6464033889899992E-2</v>
      </c>
      <c r="H44">
        <f t="shared" si="2"/>
        <v>1.1560000000000001E-2</v>
      </c>
      <c r="M44" s="4"/>
      <c r="N44" s="4"/>
      <c r="O44" s="4"/>
      <c r="P44" s="4"/>
    </row>
    <row r="45" spans="1:28">
      <c r="A45">
        <v>1309.7443531710951</v>
      </c>
      <c r="B45">
        <v>117.324989319</v>
      </c>
      <c r="C45">
        <v>129.728149414</v>
      </c>
      <c r="D45">
        <v>36</v>
      </c>
      <c r="E45">
        <v>173</v>
      </c>
      <c r="F45">
        <f t="shared" si="0"/>
        <v>55.675010681000003</v>
      </c>
      <c r="G45">
        <f t="shared" si="1"/>
        <v>0.1055924903871</v>
      </c>
      <c r="H45">
        <f t="shared" si="2"/>
        <v>1.2959999999999999E-2</v>
      </c>
      <c r="M45" s="4"/>
      <c r="N45" s="4"/>
      <c r="O45" s="4"/>
      <c r="P45" s="4"/>
    </row>
    <row r="46" spans="1:28">
      <c r="A46">
        <v>1328.2662459114217</v>
      </c>
      <c r="B46">
        <v>114.017967224</v>
      </c>
      <c r="C46">
        <v>130.15184020999999</v>
      </c>
      <c r="D46">
        <v>38</v>
      </c>
      <c r="E46">
        <v>173</v>
      </c>
      <c r="F46">
        <f t="shared" si="0"/>
        <v>58.982032775999997</v>
      </c>
      <c r="G46">
        <f t="shared" si="1"/>
        <v>0.10831706886280001</v>
      </c>
      <c r="H46">
        <f t="shared" si="2"/>
        <v>1.444E-2</v>
      </c>
      <c r="M46" s="4"/>
      <c r="N46" s="4"/>
      <c r="O46" s="4"/>
      <c r="P46" s="4"/>
    </row>
    <row r="47" spans="1:28">
      <c r="A47">
        <v>1346.7881386517479</v>
      </c>
      <c r="B47">
        <v>109.063850403</v>
      </c>
      <c r="C47">
        <v>122.260726929</v>
      </c>
      <c r="D47">
        <v>40</v>
      </c>
      <c r="E47">
        <v>173</v>
      </c>
      <c r="F47">
        <f t="shared" si="0"/>
        <v>63.936149596999996</v>
      </c>
      <c r="G47">
        <f t="shared" si="1"/>
        <v>0.10906385040300001</v>
      </c>
      <c r="H47">
        <f t="shared" si="2"/>
        <v>1.6E-2</v>
      </c>
      <c r="M47" s="4"/>
      <c r="N47" s="4"/>
      <c r="O47" s="4"/>
      <c r="P47" s="4"/>
    </row>
    <row r="48" spans="1:28">
      <c r="A48">
        <v>1365.3100313920743</v>
      </c>
      <c r="B48">
        <v>110.21876525899999</v>
      </c>
      <c r="C48">
        <v>124.90921020499999</v>
      </c>
      <c r="D48">
        <v>41</v>
      </c>
      <c r="E48">
        <v>173</v>
      </c>
      <c r="F48">
        <f t="shared" si="0"/>
        <v>62.781234741000006</v>
      </c>
      <c r="G48">
        <f t="shared" si="1"/>
        <v>0.11297423439047499</v>
      </c>
      <c r="H48">
        <f t="shared" si="2"/>
        <v>1.6809999999999999E-2</v>
      </c>
      <c r="M48" s="4"/>
      <c r="N48" s="4"/>
      <c r="O48" s="4"/>
      <c r="P48" s="4"/>
    </row>
    <row r="49" spans="1:16">
      <c r="A49">
        <v>1383.8319241324007</v>
      </c>
      <c r="B49">
        <v>107.070770264</v>
      </c>
      <c r="C49">
        <v>125.40967559800001</v>
      </c>
      <c r="D49">
        <v>43</v>
      </c>
      <c r="E49">
        <v>173</v>
      </c>
      <c r="F49">
        <f t="shared" si="0"/>
        <v>65.929229735999996</v>
      </c>
      <c r="G49">
        <f t="shared" si="1"/>
        <v>0.11510107803380001</v>
      </c>
      <c r="H49">
        <f t="shared" si="2"/>
        <v>1.8489999999999999E-2</v>
      </c>
      <c r="M49" s="4"/>
      <c r="N49" s="4"/>
      <c r="O49" s="4"/>
      <c r="P49" s="4"/>
    </row>
    <row r="50" spans="1:16">
      <c r="A50">
        <v>1402.3538168727268</v>
      </c>
      <c r="B50">
        <v>104.169631958</v>
      </c>
      <c r="C50">
        <v>120.617797852</v>
      </c>
      <c r="D50">
        <v>45</v>
      </c>
      <c r="E50">
        <v>173</v>
      </c>
      <c r="F50">
        <f t="shared" si="0"/>
        <v>68.830368042000003</v>
      </c>
      <c r="G50">
        <f t="shared" si="1"/>
        <v>0.11719083595274998</v>
      </c>
      <c r="H50">
        <f t="shared" si="2"/>
        <v>2.0250000000000001E-2</v>
      </c>
      <c r="M50" s="4"/>
      <c r="N50" s="4"/>
      <c r="O50" s="4"/>
      <c r="P50" s="4"/>
    </row>
    <row r="51" spans="1:16">
      <c r="A51">
        <v>1420.8757096130532</v>
      </c>
      <c r="B51">
        <v>105.985099792</v>
      </c>
      <c r="C51">
        <v>121.792243958</v>
      </c>
      <c r="D51">
        <v>47</v>
      </c>
      <c r="E51">
        <v>173</v>
      </c>
      <c r="F51">
        <f t="shared" si="0"/>
        <v>67.014900208</v>
      </c>
      <c r="G51">
        <f t="shared" si="1"/>
        <v>0.12453249225560001</v>
      </c>
      <c r="H51">
        <f t="shared" si="2"/>
        <v>2.2089999999999999E-2</v>
      </c>
      <c r="M51" s="4"/>
      <c r="N51" s="4"/>
      <c r="O51" s="4"/>
      <c r="P51" s="4"/>
    </row>
    <row r="52" spans="1:16">
      <c r="A52">
        <v>1439.3976023533796</v>
      </c>
      <c r="B52">
        <v>100.30188751199999</v>
      </c>
      <c r="C52">
        <v>117.375366211</v>
      </c>
      <c r="D52">
        <v>49</v>
      </c>
      <c r="E52">
        <v>173</v>
      </c>
      <c r="F52">
        <f t="shared" si="0"/>
        <v>72.698112488000007</v>
      </c>
      <c r="G52">
        <f t="shared" si="1"/>
        <v>0.1228698122022</v>
      </c>
      <c r="H52">
        <f t="shared" si="2"/>
        <v>2.401E-2</v>
      </c>
      <c r="M52" s="4"/>
      <c r="N52" s="4"/>
      <c r="O52" s="4"/>
      <c r="P52" s="4"/>
    </row>
    <row r="53" spans="1:16">
      <c r="A53">
        <v>1457.9194950937058</v>
      </c>
      <c r="B53">
        <v>101.620826721</v>
      </c>
      <c r="C53">
        <v>116.178451538</v>
      </c>
      <c r="D53">
        <v>50</v>
      </c>
      <c r="E53">
        <v>173</v>
      </c>
      <c r="F53">
        <f t="shared" si="0"/>
        <v>71.379173279</v>
      </c>
      <c r="G53">
        <f t="shared" si="1"/>
        <v>0.12702603340124999</v>
      </c>
      <c r="H53">
        <f t="shared" si="2"/>
        <v>2.5000000000000001E-2</v>
      </c>
      <c r="M53" s="4"/>
      <c r="N53" s="4"/>
      <c r="O53" s="4"/>
      <c r="P53" s="4"/>
    </row>
    <row r="54" spans="1:16">
      <c r="A54">
        <v>1476.4413878340322</v>
      </c>
      <c r="B54">
        <v>98.821029663000004</v>
      </c>
      <c r="C54">
        <v>115.341171265</v>
      </c>
      <c r="D54">
        <v>52</v>
      </c>
      <c r="E54">
        <v>173</v>
      </c>
      <c r="F54">
        <f t="shared" si="0"/>
        <v>74.178970336999996</v>
      </c>
      <c r="G54">
        <f t="shared" si="1"/>
        <v>0.12846733856190001</v>
      </c>
      <c r="H54">
        <f t="shared" si="2"/>
        <v>2.7040000000000002E-2</v>
      </c>
      <c r="M54" s="4"/>
      <c r="N54" s="4"/>
      <c r="O54" s="4"/>
      <c r="P54" s="4"/>
    </row>
    <row r="55" spans="1:16">
      <c r="A55">
        <v>1494.9632805743586</v>
      </c>
      <c r="B55">
        <v>94.184791564999998</v>
      </c>
      <c r="C55">
        <v>115.75332641599999</v>
      </c>
      <c r="D55">
        <v>56</v>
      </c>
      <c r="E55">
        <v>173</v>
      </c>
      <c r="F55">
        <f t="shared" si="0"/>
        <v>78.815208435000002</v>
      </c>
      <c r="G55">
        <f t="shared" si="1"/>
        <v>0.13185870819100001</v>
      </c>
      <c r="H55">
        <f t="shared" si="2"/>
        <v>3.1359999999999999E-2</v>
      </c>
      <c r="M55" s="4"/>
      <c r="N55" s="4"/>
      <c r="O55" s="4"/>
      <c r="P55" s="4"/>
    </row>
    <row r="56" spans="1:16">
      <c r="A56">
        <v>1513.4851733146847</v>
      </c>
      <c r="B56">
        <v>97.752967834000003</v>
      </c>
      <c r="C56">
        <v>110.123252869</v>
      </c>
      <c r="D56">
        <v>57</v>
      </c>
      <c r="E56">
        <v>173</v>
      </c>
      <c r="F56">
        <f t="shared" si="0"/>
        <v>75.247032165999997</v>
      </c>
      <c r="G56">
        <f t="shared" si="1"/>
        <v>0.13929797916345002</v>
      </c>
      <c r="H56">
        <f t="shared" si="2"/>
        <v>3.2489999999999998E-2</v>
      </c>
      <c r="M56" s="4"/>
      <c r="N56" s="4"/>
      <c r="O56" s="4"/>
      <c r="P56" s="4"/>
    </row>
    <row r="57" spans="1:16">
      <c r="A57">
        <v>1532.0070660550114</v>
      </c>
      <c r="B57">
        <v>94.853279114000003</v>
      </c>
      <c r="C57">
        <v>110.16358947800001</v>
      </c>
      <c r="D57">
        <v>61</v>
      </c>
      <c r="E57">
        <v>173</v>
      </c>
      <c r="F57">
        <f t="shared" si="0"/>
        <v>78.146720885999997</v>
      </c>
      <c r="G57">
        <f t="shared" si="1"/>
        <v>0.14465125064885001</v>
      </c>
      <c r="H57">
        <f t="shared" si="2"/>
        <v>3.721E-2</v>
      </c>
      <c r="M57" s="4"/>
      <c r="N57" s="4"/>
      <c r="O57" s="4"/>
      <c r="P57" s="4"/>
    </row>
    <row r="58" spans="1:16">
      <c r="A58">
        <v>1550.5289587953375</v>
      </c>
      <c r="B58">
        <v>89.285606384000005</v>
      </c>
      <c r="C58">
        <v>106.614082336</v>
      </c>
      <c r="D58">
        <v>62</v>
      </c>
      <c r="E58">
        <v>173</v>
      </c>
      <c r="F58">
        <f t="shared" si="0"/>
        <v>83.714393615999995</v>
      </c>
      <c r="G58">
        <f t="shared" si="1"/>
        <v>0.13839268989520001</v>
      </c>
      <c r="H58">
        <f t="shared" si="2"/>
        <v>3.8440000000000002E-2</v>
      </c>
      <c r="M58" s="4"/>
      <c r="N58" s="4"/>
      <c r="O58" s="4"/>
      <c r="P58" s="4"/>
    </row>
    <row r="59" spans="1:16">
      <c r="A59">
        <v>1569.0508515356639</v>
      </c>
      <c r="B59">
        <v>86.896942139000004</v>
      </c>
      <c r="C59">
        <v>104.58684539799999</v>
      </c>
      <c r="D59">
        <v>64</v>
      </c>
      <c r="E59">
        <v>173</v>
      </c>
      <c r="F59">
        <f t="shared" si="0"/>
        <v>86.103057860999996</v>
      </c>
      <c r="G59">
        <f t="shared" si="1"/>
        <v>0.13903510742239999</v>
      </c>
      <c r="H59">
        <f t="shared" si="2"/>
        <v>4.0960000000000003E-2</v>
      </c>
      <c r="M59" s="4"/>
      <c r="N59" s="4"/>
      <c r="O59" s="4"/>
      <c r="P59" s="4"/>
    </row>
    <row r="60" spans="1:16">
      <c r="A60">
        <v>1587.5727442759903</v>
      </c>
      <c r="B60">
        <v>84.791046143000003</v>
      </c>
      <c r="C60">
        <v>106.44763946499999</v>
      </c>
      <c r="D60">
        <v>67</v>
      </c>
      <c r="E60">
        <v>173</v>
      </c>
      <c r="F60">
        <f t="shared" si="0"/>
        <v>88.208953856999997</v>
      </c>
      <c r="G60">
        <f t="shared" si="1"/>
        <v>0.14202500228952503</v>
      </c>
      <c r="H60">
        <f t="shared" si="2"/>
        <v>4.4889999999999999E-2</v>
      </c>
      <c r="M60" s="4"/>
      <c r="N60" s="4"/>
      <c r="O60" s="4"/>
      <c r="P60" s="4"/>
    </row>
    <row r="61" spans="1:16">
      <c r="A61">
        <v>1606.0946370163165</v>
      </c>
      <c r="B61">
        <v>82.528984070000007</v>
      </c>
      <c r="C61">
        <v>103.929916382</v>
      </c>
      <c r="D61">
        <v>68</v>
      </c>
      <c r="E61">
        <v>173</v>
      </c>
      <c r="F61">
        <f t="shared" si="0"/>
        <v>90.471015929999993</v>
      </c>
      <c r="G61">
        <f t="shared" si="1"/>
        <v>0.14029927291900002</v>
      </c>
      <c r="H61">
        <f t="shared" si="2"/>
        <v>4.6240000000000003E-2</v>
      </c>
      <c r="M61" s="4"/>
      <c r="N61" s="4"/>
      <c r="O61" s="4"/>
      <c r="P61" s="4"/>
    </row>
    <row r="62" spans="1:16">
      <c r="A62">
        <v>1624.6165297566429</v>
      </c>
      <c r="B62">
        <v>76.967315674000005</v>
      </c>
      <c r="C62">
        <v>101.463066101</v>
      </c>
      <c r="D62">
        <v>72</v>
      </c>
      <c r="E62">
        <v>173</v>
      </c>
      <c r="F62">
        <f t="shared" si="0"/>
        <v>96.032684325999995</v>
      </c>
      <c r="G62">
        <f t="shared" si="1"/>
        <v>0.13854116821320001</v>
      </c>
      <c r="H62">
        <f t="shared" si="2"/>
        <v>5.1839999999999997E-2</v>
      </c>
      <c r="M62" s="4"/>
      <c r="N62" s="4"/>
      <c r="O62" s="4"/>
      <c r="P62" s="4"/>
    </row>
    <row r="63" spans="1:16">
      <c r="A63">
        <v>1643.1384224969693</v>
      </c>
      <c r="B63">
        <v>72.091873168999996</v>
      </c>
      <c r="C63">
        <v>97.871910095000004</v>
      </c>
      <c r="D63">
        <v>76</v>
      </c>
      <c r="E63">
        <v>173</v>
      </c>
      <c r="F63">
        <f t="shared" si="0"/>
        <v>100.908126831</v>
      </c>
      <c r="G63">
        <f t="shared" si="1"/>
        <v>0.13697455902110001</v>
      </c>
      <c r="H63">
        <f t="shared" si="2"/>
        <v>5.7759999999999999E-2</v>
      </c>
      <c r="M63" s="4"/>
      <c r="N63" s="4"/>
      <c r="O63" s="4"/>
      <c r="P63" s="4"/>
    </row>
    <row r="64" spans="1:16">
      <c r="A64">
        <v>1661.6603152372954</v>
      </c>
      <c r="B64">
        <v>71.332138061999999</v>
      </c>
      <c r="C64">
        <v>95.875091553000004</v>
      </c>
      <c r="D64">
        <v>80</v>
      </c>
      <c r="E64">
        <v>173</v>
      </c>
      <c r="F64">
        <f t="shared" si="0"/>
        <v>101.667861938</v>
      </c>
      <c r="G64">
        <f t="shared" si="1"/>
        <v>0.14266427612400001</v>
      </c>
      <c r="H64">
        <f t="shared" si="2"/>
        <v>6.4000000000000001E-2</v>
      </c>
      <c r="M64" s="4"/>
      <c r="N64" s="4"/>
      <c r="O64" s="4"/>
      <c r="P64" s="4"/>
    </row>
    <row r="65" spans="13:16">
      <c r="M65" s="4"/>
      <c r="N65" s="4"/>
      <c r="O65" s="4"/>
      <c r="P65" s="4"/>
    </row>
    <row r="66" spans="13:16">
      <c r="M66" s="4"/>
      <c r="N66" s="4"/>
      <c r="O66" s="4"/>
      <c r="P66" s="4"/>
    </row>
    <row r="67" spans="13:16">
      <c r="M67" s="4"/>
      <c r="N67" s="4"/>
      <c r="O67" s="4"/>
      <c r="P67" s="4"/>
    </row>
    <row r="68" spans="13:16">
      <c r="M68" s="4"/>
      <c r="N68" s="4"/>
      <c r="O68" s="4"/>
      <c r="P68" s="4"/>
    </row>
    <row r="69" spans="13:16">
      <c r="M69" s="4"/>
      <c r="N69" s="4"/>
      <c r="O69" s="4"/>
      <c r="P69" s="4"/>
    </row>
    <row r="70" spans="13:16">
      <c r="M70" s="4"/>
      <c r="N70" s="4"/>
      <c r="O70" s="4"/>
      <c r="P70" s="4"/>
    </row>
    <row r="71" spans="13:16">
      <c r="M71" s="4"/>
      <c r="N71" s="4"/>
      <c r="O71" s="4"/>
      <c r="P71" s="4"/>
    </row>
    <row r="72" spans="13:16">
      <c r="M72" s="4"/>
      <c r="N72" s="4"/>
      <c r="O72" s="4"/>
      <c r="P72" s="4"/>
    </row>
    <row r="73" spans="13:16">
      <c r="M73" s="4"/>
      <c r="N73" s="4"/>
      <c r="O73" s="4"/>
      <c r="P73" s="4"/>
    </row>
    <row r="74" spans="13:16">
      <c r="M74" s="4"/>
      <c r="N74" s="4"/>
      <c r="O74" s="4"/>
      <c r="P74" s="4"/>
    </row>
    <row r="75" spans="13:16">
      <c r="M75" s="4"/>
      <c r="N75" s="4"/>
      <c r="O75" s="4"/>
      <c r="P75" s="4"/>
    </row>
    <row r="76" spans="13:16">
      <c r="M76" s="4"/>
      <c r="N76" s="4"/>
      <c r="O76" s="4"/>
      <c r="P76" s="4"/>
    </row>
    <row r="77" spans="13:16">
      <c r="M77" s="4"/>
      <c r="N77" s="4"/>
      <c r="O77" s="4"/>
      <c r="P77" s="4"/>
    </row>
    <row r="78" spans="13:16">
      <c r="M78" s="4"/>
      <c r="N78" s="4"/>
      <c r="O78" s="4"/>
      <c r="P78" s="4"/>
    </row>
    <row r="79" spans="13:16">
      <c r="M79" s="4"/>
      <c r="N79" s="4"/>
      <c r="O79" s="4"/>
      <c r="P79" s="4"/>
    </row>
    <row r="80" spans="13:16">
      <c r="M80" s="4"/>
      <c r="N80" s="4"/>
      <c r="O80" s="4"/>
      <c r="P80" s="4"/>
    </row>
    <row r="81" spans="13:16">
      <c r="M81" s="4"/>
      <c r="N81" s="4"/>
      <c r="O81" s="4"/>
      <c r="P81" s="4"/>
    </row>
    <row r="82" spans="13:16">
      <c r="M82" s="4"/>
      <c r="N82" s="4"/>
      <c r="O82" s="4"/>
      <c r="P82" s="4"/>
    </row>
    <row r="83" spans="13:16">
      <c r="M83" s="4"/>
      <c r="N83" s="4"/>
      <c r="O83" s="4"/>
      <c r="P83" s="4"/>
    </row>
    <row r="84" spans="13:16">
      <c r="M84" s="4"/>
      <c r="N84" s="4"/>
      <c r="O84" s="4"/>
      <c r="P84" s="4"/>
    </row>
    <row r="85" spans="13:16">
      <c r="M85" s="4"/>
      <c r="N85" s="4"/>
      <c r="O85" s="4"/>
      <c r="P85" s="4"/>
    </row>
    <row r="86" spans="13:16">
      <c r="M86" s="4"/>
      <c r="N86" s="4"/>
      <c r="O86" s="4"/>
      <c r="P86" s="4"/>
    </row>
    <row r="87" spans="13:16">
      <c r="M87" s="4"/>
      <c r="N87" s="4"/>
      <c r="O87" s="4"/>
      <c r="P87" s="4"/>
    </row>
    <row r="88" spans="13:16">
      <c r="M88" s="4"/>
      <c r="N88" s="4"/>
      <c r="O88" s="4"/>
      <c r="P88" s="4"/>
    </row>
    <row r="89" spans="13:16">
      <c r="M89" s="4"/>
      <c r="N89" s="4"/>
      <c r="O89" s="4"/>
      <c r="P89" s="4"/>
    </row>
    <row r="90" spans="13:16">
      <c r="M90" s="4"/>
      <c r="N90" s="4"/>
      <c r="O90" s="4"/>
      <c r="P90" s="4"/>
    </row>
    <row r="91" spans="13:16">
      <c r="M91" s="4"/>
      <c r="N91" s="4"/>
      <c r="O91" s="4"/>
      <c r="P91" s="4"/>
    </row>
    <row r="92" spans="13:16">
      <c r="M92" s="4"/>
      <c r="N92" s="4"/>
      <c r="O92" s="4"/>
      <c r="P92" s="4"/>
    </row>
    <row r="93" spans="13:16">
      <c r="M93" s="4"/>
      <c r="N93" s="4"/>
      <c r="O93" s="4"/>
      <c r="P93" s="4"/>
    </row>
    <row r="94" spans="13:16">
      <c r="M94" s="4"/>
      <c r="N94" s="4"/>
      <c r="O94" s="4"/>
      <c r="P94" s="4"/>
    </row>
    <row r="95" spans="13:16">
      <c r="M95" s="4"/>
      <c r="N95" s="4"/>
      <c r="O95" s="4"/>
      <c r="P95" s="4"/>
    </row>
    <row r="96" spans="13:16">
      <c r="M96" s="4"/>
      <c r="N96" s="4"/>
      <c r="O96" s="4"/>
      <c r="P96" s="4"/>
    </row>
    <row r="97" spans="13:16">
      <c r="M97" s="4"/>
      <c r="N97" s="4"/>
      <c r="O97" s="4"/>
      <c r="P97" s="4"/>
    </row>
    <row r="98" spans="13:16">
      <c r="M98" s="4"/>
      <c r="N98" s="4"/>
      <c r="O98" s="4"/>
      <c r="P98" s="4"/>
    </row>
    <row r="99" spans="13:16">
      <c r="M99" s="4"/>
      <c r="N99" s="4"/>
      <c r="O99" s="4"/>
      <c r="P99" s="4"/>
    </row>
    <row r="100" spans="13:16">
      <c r="M100" s="4"/>
      <c r="N100" s="4"/>
      <c r="O100" s="4"/>
      <c r="P100" s="4"/>
    </row>
    <row r="101" spans="13:16">
      <c r="M101" s="4"/>
      <c r="N101" s="4"/>
      <c r="O101" s="4"/>
      <c r="P101" s="4"/>
    </row>
    <row r="102" spans="13:16">
      <c r="M102" s="4"/>
      <c r="N102" s="4"/>
      <c r="O102" s="4"/>
      <c r="P102" s="4"/>
    </row>
    <row r="103" spans="13:16" ht="15.75" thickBot="1">
      <c r="M103" s="5"/>
      <c r="N103" s="5"/>
      <c r="O103" s="5"/>
      <c r="P103" s="5"/>
    </row>
  </sheetData>
  <mergeCells count="1">
    <mergeCell ref="A1:G1"/>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I79"/>
  <sheetViews>
    <sheetView topLeftCell="A4" workbookViewId="0">
      <selection activeCell="K18" sqref="K18"/>
    </sheetView>
  </sheetViews>
  <sheetFormatPr defaultRowHeight="15"/>
  <sheetData>
    <row r="1" spans="1:9">
      <c r="A1" t="s">
        <v>39</v>
      </c>
    </row>
    <row r="2" spans="1:9" ht="15.75" thickBot="1"/>
    <row r="3" spans="1:9">
      <c r="A3" s="7" t="s">
        <v>40</v>
      </c>
      <c r="B3" s="7"/>
    </row>
    <row r="4" spans="1:9">
      <c r="A4" s="4" t="s">
        <v>41</v>
      </c>
      <c r="B4" s="4">
        <v>0.99550943739305986</v>
      </c>
    </row>
    <row r="5" spans="1:9">
      <c r="A5" s="4" t="s">
        <v>42</v>
      </c>
      <c r="B5" s="4">
        <v>0.9910390399386465</v>
      </c>
    </row>
    <row r="6" spans="1:9">
      <c r="A6" s="4" t="s">
        <v>43</v>
      </c>
      <c r="B6" s="4">
        <v>0.990687629740162</v>
      </c>
    </row>
    <row r="7" spans="1:9">
      <c r="A7" s="4" t="s">
        <v>44</v>
      </c>
      <c r="B7" s="4">
        <v>2.252520102320053</v>
      </c>
    </row>
    <row r="8" spans="1:9" ht="15.75" thickBot="1">
      <c r="A8" s="5" t="s">
        <v>45</v>
      </c>
      <c r="B8" s="5">
        <v>54</v>
      </c>
    </row>
    <row r="10" spans="1:9" ht="15.75" thickBot="1">
      <c r="A10" t="s">
        <v>46</v>
      </c>
    </row>
    <row r="11" spans="1:9">
      <c r="A11" s="6"/>
      <c r="B11" s="6" t="s">
        <v>51</v>
      </c>
      <c r="C11" s="6" t="s">
        <v>52</v>
      </c>
      <c r="D11" s="6" t="s">
        <v>53</v>
      </c>
      <c r="E11" s="6" t="s">
        <v>54</v>
      </c>
      <c r="F11" s="6" t="s">
        <v>55</v>
      </c>
    </row>
    <row r="12" spans="1:9">
      <c r="A12" s="4" t="s">
        <v>47</v>
      </c>
      <c r="B12" s="4">
        <v>2</v>
      </c>
      <c r="C12" s="4">
        <v>28618.294485522187</v>
      </c>
      <c r="D12" s="4">
        <v>14309.147242761093</v>
      </c>
      <c r="E12" s="4">
        <v>2820.1772293825125</v>
      </c>
      <c r="F12" s="4">
        <v>6.0959418173651328E-53</v>
      </c>
    </row>
    <row r="13" spans="1:9">
      <c r="A13" s="4" t="s">
        <v>48</v>
      </c>
      <c r="B13" s="4">
        <v>51</v>
      </c>
      <c r="C13" s="4">
        <v>258.766187379153</v>
      </c>
      <c r="D13" s="4">
        <v>5.0738468113559412</v>
      </c>
      <c r="E13" s="4"/>
      <c r="F13" s="4"/>
    </row>
    <row r="14" spans="1:9" ht="15.75" thickBot="1">
      <c r="A14" s="5" t="s">
        <v>49</v>
      </c>
      <c r="B14" s="5">
        <v>53</v>
      </c>
      <c r="C14" s="5">
        <v>28877.060672901338</v>
      </c>
      <c r="D14" s="5"/>
      <c r="E14" s="5"/>
      <c r="F14" s="5"/>
    </row>
    <row r="15" spans="1:9" ht="15.75" thickBot="1"/>
    <row r="16" spans="1:9">
      <c r="A16" s="6"/>
      <c r="B16" s="6" t="s">
        <v>56</v>
      </c>
      <c r="C16" s="6" t="s">
        <v>44</v>
      </c>
      <c r="D16" s="6" t="s">
        <v>57</v>
      </c>
      <c r="E16" s="6" t="s">
        <v>58</v>
      </c>
      <c r="F16" s="6" t="s">
        <v>59</v>
      </c>
      <c r="G16" s="6" t="s">
        <v>60</v>
      </c>
      <c r="H16" s="6" t="s">
        <v>61</v>
      </c>
      <c r="I16" s="6" t="s">
        <v>62</v>
      </c>
    </row>
    <row r="17" spans="1:9">
      <c r="A17" s="4" t="s">
        <v>50</v>
      </c>
      <c r="B17" s="4">
        <v>22.016113787993127</v>
      </c>
      <c r="C17" s="4">
        <v>0.65169066985207647</v>
      </c>
      <c r="D17" s="4">
        <v>33.78307348329912</v>
      </c>
      <c r="E17" s="4">
        <v>1.4138340927065638E-36</v>
      </c>
      <c r="F17" s="4">
        <v>20.707790203394826</v>
      </c>
      <c r="G17" s="4">
        <v>23.324437372591429</v>
      </c>
      <c r="H17" s="4">
        <v>20.707790203394826</v>
      </c>
      <c r="I17" s="4">
        <v>23.324437372591429</v>
      </c>
    </row>
    <row r="18" spans="1:9">
      <c r="A18" s="4" t="s">
        <v>63</v>
      </c>
      <c r="B18" s="4">
        <v>267.78359871579516</v>
      </c>
      <c r="C18" s="4">
        <v>12.284803278399716</v>
      </c>
      <c r="D18" s="4">
        <v>21.797955787101387</v>
      </c>
      <c r="E18" s="4">
        <v>1.667313168423114E-27</v>
      </c>
      <c r="F18" s="4">
        <v>243.12082755025267</v>
      </c>
      <c r="G18" s="4">
        <v>292.44636988133766</v>
      </c>
      <c r="H18" s="4">
        <v>243.12082755025267</v>
      </c>
      <c r="I18" s="4">
        <v>292.44636988133766</v>
      </c>
    </row>
    <row r="19" spans="1:9" ht="15.75" thickBot="1">
      <c r="A19" s="5" t="s">
        <v>64</v>
      </c>
      <c r="B19" s="5">
        <v>657.20822012372469</v>
      </c>
      <c r="C19" s="5">
        <v>34.870059355387745</v>
      </c>
      <c r="D19" s="5">
        <v>18.847350198793968</v>
      </c>
      <c r="E19" s="5">
        <v>1.2403497931070897E-24</v>
      </c>
      <c r="F19" s="5">
        <v>587.20365636136216</v>
      </c>
      <c r="G19" s="5">
        <v>727.21278388608721</v>
      </c>
      <c r="H19" s="5">
        <v>587.20365636136216</v>
      </c>
      <c r="I19" s="5">
        <v>727.21278388608721</v>
      </c>
    </row>
    <row r="23" spans="1:9">
      <c r="A23" t="s">
        <v>65</v>
      </c>
    </row>
    <row r="24" spans="1:9" ht="15.75" thickBot="1"/>
    <row r="25" spans="1:9">
      <c r="A25" s="6" t="s">
        <v>66</v>
      </c>
      <c r="B25" s="6" t="s">
        <v>67</v>
      </c>
      <c r="C25" s="6" t="s">
        <v>68</v>
      </c>
    </row>
    <row r="26" spans="1:9">
      <c r="A26" s="4">
        <v>1</v>
      </c>
      <c r="B26" s="4">
        <v>23.024642869440214</v>
      </c>
      <c r="C26" s="4">
        <v>0.30868537755978309</v>
      </c>
    </row>
    <row r="27" spans="1:9">
      <c r="A27" s="4">
        <v>2</v>
      </c>
      <c r="B27" s="4">
        <v>22.016113787993127</v>
      </c>
      <c r="C27" s="4">
        <v>1.0756525690068841</v>
      </c>
    </row>
    <row r="28" spans="1:9">
      <c r="A28" s="4">
        <v>3</v>
      </c>
      <c r="B28" s="4">
        <v>23.018661295801159</v>
      </c>
      <c r="C28" s="4">
        <v>1.2081606031988272</v>
      </c>
    </row>
    <row r="29" spans="1:9">
      <c r="A29" s="4">
        <v>4</v>
      </c>
      <c r="B29" s="4">
        <v>23.046051440020467</v>
      </c>
      <c r="C29" s="4">
        <v>-2.9106144280204553</v>
      </c>
    </row>
    <row r="30" spans="1:9">
      <c r="A30" s="4">
        <v>5</v>
      </c>
      <c r="B30" s="4">
        <v>24.049886917394147</v>
      </c>
      <c r="C30" s="4">
        <v>-0.98325178539415958</v>
      </c>
    </row>
    <row r="31" spans="1:9">
      <c r="A31" s="4">
        <v>6</v>
      </c>
      <c r="B31" s="4">
        <v>23.030475404281407</v>
      </c>
      <c r="C31" s="4">
        <v>-0.56837823628139361</v>
      </c>
    </row>
    <row r="32" spans="1:9">
      <c r="A32" s="4">
        <v>7</v>
      </c>
      <c r="B32" s="4">
        <v>24.904623391838282</v>
      </c>
      <c r="C32" s="4">
        <v>-0.75885617983827203</v>
      </c>
    </row>
    <row r="33" spans="1:3">
      <c r="A33" s="4">
        <v>8</v>
      </c>
      <c r="B33" s="4">
        <v>26.074719535349875</v>
      </c>
      <c r="C33" s="4">
        <v>-0.71081267534988868</v>
      </c>
    </row>
    <row r="34" spans="1:3">
      <c r="A34" s="4">
        <v>9</v>
      </c>
      <c r="B34" s="4">
        <v>26.049817899822202</v>
      </c>
      <c r="C34" s="4">
        <v>0.24400534217780034</v>
      </c>
    </row>
    <row r="35" spans="1:3">
      <c r="A35" s="4">
        <v>10</v>
      </c>
      <c r="B35" s="4">
        <v>27.022715551486563</v>
      </c>
      <c r="C35" s="4">
        <v>1.3142137695134508</v>
      </c>
    </row>
    <row r="36" spans="1:3">
      <c r="A36" s="4">
        <v>11</v>
      </c>
      <c r="B36" s="4">
        <v>28.159033015390719</v>
      </c>
      <c r="C36" s="4">
        <v>-2.2012540843907118</v>
      </c>
    </row>
    <row r="37" spans="1:3">
      <c r="A37" s="4">
        <v>12</v>
      </c>
      <c r="B37" s="4">
        <v>29.124689760639498</v>
      </c>
      <c r="C37" s="4">
        <v>-0.94405621563949182</v>
      </c>
    </row>
    <row r="38" spans="1:3">
      <c r="A38" s="4">
        <v>13</v>
      </c>
      <c r="B38" s="4">
        <v>28.993499251202369</v>
      </c>
      <c r="C38" s="4">
        <v>1.9866338057976201</v>
      </c>
    </row>
    <row r="39" spans="1:3">
      <c r="A39" s="4">
        <v>14</v>
      </c>
      <c r="B39" s="4">
        <v>30.134823141018625</v>
      </c>
      <c r="C39" s="4">
        <v>-0.87208205201862299</v>
      </c>
    </row>
    <row r="40" spans="1:3">
      <c r="A40" s="4">
        <v>15</v>
      </c>
      <c r="B40" s="4">
        <v>32.091613913120796</v>
      </c>
      <c r="C40" s="4">
        <v>0.22326645787919119</v>
      </c>
    </row>
    <row r="41" spans="1:3">
      <c r="A41" s="4">
        <v>16</v>
      </c>
      <c r="B41" s="4">
        <v>33.204625164361879</v>
      </c>
      <c r="C41" s="4">
        <v>-1.3401537283618765</v>
      </c>
    </row>
    <row r="42" spans="1:3">
      <c r="A42" s="4">
        <v>17</v>
      </c>
      <c r="B42" s="4">
        <v>34.131175643398024</v>
      </c>
      <c r="C42" s="4">
        <v>-0.15739024339802654</v>
      </c>
    </row>
    <row r="43" spans="1:3">
      <c r="A43" s="4">
        <v>18</v>
      </c>
      <c r="B43" s="4">
        <v>34.132364684919779</v>
      </c>
      <c r="C43" s="4">
        <v>-0.1733803099197786</v>
      </c>
    </row>
    <row r="44" spans="1:3">
      <c r="A44" s="4">
        <v>19</v>
      </c>
      <c r="B44" s="4">
        <v>35.26655148845451</v>
      </c>
      <c r="C44" s="4">
        <v>-1.7564043934545026</v>
      </c>
    </row>
    <row r="45" spans="1:3">
      <c r="A45" s="4">
        <v>20</v>
      </c>
      <c r="B45" s="4">
        <v>37.195945114491501</v>
      </c>
      <c r="C45" s="4">
        <v>-0.63559660349149993</v>
      </c>
    </row>
    <row r="46" spans="1:3">
      <c r="A46" s="4">
        <v>21</v>
      </c>
      <c r="B46" s="4">
        <v>39.200411267535713</v>
      </c>
      <c r="C46" s="4">
        <v>-0.50522083753571678</v>
      </c>
    </row>
    <row r="47" spans="1:3">
      <c r="A47" s="4">
        <v>22</v>
      </c>
      <c r="B47" s="4">
        <v>40.280639715610896</v>
      </c>
      <c r="C47" s="4">
        <v>-1.1795654966108984</v>
      </c>
    </row>
    <row r="48" spans="1:3">
      <c r="A48" s="4">
        <v>23</v>
      </c>
      <c r="B48" s="4">
        <v>41.413918666893395</v>
      </c>
      <c r="C48" s="4">
        <v>-2.2634212298933818</v>
      </c>
    </row>
    <row r="49" spans="1:3">
      <c r="A49" s="4">
        <v>24</v>
      </c>
      <c r="B49" s="4">
        <v>41.661065978597961</v>
      </c>
      <c r="C49" s="4">
        <v>4.2503491214020386</v>
      </c>
    </row>
    <row r="50" spans="1:3">
      <c r="A50" s="4">
        <v>25</v>
      </c>
      <c r="B50" s="4">
        <v>44.183397672770795</v>
      </c>
      <c r="C50" s="4">
        <v>-9.6147916770789266E-2</v>
      </c>
    </row>
    <row r="51" spans="1:3">
      <c r="A51" s="4">
        <v>26</v>
      </c>
      <c r="B51" s="4">
        <v>45.346428382876098</v>
      </c>
      <c r="C51" s="4">
        <v>-1.2869038468761005</v>
      </c>
    </row>
    <row r="52" spans="1:3">
      <c r="A52" s="4">
        <v>27</v>
      </c>
      <c r="B52" s="4">
        <v>45.638359431035987</v>
      </c>
      <c r="C52" s="4">
        <v>3.8992229659640074</v>
      </c>
    </row>
    <row r="53" spans="1:3">
      <c r="A53" s="4">
        <v>28</v>
      </c>
      <c r="B53" s="4">
        <v>47.27133995686723</v>
      </c>
      <c r="C53" s="4">
        <v>-0.62814385086722524</v>
      </c>
    </row>
    <row r="54" spans="1:3">
      <c r="A54" s="4">
        <v>29</v>
      </c>
      <c r="B54" s="4">
        <v>48.461132881138099</v>
      </c>
      <c r="C54" s="4">
        <v>2.8699523238618951</v>
      </c>
    </row>
    <row r="55" spans="1:3">
      <c r="A55" s="4">
        <v>30</v>
      </c>
      <c r="B55" s="4">
        <v>49.898961557653365</v>
      </c>
      <c r="C55" s="4">
        <v>1.8392891743466322</v>
      </c>
    </row>
    <row r="56" spans="1:3">
      <c r="A56" s="4">
        <v>31</v>
      </c>
      <c r="B56" s="4">
        <v>51.015495550878406</v>
      </c>
      <c r="C56" s="4">
        <v>1.082656610121596</v>
      </c>
    </row>
    <row r="57" spans="1:3">
      <c r="A57" s="4">
        <v>32</v>
      </c>
      <c r="B57" s="4">
        <v>52.648415789138149</v>
      </c>
      <c r="C57" s="4">
        <v>3.1817157418618578</v>
      </c>
    </row>
    <row r="58" spans="1:3">
      <c r="A58" s="4">
        <v>33</v>
      </c>
      <c r="B58" s="4">
        <v>55.02344973116714</v>
      </c>
      <c r="C58" s="4">
        <v>0.96511380683285353</v>
      </c>
    </row>
    <row r="59" spans="1:3">
      <c r="A59" s="4">
        <v>34</v>
      </c>
      <c r="B59" s="4">
        <v>55.444926954303227</v>
      </c>
      <c r="C59" s="4">
        <v>4.0679743516967761</v>
      </c>
    </row>
    <row r="60" spans="1:3">
      <c r="A60" s="4">
        <v>35</v>
      </c>
      <c r="B60" s="4">
        <v>58.809469394017242</v>
      </c>
      <c r="C60" s="4">
        <v>-3.1344587130172386</v>
      </c>
    </row>
    <row r="61" spans="1:3">
      <c r="A61" s="4">
        <v>36</v>
      </c>
      <c r="B61" s="4">
        <v>60.511734989006897</v>
      </c>
      <c r="C61" s="4">
        <v>-1.5297022130068996</v>
      </c>
    </row>
    <row r="62" spans="1:3">
      <c r="A62" s="4">
        <v>37</v>
      </c>
      <c r="B62" s="4">
        <v>61.736955660689198</v>
      </c>
      <c r="C62" s="4">
        <v>2.1991939363107988</v>
      </c>
    </row>
    <row r="63" spans="1:3">
      <c r="A63" s="4">
        <v>38</v>
      </c>
      <c r="B63" s="4">
        <v>63.316431015516073</v>
      </c>
      <c r="C63" s="4">
        <v>-0.53519627451606766</v>
      </c>
    </row>
    <row r="64" spans="1:3">
      <c r="A64" s="4">
        <v>39</v>
      </c>
      <c r="B64" s="4">
        <v>64.990074670039334</v>
      </c>
      <c r="C64" s="4">
        <v>0.93915506596066223</v>
      </c>
    </row>
    <row r="65" spans="1:3">
      <c r="A65" s="4">
        <v>40</v>
      </c>
      <c r="B65" s="4">
        <v>66.706364033438334</v>
      </c>
      <c r="C65" s="4">
        <v>2.1240040085616698</v>
      </c>
    </row>
    <row r="66" spans="1:3">
      <c r="A66" s="4">
        <v>41</v>
      </c>
      <c r="B66" s="4">
        <v>69.881602303777669</v>
      </c>
      <c r="C66" s="4">
        <v>-2.8667020957776685</v>
      </c>
    </row>
    <row r="67" spans="1:3">
      <c r="A67" s="4">
        <v>42</v>
      </c>
      <c r="B67" s="4">
        <v>70.698203638202799</v>
      </c>
      <c r="C67" s="4">
        <v>1.9999088497972082</v>
      </c>
    </row>
    <row r="68" spans="1:3">
      <c r="A68" s="4">
        <v>43</v>
      </c>
      <c r="B68" s="4">
        <v>72.461807645865761</v>
      </c>
      <c r="C68" s="4">
        <v>-1.0826343668657614</v>
      </c>
    </row>
    <row r="69" spans="1:3">
      <c r="A69" s="4">
        <v>44</v>
      </c>
      <c r="B69" s="4">
        <v>74.188470297684674</v>
      </c>
      <c r="C69" s="4">
        <v>-9.499960684678399E-3</v>
      </c>
    </row>
    <row r="70" spans="1:3">
      <c r="A70" s="4">
        <v>45</v>
      </c>
      <c r="B70" s="4">
        <v>77.935762972475018</v>
      </c>
      <c r="C70" s="4">
        <v>0.87944546252498412</v>
      </c>
    </row>
    <row r="71" spans="1:3">
      <c r="A71" s="4">
        <v>46</v>
      </c>
      <c r="B71" s="4">
        <v>80.670523014039432</v>
      </c>
      <c r="C71" s="4">
        <v>-5.4234908480394353</v>
      </c>
    </row>
    <row r="72" spans="1:3">
      <c r="A72" s="4">
        <v>47</v>
      </c>
      <c r="B72" s="4">
        <v>85.206064116286484</v>
      </c>
      <c r="C72" s="4">
        <v>-7.0593432302864869</v>
      </c>
    </row>
    <row r="73" spans="1:3">
      <c r="A73" s="4">
        <v>48</v>
      </c>
      <c r="B73" s="4">
        <v>84.338490305644825</v>
      </c>
      <c r="C73" s="4">
        <v>-0.62409668964482989</v>
      </c>
    </row>
    <row r="74" spans="1:3">
      <c r="A74" s="4">
        <v>49</v>
      </c>
      <c r="B74" s="4">
        <v>86.166683897668321</v>
      </c>
      <c r="C74" s="4">
        <v>-6.3626036668324559E-2</v>
      </c>
    </row>
    <row r="75" spans="1:3">
      <c r="A75" s="4">
        <v>50</v>
      </c>
      <c r="B75" s="4">
        <v>89.550157010055187</v>
      </c>
      <c r="C75" s="4">
        <v>-1.34120315305519</v>
      </c>
    </row>
    <row r="76" spans="1:3">
      <c r="A76" s="4">
        <v>51</v>
      </c>
      <c r="B76" s="4">
        <v>89.975266085973487</v>
      </c>
      <c r="C76" s="4">
        <v>0.49574984402650557</v>
      </c>
    </row>
    <row r="77" spans="1:3">
      <c r="A77" s="4">
        <v>52</v>
      </c>
      <c r="B77" s="4">
        <v>93.184840513628046</v>
      </c>
      <c r="C77" s="4">
        <v>2.8478438123719485</v>
      </c>
    </row>
    <row r="78" spans="1:3">
      <c r="A78" s="4">
        <v>53</v>
      </c>
      <c r="B78" s="4">
        <v>96.656000929518711</v>
      </c>
      <c r="C78" s="4">
        <v>4.2521259014812927</v>
      </c>
    </row>
    <row r="79" spans="1:3" ht="15.75" thickBot="1">
      <c r="A79" s="5">
        <v>54</v>
      </c>
      <c r="B79" s="5">
        <v>102.28059314458012</v>
      </c>
      <c r="C79" s="5">
        <v>-0.61273120658012203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6"/>
  <dimension ref="A1:U40"/>
  <sheetViews>
    <sheetView topLeftCell="A7" zoomScale="73" zoomScaleNormal="73" workbookViewId="0">
      <selection activeCell="G25" sqref="G25"/>
    </sheetView>
  </sheetViews>
  <sheetFormatPr defaultRowHeight="15"/>
  <cols>
    <col min="4" max="4" width="11.140625" customWidth="1"/>
  </cols>
  <sheetData>
    <row r="1" spans="1:5">
      <c r="A1" s="2" t="s">
        <v>10</v>
      </c>
    </row>
    <row r="2" spans="1:5">
      <c r="A2" t="s">
        <v>11</v>
      </c>
    </row>
    <row r="3" spans="1:5">
      <c r="A3" s="2"/>
      <c r="B3" s="2"/>
      <c r="C3" s="2"/>
      <c r="D3" s="25" t="s">
        <v>5</v>
      </c>
      <c r="E3" s="25"/>
    </row>
    <row r="4" spans="1:5" ht="30">
      <c r="A4" s="3" t="s">
        <v>7</v>
      </c>
      <c r="B4" s="3" t="s">
        <v>6</v>
      </c>
      <c r="C4" s="3" t="s">
        <v>0</v>
      </c>
      <c r="D4" s="3" t="s">
        <v>1</v>
      </c>
      <c r="E4" s="3" t="s">
        <v>2</v>
      </c>
    </row>
    <row r="5" spans="1:5">
      <c r="A5">
        <f>IF((B5*(1+C5*(D5/40000))+ (E5/100000)*C5^2)&gt;255,(B5*(1+C5*(D5/40000))+ (E5/100000)*C5^2)*255/(B5*(1+C5*(D5/40000))+ (E5/100000)*C5^2),(B5*(1+C5*(D5/40000))+ (E5/100000)*C5^2))</f>
        <v>255</v>
      </c>
      <c r="B5">
        <v>100</v>
      </c>
      <c r="C5">
        <v>255</v>
      </c>
      <c r="D5">
        <v>150</v>
      </c>
      <c r="E5">
        <v>125</v>
      </c>
    </row>
    <row r="6" spans="1:5">
      <c r="A6">
        <f>IF((B6*(1+C6*(D6/40000))+ (E6/100000)*C6^2)&gt;255,(B6*(1+C6*(D6/40000))+ (E6/100000)*C6^2)*255/(B6*(1+C6*(D6/40000))+ (E6/100000)*C6^2),(B6*(1+C6*(D6/40000))+ (E6/100000)*C6^2))</f>
        <v>139.1</v>
      </c>
      <c r="B6">
        <v>100</v>
      </c>
      <c r="C6">
        <v>200</v>
      </c>
      <c r="D6">
        <v>75</v>
      </c>
      <c r="E6">
        <v>4</v>
      </c>
    </row>
    <row r="7" spans="1:5">
      <c r="A7">
        <f>IF((B7*(1+C7*(D7/40000))+ (E7/100000)*C7^2)&gt;255,(B7*(1+C7*(D7/40000))+ (E7/100000)*C7^2)*255/(B7*(1+C7*(D7/40000))+ (E7/100000)*C7^2),(B7*(1+C7*(D7/40000))+ (E7/100000)*C7^2))</f>
        <v>119.5</v>
      </c>
      <c r="B7">
        <v>100</v>
      </c>
      <c r="C7">
        <v>100</v>
      </c>
      <c r="D7">
        <v>78</v>
      </c>
      <c r="E7">
        <v>0</v>
      </c>
    </row>
    <row r="8" spans="1:5">
      <c r="A8">
        <f>IF((B8*(1+C8*(D8/40000))+ (E8/100000)*C8^2)&gt;255,(B8*(1+C8*(D8/40000))+ (E8/100000)*C8^2)*255/(B8*(1+C8*(D8/40000))+ (E8/100000)*C8^2),(B8*(1+C8*(D8/40000))+ (E8/100000)*C8^2))</f>
        <v>100</v>
      </c>
      <c r="B8">
        <v>100</v>
      </c>
      <c r="C8">
        <v>0</v>
      </c>
      <c r="D8">
        <v>0</v>
      </c>
      <c r="E8">
        <v>77</v>
      </c>
    </row>
    <row r="12" spans="1:5">
      <c r="A12" t="s">
        <v>22</v>
      </c>
    </row>
    <row r="13" spans="1:5">
      <c r="A13" t="s">
        <v>23</v>
      </c>
    </row>
    <row r="15" spans="1:5">
      <c r="A15" t="s">
        <v>28</v>
      </c>
    </row>
    <row r="16" spans="1:5">
      <c r="A16" t="s">
        <v>12</v>
      </c>
    </row>
    <row r="17" spans="1:21">
      <c r="A17" t="s">
        <v>24</v>
      </c>
    </row>
    <row r="18" spans="1:21">
      <c r="A18" t="s">
        <v>13</v>
      </c>
    </row>
    <row r="19" spans="1:21">
      <c r="A19" t="s">
        <v>17</v>
      </c>
    </row>
    <row r="20" spans="1:21">
      <c r="A20" t="s">
        <v>18</v>
      </c>
      <c r="B20" t="s">
        <v>19</v>
      </c>
      <c r="C20" t="s">
        <v>20</v>
      </c>
      <c r="D20" t="s">
        <v>21</v>
      </c>
    </row>
    <row r="21" spans="1:21">
      <c r="A21">
        <v>150</v>
      </c>
      <c r="B21">
        <v>100</v>
      </c>
      <c r="C21">
        <v>255</v>
      </c>
      <c r="D21">
        <f>IF(C21=0,255,IF((100000*(A21-B21)/C21^2)&gt;255,255,100000*(A21-B21)/C21^2))</f>
        <v>76.893502499038831</v>
      </c>
    </row>
    <row r="22" spans="1:21">
      <c r="A22">
        <v>150</v>
      </c>
      <c r="B22">
        <v>100</v>
      </c>
      <c r="C22">
        <v>0</v>
      </c>
      <c r="D22" t="str">
        <f>IF(C22=0,"-",IF((100000*(A22-B22)/C22^2)&gt;255,255,100000*(A22-B22)/C22^2))</f>
        <v>-</v>
      </c>
    </row>
    <row r="24" spans="1:21">
      <c r="A24" t="s">
        <v>14</v>
      </c>
    </row>
    <row r="25" spans="1:21">
      <c r="A25" t="s">
        <v>15</v>
      </c>
      <c r="D25" t="s">
        <v>16</v>
      </c>
      <c r="J25" t="s">
        <v>77</v>
      </c>
    </row>
    <row r="26" spans="1:21">
      <c r="A26">
        <v>150</v>
      </c>
      <c r="B26">
        <v>100</v>
      </c>
      <c r="C26">
        <v>255</v>
      </c>
      <c r="D26">
        <f>IF(A26*B26=0,255,IF((40000*(A26-B26)/(B26*C26))&gt;255,255,40000*(A26-B26)/(B26*C26)))</f>
        <v>78.431372549019613</v>
      </c>
      <c r="J26" t="s">
        <v>78</v>
      </c>
    </row>
    <row r="27" spans="1:21">
      <c r="A27">
        <v>150</v>
      </c>
      <c r="B27">
        <v>100</v>
      </c>
      <c r="C27">
        <v>0</v>
      </c>
      <c r="D27">
        <f>IF((B27*C27)=0, 255,IF((40000*(A27-B27)/(B27*C27))&gt;255,255,40000*(A27-B27)/B27*C27))</f>
        <v>255</v>
      </c>
    </row>
    <row r="30" spans="1:21">
      <c r="J30" t="s">
        <v>79</v>
      </c>
    </row>
    <row r="31" spans="1:21">
      <c r="J31" t="s">
        <v>80</v>
      </c>
    </row>
    <row r="32" spans="1:21">
      <c r="J32" t="s">
        <v>81</v>
      </c>
      <c r="K32" t="s">
        <v>82</v>
      </c>
      <c r="L32" t="s">
        <v>83</v>
      </c>
      <c r="M32" t="s">
        <v>84</v>
      </c>
      <c r="N32" t="s">
        <v>85</v>
      </c>
      <c r="O32" t="s">
        <v>86</v>
      </c>
      <c r="P32" t="s">
        <v>87</v>
      </c>
      <c r="Q32" t="s">
        <v>88</v>
      </c>
      <c r="R32" t="s">
        <v>89</v>
      </c>
      <c r="S32" t="s">
        <v>90</v>
      </c>
      <c r="T32" t="s">
        <v>91</v>
      </c>
      <c r="U32" t="s">
        <v>92</v>
      </c>
    </row>
    <row r="33" spans="10:21">
      <c r="J33">
        <v>1</v>
      </c>
      <c r="K33">
        <v>1488960</v>
      </c>
      <c r="L33">
        <v>127.34399999999999</v>
      </c>
      <c r="M33">
        <v>146</v>
      </c>
      <c r="N33">
        <v>53</v>
      </c>
      <c r="O33">
        <v>163</v>
      </c>
      <c r="P33">
        <v>950</v>
      </c>
      <c r="Q33">
        <v>547</v>
      </c>
      <c r="R33">
        <v>913.78800000000001</v>
      </c>
      <c r="S33">
        <v>536.36400000000003</v>
      </c>
      <c r="T33">
        <v>132</v>
      </c>
      <c r="U33">
        <v>-0.85899999999999999</v>
      </c>
    </row>
    <row r="34" spans="10:21">
      <c r="J34" t="s">
        <v>93</v>
      </c>
    </row>
    <row r="35" spans="10:21">
      <c r="J35" t="s">
        <v>94</v>
      </c>
    </row>
    <row r="36" spans="10:21">
      <c r="K36" t="s">
        <v>95</v>
      </c>
      <c r="L36">
        <f>O33</f>
        <v>163</v>
      </c>
    </row>
    <row r="37" spans="10:21">
      <c r="K37" t="s">
        <v>96</v>
      </c>
      <c r="L37">
        <f>N33</f>
        <v>53</v>
      </c>
    </row>
    <row r="38" spans="10:21">
      <c r="K38" t="s">
        <v>97</v>
      </c>
      <c r="L38">
        <f>O33-N33</f>
        <v>110</v>
      </c>
    </row>
    <row r="39" spans="10:21">
      <c r="K39" t="s">
        <v>98</v>
      </c>
      <c r="L39">
        <f>255-L38</f>
        <v>145</v>
      </c>
      <c r="M39" t="s">
        <v>99</v>
      </c>
    </row>
    <row r="40" spans="10:21">
      <c r="K40" t="s">
        <v>100</v>
      </c>
      <c r="L40">
        <f>L38</f>
        <v>110</v>
      </c>
      <c r="M40" t="s">
        <v>101</v>
      </c>
    </row>
  </sheetData>
  <mergeCells count="1">
    <mergeCell ref="D3:E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Sheet1</vt:lpstr>
      <vt:lpstr>Main Data</vt:lpstr>
      <vt:lpstr>888&amp;mask data</vt:lpstr>
      <vt:lpstr>Regression</vt:lpstr>
      <vt:lpstr>Sheet2</vt:lpstr>
    </vt:vector>
  </TitlesOfParts>
  <Company>Argonne National Laboratory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dyrkacz</dc:creator>
  <cp:lastModifiedBy>Gary</cp:lastModifiedBy>
  <dcterms:created xsi:type="dcterms:W3CDTF">2011-10-13T16:40:56Z</dcterms:created>
  <dcterms:modified xsi:type="dcterms:W3CDTF">2011-10-23T02:02:15Z</dcterms:modified>
</cp:coreProperties>
</file>